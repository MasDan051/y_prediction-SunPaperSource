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 tabRatio="930" activeTab="5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56" r:id="rId5"/>
    <sheet name="Efficiency2" sheetId="55" r:id="rId6"/>
    <sheet name="Chem" sheetId="1" r:id="rId7"/>
    <sheet name="BB" sheetId="2" r:id="rId8"/>
    <sheet name="RBP" sheetId="51" r:id="rId9"/>
    <sheet name="Sheet1" sheetId="53" r:id="rId10"/>
    <sheet name="summary" sheetId="54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Sheet1!$B$1:$F$45</definedName>
    <definedName name="_xlnm.Print_Area" localSheetId="41">'1'!$A$1:$M$61</definedName>
    <definedName name="_xlnm.Print_Area" localSheetId="32">'10'!$A$1:$M$61</definedName>
    <definedName name="_xlnm.Print_Area" localSheetId="31">'11'!$A$1:$M$61</definedName>
    <definedName name="_xlnm.Print_Area" localSheetId="30">'12'!$A$1:$M$61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'2'!$A$1:$M$61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'31'!$A$1:$M$63</definedName>
    <definedName name="_xlnm.Print_Area" localSheetId="38">'4'!$A$1:$M$61</definedName>
    <definedName name="_xlnm.Print_Area" localSheetId="37">'5'!$A$1:$M$61</definedName>
    <definedName name="_xlnm.Print_Area" localSheetId="36">'6'!$A$1:$M$61</definedName>
    <definedName name="_xlnm.Print_Area" localSheetId="35">'7'!$A$1:$M$61</definedName>
    <definedName name="_xlnm.Print_Area" localSheetId="34">'8'!$A$1:$M$61</definedName>
    <definedName name="_xlnm.Print_Area" localSheetId="33">'9'!$A$1:$M$62</definedName>
    <definedName name="_xlnm.Print_Area" localSheetId="6">Chem!$CE$7:$CQ$16</definedName>
    <definedName name="_xlnm.Print_Area" localSheetId="4">Efficiency1!$A$1:$AD$137</definedName>
    <definedName name="_xlnm.Print_Area" localSheetId="5">Efficiency2!$A$1:$AD$137</definedName>
    <definedName name="_xlnm.Print_Area" localSheetId="2">Listrik!$A$2:$AT$40</definedName>
    <definedName name="_xlnm.Print_Area" localSheetId="0">Report1!$A$3:$AK$41</definedName>
    <definedName name="_xlnm.Print_Area" localSheetId="10">summary!$A$1:$H$51</definedName>
  </definedNames>
  <calcPr calcId="144525"/>
</workbook>
</file>

<file path=xl/calcChain.xml><?xml version="1.0" encoding="utf-8"?>
<calcChain xmlns="http://schemas.openxmlformats.org/spreadsheetml/2006/main">
  <c r="BF137" i="55" l="1"/>
  <c r="BF139" i="55" s="1"/>
  <c r="BE137" i="55"/>
  <c r="BE139" i="55" s="1"/>
  <c r="BD137" i="55"/>
  <c r="BD139" i="55" s="1"/>
  <c r="BC137" i="55"/>
  <c r="BB137" i="55"/>
  <c r="AZ137" i="55"/>
  <c r="AY137" i="55"/>
  <c r="AX137" i="55"/>
  <c r="AW137" i="55"/>
  <c r="AV137" i="55"/>
  <c r="AU137" i="55"/>
  <c r="AT137" i="55"/>
  <c r="AS137" i="55"/>
  <c r="AQ137" i="55"/>
  <c r="AP137" i="55"/>
  <c r="AO137" i="55"/>
  <c r="AN137" i="55"/>
  <c r="AL137" i="55"/>
  <c r="AK137" i="55"/>
  <c r="AJ137" i="55"/>
  <c r="AI137" i="55"/>
  <c r="AH137" i="55"/>
  <c r="AG137" i="55"/>
  <c r="AF137" i="55"/>
  <c r="R137" i="55"/>
  <c r="R138" i="55" s="1"/>
  <c r="Q137" i="55"/>
  <c r="Q138" i="55" s="1"/>
  <c r="AC136" i="55"/>
  <c r="AA136" i="55"/>
  <c r="AR134" i="55"/>
  <c r="BA134" i="55" s="1"/>
  <c r="AD134" i="55" s="1"/>
  <c r="AM134" i="55"/>
  <c r="BA133" i="55"/>
  <c r="AD133" i="55" s="1"/>
  <c r="AR133" i="55"/>
  <c r="AM133" i="55"/>
  <c r="AR132" i="55"/>
  <c r="BA132" i="55" s="1"/>
  <c r="AD132" i="55" s="1"/>
  <c r="AM132" i="55"/>
  <c r="Z132" i="55"/>
  <c r="Y132" i="55"/>
  <c r="Y137" i="55" s="1"/>
  <c r="W132" i="55"/>
  <c r="V132" i="55"/>
  <c r="O132" i="55"/>
  <c r="T132" i="55" s="1"/>
  <c r="N132" i="55"/>
  <c r="H132" i="55"/>
  <c r="K132" i="55" s="1"/>
  <c r="BA130" i="55"/>
  <c r="AR130" i="55"/>
  <c r="AM130" i="55"/>
  <c r="AD130" i="55"/>
  <c r="BA129" i="55"/>
  <c r="AR129" i="55"/>
  <c r="AM129" i="55"/>
  <c r="AD129" i="55" s="1"/>
  <c r="W129" i="55"/>
  <c r="O129" i="55"/>
  <c r="V129" i="55" s="1"/>
  <c r="N129" i="55"/>
  <c r="H129" i="55"/>
  <c r="K129" i="55" s="1"/>
  <c r="BA128" i="55"/>
  <c r="AR128" i="55"/>
  <c r="AM128" i="55"/>
  <c r="AD128" i="55" s="1"/>
  <c r="W128" i="55"/>
  <c r="V128" i="55"/>
  <c r="O128" i="55"/>
  <c r="T128" i="55" s="1"/>
  <c r="N128" i="55"/>
  <c r="H128" i="55"/>
  <c r="K128" i="55" s="1"/>
  <c r="AR126" i="55"/>
  <c r="BA126" i="55" s="1"/>
  <c r="AD126" i="55" s="1"/>
  <c r="AM126" i="55"/>
  <c r="BA125" i="55"/>
  <c r="AR125" i="55"/>
  <c r="AM125" i="55"/>
  <c r="AD125" i="55" s="1"/>
  <c r="AR124" i="55"/>
  <c r="BA124" i="55" s="1"/>
  <c r="AD124" i="55" s="1"/>
  <c r="AM124" i="55"/>
  <c r="BA123" i="55"/>
  <c r="AR123" i="55"/>
  <c r="AM123" i="55"/>
  <c r="AD123" i="55" s="1"/>
  <c r="Z123" i="55"/>
  <c r="W123" i="55"/>
  <c r="V123" i="55"/>
  <c r="O123" i="55"/>
  <c r="T123" i="55" s="1"/>
  <c r="N123" i="55"/>
  <c r="H123" i="55"/>
  <c r="K123" i="55" s="1"/>
  <c r="AR121" i="55"/>
  <c r="BA121" i="55" s="1"/>
  <c r="AD121" i="55" s="1"/>
  <c r="AM121" i="55"/>
  <c r="BA120" i="55"/>
  <c r="AR120" i="55"/>
  <c r="AM120" i="55"/>
  <c r="AD120" i="55" s="1"/>
  <c r="AR119" i="55"/>
  <c r="BA119" i="55" s="1"/>
  <c r="AD119" i="55" s="1"/>
  <c r="AM119" i="55"/>
  <c r="AA119" i="55"/>
  <c r="W119" i="55"/>
  <c r="U119" i="55"/>
  <c r="T119" i="55"/>
  <c r="P119" i="55"/>
  <c r="O119" i="55"/>
  <c r="N119" i="55"/>
  <c r="V119" i="55" s="1"/>
  <c r="C119" i="55"/>
  <c r="AR117" i="55"/>
  <c r="BA117" i="55" s="1"/>
  <c r="AD117" i="55" s="1"/>
  <c r="AM117" i="55"/>
  <c r="AR116" i="55"/>
  <c r="BA116" i="55" s="1"/>
  <c r="AD116" i="55" s="1"/>
  <c r="AM116" i="55"/>
  <c r="W116" i="55"/>
  <c r="U116" i="55"/>
  <c r="O116" i="55"/>
  <c r="P116" i="55" s="1"/>
  <c r="N116" i="55"/>
  <c r="V116" i="55" s="1"/>
  <c r="C116" i="55"/>
  <c r="AR115" i="55"/>
  <c r="BA115" i="55" s="1"/>
  <c r="AD115" i="55" s="1"/>
  <c r="AM115" i="55"/>
  <c r="W115" i="55"/>
  <c r="O115" i="55"/>
  <c r="U115" i="55" s="1"/>
  <c r="AA115" i="55" s="1"/>
  <c r="N115" i="55"/>
  <c r="V115" i="55" s="1"/>
  <c r="BA113" i="55"/>
  <c r="AR113" i="55"/>
  <c r="AM113" i="55"/>
  <c r="AD113" i="55" s="1"/>
  <c r="BA112" i="55"/>
  <c r="AD112" i="55" s="1"/>
  <c r="AR112" i="55"/>
  <c r="AM112" i="55"/>
  <c r="BA111" i="55"/>
  <c r="AR111" i="55"/>
  <c r="AM111" i="55"/>
  <c r="AD111" i="55" s="1"/>
  <c r="W111" i="55"/>
  <c r="X111" i="55" s="1"/>
  <c r="V111" i="55"/>
  <c r="U111" i="55"/>
  <c r="AA111" i="55" s="1"/>
  <c r="P111" i="55"/>
  <c r="O111" i="55"/>
  <c r="T111" i="55" s="1"/>
  <c r="N111" i="55"/>
  <c r="J111" i="55"/>
  <c r="H111" i="55"/>
  <c r="K111" i="55" s="1"/>
  <c r="C111" i="55"/>
  <c r="AR109" i="55"/>
  <c r="BA109" i="55" s="1"/>
  <c r="AM109" i="55"/>
  <c r="AD109" i="55" s="1"/>
  <c r="AR108" i="55"/>
  <c r="BA108" i="55" s="1"/>
  <c r="AD108" i="55" s="1"/>
  <c r="AM108" i="55"/>
  <c r="W108" i="55"/>
  <c r="P108" i="55"/>
  <c r="O108" i="55"/>
  <c r="U108" i="55" s="1"/>
  <c r="N108" i="55"/>
  <c r="V108" i="55" s="1"/>
  <c r="AR107" i="55"/>
  <c r="BA107" i="55" s="1"/>
  <c r="AD107" i="55" s="1"/>
  <c r="AM107" i="55"/>
  <c r="Z107" i="55"/>
  <c r="W107" i="55"/>
  <c r="V107" i="55"/>
  <c r="U107" i="55"/>
  <c r="AA107" i="55" s="1"/>
  <c r="P107" i="55"/>
  <c r="O107" i="55"/>
  <c r="T107" i="55" s="1"/>
  <c r="N107" i="55"/>
  <c r="J107" i="55"/>
  <c r="H107" i="55"/>
  <c r="K107" i="55" s="1"/>
  <c r="C107" i="55"/>
  <c r="W105" i="55"/>
  <c r="P105" i="55"/>
  <c r="O105" i="55"/>
  <c r="U105" i="55" s="1"/>
  <c r="N105" i="55"/>
  <c r="V105" i="55" s="1"/>
  <c r="AR104" i="55"/>
  <c r="BA104" i="55" s="1"/>
  <c r="AD104" i="55" s="1"/>
  <c r="AM104" i="55"/>
  <c r="W104" i="55"/>
  <c r="S104" i="55"/>
  <c r="S137" i="55" s="1"/>
  <c r="O104" i="55"/>
  <c r="U104" i="55" s="1"/>
  <c r="N104" i="55"/>
  <c r="H104" i="55" s="1"/>
  <c r="BA103" i="55"/>
  <c r="AR103" i="55"/>
  <c r="AM103" i="55"/>
  <c r="AD103" i="55" s="1"/>
  <c r="W103" i="55"/>
  <c r="O103" i="55"/>
  <c r="U103" i="55" s="1"/>
  <c r="N103" i="55"/>
  <c r="V103" i="55" s="1"/>
  <c r="BA102" i="55"/>
  <c r="AR102" i="55"/>
  <c r="AM102" i="55"/>
  <c r="AD102" i="55" s="1"/>
  <c r="W102" i="55"/>
  <c r="V102" i="55"/>
  <c r="U102" i="55"/>
  <c r="AA102" i="55" s="1"/>
  <c r="P102" i="55"/>
  <c r="O102" i="55"/>
  <c r="T102" i="55" s="1"/>
  <c r="N102" i="55"/>
  <c r="J102" i="55"/>
  <c r="H102" i="55"/>
  <c r="K102" i="55" s="1"/>
  <c r="C102" i="55"/>
  <c r="AR100" i="55"/>
  <c r="BA100" i="55" s="1"/>
  <c r="AM100" i="55"/>
  <c r="AD100" i="55" s="1"/>
  <c r="W100" i="55"/>
  <c r="BA99" i="55"/>
  <c r="AR99" i="55"/>
  <c r="AM99" i="55"/>
  <c r="AD99" i="55" s="1"/>
  <c r="W99" i="55"/>
  <c r="O99" i="55"/>
  <c r="U99" i="55" s="1"/>
  <c r="N99" i="55"/>
  <c r="V99" i="55" s="1"/>
  <c r="BA98" i="55"/>
  <c r="AR98" i="55"/>
  <c r="AM98" i="55"/>
  <c r="AD98" i="55" s="1"/>
  <c r="W98" i="55"/>
  <c r="V98" i="55"/>
  <c r="U98" i="55"/>
  <c r="P98" i="55"/>
  <c r="O98" i="55"/>
  <c r="T98" i="55" s="1"/>
  <c r="N98" i="55"/>
  <c r="J98" i="55"/>
  <c r="H98" i="55"/>
  <c r="K98" i="55" s="1"/>
  <c r="AC98" i="55" s="1"/>
  <c r="C98" i="55"/>
  <c r="AR96" i="55"/>
  <c r="BA96" i="55" s="1"/>
  <c r="AM96" i="55"/>
  <c r="AR95" i="55"/>
  <c r="BA95" i="55" s="1"/>
  <c r="AD95" i="55" s="1"/>
  <c r="AM95" i="55"/>
  <c r="W95" i="55"/>
  <c r="P95" i="55"/>
  <c r="O95" i="55"/>
  <c r="T95" i="55" s="1"/>
  <c r="N95" i="55"/>
  <c r="H95" i="55" s="1"/>
  <c r="M95" i="55"/>
  <c r="U95" i="55" s="1"/>
  <c r="BA94" i="55"/>
  <c r="AR94" i="55"/>
  <c r="AM94" i="55"/>
  <c r="AD94" i="55" s="1"/>
  <c r="W94" i="55"/>
  <c r="U94" i="55"/>
  <c r="P94" i="55"/>
  <c r="O94" i="55"/>
  <c r="M94" i="55"/>
  <c r="N94" i="55" s="1"/>
  <c r="BA92" i="55"/>
  <c r="AD92" i="55" s="1"/>
  <c r="AR92" i="55"/>
  <c r="AM92" i="55"/>
  <c r="BA91" i="55"/>
  <c r="AR91" i="55"/>
  <c r="AM91" i="55"/>
  <c r="AD91" i="55" s="1"/>
  <c r="BA90" i="55"/>
  <c r="AD90" i="55" s="1"/>
  <c r="AR90" i="55"/>
  <c r="AM90" i="55"/>
  <c r="W90" i="55"/>
  <c r="P90" i="55"/>
  <c r="O90" i="55"/>
  <c r="T90" i="55" s="1"/>
  <c r="N90" i="55"/>
  <c r="H90" i="55" s="1"/>
  <c r="J90" i="55" s="1"/>
  <c r="M90" i="55"/>
  <c r="U90" i="55" s="1"/>
  <c r="AA90" i="55" s="1"/>
  <c r="BA88" i="55"/>
  <c r="AR88" i="55"/>
  <c r="AM88" i="55"/>
  <c r="AD88" i="55" s="1"/>
  <c r="W88" i="55"/>
  <c r="BA87" i="55"/>
  <c r="AR87" i="55"/>
  <c r="AM87" i="55"/>
  <c r="AD87" i="55"/>
  <c r="W87" i="55"/>
  <c r="U87" i="55"/>
  <c r="O87" i="55"/>
  <c r="P87" i="55" s="1"/>
  <c r="N87" i="55"/>
  <c r="V87" i="55" s="1"/>
  <c r="M87" i="55"/>
  <c r="T87" i="55" s="1"/>
  <c r="H87" i="55"/>
  <c r="AR86" i="55"/>
  <c r="BA86" i="55" s="1"/>
  <c r="AM86" i="55"/>
  <c r="AA86" i="55"/>
  <c r="W86" i="55"/>
  <c r="U86" i="55"/>
  <c r="T86" i="55"/>
  <c r="P86" i="55"/>
  <c r="O86" i="55"/>
  <c r="N86" i="55"/>
  <c r="M86" i="55"/>
  <c r="C86" i="55"/>
  <c r="BA84" i="55"/>
  <c r="AR84" i="55"/>
  <c r="AM84" i="55"/>
  <c r="AD84" i="55" s="1"/>
  <c r="AR83" i="55"/>
  <c r="BA83" i="55" s="1"/>
  <c r="AM83" i="55"/>
  <c r="W83" i="55"/>
  <c r="O83" i="55"/>
  <c r="P83" i="55" s="1"/>
  <c r="M83" i="55"/>
  <c r="T83" i="55" s="1"/>
  <c r="AR82" i="55"/>
  <c r="BA82" i="55" s="1"/>
  <c r="AD82" i="55" s="1"/>
  <c r="AM82" i="55"/>
  <c r="Z82" i="55"/>
  <c r="W82" i="55"/>
  <c r="V82" i="55"/>
  <c r="U82" i="55"/>
  <c r="P82" i="55"/>
  <c r="O82" i="55"/>
  <c r="T82" i="55" s="1"/>
  <c r="N82" i="55"/>
  <c r="J82" i="55"/>
  <c r="H82" i="55"/>
  <c r="K82" i="55" s="1"/>
  <c r="AC82" i="55" s="1"/>
  <c r="C82" i="55"/>
  <c r="AR80" i="55"/>
  <c r="BA80" i="55" s="1"/>
  <c r="AM80" i="55"/>
  <c r="AR79" i="55"/>
  <c r="BA79" i="55" s="1"/>
  <c r="AD79" i="55" s="1"/>
  <c r="AM79" i="55"/>
  <c r="AR78" i="55"/>
  <c r="BA78" i="55" s="1"/>
  <c r="AM78" i="55"/>
  <c r="W78" i="55"/>
  <c r="V78" i="55"/>
  <c r="O78" i="55"/>
  <c r="T78" i="55" s="1"/>
  <c r="N78" i="55"/>
  <c r="H78" i="55"/>
  <c r="AR76" i="55"/>
  <c r="BA76" i="55" s="1"/>
  <c r="AM76" i="55"/>
  <c r="AD76" i="55" s="1"/>
  <c r="W76" i="55"/>
  <c r="V76" i="55"/>
  <c r="O76" i="55"/>
  <c r="N76" i="55"/>
  <c r="H76" i="55"/>
  <c r="AR75" i="55"/>
  <c r="BA75" i="55" s="1"/>
  <c r="AM75" i="55"/>
  <c r="W75" i="55"/>
  <c r="O75" i="55"/>
  <c r="V75" i="55" s="1"/>
  <c r="N75" i="55"/>
  <c r="H75" i="55"/>
  <c r="AR74" i="55"/>
  <c r="BA74" i="55" s="1"/>
  <c r="AM74" i="55"/>
  <c r="AD74" i="55" s="1"/>
  <c r="Z74" i="55"/>
  <c r="W74" i="55"/>
  <c r="V74" i="55"/>
  <c r="O74" i="55"/>
  <c r="N74" i="55"/>
  <c r="H74" i="55"/>
  <c r="BA72" i="55"/>
  <c r="AR72" i="55"/>
  <c r="AM72" i="55"/>
  <c r="AD72" i="55" s="1"/>
  <c r="AR71" i="55"/>
  <c r="BA71" i="55" s="1"/>
  <c r="AM71" i="55"/>
  <c r="AD71" i="55" s="1"/>
  <c r="W71" i="55"/>
  <c r="O71" i="55"/>
  <c r="N71" i="55"/>
  <c r="K71" i="55"/>
  <c r="H71" i="55"/>
  <c r="J71" i="55" s="1"/>
  <c r="AR70" i="55"/>
  <c r="BA70" i="55" s="1"/>
  <c r="AM70" i="55"/>
  <c r="Z70" i="55"/>
  <c r="W70" i="55"/>
  <c r="V70" i="55"/>
  <c r="O70" i="55"/>
  <c r="T70" i="55" s="1"/>
  <c r="N70" i="55"/>
  <c r="H70" i="55"/>
  <c r="BA68" i="55"/>
  <c r="AR68" i="55"/>
  <c r="AM68" i="55"/>
  <c r="AD68" i="55" s="1"/>
  <c r="AR67" i="55"/>
  <c r="BA67" i="55" s="1"/>
  <c r="AM67" i="55"/>
  <c r="BA66" i="55"/>
  <c r="AR66" i="55"/>
  <c r="AM66" i="55"/>
  <c r="AD66" i="55" s="1"/>
  <c r="W66" i="55"/>
  <c r="U66" i="55"/>
  <c r="AA66" i="55" s="1"/>
  <c r="T66" i="55"/>
  <c r="O66" i="55"/>
  <c r="P66" i="55" s="1"/>
  <c r="N66" i="55"/>
  <c r="C66" i="55"/>
  <c r="BA64" i="55"/>
  <c r="AR64" i="55"/>
  <c r="AM64" i="55"/>
  <c r="AD64" i="55"/>
  <c r="AR63" i="55"/>
  <c r="BA63" i="55" s="1"/>
  <c r="AD63" i="55" s="1"/>
  <c r="AM63" i="55"/>
  <c r="W63" i="55"/>
  <c r="U63" i="55"/>
  <c r="T63" i="55"/>
  <c r="P63" i="55"/>
  <c r="O63" i="55"/>
  <c r="N63" i="55"/>
  <c r="V63" i="55" s="1"/>
  <c r="M63" i="55"/>
  <c r="C63" i="55"/>
  <c r="BA62" i="55"/>
  <c r="AR62" i="55"/>
  <c r="AM62" i="55"/>
  <c r="AD62" i="55" s="1"/>
  <c r="W62" i="55"/>
  <c r="O62" i="55"/>
  <c r="P62" i="55" s="1"/>
  <c r="N62" i="55"/>
  <c r="M62" i="55"/>
  <c r="H62" i="55"/>
  <c r="K62" i="55" s="1"/>
  <c r="AR61" i="55"/>
  <c r="BA61" i="55" s="1"/>
  <c r="AM61" i="55"/>
  <c r="W61" i="55"/>
  <c r="V61" i="55"/>
  <c r="O61" i="55"/>
  <c r="P61" i="55" s="1"/>
  <c r="N61" i="55"/>
  <c r="H61" i="55" s="1"/>
  <c r="K61" i="55" s="1"/>
  <c r="M61" i="55"/>
  <c r="J61" i="55"/>
  <c r="AR59" i="55"/>
  <c r="BA59" i="55" s="1"/>
  <c r="AM59" i="55"/>
  <c r="AD59" i="55" s="1"/>
  <c r="AR58" i="55"/>
  <c r="BA58" i="55" s="1"/>
  <c r="AM58" i="55"/>
  <c r="AR57" i="55"/>
  <c r="BA57" i="55" s="1"/>
  <c r="AM57" i="55"/>
  <c r="AD57" i="55"/>
  <c r="W57" i="55"/>
  <c r="U57" i="55"/>
  <c r="AA57" i="55" s="1"/>
  <c r="O57" i="55"/>
  <c r="P57" i="55" s="1"/>
  <c r="N57" i="55"/>
  <c r="J57" i="55"/>
  <c r="H57" i="55"/>
  <c r="BA55" i="55"/>
  <c r="AR55" i="55"/>
  <c r="AM55" i="55"/>
  <c r="AD55" i="55"/>
  <c r="AR54" i="55"/>
  <c r="BA54" i="55" s="1"/>
  <c r="AM54" i="55"/>
  <c r="AD54" i="55" s="1"/>
  <c r="BA53" i="55"/>
  <c r="AR53" i="55"/>
  <c r="AM53" i="55"/>
  <c r="AD53" i="55" s="1"/>
  <c r="Z53" i="55"/>
  <c r="W53" i="55"/>
  <c r="X53" i="55" s="1"/>
  <c r="U53" i="55"/>
  <c r="AA53" i="55" s="1"/>
  <c r="O53" i="55"/>
  <c r="T53" i="55" s="1"/>
  <c r="N53" i="55"/>
  <c r="K53" i="55"/>
  <c r="AC53" i="55" s="1"/>
  <c r="H53" i="55"/>
  <c r="J53" i="55" s="1"/>
  <c r="BA51" i="55"/>
  <c r="AR51" i="55"/>
  <c r="AM51" i="55"/>
  <c r="AD51" i="55" s="1"/>
  <c r="BA50" i="55"/>
  <c r="AR50" i="55"/>
  <c r="AM50" i="55"/>
  <c r="AD50" i="55" s="1"/>
  <c r="BA49" i="55"/>
  <c r="AR49" i="55"/>
  <c r="AM49" i="55"/>
  <c r="AD49" i="55" s="1"/>
  <c r="Z49" i="55"/>
  <c r="W49" i="55"/>
  <c r="V49" i="55"/>
  <c r="T49" i="55"/>
  <c r="O49" i="55"/>
  <c r="U49" i="55" s="1"/>
  <c r="AA49" i="55" s="1"/>
  <c r="AB49" i="55" s="1"/>
  <c r="N49" i="55"/>
  <c r="K49" i="55"/>
  <c r="AC49" i="55" s="1"/>
  <c r="H49" i="55"/>
  <c r="J49" i="55" s="1"/>
  <c r="BA47" i="55"/>
  <c r="AR47" i="55"/>
  <c r="AM47" i="55"/>
  <c r="AD47" i="55" s="1"/>
  <c r="BA46" i="55"/>
  <c r="AR46" i="55"/>
  <c r="AM46" i="55"/>
  <c r="AD46" i="55" s="1"/>
  <c r="BA45" i="55"/>
  <c r="AR45" i="55"/>
  <c r="AM45" i="55"/>
  <c r="AD45" i="55" s="1"/>
  <c r="W45" i="55"/>
  <c r="AA45" i="55" s="1"/>
  <c r="U45" i="55"/>
  <c r="P45" i="55"/>
  <c r="O45" i="55"/>
  <c r="T45" i="55" s="1"/>
  <c r="N45" i="55"/>
  <c r="V45" i="55" s="1"/>
  <c r="M45" i="55"/>
  <c r="BA43" i="55"/>
  <c r="AR43" i="55"/>
  <c r="AM43" i="55"/>
  <c r="AD43" i="55" s="1"/>
  <c r="BA42" i="55"/>
  <c r="AR42" i="55"/>
  <c r="AM42" i="55"/>
  <c r="AD42" i="55" s="1"/>
  <c r="BA41" i="55"/>
  <c r="AR41" i="55"/>
  <c r="AM41" i="55"/>
  <c r="AD41" i="55" s="1"/>
  <c r="W41" i="55"/>
  <c r="X41" i="55" s="1"/>
  <c r="U41" i="55"/>
  <c r="AA41" i="55" s="1"/>
  <c r="P41" i="55"/>
  <c r="O41" i="55"/>
  <c r="N41" i="55"/>
  <c r="V41" i="55" s="1"/>
  <c r="M41" i="55"/>
  <c r="T41" i="55" s="1"/>
  <c r="K41" i="55"/>
  <c r="AC41" i="55" s="1"/>
  <c r="H41" i="55"/>
  <c r="J41" i="55" s="1"/>
  <c r="BA39" i="55"/>
  <c r="AR39" i="55"/>
  <c r="AM39" i="55"/>
  <c r="AD39" i="55" s="1"/>
  <c r="BA38" i="55"/>
  <c r="AR38" i="55"/>
  <c r="AM38" i="55"/>
  <c r="AD38" i="55" s="1"/>
  <c r="BA37" i="55"/>
  <c r="AR37" i="55"/>
  <c r="AM37" i="55"/>
  <c r="AD37" i="55" s="1"/>
  <c r="W37" i="55"/>
  <c r="AA37" i="55" s="1"/>
  <c r="U37" i="55"/>
  <c r="P37" i="55"/>
  <c r="O37" i="55"/>
  <c r="T37" i="55" s="1"/>
  <c r="N37" i="55"/>
  <c r="V37" i="55" s="1"/>
  <c r="M37" i="55"/>
  <c r="BA35" i="55"/>
  <c r="AR35" i="55"/>
  <c r="AM35" i="55"/>
  <c r="AD35" i="55" s="1"/>
  <c r="BA34" i="55"/>
  <c r="AR34" i="55"/>
  <c r="AM34" i="55"/>
  <c r="AD34" i="55" s="1"/>
  <c r="BA33" i="55"/>
  <c r="AR33" i="55"/>
  <c r="AM33" i="55"/>
  <c r="AD33" i="55" s="1"/>
  <c r="W33" i="55"/>
  <c r="X33" i="55" s="1"/>
  <c r="U33" i="55"/>
  <c r="AA33" i="55" s="1"/>
  <c r="P33" i="55"/>
  <c r="O33" i="55"/>
  <c r="N33" i="55"/>
  <c r="V33" i="55" s="1"/>
  <c r="M33" i="55"/>
  <c r="T33" i="55" s="1"/>
  <c r="K33" i="55"/>
  <c r="AC33" i="55" s="1"/>
  <c r="H33" i="55"/>
  <c r="J33" i="55" s="1"/>
  <c r="BA31" i="55"/>
  <c r="AR31" i="55"/>
  <c r="AM31" i="55"/>
  <c r="AD31" i="55" s="1"/>
  <c r="W31" i="55"/>
  <c r="O31" i="55"/>
  <c r="P31" i="55" s="1"/>
  <c r="M31" i="55"/>
  <c r="U31" i="55" s="1"/>
  <c r="AR30" i="55"/>
  <c r="BA30" i="55" s="1"/>
  <c r="AD30" i="55" s="1"/>
  <c r="AM30" i="55"/>
  <c r="W30" i="55"/>
  <c r="U30" i="55"/>
  <c r="P30" i="55"/>
  <c r="O30" i="55"/>
  <c r="N30" i="55"/>
  <c r="V30" i="55" s="1"/>
  <c r="M30" i="55"/>
  <c r="T30" i="55" s="1"/>
  <c r="BA29" i="55"/>
  <c r="AR29" i="55"/>
  <c r="AM29" i="55"/>
  <c r="AD29" i="55" s="1"/>
  <c r="W29" i="55"/>
  <c r="U29" i="55"/>
  <c r="AA29" i="55" s="1"/>
  <c r="T29" i="55"/>
  <c r="P29" i="55"/>
  <c r="O29" i="55"/>
  <c r="N29" i="55"/>
  <c r="V29" i="55" s="1"/>
  <c r="C29" i="55"/>
  <c r="AR27" i="55"/>
  <c r="BA27" i="55" s="1"/>
  <c r="AD27" i="55" s="1"/>
  <c r="AM27" i="55"/>
  <c r="W27" i="55"/>
  <c r="U27" i="55"/>
  <c r="T27" i="55"/>
  <c r="P27" i="55"/>
  <c r="O27" i="55"/>
  <c r="N27" i="55"/>
  <c r="V27" i="55" s="1"/>
  <c r="C27" i="55"/>
  <c r="AR26" i="55"/>
  <c r="BA26" i="55" s="1"/>
  <c r="AD26" i="55" s="1"/>
  <c r="AM26" i="55"/>
  <c r="Z26" i="55"/>
  <c r="W26" i="55"/>
  <c r="O26" i="55"/>
  <c r="T26" i="55" s="1"/>
  <c r="N26" i="55"/>
  <c r="H26" i="55"/>
  <c r="K26" i="55" s="1"/>
  <c r="AC26" i="55" s="1"/>
  <c r="BA25" i="55"/>
  <c r="AR25" i="55"/>
  <c r="AM25" i="55"/>
  <c r="AD25" i="55" s="1"/>
  <c r="W25" i="55"/>
  <c r="U25" i="55"/>
  <c r="P25" i="55"/>
  <c r="O25" i="55"/>
  <c r="N25" i="55"/>
  <c r="V25" i="55" s="1"/>
  <c r="M25" i="55"/>
  <c r="T25" i="55" s="1"/>
  <c r="H25" i="55"/>
  <c r="K25" i="55" s="1"/>
  <c r="BA23" i="55"/>
  <c r="AR23" i="55"/>
  <c r="AM23" i="55"/>
  <c r="AD23" i="55" s="1"/>
  <c r="BA22" i="55"/>
  <c r="AR22" i="55"/>
  <c r="AM22" i="55"/>
  <c r="AD22" i="55" s="1"/>
  <c r="BA21" i="55"/>
  <c r="AR21" i="55"/>
  <c r="AM21" i="55"/>
  <c r="AD21" i="55" s="1"/>
  <c r="BA20" i="55"/>
  <c r="AR20" i="55"/>
  <c r="AM20" i="55"/>
  <c r="AD20" i="55" s="1"/>
  <c r="W20" i="55"/>
  <c r="U20" i="55"/>
  <c r="AA20" i="55" s="1"/>
  <c r="P20" i="55"/>
  <c r="O20" i="55"/>
  <c r="N20" i="55"/>
  <c r="V20" i="55" s="1"/>
  <c r="M20" i="55"/>
  <c r="T20" i="55" s="1"/>
  <c r="H20" i="55"/>
  <c r="K20" i="55" s="1"/>
  <c r="AC20" i="55" s="1"/>
  <c r="BA18" i="55"/>
  <c r="AR18" i="55"/>
  <c r="AM18" i="55"/>
  <c r="AD18" i="55" s="1"/>
  <c r="BA17" i="55"/>
  <c r="AR17" i="55"/>
  <c r="AM17" i="55"/>
  <c r="AD17" i="55" s="1"/>
  <c r="BA16" i="55"/>
  <c r="AR16" i="55"/>
  <c r="AM16" i="55"/>
  <c r="AD16" i="55" s="1"/>
  <c r="AA16" i="55"/>
  <c r="W16" i="55"/>
  <c r="U16" i="55"/>
  <c r="T16" i="55"/>
  <c r="P16" i="55"/>
  <c r="O16" i="55"/>
  <c r="N16" i="55"/>
  <c r="V16" i="55" s="1"/>
  <c r="M16" i="55"/>
  <c r="C16" i="55"/>
  <c r="BA14" i="55"/>
  <c r="AR14" i="55"/>
  <c r="AM14" i="55"/>
  <c r="AD14" i="55" s="1"/>
  <c r="BA13" i="55"/>
  <c r="AR13" i="55"/>
  <c r="AM13" i="55"/>
  <c r="AD13" i="55" s="1"/>
  <c r="BA12" i="55"/>
  <c r="AR12" i="55"/>
  <c r="AM12" i="55"/>
  <c r="AD12" i="55" s="1"/>
  <c r="BA11" i="55"/>
  <c r="AR11" i="55"/>
  <c r="AM11" i="55"/>
  <c r="AD11" i="55" s="1"/>
  <c r="Z11" i="55"/>
  <c r="W11" i="55"/>
  <c r="O11" i="55"/>
  <c r="C11" i="55" s="1"/>
  <c r="M11" i="55"/>
  <c r="T11" i="55" s="1"/>
  <c r="W9" i="55"/>
  <c r="BA8" i="55"/>
  <c r="AR8" i="55"/>
  <c r="AM8" i="55"/>
  <c r="AD8" i="55" s="1"/>
  <c r="W8" i="55"/>
  <c r="T8" i="55"/>
  <c r="O8" i="55"/>
  <c r="P8" i="55" s="1"/>
  <c r="M8" i="55"/>
  <c r="U8" i="55" s="1"/>
  <c r="C8" i="55"/>
  <c r="AR7" i="55"/>
  <c r="BA7" i="55" s="1"/>
  <c r="AD7" i="55" s="1"/>
  <c r="AM7" i="55"/>
  <c r="W7" i="55"/>
  <c r="U7" i="55"/>
  <c r="P7" i="55"/>
  <c r="O7" i="55"/>
  <c r="N7" i="55"/>
  <c r="V7" i="55" s="1"/>
  <c r="M7" i="55"/>
  <c r="T7" i="55" s="1"/>
  <c r="H7" i="55"/>
  <c r="K7" i="55" s="1"/>
  <c r="BA6" i="55"/>
  <c r="AR6" i="55"/>
  <c r="AM6" i="55"/>
  <c r="AD6" i="55" s="1"/>
  <c r="Z6" i="55"/>
  <c r="W6" i="55"/>
  <c r="O6" i="55"/>
  <c r="P6" i="55" s="1"/>
  <c r="M6" i="55"/>
  <c r="T6" i="55" s="1"/>
  <c r="A6" i="55"/>
  <c r="AC76" i="56"/>
  <c r="AC116" i="56"/>
  <c r="AB53" i="55" l="1"/>
  <c r="AC25" i="55"/>
  <c r="AB33" i="55"/>
  <c r="AB41" i="55"/>
  <c r="AC7" i="55"/>
  <c r="AB20" i="55"/>
  <c r="X20" i="55"/>
  <c r="U6" i="55"/>
  <c r="U11" i="55"/>
  <c r="AA11" i="55" s="1"/>
  <c r="C26" i="55"/>
  <c r="U26" i="55"/>
  <c r="AA25" i="55" s="1"/>
  <c r="P53" i="55"/>
  <c r="T57" i="55"/>
  <c r="AD58" i="55"/>
  <c r="AD137" i="55" s="1"/>
  <c r="C62" i="55"/>
  <c r="V62" i="55"/>
  <c r="AD67" i="55"/>
  <c r="AD78" i="55"/>
  <c r="AD83" i="55"/>
  <c r="K87" i="55"/>
  <c r="AC87" i="55" s="1"/>
  <c r="J87" i="55"/>
  <c r="AA94" i="55"/>
  <c r="AC107" i="55"/>
  <c r="AM137" i="55"/>
  <c r="H16" i="55"/>
  <c r="V26" i="55"/>
  <c r="X49" i="55"/>
  <c r="AC62" i="55"/>
  <c r="AB111" i="55"/>
  <c r="W137" i="55"/>
  <c r="AR137" i="55"/>
  <c r="N8" i="55"/>
  <c r="J26" i="55"/>
  <c r="H27" i="55"/>
  <c r="H29" i="55"/>
  <c r="N31" i="55"/>
  <c r="C37" i="55"/>
  <c r="C45" i="55"/>
  <c r="C53" i="55"/>
  <c r="V53" i="55"/>
  <c r="V57" i="55"/>
  <c r="J62" i="55"/>
  <c r="X70" i="55"/>
  <c r="AD75" i="55"/>
  <c r="AC123" i="55"/>
  <c r="X123" i="55"/>
  <c r="AC128" i="55"/>
  <c r="X128" i="55"/>
  <c r="BA137" i="55"/>
  <c r="H37" i="55"/>
  <c r="H45" i="55"/>
  <c r="C57" i="55"/>
  <c r="T71" i="55"/>
  <c r="AC71" i="55" s="1"/>
  <c r="P71" i="55"/>
  <c r="U71" i="55"/>
  <c r="C71" i="55"/>
  <c r="K78" i="55"/>
  <c r="J78" i="55"/>
  <c r="Y139" i="55"/>
  <c r="N6" i="55"/>
  <c r="Z137" i="55"/>
  <c r="C7" i="55"/>
  <c r="N11" i="55"/>
  <c r="C20" i="55"/>
  <c r="C25" i="55"/>
  <c r="C30" i="55"/>
  <c r="P49" i="55"/>
  <c r="K57" i="55"/>
  <c r="AC57" i="55" s="1"/>
  <c r="V71" i="55"/>
  <c r="K74" i="55"/>
  <c r="J74" i="55"/>
  <c r="K76" i="55"/>
  <c r="J76" i="55"/>
  <c r="AD80" i="55"/>
  <c r="AA82" i="55"/>
  <c r="AD96" i="55"/>
  <c r="AA98" i="55"/>
  <c r="AC102" i="55"/>
  <c r="AC111" i="55"/>
  <c r="H30" i="55"/>
  <c r="C31" i="55"/>
  <c r="T31" i="55"/>
  <c r="T137" i="55" s="1"/>
  <c r="K70" i="55"/>
  <c r="AC70" i="55" s="1"/>
  <c r="J70" i="55"/>
  <c r="K75" i="55"/>
  <c r="J75" i="55"/>
  <c r="V94" i="55"/>
  <c r="H94" i="55"/>
  <c r="K104" i="55"/>
  <c r="J104" i="55"/>
  <c r="J7" i="55"/>
  <c r="P11" i="55"/>
  <c r="P137" i="55" s="1"/>
  <c r="O137" i="55" s="1"/>
  <c r="J20" i="55"/>
  <c r="J25" i="55"/>
  <c r="P26" i="55"/>
  <c r="C33" i="55"/>
  <c r="C41" i="55"/>
  <c r="C49" i="55"/>
  <c r="T61" i="55"/>
  <c r="C61" i="55"/>
  <c r="U61" i="55"/>
  <c r="AA61" i="55" s="1"/>
  <c r="AD61" i="55"/>
  <c r="T62" i="55"/>
  <c r="H63" i="55"/>
  <c r="AD70" i="55"/>
  <c r="U74" i="55"/>
  <c r="AA74" i="55" s="1"/>
  <c r="C74" i="55"/>
  <c r="T74" i="55"/>
  <c r="P74" i="55"/>
  <c r="T76" i="55"/>
  <c r="P76" i="55"/>
  <c r="U76" i="55"/>
  <c r="C76" i="55"/>
  <c r="AD86" i="55"/>
  <c r="K90" i="55"/>
  <c r="AC90" i="55" s="1"/>
  <c r="K95" i="55"/>
  <c r="AC95" i="55" s="1"/>
  <c r="J95" i="55"/>
  <c r="X132" i="55"/>
  <c r="AC132" i="55"/>
  <c r="C6" i="55"/>
  <c r="AC61" i="55"/>
  <c r="U62" i="55"/>
  <c r="V66" i="55"/>
  <c r="H66" i="55"/>
  <c r="U70" i="55"/>
  <c r="AA70" i="55" s="1"/>
  <c r="C70" i="55"/>
  <c r="P70" i="55"/>
  <c r="T75" i="55"/>
  <c r="P75" i="55"/>
  <c r="U75" i="55"/>
  <c r="C75" i="55"/>
  <c r="V86" i="55"/>
  <c r="H86" i="55"/>
  <c r="S138" i="55"/>
  <c r="S139" i="55"/>
  <c r="C78" i="55"/>
  <c r="U78" i="55"/>
  <c r="AA78" i="55" s="1"/>
  <c r="U83" i="55"/>
  <c r="C87" i="55"/>
  <c r="V90" i="55"/>
  <c r="V95" i="55"/>
  <c r="V104" i="55"/>
  <c r="H105" i="55"/>
  <c r="H108" i="55"/>
  <c r="T116" i="55"/>
  <c r="C123" i="55"/>
  <c r="U123" i="55"/>
  <c r="AA123" i="55" s="1"/>
  <c r="C128" i="55"/>
  <c r="U128" i="55"/>
  <c r="C132" i="55"/>
  <c r="U132" i="55"/>
  <c r="AA132" i="55" s="1"/>
  <c r="BB139" i="55"/>
  <c r="BC139" i="55"/>
  <c r="C94" i="55"/>
  <c r="T94" i="55"/>
  <c r="H116" i="55"/>
  <c r="J123" i="55"/>
  <c r="J128" i="55"/>
  <c r="P129" i="55"/>
  <c r="J132" i="55"/>
  <c r="T129" i="55"/>
  <c r="AC129" i="55" s="1"/>
  <c r="R139" i="55"/>
  <c r="N83" i="55"/>
  <c r="P99" i="55"/>
  <c r="P103" i="55"/>
  <c r="P104" i="55"/>
  <c r="P115" i="55"/>
  <c r="C129" i="55"/>
  <c r="U129" i="55"/>
  <c r="T99" i="55"/>
  <c r="T103" i="55"/>
  <c r="T115" i="55"/>
  <c r="P78" i="55"/>
  <c r="C90" i="55"/>
  <c r="C95" i="55"/>
  <c r="C99" i="55"/>
  <c r="C103" i="55"/>
  <c r="C104" i="55"/>
  <c r="T104" i="55"/>
  <c r="T105" i="55"/>
  <c r="T108" i="55"/>
  <c r="C115" i="55"/>
  <c r="H119" i="55"/>
  <c r="P123" i="55"/>
  <c r="P128" i="55"/>
  <c r="J129" i="55"/>
  <c r="P132" i="55"/>
  <c r="C83" i="55"/>
  <c r="H99" i="55"/>
  <c r="H103" i="55"/>
  <c r="C105" i="55"/>
  <c r="C108" i="55"/>
  <c r="H115" i="55"/>
  <c r="AC76" i="55" l="1"/>
  <c r="J119" i="55"/>
  <c r="K119" i="55"/>
  <c r="K105" i="55"/>
  <c r="AC105" i="55" s="1"/>
  <c r="J105" i="55"/>
  <c r="V11" i="55"/>
  <c r="H11" i="55"/>
  <c r="K103" i="55"/>
  <c r="J103" i="55"/>
  <c r="AC74" i="55"/>
  <c r="AB74" i="55" s="1"/>
  <c r="X90" i="55"/>
  <c r="X57" i="55"/>
  <c r="V8" i="55"/>
  <c r="H8" i="55"/>
  <c r="AB57" i="55"/>
  <c r="K99" i="55"/>
  <c r="J99" i="55"/>
  <c r="AA128" i="55"/>
  <c r="AB128" i="55" s="1"/>
  <c r="AC75" i="55"/>
  <c r="Z139" i="55"/>
  <c r="U137" i="55"/>
  <c r="X140" i="55" s="1"/>
  <c r="AA6" i="55"/>
  <c r="K116" i="55"/>
  <c r="AC116" i="55" s="1"/>
  <c r="J116" i="55"/>
  <c r="AC78" i="55"/>
  <c r="X78" i="55"/>
  <c r="X142" i="55"/>
  <c r="W139" i="55"/>
  <c r="AB123" i="55"/>
  <c r="AC104" i="55"/>
  <c r="K37" i="55"/>
  <c r="J37" i="55"/>
  <c r="C137" i="55"/>
  <c r="V6" i="55"/>
  <c r="V137" i="55" s="1"/>
  <c r="H6" i="55"/>
  <c r="K45" i="55"/>
  <c r="J45" i="55"/>
  <c r="H83" i="55"/>
  <c r="V83" i="55"/>
  <c r="AB90" i="55"/>
  <c r="K94" i="55"/>
  <c r="J94" i="55"/>
  <c r="V31" i="55"/>
  <c r="H31" i="55"/>
  <c r="K16" i="55"/>
  <c r="J16" i="55"/>
  <c r="K86" i="55"/>
  <c r="J86" i="55"/>
  <c r="AB70" i="55"/>
  <c r="K29" i="55"/>
  <c r="J29" i="55"/>
  <c r="K115" i="55"/>
  <c r="J115" i="55"/>
  <c r="K108" i="55"/>
  <c r="J108" i="55"/>
  <c r="K66" i="55"/>
  <c r="J66" i="55"/>
  <c r="K30" i="55"/>
  <c r="AC30" i="55" s="1"/>
  <c r="J30" i="55"/>
  <c r="K27" i="55"/>
  <c r="J27" i="55"/>
  <c r="AB78" i="55"/>
  <c r="AB132" i="55"/>
  <c r="K63" i="55"/>
  <c r="J63" i="55"/>
  <c r="X74" i="55"/>
  <c r="AC63" i="55" l="1"/>
  <c r="AB61" i="55" s="1"/>
  <c r="X61" i="55"/>
  <c r="AC66" i="55"/>
  <c r="AB66" i="55"/>
  <c r="X66" i="55"/>
  <c r="K6" i="55"/>
  <c r="J6" i="55"/>
  <c r="AC119" i="55"/>
  <c r="AB119" i="55" s="1"/>
  <c r="X119" i="55"/>
  <c r="AC108" i="55"/>
  <c r="AB107" i="55"/>
  <c r="X107" i="55"/>
  <c r="AC94" i="55"/>
  <c r="AB94" i="55" s="1"/>
  <c r="X94" i="55"/>
  <c r="AA137" i="55"/>
  <c r="AC86" i="55"/>
  <c r="X86" i="55"/>
  <c r="AB86" i="55"/>
  <c r="AC99" i="55"/>
  <c r="AB98" i="55" s="1"/>
  <c r="X98" i="55"/>
  <c r="AC27" i="55"/>
  <c r="AB25" i="55" s="1"/>
  <c r="X25" i="55"/>
  <c r="AC115" i="55"/>
  <c r="AB115" i="55" s="1"/>
  <c r="X115" i="55"/>
  <c r="AC103" i="55"/>
  <c r="AB102" i="55"/>
  <c r="X102" i="55"/>
  <c r="AC16" i="55"/>
  <c r="AB16" i="55"/>
  <c r="X16" i="55"/>
  <c r="K83" i="55"/>
  <c r="J83" i="55"/>
  <c r="AC37" i="55"/>
  <c r="AB37" i="55"/>
  <c r="X37" i="55"/>
  <c r="K11" i="55"/>
  <c r="J11" i="55"/>
  <c r="J31" i="55"/>
  <c r="K31" i="55"/>
  <c r="AC31" i="55" s="1"/>
  <c r="J8" i="55"/>
  <c r="K8" i="55"/>
  <c r="AC8" i="55" s="1"/>
  <c r="AC29" i="55"/>
  <c r="AB29" i="55" s="1"/>
  <c r="X29" i="55"/>
  <c r="AC45" i="55"/>
  <c r="AB45" i="55" s="1"/>
  <c r="X45" i="55"/>
  <c r="AC11" i="55" l="1"/>
  <c r="AB11" i="55" s="1"/>
  <c r="X11" i="55"/>
  <c r="K137" i="55"/>
  <c r="AC6" i="55"/>
  <c r="AC137" i="55" s="1"/>
  <c r="AC138" i="55" s="1"/>
  <c r="X147" i="55" s="1"/>
  <c r="X6" i="55"/>
  <c r="AC83" i="55"/>
  <c r="X82" i="55"/>
  <c r="AB82" i="55"/>
  <c r="AB6" i="55"/>
  <c r="AB137" i="55" l="1"/>
  <c r="AB138" i="55" s="1"/>
  <c r="X149" i="55" s="1"/>
  <c r="Y138" i="55"/>
  <c r="X145" i="55" s="1"/>
  <c r="Z138" i="55"/>
  <c r="X146" i="55" s="1"/>
  <c r="X137" i="55"/>
  <c r="V138" i="55"/>
  <c r="AA138" i="55"/>
  <c r="X148" i="55" s="1"/>
  <c r="K57" i="33"/>
  <c r="J57" i="33"/>
  <c r="K56" i="33"/>
  <c r="J56" i="33"/>
  <c r="E53" i="33"/>
  <c r="D53" i="33"/>
  <c r="C53" i="33"/>
  <c r="E52" i="33"/>
  <c r="D52" i="33"/>
  <c r="C52" i="33"/>
  <c r="J51" i="33"/>
  <c r="I51" i="33"/>
  <c r="E51" i="33"/>
  <c r="D51" i="33"/>
  <c r="C51" i="33"/>
  <c r="J50" i="33"/>
  <c r="I50" i="33"/>
  <c r="E50" i="33"/>
  <c r="D50" i="33"/>
  <c r="C50" i="33"/>
  <c r="J49" i="33"/>
  <c r="E49" i="33"/>
  <c r="D49" i="33"/>
  <c r="C49" i="33"/>
  <c r="E48" i="33"/>
  <c r="D48" i="33"/>
  <c r="C48" i="33"/>
  <c r="E47" i="33"/>
  <c r="D47" i="33"/>
  <c r="C47" i="33"/>
  <c r="E46" i="33"/>
  <c r="D46" i="33"/>
  <c r="C46" i="33"/>
  <c r="J45" i="33"/>
  <c r="I45" i="33"/>
  <c r="E45" i="33"/>
  <c r="D45" i="33"/>
  <c r="C45" i="33"/>
  <c r="J44" i="33"/>
  <c r="I44" i="33"/>
  <c r="E44" i="33"/>
  <c r="D44" i="33"/>
  <c r="C44" i="33"/>
  <c r="J43" i="33"/>
  <c r="I43" i="33"/>
  <c r="E43" i="33"/>
  <c r="D43" i="33"/>
  <c r="C43" i="33"/>
  <c r="G42" i="33"/>
  <c r="F42" i="33"/>
  <c r="E42" i="33"/>
  <c r="D42" i="33"/>
  <c r="C42" i="33"/>
  <c r="J41" i="33"/>
  <c r="E41" i="33"/>
  <c r="D41" i="33"/>
  <c r="C41" i="33"/>
  <c r="J40" i="33"/>
  <c r="I40" i="33"/>
  <c r="E40" i="33"/>
  <c r="D40" i="33"/>
  <c r="C40" i="33"/>
  <c r="L39" i="33"/>
  <c r="J39" i="33"/>
  <c r="E39" i="33"/>
  <c r="D39" i="33"/>
  <c r="C39" i="33"/>
  <c r="L38" i="33"/>
  <c r="J38" i="33"/>
  <c r="I38" i="33"/>
  <c r="E38" i="33"/>
  <c r="D38" i="33"/>
  <c r="C38" i="33"/>
  <c r="L37" i="33"/>
  <c r="J37" i="33"/>
  <c r="I37" i="33"/>
  <c r="E35" i="33"/>
  <c r="D35" i="33"/>
  <c r="C35" i="33"/>
  <c r="M34" i="33"/>
  <c r="L34" i="33"/>
  <c r="K34" i="33"/>
  <c r="F34" i="33"/>
  <c r="E34" i="33"/>
  <c r="D34" i="33"/>
  <c r="C34" i="33"/>
  <c r="E33" i="33"/>
  <c r="D33" i="33"/>
  <c r="C33" i="33"/>
  <c r="M32" i="33"/>
  <c r="F32" i="33"/>
  <c r="E32" i="33"/>
  <c r="D32" i="33"/>
  <c r="C32" i="33"/>
  <c r="M31" i="33"/>
  <c r="M30" i="33"/>
  <c r="M29" i="33"/>
  <c r="M28" i="33"/>
  <c r="M27" i="33"/>
  <c r="O26" i="33"/>
  <c r="M26" i="33"/>
  <c r="M25" i="33"/>
  <c r="M24" i="33"/>
  <c r="E24" i="33"/>
  <c r="D24" i="33"/>
  <c r="C24" i="33"/>
  <c r="M23" i="33"/>
  <c r="F23" i="33"/>
  <c r="E23" i="33"/>
  <c r="D23" i="33"/>
  <c r="C23" i="33"/>
  <c r="M22" i="33"/>
  <c r="M21" i="33"/>
  <c r="M20" i="33"/>
  <c r="M19" i="33"/>
  <c r="R18" i="33"/>
  <c r="Q18" i="33"/>
  <c r="M18" i="33"/>
  <c r="R17" i="33"/>
  <c r="Q17" i="33"/>
  <c r="P17" i="33"/>
  <c r="M17" i="33"/>
  <c r="R16" i="33"/>
  <c r="Q16" i="33"/>
  <c r="P16" i="33"/>
  <c r="O16" i="33"/>
  <c r="M16" i="33"/>
  <c r="R15" i="33"/>
  <c r="Q15" i="33"/>
  <c r="P15" i="33"/>
  <c r="O15" i="33"/>
  <c r="M15" i="33"/>
  <c r="E15" i="33"/>
  <c r="D15" i="33"/>
  <c r="C15" i="33"/>
  <c r="M14" i="33"/>
  <c r="F14" i="33"/>
  <c r="E14" i="33"/>
  <c r="D14" i="33"/>
  <c r="C14" i="33"/>
  <c r="M13" i="33"/>
  <c r="M12" i="33"/>
  <c r="R11" i="33"/>
  <c r="Q11" i="33"/>
  <c r="M11" i="33"/>
  <c r="R10" i="33"/>
  <c r="Q10" i="33"/>
  <c r="P10" i="33"/>
  <c r="M10" i="33"/>
  <c r="K10" i="33"/>
  <c r="R9" i="33"/>
  <c r="Q9" i="33"/>
  <c r="P9" i="33"/>
  <c r="O9" i="33"/>
  <c r="M9" i="33"/>
  <c r="K9" i="33"/>
  <c r="R8" i="33"/>
  <c r="Q8" i="33"/>
  <c r="P8" i="33"/>
  <c r="O8" i="33"/>
  <c r="M8" i="33"/>
  <c r="K8" i="33"/>
  <c r="M7" i="33"/>
  <c r="K7" i="33"/>
  <c r="N6" i="33"/>
  <c r="K57" i="32"/>
  <c r="J57" i="32"/>
  <c r="K56" i="32"/>
  <c r="J56" i="32"/>
  <c r="E53" i="32"/>
  <c r="D53" i="32"/>
  <c r="C53" i="32"/>
  <c r="E52" i="32"/>
  <c r="D52" i="32"/>
  <c r="C52" i="32"/>
  <c r="J51" i="32"/>
  <c r="I51" i="32"/>
  <c r="E51" i="32"/>
  <c r="D51" i="32"/>
  <c r="C51" i="32"/>
  <c r="J50" i="32"/>
  <c r="E50" i="32"/>
  <c r="D50" i="32"/>
  <c r="C50" i="32"/>
  <c r="J49" i="32"/>
  <c r="E49" i="32"/>
  <c r="D49" i="32"/>
  <c r="C49" i="32"/>
  <c r="E48" i="32"/>
  <c r="D48" i="32"/>
  <c r="C48" i="32"/>
  <c r="E47" i="32"/>
  <c r="D47" i="32"/>
  <c r="C47" i="32"/>
  <c r="E46" i="32"/>
  <c r="D46" i="32"/>
  <c r="C46" i="32"/>
  <c r="J45" i="32"/>
  <c r="I45" i="32"/>
  <c r="E45" i="32"/>
  <c r="D45" i="32"/>
  <c r="C45" i="32"/>
  <c r="J44" i="32"/>
  <c r="I44" i="32"/>
  <c r="E44" i="32"/>
  <c r="D44" i="32"/>
  <c r="C44" i="32"/>
  <c r="J43" i="32"/>
  <c r="I43" i="32"/>
  <c r="E43" i="32"/>
  <c r="D43" i="32"/>
  <c r="C43" i="32"/>
  <c r="G42" i="32"/>
  <c r="F42" i="32"/>
  <c r="E42" i="32"/>
  <c r="D42" i="32"/>
  <c r="C42" i="32"/>
  <c r="J41" i="32"/>
  <c r="E41" i="32"/>
  <c r="D41" i="32"/>
  <c r="C41" i="32"/>
  <c r="J40" i="32"/>
  <c r="I40" i="32"/>
  <c r="G40" i="32"/>
  <c r="E40" i="32"/>
  <c r="D40" i="32"/>
  <c r="C40" i="32"/>
  <c r="J39" i="32"/>
  <c r="G39" i="32"/>
  <c r="E39" i="32"/>
  <c r="D39" i="32"/>
  <c r="C39" i="32"/>
  <c r="J38" i="32"/>
  <c r="I38" i="32"/>
  <c r="G38" i="32"/>
  <c r="E38" i="32"/>
  <c r="D38" i="32"/>
  <c r="C38" i="32"/>
  <c r="J37" i="32"/>
  <c r="I37" i="32"/>
  <c r="E35" i="32"/>
  <c r="D35" i="32"/>
  <c r="C35" i="32"/>
  <c r="M34" i="32"/>
  <c r="L34" i="32"/>
  <c r="K34" i="32"/>
  <c r="F34" i="32"/>
  <c r="E34" i="32"/>
  <c r="D34" i="32"/>
  <c r="C34" i="32"/>
  <c r="E33" i="32"/>
  <c r="D33" i="32"/>
  <c r="C33" i="32"/>
  <c r="M32" i="32"/>
  <c r="J32" i="32"/>
  <c r="F32" i="32"/>
  <c r="E32" i="32"/>
  <c r="D32" i="32"/>
  <c r="C32" i="32"/>
  <c r="M31" i="32"/>
  <c r="J31" i="32"/>
  <c r="M30" i="32"/>
  <c r="J30" i="32"/>
  <c r="M29" i="32"/>
  <c r="J29" i="32"/>
  <c r="M28" i="32"/>
  <c r="J28" i="32"/>
  <c r="M27" i="32"/>
  <c r="J27" i="32"/>
  <c r="M26" i="32"/>
  <c r="J26" i="32"/>
  <c r="M25" i="32"/>
  <c r="J25" i="32"/>
  <c r="M24" i="32"/>
  <c r="J24" i="32"/>
  <c r="E24" i="32"/>
  <c r="D24" i="32"/>
  <c r="C24" i="32"/>
  <c r="M23" i="32"/>
  <c r="J23" i="32"/>
  <c r="F23" i="32"/>
  <c r="E23" i="32"/>
  <c r="D23" i="32"/>
  <c r="C23" i="32"/>
  <c r="M22" i="32"/>
  <c r="J22" i="32"/>
  <c r="M21" i="32"/>
  <c r="J21" i="32"/>
  <c r="M20" i="32"/>
  <c r="J20" i="32"/>
  <c r="M19" i="32"/>
  <c r="J19" i="32"/>
  <c r="M18" i="32"/>
  <c r="J18" i="32"/>
  <c r="M17" i="32"/>
  <c r="J17" i="32"/>
  <c r="M16" i="32"/>
  <c r="J16" i="32"/>
  <c r="M15" i="32"/>
  <c r="J15" i="32"/>
  <c r="E15" i="32"/>
  <c r="D15" i="32"/>
  <c r="C15" i="32"/>
  <c r="M14" i="32"/>
  <c r="J14" i="32"/>
  <c r="F14" i="32"/>
  <c r="E14" i="32"/>
  <c r="D14" i="32"/>
  <c r="C14" i="32"/>
  <c r="M13" i="32"/>
  <c r="J13" i="32"/>
  <c r="M12" i="32"/>
  <c r="J12" i="32"/>
  <c r="M11" i="32"/>
  <c r="J11" i="32"/>
  <c r="M10" i="32"/>
  <c r="J10" i="32"/>
  <c r="M9" i="32"/>
  <c r="K9" i="32"/>
  <c r="J9" i="32"/>
  <c r="O8" i="32"/>
  <c r="M8" i="32"/>
  <c r="J8" i="32"/>
  <c r="M7" i="32"/>
  <c r="J7" i="32"/>
  <c r="N6" i="32"/>
  <c r="H4" i="32"/>
  <c r="K57" i="31"/>
  <c r="J57" i="31"/>
  <c r="K56" i="31"/>
  <c r="J56" i="31"/>
  <c r="E53" i="31"/>
  <c r="D53" i="31"/>
  <c r="C53" i="31"/>
  <c r="E52" i="31"/>
  <c r="D52" i="31"/>
  <c r="C52" i="31"/>
  <c r="J51" i="31"/>
  <c r="I51" i="31"/>
  <c r="E51" i="31"/>
  <c r="D51" i="31"/>
  <c r="C51" i="31"/>
  <c r="J50" i="31"/>
  <c r="I50" i="31"/>
  <c r="E50" i="31"/>
  <c r="D50" i="31"/>
  <c r="C50" i="31"/>
  <c r="J49" i="31"/>
  <c r="E49" i="31"/>
  <c r="D49" i="31"/>
  <c r="C49" i="31"/>
  <c r="E48" i="31"/>
  <c r="D48" i="31"/>
  <c r="C48" i="31"/>
  <c r="E47" i="31"/>
  <c r="D47" i="31"/>
  <c r="C47" i="31"/>
  <c r="E46" i="31"/>
  <c r="D46" i="31"/>
  <c r="C46" i="31"/>
  <c r="J45" i="31"/>
  <c r="I45" i="31"/>
  <c r="E45" i="31"/>
  <c r="D45" i="31"/>
  <c r="C45" i="31"/>
  <c r="J44" i="31"/>
  <c r="I44" i="31"/>
  <c r="E44" i="31"/>
  <c r="D44" i="31"/>
  <c r="C44" i="31"/>
  <c r="J43" i="31"/>
  <c r="I43" i="31"/>
  <c r="E43" i="31"/>
  <c r="D43" i="31"/>
  <c r="C43" i="31"/>
  <c r="G42" i="31"/>
  <c r="F42" i="31"/>
  <c r="E42" i="31"/>
  <c r="D42" i="31"/>
  <c r="C42" i="31"/>
  <c r="J41" i="31"/>
  <c r="E41" i="31"/>
  <c r="D41" i="31"/>
  <c r="C41" i="31"/>
  <c r="J40" i="31"/>
  <c r="I40" i="31"/>
  <c r="G40" i="31"/>
  <c r="E40" i="31"/>
  <c r="D40" i="31"/>
  <c r="C40" i="31"/>
  <c r="J39" i="31"/>
  <c r="G39" i="31"/>
  <c r="E39" i="31"/>
  <c r="D39" i="31"/>
  <c r="C39" i="31"/>
  <c r="J38" i="31"/>
  <c r="I38" i="31"/>
  <c r="G38" i="31"/>
  <c r="E38" i="31"/>
  <c r="D38" i="31"/>
  <c r="C38" i="31"/>
  <c r="J37" i="31"/>
  <c r="I37" i="31"/>
  <c r="E35" i="31"/>
  <c r="D35" i="31"/>
  <c r="C35" i="31"/>
  <c r="M34" i="31"/>
  <c r="L34" i="31"/>
  <c r="K34" i="31"/>
  <c r="F34" i="31"/>
  <c r="E34" i="31"/>
  <c r="D34" i="31"/>
  <c r="C34" i="31"/>
  <c r="E33" i="31"/>
  <c r="D33" i="31"/>
  <c r="C33" i="31"/>
  <c r="M32" i="31"/>
  <c r="J32" i="31"/>
  <c r="F32" i="31"/>
  <c r="E32" i="31"/>
  <c r="D32" i="31"/>
  <c r="C32" i="31"/>
  <c r="M31" i="31"/>
  <c r="J31" i="31"/>
  <c r="M30" i="31"/>
  <c r="J30" i="31"/>
  <c r="M29" i="31"/>
  <c r="J29" i="31"/>
  <c r="M28" i="31"/>
  <c r="J28" i="31"/>
  <c r="M27" i="31"/>
  <c r="J27" i="31"/>
  <c r="M26" i="31"/>
  <c r="J26" i="31"/>
  <c r="M25" i="31"/>
  <c r="J25" i="31"/>
  <c r="M24" i="31"/>
  <c r="J24" i="31"/>
  <c r="E24" i="31"/>
  <c r="D24" i="31"/>
  <c r="C24" i="31"/>
  <c r="M23" i="31"/>
  <c r="J23" i="31"/>
  <c r="F23" i="31"/>
  <c r="E23" i="31"/>
  <c r="D23" i="31"/>
  <c r="C23" i="31"/>
  <c r="M22" i="31"/>
  <c r="J22" i="31"/>
  <c r="M21" i="31"/>
  <c r="J21" i="31"/>
  <c r="M20" i="31"/>
  <c r="J20" i="31"/>
  <c r="M19" i="31"/>
  <c r="J19" i="31"/>
  <c r="M18" i="31"/>
  <c r="J18" i="31"/>
  <c r="M17" i="31"/>
  <c r="J17" i="31"/>
  <c r="M16" i="31"/>
  <c r="J16" i="31"/>
  <c r="M15" i="31"/>
  <c r="J15" i="31"/>
  <c r="E15" i="31"/>
  <c r="D15" i="31"/>
  <c r="C15" i="31"/>
  <c r="M14" i="31"/>
  <c r="J14" i="31"/>
  <c r="F14" i="31"/>
  <c r="E14" i="31"/>
  <c r="D14" i="31"/>
  <c r="C14" i="31"/>
  <c r="M13" i="31"/>
  <c r="J13" i="31"/>
  <c r="M12" i="31"/>
  <c r="J12" i="31"/>
  <c r="M11" i="31"/>
  <c r="J11" i="31"/>
  <c r="M10" i="31"/>
  <c r="J10" i="31"/>
  <c r="M9" i="31"/>
  <c r="K9" i="31"/>
  <c r="J9" i="31"/>
  <c r="O8" i="31"/>
  <c r="M8" i="31"/>
  <c r="J8" i="31"/>
  <c r="M7" i="31"/>
  <c r="J7" i="31"/>
  <c r="N6" i="31"/>
  <c r="H4" i="31"/>
  <c r="K57" i="30"/>
  <c r="K56" i="30"/>
  <c r="J56" i="30"/>
  <c r="E53" i="30"/>
  <c r="D53" i="30"/>
  <c r="C53" i="30"/>
  <c r="E52" i="30"/>
  <c r="D52" i="30"/>
  <c r="C52" i="30"/>
  <c r="J51" i="30"/>
  <c r="I51" i="30"/>
  <c r="E51" i="30"/>
  <c r="D51" i="30"/>
  <c r="C51" i="30"/>
  <c r="J50" i="30"/>
  <c r="I50" i="30"/>
  <c r="E50" i="30"/>
  <c r="D50" i="30"/>
  <c r="C50" i="30"/>
  <c r="J49" i="30"/>
  <c r="E49" i="30"/>
  <c r="D49" i="30"/>
  <c r="C49" i="30"/>
  <c r="E48" i="30"/>
  <c r="D48" i="30"/>
  <c r="C48" i="30"/>
  <c r="E47" i="30"/>
  <c r="D47" i="30"/>
  <c r="C47" i="30"/>
  <c r="E46" i="30"/>
  <c r="D46" i="30"/>
  <c r="C46" i="30"/>
  <c r="J45" i="30"/>
  <c r="I45" i="30"/>
  <c r="E45" i="30"/>
  <c r="D45" i="30"/>
  <c r="C45" i="30"/>
  <c r="J44" i="30"/>
  <c r="I44" i="30"/>
  <c r="E44" i="30"/>
  <c r="D44" i="30"/>
  <c r="C44" i="30"/>
  <c r="J43" i="30"/>
  <c r="I43" i="30"/>
  <c r="E43" i="30"/>
  <c r="D43" i="30"/>
  <c r="C43" i="30"/>
  <c r="G42" i="30"/>
  <c r="F42" i="30"/>
  <c r="E42" i="30"/>
  <c r="D42" i="30"/>
  <c r="C42" i="30"/>
  <c r="J41" i="30"/>
  <c r="E41" i="30"/>
  <c r="D41" i="30"/>
  <c r="C41" i="30"/>
  <c r="J40" i="30"/>
  <c r="I40" i="30"/>
  <c r="G40" i="30"/>
  <c r="E40" i="30"/>
  <c r="D40" i="30"/>
  <c r="C40" i="30"/>
  <c r="J39" i="30"/>
  <c r="G39" i="30"/>
  <c r="E39" i="30"/>
  <c r="D39" i="30"/>
  <c r="C39" i="30"/>
  <c r="J38" i="30"/>
  <c r="I38" i="30"/>
  <c r="G38" i="30"/>
  <c r="E38" i="30"/>
  <c r="D38" i="30"/>
  <c r="C38" i="30"/>
  <c r="J37" i="30"/>
  <c r="I37" i="30"/>
  <c r="E35" i="30"/>
  <c r="D35" i="30"/>
  <c r="C35" i="30"/>
  <c r="M34" i="30"/>
  <c r="L34" i="30"/>
  <c r="K34" i="30"/>
  <c r="F34" i="30"/>
  <c r="E34" i="30"/>
  <c r="D34" i="30"/>
  <c r="C34" i="30"/>
  <c r="E33" i="30"/>
  <c r="D33" i="30"/>
  <c r="C33" i="30"/>
  <c r="J32" i="30"/>
  <c r="F32" i="30"/>
  <c r="E32" i="30"/>
  <c r="D32" i="30"/>
  <c r="C32" i="30"/>
  <c r="M31" i="30"/>
  <c r="J31" i="30"/>
  <c r="M30" i="30"/>
  <c r="J30" i="30"/>
  <c r="M29" i="30"/>
  <c r="J29" i="30"/>
  <c r="M28" i="30"/>
  <c r="J28" i="30"/>
  <c r="M27" i="30"/>
  <c r="J27" i="30"/>
  <c r="M26" i="30"/>
  <c r="J26" i="30"/>
  <c r="M25" i="30"/>
  <c r="J25" i="30"/>
  <c r="M24" i="30"/>
  <c r="J24" i="30"/>
  <c r="E24" i="30"/>
  <c r="D24" i="30"/>
  <c r="C24" i="30"/>
  <c r="M23" i="30"/>
  <c r="J23" i="30"/>
  <c r="F23" i="30"/>
  <c r="E23" i="30"/>
  <c r="D23" i="30"/>
  <c r="C23" i="30"/>
  <c r="M22" i="30"/>
  <c r="J22" i="30"/>
  <c r="M21" i="30"/>
  <c r="J21" i="30"/>
  <c r="M20" i="30"/>
  <c r="J20" i="30"/>
  <c r="M19" i="30"/>
  <c r="J19" i="30"/>
  <c r="M18" i="30"/>
  <c r="J18" i="30"/>
  <c r="M17" i="30"/>
  <c r="J17" i="30"/>
  <c r="M16" i="30"/>
  <c r="J16" i="30"/>
  <c r="M15" i="30"/>
  <c r="J15" i="30"/>
  <c r="E15" i="30"/>
  <c r="D15" i="30"/>
  <c r="C15" i="30"/>
  <c r="M14" i="30"/>
  <c r="J14" i="30"/>
  <c r="F14" i="30"/>
  <c r="E14" i="30"/>
  <c r="D14" i="30"/>
  <c r="C14" i="30"/>
  <c r="M13" i="30"/>
  <c r="J13" i="30"/>
  <c r="M12" i="30"/>
  <c r="J12" i="30"/>
  <c r="M11" i="30"/>
  <c r="J11" i="30"/>
  <c r="M10" i="30"/>
  <c r="J10" i="30"/>
  <c r="M9" i="30"/>
  <c r="K9" i="30"/>
  <c r="J9" i="30"/>
  <c r="O8" i="30"/>
  <c r="M8" i="30"/>
  <c r="J8" i="30"/>
  <c r="M7" i="30"/>
  <c r="J7" i="30"/>
  <c r="N6" i="30"/>
  <c r="K57" i="29"/>
  <c r="K56" i="29"/>
  <c r="J56" i="29"/>
  <c r="E53" i="29"/>
  <c r="D53" i="29"/>
  <c r="C53" i="29"/>
  <c r="E52" i="29"/>
  <c r="D52" i="29"/>
  <c r="C52" i="29"/>
  <c r="J51" i="29"/>
  <c r="I51" i="29"/>
  <c r="E51" i="29"/>
  <c r="D51" i="29"/>
  <c r="C51" i="29"/>
  <c r="J50" i="29"/>
  <c r="I50" i="29"/>
  <c r="E50" i="29"/>
  <c r="D50" i="29"/>
  <c r="C50" i="29"/>
  <c r="J49" i="29"/>
  <c r="E49" i="29"/>
  <c r="D49" i="29"/>
  <c r="C49" i="29"/>
  <c r="E48" i="29"/>
  <c r="D48" i="29"/>
  <c r="C48" i="29"/>
  <c r="E47" i="29"/>
  <c r="D47" i="29"/>
  <c r="C47" i="29"/>
  <c r="E46" i="29"/>
  <c r="D46" i="29"/>
  <c r="C46" i="29"/>
  <c r="J45" i="29"/>
  <c r="I45" i="29"/>
  <c r="E45" i="29"/>
  <c r="D45" i="29"/>
  <c r="C45" i="29"/>
  <c r="J44" i="29"/>
  <c r="I44" i="29"/>
  <c r="E44" i="29"/>
  <c r="D44" i="29"/>
  <c r="C44" i="29"/>
  <c r="J43" i="29"/>
  <c r="I43" i="29"/>
  <c r="E43" i="29"/>
  <c r="D43" i="29"/>
  <c r="C43" i="29"/>
  <c r="G42" i="29"/>
  <c r="F42" i="29"/>
  <c r="E42" i="29"/>
  <c r="D42" i="29"/>
  <c r="C42" i="29"/>
  <c r="J41" i="29"/>
  <c r="E41" i="29"/>
  <c r="D41" i="29"/>
  <c r="C41" i="29"/>
  <c r="J40" i="29"/>
  <c r="I40" i="29"/>
  <c r="G40" i="29"/>
  <c r="E40" i="29"/>
  <c r="D40" i="29"/>
  <c r="C40" i="29"/>
  <c r="L39" i="29"/>
  <c r="J39" i="29"/>
  <c r="E39" i="29"/>
  <c r="D39" i="29"/>
  <c r="C39" i="29"/>
  <c r="L38" i="29"/>
  <c r="J38" i="29"/>
  <c r="I38" i="29"/>
  <c r="E38" i="29"/>
  <c r="D38" i="29"/>
  <c r="C38" i="29"/>
  <c r="L37" i="29"/>
  <c r="J37" i="29"/>
  <c r="I37" i="29"/>
  <c r="E35" i="29"/>
  <c r="D35" i="29"/>
  <c r="C35" i="29"/>
  <c r="M34" i="29"/>
  <c r="L34" i="29"/>
  <c r="K34" i="29"/>
  <c r="F34" i="29"/>
  <c r="E34" i="29"/>
  <c r="D34" i="29"/>
  <c r="C34" i="29"/>
  <c r="E33" i="29"/>
  <c r="D33" i="29"/>
  <c r="C33" i="29"/>
  <c r="J32" i="29"/>
  <c r="F32" i="29"/>
  <c r="E32" i="29"/>
  <c r="D32" i="29"/>
  <c r="C32" i="29"/>
  <c r="M31" i="29"/>
  <c r="J31" i="29"/>
  <c r="M30" i="29"/>
  <c r="J30" i="29"/>
  <c r="R29" i="29"/>
  <c r="Q29" i="29"/>
  <c r="M29" i="29"/>
  <c r="J29" i="29"/>
  <c r="R28" i="29"/>
  <c r="Q28" i="29"/>
  <c r="P28" i="29"/>
  <c r="M28" i="29"/>
  <c r="J28" i="29"/>
  <c r="R27" i="29"/>
  <c r="Q27" i="29"/>
  <c r="O27" i="29"/>
  <c r="M27" i="29"/>
  <c r="J27" i="29"/>
  <c r="R26" i="29"/>
  <c r="Q26" i="29"/>
  <c r="P26" i="29"/>
  <c r="O26" i="29"/>
  <c r="M26" i="29"/>
  <c r="J26" i="29"/>
  <c r="C26" i="29"/>
  <c r="M25" i="29"/>
  <c r="J25" i="29"/>
  <c r="M24" i="29"/>
  <c r="J24" i="29"/>
  <c r="E24" i="29"/>
  <c r="D24" i="29"/>
  <c r="C24" i="29"/>
  <c r="M23" i="29"/>
  <c r="J23" i="29"/>
  <c r="F23" i="29"/>
  <c r="E23" i="29"/>
  <c r="D23" i="29"/>
  <c r="C23" i="29"/>
  <c r="M22" i="29"/>
  <c r="J22" i="29"/>
  <c r="M21" i="29"/>
  <c r="J21" i="29"/>
  <c r="M20" i="29"/>
  <c r="J20" i="29"/>
  <c r="R19" i="29"/>
  <c r="Q19" i="29"/>
  <c r="M19" i="29"/>
  <c r="J19" i="29"/>
  <c r="R18" i="29"/>
  <c r="Q18" i="29"/>
  <c r="P18" i="29"/>
  <c r="M18" i="29"/>
  <c r="J18" i="29"/>
  <c r="R17" i="29"/>
  <c r="Q17" i="29"/>
  <c r="P17" i="29"/>
  <c r="O17" i="29"/>
  <c r="M17" i="29"/>
  <c r="J17" i="29"/>
  <c r="R16" i="29"/>
  <c r="Q16" i="29"/>
  <c r="O16" i="29"/>
  <c r="M16" i="29"/>
  <c r="J16" i="29"/>
  <c r="M15" i="29"/>
  <c r="J15" i="29"/>
  <c r="E15" i="29"/>
  <c r="D15" i="29"/>
  <c r="C15" i="29"/>
  <c r="M14" i="29"/>
  <c r="J14" i="29"/>
  <c r="F14" i="29"/>
  <c r="E14" i="29"/>
  <c r="D14" i="29"/>
  <c r="C14" i="29"/>
  <c r="M13" i="29"/>
  <c r="J13" i="29"/>
  <c r="M12" i="29"/>
  <c r="J12" i="29"/>
  <c r="R11" i="29"/>
  <c r="Q11" i="29"/>
  <c r="M11" i="29"/>
  <c r="K11" i="29"/>
  <c r="R10" i="29"/>
  <c r="Q10" i="29"/>
  <c r="P10" i="29"/>
  <c r="M10" i="29"/>
  <c r="J10" i="29"/>
  <c r="R9" i="29"/>
  <c r="Q9" i="29"/>
  <c r="O9" i="29"/>
  <c r="M9" i="29"/>
  <c r="K9" i="29"/>
  <c r="J9" i="29"/>
  <c r="R8" i="29"/>
  <c r="Q8" i="29"/>
  <c r="O8" i="29"/>
  <c r="M8" i="29"/>
  <c r="K8" i="29"/>
  <c r="J8" i="29"/>
  <c r="M7" i="29"/>
  <c r="J7" i="29"/>
  <c r="N6" i="29"/>
  <c r="K57" i="27"/>
  <c r="J57" i="27"/>
  <c r="K56" i="27"/>
  <c r="J56" i="27"/>
  <c r="E53" i="27"/>
  <c r="D53" i="27"/>
  <c r="C53" i="27"/>
  <c r="E52" i="27"/>
  <c r="D52" i="27"/>
  <c r="C52" i="27"/>
  <c r="J51" i="27"/>
  <c r="I51" i="27"/>
  <c r="E51" i="27"/>
  <c r="D51" i="27"/>
  <c r="C51" i="27"/>
  <c r="J50" i="27"/>
  <c r="I50" i="27"/>
  <c r="E50" i="27"/>
  <c r="D50" i="27"/>
  <c r="C50" i="27"/>
  <c r="J49" i="27"/>
  <c r="E49" i="27"/>
  <c r="D49" i="27"/>
  <c r="C49" i="27"/>
  <c r="E48" i="27"/>
  <c r="D48" i="27"/>
  <c r="C48" i="27"/>
  <c r="E47" i="27"/>
  <c r="D47" i="27"/>
  <c r="C47" i="27"/>
  <c r="E46" i="27"/>
  <c r="D46" i="27"/>
  <c r="C46" i="27"/>
  <c r="J45" i="27"/>
  <c r="I45" i="27"/>
  <c r="E45" i="27"/>
  <c r="D45" i="27"/>
  <c r="C45" i="27"/>
  <c r="J44" i="27"/>
  <c r="I44" i="27"/>
  <c r="E44" i="27"/>
  <c r="D44" i="27"/>
  <c r="C44" i="27"/>
  <c r="J43" i="27"/>
  <c r="I43" i="27"/>
  <c r="E43" i="27"/>
  <c r="D43" i="27"/>
  <c r="C43" i="27"/>
  <c r="G42" i="27"/>
  <c r="F42" i="27"/>
  <c r="E42" i="27"/>
  <c r="D42" i="27"/>
  <c r="C42" i="27"/>
  <c r="J41" i="27"/>
  <c r="E41" i="27"/>
  <c r="D41" i="27"/>
  <c r="C41" i="27"/>
  <c r="J40" i="27"/>
  <c r="I40" i="27"/>
  <c r="E40" i="27"/>
  <c r="D40" i="27"/>
  <c r="C40" i="27"/>
  <c r="N39" i="27"/>
  <c r="J39" i="27"/>
  <c r="E39" i="27"/>
  <c r="D39" i="27"/>
  <c r="C39" i="27"/>
  <c r="J38" i="27"/>
  <c r="I38" i="27"/>
  <c r="E38" i="27"/>
  <c r="D38" i="27"/>
  <c r="C38" i="27"/>
  <c r="N37" i="27"/>
  <c r="J37" i="27"/>
  <c r="I37" i="27"/>
  <c r="E35" i="27"/>
  <c r="D35" i="27"/>
  <c r="C35" i="27"/>
  <c r="M34" i="27"/>
  <c r="L34" i="27"/>
  <c r="K34" i="27"/>
  <c r="F34" i="27"/>
  <c r="E34" i="27"/>
  <c r="D34" i="27"/>
  <c r="C34" i="27"/>
  <c r="E33" i="27"/>
  <c r="D33" i="27"/>
  <c r="C33" i="27"/>
  <c r="M32" i="27"/>
  <c r="J32" i="27"/>
  <c r="F32" i="27"/>
  <c r="E32" i="27"/>
  <c r="D32" i="27"/>
  <c r="C32" i="27"/>
  <c r="M31" i="27"/>
  <c r="J31" i="27"/>
  <c r="M30" i="27"/>
  <c r="J30" i="27"/>
  <c r="M29" i="27"/>
  <c r="J29" i="27"/>
  <c r="R28" i="27"/>
  <c r="Q28" i="27"/>
  <c r="M28" i="27"/>
  <c r="J28" i="27"/>
  <c r="R27" i="27"/>
  <c r="Q27" i="27"/>
  <c r="P27" i="27"/>
  <c r="M27" i="27"/>
  <c r="J27" i="27"/>
  <c r="R26" i="27"/>
  <c r="Q26" i="27"/>
  <c r="P26" i="27"/>
  <c r="O26" i="27"/>
  <c r="M26" i="27"/>
  <c r="J26" i="27"/>
  <c r="R25" i="27"/>
  <c r="Q25" i="27"/>
  <c r="P25" i="27"/>
  <c r="O25" i="27"/>
  <c r="M25" i="27"/>
  <c r="J25" i="27"/>
  <c r="M24" i="27"/>
  <c r="J24" i="27"/>
  <c r="E24" i="27"/>
  <c r="D24" i="27"/>
  <c r="C24" i="27"/>
  <c r="M23" i="27"/>
  <c r="J23" i="27"/>
  <c r="F23" i="27"/>
  <c r="E23" i="27"/>
  <c r="D23" i="27"/>
  <c r="C23" i="27"/>
  <c r="M22" i="27"/>
  <c r="J22" i="27"/>
  <c r="M21" i="27"/>
  <c r="J21" i="27"/>
  <c r="M20" i="27"/>
  <c r="J20" i="27"/>
  <c r="R19" i="27"/>
  <c r="Q19" i="27"/>
  <c r="M19" i="27"/>
  <c r="J19" i="27"/>
  <c r="R18" i="27"/>
  <c r="Q18" i="27"/>
  <c r="P18" i="27"/>
  <c r="M18" i="27"/>
  <c r="J18" i="27"/>
  <c r="R17" i="27"/>
  <c r="Q17" i="27"/>
  <c r="P17" i="27"/>
  <c r="O17" i="27"/>
  <c r="M17" i="27"/>
  <c r="J17" i="27"/>
  <c r="R16" i="27"/>
  <c r="Q16" i="27"/>
  <c r="P16" i="27"/>
  <c r="O16" i="27"/>
  <c r="M16" i="27"/>
  <c r="J16" i="27"/>
  <c r="M15" i="27"/>
  <c r="J15" i="27"/>
  <c r="E15" i="27"/>
  <c r="D15" i="27"/>
  <c r="C15" i="27"/>
  <c r="M14" i="27"/>
  <c r="J14" i="27"/>
  <c r="F14" i="27"/>
  <c r="E14" i="27"/>
  <c r="D14" i="27"/>
  <c r="C14" i="27"/>
  <c r="M13" i="27"/>
  <c r="J13" i="27"/>
  <c r="M12" i="27"/>
  <c r="K12" i="27"/>
  <c r="R11" i="27"/>
  <c r="Q11" i="27"/>
  <c r="M11" i="27"/>
  <c r="J11" i="27"/>
  <c r="AA10" i="27"/>
  <c r="Z10" i="27"/>
  <c r="R10" i="27"/>
  <c r="Q10" i="27"/>
  <c r="P10" i="27"/>
  <c r="M10" i="27"/>
  <c r="J10" i="27"/>
  <c r="AA9" i="27"/>
  <c r="Z9" i="27"/>
  <c r="Y9" i="27"/>
  <c r="R9" i="27"/>
  <c r="Q9" i="27"/>
  <c r="O9" i="27"/>
  <c r="M9" i="27"/>
  <c r="J9" i="27"/>
  <c r="AA8" i="27"/>
  <c r="Z8" i="27"/>
  <c r="X8" i="27"/>
  <c r="R8" i="27"/>
  <c r="Q8" i="27"/>
  <c r="O8" i="27"/>
  <c r="M8" i="27"/>
  <c r="K8" i="27"/>
  <c r="J8" i="27"/>
  <c r="AA7" i="27"/>
  <c r="Z7" i="27"/>
  <c r="Y7" i="27"/>
  <c r="X7" i="27"/>
  <c r="M7" i="27"/>
  <c r="K7" i="27"/>
  <c r="J7" i="27"/>
  <c r="AA6" i="27"/>
  <c r="Z6" i="27"/>
  <c r="Y6" i="27"/>
  <c r="X6" i="27"/>
  <c r="N6" i="27"/>
  <c r="AA5" i="27"/>
  <c r="Z5" i="27"/>
  <c r="X5" i="27"/>
  <c r="AA4" i="27"/>
  <c r="Z4" i="27"/>
  <c r="X4" i="27"/>
  <c r="H4" i="27"/>
  <c r="AA3" i="27"/>
  <c r="Z3" i="27"/>
  <c r="Y3" i="27"/>
  <c r="X3" i="27"/>
  <c r="AA2" i="27"/>
  <c r="Z2" i="27"/>
  <c r="Y2" i="27"/>
  <c r="X2" i="27"/>
  <c r="AA1" i="27"/>
  <c r="Z1" i="27"/>
  <c r="Y1" i="27"/>
  <c r="X1" i="27"/>
  <c r="K57" i="28"/>
  <c r="J57" i="28"/>
  <c r="K56" i="28"/>
  <c r="J56" i="28"/>
  <c r="E53" i="28"/>
  <c r="D53" i="28"/>
  <c r="C53" i="28"/>
  <c r="E52" i="28"/>
  <c r="D52" i="28"/>
  <c r="C52" i="28"/>
  <c r="J51" i="28"/>
  <c r="I51" i="28"/>
  <c r="E51" i="28"/>
  <c r="D51" i="28"/>
  <c r="C51" i="28"/>
  <c r="J50" i="28"/>
  <c r="I50" i="28"/>
  <c r="E50" i="28"/>
  <c r="D50" i="28"/>
  <c r="C50" i="28"/>
  <c r="J49" i="28"/>
  <c r="E49" i="28"/>
  <c r="D49" i="28"/>
  <c r="C49" i="28"/>
  <c r="E48" i="28"/>
  <c r="D48" i="28"/>
  <c r="C48" i="28"/>
  <c r="E47" i="28"/>
  <c r="D47" i="28"/>
  <c r="C47" i="28"/>
  <c r="E46" i="28"/>
  <c r="D46" i="28"/>
  <c r="C46" i="28"/>
  <c r="J45" i="28"/>
  <c r="I45" i="28"/>
  <c r="E45" i="28"/>
  <c r="D45" i="28"/>
  <c r="C45" i="28"/>
  <c r="J44" i="28"/>
  <c r="I44" i="28"/>
  <c r="E44" i="28"/>
  <c r="D44" i="28"/>
  <c r="C44" i="28"/>
  <c r="J43" i="28"/>
  <c r="I43" i="28"/>
  <c r="E43" i="28"/>
  <c r="D43" i="28"/>
  <c r="C43" i="28"/>
  <c r="G42" i="28"/>
  <c r="F42" i="28"/>
  <c r="E42" i="28"/>
  <c r="D42" i="28"/>
  <c r="C42" i="28"/>
  <c r="J41" i="28"/>
  <c r="E41" i="28"/>
  <c r="D41" i="28"/>
  <c r="C41" i="28"/>
  <c r="J40" i="28"/>
  <c r="I40" i="28"/>
  <c r="G40" i="28"/>
  <c r="E40" i="28"/>
  <c r="D40" i="28"/>
  <c r="C40" i="28"/>
  <c r="J39" i="28"/>
  <c r="G39" i="28"/>
  <c r="E39" i="28"/>
  <c r="D39" i="28"/>
  <c r="C39" i="28"/>
  <c r="J38" i="28"/>
  <c r="I38" i="28"/>
  <c r="G38" i="28"/>
  <c r="E38" i="28"/>
  <c r="D38" i="28"/>
  <c r="C38" i="28"/>
  <c r="J37" i="28"/>
  <c r="I37" i="28"/>
  <c r="E35" i="28"/>
  <c r="D35" i="28"/>
  <c r="C35" i="28"/>
  <c r="M34" i="28"/>
  <c r="L34" i="28"/>
  <c r="K34" i="28"/>
  <c r="F34" i="28"/>
  <c r="E34" i="28"/>
  <c r="D34" i="28"/>
  <c r="C34" i="28"/>
  <c r="E33" i="28"/>
  <c r="D33" i="28"/>
  <c r="C33" i="28"/>
  <c r="M32" i="28"/>
  <c r="J32" i="28"/>
  <c r="F32" i="28"/>
  <c r="E32" i="28"/>
  <c r="D32" i="28"/>
  <c r="C32" i="28"/>
  <c r="M31" i="28"/>
  <c r="J31" i="28"/>
  <c r="M30" i="28"/>
  <c r="J30" i="28"/>
  <c r="M29" i="28"/>
  <c r="J29" i="28"/>
  <c r="M28" i="28"/>
  <c r="J28" i="28"/>
  <c r="M27" i="28"/>
  <c r="J27" i="28"/>
  <c r="M26" i="28"/>
  <c r="J26" i="28"/>
  <c r="M25" i="28"/>
  <c r="J25" i="28"/>
  <c r="M24" i="28"/>
  <c r="J24" i="28"/>
  <c r="E24" i="28"/>
  <c r="D24" i="28"/>
  <c r="C24" i="28"/>
  <c r="M23" i="28"/>
  <c r="J23" i="28"/>
  <c r="F23" i="28"/>
  <c r="E23" i="28"/>
  <c r="D23" i="28"/>
  <c r="C23" i="28"/>
  <c r="M22" i="28"/>
  <c r="J22" i="28"/>
  <c r="M21" i="28"/>
  <c r="J21" i="28"/>
  <c r="M20" i="28"/>
  <c r="J20" i="28"/>
  <c r="M19" i="28"/>
  <c r="J19" i="28"/>
  <c r="M18" i="28"/>
  <c r="J18" i="28"/>
  <c r="M17" i="28"/>
  <c r="J17" i="28"/>
  <c r="M16" i="28"/>
  <c r="J16" i="28"/>
  <c r="M15" i="28"/>
  <c r="J15" i="28"/>
  <c r="E15" i="28"/>
  <c r="D15" i="28"/>
  <c r="C15" i="28"/>
  <c r="M14" i="28"/>
  <c r="J14" i="28"/>
  <c r="F14" i="28"/>
  <c r="E14" i="28"/>
  <c r="D14" i="28"/>
  <c r="C14" i="28"/>
  <c r="M13" i="28"/>
  <c r="J13" i="28"/>
  <c r="M12" i="28"/>
  <c r="J12" i="28"/>
  <c r="M11" i="28"/>
  <c r="J11" i="28"/>
  <c r="M10" i="28"/>
  <c r="K10" i="28"/>
  <c r="J10" i="28"/>
  <c r="M9" i="28"/>
  <c r="J9" i="28"/>
  <c r="O8" i="28"/>
  <c r="M8" i="28"/>
  <c r="J8" i="28"/>
  <c r="M7" i="28"/>
  <c r="J7" i="28"/>
  <c r="N6" i="28"/>
  <c r="H4" i="28"/>
  <c r="K57" i="26"/>
  <c r="J57" i="26"/>
  <c r="K56" i="26"/>
  <c r="J56" i="26"/>
  <c r="E53" i="26"/>
  <c r="D53" i="26"/>
  <c r="C53" i="26"/>
  <c r="E52" i="26"/>
  <c r="D52" i="26"/>
  <c r="C52" i="26"/>
  <c r="J51" i="26"/>
  <c r="I51" i="26"/>
  <c r="E51" i="26"/>
  <c r="D51" i="26"/>
  <c r="C51" i="26"/>
  <c r="J50" i="26"/>
  <c r="I50" i="26"/>
  <c r="E50" i="26"/>
  <c r="D50" i="26"/>
  <c r="C50" i="26"/>
  <c r="J49" i="26"/>
  <c r="E49" i="26"/>
  <c r="D49" i="26"/>
  <c r="C49" i="26"/>
  <c r="E48" i="26"/>
  <c r="D48" i="26"/>
  <c r="C48" i="26"/>
  <c r="E47" i="26"/>
  <c r="D47" i="26"/>
  <c r="C47" i="26"/>
  <c r="E46" i="26"/>
  <c r="D46" i="26"/>
  <c r="C46" i="26"/>
  <c r="J45" i="26"/>
  <c r="I45" i="26"/>
  <c r="E45" i="26"/>
  <c r="D45" i="26"/>
  <c r="C45" i="26"/>
  <c r="J44" i="26"/>
  <c r="I44" i="26"/>
  <c r="E44" i="26"/>
  <c r="D44" i="26"/>
  <c r="C44" i="26"/>
  <c r="J43" i="26"/>
  <c r="I43" i="26"/>
  <c r="E43" i="26"/>
  <c r="D43" i="26"/>
  <c r="C43" i="26"/>
  <c r="G42" i="26"/>
  <c r="F42" i="26"/>
  <c r="E42" i="26"/>
  <c r="D42" i="26"/>
  <c r="C42" i="26"/>
  <c r="J41" i="26"/>
  <c r="E41" i="26"/>
  <c r="D41" i="26"/>
  <c r="C41" i="26"/>
  <c r="J40" i="26"/>
  <c r="I40" i="26"/>
  <c r="G40" i="26"/>
  <c r="E40" i="26"/>
  <c r="D40" i="26"/>
  <c r="C40" i="26"/>
  <c r="J39" i="26"/>
  <c r="G39" i="26"/>
  <c r="E39" i="26"/>
  <c r="D39" i="26"/>
  <c r="C39" i="26"/>
  <c r="J38" i="26"/>
  <c r="I38" i="26"/>
  <c r="G38" i="26"/>
  <c r="E38" i="26"/>
  <c r="D38" i="26"/>
  <c r="C38" i="26"/>
  <c r="J37" i="26"/>
  <c r="I37" i="26"/>
  <c r="E35" i="26"/>
  <c r="D35" i="26"/>
  <c r="C35" i="26"/>
  <c r="M34" i="26"/>
  <c r="L34" i="26"/>
  <c r="K34" i="26"/>
  <c r="F34" i="26"/>
  <c r="E34" i="26"/>
  <c r="D34" i="26"/>
  <c r="C34" i="26"/>
  <c r="E33" i="26"/>
  <c r="D33" i="26"/>
  <c r="C33" i="26"/>
  <c r="M32" i="26"/>
  <c r="J32" i="26"/>
  <c r="F32" i="26"/>
  <c r="E32" i="26"/>
  <c r="D32" i="26"/>
  <c r="C32" i="26"/>
  <c r="M31" i="26"/>
  <c r="J31" i="26"/>
  <c r="M30" i="26"/>
  <c r="J30" i="26"/>
  <c r="M29" i="26"/>
  <c r="J29" i="26"/>
  <c r="M28" i="26"/>
  <c r="J28" i="26"/>
  <c r="M27" i="26"/>
  <c r="J27" i="26"/>
  <c r="M26" i="26"/>
  <c r="J26" i="26"/>
  <c r="M25" i="26"/>
  <c r="J25" i="26"/>
  <c r="M24" i="26"/>
  <c r="J24" i="26"/>
  <c r="E24" i="26"/>
  <c r="D24" i="26"/>
  <c r="C24" i="26"/>
  <c r="M23" i="26"/>
  <c r="J23" i="26"/>
  <c r="F23" i="26"/>
  <c r="E23" i="26"/>
  <c r="D23" i="26"/>
  <c r="C23" i="26"/>
  <c r="M22" i="26"/>
  <c r="J22" i="26"/>
  <c r="M21" i="26"/>
  <c r="J21" i="26"/>
  <c r="M20" i="26"/>
  <c r="J20" i="26"/>
  <c r="M19" i="26"/>
  <c r="J19" i="26"/>
  <c r="M18" i="26"/>
  <c r="J18" i="26"/>
  <c r="M17" i="26"/>
  <c r="J17" i="26"/>
  <c r="M16" i="26"/>
  <c r="J16" i="26"/>
  <c r="M15" i="26"/>
  <c r="J15" i="26"/>
  <c r="E15" i="26"/>
  <c r="D15" i="26"/>
  <c r="C15" i="26"/>
  <c r="M14" i="26"/>
  <c r="J14" i="26"/>
  <c r="F14" i="26"/>
  <c r="E14" i="26"/>
  <c r="D14" i="26"/>
  <c r="C14" i="26"/>
  <c r="M13" i="26"/>
  <c r="J13" i="26"/>
  <c r="M12" i="26"/>
  <c r="J12" i="26"/>
  <c r="M11" i="26"/>
  <c r="J11" i="26"/>
  <c r="M10" i="26"/>
  <c r="K10" i="26"/>
  <c r="J10" i="26"/>
  <c r="M9" i="26"/>
  <c r="J9" i="26"/>
  <c r="O8" i="26"/>
  <c r="M8" i="26"/>
  <c r="J8" i="26"/>
  <c r="M7" i="26"/>
  <c r="J7" i="26"/>
  <c r="N6" i="26"/>
  <c r="H4" i="26"/>
  <c r="K57" i="25"/>
  <c r="J57" i="25"/>
  <c r="K56" i="25"/>
  <c r="J56" i="25"/>
  <c r="E53" i="25"/>
  <c r="D53" i="25"/>
  <c r="C53" i="25"/>
  <c r="E52" i="25"/>
  <c r="D52" i="25"/>
  <c r="C52" i="25"/>
  <c r="J51" i="25"/>
  <c r="I51" i="25"/>
  <c r="E51" i="25"/>
  <c r="D51" i="25"/>
  <c r="C51" i="25"/>
  <c r="J50" i="25"/>
  <c r="I50" i="25"/>
  <c r="E50" i="25"/>
  <c r="D50" i="25"/>
  <c r="C50" i="25"/>
  <c r="J49" i="25"/>
  <c r="E49" i="25"/>
  <c r="D49" i="25"/>
  <c r="C49" i="25"/>
  <c r="E48" i="25"/>
  <c r="D48" i="25"/>
  <c r="C48" i="25"/>
  <c r="E47" i="25"/>
  <c r="D47" i="25"/>
  <c r="C47" i="25"/>
  <c r="E46" i="25"/>
  <c r="D46" i="25"/>
  <c r="C46" i="25"/>
  <c r="J45" i="25"/>
  <c r="I45" i="25"/>
  <c r="E45" i="25"/>
  <c r="D45" i="25"/>
  <c r="C45" i="25"/>
  <c r="J44" i="25"/>
  <c r="I44" i="25"/>
  <c r="E44" i="25"/>
  <c r="D44" i="25"/>
  <c r="C44" i="25"/>
  <c r="J43" i="25"/>
  <c r="I43" i="25"/>
  <c r="E43" i="25"/>
  <c r="D43" i="25"/>
  <c r="C43" i="25"/>
  <c r="G42" i="25"/>
  <c r="F42" i="25"/>
  <c r="E42" i="25"/>
  <c r="D42" i="25"/>
  <c r="C42" i="25"/>
  <c r="J41" i="25"/>
  <c r="E41" i="25"/>
  <c r="D41" i="25"/>
  <c r="C41" i="25"/>
  <c r="J40" i="25"/>
  <c r="I40" i="25"/>
  <c r="G40" i="25"/>
  <c r="E40" i="25"/>
  <c r="D40" i="25"/>
  <c r="C40" i="25"/>
  <c r="J39" i="25"/>
  <c r="G39" i="25"/>
  <c r="E39" i="25"/>
  <c r="D39" i="25"/>
  <c r="C39" i="25"/>
  <c r="J38" i="25"/>
  <c r="I38" i="25"/>
  <c r="G38" i="25"/>
  <c r="E38" i="25"/>
  <c r="D38" i="25"/>
  <c r="C38" i="25"/>
  <c r="J37" i="25"/>
  <c r="I37" i="25"/>
  <c r="E35" i="25"/>
  <c r="D35" i="25"/>
  <c r="C35" i="25"/>
  <c r="M34" i="25"/>
  <c r="L34" i="25"/>
  <c r="K34" i="25"/>
  <c r="F34" i="25"/>
  <c r="E34" i="25"/>
  <c r="D34" i="25"/>
  <c r="C34" i="25"/>
  <c r="E33" i="25"/>
  <c r="D33" i="25"/>
  <c r="C33" i="25"/>
  <c r="M32" i="25"/>
  <c r="J32" i="25"/>
  <c r="F32" i="25"/>
  <c r="E32" i="25"/>
  <c r="D32" i="25"/>
  <c r="C32" i="25"/>
  <c r="M31" i="25"/>
  <c r="J31" i="25"/>
  <c r="M30" i="25"/>
  <c r="J30" i="25"/>
  <c r="M29" i="25"/>
  <c r="J29" i="25"/>
  <c r="M28" i="25"/>
  <c r="J28" i="25"/>
  <c r="M27" i="25"/>
  <c r="J27" i="25"/>
  <c r="M26" i="25"/>
  <c r="J26" i="25"/>
  <c r="M25" i="25"/>
  <c r="J25" i="25"/>
  <c r="M24" i="25"/>
  <c r="J24" i="25"/>
  <c r="E24" i="25"/>
  <c r="D24" i="25"/>
  <c r="C24" i="25"/>
  <c r="M23" i="25"/>
  <c r="J23" i="25"/>
  <c r="F23" i="25"/>
  <c r="E23" i="25"/>
  <c r="D23" i="25"/>
  <c r="C23" i="25"/>
  <c r="M22" i="25"/>
  <c r="J22" i="25"/>
  <c r="M21" i="25"/>
  <c r="J21" i="25"/>
  <c r="M20" i="25"/>
  <c r="J20" i="25"/>
  <c r="M19" i="25"/>
  <c r="J19" i="25"/>
  <c r="M18" i="25"/>
  <c r="J18" i="25"/>
  <c r="M17" i="25"/>
  <c r="J17" i="25"/>
  <c r="M16" i="25"/>
  <c r="J16" i="25"/>
  <c r="M15" i="25"/>
  <c r="J15" i="25"/>
  <c r="E15" i="25"/>
  <c r="D15" i="25"/>
  <c r="C15" i="25"/>
  <c r="M14" i="25"/>
  <c r="J14" i="25"/>
  <c r="F14" i="25"/>
  <c r="E14" i="25"/>
  <c r="D14" i="25"/>
  <c r="C14" i="25"/>
  <c r="M13" i="25"/>
  <c r="J13" i="25"/>
  <c r="M12" i="25"/>
  <c r="J12" i="25"/>
  <c r="M11" i="25"/>
  <c r="J11" i="25"/>
  <c r="M10" i="25"/>
  <c r="K10" i="25"/>
  <c r="J10" i="25"/>
  <c r="M9" i="25"/>
  <c r="J9" i="25"/>
  <c r="O8" i="25"/>
  <c r="M8" i="25"/>
  <c r="J8" i="25"/>
  <c r="M7" i="25"/>
  <c r="J7" i="25"/>
  <c r="N6" i="25"/>
  <c r="H4" i="25"/>
  <c r="K57" i="24"/>
  <c r="K56" i="24"/>
  <c r="J56" i="24"/>
  <c r="J51" i="24"/>
  <c r="I51" i="24"/>
  <c r="E51" i="24"/>
  <c r="D51" i="24"/>
  <c r="C51" i="24"/>
  <c r="J50" i="24"/>
  <c r="I50" i="24"/>
  <c r="E50" i="24"/>
  <c r="D50" i="24"/>
  <c r="C50" i="24"/>
  <c r="J49" i="24"/>
  <c r="E49" i="24"/>
  <c r="D49" i="24"/>
  <c r="C49" i="24"/>
  <c r="E48" i="24"/>
  <c r="D48" i="24"/>
  <c r="C48" i="24"/>
  <c r="E47" i="24"/>
  <c r="D47" i="24"/>
  <c r="C47" i="24"/>
  <c r="E46" i="24"/>
  <c r="D46" i="24"/>
  <c r="C46" i="24"/>
  <c r="J45" i="24"/>
  <c r="I45" i="24"/>
  <c r="E45" i="24"/>
  <c r="D45" i="24"/>
  <c r="C45" i="24"/>
  <c r="J44" i="24"/>
  <c r="I44" i="24"/>
  <c r="E44" i="24"/>
  <c r="D44" i="24"/>
  <c r="C44" i="24"/>
  <c r="J43" i="24"/>
  <c r="I43" i="24"/>
  <c r="C43" i="24"/>
  <c r="D43" i="24" s="1"/>
  <c r="G42" i="24"/>
  <c r="F42" i="24"/>
  <c r="C42" i="24"/>
  <c r="D42" i="24" s="1"/>
  <c r="J41" i="24"/>
  <c r="C41" i="24"/>
  <c r="D41" i="24" s="1"/>
  <c r="J40" i="24"/>
  <c r="I40" i="24"/>
  <c r="G40" i="24"/>
  <c r="C40" i="24"/>
  <c r="D40" i="24" s="1"/>
  <c r="J39" i="24"/>
  <c r="G39" i="24"/>
  <c r="E39" i="24"/>
  <c r="D39" i="24"/>
  <c r="C39" i="24"/>
  <c r="J38" i="24"/>
  <c r="I38" i="24"/>
  <c r="G38" i="24"/>
  <c r="E38" i="24"/>
  <c r="D38" i="24"/>
  <c r="C38" i="24"/>
  <c r="J37" i="24"/>
  <c r="I37" i="24"/>
  <c r="E35" i="24"/>
  <c r="D35" i="24"/>
  <c r="C35" i="24"/>
  <c r="M34" i="24"/>
  <c r="L34" i="24"/>
  <c r="K34" i="24"/>
  <c r="F34" i="24"/>
  <c r="E34" i="24"/>
  <c r="D34" i="24"/>
  <c r="C34" i="24"/>
  <c r="E33" i="24"/>
  <c r="D33" i="24"/>
  <c r="C33" i="24"/>
  <c r="M32" i="24"/>
  <c r="J32" i="24"/>
  <c r="F32" i="24"/>
  <c r="E32" i="24"/>
  <c r="D32" i="24"/>
  <c r="C32" i="24"/>
  <c r="M31" i="24"/>
  <c r="J31" i="24"/>
  <c r="M30" i="24"/>
  <c r="J30" i="24"/>
  <c r="M29" i="24"/>
  <c r="J29" i="24"/>
  <c r="M28" i="24"/>
  <c r="J28" i="24"/>
  <c r="M27" i="24"/>
  <c r="J27" i="24"/>
  <c r="M26" i="24"/>
  <c r="J26" i="24"/>
  <c r="M25" i="24"/>
  <c r="J25" i="24"/>
  <c r="M24" i="24"/>
  <c r="J24" i="24"/>
  <c r="E24" i="24"/>
  <c r="D24" i="24"/>
  <c r="C24" i="24"/>
  <c r="M23" i="24"/>
  <c r="J23" i="24"/>
  <c r="F23" i="24"/>
  <c r="E23" i="24"/>
  <c r="D23" i="24"/>
  <c r="C23" i="24"/>
  <c r="M22" i="24"/>
  <c r="J22" i="24"/>
  <c r="M21" i="24"/>
  <c r="J21" i="24"/>
  <c r="M20" i="24"/>
  <c r="J20" i="24"/>
  <c r="M19" i="24"/>
  <c r="J19" i="24"/>
  <c r="M18" i="24"/>
  <c r="J18" i="24"/>
  <c r="M17" i="24"/>
  <c r="J17" i="24"/>
  <c r="M16" i="24"/>
  <c r="J16" i="24"/>
  <c r="M15" i="24"/>
  <c r="J15" i="24"/>
  <c r="E15" i="24"/>
  <c r="D15" i="24"/>
  <c r="C15" i="24"/>
  <c r="M14" i="24"/>
  <c r="J14" i="24"/>
  <c r="F14" i="24"/>
  <c r="E14" i="24"/>
  <c r="D14" i="24"/>
  <c r="C14" i="24"/>
  <c r="M13" i="24"/>
  <c r="J13" i="24"/>
  <c r="M12" i="24"/>
  <c r="J12" i="24"/>
  <c r="M11" i="24"/>
  <c r="J11" i="24"/>
  <c r="M10" i="24"/>
  <c r="K10" i="24"/>
  <c r="J10" i="24"/>
  <c r="M9" i="24"/>
  <c r="J9" i="24"/>
  <c r="O8" i="24"/>
  <c r="M8" i="24"/>
  <c r="J8" i="24"/>
  <c r="M7" i="24"/>
  <c r="J7" i="24"/>
  <c r="N6" i="24"/>
  <c r="H4" i="24"/>
  <c r="K57" i="23"/>
  <c r="J57" i="23"/>
  <c r="K56" i="23"/>
  <c r="J56" i="23"/>
  <c r="C53" i="23"/>
  <c r="C52" i="23"/>
  <c r="J51" i="23"/>
  <c r="I51" i="23"/>
  <c r="E51" i="23"/>
  <c r="D51" i="23"/>
  <c r="C51" i="23"/>
  <c r="J50" i="23"/>
  <c r="I50" i="23"/>
  <c r="E50" i="23"/>
  <c r="D50" i="23"/>
  <c r="C50" i="23"/>
  <c r="J49" i="23"/>
  <c r="E49" i="23"/>
  <c r="D49" i="23"/>
  <c r="C49" i="23"/>
  <c r="E48" i="23"/>
  <c r="D48" i="23"/>
  <c r="C48" i="23"/>
  <c r="E47" i="23"/>
  <c r="D47" i="23"/>
  <c r="C47" i="23"/>
  <c r="E46" i="23"/>
  <c r="D46" i="23"/>
  <c r="C46" i="23"/>
  <c r="J45" i="23"/>
  <c r="I45" i="23"/>
  <c r="E45" i="23"/>
  <c r="D45" i="23"/>
  <c r="C45" i="23"/>
  <c r="J44" i="23"/>
  <c r="I44" i="23"/>
  <c r="E44" i="23"/>
  <c r="D44" i="23"/>
  <c r="C44" i="23"/>
  <c r="J43" i="23"/>
  <c r="I43" i="23"/>
  <c r="C43" i="23"/>
  <c r="G42" i="23"/>
  <c r="F42" i="23"/>
  <c r="C42" i="23"/>
  <c r="J41" i="23"/>
  <c r="C41" i="23"/>
  <c r="J40" i="23"/>
  <c r="I40" i="23"/>
  <c r="C40" i="23"/>
  <c r="J39" i="23"/>
  <c r="E39" i="23"/>
  <c r="D39" i="23"/>
  <c r="C39" i="23"/>
  <c r="J38" i="23"/>
  <c r="I38" i="23"/>
  <c r="E38" i="23"/>
  <c r="D38" i="23"/>
  <c r="C38" i="23"/>
  <c r="J37" i="23"/>
  <c r="I37" i="23"/>
  <c r="S36" i="23"/>
  <c r="R36" i="23"/>
  <c r="Q36" i="23"/>
  <c r="S35" i="23"/>
  <c r="R35" i="23"/>
  <c r="Q35" i="23"/>
  <c r="E35" i="23"/>
  <c r="D35" i="23"/>
  <c r="C35" i="23"/>
  <c r="M34" i="23"/>
  <c r="L34" i="23"/>
  <c r="K34" i="23"/>
  <c r="F34" i="23"/>
  <c r="E34" i="23"/>
  <c r="D34" i="23"/>
  <c r="C34" i="23"/>
  <c r="E33" i="23"/>
  <c r="D33" i="23"/>
  <c r="C33" i="23"/>
  <c r="M32" i="23"/>
  <c r="J32" i="23"/>
  <c r="F32" i="23"/>
  <c r="E32" i="23"/>
  <c r="D32" i="23"/>
  <c r="C32" i="23"/>
  <c r="M31" i="23"/>
  <c r="J31" i="23"/>
  <c r="M30" i="23"/>
  <c r="J30" i="23"/>
  <c r="M29" i="23"/>
  <c r="J29" i="23"/>
  <c r="M28" i="23"/>
  <c r="J28" i="23"/>
  <c r="S27" i="23"/>
  <c r="R27" i="23"/>
  <c r="P27" i="23"/>
  <c r="M27" i="23"/>
  <c r="J27" i="23"/>
  <c r="M26" i="23"/>
  <c r="J26" i="23"/>
  <c r="S25" i="23"/>
  <c r="R25" i="23"/>
  <c r="Q25" i="23"/>
  <c r="M25" i="23"/>
  <c r="J25" i="23"/>
  <c r="S24" i="23"/>
  <c r="R24" i="23"/>
  <c r="Q24" i="23"/>
  <c r="M24" i="23"/>
  <c r="J24" i="23"/>
  <c r="E24" i="23"/>
  <c r="D24" i="23"/>
  <c r="C24" i="23"/>
  <c r="M23" i="23"/>
  <c r="J23" i="23"/>
  <c r="F23" i="23"/>
  <c r="E23" i="23"/>
  <c r="D23" i="23"/>
  <c r="C23" i="23"/>
  <c r="M22" i="23"/>
  <c r="J22" i="23"/>
  <c r="M21" i="23"/>
  <c r="J21" i="23"/>
  <c r="M20" i="23"/>
  <c r="J20" i="23"/>
  <c r="M19" i="23"/>
  <c r="J19" i="23"/>
  <c r="M18" i="23"/>
  <c r="J18" i="23"/>
  <c r="M17" i="23"/>
  <c r="J17" i="23"/>
  <c r="S16" i="23"/>
  <c r="R16" i="23"/>
  <c r="P16" i="23"/>
  <c r="M16" i="23"/>
  <c r="J16" i="23"/>
  <c r="S15" i="23"/>
  <c r="R15" i="23"/>
  <c r="Q15" i="23"/>
  <c r="M15" i="23"/>
  <c r="J15" i="23"/>
  <c r="E15" i="23"/>
  <c r="D15" i="23"/>
  <c r="C15" i="23"/>
  <c r="S14" i="23"/>
  <c r="R14" i="23"/>
  <c r="Q14" i="23"/>
  <c r="M14" i="23"/>
  <c r="J14" i="23"/>
  <c r="F14" i="23"/>
  <c r="E14" i="23"/>
  <c r="D14" i="23"/>
  <c r="C14" i="23"/>
  <c r="M13" i="23"/>
  <c r="J13" i="23"/>
  <c r="M12" i="23"/>
  <c r="J12" i="23"/>
  <c r="M11" i="23"/>
  <c r="J11" i="23"/>
  <c r="M10" i="23"/>
  <c r="K10" i="23"/>
  <c r="J10" i="23"/>
  <c r="M9" i="23"/>
  <c r="J9" i="23"/>
  <c r="M8" i="23"/>
  <c r="J8" i="23"/>
  <c r="M7" i="23"/>
  <c r="J7" i="23"/>
  <c r="S6" i="23"/>
  <c r="R6" i="23"/>
  <c r="P6" i="23"/>
  <c r="J4" i="23"/>
  <c r="H4" i="23"/>
  <c r="K57" i="21"/>
  <c r="J57" i="21"/>
  <c r="K56" i="21"/>
  <c r="J56" i="21"/>
  <c r="C53" i="21"/>
  <c r="C52" i="21"/>
  <c r="J51" i="21"/>
  <c r="I51" i="21"/>
  <c r="E51" i="21"/>
  <c r="D51" i="21"/>
  <c r="C51" i="21"/>
  <c r="J50" i="21"/>
  <c r="I50" i="21"/>
  <c r="E50" i="21"/>
  <c r="D50" i="21"/>
  <c r="C50" i="21"/>
  <c r="J49" i="21"/>
  <c r="E49" i="21"/>
  <c r="D49" i="21"/>
  <c r="C49" i="21"/>
  <c r="E48" i="21"/>
  <c r="D48" i="21"/>
  <c r="C48" i="21"/>
  <c r="E47" i="21"/>
  <c r="D47" i="21"/>
  <c r="C47" i="21"/>
  <c r="E46" i="21"/>
  <c r="D46" i="21"/>
  <c r="C46" i="21"/>
  <c r="J45" i="21"/>
  <c r="I45" i="21"/>
  <c r="E45" i="21"/>
  <c r="D45" i="21"/>
  <c r="C45" i="21"/>
  <c r="J44" i="21"/>
  <c r="I44" i="21"/>
  <c r="E44" i="21"/>
  <c r="D44" i="21"/>
  <c r="C44" i="21"/>
  <c r="J43" i="21"/>
  <c r="I43" i="21"/>
  <c r="C43" i="21"/>
  <c r="G42" i="21"/>
  <c r="F42" i="21"/>
  <c r="C42" i="21"/>
  <c r="J41" i="21"/>
  <c r="C41" i="21"/>
  <c r="J40" i="21"/>
  <c r="I40" i="21"/>
  <c r="G40" i="21"/>
  <c r="C40" i="21"/>
  <c r="J39" i="21"/>
  <c r="G39" i="21"/>
  <c r="E39" i="21"/>
  <c r="D39" i="21"/>
  <c r="C39" i="21"/>
  <c r="J38" i="21"/>
  <c r="I38" i="21"/>
  <c r="G38" i="21"/>
  <c r="E38" i="21"/>
  <c r="D38" i="21"/>
  <c r="C38" i="21"/>
  <c r="J37" i="21"/>
  <c r="I37" i="21"/>
  <c r="E35" i="21"/>
  <c r="D35" i="21"/>
  <c r="C35" i="21"/>
  <c r="M34" i="21"/>
  <c r="L34" i="21"/>
  <c r="K34" i="21"/>
  <c r="F34" i="21"/>
  <c r="E34" i="21"/>
  <c r="D34" i="21"/>
  <c r="C34" i="21"/>
  <c r="E33" i="21"/>
  <c r="D33" i="21"/>
  <c r="C33" i="21"/>
  <c r="M32" i="21"/>
  <c r="J32" i="21"/>
  <c r="F32" i="21"/>
  <c r="E32" i="21"/>
  <c r="D32" i="21"/>
  <c r="C32" i="21"/>
  <c r="M31" i="21"/>
  <c r="J31" i="21"/>
  <c r="M30" i="21"/>
  <c r="J30" i="21"/>
  <c r="M29" i="21"/>
  <c r="J29" i="21"/>
  <c r="M28" i="21"/>
  <c r="J28" i="21"/>
  <c r="M27" i="21"/>
  <c r="J27" i="21"/>
  <c r="M26" i="21"/>
  <c r="J26" i="21"/>
  <c r="M25" i="21"/>
  <c r="J25" i="21"/>
  <c r="M24" i="21"/>
  <c r="J24" i="21"/>
  <c r="E24" i="21"/>
  <c r="D24" i="21"/>
  <c r="C24" i="21"/>
  <c r="M23" i="21"/>
  <c r="J23" i="21"/>
  <c r="F23" i="21"/>
  <c r="E23" i="21"/>
  <c r="D23" i="21"/>
  <c r="C23" i="21"/>
  <c r="M22" i="21"/>
  <c r="J22" i="21"/>
  <c r="M21" i="21"/>
  <c r="J21" i="21"/>
  <c r="M20" i="21"/>
  <c r="J20" i="21"/>
  <c r="M19" i="21"/>
  <c r="J19" i="21"/>
  <c r="M18" i="21"/>
  <c r="J18" i="21"/>
  <c r="M17" i="21"/>
  <c r="J17" i="21"/>
  <c r="M16" i="21"/>
  <c r="J16" i="21"/>
  <c r="M15" i="21"/>
  <c r="J15" i="21"/>
  <c r="E15" i="21"/>
  <c r="D15" i="21"/>
  <c r="C15" i="21"/>
  <c r="M14" i="21"/>
  <c r="J14" i="21"/>
  <c r="F14" i="21"/>
  <c r="E14" i="21"/>
  <c r="D14" i="21"/>
  <c r="C14" i="21"/>
  <c r="M13" i="21"/>
  <c r="J13" i="21"/>
  <c r="M12" i="21"/>
  <c r="J12" i="21"/>
  <c r="M11" i="21"/>
  <c r="J11" i="21"/>
  <c r="M10" i="21"/>
  <c r="K10" i="21"/>
  <c r="J10" i="21"/>
  <c r="M9" i="21"/>
  <c r="J9" i="21"/>
  <c r="O8" i="21"/>
  <c r="M8" i="21"/>
  <c r="J8" i="21"/>
  <c r="M7" i="21"/>
  <c r="J7" i="21"/>
  <c r="N6" i="21"/>
  <c r="H4" i="21"/>
  <c r="K57" i="22"/>
  <c r="J57" i="22"/>
  <c r="K56" i="22"/>
  <c r="J56" i="22"/>
  <c r="C53" i="22"/>
  <c r="C52" i="22"/>
  <c r="J51" i="22"/>
  <c r="I51" i="22"/>
  <c r="E51" i="22"/>
  <c r="D51" i="22"/>
  <c r="C51" i="22"/>
  <c r="J50" i="22"/>
  <c r="I50" i="22"/>
  <c r="E50" i="22"/>
  <c r="D50" i="22"/>
  <c r="C50" i="22"/>
  <c r="J49" i="22"/>
  <c r="E49" i="22"/>
  <c r="D49" i="22"/>
  <c r="C49" i="22"/>
  <c r="E48" i="22"/>
  <c r="D48" i="22"/>
  <c r="C48" i="22"/>
  <c r="E47" i="22"/>
  <c r="D47" i="22"/>
  <c r="C47" i="22"/>
  <c r="E46" i="22"/>
  <c r="D46" i="22"/>
  <c r="C46" i="22"/>
  <c r="J45" i="22"/>
  <c r="I45" i="22"/>
  <c r="E45" i="22"/>
  <c r="D45" i="22"/>
  <c r="C45" i="22"/>
  <c r="J44" i="22"/>
  <c r="I44" i="22"/>
  <c r="E44" i="22"/>
  <c r="D44" i="22"/>
  <c r="C44" i="22"/>
  <c r="J43" i="22"/>
  <c r="I43" i="22"/>
  <c r="C43" i="22"/>
  <c r="G42" i="22"/>
  <c r="F42" i="22"/>
  <c r="C42" i="22"/>
  <c r="J41" i="22"/>
  <c r="C41" i="22"/>
  <c r="J40" i="22"/>
  <c r="I40" i="22"/>
  <c r="C40" i="22"/>
  <c r="J39" i="22"/>
  <c r="E39" i="22"/>
  <c r="D39" i="22"/>
  <c r="C39" i="22"/>
  <c r="J38" i="22"/>
  <c r="I38" i="22"/>
  <c r="E38" i="22"/>
  <c r="D38" i="22"/>
  <c r="C38" i="22"/>
  <c r="J37" i="22"/>
  <c r="I37" i="22"/>
  <c r="E35" i="22"/>
  <c r="D35" i="22"/>
  <c r="C35" i="22"/>
  <c r="M34" i="22"/>
  <c r="L34" i="22"/>
  <c r="K34" i="22"/>
  <c r="F34" i="22"/>
  <c r="E34" i="22"/>
  <c r="D34" i="22"/>
  <c r="C34" i="22"/>
  <c r="E33" i="22"/>
  <c r="D33" i="22"/>
  <c r="C33" i="22"/>
  <c r="M32" i="22"/>
  <c r="J32" i="22"/>
  <c r="F32" i="22"/>
  <c r="E32" i="22"/>
  <c r="D32" i="22"/>
  <c r="C32" i="22"/>
  <c r="M31" i="22"/>
  <c r="J31" i="22"/>
  <c r="M30" i="22"/>
  <c r="J30" i="22"/>
  <c r="M29" i="22"/>
  <c r="J29" i="22"/>
  <c r="M28" i="22"/>
  <c r="J28" i="22"/>
  <c r="M27" i="22"/>
  <c r="J27" i="22"/>
  <c r="M26" i="22"/>
  <c r="J26" i="22"/>
  <c r="M25" i="22"/>
  <c r="J25" i="22"/>
  <c r="M24" i="22"/>
  <c r="J24" i="22"/>
  <c r="E24" i="22"/>
  <c r="D24" i="22"/>
  <c r="C24" i="22"/>
  <c r="M23" i="22"/>
  <c r="J23" i="22"/>
  <c r="F23" i="22"/>
  <c r="E23" i="22"/>
  <c r="D23" i="22"/>
  <c r="C23" i="22"/>
  <c r="M22" i="22"/>
  <c r="J22" i="22"/>
  <c r="M21" i="22"/>
  <c r="J21" i="22"/>
  <c r="M20" i="22"/>
  <c r="J20" i="22"/>
  <c r="M19" i="22"/>
  <c r="J19" i="22"/>
  <c r="M18" i="22"/>
  <c r="J18" i="22"/>
  <c r="M17" i="22"/>
  <c r="J17" i="22"/>
  <c r="M16" i="22"/>
  <c r="J16" i="22"/>
  <c r="M15" i="22"/>
  <c r="J15" i="22"/>
  <c r="E15" i="22"/>
  <c r="D15" i="22"/>
  <c r="C15" i="22"/>
  <c r="M14" i="22"/>
  <c r="J14" i="22"/>
  <c r="F14" i="22"/>
  <c r="E14" i="22"/>
  <c r="D14" i="22"/>
  <c r="C14" i="22"/>
  <c r="M13" i="22"/>
  <c r="J13" i="22"/>
  <c r="M12" i="22"/>
  <c r="J12" i="22"/>
  <c r="M11" i="22"/>
  <c r="J11" i="22"/>
  <c r="M10" i="22"/>
  <c r="K10" i="22"/>
  <c r="J10" i="22"/>
  <c r="M9" i="22"/>
  <c r="J9" i="22"/>
  <c r="O8" i="22"/>
  <c r="M8" i="22"/>
  <c r="J8" i="22"/>
  <c r="M7" i="22"/>
  <c r="J7" i="22"/>
  <c r="N6" i="22"/>
  <c r="H4" i="22"/>
  <c r="K57" i="20"/>
  <c r="J57" i="20"/>
  <c r="K56" i="20"/>
  <c r="J56" i="20"/>
  <c r="C53" i="20"/>
  <c r="C52" i="20"/>
  <c r="J51" i="20"/>
  <c r="I51" i="20"/>
  <c r="E51" i="20"/>
  <c r="D51" i="20"/>
  <c r="C51" i="20"/>
  <c r="J50" i="20"/>
  <c r="I50" i="20"/>
  <c r="E50" i="20"/>
  <c r="D50" i="20"/>
  <c r="C50" i="20"/>
  <c r="J49" i="20"/>
  <c r="E49" i="20"/>
  <c r="D49" i="20"/>
  <c r="C49" i="20"/>
  <c r="E48" i="20"/>
  <c r="D48" i="20"/>
  <c r="C48" i="20"/>
  <c r="E47" i="20"/>
  <c r="D47" i="20"/>
  <c r="C47" i="20"/>
  <c r="E46" i="20"/>
  <c r="D46" i="20"/>
  <c r="C46" i="20"/>
  <c r="J45" i="20"/>
  <c r="I45" i="20"/>
  <c r="E45" i="20"/>
  <c r="D45" i="20"/>
  <c r="C45" i="20"/>
  <c r="J44" i="20"/>
  <c r="I44" i="20"/>
  <c r="E44" i="20"/>
  <c r="D44" i="20"/>
  <c r="C44" i="20"/>
  <c r="J43" i="20"/>
  <c r="I43" i="20"/>
  <c r="C43" i="20"/>
  <c r="G42" i="20"/>
  <c r="F42" i="20"/>
  <c r="C42" i="20"/>
  <c r="J41" i="20"/>
  <c r="C41" i="20"/>
  <c r="J40" i="20"/>
  <c r="I40" i="20"/>
  <c r="C40" i="20"/>
  <c r="J39" i="20"/>
  <c r="E39" i="20"/>
  <c r="D39" i="20"/>
  <c r="C39" i="20"/>
  <c r="J38" i="20"/>
  <c r="I38" i="20"/>
  <c r="G38" i="20"/>
  <c r="E38" i="20"/>
  <c r="D38" i="20"/>
  <c r="C38" i="20"/>
  <c r="N37" i="20"/>
  <c r="J37" i="20"/>
  <c r="I37" i="20"/>
  <c r="E35" i="20"/>
  <c r="D35" i="20"/>
  <c r="C35" i="20"/>
  <c r="M34" i="20"/>
  <c r="L34" i="20"/>
  <c r="K34" i="20"/>
  <c r="F34" i="20"/>
  <c r="E34" i="20"/>
  <c r="D34" i="20"/>
  <c r="C34" i="20"/>
  <c r="E33" i="20"/>
  <c r="D33" i="20"/>
  <c r="C33" i="20"/>
  <c r="M32" i="20"/>
  <c r="J32" i="20"/>
  <c r="F32" i="20"/>
  <c r="E32" i="20"/>
  <c r="D32" i="20"/>
  <c r="C32" i="20"/>
  <c r="M31" i="20"/>
  <c r="J31" i="20"/>
  <c r="O30" i="20"/>
  <c r="M30" i="20"/>
  <c r="J30" i="20"/>
  <c r="M29" i="20"/>
  <c r="J29" i="20"/>
  <c r="R28" i="20"/>
  <c r="Q28" i="20"/>
  <c r="M28" i="20"/>
  <c r="J28" i="20"/>
  <c r="R27" i="20"/>
  <c r="Q27" i="20"/>
  <c r="P27" i="20"/>
  <c r="M27" i="20"/>
  <c r="J27" i="20"/>
  <c r="R26" i="20"/>
  <c r="Q26" i="20"/>
  <c r="P26" i="20"/>
  <c r="O26" i="20"/>
  <c r="M26" i="20"/>
  <c r="J26" i="20"/>
  <c r="R25" i="20"/>
  <c r="Q25" i="20"/>
  <c r="P25" i="20"/>
  <c r="O25" i="20"/>
  <c r="M25" i="20"/>
  <c r="J25" i="20"/>
  <c r="C25" i="20"/>
  <c r="M24" i="20"/>
  <c r="J24" i="20"/>
  <c r="E24" i="20"/>
  <c r="D24" i="20"/>
  <c r="C24" i="20"/>
  <c r="M23" i="20"/>
  <c r="J23" i="20"/>
  <c r="F23" i="20"/>
  <c r="E23" i="20"/>
  <c r="D23" i="20"/>
  <c r="C23" i="20"/>
  <c r="M22" i="20"/>
  <c r="J22" i="20"/>
  <c r="M21" i="20"/>
  <c r="J21" i="20"/>
  <c r="M20" i="20"/>
  <c r="J20" i="20"/>
  <c r="R19" i="20"/>
  <c r="Q19" i="20"/>
  <c r="M19" i="20"/>
  <c r="J19" i="20"/>
  <c r="R18" i="20"/>
  <c r="Q18" i="20"/>
  <c r="P18" i="20"/>
  <c r="M18" i="20"/>
  <c r="J18" i="20"/>
  <c r="R17" i="20"/>
  <c r="Q17" i="20"/>
  <c r="P17" i="20"/>
  <c r="O17" i="20"/>
  <c r="M17" i="20"/>
  <c r="J17" i="20"/>
  <c r="C17" i="20"/>
  <c r="R16" i="20"/>
  <c r="Q16" i="20"/>
  <c r="P16" i="20"/>
  <c r="O16" i="20"/>
  <c r="M16" i="20"/>
  <c r="J16" i="20"/>
  <c r="C16" i="20"/>
  <c r="M15" i="20"/>
  <c r="J15" i="20"/>
  <c r="E15" i="20"/>
  <c r="D15" i="20"/>
  <c r="C15" i="20"/>
  <c r="M14" i="20"/>
  <c r="J14" i="20"/>
  <c r="F14" i="20"/>
  <c r="E14" i="20"/>
  <c r="D14" i="20"/>
  <c r="C14" i="20"/>
  <c r="M13" i="20"/>
  <c r="K13" i="20"/>
  <c r="M12" i="20"/>
  <c r="K12" i="20"/>
  <c r="J12" i="20"/>
  <c r="M11" i="20"/>
  <c r="J11" i="20"/>
  <c r="M10" i="20"/>
  <c r="K10" i="20"/>
  <c r="J10" i="20"/>
  <c r="M9" i="20"/>
  <c r="J9" i="20"/>
  <c r="O8" i="20"/>
  <c r="M8" i="20"/>
  <c r="J8" i="20"/>
  <c r="M7" i="20"/>
  <c r="J7" i="20"/>
  <c r="N6" i="20"/>
  <c r="H4" i="20"/>
  <c r="K57" i="19"/>
  <c r="J57" i="19"/>
  <c r="K56" i="19"/>
  <c r="J56" i="19"/>
  <c r="C53" i="19"/>
  <c r="C52" i="19"/>
  <c r="J51" i="19"/>
  <c r="I51" i="19"/>
  <c r="E51" i="19"/>
  <c r="D51" i="19"/>
  <c r="C51" i="19"/>
  <c r="J50" i="19"/>
  <c r="I50" i="19"/>
  <c r="E50" i="19"/>
  <c r="D50" i="19"/>
  <c r="C50" i="19"/>
  <c r="J49" i="19"/>
  <c r="E49" i="19"/>
  <c r="D49" i="19"/>
  <c r="C49" i="19"/>
  <c r="E48" i="19"/>
  <c r="D48" i="19"/>
  <c r="C48" i="19"/>
  <c r="E47" i="19"/>
  <c r="D47" i="19"/>
  <c r="C47" i="19"/>
  <c r="E46" i="19"/>
  <c r="D46" i="19"/>
  <c r="C46" i="19"/>
  <c r="J45" i="19"/>
  <c r="I45" i="19"/>
  <c r="E45" i="19"/>
  <c r="D45" i="19"/>
  <c r="C45" i="19"/>
  <c r="J44" i="19"/>
  <c r="I44" i="19"/>
  <c r="E44" i="19"/>
  <c r="D44" i="19"/>
  <c r="C44" i="19"/>
  <c r="J43" i="19"/>
  <c r="I43" i="19"/>
  <c r="C43" i="19"/>
  <c r="G42" i="19"/>
  <c r="F42" i="19"/>
  <c r="C42" i="19"/>
  <c r="J41" i="19"/>
  <c r="C41" i="19"/>
  <c r="J40" i="19"/>
  <c r="I40" i="19"/>
  <c r="G40" i="19"/>
  <c r="C40" i="19"/>
  <c r="J39" i="19"/>
  <c r="G39" i="19"/>
  <c r="E39" i="19"/>
  <c r="D39" i="19"/>
  <c r="C39" i="19"/>
  <c r="J38" i="19"/>
  <c r="I38" i="19"/>
  <c r="G38" i="19"/>
  <c r="E38" i="19"/>
  <c r="D38" i="19"/>
  <c r="C38" i="19"/>
  <c r="J37" i="19"/>
  <c r="I37" i="19"/>
  <c r="E35" i="19"/>
  <c r="D35" i="19"/>
  <c r="C35" i="19"/>
  <c r="M34" i="19"/>
  <c r="L34" i="19"/>
  <c r="K34" i="19"/>
  <c r="F34" i="19"/>
  <c r="E34" i="19"/>
  <c r="D34" i="19"/>
  <c r="C34" i="19"/>
  <c r="E33" i="19"/>
  <c r="D33" i="19"/>
  <c r="C33" i="19"/>
  <c r="M32" i="19"/>
  <c r="J32" i="19"/>
  <c r="F32" i="19"/>
  <c r="E32" i="19"/>
  <c r="D32" i="19"/>
  <c r="C32" i="19"/>
  <c r="M31" i="19"/>
  <c r="J31" i="19"/>
  <c r="M30" i="19"/>
  <c r="J30" i="19"/>
  <c r="M29" i="19"/>
  <c r="J29" i="19"/>
  <c r="M28" i="19"/>
  <c r="J28" i="19"/>
  <c r="M27" i="19"/>
  <c r="J27" i="19"/>
  <c r="M26" i="19"/>
  <c r="J26" i="19"/>
  <c r="M25" i="19"/>
  <c r="J25" i="19"/>
  <c r="M24" i="19"/>
  <c r="J24" i="19"/>
  <c r="E24" i="19"/>
  <c r="D24" i="19"/>
  <c r="C24" i="19"/>
  <c r="M23" i="19"/>
  <c r="J23" i="19"/>
  <c r="F23" i="19"/>
  <c r="E23" i="19"/>
  <c r="D23" i="19"/>
  <c r="C23" i="19"/>
  <c r="M22" i="19"/>
  <c r="J22" i="19"/>
  <c r="M21" i="19"/>
  <c r="J21" i="19"/>
  <c r="M20" i="19"/>
  <c r="J20" i="19"/>
  <c r="M19" i="19"/>
  <c r="J19" i="19"/>
  <c r="M18" i="19"/>
  <c r="J18" i="19"/>
  <c r="M17" i="19"/>
  <c r="J17" i="19"/>
  <c r="M16" i="19"/>
  <c r="J16" i="19"/>
  <c r="M15" i="19"/>
  <c r="J15" i="19"/>
  <c r="E15" i="19"/>
  <c r="D15" i="19"/>
  <c r="C15" i="19"/>
  <c r="M14" i="19"/>
  <c r="J14" i="19"/>
  <c r="F14" i="19"/>
  <c r="E14" i="19"/>
  <c r="D14" i="19"/>
  <c r="C14" i="19"/>
  <c r="M13" i="19"/>
  <c r="K13" i="19"/>
  <c r="J13" i="19"/>
  <c r="M12" i="19"/>
  <c r="J12" i="19"/>
  <c r="M11" i="19"/>
  <c r="J11" i="19"/>
  <c r="M10" i="19"/>
  <c r="J10" i="19"/>
  <c r="M9" i="19"/>
  <c r="J9" i="19"/>
  <c r="O8" i="19"/>
  <c r="M8" i="19"/>
  <c r="J8" i="19"/>
  <c r="M7" i="19"/>
  <c r="J7" i="19"/>
  <c r="N6" i="19"/>
  <c r="H4" i="19"/>
  <c r="K57" i="18"/>
  <c r="J57" i="18"/>
  <c r="K56" i="18"/>
  <c r="J56" i="18"/>
  <c r="C53" i="18"/>
  <c r="C52" i="18"/>
  <c r="J51" i="18"/>
  <c r="I51" i="18"/>
  <c r="E51" i="18"/>
  <c r="D51" i="18"/>
  <c r="C51" i="18"/>
  <c r="J50" i="18"/>
  <c r="I50" i="18"/>
  <c r="E50" i="18"/>
  <c r="D50" i="18"/>
  <c r="C50" i="18"/>
  <c r="J49" i="18"/>
  <c r="E49" i="18"/>
  <c r="D49" i="18"/>
  <c r="C49" i="18"/>
  <c r="E48" i="18"/>
  <c r="D48" i="18"/>
  <c r="C48" i="18"/>
  <c r="E47" i="18"/>
  <c r="D47" i="18"/>
  <c r="C47" i="18"/>
  <c r="E46" i="18"/>
  <c r="D46" i="18"/>
  <c r="C46" i="18"/>
  <c r="J45" i="18"/>
  <c r="I45" i="18"/>
  <c r="E45" i="18"/>
  <c r="D45" i="18"/>
  <c r="C45" i="18"/>
  <c r="J44" i="18"/>
  <c r="I44" i="18"/>
  <c r="E44" i="18"/>
  <c r="D44" i="18"/>
  <c r="C44" i="18"/>
  <c r="J43" i="18"/>
  <c r="I43" i="18"/>
  <c r="C43" i="18"/>
  <c r="G42" i="18"/>
  <c r="F42" i="18"/>
  <c r="C42" i="18"/>
  <c r="J41" i="18"/>
  <c r="C41" i="18"/>
  <c r="J40" i="18"/>
  <c r="I40" i="18"/>
  <c r="G40" i="18"/>
  <c r="C40" i="18"/>
  <c r="J39" i="18"/>
  <c r="G39" i="18"/>
  <c r="E39" i="18"/>
  <c r="D39" i="18"/>
  <c r="C39" i="18"/>
  <c r="N38" i="18"/>
  <c r="J38" i="18"/>
  <c r="I38" i="18"/>
  <c r="G38" i="18"/>
  <c r="E38" i="18"/>
  <c r="D38" i="18"/>
  <c r="C38" i="18"/>
  <c r="N37" i="18"/>
  <c r="J37" i="18"/>
  <c r="I37" i="18"/>
  <c r="E35" i="18"/>
  <c r="D35" i="18"/>
  <c r="C35" i="18"/>
  <c r="M34" i="18"/>
  <c r="L34" i="18"/>
  <c r="K34" i="18"/>
  <c r="F34" i="18"/>
  <c r="E34" i="18"/>
  <c r="D34" i="18"/>
  <c r="C34" i="18"/>
  <c r="E33" i="18"/>
  <c r="D33" i="18"/>
  <c r="C33" i="18"/>
  <c r="M32" i="18"/>
  <c r="J32" i="18"/>
  <c r="F32" i="18"/>
  <c r="E32" i="18"/>
  <c r="D32" i="18"/>
  <c r="C32" i="18"/>
  <c r="M31" i="18"/>
  <c r="J31" i="18"/>
  <c r="M30" i="18"/>
  <c r="J30" i="18"/>
  <c r="M29" i="18"/>
  <c r="J29" i="18"/>
  <c r="M28" i="18"/>
  <c r="J28" i="18"/>
  <c r="M27" i="18"/>
  <c r="J27" i="18"/>
  <c r="M26" i="18"/>
  <c r="J26" i="18"/>
  <c r="M25" i="18"/>
  <c r="J25" i="18"/>
  <c r="M24" i="18"/>
  <c r="J24" i="18"/>
  <c r="E24" i="18"/>
  <c r="D24" i="18"/>
  <c r="C24" i="18"/>
  <c r="M23" i="18"/>
  <c r="J23" i="18"/>
  <c r="F23" i="18"/>
  <c r="E23" i="18"/>
  <c r="D23" i="18"/>
  <c r="C23" i="18"/>
  <c r="M22" i="18"/>
  <c r="J22" i="18"/>
  <c r="M21" i="18"/>
  <c r="J21" i="18"/>
  <c r="M20" i="18"/>
  <c r="J20" i="18"/>
  <c r="M19" i="18"/>
  <c r="J19" i="18"/>
  <c r="M18" i="18"/>
  <c r="J18" i="18"/>
  <c r="M17" i="18"/>
  <c r="J17" i="18"/>
  <c r="M16" i="18"/>
  <c r="J16" i="18"/>
  <c r="C16" i="18"/>
  <c r="M15" i="18"/>
  <c r="J15" i="18"/>
  <c r="E15" i="18"/>
  <c r="D15" i="18"/>
  <c r="C15" i="18"/>
  <c r="M14" i="18"/>
  <c r="K14" i="18"/>
  <c r="F14" i="18"/>
  <c r="E14" i="18"/>
  <c r="D14" i="18"/>
  <c r="C14" i="18"/>
  <c r="M13" i="18"/>
  <c r="K13" i="18"/>
  <c r="J13" i="18"/>
  <c r="M12" i="18"/>
  <c r="J12" i="18"/>
  <c r="M11" i="18"/>
  <c r="J11" i="18"/>
  <c r="M10" i="18"/>
  <c r="J10" i="18"/>
  <c r="M9" i="18"/>
  <c r="J9" i="18"/>
  <c r="O8" i="18"/>
  <c r="M8" i="18"/>
  <c r="J8" i="18"/>
  <c r="M7" i="18"/>
  <c r="J7" i="18"/>
  <c r="N6" i="18"/>
  <c r="H4" i="18"/>
  <c r="K57" i="17"/>
  <c r="J57" i="17"/>
  <c r="K56" i="17"/>
  <c r="J56" i="17"/>
  <c r="C53" i="17"/>
  <c r="C52" i="17"/>
  <c r="J51" i="17"/>
  <c r="I51" i="17"/>
  <c r="E51" i="17"/>
  <c r="D51" i="17"/>
  <c r="C51" i="17"/>
  <c r="J50" i="17"/>
  <c r="I50" i="17"/>
  <c r="E50" i="17"/>
  <c r="D50" i="17"/>
  <c r="C50" i="17"/>
  <c r="J49" i="17"/>
  <c r="E49" i="17"/>
  <c r="D49" i="17"/>
  <c r="C49" i="17"/>
  <c r="E48" i="17"/>
  <c r="D48" i="17"/>
  <c r="C48" i="17"/>
  <c r="E47" i="17"/>
  <c r="D47" i="17"/>
  <c r="C47" i="17"/>
  <c r="E46" i="17"/>
  <c r="D46" i="17"/>
  <c r="C46" i="17"/>
  <c r="J45" i="17"/>
  <c r="I45" i="17"/>
  <c r="E45" i="17"/>
  <c r="D45" i="17"/>
  <c r="C45" i="17"/>
  <c r="J44" i="17"/>
  <c r="I44" i="17"/>
  <c r="E44" i="17"/>
  <c r="D44" i="17"/>
  <c r="C44" i="17"/>
  <c r="J43" i="17"/>
  <c r="I43" i="17"/>
  <c r="C43" i="17"/>
  <c r="G42" i="17"/>
  <c r="F42" i="17"/>
  <c r="C42" i="17"/>
  <c r="J41" i="17"/>
  <c r="C41" i="17"/>
  <c r="J40" i="17"/>
  <c r="I40" i="17"/>
  <c r="C40" i="17"/>
  <c r="N39" i="17"/>
  <c r="J39" i="17"/>
  <c r="E39" i="17"/>
  <c r="D39" i="17"/>
  <c r="C39" i="17"/>
  <c r="N38" i="17"/>
  <c r="J38" i="17"/>
  <c r="I38" i="17"/>
  <c r="E38" i="17"/>
  <c r="D38" i="17"/>
  <c r="C38" i="17"/>
  <c r="N37" i="17"/>
  <c r="J37" i="17"/>
  <c r="I37" i="17"/>
  <c r="E35" i="17"/>
  <c r="D35" i="17"/>
  <c r="C35" i="17"/>
  <c r="M34" i="17"/>
  <c r="L34" i="17"/>
  <c r="K34" i="17"/>
  <c r="F34" i="17"/>
  <c r="E34" i="17"/>
  <c r="D34" i="17"/>
  <c r="C34" i="17"/>
  <c r="E33" i="17"/>
  <c r="D33" i="17"/>
  <c r="C33" i="17"/>
  <c r="M32" i="17"/>
  <c r="J32" i="17"/>
  <c r="F32" i="17"/>
  <c r="E32" i="17"/>
  <c r="D32" i="17"/>
  <c r="C32" i="17"/>
  <c r="M31" i="17"/>
  <c r="J31" i="17"/>
  <c r="M30" i="17"/>
  <c r="J30" i="17"/>
  <c r="R29" i="17"/>
  <c r="Q29" i="17"/>
  <c r="M29" i="17"/>
  <c r="J29" i="17"/>
  <c r="R28" i="17"/>
  <c r="Q28" i="17"/>
  <c r="P28" i="17"/>
  <c r="M28" i="17"/>
  <c r="J28" i="17"/>
  <c r="R27" i="17"/>
  <c r="Q27" i="17"/>
  <c r="P27" i="17"/>
  <c r="O27" i="17"/>
  <c r="M27" i="17"/>
  <c r="J27" i="17"/>
  <c r="R26" i="17"/>
  <c r="Q26" i="17"/>
  <c r="P26" i="17"/>
  <c r="O26" i="17"/>
  <c r="M26" i="17"/>
  <c r="J26" i="17"/>
  <c r="R25" i="17"/>
  <c r="Q25" i="17"/>
  <c r="O25" i="17"/>
  <c r="M25" i="17"/>
  <c r="J25" i="17"/>
  <c r="M24" i="17"/>
  <c r="J24" i="17"/>
  <c r="E24" i="17"/>
  <c r="D24" i="17"/>
  <c r="C24" i="17"/>
  <c r="M23" i="17"/>
  <c r="J23" i="17"/>
  <c r="F23" i="17"/>
  <c r="E23" i="17"/>
  <c r="D23" i="17"/>
  <c r="C23" i="17"/>
  <c r="M22" i="17"/>
  <c r="J22" i="17"/>
  <c r="M21" i="17"/>
  <c r="J21" i="17"/>
  <c r="M20" i="17"/>
  <c r="J20" i="17"/>
  <c r="R19" i="17"/>
  <c r="Q19" i="17"/>
  <c r="M19" i="17"/>
  <c r="J19" i="17"/>
  <c r="R18" i="17"/>
  <c r="Q18" i="17"/>
  <c r="P18" i="17"/>
  <c r="M18" i="17"/>
  <c r="J18" i="17"/>
  <c r="R17" i="17"/>
  <c r="Q17" i="17"/>
  <c r="O17" i="17"/>
  <c r="M17" i="17"/>
  <c r="J17" i="17"/>
  <c r="R16" i="17"/>
  <c r="Q16" i="17"/>
  <c r="O16" i="17"/>
  <c r="M16" i="17"/>
  <c r="J16" i="17"/>
  <c r="R15" i="17"/>
  <c r="Q15" i="17"/>
  <c r="O15" i="17"/>
  <c r="M15" i="17"/>
  <c r="K15" i="17"/>
  <c r="E15" i="17"/>
  <c r="D15" i="17"/>
  <c r="C15" i="17"/>
  <c r="R14" i="17"/>
  <c r="Q14" i="17"/>
  <c r="P14" i="17"/>
  <c r="O14" i="17"/>
  <c r="M14" i="17"/>
  <c r="K14" i="17"/>
  <c r="J14" i="17"/>
  <c r="F14" i="17"/>
  <c r="E14" i="17"/>
  <c r="D14" i="17"/>
  <c r="C14" i="17"/>
  <c r="M13" i="17"/>
  <c r="J13" i="17"/>
  <c r="M12" i="17"/>
  <c r="J12" i="17"/>
  <c r="R11" i="17"/>
  <c r="Q11" i="17"/>
  <c r="M11" i="17"/>
  <c r="K11" i="17"/>
  <c r="J11" i="17"/>
  <c r="R10" i="17"/>
  <c r="Q10" i="17"/>
  <c r="P10" i="17"/>
  <c r="M10" i="17"/>
  <c r="J10" i="17"/>
  <c r="R9" i="17"/>
  <c r="Q9" i="17"/>
  <c r="P9" i="17"/>
  <c r="O9" i="17"/>
  <c r="M9" i="17"/>
  <c r="J9" i="17"/>
  <c r="R8" i="17"/>
  <c r="Q8" i="17"/>
  <c r="P8" i="17"/>
  <c r="O8" i="17"/>
  <c r="M8" i="17"/>
  <c r="J8" i="17"/>
  <c r="M7" i="17"/>
  <c r="J7" i="17"/>
  <c r="N6" i="17"/>
  <c r="H4" i="17"/>
  <c r="K57" i="16"/>
  <c r="J57" i="16"/>
  <c r="K56" i="16"/>
  <c r="J56" i="16"/>
  <c r="C53" i="16"/>
  <c r="C52" i="16"/>
  <c r="J51" i="16"/>
  <c r="I51" i="16"/>
  <c r="E51" i="16"/>
  <c r="D51" i="16"/>
  <c r="C51" i="16"/>
  <c r="J50" i="16"/>
  <c r="I50" i="16"/>
  <c r="E50" i="16"/>
  <c r="D50" i="16"/>
  <c r="C50" i="16"/>
  <c r="J49" i="16"/>
  <c r="E49" i="16"/>
  <c r="D49" i="16"/>
  <c r="C49" i="16"/>
  <c r="E48" i="16"/>
  <c r="D48" i="16"/>
  <c r="C48" i="16"/>
  <c r="E47" i="16"/>
  <c r="D47" i="16"/>
  <c r="C47" i="16"/>
  <c r="E46" i="16"/>
  <c r="D46" i="16"/>
  <c r="C46" i="16"/>
  <c r="J45" i="16"/>
  <c r="I45" i="16"/>
  <c r="E45" i="16"/>
  <c r="D45" i="16"/>
  <c r="C45" i="16"/>
  <c r="J44" i="16"/>
  <c r="I44" i="16"/>
  <c r="E44" i="16"/>
  <c r="D44" i="16"/>
  <c r="C44" i="16"/>
  <c r="J43" i="16"/>
  <c r="I43" i="16"/>
  <c r="C43" i="16"/>
  <c r="G42" i="16"/>
  <c r="F42" i="16"/>
  <c r="C42" i="16"/>
  <c r="J41" i="16"/>
  <c r="C41" i="16"/>
  <c r="J40" i="16"/>
  <c r="I40" i="16"/>
  <c r="G40" i="16"/>
  <c r="C40" i="16"/>
  <c r="J39" i="16"/>
  <c r="G39" i="16"/>
  <c r="E39" i="16"/>
  <c r="D39" i="16"/>
  <c r="C39" i="16"/>
  <c r="J38" i="16"/>
  <c r="I38" i="16"/>
  <c r="G38" i="16"/>
  <c r="E38" i="16"/>
  <c r="D38" i="16"/>
  <c r="C38" i="16"/>
  <c r="J37" i="16"/>
  <c r="I37" i="16"/>
  <c r="E35" i="16"/>
  <c r="D35" i="16"/>
  <c r="C35" i="16"/>
  <c r="M34" i="16"/>
  <c r="L34" i="16"/>
  <c r="K34" i="16"/>
  <c r="F34" i="16"/>
  <c r="E34" i="16"/>
  <c r="D34" i="16"/>
  <c r="C34" i="16"/>
  <c r="E33" i="16"/>
  <c r="D33" i="16"/>
  <c r="C33" i="16"/>
  <c r="M32" i="16"/>
  <c r="J32" i="16"/>
  <c r="F32" i="16"/>
  <c r="E32" i="16"/>
  <c r="D32" i="16"/>
  <c r="C32" i="16"/>
  <c r="M31" i="16"/>
  <c r="J31" i="16"/>
  <c r="M30" i="16"/>
  <c r="J30" i="16"/>
  <c r="M29" i="16"/>
  <c r="J29" i="16"/>
  <c r="M28" i="16"/>
  <c r="J28" i="16"/>
  <c r="M27" i="16"/>
  <c r="J27" i="16"/>
  <c r="M26" i="16"/>
  <c r="J26" i="16"/>
  <c r="M25" i="16"/>
  <c r="J25" i="16"/>
  <c r="M24" i="16"/>
  <c r="J24" i="16"/>
  <c r="E24" i="16"/>
  <c r="D24" i="16"/>
  <c r="C24" i="16"/>
  <c r="M23" i="16"/>
  <c r="J23" i="16"/>
  <c r="F23" i="16"/>
  <c r="E23" i="16"/>
  <c r="D23" i="16"/>
  <c r="C23" i="16"/>
  <c r="M22" i="16"/>
  <c r="J22" i="16"/>
  <c r="M21" i="16"/>
  <c r="J21" i="16"/>
  <c r="M20" i="16"/>
  <c r="J20" i="16"/>
  <c r="M19" i="16"/>
  <c r="J19" i="16"/>
  <c r="M18" i="16"/>
  <c r="J18" i="16"/>
  <c r="M17" i="16"/>
  <c r="J17" i="16"/>
  <c r="M16" i="16"/>
  <c r="J16" i="16"/>
  <c r="M15" i="16"/>
  <c r="J15" i="16"/>
  <c r="E15" i="16"/>
  <c r="D15" i="16"/>
  <c r="C15" i="16"/>
  <c r="M14" i="16"/>
  <c r="J14" i="16"/>
  <c r="F14" i="16"/>
  <c r="E14" i="16"/>
  <c r="D14" i="16"/>
  <c r="C14" i="16"/>
  <c r="M13" i="16"/>
  <c r="J13" i="16"/>
  <c r="M12" i="16"/>
  <c r="J12" i="16"/>
  <c r="M11" i="16"/>
  <c r="K11" i="16"/>
  <c r="J11" i="16"/>
  <c r="M10" i="16"/>
  <c r="J10" i="16"/>
  <c r="M9" i="16"/>
  <c r="J9" i="16"/>
  <c r="O8" i="16"/>
  <c r="M8" i="16"/>
  <c r="J8" i="16"/>
  <c r="M7" i="16"/>
  <c r="J7" i="16"/>
  <c r="N6" i="16"/>
  <c r="H4" i="16"/>
  <c r="K57" i="15"/>
  <c r="J57" i="15"/>
  <c r="K56" i="15"/>
  <c r="J56" i="15"/>
  <c r="C53" i="15"/>
  <c r="C52" i="15"/>
  <c r="J51" i="15"/>
  <c r="I51" i="15"/>
  <c r="E51" i="15"/>
  <c r="D51" i="15"/>
  <c r="C51" i="15"/>
  <c r="J50" i="15"/>
  <c r="I50" i="15"/>
  <c r="E50" i="15"/>
  <c r="D50" i="15"/>
  <c r="C50" i="15"/>
  <c r="J49" i="15"/>
  <c r="E49" i="15"/>
  <c r="D49" i="15"/>
  <c r="C49" i="15"/>
  <c r="E48" i="15"/>
  <c r="D48" i="15"/>
  <c r="C48" i="15"/>
  <c r="E47" i="15"/>
  <c r="D47" i="15"/>
  <c r="C47" i="15"/>
  <c r="E46" i="15"/>
  <c r="D46" i="15"/>
  <c r="C46" i="15"/>
  <c r="J45" i="15"/>
  <c r="I45" i="15"/>
  <c r="E45" i="15"/>
  <c r="D45" i="15"/>
  <c r="C45" i="15"/>
  <c r="J44" i="15"/>
  <c r="I44" i="15"/>
  <c r="E44" i="15"/>
  <c r="D44" i="15"/>
  <c r="C44" i="15"/>
  <c r="J43" i="15"/>
  <c r="I43" i="15"/>
  <c r="C43" i="15"/>
  <c r="G42" i="15"/>
  <c r="F42" i="15"/>
  <c r="C42" i="15"/>
  <c r="J41" i="15"/>
  <c r="C41" i="15"/>
  <c r="J40" i="15"/>
  <c r="I40" i="15"/>
  <c r="C40" i="15"/>
  <c r="J39" i="15"/>
  <c r="G39" i="15"/>
  <c r="E39" i="15"/>
  <c r="D39" i="15"/>
  <c r="C39" i="15"/>
  <c r="N38" i="15"/>
  <c r="J38" i="15"/>
  <c r="I38" i="15"/>
  <c r="G38" i="15"/>
  <c r="E38" i="15"/>
  <c r="D38" i="15"/>
  <c r="C38" i="15"/>
  <c r="N37" i="15"/>
  <c r="J37" i="15"/>
  <c r="I37" i="15"/>
  <c r="E35" i="15"/>
  <c r="D35" i="15"/>
  <c r="C35" i="15"/>
  <c r="M34" i="15"/>
  <c r="L34" i="15"/>
  <c r="K34" i="15"/>
  <c r="F34" i="15"/>
  <c r="E34" i="15"/>
  <c r="D34" i="15"/>
  <c r="C34" i="15"/>
  <c r="E33" i="15"/>
  <c r="D33" i="15"/>
  <c r="C33" i="15"/>
  <c r="M32" i="15"/>
  <c r="J32" i="15"/>
  <c r="F32" i="15"/>
  <c r="E32" i="15"/>
  <c r="D32" i="15"/>
  <c r="C32" i="15"/>
  <c r="M31" i="15"/>
  <c r="J31" i="15"/>
  <c r="M30" i="15"/>
  <c r="J30" i="15"/>
  <c r="R29" i="15"/>
  <c r="Q29" i="15"/>
  <c r="M29" i="15"/>
  <c r="J29" i="15"/>
  <c r="R28" i="15"/>
  <c r="Q28" i="15"/>
  <c r="P28" i="15"/>
  <c r="M28" i="15"/>
  <c r="J28" i="15"/>
  <c r="R27" i="15"/>
  <c r="Q27" i="15"/>
  <c r="O27" i="15"/>
  <c r="M27" i="15"/>
  <c r="J27" i="15"/>
  <c r="R26" i="15"/>
  <c r="Q26" i="15"/>
  <c r="O26" i="15"/>
  <c r="M26" i="15"/>
  <c r="J26" i="15"/>
  <c r="M25" i="15"/>
  <c r="J25" i="15"/>
  <c r="M24" i="15"/>
  <c r="J24" i="15"/>
  <c r="E24" i="15"/>
  <c r="D24" i="15"/>
  <c r="C24" i="15"/>
  <c r="M23" i="15"/>
  <c r="J23" i="15"/>
  <c r="F23" i="15"/>
  <c r="E23" i="15"/>
  <c r="D23" i="15"/>
  <c r="C23" i="15"/>
  <c r="M22" i="15"/>
  <c r="J22" i="15"/>
  <c r="M21" i="15"/>
  <c r="J21" i="15"/>
  <c r="M20" i="15"/>
  <c r="J20" i="15"/>
  <c r="M19" i="15"/>
  <c r="J19" i="15"/>
  <c r="M18" i="15"/>
  <c r="J18" i="15"/>
  <c r="M17" i="15"/>
  <c r="J17" i="15"/>
  <c r="M16" i="15"/>
  <c r="K16" i="15"/>
  <c r="M15" i="15"/>
  <c r="J15" i="15"/>
  <c r="E15" i="15"/>
  <c r="D15" i="15"/>
  <c r="C15" i="15"/>
  <c r="M14" i="15"/>
  <c r="J14" i="15"/>
  <c r="F14" i="15"/>
  <c r="E14" i="15"/>
  <c r="D14" i="15"/>
  <c r="C14" i="15"/>
  <c r="M13" i="15"/>
  <c r="J13" i="15"/>
  <c r="R12" i="15"/>
  <c r="Q12" i="15"/>
  <c r="M12" i="15"/>
  <c r="J12" i="15"/>
  <c r="R11" i="15"/>
  <c r="Q11" i="15"/>
  <c r="P11" i="15"/>
  <c r="M11" i="15"/>
  <c r="K11" i="15"/>
  <c r="J11" i="15"/>
  <c r="R10" i="15"/>
  <c r="Q10" i="15"/>
  <c r="P10" i="15"/>
  <c r="O10" i="15"/>
  <c r="M10" i="15"/>
  <c r="J10" i="15"/>
  <c r="R9" i="15"/>
  <c r="Q9" i="15"/>
  <c r="O9" i="15"/>
  <c r="M9" i="15"/>
  <c r="J9" i="15"/>
  <c r="R8" i="15"/>
  <c r="Q8" i="15"/>
  <c r="O8" i="15"/>
  <c r="M8" i="15"/>
  <c r="J8" i="15"/>
  <c r="M7" i="15"/>
  <c r="J7" i="15"/>
  <c r="N6" i="15"/>
  <c r="H4" i="15"/>
  <c r="K57" i="14"/>
  <c r="J57" i="14"/>
  <c r="K56" i="14"/>
  <c r="J56" i="14"/>
  <c r="C53" i="14"/>
  <c r="C52" i="14"/>
  <c r="J51" i="14"/>
  <c r="I51" i="14"/>
  <c r="E51" i="14"/>
  <c r="D51" i="14"/>
  <c r="C51" i="14"/>
  <c r="J50" i="14"/>
  <c r="I50" i="14"/>
  <c r="E50" i="14"/>
  <c r="D50" i="14"/>
  <c r="C50" i="14"/>
  <c r="J49" i="14"/>
  <c r="E49" i="14"/>
  <c r="D49" i="14"/>
  <c r="C49" i="14"/>
  <c r="E48" i="14"/>
  <c r="D48" i="14"/>
  <c r="C48" i="14"/>
  <c r="E47" i="14"/>
  <c r="D47" i="14"/>
  <c r="C47" i="14"/>
  <c r="E46" i="14"/>
  <c r="D46" i="14"/>
  <c r="C46" i="14"/>
  <c r="J45" i="14"/>
  <c r="I45" i="14"/>
  <c r="E45" i="14"/>
  <c r="D45" i="14"/>
  <c r="C45" i="14"/>
  <c r="J44" i="14"/>
  <c r="I44" i="14"/>
  <c r="E44" i="14"/>
  <c r="D44" i="14"/>
  <c r="C44" i="14"/>
  <c r="J43" i="14"/>
  <c r="I43" i="14"/>
  <c r="C43" i="14"/>
  <c r="G42" i="14"/>
  <c r="F42" i="14"/>
  <c r="C42" i="14"/>
  <c r="J41" i="14"/>
  <c r="C41" i="14"/>
  <c r="J40" i="14"/>
  <c r="I40" i="14"/>
  <c r="C40" i="14"/>
  <c r="J39" i="14"/>
  <c r="G39" i="14"/>
  <c r="E39" i="14"/>
  <c r="D39" i="14"/>
  <c r="C39" i="14"/>
  <c r="N38" i="14"/>
  <c r="J38" i="14"/>
  <c r="I38" i="14"/>
  <c r="G38" i="14"/>
  <c r="E38" i="14"/>
  <c r="D38" i="14"/>
  <c r="C38" i="14"/>
  <c r="N37" i="14"/>
  <c r="J37" i="14"/>
  <c r="I37" i="14"/>
  <c r="E35" i="14"/>
  <c r="D35" i="14"/>
  <c r="C35" i="14"/>
  <c r="M34" i="14"/>
  <c r="L34" i="14"/>
  <c r="K34" i="14"/>
  <c r="F34" i="14"/>
  <c r="E34" i="14"/>
  <c r="D34" i="14"/>
  <c r="C34" i="14"/>
  <c r="E33" i="14"/>
  <c r="D33" i="14"/>
  <c r="C33" i="14"/>
  <c r="M32" i="14"/>
  <c r="J32" i="14"/>
  <c r="F32" i="14"/>
  <c r="E32" i="14"/>
  <c r="D32" i="14"/>
  <c r="C32" i="14"/>
  <c r="M31" i="14"/>
  <c r="J31" i="14"/>
  <c r="M30" i="14"/>
  <c r="J30" i="14"/>
  <c r="M29" i="14"/>
  <c r="J29" i="14"/>
  <c r="R28" i="14"/>
  <c r="Q28" i="14"/>
  <c r="M28" i="14"/>
  <c r="J28" i="14"/>
  <c r="R27" i="14"/>
  <c r="Q27" i="14"/>
  <c r="P27" i="14"/>
  <c r="M27" i="14"/>
  <c r="J27" i="14"/>
  <c r="R26" i="14"/>
  <c r="Q26" i="14"/>
  <c r="P26" i="14"/>
  <c r="O26" i="14"/>
  <c r="M26" i="14"/>
  <c r="J26" i="14"/>
  <c r="C26" i="14"/>
  <c r="R25" i="14"/>
  <c r="Q25" i="14"/>
  <c r="P25" i="14"/>
  <c r="O25" i="14"/>
  <c r="M25" i="14"/>
  <c r="J25" i="14"/>
  <c r="M24" i="14"/>
  <c r="J24" i="14"/>
  <c r="E24" i="14"/>
  <c r="D24" i="14"/>
  <c r="C24" i="14"/>
  <c r="M23" i="14"/>
  <c r="J23" i="14"/>
  <c r="F23" i="14"/>
  <c r="E23" i="14"/>
  <c r="D23" i="14"/>
  <c r="C23" i="14"/>
  <c r="M22" i="14"/>
  <c r="J22" i="14"/>
  <c r="M21" i="14"/>
  <c r="J21" i="14"/>
  <c r="M20" i="14"/>
  <c r="J20" i="14"/>
  <c r="M19" i="14"/>
  <c r="J19" i="14"/>
  <c r="M18" i="14"/>
  <c r="J18" i="14"/>
  <c r="M17" i="14"/>
  <c r="K17" i="14"/>
  <c r="M16" i="14"/>
  <c r="K16" i="14"/>
  <c r="J16" i="14"/>
  <c r="M15" i="14"/>
  <c r="J15" i="14"/>
  <c r="E15" i="14"/>
  <c r="D15" i="14"/>
  <c r="C15" i="14"/>
  <c r="M14" i="14"/>
  <c r="J14" i="14"/>
  <c r="F14" i="14"/>
  <c r="E14" i="14"/>
  <c r="D14" i="14"/>
  <c r="C14" i="14"/>
  <c r="M13" i="14"/>
  <c r="J13" i="14"/>
  <c r="M12" i="14"/>
  <c r="J12" i="14"/>
  <c r="M11" i="14"/>
  <c r="K11" i="14"/>
  <c r="J11" i="14"/>
  <c r="M10" i="14"/>
  <c r="J10" i="14"/>
  <c r="M9" i="14"/>
  <c r="J9" i="14"/>
  <c r="M8" i="14"/>
  <c r="J8" i="14"/>
  <c r="M7" i="14"/>
  <c r="J7" i="14"/>
  <c r="N6" i="14"/>
  <c r="H4" i="14"/>
  <c r="K57" i="13"/>
  <c r="J57" i="13"/>
  <c r="K56" i="13"/>
  <c r="J56" i="13"/>
  <c r="C53" i="13"/>
  <c r="C52" i="13"/>
  <c r="J51" i="13"/>
  <c r="I51" i="13"/>
  <c r="E51" i="13"/>
  <c r="D51" i="13"/>
  <c r="C51" i="13"/>
  <c r="J50" i="13"/>
  <c r="I50" i="13"/>
  <c r="E50" i="13"/>
  <c r="D50" i="13"/>
  <c r="C50" i="13"/>
  <c r="J49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J45" i="13"/>
  <c r="I45" i="13"/>
  <c r="E45" i="13"/>
  <c r="D45" i="13"/>
  <c r="C45" i="13"/>
  <c r="J44" i="13"/>
  <c r="I44" i="13"/>
  <c r="E44" i="13"/>
  <c r="D44" i="13"/>
  <c r="C44" i="13"/>
  <c r="J43" i="13"/>
  <c r="I43" i="13"/>
  <c r="C43" i="13"/>
  <c r="G42" i="13"/>
  <c r="F42" i="13"/>
  <c r="C42" i="13"/>
  <c r="J41" i="13"/>
  <c r="C41" i="13"/>
  <c r="J40" i="13"/>
  <c r="I40" i="13"/>
  <c r="G40" i="13"/>
  <c r="C40" i="13"/>
  <c r="J39" i="13"/>
  <c r="G39" i="13"/>
  <c r="E39" i="13"/>
  <c r="D39" i="13"/>
  <c r="C39" i="13"/>
  <c r="J38" i="13"/>
  <c r="I38" i="13"/>
  <c r="G38" i="13"/>
  <c r="E38" i="13"/>
  <c r="D38" i="13"/>
  <c r="C38" i="13"/>
  <c r="J37" i="13"/>
  <c r="I37" i="13"/>
  <c r="E35" i="13"/>
  <c r="D35" i="13"/>
  <c r="C35" i="13"/>
  <c r="M34" i="13"/>
  <c r="L34" i="13"/>
  <c r="K34" i="13"/>
  <c r="F34" i="13"/>
  <c r="E34" i="13"/>
  <c r="D34" i="13"/>
  <c r="C34" i="13"/>
  <c r="E33" i="13"/>
  <c r="D33" i="13"/>
  <c r="C33" i="13"/>
  <c r="M32" i="13"/>
  <c r="J32" i="13"/>
  <c r="F32" i="13"/>
  <c r="E32" i="13"/>
  <c r="D32" i="13"/>
  <c r="C32" i="13"/>
  <c r="M31" i="13"/>
  <c r="J31" i="13"/>
  <c r="M30" i="13"/>
  <c r="J30" i="13"/>
  <c r="M29" i="13"/>
  <c r="J29" i="13"/>
  <c r="M28" i="13"/>
  <c r="J28" i="13"/>
  <c r="M27" i="13"/>
  <c r="J27" i="13"/>
  <c r="M26" i="13"/>
  <c r="J26" i="13"/>
  <c r="M25" i="13"/>
  <c r="J25" i="13"/>
  <c r="M24" i="13"/>
  <c r="J24" i="13"/>
  <c r="E24" i="13"/>
  <c r="D24" i="13"/>
  <c r="C24" i="13"/>
  <c r="M23" i="13"/>
  <c r="J23" i="13"/>
  <c r="F23" i="13"/>
  <c r="E23" i="13"/>
  <c r="D23" i="13"/>
  <c r="C23" i="13"/>
  <c r="M22" i="13"/>
  <c r="J22" i="13"/>
  <c r="M21" i="13"/>
  <c r="J21" i="13"/>
  <c r="M20" i="13"/>
  <c r="J20" i="13"/>
  <c r="M19" i="13"/>
  <c r="J19" i="13"/>
  <c r="M18" i="13"/>
  <c r="J18" i="13"/>
  <c r="M17" i="13"/>
  <c r="K17" i="13"/>
  <c r="J17" i="13"/>
  <c r="M16" i="13"/>
  <c r="J16" i="13"/>
  <c r="M15" i="13"/>
  <c r="J15" i="13"/>
  <c r="E15" i="13"/>
  <c r="D15" i="13"/>
  <c r="C15" i="13"/>
  <c r="M14" i="13"/>
  <c r="J14" i="13"/>
  <c r="F14" i="13"/>
  <c r="E14" i="13"/>
  <c r="D14" i="13"/>
  <c r="C14" i="13"/>
  <c r="M13" i="13"/>
  <c r="J13" i="13"/>
  <c r="M12" i="13"/>
  <c r="J12" i="13"/>
  <c r="M11" i="13"/>
  <c r="J11" i="13"/>
  <c r="M10" i="13"/>
  <c r="J10" i="13"/>
  <c r="M9" i="13"/>
  <c r="J9" i="13"/>
  <c r="O8" i="13"/>
  <c r="M8" i="13"/>
  <c r="J8" i="13"/>
  <c r="M7" i="13"/>
  <c r="J7" i="13"/>
  <c r="N6" i="13"/>
  <c r="H4" i="13"/>
  <c r="K57" i="12"/>
  <c r="J57" i="12"/>
  <c r="K56" i="12"/>
  <c r="J56" i="12"/>
  <c r="C53" i="12"/>
  <c r="C52" i="12"/>
  <c r="J51" i="12"/>
  <c r="I51" i="12"/>
  <c r="E51" i="12"/>
  <c r="D51" i="12"/>
  <c r="C51" i="12"/>
  <c r="J50" i="12"/>
  <c r="I50" i="12"/>
  <c r="E50" i="12"/>
  <c r="D50" i="12"/>
  <c r="C50" i="12"/>
  <c r="J49" i="12"/>
  <c r="E49" i="12"/>
  <c r="D49" i="12"/>
  <c r="C49" i="12"/>
  <c r="E48" i="12"/>
  <c r="D48" i="12"/>
  <c r="C48" i="12"/>
  <c r="E47" i="12"/>
  <c r="D47" i="12"/>
  <c r="C47" i="12"/>
  <c r="E46" i="12"/>
  <c r="D46" i="12"/>
  <c r="C46" i="12"/>
  <c r="J45" i="12"/>
  <c r="I45" i="12"/>
  <c r="E45" i="12"/>
  <c r="D45" i="12"/>
  <c r="C45" i="12"/>
  <c r="J44" i="12"/>
  <c r="I44" i="12"/>
  <c r="E44" i="12"/>
  <c r="D44" i="12"/>
  <c r="C44" i="12"/>
  <c r="J43" i="12"/>
  <c r="I43" i="12"/>
  <c r="C43" i="12"/>
  <c r="G42" i="12"/>
  <c r="F42" i="12"/>
  <c r="C42" i="12"/>
  <c r="J41" i="12"/>
  <c r="C41" i="12"/>
  <c r="J40" i="12"/>
  <c r="I40" i="12"/>
  <c r="C40" i="12"/>
  <c r="J39" i="12"/>
  <c r="G39" i="12"/>
  <c r="E39" i="12"/>
  <c r="D39" i="12"/>
  <c r="C39" i="12"/>
  <c r="N38" i="12"/>
  <c r="J38" i="12"/>
  <c r="I38" i="12"/>
  <c r="G38" i="12"/>
  <c r="E38" i="12"/>
  <c r="D38" i="12"/>
  <c r="C38" i="12"/>
  <c r="N37" i="12"/>
  <c r="J37" i="12"/>
  <c r="I37" i="12"/>
  <c r="E35" i="12"/>
  <c r="D35" i="12"/>
  <c r="C35" i="12"/>
  <c r="M34" i="12"/>
  <c r="L34" i="12"/>
  <c r="K34" i="12"/>
  <c r="F34" i="12"/>
  <c r="E34" i="12"/>
  <c r="D34" i="12"/>
  <c r="C34" i="12"/>
  <c r="E33" i="12"/>
  <c r="D33" i="12"/>
  <c r="C33" i="12"/>
  <c r="M32" i="12"/>
  <c r="J32" i="12"/>
  <c r="F32" i="12"/>
  <c r="E32" i="12"/>
  <c r="D32" i="12"/>
  <c r="C32" i="12"/>
  <c r="M31" i="12"/>
  <c r="J31" i="12"/>
  <c r="R30" i="12"/>
  <c r="Q30" i="12"/>
  <c r="M30" i="12"/>
  <c r="J30" i="12"/>
  <c r="R29" i="12"/>
  <c r="Q29" i="12"/>
  <c r="P29" i="12"/>
  <c r="M29" i="12"/>
  <c r="J29" i="12"/>
  <c r="R28" i="12"/>
  <c r="Q28" i="12"/>
  <c r="P28" i="12"/>
  <c r="O28" i="12"/>
  <c r="M28" i="12"/>
  <c r="J28" i="12"/>
  <c r="R27" i="12"/>
  <c r="Q27" i="12"/>
  <c r="P27" i="12"/>
  <c r="O27" i="12"/>
  <c r="M27" i="12"/>
  <c r="J27" i="12"/>
  <c r="M26" i="12"/>
  <c r="J26" i="12"/>
  <c r="M25" i="12"/>
  <c r="J25" i="12"/>
  <c r="M24" i="12"/>
  <c r="J24" i="12"/>
  <c r="E24" i="12"/>
  <c r="D24" i="12"/>
  <c r="C24" i="12"/>
  <c r="M23" i="12"/>
  <c r="J23" i="12"/>
  <c r="F23" i="12"/>
  <c r="E23" i="12"/>
  <c r="D23" i="12"/>
  <c r="C23" i="12"/>
  <c r="M22" i="12"/>
  <c r="J22" i="12"/>
  <c r="M21" i="12"/>
  <c r="J21" i="12"/>
  <c r="M20" i="12"/>
  <c r="J20" i="12"/>
  <c r="M19" i="12"/>
  <c r="J19" i="12"/>
  <c r="M18" i="12"/>
  <c r="K18" i="12"/>
  <c r="M17" i="12"/>
  <c r="K17" i="12"/>
  <c r="J17" i="12"/>
  <c r="M16" i="12"/>
  <c r="J16" i="12"/>
  <c r="M15" i="12"/>
  <c r="J15" i="12"/>
  <c r="E15" i="12"/>
  <c r="D15" i="12"/>
  <c r="C15" i="12"/>
  <c r="M14" i="12"/>
  <c r="J14" i="12"/>
  <c r="F14" i="12"/>
  <c r="E14" i="12"/>
  <c r="D14" i="12"/>
  <c r="C14" i="12"/>
  <c r="M13" i="12"/>
  <c r="J13" i="12"/>
  <c r="M12" i="12"/>
  <c r="J12" i="12"/>
  <c r="M11" i="12"/>
  <c r="J11" i="12"/>
  <c r="M10" i="12"/>
  <c r="J10" i="12"/>
  <c r="M9" i="12"/>
  <c r="J9" i="12"/>
  <c r="O8" i="12"/>
  <c r="M8" i="12"/>
  <c r="J8" i="12"/>
  <c r="M7" i="12"/>
  <c r="J7" i="12"/>
  <c r="N6" i="12"/>
  <c r="H4" i="12"/>
  <c r="K57" i="11"/>
  <c r="J57" i="11"/>
  <c r="K56" i="11"/>
  <c r="J56" i="11"/>
  <c r="C53" i="11"/>
  <c r="C52" i="11"/>
  <c r="J51" i="11"/>
  <c r="I51" i="11"/>
  <c r="E51" i="11"/>
  <c r="D51" i="11"/>
  <c r="C51" i="11"/>
  <c r="J50" i="11"/>
  <c r="I50" i="11"/>
  <c r="E50" i="11"/>
  <c r="D50" i="11"/>
  <c r="C50" i="11"/>
  <c r="J49" i="11"/>
  <c r="E49" i="11"/>
  <c r="D49" i="11"/>
  <c r="C49" i="11"/>
  <c r="E48" i="11"/>
  <c r="D48" i="11"/>
  <c r="C48" i="11"/>
  <c r="E47" i="11"/>
  <c r="D47" i="11"/>
  <c r="C47" i="11"/>
  <c r="E46" i="11"/>
  <c r="D46" i="11"/>
  <c r="C46" i="11"/>
  <c r="J45" i="11"/>
  <c r="I45" i="11"/>
  <c r="E45" i="11"/>
  <c r="D45" i="11"/>
  <c r="C45" i="11"/>
  <c r="J44" i="11"/>
  <c r="I44" i="11"/>
  <c r="E44" i="11"/>
  <c r="D44" i="11"/>
  <c r="C44" i="11"/>
  <c r="J43" i="11"/>
  <c r="I43" i="11"/>
  <c r="C43" i="11"/>
  <c r="G42" i="11"/>
  <c r="F42" i="11"/>
  <c r="C42" i="11"/>
  <c r="Q41" i="11"/>
  <c r="J41" i="11"/>
  <c r="C41" i="11"/>
  <c r="Q40" i="11"/>
  <c r="J40" i="11"/>
  <c r="I40" i="11"/>
  <c r="C40" i="11"/>
  <c r="J39" i="11"/>
  <c r="E39" i="11"/>
  <c r="D39" i="11"/>
  <c r="C39" i="11"/>
  <c r="J38" i="11"/>
  <c r="I38" i="11"/>
  <c r="E38" i="11"/>
  <c r="D38" i="11"/>
  <c r="C38" i="11"/>
  <c r="J37" i="11"/>
  <c r="I37" i="11"/>
  <c r="S36" i="11"/>
  <c r="R36" i="11"/>
  <c r="Q36" i="11"/>
  <c r="S35" i="11"/>
  <c r="R35" i="11"/>
  <c r="Q35" i="11"/>
  <c r="E35" i="11"/>
  <c r="D35" i="11"/>
  <c r="C35" i="11"/>
  <c r="M34" i="11"/>
  <c r="L34" i="11"/>
  <c r="K34" i="11"/>
  <c r="F34" i="11"/>
  <c r="E34" i="11"/>
  <c r="D34" i="11"/>
  <c r="C34" i="11"/>
  <c r="E33" i="11"/>
  <c r="D33" i="11"/>
  <c r="C33" i="11"/>
  <c r="M32" i="11"/>
  <c r="J32" i="11"/>
  <c r="F32" i="11"/>
  <c r="E32" i="11"/>
  <c r="D32" i="11"/>
  <c r="C32" i="11"/>
  <c r="M31" i="11"/>
  <c r="J31" i="11"/>
  <c r="M30" i="11"/>
  <c r="J30" i="11"/>
  <c r="M29" i="11"/>
  <c r="J29" i="11"/>
  <c r="S28" i="11"/>
  <c r="R28" i="11"/>
  <c r="Q28" i="11"/>
  <c r="P28" i="11"/>
  <c r="M28" i="11"/>
  <c r="J28" i="11"/>
  <c r="S27" i="11"/>
  <c r="R27" i="11"/>
  <c r="P27" i="11"/>
  <c r="M27" i="11"/>
  <c r="J27" i="11"/>
  <c r="S26" i="11"/>
  <c r="R26" i="11"/>
  <c r="Q26" i="11"/>
  <c r="M26" i="11"/>
  <c r="J26" i="11"/>
  <c r="S25" i="11"/>
  <c r="R25" i="11"/>
  <c r="Q25" i="11"/>
  <c r="M25" i="11"/>
  <c r="J25" i="11"/>
  <c r="M24" i="11"/>
  <c r="J24" i="11"/>
  <c r="E24" i="11"/>
  <c r="D24" i="11"/>
  <c r="C24" i="11"/>
  <c r="M23" i="11"/>
  <c r="J23" i="11"/>
  <c r="F23" i="11"/>
  <c r="E23" i="11"/>
  <c r="D23" i="11"/>
  <c r="C23" i="11"/>
  <c r="M22" i="11"/>
  <c r="J22" i="11"/>
  <c r="M21" i="11"/>
  <c r="J21" i="11"/>
  <c r="M20" i="11"/>
  <c r="J20" i="11"/>
  <c r="M19" i="11"/>
  <c r="K19" i="11"/>
  <c r="S18" i="11"/>
  <c r="R18" i="11"/>
  <c r="Q18" i="11"/>
  <c r="P18" i="11"/>
  <c r="M18" i="11"/>
  <c r="K18" i="11"/>
  <c r="J18" i="11"/>
  <c r="S17" i="11"/>
  <c r="R17" i="11"/>
  <c r="P17" i="11"/>
  <c r="M17" i="11"/>
  <c r="K17" i="11"/>
  <c r="J17" i="11"/>
  <c r="M16" i="11"/>
  <c r="J16" i="11"/>
  <c r="S15" i="11"/>
  <c r="R15" i="11"/>
  <c r="Q15" i="11"/>
  <c r="M15" i="11"/>
  <c r="J15" i="11"/>
  <c r="E15" i="11"/>
  <c r="D15" i="11"/>
  <c r="C15" i="11"/>
  <c r="S14" i="11"/>
  <c r="R14" i="11"/>
  <c r="Q14" i="11"/>
  <c r="M14" i="11"/>
  <c r="J14" i="11"/>
  <c r="F14" i="11"/>
  <c r="E14" i="11"/>
  <c r="D14" i="11"/>
  <c r="C14" i="11"/>
  <c r="M13" i="11"/>
  <c r="J13" i="11"/>
  <c r="M12" i="11"/>
  <c r="J12" i="11"/>
  <c r="M11" i="11"/>
  <c r="J11" i="11"/>
  <c r="M10" i="11"/>
  <c r="J10" i="11"/>
  <c r="M9" i="11"/>
  <c r="J9" i="11"/>
  <c r="M8" i="11"/>
  <c r="J8" i="11"/>
  <c r="S7" i="11"/>
  <c r="R7" i="11"/>
  <c r="Q7" i="11"/>
  <c r="P7" i="11"/>
  <c r="M7" i="11"/>
  <c r="J7" i="11"/>
  <c r="S6" i="11"/>
  <c r="R6" i="11"/>
  <c r="Q6" i="11"/>
  <c r="P6" i="11"/>
  <c r="J4" i="11"/>
  <c r="H4" i="11"/>
  <c r="K57" i="10"/>
  <c r="J57" i="10"/>
  <c r="K56" i="10"/>
  <c r="J56" i="10"/>
  <c r="C53" i="10"/>
  <c r="C52" i="10"/>
  <c r="J51" i="10"/>
  <c r="I51" i="10"/>
  <c r="E51" i="10"/>
  <c r="D51" i="10"/>
  <c r="C51" i="10"/>
  <c r="J50" i="10"/>
  <c r="I50" i="10"/>
  <c r="E50" i="10"/>
  <c r="D50" i="10"/>
  <c r="C50" i="10"/>
  <c r="J49" i="10"/>
  <c r="E49" i="10"/>
  <c r="D49" i="10"/>
  <c r="C49" i="10"/>
  <c r="E48" i="10"/>
  <c r="D48" i="10"/>
  <c r="C48" i="10"/>
  <c r="E47" i="10"/>
  <c r="D47" i="10"/>
  <c r="C47" i="10"/>
  <c r="E46" i="10"/>
  <c r="D46" i="10"/>
  <c r="C46" i="10"/>
  <c r="J45" i="10"/>
  <c r="I45" i="10"/>
  <c r="E45" i="10"/>
  <c r="D45" i="10"/>
  <c r="C45" i="10"/>
  <c r="J44" i="10"/>
  <c r="I44" i="10"/>
  <c r="E44" i="10"/>
  <c r="D44" i="10"/>
  <c r="C44" i="10"/>
  <c r="J43" i="10"/>
  <c r="I43" i="10"/>
  <c r="C43" i="10"/>
  <c r="G42" i="10"/>
  <c r="F42" i="10"/>
  <c r="C42" i="10"/>
  <c r="Q41" i="10"/>
  <c r="J41" i="10"/>
  <c r="C41" i="10"/>
  <c r="J40" i="10"/>
  <c r="I40" i="10"/>
  <c r="C40" i="10"/>
  <c r="J39" i="10"/>
  <c r="E39" i="10"/>
  <c r="D39" i="10"/>
  <c r="C39" i="10"/>
  <c r="J38" i="10"/>
  <c r="I38" i="10"/>
  <c r="E38" i="10"/>
  <c r="D38" i="10"/>
  <c r="C38" i="10"/>
  <c r="J37" i="10"/>
  <c r="I37" i="10"/>
  <c r="S36" i="10"/>
  <c r="R36" i="10"/>
  <c r="Q36" i="10"/>
  <c r="S35" i="10"/>
  <c r="R35" i="10"/>
  <c r="Q35" i="10"/>
  <c r="E35" i="10"/>
  <c r="D35" i="10"/>
  <c r="C35" i="10"/>
  <c r="M34" i="10"/>
  <c r="L34" i="10"/>
  <c r="K34" i="10"/>
  <c r="F34" i="10"/>
  <c r="E34" i="10"/>
  <c r="D34" i="10"/>
  <c r="C34" i="10"/>
  <c r="E33" i="10"/>
  <c r="D33" i="10"/>
  <c r="C33" i="10"/>
  <c r="M32" i="10"/>
  <c r="J32" i="10"/>
  <c r="F32" i="10"/>
  <c r="E32" i="10"/>
  <c r="D32" i="10"/>
  <c r="C32" i="10"/>
  <c r="M31" i="10"/>
  <c r="J31" i="10"/>
  <c r="M30" i="10"/>
  <c r="J30" i="10"/>
  <c r="M29" i="10"/>
  <c r="J29" i="10"/>
  <c r="S28" i="10"/>
  <c r="R28" i="10"/>
  <c r="Q28" i="10"/>
  <c r="P28" i="10"/>
  <c r="M28" i="10"/>
  <c r="J28" i="10"/>
  <c r="S27" i="10"/>
  <c r="R27" i="10"/>
  <c r="Q27" i="10"/>
  <c r="P27" i="10"/>
  <c r="M27" i="10"/>
  <c r="J27" i="10"/>
  <c r="Z26" i="10"/>
  <c r="Y26" i="10"/>
  <c r="X26" i="10"/>
  <c r="S26" i="10"/>
  <c r="R26" i="10"/>
  <c r="Q26" i="10"/>
  <c r="M26" i="10"/>
  <c r="J26" i="10"/>
  <c r="C26" i="10"/>
  <c r="Z25" i="10"/>
  <c r="Y25" i="10"/>
  <c r="X25" i="10"/>
  <c r="S25" i="10"/>
  <c r="R25" i="10"/>
  <c r="Q25" i="10"/>
  <c r="M25" i="10"/>
  <c r="J25" i="10"/>
  <c r="C25" i="10"/>
  <c r="M24" i="10"/>
  <c r="J24" i="10"/>
  <c r="E24" i="10"/>
  <c r="D24" i="10"/>
  <c r="C24" i="10"/>
  <c r="M23" i="10"/>
  <c r="J23" i="10"/>
  <c r="F23" i="10"/>
  <c r="E23" i="10"/>
  <c r="D23" i="10"/>
  <c r="C23" i="10"/>
  <c r="M22" i="10"/>
  <c r="J22" i="10"/>
  <c r="M21" i="10"/>
  <c r="J21" i="10"/>
  <c r="M20" i="10"/>
  <c r="K20" i="10"/>
  <c r="Z19" i="10"/>
  <c r="Y19" i="10"/>
  <c r="M19" i="10"/>
  <c r="K19" i="10"/>
  <c r="J19" i="10"/>
  <c r="Z18" i="10"/>
  <c r="Y18" i="10"/>
  <c r="M18" i="10"/>
  <c r="J18" i="10"/>
  <c r="Z17" i="10"/>
  <c r="Y17" i="10"/>
  <c r="S17" i="10"/>
  <c r="R17" i="10"/>
  <c r="P17" i="10"/>
  <c r="M17" i="10"/>
  <c r="J17" i="10"/>
  <c r="C17" i="10"/>
  <c r="M16" i="10"/>
  <c r="J16" i="10"/>
  <c r="S15" i="10"/>
  <c r="R15" i="10"/>
  <c r="Q15" i="10"/>
  <c r="M15" i="10"/>
  <c r="J15" i="10"/>
  <c r="E15" i="10"/>
  <c r="D15" i="10"/>
  <c r="S14" i="10"/>
  <c r="R14" i="10"/>
  <c r="Q14" i="10"/>
  <c r="M14" i="10"/>
  <c r="J14" i="10"/>
  <c r="F14" i="10"/>
  <c r="E14" i="10"/>
  <c r="D14" i="10"/>
  <c r="C14" i="10"/>
  <c r="M13" i="10"/>
  <c r="J13" i="10"/>
  <c r="M12" i="10"/>
  <c r="K12" i="10"/>
  <c r="J12" i="10"/>
  <c r="M11" i="10"/>
  <c r="J11" i="10"/>
  <c r="M10" i="10"/>
  <c r="K10" i="10"/>
  <c r="J10" i="10"/>
  <c r="M9" i="10"/>
  <c r="J9" i="10"/>
  <c r="S8" i="10"/>
  <c r="R8" i="10"/>
  <c r="Q8" i="10"/>
  <c r="P8" i="10"/>
  <c r="M8" i="10"/>
  <c r="J8" i="10"/>
  <c r="S7" i="10"/>
  <c r="R7" i="10"/>
  <c r="Q7" i="10"/>
  <c r="P7" i="10"/>
  <c r="M7" i="10"/>
  <c r="J7" i="10"/>
  <c r="S6" i="10"/>
  <c r="R6" i="10"/>
  <c r="Q6" i="10"/>
  <c r="P6" i="10"/>
  <c r="J4" i="10"/>
  <c r="H4" i="10"/>
  <c r="K57" i="9"/>
  <c r="J57" i="9"/>
  <c r="K56" i="9"/>
  <c r="J56" i="9"/>
  <c r="C53" i="9"/>
  <c r="C52" i="9"/>
  <c r="J51" i="9"/>
  <c r="I51" i="9"/>
  <c r="E51" i="9"/>
  <c r="D51" i="9"/>
  <c r="C51" i="9"/>
  <c r="J50" i="9"/>
  <c r="I50" i="9"/>
  <c r="E50" i="9"/>
  <c r="D50" i="9"/>
  <c r="C50" i="9"/>
  <c r="J49" i="9"/>
  <c r="E49" i="9"/>
  <c r="D49" i="9"/>
  <c r="C49" i="9"/>
  <c r="E48" i="9"/>
  <c r="D48" i="9"/>
  <c r="C48" i="9"/>
  <c r="E47" i="9"/>
  <c r="D47" i="9"/>
  <c r="C47" i="9"/>
  <c r="E46" i="9"/>
  <c r="D46" i="9"/>
  <c r="C46" i="9"/>
  <c r="J45" i="9"/>
  <c r="I45" i="9"/>
  <c r="E45" i="9"/>
  <c r="D45" i="9"/>
  <c r="C45" i="9"/>
  <c r="J44" i="9"/>
  <c r="I44" i="9"/>
  <c r="E44" i="9"/>
  <c r="D44" i="9"/>
  <c r="C44" i="9"/>
  <c r="J43" i="9"/>
  <c r="I43" i="9"/>
  <c r="C43" i="9"/>
  <c r="G42" i="9"/>
  <c r="F42" i="9"/>
  <c r="C42" i="9"/>
  <c r="J41" i="9"/>
  <c r="C41" i="9"/>
  <c r="Q40" i="9"/>
  <c r="J40" i="9"/>
  <c r="I40" i="9"/>
  <c r="C40" i="9"/>
  <c r="Q39" i="9"/>
  <c r="J39" i="9"/>
  <c r="E39" i="9"/>
  <c r="D39" i="9"/>
  <c r="C39" i="9"/>
  <c r="Q38" i="9"/>
  <c r="J38" i="9"/>
  <c r="I38" i="9"/>
  <c r="E38" i="9"/>
  <c r="D38" i="9"/>
  <c r="C38" i="9"/>
  <c r="J37" i="9"/>
  <c r="I37" i="9"/>
  <c r="S36" i="9"/>
  <c r="R36" i="9"/>
  <c r="Q36" i="9"/>
  <c r="S35" i="9"/>
  <c r="R35" i="9"/>
  <c r="Q35" i="9"/>
  <c r="E35" i="9"/>
  <c r="D35" i="9"/>
  <c r="C35" i="9"/>
  <c r="M34" i="9"/>
  <c r="L34" i="9"/>
  <c r="K34" i="9"/>
  <c r="F34" i="9"/>
  <c r="E34" i="9"/>
  <c r="D34" i="9"/>
  <c r="C34" i="9"/>
  <c r="E33" i="9"/>
  <c r="D33" i="9"/>
  <c r="C33" i="9"/>
  <c r="M32" i="9"/>
  <c r="J32" i="9"/>
  <c r="F32" i="9"/>
  <c r="E32" i="9"/>
  <c r="D32" i="9"/>
  <c r="C32" i="9"/>
  <c r="M31" i="9"/>
  <c r="J31" i="9"/>
  <c r="M30" i="9"/>
  <c r="J30" i="9"/>
  <c r="M29" i="9"/>
  <c r="J29" i="9"/>
  <c r="M28" i="9"/>
  <c r="J28" i="9"/>
  <c r="S27" i="9"/>
  <c r="R27" i="9"/>
  <c r="P27" i="9"/>
  <c r="M27" i="9"/>
  <c r="J27" i="9"/>
  <c r="M26" i="9"/>
  <c r="J26" i="9"/>
  <c r="S25" i="9"/>
  <c r="R25" i="9"/>
  <c r="Q25" i="9"/>
  <c r="M25" i="9"/>
  <c r="J25" i="9"/>
  <c r="S24" i="9"/>
  <c r="R24" i="9"/>
  <c r="Q24" i="9"/>
  <c r="M24" i="9"/>
  <c r="J24" i="9"/>
  <c r="E24" i="9"/>
  <c r="D24" i="9"/>
  <c r="C24" i="9"/>
  <c r="M23" i="9"/>
  <c r="J23" i="9"/>
  <c r="F23" i="9"/>
  <c r="E23" i="9"/>
  <c r="D23" i="9"/>
  <c r="C23" i="9"/>
  <c r="M22" i="9"/>
  <c r="J22" i="9"/>
  <c r="M21" i="9"/>
  <c r="K21" i="9"/>
  <c r="M20" i="9"/>
  <c r="J20" i="9"/>
  <c r="M19" i="9"/>
  <c r="J19" i="9"/>
  <c r="M18" i="9"/>
  <c r="J18" i="9"/>
  <c r="S17" i="9"/>
  <c r="R17" i="9"/>
  <c r="Q17" i="9"/>
  <c r="P17" i="9"/>
  <c r="M17" i="9"/>
  <c r="J17" i="9"/>
  <c r="S16" i="9"/>
  <c r="R16" i="9"/>
  <c r="Q16" i="9"/>
  <c r="P16" i="9"/>
  <c r="M16" i="9"/>
  <c r="J16" i="9"/>
  <c r="C16" i="9"/>
  <c r="S15" i="9"/>
  <c r="R15" i="9"/>
  <c r="Q15" i="9"/>
  <c r="M15" i="9"/>
  <c r="J15" i="9"/>
  <c r="E15" i="9"/>
  <c r="D15" i="9"/>
  <c r="S14" i="9"/>
  <c r="R14" i="9"/>
  <c r="Q14" i="9"/>
  <c r="M14" i="9"/>
  <c r="J14" i="9"/>
  <c r="F14" i="9"/>
  <c r="E14" i="9"/>
  <c r="D14" i="9"/>
  <c r="C14" i="9"/>
  <c r="M13" i="9"/>
  <c r="J13" i="9"/>
  <c r="M12" i="9"/>
  <c r="J12" i="9"/>
  <c r="M11" i="9"/>
  <c r="J11" i="9"/>
  <c r="M10" i="9"/>
  <c r="K10" i="9"/>
  <c r="J10" i="9"/>
  <c r="M9" i="9"/>
  <c r="J9" i="9"/>
  <c r="M8" i="9"/>
  <c r="J8" i="9"/>
  <c r="M7" i="9"/>
  <c r="J7" i="9"/>
  <c r="S6" i="9"/>
  <c r="R6" i="9"/>
  <c r="P6" i="9"/>
  <c r="J4" i="9"/>
  <c r="H4" i="9"/>
  <c r="K57" i="8"/>
  <c r="J57" i="8"/>
  <c r="K56" i="8"/>
  <c r="J56" i="8"/>
  <c r="C53" i="8"/>
  <c r="C52" i="8"/>
  <c r="J51" i="8"/>
  <c r="I51" i="8"/>
  <c r="E51" i="8"/>
  <c r="D51" i="8"/>
  <c r="C51" i="8"/>
  <c r="J50" i="8"/>
  <c r="I50" i="8"/>
  <c r="E50" i="8"/>
  <c r="D50" i="8"/>
  <c r="C50" i="8"/>
  <c r="J49" i="8"/>
  <c r="E49" i="8"/>
  <c r="D49" i="8"/>
  <c r="C49" i="8"/>
  <c r="E48" i="8"/>
  <c r="D48" i="8"/>
  <c r="C48" i="8"/>
  <c r="E47" i="8"/>
  <c r="D47" i="8"/>
  <c r="C47" i="8"/>
  <c r="E46" i="8"/>
  <c r="D46" i="8"/>
  <c r="C46" i="8"/>
  <c r="J45" i="8"/>
  <c r="I45" i="8"/>
  <c r="E45" i="8"/>
  <c r="D45" i="8"/>
  <c r="C45" i="8"/>
  <c r="J44" i="8"/>
  <c r="I44" i="8"/>
  <c r="E44" i="8"/>
  <c r="D44" i="8"/>
  <c r="C44" i="8"/>
  <c r="J43" i="8"/>
  <c r="I43" i="8"/>
  <c r="C43" i="8"/>
  <c r="G42" i="8"/>
  <c r="F42" i="8"/>
  <c r="C42" i="8"/>
  <c r="J41" i="8"/>
  <c r="C41" i="8"/>
  <c r="J40" i="8"/>
  <c r="I40" i="8"/>
  <c r="G40" i="8"/>
  <c r="C40" i="8"/>
  <c r="J39" i="8"/>
  <c r="G39" i="8"/>
  <c r="E39" i="8"/>
  <c r="D39" i="8"/>
  <c r="C39" i="8"/>
  <c r="J38" i="8"/>
  <c r="I38" i="8"/>
  <c r="G38" i="8"/>
  <c r="E38" i="8"/>
  <c r="D38" i="8"/>
  <c r="C38" i="8"/>
  <c r="J37" i="8"/>
  <c r="I37" i="8"/>
  <c r="E35" i="8"/>
  <c r="D35" i="8"/>
  <c r="C35" i="8"/>
  <c r="M34" i="8"/>
  <c r="L34" i="8"/>
  <c r="K34" i="8"/>
  <c r="F34" i="8"/>
  <c r="E34" i="8"/>
  <c r="D34" i="8"/>
  <c r="C34" i="8"/>
  <c r="E33" i="8"/>
  <c r="D33" i="8"/>
  <c r="C33" i="8"/>
  <c r="M32" i="8"/>
  <c r="J32" i="8"/>
  <c r="F32" i="8"/>
  <c r="E32" i="8"/>
  <c r="D32" i="8"/>
  <c r="C32" i="8"/>
  <c r="M31" i="8"/>
  <c r="J31" i="8"/>
  <c r="M30" i="8"/>
  <c r="J30" i="8"/>
  <c r="M29" i="8"/>
  <c r="J29" i="8"/>
  <c r="M28" i="8"/>
  <c r="J28" i="8"/>
  <c r="M27" i="8"/>
  <c r="J27" i="8"/>
  <c r="M26" i="8"/>
  <c r="J26" i="8"/>
  <c r="M25" i="8"/>
  <c r="J25" i="8"/>
  <c r="M24" i="8"/>
  <c r="J24" i="8"/>
  <c r="E24" i="8"/>
  <c r="D24" i="8"/>
  <c r="C24" i="8"/>
  <c r="M23" i="8"/>
  <c r="J23" i="8"/>
  <c r="F23" i="8"/>
  <c r="E23" i="8"/>
  <c r="D23" i="8"/>
  <c r="C23" i="8"/>
  <c r="M22" i="8"/>
  <c r="J22" i="8"/>
  <c r="M21" i="8"/>
  <c r="K21" i="8"/>
  <c r="J21" i="8"/>
  <c r="M20" i="8"/>
  <c r="J20" i="8"/>
  <c r="M19" i="8"/>
  <c r="J19" i="8"/>
  <c r="M18" i="8"/>
  <c r="J18" i="8"/>
  <c r="M17" i="8"/>
  <c r="J17" i="8"/>
  <c r="M16" i="8"/>
  <c r="J16" i="8"/>
  <c r="M15" i="8"/>
  <c r="J15" i="8"/>
  <c r="E15" i="8"/>
  <c r="D15" i="8"/>
  <c r="C15" i="8"/>
  <c r="M14" i="8"/>
  <c r="J14" i="8"/>
  <c r="F14" i="8"/>
  <c r="E14" i="8"/>
  <c r="D14" i="8"/>
  <c r="C14" i="8"/>
  <c r="M13" i="8"/>
  <c r="J13" i="8"/>
  <c r="M12" i="8"/>
  <c r="J12" i="8"/>
  <c r="M11" i="8"/>
  <c r="J11" i="8"/>
  <c r="M10" i="8"/>
  <c r="J10" i="8"/>
  <c r="M9" i="8"/>
  <c r="J9" i="8"/>
  <c r="O8" i="8"/>
  <c r="M8" i="8"/>
  <c r="J8" i="8"/>
  <c r="M7" i="8"/>
  <c r="J7" i="8"/>
  <c r="N6" i="8"/>
  <c r="H4" i="8"/>
  <c r="K57" i="7"/>
  <c r="J57" i="7"/>
  <c r="K56" i="7"/>
  <c r="J56" i="7"/>
  <c r="C53" i="7"/>
  <c r="C52" i="7"/>
  <c r="J51" i="7"/>
  <c r="I51" i="7"/>
  <c r="E51" i="7"/>
  <c r="D51" i="7"/>
  <c r="C51" i="7"/>
  <c r="J50" i="7"/>
  <c r="I50" i="7"/>
  <c r="E50" i="7"/>
  <c r="D50" i="7"/>
  <c r="C50" i="7"/>
  <c r="J49" i="7"/>
  <c r="E49" i="7"/>
  <c r="D49" i="7"/>
  <c r="C49" i="7"/>
  <c r="E48" i="7"/>
  <c r="D48" i="7"/>
  <c r="C48" i="7"/>
  <c r="E47" i="7"/>
  <c r="D47" i="7"/>
  <c r="C47" i="7"/>
  <c r="E46" i="7"/>
  <c r="D46" i="7"/>
  <c r="C46" i="7"/>
  <c r="J45" i="7"/>
  <c r="I45" i="7"/>
  <c r="E45" i="7"/>
  <c r="D45" i="7"/>
  <c r="C45" i="7"/>
  <c r="J44" i="7"/>
  <c r="I44" i="7"/>
  <c r="E44" i="7"/>
  <c r="D44" i="7"/>
  <c r="C44" i="7"/>
  <c r="J43" i="7"/>
  <c r="I43" i="7"/>
  <c r="C43" i="7"/>
  <c r="G42" i="7"/>
  <c r="F42" i="7"/>
  <c r="C42" i="7"/>
  <c r="J41" i="7"/>
  <c r="C41" i="7"/>
  <c r="J40" i="7"/>
  <c r="I40" i="7"/>
  <c r="G40" i="7"/>
  <c r="C40" i="7"/>
  <c r="J39" i="7"/>
  <c r="G39" i="7"/>
  <c r="E39" i="7"/>
  <c r="D39" i="7"/>
  <c r="C39" i="7"/>
  <c r="N38" i="7"/>
  <c r="J38" i="7"/>
  <c r="I38" i="7"/>
  <c r="G38" i="7"/>
  <c r="E38" i="7"/>
  <c r="D38" i="7"/>
  <c r="C38" i="7"/>
  <c r="N37" i="7"/>
  <c r="J37" i="7"/>
  <c r="I37" i="7"/>
  <c r="E35" i="7"/>
  <c r="D35" i="7"/>
  <c r="C35" i="7"/>
  <c r="M34" i="7"/>
  <c r="L34" i="7"/>
  <c r="K34" i="7"/>
  <c r="F34" i="7"/>
  <c r="E34" i="7"/>
  <c r="D34" i="7"/>
  <c r="C34" i="7"/>
  <c r="E33" i="7"/>
  <c r="D33" i="7"/>
  <c r="C33" i="7"/>
  <c r="M32" i="7"/>
  <c r="J32" i="7"/>
  <c r="F32" i="7"/>
  <c r="E32" i="7"/>
  <c r="D32" i="7"/>
  <c r="C32" i="7"/>
  <c r="M31" i="7"/>
  <c r="J31" i="7"/>
  <c r="M30" i="7"/>
  <c r="J30" i="7"/>
  <c r="M29" i="7"/>
  <c r="J29" i="7"/>
  <c r="M28" i="7"/>
  <c r="J28" i="7"/>
  <c r="M27" i="7"/>
  <c r="J27" i="7"/>
  <c r="M26" i="7"/>
  <c r="J26" i="7"/>
  <c r="M25" i="7"/>
  <c r="J25" i="7"/>
  <c r="M24" i="7"/>
  <c r="J24" i="7"/>
  <c r="E24" i="7"/>
  <c r="D24" i="7"/>
  <c r="C24" i="7"/>
  <c r="M23" i="7"/>
  <c r="J23" i="7"/>
  <c r="F23" i="7"/>
  <c r="E23" i="7"/>
  <c r="D23" i="7"/>
  <c r="C23" i="7"/>
  <c r="M22" i="7"/>
  <c r="J22" i="7"/>
  <c r="M21" i="7"/>
  <c r="K21" i="7"/>
  <c r="J21" i="7"/>
  <c r="M20" i="7"/>
  <c r="J20" i="7"/>
  <c r="M19" i="7"/>
  <c r="J19" i="7"/>
  <c r="M18" i="7"/>
  <c r="J18" i="7"/>
  <c r="M17" i="7"/>
  <c r="J17" i="7"/>
  <c r="M16" i="7"/>
  <c r="J16" i="7"/>
  <c r="M15" i="7"/>
  <c r="J15" i="7"/>
  <c r="E15" i="7"/>
  <c r="D15" i="7"/>
  <c r="C15" i="7"/>
  <c r="M14" i="7"/>
  <c r="J14" i="7"/>
  <c r="F14" i="7"/>
  <c r="E14" i="7"/>
  <c r="D14" i="7"/>
  <c r="C14" i="7"/>
  <c r="M13" i="7"/>
  <c r="J13" i="7"/>
  <c r="M12" i="7"/>
  <c r="J12" i="7"/>
  <c r="M11" i="7"/>
  <c r="J11" i="7"/>
  <c r="P10" i="7"/>
  <c r="M10" i="7"/>
  <c r="K10" i="7"/>
  <c r="J10" i="7"/>
  <c r="P9" i="7"/>
  <c r="O9" i="7"/>
  <c r="M9" i="7"/>
  <c r="J9" i="7"/>
  <c r="P8" i="7"/>
  <c r="O8" i="7"/>
  <c r="M8" i="7"/>
  <c r="J8" i="7"/>
  <c r="M7" i="7"/>
  <c r="J7" i="7"/>
  <c r="N6" i="7"/>
  <c r="H4" i="7"/>
  <c r="K57" i="6"/>
  <c r="J57" i="6"/>
  <c r="K56" i="6"/>
  <c r="J56" i="6"/>
  <c r="C53" i="6"/>
  <c r="C52" i="6"/>
  <c r="J51" i="6"/>
  <c r="I51" i="6"/>
  <c r="E51" i="6"/>
  <c r="D51" i="6"/>
  <c r="C51" i="6"/>
  <c r="J50" i="6"/>
  <c r="I50" i="6"/>
  <c r="E50" i="6"/>
  <c r="D50" i="6"/>
  <c r="C50" i="6"/>
  <c r="J49" i="6"/>
  <c r="E49" i="6"/>
  <c r="D49" i="6"/>
  <c r="C49" i="6"/>
  <c r="E48" i="6"/>
  <c r="D48" i="6"/>
  <c r="C48" i="6"/>
  <c r="E47" i="6"/>
  <c r="D47" i="6"/>
  <c r="C47" i="6"/>
  <c r="E46" i="6"/>
  <c r="D46" i="6"/>
  <c r="C46" i="6"/>
  <c r="J45" i="6"/>
  <c r="I45" i="6"/>
  <c r="E45" i="6"/>
  <c r="D45" i="6"/>
  <c r="C45" i="6"/>
  <c r="J44" i="6"/>
  <c r="I44" i="6"/>
  <c r="E44" i="6"/>
  <c r="D44" i="6"/>
  <c r="C44" i="6"/>
  <c r="J43" i="6"/>
  <c r="I43" i="6"/>
  <c r="C43" i="6"/>
  <c r="G42" i="6"/>
  <c r="F42" i="6"/>
  <c r="C42" i="6"/>
  <c r="J41" i="6"/>
  <c r="C41" i="6"/>
  <c r="J40" i="6"/>
  <c r="I40" i="6"/>
  <c r="G40" i="6"/>
  <c r="C40" i="6"/>
  <c r="J39" i="6"/>
  <c r="G39" i="6"/>
  <c r="E39" i="6"/>
  <c r="D39" i="6"/>
  <c r="C39" i="6"/>
  <c r="J38" i="6"/>
  <c r="I38" i="6"/>
  <c r="G38" i="6"/>
  <c r="E38" i="6"/>
  <c r="D38" i="6"/>
  <c r="C38" i="6"/>
  <c r="J37" i="6"/>
  <c r="I37" i="6"/>
  <c r="E35" i="6"/>
  <c r="D35" i="6"/>
  <c r="C35" i="6"/>
  <c r="M34" i="6"/>
  <c r="L34" i="6"/>
  <c r="K34" i="6"/>
  <c r="F34" i="6"/>
  <c r="E34" i="6"/>
  <c r="D34" i="6"/>
  <c r="C34" i="6"/>
  <c r="E33" i="6"/>
  <c r="D33" i="6"/>
  <c r="C33" i="6"/>
  <c r="M32" i="6"/>
  <c r="J32" i="6"/>
  <c r="F32" i="6"/>
  <c r="E32" i="6"/>
  <c r="D32" i="6"/>
  <c r="C32" i="6"/>
  <c r="M31" i="6"/>
  <c r="J31" i="6"/>
  <c r="M30" i="6"/>
  <c r="J30" i="6"/>
  <c r="M29" i="6"/>
  <c r="J29" i="6"/>
  <c r="M28" i="6"/>
  <c r="J28" i="6"/>
  <c r="M27" i="6"/>
  <c r="J27" i="6"/>
  <c r="M26" i="6"/>
  <c r="J26" i="6"/>
  <c r="M25" i="6"/>
  <c r="J25" i="6"/>
  <c r="M24" i="6"/>
  <c r="J24" i="6"/>
  <c r="E24" i="6"/>
  <c r="D24" i="6"/>
  <c r="C24" i="6"/>
  <c r="M23" i="6"/>
  <c r="J23" i="6"/>
  <c r="F23" i="6"/>
  <c r="E23" i="6"/>
  <c r="D23" i="6"/>
  <c r="C23" i="6"/>
  <c r="M22" i="6"/>
  <c r="J22" i="6"/>
  <c r="M21" i="6"/>
  <c r="J21" i="6"/>
  <c r="M20" i="6"/>
  <c r="J20" i="6"/>
  <c r="M19" i="6"/>
  <c r="J19" i="6"/>
  <c r="M18" i="6"/>
  <c r="J18" i="6"/>
  <c r="M17" i="6"/>
  <c r="J17" i="6"/>
  <c r="M16" i="6"/>
  <c r="J16" i="6"/>
  <c r="M15" i="6"/>
  <c r="J15" i="6"/>
  <c r="E15" i="6"/>
  <c r="D15" i="6"/>
  <c r="C15" i="6"/>
  <c r="M14" i="6"/>
  <c r="J14" i="6"/>
  <c r="F14" i="6"/>
  <c r="E14" i="6"/>
  <c r="D14" i="6"/>
  <c r="C14" i="6"/>
  <c r="M13" i="6"/>
  <c r="J13" i="6"/>
  <c r="M12" i="6"/>
  <c r="J12" i="6"/>
  <c r="M11" i="6"/>
  <c r="J11" i="6"/>
  <c r="M10" i="6"/>
  <c r="K10" i="6"/>
  <c r="J10" i="6"/>
  <c r="M9" i="6"/>
  <c r="J9" i="6"/>
  <c r="O8" i="6"/>
  <c r="M8" i="6"/>
  <c r="J8" i="6"/>
  <c r="M7" i="6"/>
  <c r="J7" i="6"/>
  <c r="N6" i="6"/>
  <c r="H4" i="6"/>
  <c r="K57" i="37"/>
  <c r="J57" i="37"/>
  <c r="K56" i="37"/>
  <c r="J56" i="37"/>
  <c r="C53" i="37"/>
  <c r="C52" i="37"/>
  <c r="J51" i="37"/>
  <c r="I51" i="37"/>
  <c r="E51" i="37"/>
  <c r="D51" i="37"/>
  <c r="C51" i="37"/>
  <c r="J50" i="37"/>
  <c r="I50" i="37"/>
  <c r="E50" i="37"/>
  <c r="D50" i="37"/>
  <c r="C50" i="37"/>
  <c r="J49" i="37"/>
  <c r="E49" i="37"/>
  <c r="D49" i="37"/>
  <c r="C49" i="37"/>
  <c r="E48" i="37"/>
  <c r="D48" i="37"/>
  <c r="C48" i="37"/>
  <c r="E47" i="37"/>
  <c r="D47" i="37"/>
  <c r="C47" i="37"/>
  <c r="E46" i="37"/>
  <c r="D46" i="37"/>
  <c r="C46" i="37"/>
  <c r="J45" i="37"/>
  <c r="I45" i="37"/>
  <c r="E45" i="37"/>
  <c r="D45" i="37"/>
  <c r="C45" i="37"/>
  <c r="J44" i="37"/>
  <c r="I44" i="37"/>
  <c r="E44" i="37"/>
  <c r="D44" i="37"/>
  <c r="C44" i="37"/>
  <c r="J43" i="37"/>
  <c r="I43" i="37"/>
  <c r="C43" i="37"/>
  <c r="G42" i="37"/>
  <c r="F42" i="37"/>
  <c r="C42" i="37"/>
  <c r="J41" i="37"/>
  <c r="C41" i="37"/>
  <c r="J40" i="37"/>
  <c r="I40" i="37"/>
  <c r="G40" i="37"/>
  <c r="C40" i="37"/>
  <c r="J39" i="37"/>
  <c r="G39" i="37"/>
  <c r="E39" i="37"/>
  <c r="D39" i="37"/>
  <c r="C39" i="37"/>
  <c r="J38" i="37"/>
  <c r="I38" i="37"/>
  <c r="G38" i="37"/>
  <c r="E38" i="37"/>
  <c r="D38" i="37"/>
  <c r="C38" i="37"/>
  <c r="J37" i="37"/>
  <c r="I37" i="37"/>
  <c r="E35" i="37"/>
  <c r="D35" i="37"/>
  <c r="C35" i="37"/>
  <c r="M34" i="37"/>
  <c r="L34" i="37"/>
  <c r="K34" i="37"/>
  <c r="F34" i="37"/>
  <c r="E34" i="37"/>
  <c r="D34" i="37"/>
  <c r="C34" i="37"/>
  <c r="E33" i="37"/>
  <c r="D33" i="37"/>
  <c r="C33" i="37"/>
  <c r="M32" i="37"/>
  <c r="J32" i="37"/>
  <c r="F32" i="37"/>
  <c r="E32" i="37"/>
  <c r="D32" i="37"/>
  <c r="C32" i="37"/>
  <c r="M31" i="37"/>
  <c r="J31" i="37"/>
  <c r="M30" i="37"/>
  <c r="J30" i="37"/>
  <c r="M29" i="37"/>
  <c r="J29" i="37"/>
  <c r="M28" i="37"/>
  <c r="J28" i="37"/>
  <c r="M27" i="37"/>
  <c r="J27" i="37"/>
  <c r="M26" i="37"/>
  <c r="J26" i="37"/>
  <c r="M25" i="37"/>
  <c r="J25" i="37"/>
  <c r="M24" i="37"/>
  <c r="J24" i="37"/>
  <c r="E24" i="37"/>
  <c r="D24" i="37"/>
  <c r="C24" i="37"/>
  <c r="M23" i="37"/>
  <c r="J23" i="37"/>
  <c r="F23" i="37"/>
  <c r="E23" i="37"/>
  <c r="D23" i="37"/>
  <c r="C23" i="37"/>
  <c r="M22" i="37"/>
  <c r="J22" i="37"/>
  <c r="M21" i="37"/>
  <c r="J21" i="37"/>
  <c r="M20" i="37"/>
  <c r="J20" i="37"/>
  <c r="M19" i="37"/>
  <c r="J19" i="37"/>
  <c r="M18" i="37"/>
  <c r="J18" i="37"/>
  <c r="M17" i="37"/>
  <c r="J17" i="37"/>
  <c r="M16" i="37"/>
  <c r="J16" i="37"/>
  <c r="M15" i="37"/>
  <c r="J15" i="37"/>
  <c r="E15" i="37"/>
  <c r="D15" i="37"/>
  <c r="C15" i="37"/>
  <c r="M14" i="37"/>
  <c r="J14" i="37"/>
  <c r="F14" i="37"/>
  <c r="E14" i="37"/>
  <c r="D14" i="37"/>
  <c r="C14" i="37"/>
  <c r="M13" i="37"/>
  <c r="J13" i="37"/>
  <c r="M12" i="37"/>
  <c r="J12" i="37"/>
  <c r="P11" i="37"/>
  <c r="M11" i="37"/>
  <c r="J11" i="37"/>
  <c r="P10" i="37"/>
  <c r="O10" i="37"/>
  <c r="M10" i="37"/>
  <c r="K10" i="37"/>
  <c r="J10" i="37"/>
  <c r="O9" i="37"/>
  <c r="M9" i="37"/>
  <c r="J9" i="37"/>
  <c r="O8" i="37"/>
  <c r="M8" i="37"/>
  <c r="J8" i="37"/>
  <c r="M7" i="37"/>
  <c r="J7" i="37"/>
  <c r="N6" i="37"/>
  <c r="H4" i="37"/>
  <c r="K57" i="4"/>
  <c r="J57" i="4"/>
  <c r="K56" i="4"/>
  <c r="J56" i="4"/>
  <c r="C53" i="4"/>
  <c r="C52" i="4"/>
  <c r="J51" i="4"/>
  <c r="I51" i="4"/>
  <c r="E51" i="4"/>
  <c r="D51" i="4"/>
  <c r="C51" i="4"/>
  <c r="J50" i="4"/>
  <c r="I50" i="4"/>
  <c r="E50" i="4"/>
  <c r="D50" i="4"/>
  <c r="C50" i="4"/>
  <c r="J49" i="4"/>
  <c r="E49" i="4"/>
  <c r="D49" i="4"/>
  <c r="C49" i="4"/>
  <c r="E48" i="4"/>
  <c r="D48" i="4"/>
  <c r="C48" i="4"/>
  <c r="E47" i="4"/>
  <c r="D47" i="4"/>
  <c r="C47" i="4"/>
  <c r="E46" i="4"/>
  <c r="D46" i="4"/>
  <c r="C46" i="4"/>
  <c r="J45" i="4"/>
  <c r="I45" i="4"/>
  <c r="E45" i="4"/>
  <c r="D45" i="4"/>
  <c r="C45" i="4"/>
  <c r="J44" i="4"/>
  <c r="I44" i="4"/>
  <c r="E44" i="4"/>
  <c r="D44" i="4"/>
  <c r="C44" i="4"/>
  <c r="J43" i="4"/>
  <c r="I43" i="4"/>
  <c r="C43" i="4"/>
  <c r="G42" i="4"/>
  <c r="F42" i="4"/>
  <c r="C42" i="4"/>
  <c r="J41" i="4"/>
  <c r="C41" i="4"/>
  <c r="J40" i="4"/>
  <c r="I40" i="4"/>
  <c r="C40" i="4"/>
  <c r="J39" i="4"/>
  <c r="E39" i="4"/>
  <c r="D39" i="4"/>
  <c r="C39" i="4"/>
  <c r="J38" i="4"/>
  <c r="I38" i="4"/>
  <c r="E38" i="4"/>
  <c r="D38" i="4"/>
  <c r="C38" i="4"/>
  <c r="J37" i="4"/>
  <c r="I37" i="4"/>
  <c r="S36" i="4"/>
  <c r="R36" i="4"/>
  <c r="Q36" i="4"/>
  <c r="X35" i="4"/>
  <c r="S35" i="4"/>
  <c r="R35" i="4"/>
  <c r="Q35" i="4"/>
  <c r="E35" i="4"/>
  <c r="D35" i="4"/>
  <c r="C35" i="4"/>
  <c r="M34" i="4"/>
  <c r="L34" i="4"/>
  <c r="K34" i="4"/>
  <c r="F34" i="4"/>
  <c r="E34" i="4"/>
  <c r="D34" i="4"/>
  <c r="C34" i="4"/>
  <c r="E33" i="4"/>
  <c r="D33" i="4"/>
  <c r="C33" i="4"/>
  <c r="S32" i="4"/>
  <c r="R32" i="4"/>
  <c r="Q32" i="4"/>
  <c r="P32" i="4"/>
  <c r="M32" i="4"/>
  <c r="J32" i="4"/>
  <c r="F32" i="4"/>
  <c r="E32" i="4"/>
  <c r="D32" i="4"/>
  <c r="C32" i="4"/>
  <c r="S31" i="4"/>
  <c r="R31" i="4"/>
  <c r="Q31" i="4"/>
  <c r="P31" i="4"/>
  <c r="M31" i="4"/>
  <c r="J31" i="4"/>
  <c r="S30" i="4"/>
  <c r="R30" i="4"/>
  <c r="Q30" i="4"/>
  <c r="P30" i="4"/>
  <c r="M30" i="4"/>
  <c r="J30" i="4"/>
  <c r="Z29" i="4"/>
  <c r="Y29" i="4"/>
  <c r="X29" i="4"/>
  <c r="S29" i="4"/>
  <c r="R29" i="4"/>
  <c r="Q29" i="4"/>
  <c r="P29" i="4"/>
  <c r="M29" i="4"/>
  <c r="J29" i="4"/>
  <c r="Z28" i="4"/>
  <c r="Y28" i="4"/>
  <c r="X28" i="4"/>
  <c r="S28" i="4"/>
  <c r="R28" i="4"/>
  <c r="Q28" i="4"/>
  <c r="P28" i="4"/>
  <c r="M28" i="4"/>
  <c r="J28" i="4"/>
  <c r="S27" i="4"/>
  <c r="R27" i="4"/>
  <c r="Q27" i="4"/>
  <c r="P27" i="4"/>
  <c r="M27" i="4"/>
  <c r="J27" i="4"/>
  <c r="Z26" i="4"/>
  <c r="Y26" i="4"/>
  <c r="S26" i="4"/>
  <c r="R26" i="4"/>
  <c r="Q26" i="4"/>
  <c r="M26" i="4"/>
  <c r="J26" i="4"/>
  <c r="Z25" i="4"/>
  <c r="Y25" i="4"/>
  <c r="S25" i="4"/>
  <c r="R25" i="4"/>
  <c r="Q25" i="4"/>
  <c r="M25" i="4"/>
  <c r="J25" i="4"/>
  <c r="Z24" i="4"/>
  <c r="Y24" i="4"/>
  <c r="M24" i="4"/>
  <c r="J24" i="4"/>
  <c r="E24" i="4"/>
  <c r="D24" i="4"/>
  <c r="C24" i="4"/>
  <c r="Z23" i="4"/>
  <c r="Y23" i="4"/>
  <c r="M23" i="4"/>
  <c r="J23" i="4"/>
  <c r="F23" i="4"/>
  <c r="E23" i="4"/>
  <c r="D23" i="4"/>
  <c r="C23" i="4"/>
  <c r="Z22" i="4"/>
  <c r="Y22" i="4"/>
  <c r="M22" i="4"/>
  <c r="J22" i="4"/>
  <c r="Z21" i="4"/>
  <c r="Y21" i="4"/>
  <c r="M21" i="4"/>
  <c r="J21" i="4"/>
  <c r="Z20" i="4"/>
  <c r="Y20" i="4"/>
  <c r="M20" i="4"/>
  <c r="J20" i="4"/>
  <c r="Z19" i="4"/>
  <c r="Y19" i="4"/>
  <c r="M19" i="4"/>
  <c r="J19" i="4"/>
  <c r="Z18" i="4"/>
  <c r="Y18" i="4"/>
  <c r="S18" i="4"/>
  <c r="R18" i="4"/>
  <c r="Q18" i="4"/>
  <c r="P18" i="4"/>
  <c r="M18" i="4"/>
  <c r="J18" i="4"/>
  <c r="S17" i="4"/>
  <c r="R17" i="4"/>
  <c r="Q17" i="4"/>
  <c r="P17" i="4"/>
  <c r="M17" i="4"/>
  <c r="K17" i="4"/>
  <c r="J17" i="4"/>
  <c r="M16" i="4"/>
  <c r="J16" i="4"/>
  <c r="Z15" i="4"/>
  <c r="Y15" i="4"/>
  <c r="X15" i="4"/>
  <c r="S15" i="4"/>
  <c r="R15" i="4"/>
  <c r="Q15" i="4"/>
  <c r="M15" i="4"/>
  <c r="J15" i="4"/>
  <c r="E15" i="4"/>
  <c r="D15" i="4"/>
  <c r="C15" i="4"/>
  <c r="Z14" i="4"/>
  <c r="Y14" i="4"/>
  <c r="X14" i="4"/>
  <c r="S14" i="4"/>
  <c r="R14" i="4"/>
  <c r="Q14" i="4"/>
  <c r="M14" i="4"/>
  <c r="J14" i="4"/>
  <c r="F14" i="4"/>
  <c r="E14" i="4"/>
  <c r="D14" i="4"/>
  <c r="C14" i="4"/>
  <c r="M13" i="4"/>
  <c r="J13" i="4"/>
  <c r="M12" i="4"/>
  <c r="J12" i="4"/>
  <c r="M11" i="4"/>
  <c r="J11" i="4"/>
  <c r="M10" i="4"/>
  <c r="K10" i="4"/>
  <c r="J10" i="4"/>
  <c r="M9" i="4"/>
  <c r="J9" i="4"/>
  <c r="M8" i="4"/>
  <c r="J8" i="4"/>
  <c r="Z7" i="4"/>
  <c r="Y7" i="4"/>
  <c r="M7" i="4"/>
  <c r="J7" i="4"/>
  <c r="Z6" i="4"/>
  <c r="Y6" i="4"/>
  <c r="W6" i="4"/>
  <c r="S6" i="4"/>
  <c r="R6" i="4"/>
  <c r="P6" i="4"/>
  <c r="J4" i="4"/>
  <c r="H4" i="4"/>
  <c r="K57" i="43"/>
  <c r="J57" i="43"/>
  <c r="K56" i="43"/>
  <c r="J56" i="43"/>
  <c r="C53" i="43"/>
  <c r="C52" i="43"/>
  <c r="J51" i="43"/>
  <c r="I51" i="43"/>
  <c r="E51" i="43"/>
  <c r="D51" i="43"/>
  <c r="C51" i="43"/>
  <c r="J50" i="43"/>
  <c r="I50" i="43"/>
  <c r="E50" i="43"/>
  <c r="D50" i="43"/>
  <c r="C50" i="43"/>
  <c r="J49" i="43"/>
  <c r="E49" i="43"/>
  <c r="D49" i="43"/>
  <c r="C49" i="43"/>
  <c r="E48" i="43"/>
  <c r="D48" i="43"/>
  <c r="C48" i="43"/>
  <c r="E47" i="43"/>
  <c r="D47" i="43"/>
  <c r="C47" i="43"/>
  <c r="E46" i="43"/>
  <c r="D46" i="43"/>
  <c r="C46" i="43"/>
  <c r="J45" i="43"/>
  <c r="I45" i="43"/>
  <c r="E45" i="43"/>
  <c r="D45" i="43"/>
  <c r="C45" i="43"/>
  <c r="J44" i="43"/>
  <c r="I44" i="43"/>
  <c r="E44" i="43"/>
  <c r="D44" i="43"/>
  <c r="C44" i="43"/>
  <c r="J43" i="43"/>
  <c r="I43" i="43"/>
  <c r="C43" i="43"/>
  <c r="G42" i="43"/>
  <c r="F42" i="43"/>
  <c r="C42" i="43"/>
  <c r="J41" i="43"/>
  <c r="C41" i="43"/>
  <c r="J40" i="43"/>
  <c r="I40" i="43"/>
  <c r="G40" i="43"/>
  <c r="C40" i="43"/>
  <c r="J39" i="43"/>
  <c r="G39" i="43"/>
  <c r="E39" i="43"/>
  <c r="D39" i="43"/>
  <c r="C39" i="43"/>
  <c r="J38" i="43"/>
  <c r="I38" i="43"/>
  <c r="E38" i="43"/>
  <c r="D38" i="43"/>
  <c r="C38" i="43"/>
  <c r="J37" i="43"/>
  <c r="I37" i="43"/>
  <c r="E35" i="43"/>
  <c r="D35" i="43"/>
  <c r="C35" i="43"/>
  <c r="M34" i="43"/>
  <c r="L34" i="43"/>
  <c r="K34" i="43"/>
  <c r="F34" i="43"/>
  <c r="E34" i="43"/>
  <c r="D34" i="43"/>
  <c r="C34" i="43"/>
  <c r="E33" i="43"/>
  <c r="D33" i="43"/>
  <c r="C33" i="43"/>
  <c r="M32" i="43"/>
  <c r="J32" i="43"/>
  <c r="F32" i="43"/>
  <c r="E32" i="43"/>
  <c r="D32" i="43"/>
  <c r="C32" i="43"/>
  <c r="M31" i="43"/>
  <c r="J31" i="43"/>
  <c r="M30" i="43"/>
  <c r="J30" i="43"/>
  <c r="M29" i="43"/>
  <c r="J29" i="43"/>
  <c r="M28" i="43"/>
  <c r="J28" i="43"/>
  <c r="M27" i="43"/>
  <c r="J27" i="43"/>
  <c r="M26" i="43"/>
  <c r="J26" i="43"/>
  <c r="M25" i="43"/>
  <c r="J25" i="43"/>
  <c r="M24" i="43"/>
  <c r="J24" i="43"/>
  <c r="E24" i="43"/>
  <c r="D24" i="43"/>
  <c r="C24" i="43"/>
  <c r="M23" i="43"/>
  <c r="J23" i="43"/>
  <c r="F23" i="43"/>
  <c r="E23" i="43"/>
  <c r="D23" i="43"/>
  <c r="C23" i="43"/>
  <c r="M22" i="43"/>
  <c r="J22" i="43"/>
  <c r="M21" i="43"/>
  <c r="J21" i="43"/>
  <c r="M20" i="43"/>
  <c r="J20" i="43"/>
  <c r="M19" i="43"/>
  <c r="J19" i="43"/>
  <c r="M18" i="43"/>
  <c r="J18" i="43"/>
  <c r="M17" i="43"/>
  <c r="K17" i="43"/>
  <c r="J17" i="43"/>
  <c r="M16" i="43"/>
  <c r="J16" i="43"/>
  <c r="M15" i="43"/>
  <c r="J15" i="43"/>
  <c r="E15" i="43"/>
  <c r="D15" i="43"/>
  <c r="C15" i="43"/>
  <c r="M14" i="43"/>
  <c r="J14" i="43"/>
  <c r="F14" i="43"/>
  <c r="E14" i="43"/>
  <c r="D14" i="43"/>
  <c r="C14" i="43"/>
  <c r="M13" i="43"/>
  <c r="J13" i="43"/>
  <c r="M12" i="43"/>
  <c r="J12" i="43"/>
  <c r="R11" i="43"/>
  <c r="Q11" i="43"/>
  <c r="M11" i="43"/>
  <c r="J11" i="43"/>
  <c r="R10" i="43"/>
  <c r="Q10" i="43"/>
  <c r="P10" i="43"/>
  <c r="M10" i="43"/>
  <c r="J10" i="43"/>
  <c r="R9" i="43"/>
  <c r="Q9" i="43"/>
  <c r="O9" i="43"/>
  <c r="M9" i="43"/>
  <c r="J9" i="43"/>
  <c r="R8" i="43"/>
  <c r="Q8" i="43"/>
  <c r="O8" i="43"/>
  <c r="M8" i="43"/>
  <c r="J8" i="43"/>
  <c r="M7" i="43"/>
  <c r="J7" i="43"/>
  <c r="N6" i="43"/>
  <c r="H4" i="43"/>
  <c r="M40" i="54"/>
  <c r="D40" i="54"/>
  <c r="M39" i="54"/>
  <c r="D39" i="54"/>
  <c r="M38" i="54"/>
  <c r="D38" i="54"/>
  <c r="M37" i="54"/>
  <c r="D37" i="54"/>
  <c r="M36" i="54"/>
  <c r="D36" i="54"/>
  <c r="M35" i="54"/>
  <c r="D35" i="54"/>
  <c r="M34" i="54"/>
  <c r="D34" i="54"/>
  <c r="M33" i="54"/>
  <c r="D33" i="54"/>
  <c r="M32" i="54"/>
  <c r="D32" i="54"/>
  <c r="M31" i="54"/>
  <c r="D31" i="54"/>
  <c r="M30" i="54"/>
  <c r="D30" i="54"/>
  <c r="M29" i="54"/>
  <c r="D29" i="54"/>
  <c r="M28" i="54"/>
  <c r="D28" i="54"/>
  <c r="M27" i="54"/>
  <c r="D27" i="54"/>
  <c r="M26" i="54"/>
  <c r="D26" i="54"/>
  <c r="M25" i="54"/>
  <c r="D25" i="54"/>
  <c r="M24" i="54"/>
  <c r="D24" i="54"/>
  <c r="M23" i="54"/>
  <c r="D23" i="54"/>
  <c r="M22" i="54"/>
  <c r="D22" i="54"/>
  <c r="M21" i="54"/>
  <c r="D21" i="54"/>
  <c r="M20" i="54"/>
  <c r="D20" i="54"/>
  <c r="M19" i="54"/>
  <c r="D19" i="54"/>
  <c r="M18" i="54"/>
  <c r="D18" i="54"/>
  <c r="M17" i="54"/>
  <c r="D17" i="54"/>
  <c r="M16" i="54"/>
  <c r="D16" i="54"/>
  <c r="M11" i="54"/>
  <c r="D11" i="54"/>
  <c r="M10" i="54"/>
  <c r="D10" i="54"/>
  <c r="M9" i="54"/>
  <c r="D9" i="54"/>
  <c r="M8" i="54"/>
  <c r="D8" i="54"/>
  <c r="M7" i="54"/>
  <c r="D7" i="54"/>
  <c r="M6" i="54"/>
  <c r="D6" i="54"/>
  <c r="M5" i="54"/>
  <c r="D5" i="54"/>
  <c r="M4" i="54"/>
  <c r="D4" i="54"/>
  <c r="Q3" i="54"/>
  <c r="P3" i="54"/>
  <c r="O3" i="54"/>
  <c r="N3" i="54"/>
  <c r="M3" i="54"/>
  <c r="H3" i="54"/>
  <c r="G3" i="54"/>
  <c r="F3" i="54"/>
  <c r="E3" i="54"/>
  <c r="AH39" i="51"/>
  <c r="AG39" i="5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AH37" i="51"/>
  <c r="AG37" i="51"/>
  <c r="AH36" i="51"/>
  <c r="AG36" i="51"/>
  <c r="AH35" i="51"/>
  <c r="AG35" i="51"/>
  <c r="AH34" i="51"/>
  <c r="AG34" i="51"/>
  <c r="AH33" i="51"/>
  <c r="AG33" i="51"/>
  <c r="AH32" i="51"/>
  <c r="AG32" i="51"/>
  <c r="AH31" i="51"/>
  <c r="AG31" i="51"/>
  <c r="AH30" i="51"/>
  <c r="AG30" i="51"/>
  <c r="AH29" i="51"/>
  <c r="AG29" i="51"/>
  <c r="AH28" i="51"/>
  <c r="AG28" i="51"/>
  <c r="AH27" i="51"/>
  <c r="AG27" i="51"/>
  <c r="AH26" i="51"/>
  <c r="AG26" i="51"/>
  <c r="AH25" i="51"/>
  <c r="AG25" i="51"/>
  <c r="AH24" i="51"/>
  <c r="AG24" i="51"/>
  <c r="AH23" i="51"/>
  <c r="AG23" i="51"/>
  <c r="AH22" i="51"/>
  <c r="AG22" i="51"/>
  <c r="AH21" i="51"/>
  <c r="AG21" i="51"/>
  <c r="AH20" i="51"/>
  <c r="AG20" i="51"/>
  <c r="AH19" i="51"/>
  <c r="AG19" i="51"/>
  <c r="AH18" i="51"/>
  <c r="AG18" i="51"/>
  <c r="AH17" i="51"/>
  <c r="AG17" i="51"/>
  <c r="AH16" i="51"/>
  <c r="AG16" i="51"/>
  <c r="AH15" i="51"/>
  <c r="AG15" i="51"/>
  <c r="AH14" i="51"/>
  <c r="AG14" i="51"/>
  <c r="AH13" i="51"/>
  <c r="AG13" i="51"/>
  <c r="AH12" i="51"/>
  <c r="AG12" i="51"/>
  <c r="AH11" i="51"/>
  <c r="AG11" i="51"/>
  <c r="AH10" i="51"/>
  <c r="AG10" i="51"/>
  <c r="AH9" i="51"/>
  <c r="AG9" i="51"/>
  <c r="AH8" i="51"/>
  <c r="AG8" i="51"/>
  <c r="AH7" i="51"/>
  <c r="AG7" i="51"/>
  <c r="AF7" i="51"/>
  <c r="AE7" i="51"/>
  <c r="AD7" i="51"/>
  <c r="AC7" i="51"/>
  <c r="AA7" i="5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/>
  <c r="B7" i="51"/>
  <c r="AH6" i="51"/>
  <c r="AG6" i="51"/>
  <c r="AF6" i="51"/>
  <c r="AE6" i="51"/>
  <c r="AD6" i="51"/>
  <c r="AC6" i="51"/>
  <c r="AB6" i="51"/>
  <c r="AA6" i="51"/>
  <c r="Z6" i="51"/>
  <c r="Y6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B6" i="51"/>
  <c r="AG4" i="51"/>
  <c r="AG3" i="51"/>
  <c r="AC3" i="51"/>
  <c r="Q3" i="51"/>
  <c r="O3" i="51"/>
  <c r="G3" i="51"/>
  <c r="F3" i="51"/>
  <c r="H1" i="51"/>
  <c r="CO42" i="2"/>
  <c r="CN42" i="2"/>
  <c r="CM42" i="2"/>
  <c r="CJ42" i="2"/>
  <c r="CI42" i="2"/>
  <c r="CF42" i="2"/>
  <c r="CE42" i="2"/>
  <c r="CB42" i="2"/>
  <c r="CA42" i="2"/>
  <c r="BX42" i="2"/>
  <c r="BW42" i="2"/>
  <c r="BT42" i="2"/>
  <c r="BS42" i="2"/>
  <c r="BP42" i="2"/>
  <c r="BO42" i="2"/>
  <c r="BK42" i="2"/>
  <c r="BH42" i="2"/>
  <c r="BG42" i="2"/>
  <c r="BD42" i="2"/>
  <c r="BC42" i="2"/>
  <c r="AZ42" i="2"/>
  <c r="AY42" i="2"/>
  <c r="AV42" i="2"/>
  <c r="AU42" i="2"/>
  <c r="AR42" i="2"/>
  <c r="AQ42" i="2"/>
  <c r="AN42" i="2"/>
  <c r="AM42" i="2"/>
  <c r="AJ42" i="2"/>
  <c r="AI42" i="2"/>
  <c r="AF42" i="2"/>
  <c r="AE42" i="2"/>
  <c r="AB42" i="2"/>
  <c r="AA42" i="2"/>
  <c r="K42" i="2"/>
  <c r="H42" i="2"/>
  <c r="G42" i="2"/>
  <c r="E42" i="2"/>
  <c r="D42" i="2"/>
  <c r="CP40" i="2"/>
  <c r="CO40" i="2"/>
  <c r="CN40" i="2"/>
  <c r="CM40" i="2"/>
  <c r="CL40" i="2"/>
  <c r="CK40" i="2"/>
  <c r="CJ40" i="2"/>
  <c r="CH40" i="2"/>
  <c r="CG40" i="2"/>
  <c r="CF40" i="2"/>
  <c r="CE40" i="2"/>
  <c r="CD40" i="2"/>
  <c r="CC40" i="2"/>
  <c r="CB40" i="2"/>
  <c r="BZ40" i="2"/>
  <c r="BY40" i="2"/>
  <c r="BX40" i="2"/>
  <c r="BV40" i="2"/>
  <c r="BU40" i="2"/>
  <c r="BT40" i="2"/>
  <c r="BS40" i="2"/>
  <c r="BR40" i="2"/>
  <c r="BQ40" i="2"/>
  <c r="BP40" i="2"/>
  <c r="BO40" i="2"/>
  <c r="BJ40" i="2"/>
  <c r="BI40" i="2"/>
  <c r="BH40" i="2"/>
  <c r="BF40" i="2"/>
  <c r="BE40" i="2"/>
  <c r="BD40" i="2"/>
  <c r="BB40" i="2"/>
  <c r="BA40" i="2"/>
  <c r="AZ40" i="2"/>
  <c r="AX40" i="2"/>
  <c r="AW40" i="2"/>
  <c r="AV40" i="2"/>
  <c r="AU40" i="2"/>
  <c r="AT40" i="2"/>
  <c r="AS40" i="2"/>
  <c r="AR40" i="2"/>
  <c r="AP40" i="2"/>
  <c r="AO40" i="2"/>
  <c r="AN40" i="2"/>
  <c r="AL40" i="2"/>
  <c r="AK40" i="2"/>
  <c r="AJ40" i="2"/>
  <c r="AD40" i="2"/>
  <c r="AC40" i="2"/>
  <c r="AB40" i="2"/>
  <c r="AA40" i="2"/>
  <c r="Z40" i="2"/>
  <c r="Y40" i="2"/>
  <c r="X40" i="2"/>
  <c r="V40" i="2"/>
  <c r="U40" i="2"/>
  <c r="T40" i="2"/>
  <c r="R40" i="2"/>
  <c r="Q40" i="2"/>
  <c r="P40" i="2"/>
  <c r="N40" i="2"/>
  <c r="M40" i="2"/>
  <c r="L40" i="2"/>
  <c r="K40" i="2"/>
  <c r="J40" i="2"/>
  <c r="I40" i="2"/>
  <c r="H40" i="2"/>
  <c r="F40" i="2"/>
  <c r="E40" i="2"/>
  <c r="D40" i="2"/>
  <c r="C40" i="2"/>
  <c r="B40" i="2"/>
  <c r="A40" i="2"/>
  <c r="CP39" i="2"/>
  <c r="CO39" i="2"/>
  <c r="CN39" i="2"/>
  <c r="CM39" i="2"/>
  <c r="CL39" i="2"/>
  <c r="CK39" i="2"/>
  <c r="CJ39" i="2"/>
  <c r="CH39" i="2"/>
  <c r="CG39" i="2"/>
  <c r="CF39" i="2"/>
  <c r="CE39" i="2"/>
  <c r="CD39" i="2"/>
  <c r="CC39" i="2"/>
  <c r="CB39" i="2"/>
  <c r="BZ39" i="2"/>
  <c r="BY39" i="2"/>
  <c r="BX39" i="2"/>
  <c r="BV39" i="2"/>
  <c r="BU39" i="2"/>
  <c r="BT39" i="2"/>
  <c r="BS39" i="2"/>
  <c r="BR39" i="2"/>
  <c r="BQ39" i="2"/>
  <c r="BP39" i="2"/>
  <c r="BO39" i="2"/>
  <c r="BJ39" i="2"/>
  <c r="BI39" i="2"/>
  <c r="BH39" i="2"/>
  <c r="BF39" i="2"/>
  <c r="BE39" i="2"/>
  <c r="BD39" i="2"/>
  <c r="BB39" i="2"/>
  <c r="BA39" i="2"/>
  <c r="AZ39" i="2"/>
  <c r="AX39" i="2"/>
  <c r="AW39" i="2"/>
  <c r="AV39" i="2"/>
  <c r="AU39" i="2"/>
  <c r="AT39" i="2"/>
  <c r="AS39" i="2"/>
  <c r="AR39" i="2"/>
  <c r="AP39" i="2"/>
  <c r="AO39" i="2"/>
  <c r="AN39" i="2"/>
  <c r="AL39" i="2"/>
  <c r="AK39" i="2"/>
  <c r="AJ39" i="2"/>
  <c r="AD39" i="2"/>
  <c r="AC39" i="2"/>
  <c r="AB39" i="2"/>
  <c r="AA39" i="2"/>
  <c r="Z39" i="2"/>
  <c r="Y39" i="2"/>
  <c r="X39" i="2"/>
  <c r="V39" i="2"/>
  <c r="U39" i="2"/>
  <c r="T39" i="2"/>
  <c r="R39" i="2"/>
  <c r="Q39" i="2"/>
  <c r="P39" i="2"/>
  <c r="N39" i="2"/>
  <c r="M39" i="2"/>
  <c r="L39" i="2"/>
  <c r="K39" i="2"/>
  <c r="J39" i="2"/>
  <c r="I39" i="2"/>
  <c r="H39" i="2"/>
  <c r="F39" i="2"/>
  <c r="E39" i="2"/>
  <c r="D39" i="2"/>
  <c r="C39" i="2"/>
  <c r="B39" i="2"/>
  <c r="A39" i="2"/>
  <c r="CP38" i="2"/>
  <c r="CO38" i="2"/>
  <c r="CN38" i="2"/>
  <c r="CM38" i="2"/>
  <c r="CL38" i="2"/>
  <c r="CK38" i="2"/>
  <c r="CJ38" i="2"/>
  <c r="CH38" i="2"/>
  <c r="CG38" i="2"/>
  <c r="CF38" i="2"/>
  <c r="CE38" i="2"/>
  <c r="CD38" i="2"/>
  <c r="CC38" i="2"/>
  <c r="CB38" i="2"/>
  <c r="BZ38" i="2"/>
  <c r="BY38" i="2"/>
  <c r="BX38" i="2"/>
  <c r="BV38" i="2"/>
  <c r="BU38" i="2"/>
  <c r="BT38" i="2"/>
  <c r="BS38" i="2"/>
  <c r="BR38" i="2"/>
  <c r="BQ38" i="2"/>
  <c r="BP38" i="2"/>
  <c r="BO38" i="2"/>
  <c r="BJ38" i="2"/>
  <c r="BI38" i="2"/>
  <c r="BH38" i="2"/>
  <c r="BF38" i="2"/>
  <c r="BE38" i="2"/>
  <c r="BD38" i="2"/>
  <c r="BB38" i="2"/>
  <c r="BA38" i="2"/>
  <c r="AZ38" i="2"/>
  <c r="AX38" i="2"/>
  <c r="AW38" i="2"/>
  <c r="AV38" i="2"/>
  <c r="AU38" i="2"/>
  <c r="AT38" i="2"/>
  <c r="AS38" i="2"/>
  <c r="AR38" i="2"/>
  <c r="AP38" i="2"/>
  <c r="AO38" i="2"/>
  <c r="AN38" i="2"/>
  <c r="AL38" i="2"/>
  <c r="AK38" i="2"/>
  <c r="AJ38" i="2"/>
  <c r="AD38" i="2"/>
  <c r="AC38" i="2"/>
  <c r="AB38" i="2"/>
  <c r="AA38" i="2"/>
  <c r="Z38" i="2"/>
  <c r="Y38" i="2"/>
  <c r="X38" i="2"/>
  <c r="V38" i="2"/>
  <c r="U38" i="2"/>
  <c r="T38" i="2"/>
  <c r="R38" i="2"/>
  <c r="Q38" i="2"/>
  <c r="P38" i="2"/>
  <c r="N38" i="2"/>
  <c r="M38" i="2"/>
  <c r="L38" i="2"/>
  <c r="K38" i="2"/>
  <c r="J38" i="2"/>
  <c r="I38" i="2"/>
  <c r="H38" i="2"/>
  <c r="F38" i="2"/>
  <c r="E38" i="2"/>
  <c r="D38" i="2"/>
  <c r="C38" i="2"/>
  <c r="B38" i="2"/>
  <c r="A38" i="2"/>
  <c r="CP37" i="2"/>
  <c r="CO37" i="2"/>
  <c r="CN37" i="2"/>
  <c r="CM37" i="2"/>
  <c r="CL37" i="2"/>
  <c r="CK37" i="2"/>
  <c r="CJ37" i="2"/>
  <c r="CH37" i="2"/>
  <c r="CG37" i="2"/>
  <c r="CF37" i="2"/>
  <c r="CE37" i="2"/>
  <c r="CD37" i="2"/>
  <c r="CC37" i="2"/>
  <c r="CB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J37" i="2"/>
  <c r="BI37" i="2"/>
  <c r="BH37" i="2"/>
  <c r="BF37" i="2"/>
  <c r="BE37" i="2"/>
  <c r="BD37" i="2"/>
  <c r="BB37" i="2"/>
  <c r="BA37" i="2"/>
  <c r="AZ37" i="2"/>
  <c r="AX37" i="2"/>
  <c r="AW37" i="2"/>
  <c r="AV37" i="2"/>
  <c r="AU37" i="2"/>
  <c r="AT37" i="2"/>
  <c r="AS37" i="2"/>
  <c r="AR37" i="2"/>
  <c r="AP37" i="2"/>
  <c r="AO37" i="2"/>
  <c r="AN37" i="2"/>
  <c r="AL37" i="2"/>
  <c r="AK37" i="2"/>
  <c r="AJ37" i="2"/>
  <c r="AD37" i="2"/>
  <c r="AC37" i="2"/>
  <c r="AB37" i="2"/>
  <c r="AA37" i="2"/>
  <c r="Z37" i="2"/>
  <c r="Y37" i="2"/>
  <c r="X37" i="2"/>
  <c r="V37" i="2"/>
  <c r="U37" i="2"/>
  <c r="T37" i="2"/>
  <c r="R37" i="2"/>
  <c r="Q37" i="2"/>
  <c r="P37" i="2"/>
  <c r="N37" i="2"/>
  <c r="M37" i="2"/>
  <c r="L37" i="2"/>
  <c r="K37" i="2"/>
  <c r="J37" i="2"/>
  <c r="I37" i="2"/>
  <c r="H37" i="2"/>
  <c r="F37" i="2"/>
  <c r="E37" i="2"/>
  <c r="D37" i="2"/>
  <c r="C37" i="2"/>
  <c r="B37" i="2"/>
  <c r="A37" i="2"/>
  <c r="CP36" i="2"/>
  <c r="CO36" i="2"/>
  <c r="CN36" i="2"/>
  <c r="CM36" i="2"/>
  <c r="CL36" i="2"/>
  <c r="CK36" i="2"/>
  <c r="CJ36" i="2"/>
  <c r="CH36" i="2"/>
  <c r="CG36" i="2"/>
  <c r="CF36" i="2"/>
  <c r="CE36" i="2"/>
  <c r="CD36" i="2"/>
  <c r="CC36" i="2"/>
  <c r="CB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J36" i="2"/>
  <c r="BI36" i="2"/>
  <c r="BH36" i="2"/>
  <c r="BF36" i="2"/>
  <c r="BE36" i="2"/>
  <c r="BD36" i="2"/>
  <c r="BB36" i="2"/>
  <c r="BA36" i="2"/>
  <c r="AZ36" i="2"/>
  <c r="AX36" i="2"/>
  <c r="AW36" i="2"/>
  <c r="AV36" i="2"/>
  <c r="AT36" i="2"/>
  <c r="AS36" i="2"/>
  <c r="AR36" i="2"/>
  <c r="AP36" i="2"/>
  <c r="AO36" i="2"/>
  <c r="AN36" i="2"/>
  <c r="AL36" i="2"/>
  <c r="AK36" i="2"/>
  <c r="AJ36" i="2"/>
  <c r="AD36" i="2"/>
  <c r="AC36" i="2"/>
  <c r="AB36" i="2"/>
  <c r="AA36" i="2"/>
  <c r="Z36" i="2"/>
  <c r="Y36" i="2"/>
  <c r="X36" i="2"/>
  <c r="V36" i="2"/>
  <c r="U36" i="2"/>
  <c r="T36" i="2"/>
  <c r="R36" i="2"/>
  <c r="Q36" i="2"/>
  <c r="P36" i="2"/>
  <c r="N36" i="2"/>
  <c r="M36" i="2"/>
  <c r="L36" i="2"/>
  <c r="K36" i="2"/>
  <c r="J36" i="2"/>
  <c r="I36" i="2"/>
  <c r="H36" i="2"/>
  <c r="F36" i="2"/>
  <c r="E36" i="2"/>
  <c r="D36" i="2"/>
  <c r="C36" i="2"/>
  <c r="B36" i="2"/>
  <c r="A36" i="2"/>
  <c r="CP35" i="2"/>
  <c r="CO35" i="2"/>
  <c r="CN35" i="2"/>
  <c r="CM35" i="2"/>
  <c r="CL35" i="2"/>
  <c r="CK35" i="2"/>
  <c r="CJ35" i="2"/>
  <c r="CH35" i="2"/>
  <c r="CG35" i="2"/>
  <c r="CF35" i="2"/>
  <c r="CE35" i="2"/>
  <c r="CD35" i="2"/>
  <c r="CC35" i="2"/>
  <c r="CB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J35" i="2"/>
  <c r="BI35" i="2"/>
  <c r="BH35" i="2"/>
  <c r="BF35" i="2"/>
  <c r="BE35" i="2"/>
  <c r="BD35" i="2"/>
  <c r="BB35" i="2"/>
  <c r="BA35" i="2"/>
  <c r="AZ35" i="2"/>
  <c r="AX35" i="2"/>
  <c r="AW35" i="2"/>
  <c r="AV35" i="2"/>
  <c r="AT35" i="2"/>
  <c r="AS35" i="2"/>
  <c r="AR35" i="2"/>
  <c r="AP35" i="2"/>
  <c r="AO35" i="2"/>
  <c r="AN35" i="2"/>
  <c r="AL35" i="2"/>
  <c r="AK35" i="2"/>
  <c r="AJ35" i="2"/>
  <c r="AD35" i="2"/>
  <c r="AC35" i="2"/>
  <c r="AB35" i="2"/>
  <c r="AA35" i="2"/>
  <c r="Z35" i="2"/>
  <c r="Y35" i="2"/>
  <c r="X35" i="2"/>
  <c r="V35" i="2"/>
  <c r="U35" i="2"/>
  <c r="T35" i="2"/>
  <c r="R35" i="2"/>
  <c r="Q35" i="2"/>
  <c r="P35" i="2"/>
  <c r="N35" i="2"/>
  <c r="M35" i="2"/>
  <c r="L35" i="2"/>
  <c r="K35" i="2"/>
  <c r="J35" i="2"/>
  <c r="I35" i="2"/>
  <c r="H35" i="2"/>
  <c r="F35" i="2"/>
  <c r="E35" i="2"/>
  <c r="D35" i="2"/>
  <c r="C35" i="2"/>
  <c r="B35" i="2"/>
  <c r="A35" i="2"/>
  <c r="CP34" i="2"/>
  <c r="CO34" i="2"/>
  <c r="CN34" i="2"/>
  <c r="CM34" i="2"/>
  <c r="CL34" i="2"/>
  <c r="CK34" i="2"/>
  <c r="CJ34" i="2"/>
  <c r="CH34" i="2"/>
  <c r="CG34" i="2"/>
  <c r="CF34" i="2"/>
  <c r="CE34" i="2"/>
  <c r="CD34" i="2"/>
  <c r="CC34" i="2"/>
  <c r="CB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J34" i="2"/>
  <c r="BI34" i="2"/>
  <c r="BH34" i="2"/>
  <c r="BF34" i="2"/>
  <c r="BE34" i="2"/>
  <c r="BD34" i="2"/>
  <c r="BB34" i="2"/>
  <c r="BA34" i="2"/>
  <c r="AZ34" i="2"/>
  <c r="AX34" i="2"/>
  <c r="AW34" i="2"/>
  <c r="AV34" i="2"/>
  <c r="AT34" i="2"/>
  <c r="AS34" i="2"/>
  <c r="AR34" i="2"/>
  <c r="AP34" i="2"/>
  <c r="AO34" i="2"/>
  <c r="AN34" i="2"/>
  <c r="AL34" i="2"/>
  <c r="AK34" i="2"/>
  <c r="AJ34" i="2"/>
  <c r="AD34" i="2"/>
  <c r="AC34" i="2"/>
  <c r="AB34" i="2"/>
  <c r="AA34" i="2"/>
  <c r="Z34" i="2"/>
  <c r="Y34" i="2"/>
  <c r="X34" i="2"/>
  <c r="V34" i="2"/>
  <c r="U34" i="2"/>
  <c r="T34" i="2"/>
  <c r="R34" i="2"/>
  <c r="Q34" i="2"/>
  <c r="P34" i="2"/>
  <c r="N34" i="2"/>
  <c r="M34" i="2"/>
  <c r="L34" i="2"/>
  <c r="K34" i="2"/>
  <c r="J34" i="2"/>
  <c r="I34" i="2"/>
  <c r="H34" i="2"/>
  <c r="F34" i="2"/>
  <c r="E34" i="2"/>
  <c r="D34" i="2"/>
  <c r="C34" i="2"/>
  <c r="B34" i="2"/>
  <c r="A34" i="2"/>
  <c r="CP33" i="2"/>
  <c r="CO33" i="2"/>
  <c r="CN33" i="2"/>
  <c r="CM33" i="2"/>
  <c r="CL33" i="2"/>
  <c r="CK33" i="2"/>
  <c r="CJ33" i="2"/>
  <c r="CH33" i="2"/>
  <c r="CG33" i="2"/>
  <c r="CF33" i="2"/>
  <c r="CE33" i="2"/>
  <c r="CD33" i="2"/>
  <c r="CC33" i="2"/>
  <c r="CB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J33" i="2"/>
  <c r="BI33" i="2"/>
  <c r="BH33" i="2"/>
  <c r="BF33" i="2"/>
  <c r="BE33" i="2"/>
  <c r="BD33" i="2"/>
  <c r="BB33" i="2"/>
  <c r="BA33" i="2"/>
  <c r="AZ33" i="2"/>
  <c r="AX33" i="2"/>
  <c r="AW33" i="2"/>
  <c r="AV33" i="2"/>
  <c r="AT33" i="2"/>
  <c r="AS33" i="2"/>
  <c r="AR33" i="2"/>
  <c r="AP33" i="2"/>
  <c r="AO33" i="2"/>
  <c r="AN33" i="2"/>
  <c r="AL33" i="2"/>
  <c r="AK33" i="2"/>
  <c r="AJ33" i="2"/>
  <c r="AD33" i="2"/>
  <c r="AC33" i="2"/>
  <c r="AB33" i="2"/>
  <c r="AA33" i="2"/>
  <c r="Z33" i="2"/>
  <c r="Y33" i="2"/>
  <c r="X33" i="2"/>
  <c r="V33" i="2"/>
  <c r="U33" i="2"/>
  <c r="T33" i="2"/>
  <c r="R33" i="2"/>
  <c r="Q33" i="2"/>
  <c r="P33" i="2"/>
  <c r="N33" i="2"/>
  <c r="M33" i="2"/>
  <c r="L33" i="2"/>
  <c r="K33" i="2"/>
  <c r="J33" i="2"/>
  <c r="I33" i="2"/>
  <c r="H33" i="2"/>
  <c r="F33" i="2"/>
  <c r="E33" i="2"/>
  <c r="D33" i="2"/>
  <c r="C33" i="2"/>
  <c r="B33" i="2"/>
  <c r="A33" i="2"/>
  <c r="CP32" i="2"/>
  <c r="CO32" i="2"/>
  <c r="CN32" i="2"/>
  <c r="CM32" i="2"/>
  <c r="CL32" i="2"/>
  <c r="CK32" i="2"/>
  <c r="CJ32" i="2"/>
  <c r="CH32" i="2"/>
  <c r="CG32" i="2"/>
  <c r="CF32" i="2"/>
  <c r="CE32" i="2"/>
  <c r="CD32" i="2"/>
  <c r="CC32" i="2"/>
  <c r="CB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J32" i="2"/>
  <c r="BI32" i="2"/>
  <c r="BH32" i="2"/>
  <c r="BF32" i="2"/>
  <c r="BE32" i="2"/>
  <c r="BD32" i="2"/>
  <c r="BB32" i="2"/>
  <c r="BA32" i="2"/>
  <c r="AZ32" i="2"/>
  <c r="AX32" i="2"/>
  <c r="AW32" i="2"/>
  <c r="AV32" i="2"/>
  <c r="AT32" i="2"/>
  <c r="AS32" i="2"/>
  <c r="AR32" i="2"/>
  <c r="AP32" i="2"/>
  <c r="AO32" i="2"/>
  <c r="AN32" i="2"/>
  <c r="AL32" i="2"/>
  <c r="AK32" i="2"/>
  <c r="AJ32" i="2"/>
  <c r="AD32" i="2"/>
  <c r="AC32" i="2"/>
  <c r="AB32" i="2"/>
  <c r="AA32" i="2"/>
  <c r="Z32" i="2"/>
  <c r="Y32" i="2"/>
  <c r="X32" i="2"/>
  <c r="V32" i="2"/>
  <c r="U32" i="2"/>
  <c r="T32" i="2"/>
  <c r="R32" i="2"/>
  <c r="Q32" i="2"/>
  <c r="P32" i="2"/>
  <c r="N32" i="2"/>
  <c r="M32" i="2"/>
  <c r="L32" i="2"/>
  <c r="K32" i="2"/>
  <c r="J32" i="2"/>
  <c r="I32" i="2"/>
  <c r="H32" i="2"/>
  <c r="F32" i="2"/>
  <c r="E32" i="2"/>
  <c r="D32" i="2"/>
  <c r="C32" i="2"/>
  <c r="B32" i="2"/>
  <c r="A32" i="2"/>
  <c r="CP31" i="2"/>
  <c r="CO31" i="2"/>
  <c r="CN31" i="2"/>
  <c r="CM31" i="2"/>
  <c r="CL31" i="2"/>
  <c r="CK31" i="2"/>
  <c r="CJ31" i="2"/>
  <c r="CH31" i="2"/>
  <c r="CG31" i="2"/>
  <c r="CF31" i="2"/>
  <c r="CE31" i="2"/>
  <c r="CD31" i="2"/>
  <c r="CC31" i="2"/>
  <c r="CB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J31" i="2"/>
  <c r="BI31" i="2"/>
  <c r="BH31" i="2"/>
  <c r="BF31" i="2"/>
  <c r="BE31" i="2"/>
  <c r="BD31" i="2"/>
  <c r="BB31" i="2"/>
  <c r="BA31" i="2"/>
  <c r="AZ31" i="2"/>
  <c r="AX31" i="2"/>
  <c r="AW31" i="2"/>
  <c r="AV31" i="2"/>
  <c r="AT31" i="2"/>
  <c r="AS31" i="2"/>
  <c r="AR31" i="2"/>
  <c r="AP31" i="2"/>
  <c r="AO31" i="2"/>
  <c r="AN31" i="2"/>
  <c r="AL31" i="2"/>
  <c r="AK31" i="2"/>
  <c r="AJ31" i="2"/>
  <c r="AD31" i="2"/>
  <c r="AC31" i="2"/>
  <c r="AB31" i="2"/>
  <c r="AA31" i="2"/>
  <c r="Z31" i="2"/>
  <c r="Y31" i="2"/>
  <c r="X31" i="2"/>
  <c r="V31" i="2"/>
  <c r="U31" i="2"/>
  <c r="T31" i="2"/>
  <c r="R31" i="2"/>
  <c r="Q31" i="2"/>
  <c r="P31" i="2"/>
  <c r="N31" i="2"/>
  <c r="M31" i="2"/>
  <c r="L31" i="2"/>
  <c r="K31" i="2"/>
  <c r="J31" i="2"/>
  <c r="I31" i="2"/>
  <c r="H31" i="2"/>
  <c r="F31" i="2"/>
  <c r="E31" i="2"/>
  <c r="D31" i="2"/>
  <c r="C31" i="2"/>
  <c r="B31" i="2"/>
  <c r="A31" i="2"/>
  <c r="CP30" i="2"/>
  <c r="CO30" i="2"/>
  <c r="CN30" i="2"/>
  <c r="CM30" i="2"/>
  <c r="CL30" i="2"/>
  <c r="CK30" i="2"/>
  <c r="CJ30" i="2"/>
  <c r="CH30" i="2"/>
  <c r="CG30" i="2"/>
  <c r="CF30" i="2"/>
  <c r="CE30" i="2"/>
  <c r="CD30" i="2"/>
  <c r="CC30" i="2"/>
  <c r="CB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J30" i="2"/>
  <c r="BI30" i="2"/>
  <c r="BH30" i="2"/>
  <c r="BF30" i="2"/>
  <c r="BE30" i="2"/>
  <c r="BD30" i="2"/>
  <c r="BB30" i="2"/>
  <c r="BA30" i="2"/>
  <c r="AZ30" i="2"/>
  <c r="AX30" i="2"/>
  <c r="AW30" i="2"/>
  <c r="AV30" i="2"/>
  <c r="AT30" i="2"/>
  <c r="AS30" i="2"/>
  <c r="AR30" i="2"/>
  <c r="AP30" i="2"/>
  <c r="AO30" i="2"/>
  <c r="AN30" i="2"/>
  <c r="AL30" i="2"/>
  <c r="AK30" i="2"/>
  <c r="AJ30" i="2"/>
  <c r="AD30" i="2"/>
  <c r="AC30" i="2"/>
  <c r="AB30" i="2"/>
  <c r="AA30" i="2"/>
  <c r="Z30" i="2"/>
  <c r="Y30" i="2"/>
  <c r="X30" i="2"/>
  <c r="V30" i="2"/>
  <c r="U30" i="2"/>
  <c r="T30" i="2"/>
  <c r="R30" i="2"/>
  <c r="Q30" i="2"/>
  <c r="P30" i="2"/>
  <c r="N30" i="2"/>
  <c r="M30" i="2"/>
  <c r="L30" i="2"/>
  <c r="K30" i="2"/>
  <c r="J30" i="2"/>
  <c r="I30" i="2"/>
  <c r="H30" i="2"/>
  <c r="F30" i="2"/>
  <c r="E30" i="2"/>
  <c r="D30" i="2"/>
  <c r="C30" i="2"/>
  <c r="B30" i="2"/>
  <c r="A30" i="2"/>
  <c r="CP29" i="2"/>
  <c r="CO29" i="2"/>
  <c r="CN29" i="2"/>
  <c r="CM29" i="2"/>
  <c r="CL29" i="2"/>
  <c r="CK29" i="2"/>
  <c r="CJ29" i="2"/>
  <c r="CH29" i="2"/>
  <c r="CG29" i="2"/>
  <c r="CF29" i="2"/>
  <c r="CE29" i="2"/>
  <c r="CD29" i="2"/>
  <c r="CC29" i="2"/>
  <c r="CB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J29" i="2"/>
  <c r="BI29" i="2"/>
  <c r="BH29" i="2"/>
  <c r="BF29" i="2"/>
  <c r="BE29" i="2"/>
  <c r="BD29" i="2"/>
  <c r="BB29" i="2"/>
  <c r="BA29" i="2"/>
  <c r="AZ29" i="2"/>
  <c r="AX29" i="2"/>
  <c r="AW29" i="2"/>
  <c r="AV29" i="2"/>
  <c r="AT29" i="2"/>
  <c r="AS29" i="2"/>
  <c r="AR29" i="2"/>
  <c r="AP29" i="2"/>
  <c r="AO29" i="2"/>
  <c r="AN29" i="2"/>
  <c r="AL29" i="2"/>
  <c r="AK29" i="2"/>
  <c r="AJ29" i="2"/>
  <c r="AD29" i="2"/>
  <c r="AC29" i="2"/>
  <c r="AB29" i="2"/>
  <c r="AA29" i="2"/>
  <c r="Z29" i="2"/>
  <c r="Y29" i="2"/>
  <c r="X29" i="2"/>
  <c r="V29" i="2"/>
  <c r="U29" i="2"/>
  <c r="T29" i="2"/>
  <c r="R29" i="2"/>
  <c r="Q29" i="2"/>
  <c r="P29" i="2"/>
  <c r="N29" i="2"/>
  <c r="M29" i="2"/>
  <c r="L29" i="2"/>
  <c r="K29" i="2"/>
  <c r="J29" i="2"/>
  <c r="I29" i="2"/>
  <c r="H29" i="2"/>
  <c r="F29" i="2"/>
  <c r="E29" i="2"/>
  <c r="D29" i="2"/>
  <c r="C29" i="2"/>
  <c r="B29" i="2"/>
  <c r="A29" i="2"/>
  <c r="CP28" i="2"/>
  <c r="CO28" i="2"/>
  <c r="CN28" i="2"/>
  <c r="CM28" i="2"/>
  <c r="CL28" i="2"/>
  <c r="CK28" i="2"/>
  <c r="CJ28" i="2"/>
  <c r="CH28" i="2"/>
  <c r="CG28" i="2"/>
  <c r="CF28" i="2"/>
  <c r="CE28" i="2"/>
  <c r="CD28" i="2"/>
  <c r="CC28" i="2"/>
  <c r="CB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J28" i="2"/>
  <c r="BI28" i="2"/>
  <c r="BH28" i="2"/>
  <c r="BF28" i="2"/>
  <c r="BE28" i="2"/>
  <c r="BD28" i="2"/>
  <c r="BB28" i="2"/>
  <c r="BA28" i="2"/>
  <c r="AZ28" i="2"/>
  <c r="AX28" i="2"/>
  <c r="AW28" i="2"/>
  <c r="AV28" i="2"/>
  <c r="AT28" i="2"/>
  <c r="AS28" i="2"/>
  <c r="AR28" i="2"/>
  <c r="AP28" i="2"/>
  <c r="AO28" i="2"/>
  <c r="AN28" i="2"/>
  <c r="AL28" i="2"/>
  <c r="AK28" i="2"/>
  <c r="AJ28" i="2"/>
  <c r="AD28" i="2"/>
  <c r="AC28" i="2"/>
  <c r="AB28" i="2"/>
  <c r="AA28" i="2"/>
  <c r="Z28" i="2"/>
  <c r="Y28" i="2"/>
  <c r="X28" i="2"/>
  <c r="V28" i="2"/>
  <c r="U28" i="2"/>
  <c r="T28" i="2"/>
  <c r="R28" i="2"/>
  <c r="Q28" i="2"/>
  <c r="P28" i="2"/>
  <c r="N28" i="2"/>
  <c r="M28" i="2"/>
  <c r="L28" i="2"/>
  <c r="K28" i="2"/>
  <c r="J28" i="2"/>
  <c r="I28" i="2"/>
  <c r="H28" i="2"/>
  <c r="F28" i="2"/>
  <c r="E28" i="2"/>
  <c r="D28" i="2"/>
  <c r="C28" i="2"/>
  <c r="B28" i="2"/>
  <c r="A28" i="2"/>
  <c r="CP27" i="2"/>
  <c r="CO27" i="2"/>
  <c r="CN27" i="2"/>
  <c r="CM27" i="2"/>
  <c r="CL27" i="2"/>
  <c r="CK27" i="2"/>
  <c r="CJ27" i="2"/>
  <c r="CH27" i="2"/>
  <c r="CG27" i="2"/>
  <c r="CF27" i="2"/>
  <c r="CE27" i="2"/>
  <c r="CD27" i="2"/>
  <c r="CC27" i="2"/>
  <c r="CB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J27" i="2"/>
  <c r="BI27" i="2"/>
  <c r="BH27" i="2"/>
  <c r="BF27" i="2"/>
  <c r="BE27" i="2"/>
  <c r="BD27" i="2"/>
  <c r="BB27" i="2"/>
  <c r="BA27" i="2"/>
  <c r="AZ27" i="2"/>
  <c r="AX27" i="2"/>
  <c r="AW27" i="2"/>
  <c r="AV27" i="2"/>
  <c r="AT27" i="2"/>
  <c r="AS27" i="2"/>
  <c r="AR27" i="2"/>
  <c r="AP27" i="2"/>
  <c r="AO27" i="2"/>
  <c r="AN27" i="2"/>
  <c r="AL27" i="2"/>
  <c r="AK27" i="2"/>
  <c r="AJ27" i="2"/>
  <c r="AD27" i="2"/>
  <c r="AC27" i="2"/>
  <c r="AB27" i="2"/>
  <c r="AA27" i="2"/>
  <c r="Z27" i="2"/>
  <c r="Y27" i="2"/>
  <c r="X27" i="2"/>
  <c r="V27" i="2"/>
  <c r="U27" i="2"/>
  <c r="T27" i="2"/>
  <c r="R27" i="2"/>
  <c r="Q27" i="2"/>
  <c r="P27" i="2"/>
  <c r="N27" i="2"/>
  <c r="M27" i="2"/>
  <c r="L27" i="2"/>
  <c r="K27" i="2"/>
  <c r="J27" i="2"/>
  <c r="I27" i="2"/>
  <c r="H27" i="2"/>
  <c r="F27" i="2"/>
  <c r="E27" i="2"/>
  <c r="D27" i="2"/>
  <c r="C27" i="2"/>
  <c r="B27" i="2"/>
  <c r="A27" i="2"/>
  <c r="CP26" i="2"/>
  <c r="CO26" i="2"/>
  <c r="CN26" i="2"/>
  <c r="CM26" i="2"/>
  <c r="CL26" i="2"/>
  <c r="CK26" i="2"/>
  <c r="CJ26" i="2"/>
  <c r="CH26" i="2"/>
  <c r="CG26" i="2"/>
  <c r="CF26" i="2"/>
  <c r="CE26" i="2"/>
  <c r="CD26" i="2"/>
  <c r="CC26" i="2"/>
  <c r="CB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J26" i="2"/>
  <c r="BI26" i="2"/>
  <c r="BH26" i="2"/>
  <c r="BF26" i="2"/>
  <c r="BE26" i="2"/>
  <c r="BD26" i="2"/>
  <c r="BB26" i="2"/>
  <c r="BA26" i="2"/>
  <c r="AZ26" i="2"/>
  <c r="AX26" i="2"/>
  <c r="AW26" i="2"/>
  <c r="AV26" i="2"/>
  <c r="AT26" i="2"/>
  <c r="AS26" i="2"/>
  <c r="AR26" i="2"/>
  <c r="AP26" i="2"/>
  <c r="AO26" i="2"/>
  <c r="AN26" i="2"/>
  <c r="AL26" i="2"/>
  <c r="AK26" i="2"/>
  <c r="AJ26" i="2"/>
  <c r="AD26" i="2"/>
  <c r="AC26" i="2"/>
  <c r="AB26" i="2"/>
  <c r="AA26" i="2"/>
  <c r="Z26" i="2"/>
  <c r="Y26" i="2"/>
  <c r="X26" i="2"/>
  <c r="V26" i="2"/>
  <c r="U26" i="2"/>
  <c r="T26" i="2"/>
  <c r="R26" i="2"/>
  <c r="Q26" i="2"/>
  <c r="P26" i="2"/>
  <c r="N26" i="2"/>
  <c r="M26" i="2"/>
  <c r="L26" i="2"/>
  <c r="K26" i="2"/>
  <c r="J26" i="2"/>
  <c r="I26" i="2"/>
  <c r="H26" i="2"/>
  <c r="F26" i="2"/>
  <c r="E26" i="2"/>
  <c r="D26" i="2"/>
  <c r="C26" i="2"/>
  <c r="B26" i="2"/>
  <c r="A26" i="2"/>
  <c r="CP25" i="2"/>
  <c r="CO25" i="2"/>
  <c r="CN25" i="2"/>
  <c r="CM25" i="2"/>
  <c r="CL25" i="2"/>
  <c r="CK25" i="2"/>
  <c r="CJ25" i="2"/>
  <c r="CH25" i="2"/>
  <c r="CG25" i="2"/>
  <c r="CF25" i="2"/>
  <c r="CE25" i="2"/>
  <c r="CD25" i="2"/>
  <c r="CC25" i="2"/>
  <c r="CB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J25" i="2"/>
  <c r="BI25" i="2"/>
  <c r="BH25" i="2"/>
  <c r="BF25" i="2"/>
  <c r="BE25" i="2"/>
  <c r="BD25" i="2"/>
  <c r="BB25" i="2"/>
  <c r="BA25" i="2"/>
  <c r="AZ25" i="2"/>
  <c r="AX25" i="2"/>
  <c r="AW25" i="2"/>
  <c r="AV25" i="2"/>
  <c r="AT25" i="2"/>
  <c r="AS25" i="2"/>
  <c r="AR25" i="2"/>
  <c r="AP25" i="2"/>
  <c r="AO25" i="2"/>
  <c r="AN25" i="2"/>
  <c r="AL25" i="2"/>
  <c r="AK25" i="2"/>
  <c r="AJ25" i="2"/>
  <c r="AD25" i="2"/>
  <c r="AC25" i="2"/>
  <c r="AB25" i="2"/>
  <c r="AA25" i="2"/>
  <c r="Z25" i="2"/>
  <c r="Y25" i="2"/>
  <c r="X25" i="2"/>
  <c r="V25" i="2"/>
  <c r="U25" i="2"/>
  <c r="T25" i="2"/>
  <c r="R25" i="2"/>
  <c r="Q25" i="2"/>
  <c r="P25" i="2"/>
  <c r="N25" i="2"/>
  <c r="M25" i="2"/>
  <c r="L25" i="2"/>
  <c r="K25" i="2"/>
  <c r="J25" i="2"/>
  <c r="I25" i="2"/>
  <c r="H25" i="2"/>
  <c r="F25" i="2"/>
  <c r="E25" i="2"/>
  <c r="D25" i="2"/>
  <c r="C25" i="2"/>
  <c r="B25" i="2"/>
  <c r="A25" i="2"/>
  <c r="CP24" i="2"/>
  <c r="CO24" i="2"/>
  <c r="CN24" i="2"/>
  <c r="CM24" i="2"/>
  <c r="CL24" i="2"/>
  <c r="CK24" i="2"/>
  <c r="CJ24" i="2"/>
  <c r="CH24" i="2"/>
  <c r="CG24" i="2"/>
  <c r="CF24" i="2"/>
  <c r="CE24" i="2"/>
  <c r="CD24" i="2"/>
  <c r="CC24" i="2"/>
  <c r="CB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J24" i="2"/>
  <c r="BI24" i="2"/>
  <c r="BH24" i="2"/>
  <c r="BF24" i="2"/>
  <c r="BE24" i="2"/>
  <c r="BD24" i="2"/>
  <c r="BB24" i="2"/>
  <c r="BA24" i="2"/>
  <c r="AZ24" i="2"/>
  <c r="AX24" i="2"/>
  <c r="AW24" i="2"/>
  <c r="AV24" i="2"/>
  <c r="AT24" i="2"/>
  <c r="AS24" i="2"/>
  <c r="AR24" i="2"/>
  <c r="AP24" i="2"/>
  <c r="AO24" i="2"/>
  <c r="AN24" i="2"/>
  <c r="AL24" i="2"/>
  <c r="AK24" i="2"/>
  <c r="AJ24" i="2"/>
  <c r="AD24" i="2"/>
  <c r="AC24" i="2"/>
  <c r="AB24" i="2"/>
  <c r="AA24" i="2"/>
  <c r="Z24" i="2"/>
  <c r="Y24" i="2"/>
  <c r="X24" i="2"/>
  <c r="V24" i="2"/>
  <c r="U24" i="2"/>
  <c r="T24" i="2"/>
  <c r="R24" i="2"/>
  <c r="Q24" i="2"/>
  <c r="P24" i="2"/>
  <c r="N24" i="2"/>
  <c r="M24" i="2"/>
  <c r="L24" i="2"/>
  <c r="K24" i="2"/>
  <c r="J24" i="2"/>
  <c r="I24" i="2"/>
  <c r="H24" i="2"/>
  <c r="F24" i="2"/>
  <c r="E24" i="2"/>
  <c r="D24" i="2"/>
  <c r="C24" i="2"/>
  <c r="B24" i="2"/>
  <c r="A24" i="2"/>
  <c r="CP23" i="2"/>
  <c r="CO23" i="2"/>
  <c r="CN23" i="2"/>
  <c r="CM23" i="2"/>
  <c r="CL23" i="2"/>
  <c r="CK23" i="2"/>
  <c r="CJ23" i="2"/>
  <c r="CH23" i="2"/>
  <c r="CG23" i="2"/>
  <c r="CF23" i="2"/>
  <c r="CE23" i="2"/>
  <c r="CD23" i="2"/>
  <c r="CC23" i="2"/>
  <c r="CB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J23" i="2"/>
  <c r="BI23" i="2"/>
  <c r="BH23" i="2"/>
  <c r="BF23" i="2"/>
  <c r="BE23" i="2"/>
  <c r="BD23" i="2"/>
  <c r="BB23" i="2"/>
  <c r="BA23" i="2"/>
  <c r="AZ23" i="2"/>
  <c r="AX23" i="2"/>
  <c r="AW23" i="2"/>
  <c r="AV23" i="2"/>
  <c r="AT23" i="2"/>
  <c r="AS23" i="2"/>
  <c r="AR23" i="2"/>
  <c r="AP23" i="2"/>
  <c r="AO23" i="2"/>
  <c r="AN23" i="2"/>
  <c r="AL23" i="2"/>
  <c r="AK23" i="2"/>
  <c r="AJ23" i="2"/>
  <c r="AD23" i="2"/>
  <c r="AC23" i="2"/>
  <c r="AB23" i="2"/>
  <c r="AA23" i="2"/>
  <c r="Z23" i="2"/>
  <c r="Y23" i="2"/>
  <c r="X23" i="2"/>
  <c r="V23" i="2"/>
  <c r="U23" i="2"/>
  <c r="T23" i="2"/>
  <c r="R23" i="2"/>
  <c r="Q23" i="2"/>
  <c r="P23" i="2"/>
  <c r="N23" i="2"/>
  <c r="M23" i="2"/>
  <c r="L23" i="2"/>
  <c r="K23" i="2"/>
  <c r="J23" i="2"/>
  <c r="I23" i="2"/>
  <c r="H23" i="2"/>
  <c r="F23" i="2"/>
  <c r="E23" i="2"/>
  <c r="D23" i="2"/>
  <c r="C23" i="2"/>
  <c r="B23" i="2"/>
  <c r="A23" i="2"/>
  <c r="CP22" i="2"/>
  <c r="CO22" i="2"/>
  <c r="CN22" i="2"/>
  <c r="CM22" i="2"/>
  <c r="CL22" i="2"/>
  <c r="CK22" i="2"/>
  <c r="CJ22" i="2"/>
  <c r="CH22" i="2"/>
  <c r="CG22" i="2"/>
  <c r="CF22" i="2"/>
  <c r="CE22" i="2"/>
  <c r="CD22" i="2"/>
  <c r="CC22" i="2"/>
  <c r="CB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J22" i="2"/>
  <c r="BI22" i="2"/>
  <c r="BH22" i="2"/>
  <c r="BF22" i="2"/>
  <c r="BE22" i="2"/>
  <c r="BD22" i="2"/>
  <c r="BB22" i="2"/>
  <c r="BA22" i="2"/>
  <c r="AZ22" i="2"/>
  <c r="AX22" i="2"/>
  <c r="AW22" i="2"/>
  <c r="AV22" i="2"/>
  <c r="AT22" i="2"/>
  <c r="AS22" i="2"/>
  <c r="AR22" i="2"/>
  <c r="AP22" i="2"/>
  <c r="AO22" i="2"/>
  <c r="AN22" i="2"/>
  <c r="AL22" i="2"/>
  <c r="AK22" i="2"/>
  <c r="AJ22" i="2"/>
  <c r="AD22" i="2"/>
  <c r="AC22" i="2"/>
  <c r="AB22" i="2"/>
  <c r="AA22" i="2"/>
  <c r="Z22" i="2"/>
  <c r="Y22" i="2"/>
  <c r="X22" i="2"/>
  <c r="V22" i="2"/>
  <c r="U22" i="2"/>
  <c r="T22" i="2"/>
  <c r="R22" i="2"/>
  <c r="Q22" i="2"/>
  <c r="P22" i="2"/>
  <c r="N22" i="2"/>
  <c r="M22" i="2"/>
  <c r="L22" i="2"/>
  <c r="K22" i="2"/>
  <c r="J22" i="2"/>
  <c r="I22" i="2"/>
  <c r="H22" i="2"/>
  <c r="F22" i="2"/>
  <c r="E22" i="2"/>
  <c r="D22" i="2"/>
  <c r="C22" i="2"/>
  <c r="B22" i="2"/>
  <c r="A22" i="2"/>
  <c r="CP21" i="2"/>
  <c r="CO21" i="2"/>
  <c r="CN21" i="2"/>
  <c r="CM21" i="2"/>
  <c r="CL21" i="2"/>
  <c r="CK21" i="2"/>
  <c r="CJ21" i="2"/>
  <c r="CH21" i="2"/>
  <c r="CG21" i="2"/>
  <c r="CF21" i="2"/>
  <c r="CE21" i="2"/>
  <c r="CD21" i="2"/>
  <c r="CC21" i="2"/>
  <c r="CB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J21" i="2"/>
  <c r="BI21" i="2"/>
  <c r="BH21" i="2"/>
  <c r="BF21" i="2"/>
  <c r="BE21" i="2"/>
  <c r="BD21" i="2"/>
  <c r="BB21" i="2"/>
  <c r="BA21" i="2"/>
  <c r="AZ21" i="2"/>
  <c r="AX21" i="2"/>
  <c r="AW21" i="2"/>
  <c r="AV21" i="2"/>
  <c r="AT21" i="2"/>
  <c r="AS21" i="2"/>
  <c r="AR21" i="2"/>
  <c r="AP21" i="2"/>
  <c r="AO21" i="2"/>
  <c r="AN21" i="2"/>
  <c r="AL21" i="2"/>
  <c r="AK21" i="2"/>
  <c r="AJ21" i="2"/>
  <c r="AD21" i="2"/>
  <c r="AC21" i="2"/>
  <c r="AB21" i="2"/>
  <c r="AA21" i="2"/>
  <c r="Z21" i="2"/>
  <c r="Y21" i="2"/>
  <c r="X21" i="2"/>
  <c r="V21" i="2"/>
  <c r="U21" i="2"/>
  <c r="T21" i="2"/>
  <c r="R21" i="2"/>
  <c r="Q21" i="2"/>
  <c r="P21" i="2"/>
  <c r="N21" i="2"/>
  <c r="M21" i="2"/>
  <c r="L21" i="2"/>
  <c r="K21" i="2"/>
  <c r="J21" i="2"/>
  <c r="I21" i="2"/>
  <c r="H21" i="2"/>
  <c r="F21" i="2"/>
  <c r="E21" i="2"/>
  <c r="D21" i="2"/>
  <c r="C21" i="2"/>
  <c r="B21" i="2"/>
  <c r="A21" i="2"/>
  <c r="CP20" i="2"/>
  <c r="CO20" i="2"/>
  <c r="CN20" i="2"/>
  <c r="CM20" i="2"/>
  <c r="CL20" i="2"/>
  <c r="CK20" i="2"/>
  <c r="CJ20" i="2"/>
  <c r="CH20" i="2"/>
  <c r="CG20" i="2"/>
  <c r="CF20" i="2"/>
  <c r="CE20" i="2"/>
  <c r="CD20" i="2"/>
  <c r="CC20" i="2"/>
  <c r="CB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J20" i="2"/>
  <c r="BI20" i="2"/>
  <c r="BH20" i="2"/>
  <c r="BF20" i="2"/>
  <c r="BE20" i="2"/>
  <c r="BD20" i="2"/>
  <c r="BB20" i="2"/>
  <c r="BA20" i="2"/>
  <c r="AZ20" i="2"/>
  <c r="AX20" i="2"/>
  <c r="AW20" i="2"/>
  <c r="AV20" i="2"/>
  <c r="AT20" i="2"/>
  <c r="AS20" i="2"/>
  <c r="AR20" i="2"/>
  <c r="AP20" i="2"/>
  <c r="AO20" i="2"/>
  <c r="AN20" i="2"/>
  <c r="AL20" i="2"/>
  <c r="AK20" i="2"/>
  <c r="AJ20" i="2"/>
  <c r="AD20" i="2"/>
  <c r="AC20" i="2"/>
  <c r="AB20" i="2"/>
  <c r="AA20" i="2"/>
  <c r="Z20" i="2"/>
  <c r="Y20" i="2"/>
  <c r="X20" i="2"/>
  <c r="V20" i="2"/>
  <c r="U20" i="2"/>
  <c r="T20" i="2"/>
  <c r="R20" i="2"/>
  <c r="Q20" i="2"/>
  <c r="P20" i="2"/>
  <c r="N20" i="2"/>
  <c r="M20" i="2"/>
  <c r="L20" i="2"/>
  <c r="K20" i="2"/>
  <c r="J20" i="2"/>
  <c r="I20" i="2"/>
  <c r="H20" i="2"/>
  <c r="F20" i="2"/>
  <c r="E20" i="2"/>
  <c r="D20" i="2"/>
  <c r="C20" i="2"/>
  <c r="B20" i="2"/>
  <c r="A20" i="2"/>
  <c r="CP19" i="2"/>
  <c r="CO19" i="2"/>
  <c r="CN19" i="2"/>
  <c r="CM19" i="2"/>
  <c r="CL19" i="2"/>
  <c r="CK19" i="2"/>
  <c r="CJ19" i="2"/>
  <c r="CH19" i="2"/>
  <c r="CG19" i="2"/>
  <c r="CF19" i="2"/>
  <c r="CE19" i="2"/>
  <c r="CD19" i="2"/>
  <c r="CC19" i="2"/>
  <c r="CB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J19" i="2"/>
  <c r="BI19" i="2"/>
  <c r="BH19" i="2"/>
  <c r="BF19" i="2"/>
  <c r="BE19" i="2"/>
  <c r="BD19" i="2"/>
  <c r="BB19" i="2"/>
  <c r="BA19" i="2"/>
  <c r="AZ19" i="2"/>
  <c r="AX19" i="2"/>
  <c r="AW19" i="2"/>
  <c r="AV19" i="2"/>
  <c r="AT19" i="2"/>
  <c r="AS19" i="2"/>
  <c r="AR19" i="2"/>
  <c r="AP19" i="2"/>
  <c r="AO19" i="2"/>
  <c r="AN19" i="2"/>
  <c r="AL19" i="2"/>
  <c r="AK19" i="2"/>
  <c r="AJ19" i="2"/>
  <c r="AD19" i="2"/>
  <c r="AC19" i="2"/>
  <c r="AB19" i="2"/>
  <c r="AA19" i="2"/>
  <c r="Z19" i="2"/>
  <c r="Y19" i="2"/>
  <c r="X19" i="2"/>
  <c r="V19" i="2"/>
  <c r="U19" i="2"/>
  <c r="T19" i="2"/>
  <c r="R19" i="2"/>
  <c r="Q19" i="2"/>
  <c r="P19" i="2"/>
  <c r="N19" i="2"/>
  <c r="M19" i="2"/>
  <c r="L19" i="2"/>
  <c r="K19" i="2"/>
  <c r="J19" i="2"/>
  <c r="I19" i="2"/>
  <c r="H19" i="2"/>
  <c r="F19" i="2"/>
  <c r="E19" i="2"/>
  <c r="D19" i="2"/>
  <c r="C19" i="2"/>
  <c r="B19" i="2"/>
  <c r="A19" i="2"/>
  <c r="CP18" i="2"/>
  <c r="CO18" i="2"/>
  <c r="CN18" i="2"/>
  <c r="CM18" i="2"/>
  <c r="CL18" i="2"/>
  <c r="CK18" i="2"/>
  <c r="CJ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J18" i="2"/>
  <c r="BI18" i="2"/>
  <c r="BH18" i="2"/>
  <c r="BF18" i="2"/>
  <c r="BE18" i="2"/>
  <c r="BD18" i="2"/>
  <c r="BB18" i="2"/>
  <c r="BA18" i="2"/>
  <c r="AZ18" i="2"/>
  <c r="AX18" i="2"/>
  <c r="AW18" i="2"/>
  <c r="AV18" i="2"/>
  <c r="AT18" i="2"/>
  <c r="AS18" i="2"/>
  <c r="AR18" i="2"/>
  <c r="AP18" i="2"/>
  <c r="AO18" i="2"/>
  <c r="AN18" i="2"/>
  <c r="AL18" i="2"/>
  <c r="AK18" i="2"/>
  <c r="AJ18" i="2"/>
  <c r="AD18" i="2"/>
  <c r="AC18" i="2"/>
  <c r="AB18" i="2"/>
  <c r="AA18" i="2"/>
  <c r="Z18" i="2"/>
  <c r="Y18" i="2"/>
  <c r="X18" i="2"/>
  <c r="V18" i="2"/>
  <c r="U18" i="2"/>
  <c r="T18" i="2"/>
  <c r="S18" i="2"/>
  <c r="R18" i="2"/>
  <c r="Q18" i="2"/>
  <c r="P18" i="2"/>
  <c r="N18" i="2"/>
  <c r="M18" i="2"/>
  <c r="L18" i="2"/>
  <c r="K18" i="2"/>
  <c r="J18" i="2"/>
  <c r="I18" i="2"/>
  <c r="H18" i="2"/>
  <c r="F18" i="2"/>
  <c r="E18" i="2"/>
  <c r="D18" i="2"/>
  <c r="C18" i="2"/>
  <c r="B18" i="2"/>
  <c r="A18" i="2"/>
  <c r="CP17" i="2"/>
  <c r="CO17" i="2"/>
  <c r="CN17" i="2"/>
  <c r="CM17" i="2"/>
  <c r="CL17" i="2"/>
  <c r="CK17" i="2"/>
  <c r="CJ17" i="2"/>
  <c r="CH17" i="2"/>
  <c r="CG17" i="2"/>
  <c r="CF17" i="2"/>
  <c r="CE17" i="2"/>
  <c r="CD17" i="2"/>
  <c r="CC17" i="2"/>
  <c r="CB17" i="2"/>
  <c r="CA17" i="2"/>
  <c r="BZ17" i="2"/>
  <c r="BY17" i="2"/>
  <c r="BX17" i="2"/>
  <c r="BV17" i="2"/>
  <c r="BU17" i="2"/>
  <c r="BT17" i="2"/>
  <c r="BS17" i="2"/>
  <c r="BR17" i="2"/>
  <c r="BQ17" i="2"/>
  <c r="BP17" i="2"/>
  <c r="BO17" i="2"/>
  <c r="BJ17" i="2"/>
  <c r="BI17" i="2"/>
  <c r="BH17" i="2"/>
  <c r="BF17" i="2"/>
  <c r="BE17" i="2"/>
  <c r="BD17" i="2"/>
  <c r="BB17" i="2"/>
  <c r="BA17" i="2"/>
  <c r="AZ17" i="2"/>
  <c r="AX17" i="2"/>
  <c r="AW17" i="2"/>
  <c r="AV17" i="2"/>
  <c r="AT17" i="2"/>
  <c r="AS17" i="2"/>
  <c r="AR17" i="2"/>
  <c r="AP17" i="2"/>
  <c r="AO17" i="2"/>
  <c r="AN17" i="2"/>
  <c r="AL17" i="2"/>
  <c r="AK17" i="2"/>
  <c r="AJ17" i="2"/>
  <c r="AD17" i="2"/>
  <c r="AC17" i="2"/>
  <c r="AB17" i="2"/>
  <c r="AA17" i="2"/>
  <c r="Z17" i="2"/>
  <c r="Y17" i="2"/>
  <c r="X17" i="2"/>
  <c r="V17" i="2"/>
  <c r="U17" i="2"/>
  <c r="T17" i="2"/>
  <c r="S17" i="2"/>
  <c r="R17" i="2"/>
  <c r="Q17" i="2"/>
  <c r="P17" i="2"/>
  <c r="N17" i="2"/>
  <c r="M17" i="2"/>
  <c r="L17" i="2"/>
  <c r="J17" i="2"/>
  <c r="I17" i="2"/>
  <c r="H17" i="2"/>
  <c r="F17" i="2"/>
  <c r="E17" i="2"/>
  <c r="D17" i="2"/>
  <c r="C17" i="2"/>
  <c r="B17" i="2"/>
  <c r="A17" i="2"/>
  <c r="CP16" i="2"/>
  <c r="CO16" i="2"/>
  <c r="CN16" i="2"/>
  <c r="CM16" i="2"/>
  <c r="CL16" i="2"/>
  <c r="CK16" i="2"/>
  <c r="CJ16" i="2"/>
  <c r="CH16" i="2"/>
  <c r="CG16" i="2"/>
  <c r="CF16" i="2"/>
  <c r="CE16" i="2"/>
  <c r="CD16" i="2"/>
  <c r="CC16" i="2"/>
  <c r="CB16" i="2"/>
  <c r="CA16" i="2"/>
  <c r="BZ16" i="2"/>
  <c r="BY16" i="2"/>
  <c r="BX16" i="2"/>
  <c r="BV16" i="2"/>
  <c r="BU16" i="2"/>
  <c r="BT16" i="2"/>
  <c r="BS16" i="2"/>
  <c r="BR16" i="2"/>
  <c r="BQ16" i="2"/>
  <c r="BP16" i="2"/>
  <c r="BO16" i="2"/>
  <c r="BJ16" i="2"/>
  <c r="BI16" i="2"/>
  <c r="BH16" i="2"/>
  <c r="BF16" i="2"/>
  <c r="BE16" i="2"/>
  <c r="BD16" i="2"/>
  <c r="BB16" i="2"/>
  <c r="BA16" i="2"/>
  <c r="AZ16" i="2"/>
  <c r="AX16" i="2"/>
  <c r="AW16" i="2"/>
  <c r="AV16" i="2"/>
  <c r="AT16" i="2"/>
  <c r="AS16" i="2"/>
  <c r="AR16" i="2"/>
  <c r="AP16" i="2"/>
  <c r="AO16" i="2"/>
  <c r="AN16" i="2"/>
  <c r="AL16" i="2"/>
  <c r="AK16" i="2"/>
  <c r="AJ16" i="2"/>
  <c r="AD16" i="2"/>
  <c r="AC16" i="2"/>
  <c r="AB16" i="2"/>
  <c r="AA16" i="2"/>
  <c r="Z16" i="2"/>
  <c r="Y16" i="2"/>
  <c r="X16" i="2"/>
  <c r="V16" i="2"/>
  <c r="U16" i="2"/>
  <c r="T16" i="2"/>
  <c r="S16" i="2"/>
  <c r="R16" i="2"/>
  <c r="Q16" i="2"/>
  <c r="P16" i="2"/>
  <c r="N16" i="2"/>
  <c r="M16" i="2"/>
  <c r="L16" i="2"/>
  <c r="J16" i="2"/>
  <c r="I16" i="2"/>
  <c r="H16" i="2"/>
  <c r="F16" i="2"/>
  <c r="E16" i="2"/>
  <c r="D16" i="2"/>
  <c r="C16" i="2"/>
  <c r="B16" i="2"/>
  <c r="A16" i="2"/>
  <c r="CP15" i="2"/>
  <c r="CO15" i="2"/>
  <c r="CN15" i="2"/>
  <c r="CM15" i="2"/>
  <c r="CL15" i="2"/>
  <c r="CK15" i="2"/>
  <c r="CJ15" i="2"/>
  <c r="CH15" i="2"/>
  <c r="CG15" i="2"/>
  <c r="CF15" i="2"/>
  <c r="CE15" i="2"/>
  <c r="CD15" i="2"/>
  <c r="CC15" i="2"/>
  <c r="CB15" i="2"/>
  <c r="CA15" i="2"/>
  <c r="BZ15" i="2"/>
  <c r="BY15" i="2"/>
  <c r="BX15" i="2"/>
  <c r="BV15" i="2"/>
  <c r="BU15" i="2"/>
  <c r="BT15" i="2"/>
  <c r="BS15" i="2"/>
  <c r="BR15" i="2"/>
  <c r="BQ15" i="2"/>
  <c r="BP15" i="2"/>
  <c r="BO15" i="2"/>
  <c r="BJ15" i="2"/>
  <c r="BI15" i="2"/>
  <c r="BH15" i="2"/>
  <c r="BF15" i="2"/>
  <c r="BE15" i="2"/>
  <c r="BD15" i="2"/>
  <c r="BB15" i="2"/>
  <c r="BA15" i="2"/>
  <c r="AZ15" i="2"/>
  <c r="AX15" i="2"/>
  <c r="AW15" i="2"/>
  <c r="AV15" i="2"/>
  <c r="AT15" i="2"/>
  <c r="AS15" i="2"/>
  <c r="AR15" i="2"/>
  <c r="AP15" i="2"/>
  <c r="AO15" i="2"/>
  <c r="AN15" i="2"/>
  <c r="AL15" i="2"/>
  <c r="AK15" i="2"/>
  <c r="AJ15" i="2"/>
  <c r="AD15" i="2"/>
  <c r="AC15" i="2"/>
  <c r="AB15" i="2"/>
  <c r="AA15" i="2"/>
  <c r="Z15" i="2"/>
  <c r="Y15" i="2"/>
  <c r="X15" i="2"/>
  <c r="V15" i="2"/>
  <c r="U15" i="2"/>
  <c r="T15" i="2"/>
  <c r="S15" i="2"/>
  <c r="R15" i="2"/>
  <c r="Q15" i="2"/>
  <c r="P15" i="2"/>
  <c r="N15" i="2"/>
  <c r="M15" i="2"/>
  <c r="L15" i="2"/>
  <c r="J15" i="2"/>
  <c r="I15" i="2"/>
  <c r="H15" i="2"/>
  <c r="F15" i="2"/>
  <c r="E15" i="2"/>
  <c r="D15" i="2"/>
  <c r="C15" i="2"/>
  <c r="B15" i="2"/>
  <c r="A15" i="2"/>
  <c r="CP14" i="2"/>
  <c r="CO14" i="2"/>
  <c r="CN14" i="2"/>
  <c r="CM14" i="2"/>
  <c r="CL14" i="2"/>
  <c r="CK14" i="2"/>
  <c r="CJ14" i="2"/>
  <c r="CH14" i="2"/>
  <c r="CG14" i="2"/>
  <c r="CF14" i="2"/>
  <c r="CE14" i="2"/>
  <c r="CD14" i="2"/>
  <c r="CC14" i="2"/>
  <c r="CB14" i="2"/>
  <c r="CA14" i="2"/>
  <c r="BZ14" i="2"/>
  <c r="BY14" i="2"/>
  <c r="BX14" i="2"/>
  <c r="BV14" i="2"/>
  <c r="BU14" i="2"/>
  <c r="BT14" i="2"/>
  <c r="BS14" i="2"/>
  <c r="BR14" i="2"/>
  <c r="BQ14" i="2"/>
  <c r="BP14" i="2"/>
  <c r="BO14" i="2"/>
  <c r="BJ14" i="2"/>
  <c r="BI14" i="2"/>
  <c r="BH14" i="2"/>
  <c r="BF14" i="2"/>
  <c r="BE14" i="2"/>
  <c r="BD14" i="2"/>
  <c r="BB14" i="2"/>
  <c r="BA14" i="2"/>
  <c r="AZ14" i="2"/>
  <c r="AX14" i="2"/>
  <c r="AW14" i="2"/>
  <c r="AV14" i="2"/>
  <c r="AT14" i="2"/>
  <c r="AS14" i="2"/>
  <c r="AR14" i="2"/>
  <c r="AP14" i="2"/>
  <c r="AO14" i="2"/>
  <c r="AN14" i="2"/>
  <c r="AL14" i="2"/>
  <c r="AK14" i="2"/>
  <c r="AJ14" i="2"/>
  <c r="AD14" i="2"/>
  <c r="AC14" i="2"/>
  <c r="AB14" i="2"/>
  <c r="AA14" i="2"/>
  <c r="Z14" i="2"/>
  <c r="Y14" i="2"/>
  <c r="X14" i="2"/>
  <c r="V14" i="2"/>
  <c r="U14" i="2"/>
  <c r="T14" i="2"/>
  <c r="S14" i="2"/>
  <c r="R14" i="2"/>
  <c r="Q14" i="2"/>
  <c r="P14" i="2"/>
  <c r="N14" i="2"/>
  <c r="M14" i="2"/>
  <c r="L14" i="2"/>
  <c r="J14" i="2"/>
  <c r="I14" i="2"/>
  <c r="H14" i="2"/>
  <c r="F14" i="2"/>
  <c r="E14" i="2"/>
  <c r="D14" i="2"/>
  <c r="C14" i="2"/>
  <c r="B14" i="2"/>
  <c r="A14" i="2"/>
  <c r="CP13" i="2"/>
  <c r="CO13" i="2"/>
  <c r="CN13" i="2"/>
  <c r="CM13" i="2"/>
  <c r="CL13" i="2"/>
  <c r="CK13" i="2"/>
  <c r="CJ13" i="2"/>
  <c r="CH13" i="2"/>
  <c r="CG13" i="2"/>
  <c r="CF13" i="2"/>
  <c r="CE13" i="2"/>
  <c r="CD13" i="2"/>
  <c r="CC13" i="2"/>
  <c r="CB13" i="2"/>
  <c r="CA13" i="2"/>
  <c r="BZ13" i="2"/>
  <c r="BY13" i="2"/>
  <c r="BX13" i="2"/>
  <c r="BV13" i="2"/>
  <c r="BU13" i="2"/>
  <c r="BT13" i="2"/>
  <c r="BS13" i="2"/>
  <c r="BR13" i="2"/>
  <c r="BQ13" i="2"/>
  <c r="BP13" i="2"/>
  <c r="BO13" i="2"/>
  <c r="BJ13" i="2"/>
  <c r="BI13" i="2"/>
  <c r="BH13" i="2"/>
  <c r="BF13" i="2"/>
  <c r="BE13" i="2"/>
  <c r="BD13" i="2"/>
  <c r="BB13" i="2"/>
  <c r="BA13" i="2"/>
  <c r="AZ13" i="2"/>
  <c r="AX13" i="2"/>
  <c r="AW13" i="2"/>
  <c r="AV13" i="2"/>
  <c r="AT13" i="2"/>
  <c r="AS13" i="2"/>
  <c r="AR13" i="2"/>
  <c r="AP13" i="2"/>
  <c r="AO13" i="2"/>
  <c r="AN13" i="2"/>
  <c r="AL13" i="2"/>
  <c r="AK13" i="2"/>
  <c r="AJ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N13" i="2"/>
  <c r="M13" i="2"/>
  <c r="L13" i="2"/>
  <c r="J13" i="2"/>
  <c r="I13" i="2"/>
  <c r="H13" i="2"/>
  <c r="F13" i="2"/>
  <c r="E13" i="2"/>
  <c r="D13" i="2"/>
  <c r="C13" i="2"/>
  <c r="B13" i="2"/>
  <c r="A13" i="2"/>
  <c r="CP12" i="2"/>
  <c r="CO12" i="2"/>
  <c r="CN12" i="2"/>
  <c r="CM12" i="2"/>
  <c r="CL12" i="2"/>
  <c r="CK12" i="2"/>
  <c r="CJ12" i="2"/>
  <c r="CH12" i="2"/>
  <c r="CG12" i="2"/>
  <c r="CF12" i="2"/>
  <c r="CE12" i="2"/>
  <c r="CD12" i="2"/>
  <c r="CC12" i="2"/>
  <c r="CB12" i="2"/>
  <c r="CA12" i="2"/>
  <c r="BZ12" i="2"/>
  <c r="BY12" i="2"/>
  <c r="BX12" i="2"/>
  <c r="BV12" i="2"/>
  <c r="BU12" i="2"/>
  <c r="BT12" i="2"/>
  <c r="BS12" i="2"/>
  <c r="BR12" i="2"/>
  <c r="BQ12" i="2"/>
  <c r="BP12" i="2"/>
  <c r="BO12" i="2"/>
  <c r="BJ12" i="2"/>
  <c r="BI12" i="2"/>
  <c r="BH12" i="2"/>
  <c r="BF12" i="2"/>
  <c r="BE12" i="2"/>
  <c r="BD12" i="2"/>
  <c r="BB12" i="2"/>
  <c r="BA12" i="2"/>
  <c r="AZ12" i="2"/>
  <c r="AX12" i="2"/>
  <c r="AW12" i="2"/>
  <c r="AV12" i="2"/>
  <c r="AT12" i="2"/>
  <c r="AS12" i="2"/>
  <c r="AR12" i="2"/>
  <c r="AP12" i="2"/>
  <c r="AO12" i="2"/>
  <c r="AN12" i="2"/>
  <c r="AL12" i="2"/>
  <c r="AK12" i="2"/>
  <c r="AJ12" i="2"/>
  <c r="AD12" i="2"/>
  <c r="AC12" i="2"/>
  <c r="AB12" i="2"/>
  <c r="AA12" i="2"/>
  <c r="Z12" i="2"/>
  <c r="Y12" i="2"/>
  <c r="X12" i="2"/>
  <c r="V12" i="2"/>
  <c r="U12" i="2"/>
  <c r="T12" i="2"/>
  <c r="S12" i="2"/>
  <c r="R12" i="2"/>
  <c r="Q12" i="2"/>
  <c r="P12" i="2"/>
  <c r="N12" i="2"/>
  <c r="M12" i="2"/>
  <c r="L12" i="2"/>
  <c r="J12" i="2"/>
  <c r="I12" i="2"/>
  <c r="H12" i="2"/>
  <c r="F12" i="2"/>
  <c r="E12" i="2"/>
  <c r="D12" i="2"/>
  <c r="C12" i="2"/>
  <c r="B12" i="2"/>
  <c r="A12" i="2"/>
  <c r="CP11" i="2"/>
  <c r="CO11" i="2"/>
  <c r="CN11" i="2"/>
  <c r="CM11" i="2"/>
  <c r="CL11" i="2"/>
  <c r="CK11" i="2"/>
  <c r="CJ11" i="2"/>
  <c r="CH11" i="2"/>
  <c r="CG11" i="2"/>
  <c r="CF11" i="2"/>
  <c r="CE11" i="2"/>
  <c r="CD11" i="2"/>
  <c r="CC11" i="2"/>
  <c r="CB11" i="2"/>
  <c r="CA11" i="2"/>
  <c r="BZ11" i="2"/>
  <c r="BY11" i="2"/>
  <c r="BX11" i="2"/>
  <c r="BV11" i="2"/>
  <c r="BU11" i="2"/>
  <c r="BT11" i="2"/>
  <c r="BS11" i="2"/>
  <c r="BR11" i="2"/>
  <c r="BQ11" i="2"/>
  <c r="BP11" i="2"/>
  <c r="BO11" i="2"/>
  <c r="BJ11" i="2"/>
  <c r="BI11" i="2"/>
  <c r="BH11" i="2"/>
  <c r="BF11" i="2"/>
  <c r="BE11" i="2"/>
  <c r="BD11" i="2"/>
  <c r="BB11" i="2"/>
  <c r="BA11" i="2"/>
  <c r="AZ11" i="2"/>
  <c r="AX11" i="2"/>
  <c r="AW11" i="2"/>
  <c r="AV11" i="2"/>
  <c r="AT11" i="2"/>
  <c r="AS11" i="2"/>
  <c r="AR11" i="2"/>
  <c r="AP11" i="2"/>
  <c r="AO11" i="2"/>
  <c r="AN11" i="2"/>
  <c r="AL11" i="2"/>
  <c r="AK11" i="2"/>
  <c r="AJ11" i="2"/>
  <c r="AD11" i="2"/>
  <c r="AC11" i="2"/>
  <c r="AB11" i="2"/>
  <c r="AA11" i="2"/>
  <c r="Z11" i="2"/>
  <c r="Y11" i="2"/>
  <c r="X11" i="2"/>
  <c r="V11" i="2"/>
  <c r="U11" i="2"/>
  <c r="T11" i="2"/>
  <c r="S11" i="2"/>
  <c r="R11" i="2"/>
  <c r="Q11" i="2"/>
  <c r="P11" i="2"/>
  <c r="N11" i="2"/>
  <c r="M11" i="2"/>
  <c r="L11" i="2"/>
  <c r="J11" i="2"/>
  <c r="I11" i="2"/>
  <c r="H11" i="2"/>
  <c r="F11" i="2"/>
  <c r="E11" i="2"/>
  <c r="D11" i="2"/>
  <c r="C11" i="2"/>
  <c r="B11" i="2"/>
  <c r="A11" i="2"/>
  <c r="CP10" i="2"/>
  <c r="CO10" i="2"/>
  <c r="CN10" i="2"/>
  <c r="CM10" i="2"/>
  <c r="CL10" i="2"/>
  <c r="CK10" i="2"/>
  <c r="CJ10" i="2"/>
  <c r="CH10" i="2"/>
  <c r="CG10" i="2"/>
  <c r="CF10" i="2"/>
  <c r="CE10" i="2"/>
  <c r="CD10" i="2"/>
  <c r="CC10" i="2"/>
  <c r="CB10" i="2"/>
  <c r="CA10" i="2"/>
  <c r="BZ10" i="2"/>
  <c r="BY10" i="2"/>
  <c r="BX10" i="2"/>
  <c r="BV10" i="2"/>
  <c r="BU10" i="2"/>
  <c r="BT10" i="2"/>
  <c r="BS10" i="2"/>
  <c r="BR10" i="2"/>
  <c r="BQ10" i="2"/>
  <c r="BP10" i="2"/>
  <c r="BO10" i="2"/>
  <c r="BJ10" i="2"/>
  <c r="BI10" i="2"/>
  <c r="BH10" i="2"/>
  <c r="BF10" i="2"/>
  <c r="BE10" i="2"/>
  <c r="BD10" i="2"/>
  <c r="BB10" i="2"/>
  <c r="BA10" i="2"/>
  <c r="AZ10" i="2"/>
  <c r="AX10" i="2"/>
  <c r="AW10" i="2"/>
  <c r="AV10" i="2"/>
  <c r="AT10" i="2"/>
  <c r="AS10" i="2"/>
  <c r="AR10" i="2"/>
  <c r="AP10" i="2"/>
  <c r="AO10" i="2"/>
  <c r="AN10" i="2"/>
  <c r="AL10" i="2"/>
  <c r="AK10" i="2"/>
  <c r="AJ10" i="2"/>
  <c r="AH10" i="2"/>
  <c r="AG10" i="2"/>
  <c r="AF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N10" i="2"/>
  <c r="M10" i="2"/>
  <c r="L10" i="2"/>
  <c r="J10" i="2"/>
  <c r="I10" i="2"/>
  <c r="H10" i="2"/>
  <c r="F10" i="2"/>
  <c r="E10" i="2"/>
  <c r="D10" i="2"/>
  <c r="C10" i="2"/>
  <c r="B10" i="2"/>
  <c r="A10" i="2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KV41" i="1"/>
  <c r="E41" i="1"/>
  <c r="D41" i="1"/>
  <c r="KV40" i="1"/>
  <c r="KU40" i="1"/>
  <c r="KT40" i="1"/>
  <c r="KS40" i="1"/>
  <c r="KR40" i="1"/>
  <c r="KP40" i="1"/>
  <c r="KO40" i="1"/>
  <c r="KM40" i="1"/>
  <c r="KL40" i="1"/>
  <c r="KJ40" i="1"/>
  <c r="KI40" i="1"/>
  <c r="KG40" i="1"/>
  <c r="KF40" i="1"/>
  <c r="KD40" i="1"/>
  <c r="KC40" i="1"/>
  <c r="KA40" i="1"/>
  <c r="JZ40" i="1"/>
  <c r="JX40" i="1"/>
  <c r="JW40" i="1"/>
  <c r="JU40" i="1"/>
  <c r="JT40" i="1"/>
  <c r="JR40" i="1"/>
  <c r="JQ40" i="1"/>
  <c r="JO40" i="1"/>
  <c r="JN40" i="1"/>
  <c r="JL40" i="1"/>
  <c r="JK40" i="1"/>
  <c r="JI40" i="1"/>
  <c r="JH40" i="1"/>
  <c r="JF40" i="1"/>
  <c r="JE40" i="1"/>
  <c r="JC40" i="1"/>
  <c r="JB40" i="1"/>
  <c r="IZ40" i="1"/>
  <c r="IY40" i="1"/>
  <c r="IW40" i="1"/>
  <c r="IV40" i="1"/>
  <c r="IT40" i="1"/>
  <c r="IS40" i="1"/>
  <c r="IQ40" i="1"/>
  <c r="IP40" i="1"/>
  <c r="IN40" i="1"/>
  <c r="IM40" i="1"/>
  <c r="IK40" i="1"/>
  <c r="IJ40" i="1"/>
  <c r="IH40" i="1"/>
  <c r="IG40" i="1"/>
  <c r="IE40" i="1"/>
  <c r="ID40" i="1"/>
  <c r="IB40" i="1"/>
  <c r="IA40" i="1"/>
  <c r="HY40" i="1"/>
  <c r="HX40" i="1"/>
  <c r="HV40" i="1"/>
  <c r="HU40" i="1"/>
  <c r="HS40" i="1"/>
  <c r="HR40" i="1"/>
  <c r="HP40" i="1"/>
  <c r="HO40" i="1"/>
  <c r="HM40" i="1"/>
  <c r="HL40" i="1"/>
  <c r="HJ40" i="1"/>
  <c r="HI40" i="1"/>
  <c r="HG40" i="1"/>
  <c r="HF40" i="1"/>
  <c r="HD40" i="1"/>
  <c r="HC40" i="1"/>
  <c r="HA40" i="1"/>
  <c r="GZ40" i="1"/>
  <c r="GX40" i="1"/>
  <c r="GW40" i="1"/>
  <c r="GU40" i="1"/>
  <c r="GT40" i="1"/>
  <c r="GR40" i="1"/>
  <c r="GQ40" i="1"/>
  <c r="GO40" i="1"/>
  <c r="GN40" i="1"/>
  <c r="GL40" i="1"/>
  <c r="GK40" i="1"/>
  <c r="GI40" i="1"/>
  <c r="GH40" i="1"/>
  <c r="GF40" i="1"/>
  <c r="GE40" i="1"/>
  <c r="GC40" i="1"/>
  <c r="GB40" i="1"/>
  <c r="FZ40" i="1"/>
  <c r="FY40" i="1"/>
  <c r="FW40" i="1"/>
  <c r="FV40" i="1"/>
  <c r="FT40" i="1"/>
  <c r="FS40" i="1"/>
  <c r="FQ40" i="1"/>
  <c r="FP40" i="1"/>
  <c r="FN40" i="1"/>
  <c r="FM40" i="1"/>
  <c r="FK40" i="1"/>
  <c r="FJ40" i="1"/>
  <c r="FH40" i="1"/>
  <c r="FG40" i="1"/>
  <c r="FE40" i="1"/>
  <c r="FD40" i="1"/>
  <c r="FB40" i="1"/>
  <c r="FA40" i="1"/>
  <c r="EY40" i="1"/>
  <c r="EX40" i="1"/>
  <c r="EV40" i="1"/>
  <c r="EU40" i="1"/>
  <c r="ES40" i="1"/>
  <c r="ER40" i="1"/>
  <c r="EP40" i="1"/>
  <c r="EO40" i="1"/>
  <c r="EM40" i="1"/>
  <c r="EL40" i="1"/>
  <c r="EJ40" i="1"/>
  <c r="EI40" i="1"/>
  <c r="EG40" i="1"/>
  <c r="EF40" i="1"/>
  <c r="ED40" i="1"/>
  <c r="EC40" i="1"/>
  <c r="EA40" i="1"/>
  <c r="DZ40" i="1"/>
  <c r="DX40" i="1"/>
  <c r="DW40" i="1"/>
  <c r="DU40" i="1"/>
  <c r="DT40" i="1"/>
  <c r="DR40" i="1"/>
  <c r="DQ40" i="1"/>
  <c r="DO40" i="1"/>
  <c r="DN40" i="1"/>
  <c r="DL40" i="1"/>
  <c r="DK40" i="1"/>
  <c r="DI40" i="1"/>
  <c r="DH40" i="1"/>
  <c r="DF40" i="1"/>
  <c r="DE40" i="1"/>
  <c r="DC40" i="1"/>
  <c r="DB40" i="1"/>
  <c r="CZ40" i="1"/>
  <c r="CY40" i="1"/>
  <c r="CW40" i="1"/>
  <c r="CV40" i="1"/>
  <c r="CT40" i="1"/>
  <c r="CS40" i="1"/>
  <c r="CQ40" i="1"/>
  <c r="CP40" i="1"/>
  <c r="CN40" i="1"/>
  <c r="CM40" i="1"/>
  <c r="CK40" i="1"/>
  <c r="CJ40" i="1"/>
  <c r="CH40" i="1"/>
  <c r="CG40" i="1"/>
  <c r="CE40" i="1"/>
  <c r="CD40" i="1"/>
  <c r="CB40" i="1"/>
  <c r="CA40" i="1"/>
  <c r="BY40" i="1"/>
  <c r="BX40" i="1"/>
  <c r="BV40" i="1"/>
  <c r="BU40" i="1"/>
  <c r="BS40" i="1"/>
  <c r="BR40" i="1"/>
  <c r="BP40" i="1"/>
  <c r="BO40" i="1"/>
  <c r="BM40" i="1"/>
  <c r="BL40" i="1"/>
  <c r="BJ40" i="1"/>
  <c r="BI40" i="1"/>
  <c r="BG40" i="1"/>
  <c r="BF40" i="1"/>
  <c r="BD40" i="1"/>
  <c r="BC40" i="1"/>
  <c r="BA40" i="1"/>
  <c r="AZ40" i="1"/>
  <c r="AX40" i="1"/>
  <c r="AW40" i="1"/>
  <c r="AU40" i="1"/>
  <c r="AT40" i="1"/>
  <c r="AR40" i="1"/>
  <c r="AQ40" i="1"/>
  <c r="AO40" i="1"/>
  <c r="AN40" i="1"/>
  <c r="AL40" i="1"/>
  <c r="AK40" i="1"/>
  <c r="AI40" i="1"/>
  <c r="AH40" i="1"/>
  <c r="AF40" i="1"/>
  <c r="AE40" i="1"/>
  <c r="AC40" i="1"/>
  <c r="AB40" i="1"/>
  <c r="Z40" i="1"/>
  <c r="Y40" i="1"/>
  <c r="W40" i="1"/>
  <c r="V40" i="1"/>
  <c r="T40" i="1"/>
  <c r="S40" i="1"/>
  <c r="Q40" i="1"/>
  <c r="P40" i="1"/>
  <c r="N40" i="1"/>
  <c r="M40" i="1"/>
  <c r="K40" i="1"/>
  <c r="J40" i="1"/>
  <c r="H40" i="1"/>
  <c r="G40" i="1"/>
  <c r="E40" i="1"/>
  <c r="D40" i="1"/>
  <c r="C40" i="1"/>
  <c r="B40" i="1"/>
  <c r="A40" i="1"/>
  <c r="KV39" i="1"/>
  <c r="KU39" i="1"/>
  <c r="KT39" i="1"/>
  <c r="KS39" i="1"/>
  <c r="KR39" i="1"/>
  <c r="KP39" i="1"/>
  <c r="KO39" i="1"/>
  <c r="KM39" i="1"/>
  <c r="KL39" i="1"/>
  <c r="KJ39" i="1"/>
  <c r="KI39" i="1"/>
  <c r="KG39" i="1"/>
  <c r="KF39" i="1"/>
  <c r="KD39" i="1"/>
  <c r="KC39" i="1"/>
  <c r="KA39" i="1"/>
  <c r="JZ39" i="1"/>
  <c r="JX39" i="1"/>
  <c r="JW39" i="1"/>
  <c r="JU39" i="1"/>
  <c r="JT39" i="1"/>
  <c r="JR39" i="1"/>
  <c r="JQ39" i="1"/>
  <c r="JO39" i="1"/>
  <c r="JN39" i="1"/>
  <c r="JL39" i="1"/>
  <c r="JK39" i="1"/>
  <c r="JI39" i="1"/>
  <c r="JH39" i="1"/>
  <c r="JF39" i="1"/>
  <c r="JE39" i="1"/>
  <c r="JC39" i="1"/>
  <c r="JB39" i="1"/>
  <c r="IZ39" i="1"/>
  <c r="IY39" i="1"/>
  <c r="IW39" i="1"/>
  <c r="IV39" i="1"/>
  <c r="IT39" i="1"/>
  <c r="IS39" i="1"/>
  <c r="IQ39" i="1"/>
  <c r="IP39" i="1"/>
  <c r="IN39" i="1"/>
  <c r="IM39" i="1"/>
  <c r="IK39" i="1"/>
  <c r="IJ39" i="1"/>
  <c r="IH39" i="1"/>
  <c r="IG39" i="1"/>
  <c r="IE39" i="1"/>
  <c r="ID39" i="1"/>
  <c r="IB39" i="1"/>
  <c r="IA39" i="1"/>
  <c r="HY39" i="1"/>
  <c r="HX39" i="1"/>
  <c r="HV39" i="1"/>
  <c r="HU39" i="1"/>
  <c r="HS39" i="1"/>
  <c r="HR39" i="1"/>
  <c r="HP39" i="1"/>
  <c r="HO39" i="1"/>
  <c r="HM39" i="1"/>
  <c r="HL39" i="1"/>
  <c r="HJ39" i="1"/>
  <c r="HI39" i="1"/>
  <c r="HG39" i="1"/>
  <c r="HF39" i="1"/>
  <c r="HD39" i="1"/>
  <c r="HC39" i="1"/>
  <c r="HA39" i="1"/>
  <c r="GZ39" i="1"/>
  <c r="GX39" i="1"/>
  <c r="GW39" i="1"/>
  <c r="GU39" i="1"/>
  <c r="GT39" i="1"/>
  <c r="GR39" i="1"/>
  <c r="GQ39" i="1"/>
  <c r="GO39" i="1"/>
  <c r="GN39" i="1"/>
  <c r="GL39" i="1"/>
  <c r="GK39" i="1"/>
  <c r="GI39" i="1"/>
  <c r="GH39" i="1"/>
  <c r="GF39" i="1"/>
  <c r="GE39" i="1"/>
  <c r="GC39" i="1"/>
  <c r="GB39" i="1"/>
  <c r="FZ39" i="1"/>
  <c r="FY39" i="1"/>
  <c r="FW39" i="1"/>
  <c r="FV39" i="1"/>
  <c r="FT39" i="1"/>
  <c r="FS39" i="1"/>
  <c r="FQ39" i="1"/>
  <c r="FP39" i="1"/>
  <c r="FN39" i="1"/>
  <c r="FM39" i="1"/>
  <c r="FK39" i="1"/>
  <c r="FJ39" i="1"/>
  <c r="FH39" i="1"/>
  <c r="FG39" i="1"/>
  <c r="FE39" i="1"/>
  <c r="FD39" i="1"/>
  <c r="FB39" i="1"/>
  <c r="FA39" i="1"/>
  <c r="EY39" i="1"/>
  <c r="EX39" i="1"/>
  <c r="EV39" i="1"/>
  <c r="EU39" i="1"/>
  <c r="ES39" i="1"/>
  <c r="ER39" i="1"/>
  <c r="EP39" i="1"/>
  <c r="EO39" i="1"/>
  <c r="EM39" i="1"/>
  <c r="EL39" i="1"/>
  <c r="EJ39" i="1"/>
  <c r="EI39" i="1"/>
  <c r="EG39" i="1"/>
  <c r="EF39" i="1"/>
  <c r="ED39" i="1"/>
  <c r="EC39" i="1"/>
  <c r="EA39" i="1"/>
  <c r="DZ39" i="1"/>
  <c r="DX39" i="1"/>
  <c r="DW39" i="1"/>
  <c r="DU39" i="1"/>
  <c r="DT39" i="1"/>
  <c r="DR39" i="1"/>
  <c r="DQ39" i="1"/>
  <c r="DO39" i="1"/>
  <c r="DN39" i="1"/>
  <c r="DL39" i="1"/>
  <c r="DK39" i="1"/>
  <c r="DI39" i="1"/>
  <c r="DH39" i="1"/>
  <c r="DF39" i="1"/>
  <c r="DE39" i="1"/>
  <c r="DC39" i="1"/>
  <c r="DB39" i="1"/>
  <c r="CZ39" i="1"/>
  <c r="CY39" i="1"/>
  <c r="CW39" i="1"/>
  <c r="CV39" i="1"/>
  <c r="CT39" i="1"/>
  <c r="CS39" i="1"/>
  <c r="CQ39" i="1"/>
  <c r="CP39" i="1"/>
  <c r="CN39" i="1"/>
  <c r="CM39" i="1"/>
  <c r="CK39" i="1"/>
  <c r="CJ39" i="1"/>
  <c r="CH39" i="1"/>
  <c r="CG39" i="1"/>
  <c r="CE39" i="1"/>
  <c r="CD39" i="1"/>
  <c r="CB39" i="1"/>
  <c r="CA39" i="1"/>
  <c r="BY39" i="1"/>
  <c r="BX39" i="1"/>
  <c r="BV39" i="1"/>
  <c r="BU39" i="1"/>
  <c r="BS39" i="1"/>
  <c r="BR39" i="1"/>
  <c r="BP39" i="1"/>
  <c r="BO39" i="1"/>
  <c r="BM39" i="1"/>
  <c r="BL39" i="1"/>
  <c r="BJ39" i="1"/>
  <c r="BI39" i="1"/>
  <c r="BG39" i="1"/>
  <c r="BF39" i="1"/>
  <c r="BD39" i="1"/>
  <c r="BC39" i="1"/>
  <c r="BA39" i="1"/>
  <c r="AZ39" i="1"/>
  <c r="AX39" i="1"/>
  <c r="AW39" i="1"/>
  <c r="AU39" i="1"/>
  <c r="AT39" i="1"/>
  <c r="AR39" i="1"/>
  <c r="AQ39" i="1"/>
  <c r="AO39" i="1"/>
  <c r="AN39" i="1"/>
  <c r="AL39" i="1"/>
  <c r="AK39" i="1"/>
  <c r="AI39" i="1"/>
  <c r="AH39" i="1"/>
  <c r="AF39" i="1"/>
  <c r="AE39" i="1"/>
  <c r="AC39" i="1"/>
  <c r="AB39" i="1"/>
  <c r="Z39" i="1"/>
  <c r="Y39" i="1"/>
  <c r="W39" i="1"/>
  <c r="V39" i="1"/>
  <c r="T39" i="1"/>
  <c r="S39" i="1"/>
  <c r="Q39" i="1"/>
  <c r="P39" i="1"/>
  <c r="N39" i="1"/>
  <c r="M39" i="1"/>
  <c r="K39" i="1"/>
  <c r="J39" i="1"/>
  <c r="H39" i="1"/>
  <c r="G39" i="1"/>
  <c r="E39" i="1"/>
  <c r="D39" i="1"/>
  <c r="C39" i="1"/>
  <c r="B39" i="1"/>
  <c r="A39" i="1"/>
  <c r="KV38" i="1"/>
  <c r="KU38" i="1"/>
  <c r="KT38" i="1"/>
  <c r="KS38" i="1"/>
  <c r="KR38" i="1"/>
  <c r="KP38" i="1"/>
  <c r="KO38" i="1"/>
  <c r="KM38" i="1"/>
  <c r="KL38" i="1"/>
  <c r="KJ38" i="1"/>
  <c r="KI38" i="1"/>
  <c r="KG38" i="1"/>
  <c r="KF38" i="1"/>
  <c r="KD38" i="1"/>
  <c r="KC38" i="1"/>
  <c r="KA38" i="1"/>
  <c r="JZ38" i="1"/>
  <c r="JX38" i="1"/>
  <c r="JW38" i="1"/>
  <c r="JU38" i="1"/>
  <c r="JT38" i="1"/>
  <c r="JR38" i="1"/>
  <c r="JQ38" i="1"/>
  <c r="JO38" i="1"/>
  <c r="JN38" i="1"/>
  <c r="JL38" i="1"/>
  <c r="JK38" i="1"/>
  <c r="JI38" i="1"/>
  <c r="JH38" i="1"/>
  <c r="JF38" i="1"/>
  <c r="JE38" i="1"/>
  <c r="JC38" i="1"/>
  <c r="JB38" i="1"/>
  <c r="IZ38" i="1"/>
  <c r="IY38" i="1"/>
  <c r="IW38" i="1"/>
  <c r="IV38" i="1"/>
  <c r="IT38" i="1"/>
  <c r="IS38" i="1"/>
  <c r="IQ38" i="1"/>
  <c r="IP38" i="1"/>
  <c r="IN38" i="1"/>
  <c r="IM38" i="1"/>
  <c r="IK38" i="1"/>
  <c r="IJ38" i="1"/>
  <c r="IH38" i="1"/>
  <c r="IG38" i="1"/>
  <c r="IE38" i="1"/>
  <c r="ID38" i="1"/>
  <c r="IB38" i="1"/>
  <c r="IA38" i="1"/>
  <c r="HY38" i="1"/>
  <c r="HX38" i="1"/>
  <c r="HV38" i="1"/>
  <c r="HU38" i="1"/>
  <c r="HS38" i="1"/>
  <c r="HR38" i="1"/>
  <c r="HP38" i="1"/>
  <c r="HO38" i="1"/>
  <c r="HM38" i="1"/>
  <c r="HL38" i="1"/>
  <c r="HJ38" i="1"/>
  <c r="HI38" i="1"/>
  <c r="HG38" i="1"/>
  <c r="HF38" i="1"/>
  <c r="HD38" i="1"/>
  <c r="HC38" i="1"/>
  <c r="HA38" i="1"/>
  <c r="GZ38" i="1"/>
  <c r="GX38" i="1"/>
  <c r="GW38" i="1"/>
  <c r="GU38" i="1"/>
  <c r="GT38" i="1"/>
  <c r="GR38" i="1"/>
  <c r="GQ38" i="1"/>
  <c r="GO38" i="1"/>
  <c r="GN38" i="1"/>
  <c r="GL38" i="1"/>
  <c r="GK38" i="1"/>
  <c r="GI38" i="1"/>
  <c r="GH38" i="1"/>
  <c r="GF38" i="1"/>
  <c r="GE38" i="1"/>
  <c r="GC38" i="1"/>
  <c r="GB38" i="1"/>
  <c r="FZ38" i="1"/>
  <c r="FY38" i="1"/>
  <c r="FW38" i="1"/>
  <c r="FV38" i="1"/>
  <c r="FT38" i="1"/>
  <c r="FS38" i="1"/>
  <c r="FQ38" i="1"/>
  <c r="FP38" i="1"/>
  <c r="FN38" i="1"/>
  <c r="FM38" i="1"/>
  <c r="FK38" i="1"/>
  <c r="FJ38" i="1"/>
  <c r="FH38" i="1"/>
  <c r="FG38" i="1"/>
  <c r="FE38" i="1"/>
  <c r="FD38" i="1"/>
  <c r="FB38" i="1"/>
  <c r="FA38" i="1"/>
  <c r="EY38" i="1"/>
  <c r="EX38" i="1"/>
  <c r="EV38" i="1"/>
  <c r="EU38" i="1"/>
  <c r="ES38" i="1"/>
  <c r="ER38" i="1"/>
  <c r="EP38" i="1"/>
  <c r="EO38" i="1"/>
  <c r="EM38" i="1"/>
  <c r="EL38" i="1"/>
  <c r="EJ38" i="1"/>
  <c r="EI38" i="1"/>
  <c r="EG38" i="1"/>
  <c r="EF38" i="1"/>
  <c r="ED38" i="1"/>
  <c r="EC38" i="1"/>
  <c r="EA38" i="1"/>
  <c r="DZ38" i="1"/>
  <c r="DX38" i="1"/>
  <c r="DW38" i="1"/>
  <c r="DU38" i="1"/>
  <c r="DT38" i="1"/>
  <c r="DR38" i="1"/>
  <c r="DQ38" i="1"/>
  <c r="DO38" i="1"/>
  <c r="DN38" i="1"/>
  <c r="DL38" i="1"/>
  <c r="DK38" i="1"/>
  <c r="DI38" i="1"/>
  <c r="DH38" i="1"/>
  <c r="DF38" i="1"/>
  <c r="DE38" i="1"/>
  <c r="DC38" i="1"/>
  <c r="DB38" i="1"/>
  <c r="CZ38" i="1"/>
  <c r="CY38" i="1"/>
  <c r="CW38" i="1"/>
  <c r="CV38" i="1"/>
  <c r="CT38" i="1"/>
  <c r="CS38" i="1"/>
  <c r="CQ38" i="1"/>
  <c r="CP38" i="1"/>
  <c r="CN38" i="1"/>
  <c r="CM38" i="1"/>
  <c r="CK38" i="1"/>
  <c r="CJ38" i="1"/>
  <c r="CH38" i="1"/>
  <c r="CG38" i="1"/>
  <c r="CE38" i="1"/>
  <c r="CD38" i="1"/>
  <c r="CB38" i="1"/>
  <c r="CA38" i="1"/>
  <c r="BY38" i="1"/>
  <c r="BX38" i="1"/>
  <c r="BV38" i="1"/>
  <c r="BU38" i="1"/>
  <c r="BS38" i="1"/>
  <c r="BR38" i="1"/>
  <c r="BP38" i="1"/>
  <c r="BO38" i="1"/>
  <c r="BM38" i="1"/>
  <c r="BL38" i="1"/>
  <c r="BJ38" i="1"/>
  <c r="BI38" i="1"/>
  <c r="BG38" i="1"/>
  <c r="BF38" i="1"/>
  <c r="BD38" i="1"/>
  <c r="BC38" i="1"/>
  <c r="BA38" i="1"/>
  <c r="AZ38" i="1"/>
  <c r="AX38" i="1"/>
  <c r="AW38" i="1"/>
  <c r="AU38" i="1"/>
  <c r="AT38" i="1"/>
  <c r="AR38" i="1"/>
  <c r="AQ38" i="1"/>
  <c r="AO38" i="1"/>
  <c r="AN38" i="1"/>
  <c r="AL38" i="1"/>
  <c r="AK38" i="1"/>
  <c r="AI38" i="1"/>
  <c r="AH38" i="1"/>
  <c r="AF38" i="1"/>
  <c r="AE38" i="1"/>
  <c r="AC38" i="1"/>
  <c r="AB38" i="1"/>
  <c r="Z38" i="1"/>
  <c r="Y38" i="1"/>
  <c r="W38" i="1"/>
  <c r="V38" i="1"/>
  <c r="T38" i="1"/>
  <c r="S38" i="1"/>
  <c r="Q38" i="1"/>
  <c r="P38" i="1"/>
  <c r="N38" i="1"/>
  <c r="M38" i="1"/>
  <c r="K38" i="1"/>
  <c r="J38" i="1"/>
  <c r="H38" i="1"/>
  <c r="G38" i="1"/>
  <c r="E38" i="1"/>
  <c r="D38" i="1"/>
  <c r="C38" i="1"/>
  <c r="B38" i="1"/>
  <c r="A38" i="1"/>
  <c r="KV37" i="1"/>
  <c r="KU37" i="1"/>
  <c r="KT37" i="1"/>
  <c r="KS37" i="1"/>
  <c r="KR37" i="1"/>
  <c r="KP37" i="1"/>
  <c r="KO37" i="1"/>
  <c r="KM37" i="1"/>
  <c r="KL37" i="1"/>
  <c r="KJ37" i="1"/>
  <c r="KI37" i="1"/>
  <c r="KG37" i="1"/>
  <c r="KF37" i="1"/>
  <c r="KD37" i="1"/>
  <c r="KC37" i="1"/>
  <c r="KA37" i="1"/>
  <c r="JZ37" i="1"/>
  <c r="JX37" i="1"/>
  <c r="JW37" i="1"/>
  <c r="JU37" i="1"/>
  <c r="JT37" i="1"/>
  <c r="JR37" i="1"/>
  <c r="JQ37" i="1"/>
  <c r="JO37" i="1"/>
  <c r="JN37" i="1"/>
  <c r="JL37" i="1"/>
  <c r="JK37" i="1"/>
  <c r="JI37" i="1"/>
  <c r="JH37" i="1"/>
  <c r="JF37" i="1"/>
  <c r="JE37" i="1"/>
  <c r="JC37" i="1"/>
  <c r="JB37" i="1"/>
  <c r="IZ37" i="1"/>
  <c r="IY37" i="1"/>
  <c r="IW37" i="1"/>
  <c r="IV37" i="1"/>
  <c r="IT37" i="1"/>
  <c r="IS37" i="1"/>
  <c r="IQ37" i="1"/>
  <c r="IP37" i="1"/>
  <c r="IN37" i="1"/>
  <c r="IM37" i="1"/>
  <c r="IK37" i="1"/>
  <c r="IJ37" i="1"/>
  <c r="IH37" i="1"/>
  <c r="IG37" i="1"/>
  <c r="IE37" i="1"/>
  <c r="ID37" i="1"/>
  <c r="IB37" i="1"/>
  <c r="IA37" i="1"/>
  <c r="HY37" i="1"/>
  <c r="HX37" i="1"/>
  <c r="HV37" i="1"/>
  <c r="HU37" i="1"/>
  <c r="HS37" i="1"/>
  <c r="HR37" i="1"/>
  <c r="HP37" i="1"/>
  <c r="HO37" i="1"/>
  <c r="HM37" i="1"/>
  <c r="HL37" i="1"/>
  <c r="HJ37" i="1"/>
  <c r="HI37" i="1"/>
  <c r="HG37" i="1"/>
  <c r="HF37" i="1"/>
  <c r="HD37" i="1"/>
  <c r="HC37" i="1"/>
  <c r="HA37" i="1"/>
  <c r="GZ37" i="1"/>
  <c r="GX37" i="1"/>
  <c r="GW37" i="1"/>
  <c r="GU37" i="1"/>
  <c r="GT37" i="1"/>
  <c r="GR37" i="1"/>
  <c r="GQ37" i="1"/>
  <c r="GO37" i="1"/>
  <c r="GN37" i="1"/>
  <c r="GL37" i="1"/>
  <c r="GK37" i="1"/>
  <c r="GI37" i="1"/>
  <c r="GH37" i="1"/>
  <c r="GF37" i="1"/>
  <c r="GE37" i="1"/>
  <c r="GC37" i="1"/>
  <c r="GB37" i="1"/>
  <c r="FZ37" i="1"/>
  <c r="FY37" i="1"/>
  <c r="FW37" i="1"/>
  <c r="FV37" i="1"/>
  <c r="FT37" i="1"/>
  <c r="FS37" i="1"/>
  <c r="FQ37" i="1"/>
  <c r="FP37" i="1"/>
  <c r="FN37" i="1"/>
  <c r="FM37" i="1"/>
  <c r="FK37" i="1"/>
  <c r="FJ37" i="1"/>
  <c r="FH37" i="1"/>
  <c r="FG37" i="1"/>
  <c r="FE37" i="1"/>
  <c r="FD37" i="1"/>
  <c r="FB37" i="1"/>
  <c r="FA37" i="1"/>
  <c r="EY37" i="1"/>
  <c r="EX37" i="1"/>
  <c r="EV37" i="1"/>
  <c r="EU37" i="1"/>
  <c r="ES37" i="1"/>
  <c r="ER37" i="1"/>
  <c r="EP37" i="1"/>
  <c r="EO37" i="1"/>
  <c r="EM37" i="1"/>
  <c r="EL37" i="1"/>
  <c r="EJ37" i="1"/>
  <c r="EI37" i="1"/>
  <c r="EG37" i="1"/>
  <c r="EF37" i="1"/>
  <c r="ED37" i="1"/>
  <c r="EC37" i="1"/>
  <c r="EA37" i="1"/>
  <c r="DZ37" i="1"/>
  <c r="DX37" i="1"/>
  <c r="DW37" i="1"/>
  <c r="DU37" i="1"/>
  <c r="DT37" i="1"/>
  <c r="DR37" i="1"/>
  <c r="DQ37" i="1"/>
  <c r="DO37" i="1"/>
  <c r="DN37" i="1"/>
  <c r="DL37" i="1"/>
  <c r="DK37" i="1"/>
  <c r="DI37" i="1"/>
  <c r="DH37" i="1"/>
  <c r="DF37" i="1"/>
  <c r="DE37" i="1"/>
  <c r="DC37" i="1"/>
  <c r="DB37" i="1"/>
  <c r="CZ37" i="1"/>
  <c r="CY37" i="1"/>
  <c r="CW37" i="1"/>
  <c r="CV37" i="1"/>
  <c r="CT37" i="1"/>
  <c r="CS37" i="1"/>
  <c r="CQ37" i="1"/>
  <c r="CP37" i="1"/>
  <c r="CN37" i="1"/>
  <c r="CM37" i="1"/>
  <c r="CK37" i="1"/>
  <c r="CJ37" i="1"/>
  <c r="CH37" i="1"/>
  <c r="CG37" i="1"/>
  <c r="CE37" i="1"/>
  <c r="CD37" i="1"/>
  <c r="CB37" i="1"/>
  <c r="CA37" i="1"/>
  <c r="BY37" i="1"/>
  <c r="BX37" i="1"/>
  <c r="BV37" i="1"/>
  <c r="BU37" i="1"/>
  <c r="BS37" i="1"/>
  <c r="BR37" i="1"/>
  <c r="BP37" i="1"/>
  <c r="BO37" i="1"/>
  <c r="BM37" i="1"/>
  <c r="BL37" i="1"/>
  <c r="BJ37" i="1"/>
  <c r="BI37" i="1"/>
  <c r="BG37" i="1"/>
  <c r="BF37" i="1"/>
  <c r="BD37" i="1"/>
  <c r="BC37" i="1"/>
  <c r="BA37" i="1"/>
  <c r="AZ37" i="1"/>
  <c r="AX37" i="1"/>
  <c r="AW37" i="1"/>
  <c r="AU37" i="1"/>
  <c r="AT37" i="1"/>
  <c r="AR37" i="1"/>
  <c r="AQ37" i="1"/>
  <c r="AO37" i="1"/>
  <c r="AN37" i="1"/>
  <c r="AL37" i="1"/>
  <c r="AK37" i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J37" i="1"/>
  <c r="H37" i="1"/>
  <c r="G37" i="1"/>
  <c r="E37" i="1"/>
  <c r="D37" i="1"/>
  <c r="C37" i="1"/>
  <c r="B37" i="1"/>
  <c r="A37" i="1"/>
  <c r="KV36" i="1"/>
  <c r="KU36" i="1"/>
  <c r="KT36" i="1"/>
  <c r="KS36" i="1"/>
  <c r="KR36" i="1"/>
  <c r="KP36" i="1"/>
  <c r="KO36" i="1"/>
  <c r="KM36" i="1"/>
  <c r="KL36" i="1"/>
  <c r="KJ36" i="1"/>
  <c r="KI36" i="1"/>
  <c r="KG36" i="1"/>
  <c r="KF36" i="1"/>
  <c r="KD36" i="1"/>
  <c r="KC36" i="1"/>
  <c r="KA36" i="1"/>
  <c r="JZ36" i="1"/>
  <c r="JX36" i="1"/>
  <c r="JW36" i="1"/>
  <c r="JU36" i="1"/>
  <c r="JT36" i="1"/>
  <c r="JR36" i="1"/>
  <c r="JQ36" i="1"/>
  <c r="JO36" i="1"/>
  <c r="JN36" i="1"/>
  <c r="JL36" i="1"/>
  <c r="JK36" i="1"/>
  <c r="JI36" i="1"/>
  <c r="JH36" i="1"/>
  <c r="JF36" i="1"/>
  <c r="JE36" i="1"/>
  <c r="JC36" i="1"/>
  <c r="JB36" i="1"/>
  <c r="IZ36" i="1"/>
  <c r="IY36" i="1"/>
  <c r="IW36" i="1"/>
  <c r="IV36" i="1"/>
  <c r="IT36" i="1"/>
  <c r="IS36" i="1"/>
  <c r="IQ36" i="1"/>
  <c r="IP36" i="1"/>
  <c r="IN36" i="1"/>
  <c r="IM36" i="1"/>
  <c r="IK36" i="1"/>
  <c r="IJ36" i="1"/>
  <c r="IH36" i="1"/>
  <c r="IG36" i="1"/>
  <c r="IE36" i="1"/>
  <c r="ID36" i="1"/>
  <c r="IB36" i="1"/>
  <c r="IA36" i="1"/>
  <c r="HY36" i="1"/>
  <c r="HX36" i="1"/>
  <c r="HV36" i="1"/>
  <c r="HU36" i="1"/>
  <c r="HS36" i="1"/>
  <c r="HR36" i="1"/>
  <c r="HP36" i="1"/>
  <c r="HO36" i="1"/>
  <c r="HM36" i="1"/>
  <c r="HL36" i="1"/>
  <c r="HJ36" i="1"/>
  <c r="HI36" i="1"/>
  <c r="HG36" i="1"/>
  <c r="HF36" i="1"/>
  <c r="HD36" i="1"/>
  <c r="HC36" i="1"/>
  <c r="HA36" i="1"/>
  <c r="GZ36" i="1"/>
  <c r="GX36" i="1"/>
  <c r="GW36" i="1"/>
  <c r="GU36" i="1"/>
  <c r="GT36" i="1"/>
  <c r="GR36" i="1"/>
  <c r="GQ36" i="1"/>
  <c r="GO36" i="1"/>
  <c r="GN36" i="1"/>
  <c r="GL36" i="1"/>
  <c r="GK36" i="1"/>
  <c r="GI36" i="1"/>
  <c r="GH36" i="1"/>
  <c r="GF36" i="1"/>
  <c r="GE36" i="1"/>
  <c r="GC36" i="1"/>
  <c r="GB36" i="1"/>
  <c r="FZ36" i="1"/>
  <c r="FY36" i="1"/>
  <c r="FW36" i="1"/>
  <c r="FV36" i="1"/>
  <c r="FT36" i="1"/>
  <c r="FS36" i="1"/>
  <c r="FQ36" i="1"/>
  <c r="FP36" i="1"/>
  <c r="FN36" i="1"/>
  <c r="FM36" i="1"/>
  <c r="FK36" i="1"/>
  <c r="FJ36" i="1"/>
  <c r="FH36" i="1"/>
  <c r="FG36" i="1"/>
  <c r="FE36" i="1"/>
  <c r="FD36" i="1"/>
  <c r="FB36" i="1"/>
  <c r="FA36" i="1"/>
  <c r="EY36" i="1"/>
  <c r="EX36" i="1"/>
  <c r="EV36" i="1"/>
  <c r="EU36" i="1"/>
  <c r="ES36" i="1"/>
  <c r="ER36" i="1"/>
  <c r="EP36" i="1"/>
  <c r="EO36" i="1"/>
  <c r="EM36" i="1"/>
  <c r="EL36" i="1"/>
  <c r="EJ36" i="1"/>
  <c r="EI36" i="1"/>
  <c r="EG36" i="1"/>
  <c r="EF36" i="1"/>
  <c r="ED36" i="1"/>
  <c r="EC36" i="1"/>
  <c r="EA36" i="1"/>
  <c r="DZ36" i="1"/>
  <c r="DX36" i="1"/>
  <c r="DW36" i="1"/>
  <c r="DU36" i="1"/>
  <c r="DT36" i="1"/>
  <c r="DR36" i="1"/>
  <c r="DQ36" i="1"/>
  <c r="DO36" i="1"/>
  <c r="DN36" i="1"/>
  <c r="DL36" i="1"/>
  <c r="DK36" i="1"/>
  <c r="DI36" i="1"/>
  <c r="DH36" i="1"/>
  <c r="DF36" i="1"/>
  <c r="DE36" i="1"/>
  <c r="DC36" i="1"/>
  <c r="DB36" i="1"/>
  <c r="CZ36" i="1"/>
  <c r="CY36" i="1"/>
  <c r="CW36" i="1"/>
  <c r="CV36" i="1"/>
  <c r="CT36" i="1"/>
  <c r="CS36" i="1"/>
  <c r="CQ36" i="1"/>
  <c r="CP36" i="1"/>
  <c r="CN36" i="1"/>
  <c r="CM36" i="1"/>
  <c r="CK36" i="1"/>
  <c r="CJ36" i="1"/>
  <c r="CH36" i="1"/>
  <c r="CG36" i="1"/>
  <c r="CE36" i="1"/>
  <c r="CD36" i="1"/>
  <c r="CB36" i="1"/>
  <c r="CA36" i="1"/>
  <c r="BY36" i="1"/>
  <c r="BX36" i="1"/>
  <c r="BV36" i="1"/>
  <c r="BU36" i="1"/>
  <c r="BS36" i="1"/>
  <c r="BR36" i="1"/>
  <c r="BP36" i="1"/>
  <c r="BO36" i="1"/>
  <c r="BM36" i="1"/>
  <c r="BL36" i="1"/>
  <c r="BJ36" i="1"/>
  <c r="BI36" i="1"/>
  <c r="BG36" i="1"/>
  <c r="BF36" i="1"/>
  <c r="BD36" i="1"/>
  <c r="BC36" i="1"/>
  <c r="BA36" i="1"/>
  <c r="AZ36" i="1"/>
  <c r="AX36" i="1"/>
  <c r="AW36" i="1"/>
  <c r="AU36" i="1"/>
  <c r="AT36" i="1"/>
  <c r="AR36" i="1"/>
  <c r="AQ36" i="1"/>
  <c r="AO36" i="1"/>
  <c r="AN36" i="1"/>
  <c r="AL36" i="1"/>
  <c r="AK36" i="1"/>
  <c r="AI36" i="1"/>
  <c r="AH36" i="1"/>
  <c r="AF36" i="1"/>
  <c r="AE36" i="1"/>
  <c r="AC36" i="1"/>
  <c r="AB36" i="1"/>
  <c r="Z36" i="1"/>
  <c r="Y36" i="1"/>
  <c r="W36" i="1"/>
  <c r="V36" i="1"/>
  <c r="T36" i="1"/>
  <c r="S36" i="1"/>
  <c r="Q36" i="1"/>
  <c r="P36" i="1"/>
  <c r="N36" i="1"/>
  <c r="M36" i="1"/>
  <c r="K36" i="1"/>
  <c r="J36" i="1"/>
  <c r="H36" i="1"/>
  <c r="G36" i="1"/>
  <c r="E36" i="1"/>
  <c r="D36" i="1"/>
  <c r="C36" i="1"/>
  <c r="B36" i="1"/>
  <c r="A36" i="1"/>
  <c r="KV35" i="1"/>
  <c r="KU35" i="1"/>
  <c r="KT35" i="1"/>
  <c r="KS35" i="1"/>
  <c r="KR35" i="1"/>
  <c r="KP35" i="1"/>
  <c r="KO35" i="1"/>
  <c r="KM35" i="1"/>
  <c r="KL35" i="1"/>
  <c r="KJ35" i="1"/>
  <c r="KI35" i="1"/>
  <c r="KG35" i="1"/>
  <c r="KF35" i="1"/>
  <c r="KD35" i="1"/>
  <c r="KC35" i="1"/>
  <c r="KA35" i="1"/>
  <c r="JZ35" i="1"/>
  <c r="JX35" i="1"/>
  <c r="JW35" i="1"/>
  <c r="JU35" i="1"/>
  <c r="JT35" i="1"/>
  <c r="JR35" i="1"/>
  <c r="JQ35" i="1"/>
  <c r="JO35" i="1"/>
  <c r="JN35" i="1"/>
  <c r="JL35" i="1"/>
  <c r="JK35" i="1"/>
  <c r="JI35" i="1"/>
  <c r="JH35" i="1"/>
  <c r="JF35" i="1"/>
  <c r="JE35" i="1"/>
  <c r="JC35" i="1"/>
  <c r="JB35" i="1"/>
  <c r="IZ35" i="1"/>
  <c r="IY35" i="1"/>
  <c r="IW35" i="1"/>
  <c r="IV35" i="1"/>
  <c r="IT35" i="1"/>
  <c r="IS35" i="1"/>
  <c r="IQ35" i="1"/>
  <c r="IP35" i="1"/>
  <c r="IN35" i="1"/>
  <c r="IM35" i="1"/>
  <c r="IK35" i="1"/>
  <c r="IJ35" i="1"/>
  <c r="IH35" i="1"/>
  <c r="IG35" i="1"/>
  <c r="IE35" i="1"/>
  <c r="ID35" i="1"/>
  <c r="IB35" i="1"/>
  <c r="IA35" i="1"/>
  <c r="HY35" i="1"/>
  <c r="HX35" i="1"/>
  <c r="HV35" i="1"/>
  <c r="HU35" i="1"/>
  <c r="HS35" i="1"/>
  <c r="HR35" i="1"/>
  <c r="HP35" i="1"/>
  <c r="HO35" i="1"/>
  <c r="HM35" i="1"/>
  <c r="HL35" i="1"/>
  <c r="HJ35" i="1"/>
  <c r="HI35" i="1"/>
  <c r="HG35" i="1"/>
  <c r="HF35" i="1"/>
  <c r="HD35" i="1"/>
  <c r="HC35" i="1"/>
  <c r="HA35" i="1"/>
  <c r="GZ35" i="1"/>
  <c r="GX35" i="1"/>
  <c r="GW35" i="1"/>
  <c r="GU35" i="1"/>
  <c r="GT35" i="1"/>
  <c r="GR35" i="1"/>
  <c r="GQ35" i="1"/>
  <c r="GO35" i="1"/>
  <c r="GN35" i="1"/>
  <c r="GL35" i="1"/>
  <c r="GK35" i="1"/>
  <c r="GI35" i="1"/>
  <c r="GH35" i="1"/>
  <c r="GF35" i="1"/>
  <c r="GE35" i="1"/>
  <c r="GC35" i="1"/>
  <c r="GB35" i="1"/>
  <c r="FZ35" i="1"/>
  <c r="FY35" i="1"/>
  <c r="FW35" i="1"/>
  <c r="FV35" i="1"/>
  <c r="FT35" i="1"/>
  <c r="FS35" i="1"/>
  <c r="FQ35" i="1"/>
  <c r="FP35" i="1"/>
  <c r="FN35" i="1"/>
  <c r="FM35" i="1"/>
  <c r="FK35" i="1"/>
  <c r="FJ35" i="1"/>
  <c r="FH35" i="1"/>
  <c r="FG35" i="1"/>
  <c r="FE35" i="1"/>
  <c r="FD35" i="1"/>
  <c r="FB35" i="1"/>
  <c r="FA35" i="1"/>
  <c r="EY35" i="1"/>
  <c r="EX35" i="1"/>
  <c r="EV35" i="1"/>
  <c r="EU35" i="1"/>
  <c r="ES35" i="1"/>
  <c r="ER35" i="1"/>
  <c r="EP35" i="1"/>
  <c r="EO35" i="1"/>
  <c r="EM35" i="1"/>
  <c r="EL35" i="1"/>
  <c r="EJ35" i="1"/>
  <c r="EI35" i="1"/>
  <c r="EG35" i="1"/>
  <c r="EF35" i="1"/>
  <c r="ED35" i="1"/>
  <c r="EC35" i="1"/>
  <c r="EA35" i="1"/>
  <c r="DZ35" i="1"/>
  <c r="DX35" i="1"/>
  <c r="DW35" i="1"/>
  <c r="DU35" i="1"/>
  <c r="DT35" i="1"/>
  <c r="DR35" i="1"/>
  <c r="DQ35" i="1"/>
  <c r="DO35" i="1"/>
  <c r="DN35" i="1"/>
  <c r="DL35" i="1"/>
  <c r="DK35" i="1"/>
  <c r="DI35" i="1"/>
  <c r="DH35" i="1"/>
  <c r="DF35" i="1"/>
  <c r="DE35" i="1"/>
  <c r="DC35" i="1"/>
  <c r="DB35" i="1"/>
  <c r="CZ35" i="1"/>
  <c r="CY35" i="1"/>
  <c r="CW35" i="1"/>
  <c r="CV35" i="1"/>
  <c r="CT35" i="1"/>
  <c r="CS35" i="1"/>
  <c r="CQ35" i="1"/>
  <c r="CP35" i="1"/>
  <c r="CN35" i="1"/>
  <c r="CM35" i="1"/>
  <c r="CK35" i="1"/>
  <c r="CJ35" i="1"/>
  <c r="CH35" i="1"/>
  <c r="CG35" i="1"/>
  <c r="CE35" i="1"/>
  <c r="CD35" i="1"/>
  <c r="CB35" i="1"/>
  <c r="CA35" i="1"/>
  <c r="BY35" i="1"/>
  <c r="BX35" i="1"/>
  <c r="BV35" i="1"/>
  <c r="BU35" i="1"/>
  <c r="BS35" i="1"/>
  <c r="BR35" i="1"/>
  <c r="BP35" i="1"/>
  <c r="BO35" i="1"/>
  <c r="BM35" i="1"/>
  <c r="BL35" i="1"/>
  <c r="BJ35" i="1"/>
  <c r="BI35" i="1"/>
  <c r="BG35" i="1"/>
  <c r="BF35" i="1"/>
  <c r="BD35" i="1"/>
  <c r="BC35" i="1"/>
  <c r="BA35" i="1"/>
  <c r="AZ35" i="1"/>
  <c r="AX35" i="1"/>
  <c r="AW35" i="1"/>
  <c r="AU35" i="1"/>
  <c r="AT35" i="1"/>
  <c r="AR35" i="1"/>
  <c r="AQ35" i="1"/>
  <c r="AO35" i="1"/>
  <c r="AN35" i="1"/>
  <c r="AL35" i="1"/>
  <c r="AK35" i="1"/>
  <c r="AI35" i="1"/>
  <c r="AH35" i="1"/>
  <c r="AF35" i="1"/>
  <c r="AE35" i="1"/>
  <c r="AC35" i="1"/>
  <c r="AB35" i="1"/>
  <c r="Z35" i="1"/>
  <c r="Y35" i="1"/>
  <c r="W35" i="1"/>
  <c r="V35" i="1"/>
  <c r="T35" i="1"/>
  <c r="S35" i="1"/>
  <c r="Q35" i="1"/>
  <c r="P35" i="1"/>
  <c r="N35" i="1"/>
  <c r="M35" i="1"/>
  <c r="K35" i="1"/>
  <c r="J35" i="1"/>
  <c r="H35" i="1"/>
  <c r="G35" i="1"/>
  <c r="E35" i="1"/>
  <c r="D35" i="1"/>
  <c r="C35" i="1"/>
  <c r="B35" i="1"/>
  <c r="A35" i="1"/>
  <c r="KV34" i="1"/>
  <c r="KU34" i="1"/>
  <c r="KT34" i="1"/>
  <c r="KS34" i="1"/>
  <c r="KR34" i="1"/>
  <c r="KP34" i="1"/>
  <c r="KO34" i="1"/>
  <c r="KM34" i="1"/>
  <c r="KL34" i="1"/>
  <c r="KJ34" i="1"/>
  <c r="KI34" i="1"/>
  <c r="KG34" i="1"/>
  <c r="KF34" i="1"/>
  <c r="KD34" i="1"/>
  <c r="KC34" i="1"/>
  <c r="KA34" i="1"/>
  <c r="JZ34" i="1"/>
  <c r="JX34" i="1"/>
  <c r="JW34" i="1"/>
  <c r="JU34" i="1"/>
  <c r="JT34" i="1"/>
  <c r="JR34" i="1"/>
  <c r="JQ34" i="1"/>
  <c r="JO34" i="1"/>
  <c r="JN34" i="1"/>
  <c r="JL34" i="1"/>
  <c r="JK34" i="1"/>
  <c r="JI34" i="1"/>
  <c r="JH34" i="1"/>
  <c r="JF34" i="1"/>
  <c r="JE34" i="1"/>
  <c r="JC34" i="1"/>
  <c r="JB34" i="1"/>
  <c r="IZ34" i="1"/>
  <c r="IY34" i="1"/>
  <c r="IW34" i="1"/>
  <c r="IV34" i="1"/>
  <c r="IT34" i="1"/>
  <c r="IS34" i="1"/>
  <c r="IQ34" i="1"/>
  <c r="IP34" i="1"/>
  <c r="IN34" i="1"/>
  <c r="IM34" i="1"/>
  <c r="IK34" i="1"/>
  <c r="IJ34" i="1"/>
  <c r="IH34" i="1"/>
  <c r="IG34" i="1"/>
  <c r="IE34" i="1"/>
  <c r="ID34" i="1"/>
  <c r="IB34" i="1"/>
  <c r="IA34" i="1"/>
  <c r="HY34" i="1"/>
  <c r="HX34" i="1"/>
  <c r="HV34" i="1"/>
  <c r="HU34" i="1"/>
  <c r="HS34" i="1"/>
  <c r="HR34" i="1"/>
  <c r="HP34" i="1"/>
  <c r="HO34" i="1"/>
  <c r="HM34" i="1"/>
  <c r="HL34" i="1"/>
  <c r="HJ34" i="1"/>
  <c r="HI34" i="1"/>
  <c r="HG34" i="1"/>
  <c r="HF34" i="1"/>
  <c r="HD34" i="1"/>
  <c r="HC34" i="1"/>
  <c r="HA34" i="1"/>
  <c r="GZ34" i="1"/>
  <c r="GX34" i="1"/>
  <c r="GW34" i="1"/>
  <c r="GU34" i="1"/>
  <c r="GT34" i="1"/>
  <c r="GR34" i="1"/>
  <c r="GQ34" i="1"/>
  <c r="GO34" i="1"/>
  <c r="GN34" i="1"/>
  <c r="GL34" i="1"/>
  <c r="GK34" i="1"/>
  <c r="GI34" i="1"/>
  <c r="GH34" i="1"/>
  <c r="GF34" i="1"/>
  <c r="GE34" i="1"/>
  <c r="GC34" i="1"/>
  <c r="GB34" i="1"/>
  <c r="FZ34" i="1"/>
  <c r="FY34" i="1"/>
  <c r="FW34" i="1"/>
  <c r="FV34" i="1"/>
  <c r="FT34" i="1"/>
  <c r="FS34" i="1"/>
  <c r="FQ34" i="1"/>
  <c r="FP34" i="1"/>
  <c r="FN34" i="1"/>
  <c r="FM34" i="1"/>
  <c r="FK34" i="1"/>
  <c r="FJ34" i="1"/>
  <c r="FH34" i="1"/>
  <c r="FG34" i="1"/>
  <c r="FE34" i="1"/>
  <c r="FD34" i="1"/>
  <c r="FB34" i="1"/>
  <c r="FA34" i="1"/>
  <c r="EY34" i="1"/>
  <c r="EX34" i="1"/>
  <c r="EV34" i="1"/>
  <c r="EU34" i="1"/>
  <c r="ES34" i="1"/>
  <c r="ER34" i="1"/>
  <c r="EP34" i="1"/>
  <c r="EO34" i="1"/>
  <c r="EM34" i="1"/>
  <c r="EL34" i="1"/>
  <c r="EJ34" i="1"/>
  <c r="EI34" i="1"/>
  <c r="EG34" i="1"/>
  <c r="EF34" i="1"/>
  <c r="ED34" i="1"/>
  <c r="EC34" i="1"/>
  <c r="EA34" i="1"/>
  <c r="DZ34" i="1"/>
  <c r="DX34" i="1"/>
  <c r="DW34" i="1"/>
  <c r="DU34" i="1"/>
  <c r="DT34" i="1"/>
  <c r="DR34" i="1"/>
  <c r="DQ34" i="1"/>
  <c r="DO34" i="1"/>
  <c r="DN34" i="1"/>
  <c r="DL34" i="1"/>
  <c r="DK34" i="1"/>
  <c r="DI34" i="1"/>
  <c r="DH34" i="1"/>
  <c r="DF34" i="1"/>
  <c r="DE34" i="1"/>
  <c r="DC34" i="1"/>
  <c r="DB34" i="1"/>
  <c r="CZ34" i="1"/>
  <c r="CY34" i="1"/>
  <c r="CW34" i="1"/>
  <c r="CV34" i="1"/>
  <c r="CT34" i="1"/>
  <c r="CS34" i="1"/>
  <c r="CQ34" i="1"/>
  <c r="CP34" i="1"/>
  <c r="CN34" i="1"/>
  <c r="CM34" i="1"/>
  <c r="CK34" i="1"/>
  <c r="CJ34" i="1"/>
  <c r="CH34" i="1"/>
  <c r="CG34" i="1"/>
  <c r="CE34" i="1"/>
  <c r="CD34" i="1"/>
  <c r="CB34" i="1"/>
  <c r="CA34" i="1"/>
  <c r="BY34" i="1"/>
  <c r="BX34" i="1"/>
  <c r="BV34" i="1"/>
  <c r="BU34" i="1"/>
  <c r="BS34" i="1"/>
  <c r="BR34" i="1"/>
  <c r="BP34" i="1"/>
  <c r="BO34" i="1"/>
  <c r="BM34" i="1"/>
  <c r="BL34" i="1"/>
  <c r="BJ34" i="1"/>
  <c r="BI34" i="1"/>
  <c r="BG34" i="1"/>
  <c r="BF34" i="1"/>
  <c r="BD34" i="1"/>
  <c r="BC34" i="1"/>
  <c r="BA34" i="1"/>
  <c r="AZ34" i="1"/>
  <c r="AX34" i="1"/>
  <c r="AW34" i="1"/>
  <c r="AU34" i="1"/>
  <c r="AT34" i="1"/>
  <c r="AR34" i="1"/>
  <c r="AQ34" i="1"/>
  <c r="AO34" i="1"/>
  <c r="AN34" i="1"/>
  <c r="AL34" i="1"/>
  <c r="AK34" i="1"/>
  <c r="AI34" i="1"/>
  <c r="AH34" i="1"/>
  <c r="AF34" i="1"/>
  <c r="AE34" i="1"/>
  <c r="AC34" i="1"/>
  <c r="AB34" i="1"/>
  <c r="Z34" i="1"/>
  <c r="Y34" i="1"/>
  <c r="W34" i="1"/>
  <c r="V34" i="1"/>
  <c r="T34" i="1"/>
  <c r="S34" i="1"/>
  <c r="Q34" i="1"/>
  <c r="P34" i="1"/>
  <c r="N34" i="1"/>
  <c r="M34" i="1"/>
  <c r="K34" i="1"/>
  <c r="J34" i="1"/>
  <c r="H34" i="1"/>
  <c r="G34" i="1"/>
  <c r="E34" i="1"/>
  <c r="D34" i="1"/>
  <c r="C34" i="1"/>
  <c r="B34" i="1"/>
  <c r="A34" i="1"/>
  <c r="KV33" i="1"/>
  <c r="KU33" i="1"/>
  <c r="KT33" i="1"/>
  <c r="KS33" i="1"/>
  <c r="KR33" i="1"/>
  <c r="KP33" i="1"/>
  <c r="KO33" i="1"/>
  <c r="KM33" i="1"/>
  <c r="KL33" i="1"/>
  <c r="KJ33" i="1"/>
  <c r="KI33" i="1"/>
  <c r="KG33" i="1"/>
  <c r="KF33" i="1"/>
  <c r="KD33" i="1"/>
  <c r="KC33" i="1"/>
  <c r="KA33" i="1"/>
  <c r="JZ33" i="1"/>
  <c r="JX33" i="1"/>
  <c r="JW33" i="1"/>
  <c r="JU33" i="1"/>
  <c r="JT33" i="1"/>
  <c r="JR33" i="1"/>
  <c r="JQ33" i="1"/>
  <c r="JO33" i="1"/>
  <c r="JN33" i="1"/>
  <c r="JL33" i="1"/>
  <c r="JK33" i="1"/>
  <c r="JI33" i="1"/>
  <c r="JH33" i="1"/>
  <c r="JF33" i="1"/>
  <c r="JE33" i="1"/>
  <c r="JC33" i="1"/>
  <c r="JB33" i="1"/>
  <c r="IZ33" i="1"/>
  <c r="IY33" i="1"/>
  <c r="IW33" i="1"/>
  <c r="IV33" i="1"/>
  <c r="IT33" i="1"/>
  <c r="IS33" i="1"/>
  <c r="IQ33" i="1"/>
  <c r="IP33" i="1"/>
  <c r="IN33" i="1"/>
  <c r="IM33" i="1"/>
  <c r="IK33" i="1"/>
  <c r="IJ33" i="1"/>
  <c r="IH33" i="1"/>
  <c r="IG33" i="1"/>
  <c r="IE33" i="1"/>
  <c r="ID33" i="1"/>
  <c r="IB33" i="1"/>
  <c r="IA33" i="1"/>
  <c r="HY33" i="1"/>
  <c r="HX33" i="1"/>
  <c r="HV33" i="1"/>
  <c r="HU33" i="1"/>
  <c r="HS33" i="1"/>
  <c r="HR33" i="1"/>
  <c r="HP33" i="1"/>
  <c r="HO33" i="1"/>
  <c r="HM33" i="1"/>
  <c r="HL33" i="1"/>
  <c r="HJ33" i="1"/>
  <c r="HI33" i="1"/>
  <c r="HG33" i="1"/>
  <c r="HF33" i="1"/>
  <c r="HD33" i="1"/>
  <c r="HC33" i="1"/>
  <c r="HA33" i="1"/>
  <c r="GZ33" i="1"/>
  <c r="GX33" i="1"/>
  <c r="GW33" i="1"/>
  <c r="GU33" i="1"/>
  <c r="GT33" i="1"/>
  <c r="GR33" i="1"/>
  <c r="GQ33" i="1"/>
  <c r="GO33" i="1"/>
  <c r="GN33" i="1"/>
  <c r="GL33" i="1"/>
  <c r="GK33" i="1"/>
  <c r="GI33" i="1"/>
  <c r="GH33" i="1"/>
  <c r="GF33" i="1"/>
  <c r="GE33" i="1"/>
  <c r="GC33" i="1"/>
  <c r="GB33" i="1"/>
  <c r="FZ33" i="1"/>
  <c r="FY33" i="1"/>
  <c r="FW33" i="1"/>
  <c r="FV33" i="1"/>
  <c r="FT33" i="1"/>
  <c r="FS33" i="1"/>
  <c r="FQ33" i="1"/>
  <c r="FP33" i="1"/>
  <c r="FN33" i="1"/>
  <c r="FM33" i="1"/>
  <c r="FK33" i="1"/>
  <c r="FJ33" i="1"/>
  <c r="FH33" i="1"/>
  <c r="FG33" i="1"/>
  <c r="FE33" i="1"/>
  <c r="FD33" i="1"/>
  <c r="FB33" i="1"/>
  <c r="FA33" i="1"/>
  <c r="EY33" i="1"/>
  <c r="EX33" i="1"/>
  <c r="EV33" i="1"/>
  <c r="EU33" i="1"/>
  <c r="ES33" i="1"/>
  <c r="ER33" i="1"/>
  <c r="EP33" i="1"/>
  <c r="EO33" i="1"/>
  <c r="EM33" i="1"/>
  <c r="EL33" i="1"/>
  <c r="EJ33" i="1"/>
  <c r="EI33" i="1"/>
  <c r="EG33" i="1"/>
  <c r="EF33" i="1"/>
  <c r="ED33" i="1"/>
  <c r="EC33" i="1"/>
  <c r="EA33" i="1"/>
  <c r="DZ33" i="1"/>
  <c r="DX33" i="1"/>
  <c r="DW33" i="1"/>
  <c r="DU33" i="1"/>
  <c r="DT33" i="1"/>
  <c r="DR33" i="1"/>
  <c r="DQ33" i="1"/>
  <c r="DO33" i="1"/>
  <c r="DN33" i="1"/>
  <c r="DL33" i="1"/>
  <c r="DK33" i="1"/>
  <c r="DI33" i="1"/>
  <c r="DH33" i="1"/>
  <c r="DF33" i="1"/>
  <c r="DE33" i="1"/>
  <c r="DC33" i="1"/>
  <c r="DB33" i="1"/>
  <c r="CZ33" i="1"/>
  <c r="CY33" i="1"/>
  <c r="CW33" i="1"/>
  <c r="CV33" i="1"/>
  <c r="CT33" i="1"/>
  <c r="CS33" i="1"/>
  <c r="CQ33" i="1"/>
  <c r="CP33" i="1"/>
  <c r="CN33" i="1"/>
  <c r="CM33" i="1"/>
  <c r="CK33" i="1"/>
  <c r="CJ33" i="1"/>
  <c r="CH33" i="1"/>
  <c r="CG33" i="1"/>
  <c r="CE33" i="1"/>
  <c r="CD33" i="1"/>
  <c r="CB33" i="1"/>
  <c r="CA33" i="1"/>
  <c r="BY33" i="1"/>
  <c r="BX33" i="1"/>
  <c r="BV33" i="1"/>
  <c r="BU33" i="1"/>
  <c r="BS33" i="1"/>
  <c r="BR33" i="1"/>
  <c r="BP33" i="1"/>
  <c r="BO33" i="1"/>
  <c r="BM33" i="1"/>
  <c r="BL33" i="1"/>
  <c r="BJ33" i="1"/>
  <c r="BI33" i="1"/>
  <c r="BG33" i="1"/>
  <c r="BF33" i="1"/>
  <c r="BD33" i="1"/>
  <c r="BC33" i="1"/>
  <c r="BA33" i="1"/>
  <c r="AZ33" i="1"/>
  <c r="AX33" i="1"/>
  <c r="AW33" i="1"/>
  <c r="AU33" i="1"/>
  <c r="AT33" i="1"/>
  <c r="AR33" i="1"/>
  <c r="AQ33" i="1"/>
  <c r="AO33" i="1"/>
  <c r="AN33" i="1"/>
  <c r="AL33" i="1"/>
  <c r="AK33" i="1"/>
  <c r="AI33" i="1"/>
  <c r="AH33" i="1"/>
  <c r="AF33" i="1"/>
  <c r="AE33" i="1"/>
  <c r="AC33" i="1"/>
  <c r="AB33" i="1"/>
  <c r="Z33" i="1"/>
  <c r="Y33" i="1"/>
  <c r="W33" i="1"/>
  <c r="V33" i="1"/>
  <c r="T33" i="1"/>
  <c r="S33" i="1"/>
  <c r="Q33" i="1"/>
  <c r="P33" i="1"/>
  <c r="N33" i="1"/>
  <c r="M33" i="1"/>
  <c r="K33" i="1"/>
  <c r="J33" i="1"/>
  <c r="H33" i="1"/>
  <c r="G33" i="1"/>
  <c r="E33" i="1"/>
  <c r="D33" i="1"/>
  <c r="C33" i="1"/>
  <c r="B33" i="1"/>
  <c r="A33" i="1"/>
  <c r="KV32" i="1"/>
  <c r="KU32" i="1"/>
  <c r="KT32" i="1"/>
  <c r="KS32" i="1"/>
  <c r="KR32" i="1"/>
  <c r="KP32" i="1"/>
  <c r="KO32" i="1"/>
  <c r="KM32" i="1"/>
  <c r="KL32" i="1"/>
  <c r="KJ32" i="1"/>
  <c r="KI32" i="1"/>
  <c r="KG32" i="1"/>
  <c r="KF32" i="1"/>
  <c r="KD32" i="1"/>
  <c r="KC32" i="1"/>
  <c r="KA32" i="1"/>
  <c r="JZ32" i="1"/>
  <c r="JX32" i="1"/>
  <c r="JW32" i="1"/>
  <c r="JU32" i="1"/>
  <c r="JT32" i="1"/>
  <c r="JR32" i="1"/>
  <c r="JQ32" i="1"/>
  <c r="JO32" i="1"/>
  <c r="JN32" i="1"/>
  <c r="JL32" i="1"/>
  <c r="JK32" i="1"/>
  <c r="JI32" i="1"/>
  <c r="JH32" i="1"/>
  <c r="JF32" i="1"/>
  <c r="JE32" i="1"/>
  <c r="JC32" i="1"/>
  <c r="JB32" i="1"/>
  <c r="IZ32" i="1"/>
  <c r="IY32" i="1"/>
  <c r="IW32" i="1"/>
  <c r="IV32" i="1"/>
  <c r="IT32" i="1"/>
  <c r="IS32" i="1"/>
  <c r="IQ32" i="1"/>
  <c r="IP32" i="1"/>
  <c r="IN32" i="1"/>
  <c r="IM32" i="1"/>
  <c r="IK32" i="1"/>
  <c r="IJ32" i="1"/>
  <c r="IH32" i="1"/>
  <c r="IG32" i="1"/>
  <c r="IE32" i="1"/>
  <c r="ID32" i="1"/>
  <c r="IB32" i="1"/>
  <c r="IA32" i="1"/>
  <c r="HY32" i="1"/>
  <c r="HX32" i="1"/>
  <c r="HV32" i="1"/>
  <c r="HU32" i="1"/>
  <c r="HS32" i="1"/>
  <c r="HR32" i="1"/>
  <c r="HP32" i="1"/>
  <c r="HO32" i="1"/>
  <c r="HM32" i="1"/>
  <c r="HL32" i="1"/>
  <c r="HJ32" i="1"/>
  <c r="HI32" i="1"/>
  <c r="HG32" i="1"/>
  <c r="HF32" i="1"/>
  <c r="HD32" i="1"/>
  <c r="HC32" i="1"/>
  <c r="HA32" i="1"/>
  <c r="GZ32" i="1"/>
  <c r="GX32" i="1"/>
  <c r="GW32" i="1"/>
  <c r="GU32" i="1"/>
  <c r="GT32" i="1"/>
  <c r="GR32" i="1"/>
  <c r="GQ32" i="1"/>
  <c r="GO32" i="1"/>
  <c r="GN32" i="1"/>
  <c r="GL32" i="1"/>
  <c r="GK32" i="1"/>
  <c r="GI32" i="1"/>
  <c r="GH32" i="1"/>
  <c r="GF32" i="1"/>
  <c r="GE32" i="1"/>
  <c r="GC32" i="1"/>
  <c r="GB32" i="1"/>
  <c r="FZ32" i="1"/>
  <c r="FY32" i="1"/>
  <c r="FW32" i="1"/>
  <c r="FV32" i="1"/>
  <c r="FT32" i="1"/>
  <c r="FS32" i="1"/>
  <c r="FQ32" i="1"/>
  <c r="FP32" i="1"/>
  <c r="FN32" i="1"/>
  <c r="FM32" i="1"/>
  <c r="FK32" i="1"/>
  <c r="FJ32" i="1"/>
  <c r="FH32" i="1"/>
  <c r="FG32" i="1"/>
  <c r="FE32" i="1"/>
  <c r="FD32" i="1"/>
  <c r="FB32" i="1"/>
  <c r="FA32" i="1"/>
  <c r="EY32" i="1"/>
  <c r="EX32" i="1"/>
  <c r="EV32" i="1"/>
  <c r="EU32" i="1"/>
  <c r="ES32" i="1"/>
  <c r="ER32" i="1"/>
  <c r="EP32" i="1"/>
  <c r="EO32" i="1"/>
  <c r="EM32" i="1"/>
  <c r="EL32" i="1"/>
  <c r="EJ32" i="1"/>
  <c r="EI32" i="1"/>
  <c r="EG32" i="1"/>
  <c r="EF32" i="1"/>
  <c r="ED32" i="1"/>
  <c r="EC32" i="1"/>
  <c r="EA32" i="1"/>
  <c r="DZ32" i="1"/>
  <c r="DX32" i="1"/>
  <c r="DW32" i="1"/>
  <c r="DU32" i="1"/>
  <c r="DT32" i="1"/>
  <c r="DR32" i="1"/>
  <c r="DQ32" i="1"/>
  <c r="DO32" i="1"/>
  <c r="DN32" i="1"/>
  <c r="DL32" i="1"/>
  <c r="DK32" i="1"/>
  <c r="DI32" i="1"/>
  <c r="DH32" i="1"/>
  <c r="DF32" i="1"/>
  <c r="DE32" i="1"/>
  <c r="DC32" i="1"/>
  <c r="DB32" i="1"/>
  <c r="CZ32" i="1"/>
  <c r="CY32" i="1"/>
  <c r="CW32" i="1"/>
  <c r="CV32" i="1"/>
  <c r="CT32" i="1"/>
  <c r="CS32" i="1"/>
  <c r="CQ32" i="1"/>
  <c r="CP32" i="1"/>
  <c r="CN32" i="1"/>
  <c r="CM32" i="1"/>
  <c r="CK32" i="1"/>
  <c r="CJ32" i="1"/>
  <c r="CH32" i="1"/>
  <c r="CG32" i="1"/>
  <c r="CE32" i="1"/>
  <c r="CD32" i="1"/>
  <c r="CB32" i="1"/>
  <c r="CA32" i="1"/>
  <c r="BY32" i="1"/>
  <c r="BX32" i="1"/>
  <c r="BV32" i="1"/>
  <c r="BU32" i="1"/>
  <c r="BS32" i="1"/>
  <c r="BR32" i="1"/>
  <c r="BP32" i="1"/>
  <c r="BO32" i="1"/>
  <c r="BM32" i="1"/>
  <c r="BL32" i="1"/>
  <c r="BJ32" i="1"/>
  <c r="BI32" i="1"/>
  <c r="BG32" i="1"/>
  <c r="BF32" i="1"/>
  <c r="BD32" i="1"/>
  <c r="BC32" i="1"/>
  <c r="BA32" i="1"/>
  <c r="AZ32" i="1"/>
  <c r="AX32" i="1"/>
  <c r="AW32" i="1"/>
  <c r="AU32" i="1"/>
  <c r="AT32" i="1"/>
  <c r="AR32" i="1"/>
  <c r="AQ32" i="1"/>
  <c r="AO32" i="1"/>
  <c r="AN32" i="1"/>
  <c r="AL32" i="1"/>
  <c r="AK32" i="1"/>
  <c r="AI32" i="1"/>
  <c r="AH32" i="1"/>
  <c r="AF32" i="1"/>
  <c r="AE32" i="1"/>
  <c r="AC32" i="1"/>
  <c r="AB32" i="1"/>
  <c r="Z32" i="1"/>
  <c r="Y32" i="1"/>
  <c r="W32" i="1"/>
  <c r="V32" i="1"/>
  <c r="T32" i="1"/>
  <c r="S32" i="1"/>
  <c r="Q32" i="1"/>
  <c r="P32" i="1"/>
  <c r="N32" i="1"/>
  <c r="M32" i="1"/>
  <c r="K32" i="1"/>
  <c r="J32" i="1"/>
  <c r="H32" i="1"/>
  <c r="G32" i="1"/>
  <c r="E32" i="1"/>
  <c r="D32" i="1"/>
  <c r="C32" i="1"/>
  <c r="B32" i="1"/>
  <c r="A32" i="1"/>
  <c r="KV31" i="1"/>
  <c r="KU31" i="1"/>
  <c r="KT31" i="1"/>
  <c r="KS31" i="1"/>
  <c r="KR31" i="1"/>
  <c r="KP31" i="1"/>
  <c r="KO31" i="1"/>
  <c r="KM31" i="1"/>
  <c r="KL31" i="1"/>
  <c r="KJ31" i="1"/>
  <c r="KI31" i="1"/>
  <c r="KG31" i="1"/>
  <c r="KF31" i="1"/>
  <c r="KD31" i="1"/>
  <c r="KC31" i="1"/>
  <c r="KA31" i="1"/>
  <c r="JZ31" i="1"/>
  <c r="JX31" i="1"/>
  <c r="JW31" i="1"/>
  <c r="JU31" i="1"/>
  <c r="JT31" i="1"/>
  <c r="JR31" i="1"/>
  <c r="JQ31" i="1"/>
  <c r="JO31" i="1"/>
  <c r="JN31" i="1"/>
  <c r="JL31" i="1"/>
  <c r="JK31" i="1"/>
  <c r="JI31" i="1"/>
  <c r="JH31" i="1"/>
  <c r="JF31" i="1"/>
  <c r="JE31" i="1"/>
  <c r="JC31" i="1"/>
  <c r="JB31" i="1"/>
  <c r="IZ31" i="1"/>
  <c r="IY31" i="1"/>
  <c r="IW31" i="1"/>
  <c r="IV31" i="1"/>
  <c r="IT31" i="1"/>
  <c r="IS31" i="1"/>
  <c r="IQ31" i="1"/>
  <c r="IP31" i="1"/>
  <c r="IN31" i="1"/>
  <c r="IM31" i="1"/>
  <c r="IK31" i="1"/>
  <c r="IJ31" i="1"/>
  <c r="IH31" i="1"/>
  <c r="IG31" i="1"/>
  <c r="IE31" i="1"/>
  <c r="ID31" i="1"/>
  <c r="IB31" i="1"/>
  <c r="IA31" i="1"/>
  <c r="HY31" i="1"/>
  <c r="HX31" i="1"/>
  <c r="HV31" i="1"/>
  <c r="HU31" i="1"/>
  <c r="HS31" i="1"/>
  <c r="HR31" i="1"/>
  <c r="HP31" i="1"/>
  <c r="HO31" i="1"/>
  <c r="HM31" i="1"/>
  <c r="HL31" i="1"/>
  <c r="HJ31" i="1"/>
  <c r="HI31" i="1"/>
  <c r="HG31" i="1"/>
  <c r="HF31" i="1"/>
  <c r="HD31" i="1"/>
  <c r="HC31" i="1"/>
  <c r="HA31" i="1"/>
  <c r="GZ31" i="1"/>
  <c r="GX31" i="1"/>
  <c r="GW31" i="1"/>
  <c r="GU31" i="1"/>
  <c r="GT31" i="1"/>
  <c r="GR31" i="1"/>
  <c r="GQ31" i="1"/>
  <c r="GO31" i="1"/>
  <c r="GN31" i="1"/>
  <c r="GL31" i="1"/>
  <c r="GK31" i="1"/>
  <c r="GI31" i="1"/>
  <c r="GH31" i="1"/>
  <c r="GF31" i="1"/>
  <c r="GE31" i="1"/>
  <c r="GC31" i="1"/>
  <c r="GB31" i="1"/>
  <c r="FZ31" i="1"/>
  <c r="FY31" i="1"/>
  <c r="FW31" i="1"/>
  <c r="FV31" i="1"/>
  <c r="FT31" i="1"/>
  <c r="FS31" i="1"/>
  <c r="FQ31" i="1"/>
  <c r="FP31" i="1"/>
  <c r="FN31" i="1"/>
  <c r="FM31" i="1"/>
  <c r="FK31" i="1"/>
  <c r="FJ31" i="1"/>
  <c r="FH31" i="1"/>
  <c r="FG31" i="1"/>
  <c r="FE31" i="1"/>
  <c r="FD31" i="1"/>
  <c r="FB31" i="1"/>
  <c r="FA31" i="1"/>
  <c r="EY31" i="1"/>
  <c r="EX31" i="1"/>
  <c r="EV31" i="1"/>
  <c r="EU31" i="1"/>
  <c r="ES31" i="1"/>
  <c r="ER31" i="1"/>
  <c r="EP31" i="1"/>
  <c r="EO31" i="1"/>
  <c r="EM31" i="1"/>
  <c r="EL31" i="1"/>
  <c r="EJ31" i="1"/>
  <c r="EI31" i="1"/>
  <c r="EG31" i="1"/>
  <c r="EF31" i="1"/>
  <c r="ED31" i="1"/>
  <c r="EC31" i="1"/>
  <c r="EA31" i="1"/>
  <c r="DZ31" i="1"/>
  <c r="DX31" i="1"/>
  <c r="DW31" i="1"/>
  <c r="DU31" i="1"/>
  <c r="DT31" i="1"/>
  <c r="DR31" i="1"/>
  <c r="DQ31" i="1"/>
  <c r="DO31" i="1"/>
  <c r="DN31" i="1"/>
  <c r="DL31" i="1"/>
  <c r="DK31" i="1"/>
  <c r="DI31" i="1"/>
  <c r="DH31" i="1"/>
  <c r="DF31" i="1"/>
  <c r="DE31" i="1"/>
  <c r="DC31" i="1"/>
  <c r="DB31" i="1"/>
  <c r="CZ31" i="1"/>
  <c r="CY31" i="1"/>
  <c r="CW31" i="1"/>
  <c r="CV31" i="1"/>
  <c r="CT31" i="1"/>
  <c r="CS31" i="1"/>
  <c r="CQ31" i="1"/>
  <c r="CP31" i="1"/>
  <c r="CN31" i="1"/>
  <c r="CM31" i="1"/>
  <c r="CK31" i="1"/>
  <c r="CJ31" i="1"/>
  <c r="CH31" i="1"/>
  <c r="CG31" i="1"/>
  <c r="CE31" i="1"/>
  <c r="CD31" i="1"/>
  <c r="CB31" i="1"/>
  <c r="CA31" i="1"/>
  <c r="BY31" i="1"/>
  <c r="BX31" i="1"/>
  <c r="BV31" i="1"/>
  <c r="BU31" i="1"/>
  <c r="BS31" i="1"/>
  <c r="BR31" i="1"/>
  <c r="BP31" i="1"/>
  <c r="BO31" i="1"/>
  <c r="BM31" i="1"/>
  <c r="BL31" i="1"/>
  <c r="BJ31" i="1"/>
  <c r="BI31" i="1"/>
  <c r="BG31" i="1"/>
  <c r="BF31" i="1"/>
  <c r="BD31" i="1"/>
  <c r="BC31" i="1"/>
  <c r="BA31" i="1"/>
  <c r="AZ31" i="1"/>
  <c r="AX31" i="1"/>
  <c r="AW31" i="1"/>
  <c r="AU31" i="1"/>
  <c r="AT31" i="1"/>
  <c r="AR31" i="1"/>
  <c r="AQ31" i="1"/>
  <c r="AO31" i="1"/>
  <c r="AN31" i="1"/>
  <c r="AL31" i="1"/>
  <c r="AK31" i="1"/>
  <c r="AI31" i="1"/>
  <c r="AH31" i="1"/>
  <c r="AF31" i="1"/>
  <c r="AE31" i="1"/>
  <c r="AC31" i="1"/>
  <c r="AB31" i="1"/>
  <c r="Z31" i="1"/>
  <c r="Y31" i="1"/>
  <c r="W31" i="1"/>
  <c r="V31" i="1"/>
  <c r="T31" i="1"/>
  <c r="S31" i="1"/>
  <c r="Q31" i="1"/>
  <c r="P31" i="1"/>
  <c r="N31" i="1"/>
  <c r="M31" i="1"/>
  <c r="K31" i="1"/>
  <c r="J31" i="1"/>
  <c r="H31" i="1"/>
  <c r="G31" i="1"/>
  <c r="E31" i="1"/>
  <c r="D31" i="1"/>
  <c r="C31" i="1"/>
  <c r="B31" i="1"/>
  <c r="A31" i="1"/>
  <c r="KV30" i="1"/>
  <c r="KU30" i="1"/>
  <c r="KT30" i="1"/>
  <c r="KS30" i="1"/>
  <c r="KR30" i="1"/>
  <c r="KP30" i="1"/>
  <c r="KO30" i="1"/>
  <c r="KM30" i="1"/>
  <c r="KL30" i="1"/>
  <c r="KJ30" i="1"/>
  <c r="KI30" i="1"/>
  <c r="KG30" i="1"/>
  <c r="KF30" i="1"/>
  <c r="KD30" i="1"/>
  <c r="KC30" i="1"/>
  <c r="KA30" i="1"/>
  <c r="JZ30" i="1"/>
  <c r="JX30" i="1"/>
  <c r="JW30" i="1"/>
  <c r="JU30" i="1"/>
  <c r="JT30" i="1"/>
  <c r="JR30" i="1"/>
  <c r="JQ30" i="1"/>
  <c r="JO30" i="1"/>
  <c r="JN30" i="1"/>
  <c r="JL30" i="1"/>
  <c r="JK30" i="1"/>
  <c r="JI30" i="1"/>
  <c r="JH30" i="1"/>
  <c r="JF30" i="1"/>
  <c r="JE30" i="1"/>
  <c r="JC30" i="1"/>
  <c r="JB30" i="1"/>
  <c r="IZ30" i="1"/>
  <c r="IY30" i="1"/>
  <c r="IW30" i="1"/>
  <c r="IV30" i="1"/>
  <c r="IT30" i="1"/>
  <c r="IS30" i="1"/>
  <c r="IQ30" i="1"/>
  <c r="IP30" i="1"/>
  <c r="IN30" i="1"/>
  <c r="IM30" i="1"/>
  <c r="IK30" i="1"/>
  <c r="IJ30" i="1"/>
  <c r="IH30" i="1"/>
  <c r="IG30" i="1"/>
  <c r="IE30" i="1"/>
  <c r="ID30" i="1"/>
  <c r="IB30" i="1"/>
  <c r="IA30" i="1"/>
  <c r="HY30" i="1"/>
  <c r="HX30" i="1"/>
  <c r="HV30" i="1"/>
  <c r="HU30" i="1"/>
  <c r="HS30" i="1"/>
  <c r="HR30" i="1"/>
  <c r="HP30" i="1"/>
  <c r="HO30" i="1"/>
  <c r="HM30" i="1"/>
  <c r="HL30" i="1"/>
  <c r="HJ30" i="1"/>
  <c r="HI30" i="1"/>
  <c r="HG30" i="1"/>
  <c r="HF30" i="1"/>
  <c r="HD30" i="1"/>
  <c r="HC30" i="1"/>
  <c r="HA30" i="1"/>
  <c r="GZ30" i="1"/>
  <c r="GX30" i="1"/>
  <c r="GW30" i="1"/>
  <c r="GU30" i="1"/>
  <c r="GT30" i="1"/>
  <c r="GR30" i="1"/>
  <c r="GQ30" i="1"/>
  <c r="GO30" i="1"/>
  <c r="GN30" i="1"/>
  <c r="GL30" i="1"/>
  <c r="GK30" i="1"/>
  <c r="GI30" i="1"/>
  <c r="GH30" i="1"/>
  <c r="GF30" i="1"/>
  <c r="GE30" i="1"/>
  <c r="GC30" i="1"/>
  <c r="GB30" i="1"/>
  <c r="FZ30" i="1"/>
  <c r="FY30" i="1"/>
  <c r="FW30" i="1"/>
  <c r="FV30" i="1"/>
  <c r="FT30" i="1"/>
  <c r="FS30" i="1"/>
  <c r="FQ30" i="1"/>
  <c r="FP30" i="1"/>
  <c r="FN30" i="1"/>
  <c r="FM30" i="1"/>
  <c r="FK30" i="1"/>
  <c r="FJ30" i="1"/>
  <c r="FH30" i="1"/>
  <c r="FG30" i="1"/>
  <c r="FE30" i="1"/>
  <c r="FD30" i="1"/>
  <c r="FB30" i="1"/>
  <c r="FA30" i="1"/>
  <c r="EY30" i="1"/>
  <c r="EX30" i="1"/>
  <c r="EV30" i="1"/>
  <c r="EU30" i="1"/>
  <c r="ES30" i="1"/>
  <c r="ER30" i="1"/>
  <c r="EP30" i="1"/>
  <c r="EO30" i="1"/>
  <c r="EM30" i="1"/>
  <c r="EL30" i="1"/>
  <c r="EJ30" i="1"/>
  <c r="EI30" i="1"/>
  <c r="EG30" i="1"/>
  <c r="EF30" i="1"/>
  <c r="ED30" i="1"/>
  <c r="EC30" i="1"/>
  <c r="EA30" i="1"/>
  <c r="DZ30" i="1"/>
  <c r="DX30" i="1"/>
  <c r="DW30" i="1"/>
  <c r="DU30" i="1"/>
  <c r="DT30" i="1"/>
  <c r="DR30" i="1"/>
  <c r="DQ30" i="1"/>
  <c r="DO30" i="1"/>
  <c r="DN30" i="1"/>
  <c r="DL30" i="1"/>
  <c r="DK30" i="1"/>
  <c r="DI30" i="1"/>
  <c r="DH30" i="1"/>
  <c r="DF30" i="1"/>
  <c r="DE30" i="1"/>
  <c r="DC30" i="1"/>
  <c r="DB30" i="1"/>
  <c r="CZ30" i="1"/>
  <c r="CY30" i="1"/>
  <c r="CW30" i="1"/>
  <c r="CV30" i="1"/>
  <c r="CT30" i="1"/>
  <c r="CS30" i="1"/>
  <c r="CQ30" i="1"/>
  <c r="CP30" i="1"/>
  <c r="CN30" i="1"/>
  <c r="CM30" i="1"/>
  <c r="CK30" i="1"/>
  <c r="CJ30" i="1"/>
  <c r="CH30" i="1"/>
  <c r="CG30" i="1"/>
  <c r="CE30" i="1"/>
  <c r="CD30" i="1"/>
  <c r="CB30" i="1"/>
  <c r="CA30" i="1"/>
  <c r="BY30" i="1"/>
  <c r="BX30" i="1"/>
  <c r="BV30" i="1"/>
  <c r="BU30" i="1"/>
  <c r="BS30" i="1"/>
  <c r="BR30" i="1"/>
  <c r="BP30" i="1"/>
  <c r="BO30" i="1"/>
  <c r="BM30" i="1"/>
  <c r="BL30" i="1"/>
  <c r="BJ30" i="1"/>
  <c r="BI30" i="1"/>
  <c r="BG30" i="1"/>
  <c r="BF30" i="1"/>
  <c r="BD30" i="1"/>
  <c r="BC30" i="1"/>
  <c r="BA30" i="1"/>
  <c r="AZ30" i="1"/>
  <c r="AX30" i="1"/>
  <c r="AW30" i="1"/>
  <c r="AU30" i="1"/>
  <c r="AT30" i="1"/>
  <c r="AR30" i="1"/>
  <c r="AQ30" i="1"/>
  <c r="AO30" i="1"/>
  <c r="AN30" i="1"/>
  <c r="AL30" i="1"/>
  <c r="AK30" i="1"/>
  <c r="AI30" i="1"/>
  <c r="AH30" i="1"/>
  <c r="AF30" i="1"/>
  <c r="AE30" i="1"/>
  <c r="AC30" i="1"/>
  <c r="AB30" i="1"/>
  <c r="Z30" i="1"/>
  <c r="Y30" i="1"/>
  <c r="W30" i="1"/>
  <c r="V30" i="1"/>
  <c r="T30" i="1"/>
  <c r="S30" i="1"/>
  <c r="Q30" i="1"/>
  <c r="P30" i="1"/>
  <c r="N30" i="1"/>
  <c r="M30" i="1"/>
  <c r="K30" i="1"/>
  <c r="J30" i="1"/>
  <c r="H30" i="1"/>
  <c r="G30" i="1"/>
  <c r="E30" i="1"/>
  <c r="D30" i="1"/>
  <c r="C30" i="1"/>
  <c r="B30" i="1"/>
  <c r="A30" i="1"/>
  <c r="KV29" i="1"/>
  <c r="KU29" i="1"/>
  <c r="KT29" i="1"/>
  <c r="KS29" i="1"/>
  <c r="KR29" i="1"/>
  <c r="KP29" i="1"/>
  <c r="KO29" i="1"/>
  <c r="KM29" i="1"/>
  <c r="KL29" i="1"/>
  <c r="KJ29" i="1"/>
  <c r="KI29" i="1"/>
  <c r="KG29" i="1"/>
  <c r="KF29" i="1"/>
  <c r="KD29" i="1"/>
  <c r="KC29" i="1"/>
  <c r="KA29" i="1"/>
  <c r="JZ29" i="1"/>
  <c r="JX29" i="1"/>
  <c r="JW29" i="1"/>
  <c r="JU29" i="1"/>
  <c r="JT29" i="1"/>
  <c r="JR29" i="1"/>
  <c r="JQ29" i="1"/>
  <c r="JO29" i="1"/>
  <c r="JN29" i="1"/>
  <c r="JL29" i="1"/>
  <c r="JK29" i="1"/>
  <c r="JI29" i="1"/>
  <c r="JH29" i="1"/>
  <c r="JF29" i="1"/>
  <c r="JE29" i="1"/>
  <c r="JC29" i="1"/>
  <c r="JB29" i="1"/>
  <c r="IZ29" i="1"/>
  <c r="IY29" i="1"/>
  <c r="IW29" i="1"/>
  <c r="IV29" i="1"/>
  <c r="IT29" i="1"/>
  <c r="IS29" i="1"/>
  <c r="IQ29" i="1"/>
  <c r="IP29" i="1"/>
  <c r="IN29" i="1"/>
  <c r="IM29" i="1"/>
  <c r="IK29" i="1"/>
  <c r="IJ29" i="1"/>
  <c r="IH29" i="1"/>
  <c r="IG29" i="1"/>
  <c r="IE29" i="1"/>
  <c r="ID29" i="1"/>
  <c r="IB29" i="1"/>
  <c r="IA29" i="1"/>
  <c r="HY29" i="1"/>
  <c r="HX29" i="1"/>
  <c r="HV29" i="1"/>
  <c r="HU29" i="1"/>
  <c r="HS29" i="1"/>
  <c r="HR29" i="1"/>
  <c r="HP29" i="1"/>
  <c r="HO29" i="1"/>
  <c r="HM29" i="1"/>
  <c r="HL29" i="1"/>
  <c r="HJ29" i="1"/>
  <c r="HI29" i="1"/>
  <c r="HG29" i="1"/>
  <c r="HF29" i="1"/>
  <c r="HD29" i="1"/>
  <c r="HC29" i="1"/>
  <c r="HA29" i="1"/>
  <c r="GZ29" i="1"/>
  <c r="GX29" i="1"/>
  <c r="GW29" i="1"/>
  <c r="GU29" i="1"/>
  <c r="GT29" i="1"/>
  <c r="GR29" i="1"/>
  <c r="GQ29" i="1"/>
  <c r="GO29" i="1"/>
  <c r="GN29" i="1"/>
  <c r="GL29" i="1"/>
  <c r="GK29" i="1"/>
  <c r="GI29" i="1"/>
  <c r="GH29" i="1"/>
  <c r="GF29" i="1"/>
  <c r="GE29" i="1"/>
  <c r="GC29" i="1"/>
  <c r="GB29" i="1"/>
  <c r="FZ29" i="1"/>
  <c r="FY29" i="1"/>
  <c r="FW29" i="1"/>
  <c r="FV29" i="1"/>
  <c r="FT29" i="1"/>
  <c r="FS29" i="1"/>
  <c r="FQ29" i="1"/>
  <c r="FP29" i="1"/>
  <c r="FN29" i="1"/>
  <c r="FM29" i="1"/>
  <c r="FK29" i="1"/>
  <c r="FJ29" i="1"/>
  <c r="FH29" i="1"/>
  <c r="FG29" i="1"/>
  <c r="FE29" i="1"/>
  <c r="FD29" i="1"/>
  <c r="FB29" i="1"/>
  <c r="FA29" i="1"/>
  <c r="EY29" i="1"/>
  <c r="EX29" i="1"/>
  <c r="EV29" i="1"/>
  <c r="EU29" i="1"/>
  <c r="ES29" i="1"/>
  <c r="ER29" i="1"/>
  <c r="EP29" i="1"/>
  <c r="EO29" i="1"/>
  <c r="EM29" i="1"/>
  <c r="EL29" i="1"/>
  <c r="EJ29" i="1"/>
  <c r="EI29" i="1"/>
  <c r="EG29" i="1"/>
  <c r="EF29" i="1"/>
  <c r="ED29" i="1"/>
  <c r="EC29" i="1"/>
  <c r="EA29" i="1"/>
  <c r="DZ29" i="1"/>
  <c r="DX29" i="1"/>
  <c r="DW29" i="1"/>
  <c r="DU29" i="1"/>
  <c r="DT29" i="1"/>
  <c r="DR29" i="1"/>
  <c r="DQ29" i="1"/>
  <c r="DO29" i="1"/>
  <c r="DN29" i="1"/>
  <c r="DL29" i="1"/>
  <c r="DK29" i="1"/>
  <c r="DI29" i="1"/>
  <c r="DH29" i="1"/>
  <c r="DF29" i="1"/>
  <c r="DE29" i="1"/>
  <c r="DC29" i="1"/>
  <c r="DB29" i="1"/>
  <c r="CZ29" i="1"/>
  <c r="CY29" i="1"/>
  <c r="CW29" i="1"/>
  <c r="CV29" i="1"/>
  <c r="CT29" i="1"/>
  <c r="CS29" i="1"/>
  <c r="CQ29" i="1"/>
  <c r="CP29" i="1"/>
  <c r="CN29" i="1"/>
  <c r="CM29" i="1"/>
  <c r="CK29" i="1"/>
  <c r="CJ29" i="1"/>
  <c r="CH29" i="1"/>
  <c r="CG29" i="1"/>
  <c r="CE29" i="1"/>
  <c r="CD29" i="1"/>
  <c r="CB29" i="1"/>
  <c r="CA29" i="1"/>
  <c r="BY29" i="1"/>
  <c r="BX29" i="1"/>
  <c r="BV29" i="1"/>
  <c r="BU29" i="1"/>
  <c r="BS29" i="1"/>
  <c r="BR29" i="1"/>
  <c r="BP29" i="1"/>
  <c r="BO29" i="1"/>
  <c r="BM29" i="1"/>
  <c r="BL29" i="1"/>
  <c r="BJ29" i="1"/>
  <c r="BI29" i="1"/>
  <c r="BG29" i="1"/>
  <c r="BF29" i="1"/>
  <c r="BD29" i="1"/>
  <c r="BC29" i="1"/>
  <c r="BA29" i="1"/>
  <c r="AZ29" i="1"/>
  <c r="AX29" i="1"/>
  <c r="AW29" i="1"/>
  <c r="AU29" i="1"/>
  <c r="AT29" i="1"/>
  <c r="AR29" i="1"/>
  <c r="AQ29" i="1"/>
  <c r="AO29" i="1"/>
  <c r="AN29" i="1"/>
  <c r="AL29" i="1"/>
  <c r="AK29" i="1"/>
  <c r="AI29" i="1"/>
  <c r="AH29" i="1"/>
  <c r="AF29" i="1"/>
  <c r="AE29" i="1"/>
  <c r="AC29" i="1"/>
  <c r="AB29" i="1"/>
  <c r="Z29" i="1"/>
  <c r="Y29" i="1"/>
  <c r="W29" i="1"/>
  <c r="V29" i="1"/>
  <c r="T29" i="1"/>
  <c r="S29" i="1"/>
  <c r="Q29" i="1"/>
  <c r="P29" i="1"/>
  <c r="N29" i="1"/>
  <c r="M29" i="1"/>
  <c r="K29" i="1"/>
  <c r="J29" i="1"/>
  <c r="H29" i="1"/>
  <c r="G29" i="1"/>
  <c r="E29" i="1"/>
  <c r="D29" i="1"/>
  <c r="C29" i="1"/>
  <c r="B29" i="1"/>
  <c r="A29" i="1"/>
  <c r="KV28" i="1"/>
  <c r="KU28" i="1"/>
  <c r="KT28" i="1"/>
  <c r="KS28" i="1"/>
  <c r="KR28" i="1"/>
  <c r="KP28" i="1"/>
  <c r="KO28" i="1"/>
  <c r="KM28" i="1"/>
  <c r="KL28" i="1"/>
  <c r="KJ28" i="1"/>
  <c r="KI28" i="1"/>
  <c r="KG28" i="1"/>
  <c r="KF28" i="1"/>
  <c r="KD28" i="1"/>
  <c r="KC28" i="1"/>
  <c r="KA28" i="1"/>
  <c r="JZ28" i="1"/>
  <c r="JX28" i="1"/>
  <c r="JW28" i="1"/>
  <c r="JU28" i="1"/>
  <c r="JT28" i="1"/>
  <c r="JR28" i="1"/>
  <c r="JQ28" i="1"/>
  <c r="JO28" i="1"/>
  <c r="JN28" i="1"/>
  <c r="JL28" i="1"/>
  <c r="JK28" i="1"/>
  <c r="JI28" i="1"/>
  <c r="JH28" i="1"/>
  <c r="JF28" i="1"/>
  <c r="JE28" i="1"/>
  <c r="JC28" i="1"/>
  <c r="JB28" i="1"/>
  <c r="IZ28" i="1"/>
  <c r="IY28" i="1"/>
  <c r="IW28" i="1"/>
  <c r="IV28" i="1"/>
  <c r="IT28" i="1"/>
  <c r="IS28" i="1"/>
  <c r="IQ28" i="1"/>
  <c r="IP28" i="1"/>
  <c r="IN28" i="1"/>
  <c r="IM28" i="1"/>
  <c r="IK28" i="1"/>
  <c r="IJ28" i="1"/>
  <c r="IH28" i="1"/>
  <c r="IG28" i="1"/>
  <c r="IE28" i="1"/>
  <c r="ID28" i="1"/>
  <c r="IB28" i="1"/>
  <c r="IA28" i="1"/>
  <c r="HY28" i="1"/>
  <c r="HX28" i="1"/>
  <c r="HV28" i="1"/>
  <c r="HU28" i="1"/>
  <c r="HS28" i="1"/>
  <c r="HR28" i="1"/>
  <c r="HP28" i="1"/>
  <c r="HO28" i="1"/>
  <c r="HM28" i="1"/>
  <c r="HL28" i="1"/>
  <c r="HJ28" i="1"/>
  <c r="HI28" i="1"/>
  <c r="HG28" i="1"/>
  <c r="HF28" i="1"/>
  <c r="HD28" i="1"/>
  <c r="HC28" i="1"/>
  <c r="HA28" i="1"/>
  <c r="GZ28" i="1"/>
  <c r="GX28" i="1"/>
  <c r="GW28" i="1"/>
  <c r="GU28" i="1"/>
  <c r="GT28" i="1"/>
  <c r="GR28" i="1"/>
  <c r="GQ28" i="1"/>
  <c r="GO28" i="1"/>
  <c r="GN28" i="1"/>
  <c r="GL28" i="1"/>
  <c r="GK28" i="1"/>
  <c r="GI28" i="1"/>
  <c r="GH28" i="1"/>
  <c r="GF28" i="1"/>
  <c r="GE28" i="1"/>
  <c r="GC28" i="1"/>
  <c r="GB28" i="1"/>
  <c r="FZ28" i="1"/>
  <c r="FY28" i="1"/>
  <c r="FW28" i="1"/>
  <c r="FV28" i="1"/>
  <c r="FT28" i="1"/>
  <c r="FS28" i="1"/>
  <c r="FQ28" i="1"/>
  <c r="FP28" i="1"/>
  <c r="FN28" i="1"/>
  <c r="FM28" i="1"/>
  <c r="FK28" i="1"/>
  <c r="FJ28" i="1"/>
  <c r="FH28" i="1"/>
  <c r="FG28" i="1"/>
  <c r="FE28" i="1"/>
  <c r="FD28" i="1"/>
  <c r="FB28" i="1"/>
  <c r="FA28" i="1"/>
  <c r="EY28" i="1"/>
  <c r="EX28" i="1"/>
  <c r="EV28" i="1"/>
  <c r="EU28" i="1"/>
  <c r="ES28" i="1"/>
  <c r="ER28" i="1"/>
  <c r="EP28" i="1"/>
  <c r="EO28" i="1"/>
  <c r="EM28" i="1"/>
  <c r="EL28" i="1"/>
  <c r="EJ28" i="1"/>
  <c r="EI28" i="1"/>
  <c r="EG28" i="1"/>
  <c r="EF28" i="1"/>
  <c r="ED28" i="1"/>
  <c r="EC28" i="1"/>
  <c r="EA28" i="1"/>
  <c r="DZ28" i="1"/>
  <c r="DX28" i="1"/>
  <c r="DW28" i="1"/>
  <c r="DU28" i="1"/>
  <c r="DT28" i="1"/>
  <c r="DR28" i="1"/>
  <c r="DQ28" i="1"/>
  <c r="DO28" i="1"/>
  <c r="DN28" i="1"/>
  <c r="DL28" i="1"/>
  <c r="DK28" i="1"/>
  <c r="DI28" i="1"/>
  <c r="DH28" i="1"/>
  <c r="DF28" i="1"/>
  <c r="DE28" i="1"/>
  <c r="DC28" i="1"/>
  <c r="DB28" i="1"/>
  <c r="CZ28" i="1"/>
  <c r="CY28" i="1"/>
  <c r="CW28" i="1"/>
  <c r="CV28" i="1"/>
  <c r="CT28" i="1"/>
  <c r="CS28" i="1"/>
  <c r="CQ28" i="1"/>
  <c r="CP28" i="1"/>
  <c r="CN28" i="1"/>
  <c r="CM28" i="1"/>
  <c r="CK28" i="1"/>
  <c r="CJ28" i="1"/>
  <c r="CH28" i="1"/>
  <c r="CG28" i="1"/>
  <c r="CE28" i="1"/>
  <c r="CD28" i="1"/>
  <c r="CB28" i="1"/>
  <c r="CA28" i="1"/>
  <c r="BY28" i="1"/>
  <c r="BX28" i="1"/>
  <c r="BV28" i="1"/>
  <c r="BU28" i="1"/>
  <c r="BS28" i="1"/>
  <c r="BR28" i="1"/>
  <c r="BP28" i="1"/>
  <c r="BO28" i="1"/>
  <c r="BM28" i="1"/>
  <c r="BL28" i="1"/>
  <c r="BJ28" i="1"/>
  <c r="BI28" i="1"/>
  <c r="BG28" i="1"/>
  <c r="BF28" i="1"/>
  <c r="BD28" i="1"/>
  <c r="BC28" i="1"/>
  <c r="BA28" i="1"/>
  <c r="AZ28" i="1"/>
  <c r="AX28" i="1"/>
  <c r="AW28" i="1"/>
  <c r="AU28" i="1"/>
  <c r="AT28" i="1"/>
  <c r="AR28" i="1"/>
  <c r="AQ28" i="1"/>
  <c r="AO28" i="1"/>
  <c r="AN28" i="1"/>
  <c r="AL28" i="1"/>
  <c r="AK28" i="1"/>
  <c r="AI28" i="1"/>
  <c r="AH28" i="1"/>
  <c r="AF28" i="1"/>
  <c r="AE28" i="1"/>
  <c r="AC28" i="1"/>
  <c r="AB28" i="1"/>
  <c r="Z28" i="1"/>
  <c r="Y28" i="1"/>
  <c r="W28" i="1"/>
  <c r="V28" i="1"/>
  <c r="T28" i="1"/>
  <c r="S28" i="1"/>
  <c r="Q28" i="1"/>
  <c r="P28" i="1"/>
  <c r="N28" i="1"/>
  <c r="M28" i="1"/>
  <c r="K28" i="1"/>
  <c r="J28" i="1"/>
  <c r="H28" i="1"/>
  <c r="G28" i="1"/>
  <c r="E28" i="1"/>
  <c r="D28" i="1"/>
  <c r="C28" i="1"/>
  <c r="B28" i="1"/>
  <c r="A28" i="1"/>
  <c r="KV27" i="1"/>
  <c r="KU27" i="1"/>
  <c r="KT27" i="1"/>
  <c r="KS27" i="1"/>
  <c r="KR27" i="1"/>
  <c r="KP27" i="1"/>
  <c r="KO27" i="1"/>
  <c r="KM27" i="1"/>
  <c r="KL27" i="1"/>
  <c r="KJ27" i="1"/>
  <c r="KI27" i="1"/>
  <c r="KG27" i="1"/>
  <c r="KF27" i="1"/>
  <c r="KD27" i="1"/>
  <c r="KC27" i="1"/>
  <c r="KA27" i="1"/>
  <c r="JZ27" i="1"/>
  <c r="JX27" i="1"/>
  <c r="JW27" i="1"/>
  <c r="JU27" i="1"/>
  <c r="JT27" i="1"/>
  <c r="JR27" i="1"/>
  <c r="JQ27" i="1"/>
  <c r="JO27" i="1"/>
  <c r="JN27" i="1"/>
  <c r="JL27" i="1"/>
  <c r="JK27" i="1"/>
  <c r="JI27" i="1"/>
  <c r="JH27" i="1"/>
  <c r="JF27" i="1"/>
  <c r="JE27" i="1"/>
  <c r="JC27" i="1"/>
  <c r="JB27" i="1"/>
  <c r="IZ27" i="1"/>
  <c r="IY27" i="1"/>
  <c r="IW27" i="1"/>
  <c r="IV27" i="1"/>
  <c r="IT27" i="1"/>
  <c r="IS27" i="1"/>
  <c r="IQ27" i="1"/>
  <c r="IP27" i="1"/>
  <c r="IN27" i="1"/>
  <c r="IM27" i="1"/>
  <c r="IK27" i="1"/>
  <c r="IJ27" i="1"/>
  <c r="IH27" i="1"/>
  <c r="IG27" i="1"/>
  <c r="IE27" i="1"/>
  <c r="ID27" i="1"/>
  <c r="IB27" i="1"/>
  <c r="IA27" i="1"/>
  <c r="HY27" i="1"/>
  <c r="HX27" i="1"/>
  <c r="HV27" i="1"/>
  <c r="HU27" i="1"/>
  <c r="HS27" i="1"/>
  <c r="HR27" i="1"/>
  <c r="HP27" i="1"/>
  <c r="HO27" i="1"/>
  <c r="HM27" i="1"/>
  <c r="HL27" i="1"/>
  <c r="HJ27" i="1"/>
  <c r="HI27" i="1"/>
  <c r="HG27" i="1"/>
  <c r="HF27" i="1"/>
  <c r="HD27" i="1"/>
  <c r="HC27" i="1"/>
  <c r="HA27" i="1"/>
  <c r="GZ27" i="1"/>
  <c r="GX27" i="1"/>
  <c r="GW27" i="1"/>
  <c r="GU27" i="1"/>
  <c r="GT27" i="1"/>
  <c r="GR27" i="1"/>
  <c r="GQ27" i="1"/>
  <c r="GO27" i="1"/>
  <c r="GN27" i="1"/>
  <c r="GL27" i="1"/>
  <c r="GK27" i="1"/>
  <c r="GI27" i="1"/>
  <c r="GH27" i="1"/>
  <c r="GF27" i="1"/>
  <c r="GE27" i="1"/>
  <c r="GC27" i="1"/>
  <c r="GB27" i="1"/>
  <c r="FZ27" i="1"/>
  <c r="FY27" i="1"/>
  <c r="FW27" i="1"/>
  <c r="FV27" i="1"/>
  <c r="FT27" i="1"/>
  <c r="FS27" i="1"/>
  <c r="FQ27" i="1"/>
  <c r="FP27" i="1"/>
  <c r="FN27" i="1"/>
  <c r="FM27" i="1"/>
  <c r="FK27" i="1"/>
  <c r="FJ27" i="1"/>
  <c r="FH27" i="1"/>
  <c r="FG27" i="1"/>
  <c r="FE27" i="1"/>
  <c r="FD27" i="1"/>
  <c r="FB27" i="1"/>
  <c r="FA27" i="1"/>
  <c r="EY27" i="1"/>
  <c r="EX27" i="1"/>
  <c r="EV27" i="1"/>
  <c r="EU27" i="1"/>
  <c r="ES27" i="1"/>
  <c r="ER27" i="1"/>
  <c r="EP27" i="1"/>
  <c r="EO27" i="1"/>
  <c r="EM27" i="1"/>
  <c r="EL27" i="1"/>
  <c r="EJ27" i="1"/>
  <c r="EI27" i="1"/>
  <c r="EG27" i="1"/>
  <c r="EF27" i="1"/>
  <c r="ED27" i="1"/>
  <c r="EC27" i="1"/>
  <c r="EA27" i="1"/>
  <c r="DZ27" i="1"/>
  <c r="DX27" i="1"/>
  <c r="DW27" i="1"/>
  <c r="DU27" i="1"/>
  <c r="DT27" i="1"/>
  <c r="DR27" i="1"/>
  <c r="DQ27" i="1"/>
  <c r="DO27" i="1"/>
  <c r="DN27" i="1"/>
  <c r="DL27" i="1"/>
  <c r="DK27" i="1"/>
  <c r="DI27" i="1"/>
  <c r="DH27" i="1"/>
  <c r="DF27" i="1"/>
  <c r="DE27" i="1"/>
  <c r="DC27" i="1"/>
  <c r="DB27" i="1"/>
  <c r="CZ27" i="1"/>
  <c r="CY27" i="1"/>
  <c r="CW27" i="1"/>
  <c r="CV27" i="1"/>
  <c r="CT27" i="1"/>
  <c r="CS27" i="1"/>
  <c r="CQ27" i="1"/>
  <c r="CP27" i="1"/>
  <c r="CN27" i="1"/>
  <c r="CM27" i="1"/>
  <c r="CK27" i="1"/>
  <c r="CJ27" i="1"/>
  <c r="CH27" i="1"/>
  <c r="CG27" i="1"/>
  <c r="CE27" i="1"/>
  <c r="CD27" i="1"/>
  <c r="CB27" i="1"/>
  <c r="CA27" i="1"/>
  <c r="BY27" i="1"/>
  <c r="BX27" i="1"/>
  <c r="BV27" i="1"/>
  <c r="BU27" i="1"/>
  <c r="BS27" i="1"/>
  <c r="BR27" i="1"/>
  <c r="BP27" i="1"/>
  <c r="BO27" i="1"/>
  <c r="BM27" i="1"/>
  <c r="BL27" i="1"/>
  <c r="BJ27" i="1"/>
  <c r="BI27" i="1"/>
  <c r="BG27" i="1"/>
  <c r="BF27" i="1"/>
  <c r="BD27" i="1"/>
  <c r="BC27" i="1"/>
  <c r="BA27" i="1"/>
  <c r="AZ27" i="1"/>
  <c r="AX27" i="1"/>
  <c r="AW27" i="1"/>
  <c r="AU27" i="1"/>
  <c r="AT27" i="1"/>
  <c r="AR27" i="1"/>
  <c r="AQ27" i="1"/>
  <c r="AO27" i="1"/>
  <c r="AN27" i="1"/>
  <c r="AL27" i="1"/>
  <c r="AK27" i="1"/>
  <c r="AI27" i="1"/>
  <c r="AH27" i="1"/>
  <c r="AF27" i="1"/>
  <c r="AE27" i="1"/>
  <c r="AC27" i="1"/>
  <c r="AB27" i="1"/>
  <c r="Z27" i="1"/>
  <c r="Y27" i="1"/>
  <c r="W27" i="1"/>
  <c r="V27" i="1"/>
  <c r="T27" i="1"/>
  <c r="S27" i="1"/>
  <c r="Q27" i="1"/>
  <c r="P27" i="1"/>
  <c r="N27" i="1"/>
  <c r="M27" i="1"/>
  <c r="K27" i="1"/>
  <c r="J27" i="1"/>
  <c r="H27" i="1"/>
  <c r="G27" i="1"/>
  <c r="E27" i="1"/>
  <c r="D27" i="1"/>
  <c r="C27" i="1"/>
  <c r="B27" i="1"/>
  <c r="A27" i="1"/>
  <c r="KV26" i="1"/>
  <c r="KU26" i="1"/>
  <c r="KT26" i="1"/>
  <c r="KS26" i="1"/>
  <c r="KR26" i="1"/>
  <c r="KP26" i="1"/>
  <c r="KO26" i="1"/>
  <c r="KM26" i="1"/>
  <c r="KL26" i="1"/>
  <c r="KJ26" i="1"/>
  <c r="KI26" i="1"/>
  <c r="KG26" i="1"/>
  <c r="KF26" i="1"/>
  <c r="KD26" i="1"/>
  <c r="KC26" i="1"/>
  <c r="KA26" i="1"/>
  <c r="JZ26" i="1"/>
  <c r="JX26" i="1"/>
  <c r="JW26" i="1"/>
  <c r="JU26" i="1"/>
  <c r="JT26" i="1"/>
  <c r="JR26" i="1"/>
  <c r="JQ26" i="1"/>
  <c r="JO26" i="1"/>
  <c r="JN26" i="1"/>
  <c r="JL26" i="1"/>
  <c r="JK26" i="1"/>
  <c r="JI26" i="1"/>
  <c r="JH26" i="1"/>
  <c r="JF26" i="1"/>
  <c r="JE26" i="1"/>
  <c r="JC26" i="1"/>
  <c r="JB26" i="1"/>
  <c r="IZ26" i="1"/>
  <c r="IY26" i="1"/>
  <c r="IW26" i="1"/>
  <c r="IV26" i="1"/>
  <c r="IT26" i="1"/>
  <c r="IS26" i="1"/>
  <c r="IQ26" i="1"/>
  <c r="IP26" i="1"/>
  <c r="IN26" i="1"/>
  <c r="IM26" i="1"/>
  <c r="IK26" i="1"/>
  <c r="IJ26" i="1"/>
  <c r="IH26" i="1"/>
  <c r="IG26" i="1"/>
  <c r="IE26" i="1"/>
  <c r="ID26" i="1"/>
  <c r="IB26" i="1"/>
  <c r="IA26" i="1"/>
  <c r="HY26" i="1"/>
  <c r="HX26" i="1"/>
  <c r="HV26" i="1"/>
  <c r="HU26" i="1"/>
  <c r="HS26" i="1"/>
  <c r="HR26" i="1"/>
  <c r="HP26" i="1"/>
  <c r="HO26" i="1"/>
  <c r="HM26" i="1"/>
  <c r="HL26" i="1"/>
  <c r="HJ26" i="1"/>
  <c r="HI26" i="1"/>
  <c r="HG26" i="1"/>
  <c r="HF26" i="1"/>
  <c r="HD26" i="1"/>
  <c r="HC26" i="1"/>
  <c r="HA26" i="1"/>
  <c r="GZ26" i="1"/>
  <c r="GX26" i="1"/>
  <c r="GW26" i="1"/>
  <c r="GU26" i="1"/>
  <c r="GT26" i="1"/>
  <c r="GR26" i="1"/>
  <c r="GQ26" i="1"/>
  <c r="GO26" i="1"/>
  <c r="GN26" i="1"/>
  <c r="GL26" i="1"/>
  <c r="GK26" i="1"/>
  <c r="GI26" i="1"/>
  <c r="GH26" i="1"/>
  <c r="GF26" i="1"/>
  <c r="GE26" i="1"/>
  <c r="GC26" i="1"/>
  <c r="GB26" i="1"/>
  <c r="FZ26" i="1"/>
  <c r="FY26" i="1"/>
  <c r="FW26" i="1"/>
  <c r="FV26" i="1"/>
  <c r="FT26" i="1"/>
  <c r="FS26" i="1"/>
  <c r="FQ26" i="1"/>
  <c r="FP26" i="1"/>
  <c r="FN26" i="1"/>
  <c r="FM26" i="1"/>
  <c r="FK26" i="1"/>
  <c r="FJ26" i="1"/>
  <c r="FH26" i="1"/>
  <c r="FG26" i="1"/>
  <c r="FE26" i="1"/>
  <c r="FD26" i="1"/>
  <c r="FB26" i="1"/>
  <c r="FA26" i="1"/>
  <c r="EY26" i="1"/>
  <c r="EX26" i="1"/>
  <c r="EV26" i="1"/>
  <c r="EU26" i="1"/>
  <c r="ES26" i="1"/>
  <c r="ER26" i="1"/>
  <c r="EP26" i="1"/>
  <c r="EO26" i="1"/>
  <c r="EM26" i="1"/>
  <c r="EL26" i="1"/>
  <c r="EJ26" i="1"/>
  <c r="EI26" i="1"/>
  <c r="EG26" i="1"/>
  <c r="EF26" i="1"/>
  <c r="ED26" i="1"/>
  <c r="EC26" i="1"/>
  <c r="EA26" i="1"/>
  <c r="DZ26" i="1"/>
  <c r="DX26" i="1"/>
  <c r="DW26" i="1"/>
  <c r="DU26" i="1"/>
  <c r="DT26" i="1"/>
  <c r="DR26" i="1"/>
  <c r="DQ26" i="1"/>
  <c r="DO26" i="1"/>
  <c r="DN26" i="1"/>
  <c r="DL26" i="1"/>
  <c r="DK26" i="1"/>
  <c r="DI26" i="1"/>
  <c r="DH26" i="1"/>
  <c r="DF26" i="1"/>
  <c r="DE26" i="1"/>
  <c r="DC26" i="1"/>
  <c r="DB26" i="1"/>
  <c r="CZ26" i="1"/>
  <c r="CY26" i="1"/>
  <c r="CW26" i="1"/>
  <c r="CV26" i="1"/>
  <c r="CT26" i="1"/>
  <c r="CS26" i="1"/>
  <c r="CQ26" i="1"/>
  <c r="CP26" i="1"/>
  <c r="CN26" i="1"/>
  <c r="CM26" i="1"/>
  <c r="CK26" i="1"/>
  <c r="CJ26" i="1"/>
  <c r="CH26" i="1"/>
  <c r="CG26" i="1"/>
  <c r="CE26" i="1"/>
  <c r="CD26" i="1"/>
  <c r="CB26" i="1"/>
  <c r="CA26" i="1"/>
  <c r="BY26" i="1"/>
  <c r="BX26" i="1"/>
  <c r="BV26" i="1"/>
  <c r="BU26" i="1"/>
  <c r="BS26" i="1"/>
  <c r="BR26" i="1"/>
  <c r="BP26" i="1"/>
  <c r="BO26" i="1"/>
  <c r="BM26" i="1"/>
  <c r="BL26" i="1"/>
  <c r="BJ26" i="1"/>
  <c r="BI26" i="1"/>
  <c r="BG26" i="1"/>
  <c r="BF26" i="1"/>
  <c r="BD26" i="1"/>
  <c r="BC26" i="1"/>
  <c r="BA26" i="1"/>
  <c r="AZ26" i="1"/>
  <c r="AX26" i="1"/>
  <c r="AW26" i="1"/>
  <c r="AU26" i="1"/>
  <c r="AT26" i="1"/>
  <c r="AR26" i="1"/>
  <c r="AQ26" i="1"/>
  <c r="AO26" i="1"/>
  <c r="AN26" i="1"/>
  <c r="AL26" i="1"/>
  <c r="AK26" i="1"/>
  <c r="AI26" i="1"/>
  <c r="AH26" i="1"/>
  <c r="AF26" i="1"/>
  <c r="AE26" i="1"/>
  <c r="AC26" i="1"/>
  <c r="AB26" i="1"/>
  <c r="Z26" i="1"/>
  <c r="Y26" i="1"/>
  <c r="W26" i="1"/>
  <c r="V26" i="1"/>
  <c r="T26" i="1"/>
  <c r="S26" i="1"/>
  <c r="Q26" i="1"/>
  <c r="P26" i="1"/>
  <c r="N26" i="1"/>
  <c r="M26" i="1"/>
  <c r="K26" i="1"/>
  <c r="J26" i="1"/>
  <c r="H26" i="1"/>
  <c r="G26" i="1"/>
  <c r="E26" i="1"/>
  <c r="D26" i="1"/>
  <c r="C26" i="1"/>
  <c r="B26" i="1"/>
  <c r="A26" i="1"/>
  <c r="KV25" i="1"/>
  <c r="KU25" i="1"/>
  <c r="KT25" i="1"/>
  <c r="KS25" i="1"/>
  <c r="KR25" i="1"/>
  <c r="KP25" i="1"/>
  <c r="KO25" i="1"/>
  <c r="KM25" i="1"/>
  <c r="KL25" i="1"/>
  <c r="KJ25" i="1"/>
  <c r="KI25" i="1"/>
  <c r="KG25" i="1"/>
  <c r="KF25" i="1"/>
  <c r="KD25" i="1"/>
  <c r="KC25" i="1"/>
  <c r="KA25" i="1"/>
  <c r="JZ25" i="1"/>
  <c r="JX25" i="1"/>
  <c r="JW25" i="1"/>
  <c r="JU25" i="1"/>
  <c r="JT25" i="1"/>
  <c r="JR25" i="1"/>
  <c r="JQ25" i="1"/>
  <c r="JO25" i="1"/>
  <c r="JN25" i="1"/>
  <c r="JL25" i="1"/>
  <c r="JK25" i="1"/>
  <c r="JI25" i="1"/>
  <c r="JH25" i="1"/>
  <c r="JF25" i="1"/>
  <c r="JE25" i="1"/>
  <c r="JC25" i="1"/>
  <c r="JB25" i="1"/>
  <c r="IZ25" i="1"/>
  <c r="IY25" i="1"/>
  <c r="IW25" i="1"/>
  <c r="IV25" i="1"/>
  <c r="IT25" i="1"/>
  <c r="IS25" i="1"/>
  <c r="IQ25" i="1"/>
  <c r="IP25" i="1"/>
  <c r="IN25" i="1"/>
  <c r="IM25" i="1"/>
  <c r="IK25" i="1"/>
  <c r="IJ25" i="1"/>
  <c r="IH25" i="1"/>
  <c r="IG25" i="1"/>
  <c r="IE25" i="1"/>
  <c r="ID25" i="1"/>
  <c r="IB25" i="1"/>
  <c r="IA25" i="1"/>
  <c r="HY25" i="1"/>
  <c r="HX25" i="1"/>
  <c r="HV25" i="1"/>
  <c r="HU25" i="1"/>
  <c r="HS25" i="1"/>
  <c r="HR25" i="1"/>
  <c r="HP25" i="1"/>
  <c r="HO25" i="1"/>
  <c r="HM25" i="1"/>
  <c r="HL25" i="1"/>
  <c r="HJ25" i="1"/>
  <c r="HI25" i="1"/>
  <c r="HG25" i="1"/>
  <c r="HF25" i="1"/>
  <c r="HD25" i="1"/>
  <c r="HC25" i="1"/>
  <c r="HA25" i="1"/>
  <c r="GZ25" i="1"/>
  <c r="GX25" i="1"/>
  <c r="GW25" i="1"/>
  <c r="GU25" i="1"/>
  <c r="GT25" i="1"/>
  <c r="GR25" i="1"/>
  <c r="GQ25" i="1"/>
  <c r="GO25" i="1"/>
  <c r="GN25" i="1"/>
  <c r="GL25" i="1"/>
  <c r="GK25" i="1"/>
  <c r="GI25" i="1"/>
  <c r="GH25" i="1"/>
  <c r="GF25" i="1"/>
  <c r="GE25" i="1"/>
  <c r="GC25" i="1"/>
  <c r="GB25" i="1"/>
  <c r="FZ25" i="1"/>
  <c r="FY25" i="1"/>
  <c r="FW25" i="1"/>
  <c r="FV25" i="1"/>
  <c r="FT25" i="1"/>
  <c r="FS25" i="1"/>
  <c r="FQ25" i="1"/>
  <c r="FP25" i="1"/>
  <c r="FN25" i="1"/>
  <c r="FM25" i="1"/>
  <c r="FK25" i="1"/>
  <c r="FJ25" i="1"/>
  <c r="FH25" i="1"/>
  <c r="FG25" i="1"/>
  <c r="FE25" i="1"/>
  <c r="FD25" i="1"/>
  <c r="FB25" i="1"/>
  <c r="FA25" i="1"/>
  <c r="EY25" i="1"/>
  <c r="EX25" i="1"/>
  <c r="EV25" i="1"/>
  <c r="EU25" i="1"/>
  <c r="ES25" i="1"/>
  <c r="ER25" i="1"/>
  <c r="EP25" i="1"/>
  <c r="EO25" i="1"/>
  <c r="EM25" i="1"/>
  <c r="EL25" i="1"/>
  <c r="EJ25" i="1"/>
  <c r="EI25" i="1"/>
  <c r="EG25" i="1"/>
  <c r="EF25" i="1"/>
  <c r="ED25" i="1"/>
  <c r="EC25" i="1"/>
  <c r="EA25" i="1"/>
  <c r="DZ25" i="1"/>
  <c r="DX25" i="1"/>
  <c r="DW25" i="1"/>
  <c r="DU25" i="1"/>
  <c r="DT25" i="1"/>
  <c r="DR25" i="1"/>
  <c r="DQ25" i="1"/>
  <c r="DO25" i="1"/>
  <c r="DN25" i="1"/>
  <c r="DL25" i="1"/>
  <c r="DK25" i="1"/>
  <c r="DI25" i="1"/>
  <c r="DH25" i="1"/>
  <c r="DF25" i="1"/>
  <c r="DE25" i="1"/>
  <c r="DC25" i="1"/>
  <c r="DB25" i="1"/>
  <c r="CZ25" i="1"/>
  <c r="CY25" i="1"/>
  <c r="CW25" i="1"/>
  <c r="CV25" i="1"/>
  <c r="CT25" i="1"/>
  <c r="CS25" i="1"/>
  <c r="CQ25" i="1"/>
  <c r="CP25" i="1"/>
  <c r="CN25" i="1"/>
  <c r="CM25" i="1"/>
  <c r="CK25" i="1"/>
  <c r="CJ25" i="1"/>
  <c r="CH25" i="1"/>
  <c r="CG25" i="1"/>
  <c r="CE25" i="1"/>
  <c r="CD25" i="1"/>
  <c r="CB25" i="1"/>
  <c r="CA25" i="1"/>
  <c r="BY25" i="1"/>
  <c r="BX25" i="1"/>
  <c r="BV25" i="1"/>
  <c r="BU25" i="1"/>
  <c r="BS25" i="1"/>
  <c r="BR25" i="1"/>
  <c r="BP25" i="1"/>
  <c r="BO25" i="1"/>
  <c r="BM25" i="1"/>
  <c r="BL25" i="1"/>
  <c r="BJ25" i="1"/>
  <c r="BI25" i="1"/>
  <c r="BG25" i="1"/>
  <c r="BF25" i="1"/>
  <c r="BD25" i="1"/>
  <c r="BC25" i="1"/>
  <c r="BA25" i="1"/>
  <c r="AZ25" i="1"/>
  <c r="AX25" i="1"/>
  <c r="AW25" i="1"/>
  <c r="AU25" i="1"/>
  <c r="AT25" i="1"/>
  <c r="AR25" i="1"/>
  <c r="AQ25" i="1"/>
  <c r="AO25" i="1"/>
  <c r="AN25" i="1"/>
  <c r="AL25" i="1"/>
  <c r="AK25" i="1"/>
  <c r="AI25" i="1"/>
  <c r="AH25" i="1"/>
  <c r="AF25" i="1"/>
  <c r="AE25" i="1"/>
  <c r="AC25" i="1"/>
  <c r="AB25" i="1"/>
  <c r="Z25" i="1"/>
  <c r="Y25" i="1"/>
  <c r="W25" i="1"/>
  <c r="V25" i="1"/>
  <c r="T25" i="1"/>
  <c r="S25" i="1"/>
  <c r="Q25" i="1"/>
  <c r="P25" i="1"/>
  <c r="N25" i="1"/>
  <c r="M25" i="1"/>
  <c r="K25" i="1"/>
  <c r="J25" i="1"/>
  <c r="H25" i="1"/>
  <c r="G25" i="1"/>
  <c r="E25" i="1"/>
  <c r="D25" i="1"/>
  <c r="C25" i="1"/>
  <c r="B25" i="1"/>
  <c r="A25" i="1"/>
  <c r="KV24" i="1"/>
  <c r="KU24" i="1"/>
  <c r="KT24" i="1"/>
  <c r="KS24" i="1"/>
  <c r="KR24" i="1"/>
  <c r="KP24" i="1"/>
  <c r="KO24" i="1"/>
  <c r="KM24" i="1"/>
  <c r="KL24" i="1"/>
  <c r="KJ24" i="1"/>
  <c r="KI24" i="1"/>
  <c r="KG24" i="1"/>
  <c r="KF24" i="1"/>
  <c r="KD24" i="1"/>
  <c r="KC24" i="1"/>
  <c r="KA24" i="1"/>
  <c r="JZ24" i="1"/>
  <c r="JX24" i="1"/>
  <c r="JW24" i="1"/>
  <c r="JU24" i="1"/>
  <c r="JT24" i="1"/>
  <c r="JR24" i="1"/>
  <c r="JQ24" i="1"/>
  <c r="JO24" i="1"/>
  <c r="JN24" i="1"/>
  <c r="JL24" i="1"/>
  <c r="JK24" i="1"/>
  <c r="JI24" i="1"/>
  <c r="JH24" i="1"/>
  <c r="JF24" i="1"/>
  <c r="JE24" i="1"/>
  <c r="JC24" i="1"/>
  <c r="JB24" i="1"/>
  <c r="IZ24" i="1"/>
  <c r="IY24" i="1"/>
  <c r="IW24" i="1"/>
  <c r="IV24" i="1"/>
  <c r="IT24" i="1"/>
  <c r="IS24" i="1"/>
  <c r="IQ24" i="1"/>
  <c r="IP24" i="1"/>
  <c r="IN24" i="1"/>
  <c r="IM24" i="1"/>
  <c r="IK24" i="1"/>
  <c r="IJ24" i="1"/>
  <c r="IH24" i="1"/>
  <c r="IG24" i="1"/>
  <c r="IE24" i="1"/>
  <c r="ID24" i="1"/>
  <c r="IB24" i="1"/>
  <c r="IA24" i="1"/>
  <c r="HY24" i="1"/>
  <c r="HX24" i="1"/>
  <c r="HV24" i="1"/>
  <c r="HU24" i="1"/>
  <c r="HS24" i="1"/>
  <c r="HR24" i="1"/>
  <c r="HP24" i="1"/>
  <c r="HO24" i="1"/>
  <c r="HM24" i="1"/>
  <c r="HL24" i="1"/>
  <c r="HJ24" i="1"/>
  <c r="HI24" i="1"/>
  <c r="HG24" i="1"/>
  <c r="HF24" i="1"/>
  <c r="HD24" i="1"/>
  <c r="HC24" i="1"/>
  <c r="HA24" i="1"/>
  <c r="GZ24" i="1"/>
  <c r="GX24" i="1"/>
  <c r="GW24" i="1"/>
  <c r="GU24" i="1"/>
  <c r="GT24" i="1"/>
  <c r="GR24" i="1"/>
  <c r="GQ24" i="1"/>
  <c r="GO24" i="1"/>
  <c r="GN24" i="1"/>
  <c r="GL24" i="1"/>
  <c r="GK24" i="1"/>
  <c r="GI24" i="1"/>
  <c r="GH24" i="1"/>
  <c r="GF24" i="1"/>
  <c r="GE24" i="1"/>
  <c r="GC24" i="1"/>
  <c r="GB24" i="1"/>
  <c r="FZ24" i="1"/>
  <c r="FY24" i="1"/>
  <c r="FW24" i="1"/>
  <c r="FV24" i="1"/>
  <c r="FT24" i="1"/>
  <c r="FS24" i="1"/>
  <c r="FQ24" i="1"/>
  <c r="FP24" i="1"/>
  <c r="FN24" i="1"/>
  <c r="FM24" i="1"/>
  <c r="FK24" i="1"/>
  <c r="FJ24" i="1"/>
  <c r="FH24" i="1"/>
  <c r="FG24" i="1"/>
  <c r="FE24" i="1"/>
  <c r="FD24" i="1"/>
  <c r="FB24" i="1"/>
  <c r="FA24" i="1"/>
  <c r="EY24" i="1"/>
  <c r="EX24" i="1"/>
  <c r="EV24" i="1"/>
  <c r="EU24" i="1"/>
  <c r="ES24" i="1"/>
  <c r="ER24" i="1"/>
  <c r="EP24" i="1"/>
  <c r="EO24" i="1"/>
  <c r="EM24" i="1"/>
  <c r="EL24" i="1"/>
  <c r="EJ24" i="1"/>
  <c r="EI24" i="1"/>
  <c r="EG24" i="1"/>
  <c r="EF24" i="1"/>
  <c r="ED24" i="1"/>
  <c r="EC24" i="1"/>
  <c r="EA24" i="1"/>
  <c r="DZ24" i="1"/>
  <c r="DX24" i="1"/>
  <c r="DW24" i="1"/>
  <c r="DU24" i="1"/>
  <c r="DT24" i="1"/>
  <c r="DR24" i="1"/>
  <c r="DQ24" i="1"/>
  <c r="DO24" i="1"/>
  <c r="DN24" i="1"/>
  <c r="DL24" i="1"/>
  <c r="DK24" i="1"/>
  <c r="DI24" i="1"/>
  <c r="DH24" i="1"/>
  <c r="DF24" i="1"/>
  <c r="DE24" i="1"/>
  <c r="DC24" i="1"/>
  <c r="DB24" i="1"/>
  <c r="CZ24" i="1"/>
  <c r="CY24" i="1"/>
  <c r="CW24" i="1"/>
  <c r="CV24" i="1"/>
  <c r="CT24" i="1"/>
  <c r="CS24" i="1"/>
  <c r="CQ24" i="1"/>
  <c r="CP24" i="1"/>
  <c r="CN24" i="1"/>
  <c r="CM24" i="1"/>
  <c r="CK24" i="1"/>
  <c r="CJ24" i="1"/>
  <c r="CH24" i="1"/>
  <c r="CG24" i="1"/>
  <c r="CE24" i="1"/>
  <c r="CD24" i="1"/>
  <c r="CB24" i="1"/>
  <c r="CA24" i="1"/>
  <c r="BY24" i="1"/>
  <c r="BX24" i="1"/>
  <c r="BV24" i="1"/>
  <c r="BU24" i="1"/>
  <c r="BS24" i="1"/>
  <c r="BR24" i="1"/>
  <c r="BP24" i="1"/>
  <c r="BO24" i="1"/>
  <c r="BM24" i="1"/>
  <c r="BL24" i="1"/>
  <c r="BJ24" i="1"/>
  <c r="BI24" i="1"/>
  <c r="BG24" i="1"/>
  <c r="BF24" i="1"/>
  <c r="BD24" i="1"/>
  <c r="BC24" i="1"/>
  <c r="BA24" i="1"/>
  <c r="AZ24" i="1"/>
  <c r="AX24" i="1"/>
  <c r="AW24" i="1"/>
  <c r="AU24" i="1"/>
  <c r="AT24" i="1"/>
  <c r="AR24" i="1"/>
  <c r="AQ24" i="1"/>
  <c r="AO24" i="1"/>
  <c r="AN24" i="1"/>
  <c r="AL24" i="1"/>
  <c r="AK24" i="1"/>
  <c r="AI24" i="1"/>
  <c r="AH24" i="1"/>
  <c r="AF24" i="1"/>
  <c r="AE24" i="1"/>
  <c r="AC24" i="1"/>
  <c r="AB24" i="1"/>
  <c r="Z24" i="1"/>
  <c r="Y24" i="1"/>
  <c r="W24" i="1"/>
  <c r="V24" i="1"/>
  <c r="T24" i="1"/>
  <c r="S24" i="1"/>
  <c r="Q24" i="1"/>
  <c r="P24" i="1"/>
  <c r="N24" i="1"/>
  <c r="M24" i="1"/>
  <c r="K24" i="1"/>
  <c r="J24" i="1"/>
  <c r="H24" i="1"/>
  <c r="G24" i="1"/>
  <c r="E24" i="1"/>
  <c r="D24" i="1"/>
  <c r="C24" i="1"/>
  <c r="B24" i="1"/>
  <c r="A24" i="1"/>
  <c r="KV23" i="1"/>
  <c r="KU23" i="1"/>
  <c r="KT23" i="1"/>
  <c r="KS23" i="1"/>
  <c r="KR23" i="1"/>
  <c r="KP23" i="1"/>
  <c r="KO23" i="1"/>
  <c r="KM23" i="1"/>
  <c r="KL23" i="1"/>
  <c r="KJ23" i="1"/>
  <c r="KI23" i="1"/>
  <c r="KG23" i="1"/>
  <c r="KF23" i="1"/>
  <c r="KD23" i="1"/>
  <c r="KC23" i="1"/>
  <c r="KA23" i="1"/>
  <c r="JZ23" i="1"/>
  <c r="JX23" i="1"/>
  <c r="JW23" i="1"/>
  <c r="JU23" i="1"/>
  <c r="JT23" i="1"/>
  <c r="JR23" i="1"/>
  <c r="JQ23" i="1"/>
  <c r="JO23" i="1"/>
  <c r="JN23" i="1"/>
  <c r="JL23" i="1"/>
  <c r="JK23" i="1"/>
  <c r="JI23" i="1"/>
  <c r="JH23" i="1"/>
  <c r="JF23" i="1"/>
  <c r="JE23" i="1"/>
  <c r="JC23" i="1"/>
  <c r="JB23" i="1"/>
  <c r="IZ23" i="1"/>
  <c r="IY23" i="1"/>
  <c r="IW23" i="1"/>
  <c r="IV23" i="1"/>
  <c r="IT23" i="1"/>
  <c r="IS23" i="1"/>
  <c r="IQ23" i="1"/>
  <c r="IP23" i="1"/>
  <c r="IN23" i="1"/>
  <c r="IM23" i="1"/>
  <c r="IK23" i="1"/>
  <c r="IJ23" i="1"/>
  <c r="IH23" i="1"/>
  <c r="IG23" i="1"/>
  <c r="IE23" i="1"/>
  <c r="ID23" i="1"/>
  <c r="IB23" i="1"/>
  <c r="IA23" i="1"/>
  <c r="HY23" i="1"/>
  <c r="HX23" i="1"/>
  <c r="HV23" i="1"/>
  <c r="HU23" i="1"/>
  <c r="HS23" i="1"/>
  <c r="HR23" i="1"/>
  <c r="HP23" i="1"/>
  <c r="HO23" i="1"/>
  <c r="HM23" i="1"/>
  <c r="HL23" i="1"/>
  <c r="HJ23" i="1"/>
  <c r="HI23" i="1"/>
  <c r="HG23" i="1"/>
  <c r="HF23" i="1"/>
  <c r="HD23" i="1"/>
  <c r="HC23" i="1"/>
  <c r="HA23" i="1"/>
  <c r="GZ23" i="1"/>
  <c r="GX23" i="1"/>
  <c r="GW23" i="1"/>
  <c r="GU23" i="1"/>
  <c r="GT23" i="1"/>
  <c r="GR23" i="1"/>
  <c r="GQ23" i="1"/>
  <c r="GO23" i="1"/>
  <c r="GN23" i="1"/>
  <c r="GL23" i="1"/>
  <c r="GK23" i="1"/>
  <c r="GI23" i="1"/>
  <c r="GH23" i="1"/>
  <c r="GF23" i="1"/>
  <c r="GE23" i="1"/>
  <c r="GC23" i="1"/>
  <c r="GB23" i="1"/>
  <c r="FZ23" i="1"/>
  <c r="FY23" i="1"/>
  <c r="FW23" i="1"/>
  <c r="FV23" i="1"/>
  <c r="FT23" i="1"/>
  <c r="FS23" i="1"/>
  <c r="FQ23" i="1"/>
  <c r="FP23" i="1"/>
  <c r="FN23" i="1"/>
  <c r="FM23" i="1"/>
  <c r="FK23" i="1"/>
  <c r="FJ23" i="1"/>
  <c r="FH23" i="1"/>
  <c r="FG23" i="1"/>
  <c r="FE23" i="1"/>
  <c r="FD23" i="1"/>
  <c r="FB23" i="1"/>
  <c r="FA23" i="1"/>
  <c r="EY23" i="1"/>
  <c r="EX23" i="1"/>
  <c r="EV23" i="1"/>
  <c r="EU23" i="1"/>
  <c r="ES23" i="1"/>
  <c r="ER23" i="1"/>
  <c r="EP23" i="1"/>
  <c r="EO23" i="1"/>
  <c r="EM23" i="1"/>
  <c r="EL23" i="1"/>
  <c r="EJ23" i="1"/>
  <c r="EI23" i="1"/>
  <c r="EG23" i="1"/>
  <c r="EF23" i="1"/>
  <c r="ED23" i="1"/>
  <c r="EC23" i="1"/>
  <c r="EA23" i="1"/>
  <c r="DZ23" i="1"/>
  <c r="DX23" i="1"/>
  <c r="DW23" i="1"/>
  <c r="DU23" i="1"/>
  <c r="DT23" i="1"/>
  <c r="DR23" i="1"/>
  <c r="DQ23" i="1"/>
  <c r="DO23" i="1"/>
  <c r="DN23" i="1"/>
  <c r="DL23" i="1"/>
  <c r="DK23" i="1"/>
  <c r="DI23" i="1"/>
  <c r="DH23" i="1"/>
  <c r="DF23" i="1"/>
  <c r="DE23" i="1"/>
  <c r="DC23" i="1"/>
  <c r="DB23" i="1"/>
  <c r="CZ23" i="1"/>
  <c r="CY23" i="1"/>
  <c r="CW23" i="1"/>
  <c r="CV23" i="1"/>
  <c r="CT23" i="1"/>
  <c r="CS23" i="1"/>
  <c r="CQ23" i="1"/>
  <c r="CP23" i="1"/>
  <c r="CN23" i="1"/>
  <c r="CM23" i="1"/>
  <c r="CK23" i="1"/>
  <c r="CJ23" i="1"/>
  <c r="CH23" i="1"/>
  <c r="CG23" i="1"/>
  <c r="CE23" i="1"/>
  <c r="CD23" i="1"/>
  <c r="CB23" i="1"/>
  <c r="CA23" i="1"/>
  <c r="BY23" i="1"/>
  <c r="BX23" i="1"/>
  <c r="BV23" i="1"/>
  <c r="BU23" i="1"/>
  <c r="BS23" i="1"/>
  <c r="BR23" i="1"/>
  <c r="BP23" i="1"/>
  <c r="BO23" i="1"/>
  <c r="BM23" i="1"/>
  <c r="BL23" i="1"/>
  <c r="BJ23" i="1"/>
  <c r="BI23" i="1"/>
  <c r="BG23" i="1"/>
  <c r="BF23" i="1"/>
  <c r="BD23" i="1"/>
  <c r="BC23" i="1"/>
  <c r="BA23" i="1"/>
  <c r="AZ23" i="1"/>
  <c r="AX23" i="1"/>
  <c r="AW23" i="1"/>
  <c r="AU23" i="1"/>
  <c r="AT23" i="1"/>
  <c r="AR23" i="1"/>
  <c r="AQ23" i="1"/>
  <c r="AO23" i="1"/>
  <c r="AN23" i="1"/>
  <c r="AL23" i="1"/>
  <c r="AK23" i="1"/>
  <c r="AI23" i="1"/>
  <c r="AH23" i="1"/>
  <c r="AF23" i="1"/>
  <c r="AE23" i="1"/>
  <c r="AC23" i="1"/>
  <c r="AB23" i="1"/>
  <c r="Z23" i="1"/>
  <c r="Y23" i="1"/>
  <c r="W23" i="1"/>
  <c r="V23" i="1"/>
  <c r="T23" i="1"/>
  <c r="S23" i="1"/>
  <c r="Q23" i="1"/>
  <c r="P23" i="1"/>
  <c r="N23" i="1"/>
  <c r="M23" i="1"/>
  <c r="K23" i="1"/>
  <c r="J23" i="1"/>
  <c r="H23" i="1"/>
  <c r="G23" i="1"/>
  <c r="E23" i="1"/>
  <c r="D23" i="1"/>
  <c r="C23" i="1"/>
  <c r="B23" i="1"/>
  <c r="A23" i="1"/>
  <c r="KV22" i="1"/>
  <c r="KU22" i="1"/>
  <c r="KT22" i="1"/>
  <c r="KS22" i="1"/>
  <c r="KR22" i="1"/>
  <c r="KP22" i="1"/>
  <c r="KO22" i="1"/>
  <c r="KM22" i="1"/>
  <c r="KL22" i="1"/>
  <c r="KJ22" i="1"/>
  <c r="KI22" i="1"/>
  <c r="KG22" i="1"/>
  <c r="KF22" i="1"/>
  <c r="KD22" i="1"/>
  <c r="KC22" i="1"/>
  <c r="KA22" i="1"/>
  <c r="JZ22" i="1"/>
  <c r="JX22" i="1"/>
  <c r="JW22" i="1"/>
  <c r="JU22" i="1"/>
  <c r="JT22" i="1"/>
  <c r="JR22" i="1"/>
  <c r="JQ22" i="1"/>
  <c r="JO22" i="1"/>
  <c r="JN22" i="1"/>
  <c r="JL22" i="1"/>
  <c r="JK22" i="1"/>
  <c r="JI22" i="1"/>
  <c r="JH22" i="1"/>
  <c r="JF22" i="1"/>
  <c r="JE22" i="1"/>
  <c r="JC22" i="1"/>
  <c r="JB22" i="1"/>
  <c r="IZ22" i="1"/>
  <c r="IY22" i="1"/>
  <c r="IW22" i="1"/>
  <c r="IV22" i="1"/>
  <c r="IT22" i="1"/>
  <c r="IS22" i="1"/>
  <c r="IQ22" i="1"/>
  <c r="IP22" i="1"/>
  <c r="IN22" i="1"/>
  <c r="IM22" i="1"/>
  <c r="IK22" i="1"/>
  <c r="IJ22" i="1"/>
  <c r="IH22" i="1"/>
  <c r="IG22" i="1"/>
  <c r="IE22" i="1"/>
  <c r="ID22" i="1"/>
  <c r="IB22" i="1"/>
  <c r="IA22" i="1"/>
  <c r="HY22" i="1"/>
  <c r="HX22" i="1"/>
  <c r="HV22" i="1"/>
  <c r="HU22" i="1"/>
  <c r="HS22" i="1"/>
  <c r="HR22" i="1"/>
  <c r="HP22" i="1"/>
  <c r="HO22" i="1"/>
  <c r="HM22" i="1"/>
  <c r="HL22" i="1"/>
  <c r="HJ22" i="1"/>
  <c r="HI22" i="1"/>
  <c r="HG22" i="1"/>
  <c r="HF22" i="1"/>
  <c r="HD22" i="1"/>
  <c r="HC22" i="1"/>
  <c r="HA22" i="1"/>
  <c r="GZ22" i="1"/>
  <c r="GX22" i="1"/>
  <c r="GW22" i="1"/>
  <c r="GU22" i="1"/>
  <c r="GT22" i="1"/>
  <c r="GR22" i="1"/>
  <c r="GQ22" i="1"/>
  <c r="GO22" i="1"/>
  <c r="GN22" i="1"/>
  <c r="GL22" i="1"/>
  <c r="GK22" i="1"/>
  <c r="GI22" i="1"/>
  <c r="GH22" i="1"/>
  <c r="GF22" i="1"/>
  <c r="GE22" i="1"/>
  <c r="GC22" i="1"/>
  <c r="GB22" i="1"/>
  <c r="FZ22" i="1"/>
  <c r="FY22" i="1"/>
  <c r="FW22" i="1"/>
  <c r="FV22" i="1"/>
  <c r="FT22" i="1"/>
  <c r="FS22" i="1"/>
  <c r="FQ22" i="1"/>
  <c r="FP22" i="1"/>
  <c r="FN22" i="1"/>
  <c r="FM22" i="1"/>
  <c r="FK22" i="1"/>
  <c r="FJ22" i="1"/>
  <c r="FH22" i="1"/>
  <c r="FG22" i="1"/>
  <c r="FE22" i="1"/>
  <c r="FD22" i="1"/>
  <c r="FB22" i="1"/>
  <c r="FA22" i="1"/>
  <c r="EY22" i="1"/>
  <c r="EX22" i="1"/>
  <c r="EV22" i="1"/>
  <c r="EU22" i="1"/>
  <c r="ES22" i="1"/>
  <c r="ER22" i="1"/>
  <c r="EP22" i="1"/>
  <c r="EO22" i="1"/>
  <c r="EM22" i="1"/>
  <c r="EL22" i="1"/>
  <c r="EJ22" i="1"/>
  <c r="EI22" i="1"/>
  <c r="EG22" i="1"/>
  <c r="EF22" i="1"/>
  <c r="ED22" i="1"/>
  <c r="EC22" i="1"/>
  <c r="EA22" i="1"/>
  <c r="DZ22" i="1"/>
  <c r="DX22" i="1"/>
  <c r="DW22" i="1"/>
  <c r="DU22" i="1"/>
  <c r="DT22" i="1"/>
  <c r="DR22" i="1"/>
  <c r="DQ22" i="1"/>
  <c r="DO22" i="1"/>
  <c r="DN22" i="1"/>
  <c r="DL22" i="1"/>
  <c r="DK22" i="1"/>
  <c r="DI22" i="1"/>
  <c r="DH22" i="1"/>
  <c r="DF22" i="1"/>
  <c r="DE22" i="1"/>
  <c r="DC22" i="1"/>
  <c r="DB22" i="1"/>
  <c r="CZ22" i="1"/>
  <c r="CY22" i="1"/>
  <c r="CW22" i="1"/>
  <c r="CV22" i="1"/>
  <c r="CT22" i="1"/>
  <c r="CS22" i="1"/>
  <c r="CQ22" i="1"/>
  <c r="CP22" i="1"/>
  <c r="CN22" i="1"/>
  <c r="CM22" i="1"/>
  <c r="CK22" i="1"/>
  <c r="CJ22" i="1"/>
  <c r="CH22" i="1"/>
  <c r="CG22" i="1"/>
  <c r="CE22" i="1"/>
  <c r="CD22" i="1"/>
  <c r="CB22" i="1"/>
  <c r="CA22" i="1"/>
  <c r="BY22" i="1"/>
  <c r="BX22" i="1"/>
  <c r="BV22" i="1"/>
  <c r="BU22" i="1"/>
  <c r="BS22" i="1"/>
  <c r="BR22" i="1"/>
  <c r="BP22" i="1"/>
  <c r="BO22" i="1"/>
  <c r="BM22" i="1"/>
  <c r="BL22" i="1"/>
  <c r="BJ22" i="1"/>
  <c r="BI22" i="1"/>
  <c r="BG22" i="1"/>
  <c r="BF22" i="1"/>
  <c r="BD22" i="1"/>
  <c r="BC22" i="1"/>
  <c r="BA22" i="1"/>
  <c r="AZ22" i="1"/>
  <c r="AX22" i="1"/>
  <c r="AW22" i="1"/>
  <c r="AU22" i="1"/>
  <c r="AT22" i="1"/>
  <c r="AR22" i="1"/>
  <c r="AQ22" i="1"/>
  <c r="AO22" i="1"/>
  <c r="AN22" i="1"/>
  <c r="AL22" i="1"/>
  <c r="AK22" i="1"/>
  <c r="AI22" i="1"/>
  <c r="AH22" i="1"/>
  <c r="AF22" i="1"/>
  <c r="AE22" i="1"/>
  <c r="AC22" i="1"/>
  <c r="AB22" i="1"/>
  <c r="Z22" i="1"/>
  <c r="Y22" i="1"/>
  <c r="W22" i="1"/>
  <c r="V22" i="1"/>
  <c r="T22" i="1"/>
  <c r="S22" i="1"/>
  <c r="Q22" i="1"/>
  <c r="P22" i="1"/>
  <c r="N22" i="1"/>
  <c r="M22" i="1"/>
  <c r="K22" i="1"/>
  <c r="J22" i="1"/>
  <c r="H22" i="1"/>
  <c r="G22" i="1"/>
  <c r="E22" i="1"/>
  <c r="D22" i="1"/>
  <c r="C22" i="1"/>
  <c r="B22" i="1"/>
  <c r="A22" i="1"/>
  <c r="KV21" i="1"/>
  <c r="KU21" i="1"/>
  <c r="KT21" i="1"/>
  <c r="KS21" i="1"/>
  <c r="KR21" i="1"/>
  <c r="KP21" i="1"/>
  <c r="KO21" i="1"/>
  <c r="KM21" i="1"/>
  <c r="KL21" i="1"/>
  <c r="KJ21" i="1"/>
  <c r="KI21" i="1"/>
  <c r="KG21" i="1"/>
  <c r="KF21" i="1"/>
  <c r="KD21" i="1"/>
  <c r="KC21" i="1"/>
  <c r="KA21" i="1"/>
  <c r="JZ21" i="1"/>
  <c r="JX21" i="1"/>
  <c r="JW21" i="1"/>
  <c r="JU21" i="1"/>
  <c r="JT21" i="1"/>
  <c r="JR21" i="1"/>
  <c r="JQ21" i="1"/>
  <c r="JO21" i="1"/>
  <c r="JN21" i="1"/>
  <c r="JL21" i="1"/>
  <c r="JK21" i="1"/>
  <c r="JI21" i="1"/>
  <c r="JH21" i="1"/>
  <c r="JF21" i="1"/>
  <c r="JE21" i="1"/>
  <c r="JC21" i="1"/>
  <c r="JB21" i="1"/>
  <c r="IZ21" i="1"/>
  <c r="IY21" i="1"/>
  <c r="IW21" i="1"/>
  <c r="IV21" i="1"/>
  <c r="IT21" i="1"/>
  <c r="IS21" i="1"/>
  <c r="IQ21" i="1"/>
  <c r="IP21" i="1"/>
  <c r="IN21" i="1"/>
  <c r="IM21" i="1"/>
  <c r="IK21" i="1"/>
  <c r="IJ21" i="1"/>
  <c r="IH21" i="1"/>
  <c r="IG21" i="1"/>
  <c r="IE21" i="1"/>
  <c r="ID21" i="1"/>
  <c r="IB21" i="1"/>
  <c r="IA21" i="1"/>
  <c r="HY21" i="1"/>
  <c r="HX21" i="1"/>
  <c r="HV21" i="1"/>
  <c r="HU21" i="1"/>
  <c r="HS21" i="1"/>
  <c r="HR21" i="1"/>
  <c r="HP21" i="1"/>
  <c r="HO21" i="1"/>
  <c r="HM21" i="1"/>
  <c r="HL21" i="1"/>
  <c r="HJ21" i="1"/>
  <c r="HI21" i="1"/>
  <c r="HG21" i="1"/>
  <c r="HF21" i="1"/>
  <c r="HD21" i="1"/>
  <c r="HC21" i="1"/>
  <c r="HA21" i="1"/>
  <c r="GZ21" i="1"/>
  <c r="GX21" i="1"/>
  <c r="GW21" i="1"/>
  <c r="GU21" i="1"/>
  <c r="GT21" i="1"/>
  <c r="GR21" i="1"/>
  <c r="GQ21" i="1"/>
  <c r="GO21" i="1"/>
  <c r="GN21" i="1"/>
  <c r="GL21" i="1"/>
  <c r="GK21" i="1"/>
  <c r="GI21" i="1"/>
  <c r="GH21" i="1"/>
  <c r="GF21" i="1"/>
  <c r="GE21" i="1"/>
  <c r="GC21" i="1"/>
  <c r="GB21" i="1"/>
  <c r="FZ21" i="1"/>
  <c r="FY21" i="1"/>
  <c r="FW21" i="1"/>
  <c r="FV21" i="1"/>
  <c r="FT21" i="1"/>
  <c r="FS21" i="1"/>
  <c r="FQ21" i="1"/>
  <c r="FP21" i="1"/>
  <c r="FN21" i="1"/>
  <c r="FM21" i="1"/>
  <c r="FK21" i="1"/>
  <c r="FJ21" i="1"/>
  <c r="FH21" i="1"/>
  <c r="FG21" i="1"/>
  <c r="FE21" i="1"/>
  <c r="FD21" i="1"/>
  <c r="FB21" i="1"/>
  <c r="FA21" i="1"/>
  <c r="EY21" i="1"/>
  <c r="EX21" i="1"/>
  <c r="EV21" i="1"/>
  <c r="EU21" i="1"/>
  <c r="ES21" i="1"/>
  <c r="ER21" i="1"/>
  <c r="EP21" i="1"/>
  <c r="EO21" i="1"/>
  <c r="EM21" i="1"/>
  <c r="EL21" i="1"/>
  <c r="EJ21" i="1"/>
  <c r="EI21" i="1"/>
  <c r="EG21" i="1"/>
  <c r="EF21" i="1"/>
  <c r="ED21" i="1"/>
  <c r="EC21" i="1"/>
  <c r="EA21" i="1"/>
  <c r="DZ21" i="1"/>
  <c r="DX21" i="1"/>
  <c r="DW21" i="1"/>
  <c r="DU21" i="1"/>
  <c r="DT21" i="1"/>
  <c r="DR21" i="1"/>
  <c r="DQ21" i="1"/>
  <c r="DO21" i="1"/>
  <c r="DN21" i="1"/>
  <c r="DL21" i="1"/>
  <c r="DK21" i="1"/>
  <c r="DI21" i="1"/>
  <c r="DH21" i="1"/>
  <c r="DF21" i="1"/>
  <c r="DE21" i="1"/>
  <c r="DC21" i="1"/>
  <c r="DB21" i="1"/>
  <c r="CZ21" i="1"/>
  <c r="CY21" i="1"/>
  <c r="CW21" i="1"/>
  <c r="CV21" i="1"/>
  <c r="CT21" i="1"/>
  <c r="CS21" i="1"/>
  <c r="CQ21" i="1"/>
  <c r="CP21" i="1"/>
  <c r="CN21" i="1"/>
  <c r="CM21" i="1"/>
  <c r="CK21" i="1"/>
  <c r="CJ21" i="1"/>
  <c r="CH21" i="1"/>
  <c r="CG21" i="1"/>
  <c r="CE21" i="1"/>
  <c r="CD21" i="1"/>
  <c r="CB21" i="1"/>
  <c r="CA21" i="1"/>
  <c r="BY21" i="1"/>
  <c r="BX21" i="1"/>
  <c r="BV21" i="1"/>
  <c r="BU21" i="1"/>
  <c r="BS21" i="1"/>
  <c r="BR21" i="1"/>
  <c r="BP21" i="1"/>
  <c r="BO21" i="1"/>
  <c r="BM21" i="1"/>
  <c r="BL21" i="1"/>
  <c r="BJ21" i="1"/>
  <c r="BI21" i="1"/>
  <c r="BG21" i="1"/>
  <c r="BF21" i="1"/>
  <c r="BD21" i="1"/>
  <c r="BC21" i="1"/>
  <c r="BA21" i="1"/>
  <c r="AZ21" i="1"/>
  <c r="AX21" i="1"/>
  <c r="AW21" i="1"/>
  <c r="AU21" i="1"/>
  <c r="AT21" i="1"/>
  <c r="AR21" i="1"/>
  <c r="AQ21" i="1"/>
  <c r="AO21" i="1"/>
  <c r="AN21" i="1"/>
  <c r="AL21" i="1"/>
  <c r="AK21" i="1"/>
  <c r="AI21" i="1"/>
  <c r="AH21" i="1"/>
  <c r="AF21" i="1"/>
  <c r="AE21" i="1"/>
  <c r="AC21" i="1"/>
  <c r="AB21" i="1"/>
  <c r="Z21" i="1"/>
  <c r="Y21" i="1"/>
  <c r="W21" i="1"/>
  <c r="V21" i="1"/>
  <c r="T21" i="1"/>
  <c r="S21" i="1"/>
  <c r="Q21" i="1"/>
  <c r="P21" i="1"/>
  <c r="N21" i="1"/>
  <c r="M21" i="1"/>
  <c r="K21" i="1"/>
  <c r="J21" i="1"/>
  <c r="H21" i="1"/>
  <c r="G21" i="1"/>
  <c r="E21" i="1"/>
  <c r="D21" i="1"/>
  <c r="C21" i="1"/>
  <c r="B21" i="1"/>
  <c r="A21" i="1"/>
  <c r="KV20" i="1"/>
  <c r="KU20" i="1"/>
  <c r="KT20" i="1"/>
  <c r="KS20" i="1"/>
  <c r="KR20" i="1"/>
  <c r="KP20" i="1"/>
  <c r="KO20" i="1"/>
  <c r="KM20" i="1"/>
  <c r="KL20" i="1"/>
  <c r="KJ20" i="1"/>
  <c r="KI20" i="1"/>
  <c r="KG20" i="1"/>
  <c r="KF20" i="1"/>
  <c r="KD20" i="1"/>
  <c r="KC20" i="1"/>
  <c r="KA20" i="1"/>
  <c r="JZ20" i="1"/>
  <c r="JX20" i="1"/>
  <c r="JW20" i="1"/>
  <c r="JU20" i="1"/>
  <c r="JT20" i="1"/>
  <c r="JR20" i="1"/>
  <c r="JQ20" i="1"/>
  <c r="JO20" i="1"/>
  <c r="JN20" i="1"/>
  <c r="JL20" i="1"/>
  <c r="JK20" i="1"/>
  <c r="JI20" i="1"/>
  <c r="JH20" i="1"/>
  <c r="JF20" i="1"/>
  <c r="JE20" i="1"/>
  <c r="JC20" i="1"/>
  <c r="JB20" i="1"/>
  <c r="IZ20" i="1"/>
  <c r="IY20" i="1"/>
  <c r="IW20" i="1"/>
  <c r="IV20" i="1"/>
  <c r="IT20" i="1"/>
  <c r="IS20" i="1"/>
  <c r="IQ20" i="1"/>
  <c r="IP20" i="1"/>
  <c r="IN20" i="1"/>
  <c r="IM20" i="1"/>
  <c r="IK20" i="1"/>
  <c r="IJ20" i="1"/>
  <c r="IH20" i="1"/>
  <c r="IG20" i="1"/>
  <c r="IE20" i="1"/>
  <c r="ID20" i="1"/>
  <c r="IB20" i="1"/>
  <c r="IA20" i="1"/>
  <c r="HY20" i="1"/>
  <c r="HX20" i="1"/>
  <c r="HV20" i="1"/>
  <c r="HU20" i="1"/>
  <c r="HS20" i="1"/>
  <c r="HR20" i="1"/>
  <c r="HP20" i="1"/>
  <c r="HO20" i="1"/>
  <c r="HM20" i="1"/>
  <c r="HL20" i="1"/>
  <c r="HJ20" i="1"/>
  <c r="HI20" i="1"/>
  <c r="HG20" i="1"/>
  <c r="HF20" i="1"/>
  <c r="HD20" i="1"/>
  <c r="HC20" i="1"/>
  <c r="HA20" i="1"/>
  <c r="GZ20" i="1"/>
  <c r="GX20" i="1"/>
  <c r="GW20" i="1"/>
  <c r="GU20" i="1"/>
  <c r="GT20" i="1"/>
  <c r="GR20" i="1"/>
  <c r="GQ20" i="1"/>
  <c r="GO20" i="1"/>
  <c r="GN20" i="1"/>
  <c r="GL20" i="1"/>
  <c r="GK20" i="1"/>
  <c r="GI20" i="1"/>
  <c r="GH20" i="1"/>
  <c r="GF20" i="1"/>
  <c r="GE20" i="1"/>
  <c r="GC20" i="1"/>
  <c r="GB20" i="1"/>
  <c r="FZ20" i="1"/>
  <c r="FY20" i="1"/>
  <c r="FW20" i="1"/>
  <c r="FV20" i="1"/>
  <c r="FT20" i="1"/>
  <c r="FS20" i="1"/>
  <c r="FQ20" i="1"/>
  <c r="FP20" i="1"/>
  <c r="FN20" i="1"/>
  <c r="FM20" i="1"/>
  <c r="FK20" i="1"/>
  <c r="FJ20" i="1"/>
  <c r="FH20" i="1"/>
  <c r="FG20" i="1"/>
  <c r="FE20" i="1"/>
  <c r="FD20" i="1"/>
  <c r="FB20" i="1"/>
  <c r="FA20" i="1"/>
  <c r="EY20" i="1"/>
  <c r="EX20" i="1"/>
  <c r="EV20" i="1"/>
  <c r="EU20" i="1"/>
  <c r="ES20" i="1"/>
  <c r="ER20" i="1"/>
  <c r="EP20" i="1"/>
  <c r="EO20" i="1"/>
  <c r="EM20" i="1"/>
  <c r="EL20" i="1"/>
  <c r="EJ20" i="1"/>
  <c r="EI20" i="1"/>
  <c r="EG20" i="1"/>
  <c r="EF20" i="1"/>
  <c r="ED20" i="1"/>
  <c r="EC20" i="1"/>
  <c r="EA20" i="1"/>
  <c r="DZ20" i="1"/>
  <c r="DX20" i="1"/>
  <c r="DW20" i="1"/>
  <c r="DU20" i="1"/>
  <c r="DT20" i="1"/>
  <c r="DR20" i="1"/>
  <c r="DQ20" i="1"/>
  <c r="DO20" i="1"/>
  <c r="DN20" i="1"/>
  <c r="DL20" i="1"/>
  <c r="DK20" i="1"/>
  <c r="DI20" i="1"/>
  <c r="DH20" i="1"/>
  <c r="DF20" i="1"/>
  <c r="DE20" i="1"/>
  <c r="DC20" i="1"/>
  <c r="DB20" i="1"/>
  <c r="CZ20" i="1"/>
  <c r="CY20" i="1"/>
  <c r="CW20" i="1"/>
  <c r="CV20" i="1"/>
  <c r="CT20" i="1"/>
  <c r="CS20" i="1"/>
  <c r="CQ20" i="1"/>
  <c r="CP20" i="1"/>
  <c r="CN20" i="1"/>
  <c r="CM20" i="1"/>
  <c r="CK20" i="1"/>
  <c r="CJ20" i="1"/>
  <c r="CH20" i="1"/>
  <c r="CG20" i="1"/>
  <c r="CE20" i="1"/>
  <c r="CD20" i="1"/>
  <c r="CB20" i="1"/>
  <c r="CA20" i="1"/>
  <c r="BY20" i="1"/>
  <c r="BX20" i="1"/>
  <c r="BV20" i="1"/>
  <c r="BU20" i="1"/>
  <c r="BS20" i="1"/>
  <c r="BR20" i="1"/>
  <c r="BP20" i="1"/>
  <c r="BO20" i="1"/>
  <c r="BM20" i="1"/>
  <c r="BL20" i="1"/>
  <c r="BJ20" i="1"/>
  <c r="BI20" i="1"/>
  <c r="BG20" i="1"/>
  <c r="BF20" i="1"/>
  <c r="BD20" i="1"/>
  <c r="BC20" i="1"/>
  <c r="BA20" i="1"/>
  <c r="AZ20" i="1"/>
  <c r="AX20" i="1"/>
  <c r="AW20" i="1"/>
  <c r="AU20" i="1"/>
  <c r="AT20" i="1"/>
  <c r="AR20" i="1"/>
  <c r="AQ20" i="1"/>
  <c r="AO20" i="1"/>
  <c r="AN20" i="1"/>
  <c r="AL20" i="1"/>
  <c r="AK20" i="1"/>
  <c r="AI20" i="1"/>
  <c r="AH20" i="1"/>
  <c r="AF20" i="1"/>
  <c r="AE20" i="1"/>
  <c r="AC20" i="1"/>
  <c r="AB20" i="1"/>
  <c r="Z20" i="1"/>
  <c r="Y20" i="1"/>
  <c r="W20" i="1"/>
  <c r="V20" i="1"/>
  <c r="T20" i="1"/>
  <c r="S20" i="1"/>
  <c r="Q20" i="1"/>
  <c r="P20" i="1"/>
  <c r="N20" i="1"/>
  <c r="M20" i="1"/>
  <c r="K20" i="1"/>
  <c r="J20" i="1"/>
  <c r="H20" i="1"/>
  <c r="G20" i="1"/>
  <c r="E20" i="1"/>
  <c r="D20" i="1"/>
  <c r="C20" i="1"/>
  <c r="B20" i="1"/>
  <c r="A20" i="1"/>
  <c r="KV19" i="1"/>
  <c r="KU19" i="1"/>
  <c r="KT19" i="1"/>
  <c r="KS19" i="1"/>
  <c r="KR19" i="1"/>
  <c r="KP19" i="1"/>
  <c r="KO19" i="1"/>
  <c r="KM19" i="1"/>
  <c r="KL19" i="1"/>
  <c r="KJ19" i="1"/>
  <c r="KI19" i="1"/>
  <c r="KG19" i="1"/>
  <c r="KF19" i="1"/>
  <c r="KD19" i="1"/>
  <c r="KC19" i="1"/>
  <c r="KA19" i="1"/>
  <c r="JZ19" i="1"/>
  <c r="JX19" i="1"/>
  <c r="JW19" i="1"/>
  <c r="JU19" i="1"/>
  <c r="JT19" i="1"/>
  <c r="JR19" i="1"/>
  <c r="JQ19" i="1"/>
  <c r="JO19" i="1"/>
  <c r="JN19" i="1"/>
  <c r="JL19" i="1"/>
  <c r="JK19" i="1"/>
  <c r="JI19" i="1"/>
  <c r="JH19" i="1"/>
  <c r="JF19" i="1"/>
  <c r="JE19" i="1"/>
  <c r="JC19" i="1"/>
  <c r="JB19" i="1"/>
  <c r="IZ19" i="1"/>
  <c r="IY19" i="1"/>
  <c r="IW19" i="1"/>
  <c r="IV19" i="1"/>
  <c r="IT19" i="1"/>
  <c r="IS19" i="1"/>
  <c r="IQ19" i="1"/>
  <c r="IP19" i="1"/>
  <c r="IN19" i="1"/>
  <c r="IM19" i="1"/>
  <c r="IK19" i="1"/>
  <c r="IJ19" i="1"/>
  <c r="IH19" i="1"/>
  <c r="IG19" i="1"/>
  <c r="IE19" i="1"/>
  <c r="ID19" i="1"/>
  <c r="IB19" i="1"/>
  <c r="IA19" i="1"/>
  <c r="HY19" i="1"/>
  <c r="HX19" i="1"/>
  <c r="HV19" i="1"/>
  <c r="HU19" i="1"/>
  <c r="HS19" i="1"/>
  <c r="HR19" i="1"/>
  <c r="HP19" i="1"/>
  <c r="HO19" i="1"/>
  <c r="HM19" i="1"/>
  <c r="HL19" i="1"/>
  <c r="HJ19" i="1"/>
  <c r="HI19" i="1"/>
  <c r="HG19" i="1"/>
  <c r="HF19" i="1"/>
  <c r="HD19" i="1"/>
  <c r="HC19" i="1"/>
  <c r="HA19" i="1"/>
  <c r="GZ19" i="1"/>
  <c r="GX19" i="1"/>
  <c r="GW19" i="1"/>
  <c r="GU19" i="1"/>
  <c r="GT19" i="1"/>
  <c r="GR19" i="1"/>
  <c r="GQ19" i="1"/>
  <c r="GO19" i="1"/>
  <c r="GN19" i="1"/>
  <c r="GL19" i="1"/>
  <c r="GK19" i="1"/>
  <c r="GI19" i="1"/>
  <c r="GH19" i="1"/>
  <c r="GF19" i="1"/>
  <c r="GE19" i="1"/>
  <c r="GC19" i="1"/>
  <c r="GB19" i="1"/>
  <c r="FZ19" i="1"/>
  <c r="FY19" i="1"/>
  <c r="FW19" i="1"/>
  <c r="FV19" i="1"/>
  <c r="FT19" i="1"/>
  <c r="FS19" i="1"/>
  <c r="FQ19" i="1"/>
  <c r="FP19" i="1"/>
  <c r="FN19" i="1"/>
  <c r="FM19" i="1"/>
  <c r="FK19" i="1"/>
  <c r="FJ19" i="1"/>
  <c r="FH19" i="1"/>
  <c r="FG19" i="1"/>
  <c r="FE19" i="1"/>
  <c r="FD19" i="1"/>
  <c r="FB19" i="1"/>
  <c r="FA19" i="1"/>
  <c r="EY19" i="1"/>
  <c r="EX19" i="1"/>
  <c r="EV19" i="1"/>
  <c r="EU19" i="1"/>
  <c r="ES19" i="1"/>
  <c r="ER19" i="1"/>
  <c r="EP19" i="1"/>
  <c r="EO19" i="1"/>
  <c r="EM19" i="1"/>
  <c r="EL19" i="1"/>
  <c r="EJ19" i="1"/>
  <c r="EI19" i="1"/>
  <c r="EG19" i="1"/>
  <c r="EF19" i="1"/>
  <c r="ED19" i="1"/>
  <c r="EC19" i="1"/>
  <c r="EA19" i="1"/>
  <c r="DZ19" i="1"/>
  <c r="DX19" i="1"/>
  <c r="DW19" i="1"/>
  <c r="DU19" i="1"/>
  <c r="DT19" i="1"/>
  <c r="DR19" i="1"/>
  <c r="DQ19" i="1"/>
  <c r="DO19" i="1"/>
  <c r="DN19" i="1"/>
  <c r="DL19" i="1"/>
  <c r="DK19" i="1"/>
  <c r="DI19" i="1"/>
  <c r="DH19" i="1"/>
  <c r="DF19" i="1"/>
  <c r="DE19" i="1"/>
  <c r="DC19" i="1"/>
  <c r="DB19" i="1"/>
  <c r="CZ19" i="1"/>
  <c r="CY19" i="1"/>
  <c r="CW19" i="1"/>
  <c r="CV19" i="1"/>
  <c r="CT19" i="1"/>
  <c r="CS19" i="1"/>
  <c r="CQ19" i="1"/>
  <c r="CP19" i="1"/>
  <c r="CN19" i="1"/>
  <c r="CM19" i="1"/>
  <c r="CK19" i="1"/>
  <c r="CJ19" i="1"/>
  <c r="CH19" i="1"/>
  <c r="CG19" i="1"/>
  <c r="CE19" i="1"/>
  <c r="CD19" i="1"/>
  <c r="CB19" i="1"/>
  <c r="CA19" i="1"/>
  <c r="BY19" i="1"/>
  <c r="BX19" i="1"/>
  <c r="BV19" i="1"/>
  <c r="BU19" i="1"/>
  <c r="BS19" i="1"/>
  <c r="BR19" i="1"/>
  <c r="BP19" i="1"/>
  <c r="BO19" i="1"/>
  <c r="BM19" i="1"/>
  <c r="BL19" i="1"/>
  <c r="BJ19" i="1"/>
  <c r="BI19" i="1"/>
  <c r="BG19" i="1"/>
  <c r="BF19" i="1"/>
  <c r="BD19" i="1"/>
  <c r="BC19" i="1"/>
  <c r="BA19" i="1"/>
  <c r="AZ19" i="1"/>
  <c r="AX19" i="1"/>
  <c r="AW19" i="1"/>
  <c r="AU19" i="1"/>
  <c r="AT19" i="1"/>
  <c r="AR19" i="1"/>
  <c r="AQ19" i="1"/>
  <c r="AO19" i="1"/>
  <c r="AN19" i="1"/>
  <c r="AL19" i="1"/>
  <c r="AK19" i="1"/>
  <c r="AI19" i="1"/>
  <c r="AH19" i="1"/>
  <c r="AF19" i="1"/>
  <c r="AE19" i="1"/>
  <c r="AC19" i="1"/>
  <c r="AB19" i="1"/>
  <c r="Z19" i="1"/>
  <c r="Y19" i="1"/>
  <c r="W19" i="1"/>
  <c r="V19" i="1"/>
  <c r="T19" i="1"/>
  <c r="S19" i="1"/>
  <c r="Q19" i="1"/>
  <c r="P19" i="1"/>
  <c r="N19" i="1"/>
  <c r="M19" i="1"/>
  <c r="K19" i="1"/>
  <c r="J19" i="1"/>
  <c r="H19" i="1"/>
  <c r="G19" i="1"/>
  <c r="E19" i="1"/>
  <c r="D19" i="1"/>
  <c r="C19" i="1"/>
  <c r="B19" i="1"/>
  <c r="A19" i="1"/>
  <c r="KV18" i="1"/>
  <c r="KU18" i="1"/>
  <c r="KT18" i="1"/>
  <c r="KS18" i="1"/>
  <c r="KR18" i="1"/>
  <c r="KP18" i="1"/>
  <c r="KO18" i="1"/>
  <c r="KM18" i="1"/>
  <c r="KL18" i="1"/>
  <c r="KJ18" i="1"/>
  <c r="KI18" i="1"/>
  <c r="KG18" i="1"/>
  <c r="KF18" i="1"/>
  <c r="KD18" i="1"/>
  <c r="KC18" i="1"/>
  <c r="KA18" i="1"/>
  <c r="JZ18" i="1"/>
  <c r="JX18" i="1"/>
  <c r="JW18" i="1"/>
  <c r="JU18" i="1"/>
  <c r="JT18" i="1"/>
  <c r="JR18" i="1"/>
  <c r="JQ18" i="1"/>
  <c r="JO18" i="1"/>
  <c r="JN18" i="1"/>
  <c r="JL18" i="1"/>
  <c r="JK18" i="1"/>
  <c r="JI18" i="1"/>
  <c r="JH18" i="1"/>
  <c r="JF18" i="1"/>
  <c r="JE18" i="1"/>
  <c r="JC18" i="1"/>
  <c r="JB18" i="1"/>
  <c r="IZ18" i="1"/>
  <c r="IY18" i="1"/>
  <c r="IW18" i="1"/>
  <c r="IV18" i="1"/>
  <c r="IT18" i="1"/>
  <c r="IS18" i="1"/>
  <c r="IQ18" i="1"/>
  <c r="IP18" i="1"/>
  <c r="IN18" i="1"/>
  <c r="IM18" i="1"/>
  <c r="IK18" i="1"/>
  <c r="IJ18" i="1"/>
  <c r="IH18" i="1"/>
  <c r="IG18" i="1"/>
  <c r="IE18" i="1"/>
  <c r="ID18" i="1"/>
  <c r="IB18" i="1"/>
  <c r="IA18" i="1"/>
  <c r="HY18" i="1"/>
  <c r="HX18" i="1"/>
  <c r="HV18" i="1"/>
  <c r="HU18" i="1"/>
  <c r="HS18" i="1"/>
  <c r="HR18" i="1"/>
  <c r="HP18" i="1"/>
  <c r="HO18" i="1"/>
  <c r="HM18" i="1"/>
  <c r="HL18" i="1"/>
  <c r="HJ18" i="1"/>
  <c r="HI18" i="1"/>
  <c r="HG18" i="1"/>
  <c r="HF18" i="1"/>
  <c r="HD18" i="1"/>
  <c r="HC18" i="1"/>
  <c r="HA18" i="1"/>
  <c r="GZ18" i="1"/>
  <c r="GX18" i="1"/>
  <c r="GW18" i="1"/>
  <c r="GU18" i="1"/>
  <c r="GT18" i="1"/>
  <c r="GR18" i="1"/>
  <c r="GQ18" i="1"/>
  <c r="GO18" i="1"/>
  <c r="GN18" i="1"/>
  <c r="GL18" i="1"/>
  <c r="GK18" i="1"/>
  <c r="GI18" i="1"/>
  <c r="GH18" i="1"/>
  <c r="GF18" i="1"/>
  <c r="GE18" i="1"/>
  <c r="GC18" i="1"/>
  <c r="GB18" i="1"/>
  <c r="FZ18" i="1"/>
  <c r="FY18" i="1"/>
  <c r="FW18" i="1"/>
  <c r="FV18" i="1"/>
  <c r="FT18" i="1"/>
  <c r="FS18" i="1"/>
  <c r="FQ18" i="1"/>
  <c r="FP18" i="1"/>
  <c r="FN18" i="1"/>
  <c r="FM18" i="1"/>
  <c r="FK18" i="1"/>
  <c r="FJ18" i="1"/>
  <c r="FH18" i="1"/>
  <c r="FG18" i="1"/>
  <c r="FE18" i="1"/>
  <c r="FD18" i="1"/>
  <c r="FB18" i="1"/>
  <c r="FA18" i="1"/>
  <c r="EY18" i="1"/>
  <c r="EX18" i="1"/>
  <c r="EV18" i="1"/>
  <c r="EU18" i="1"/>
  <c r="ES18" i="1"/>
  <c r="ER18" i="1"/>
  <c r="EP18" i="1"/>
  <c r="EO18" i="1"/>
  <c r="EM18" i="1"/>
  <c r="EL18" i="1"/>
  <c r="EJ18" i="1"/>
  <c r="EI18" i="1"/>
  <c r="EG18" i="1"/>
  <c r="EF18" i="1"/>
  <c r="ED18" i="1"/>
  <c r="EC18" i="1"/>
  <c r="EA18" i="1"/>
  <c r="DZ18" i="1"/>
  <c r="DX18" i="1"/>
  <c r="DW18" i="1"/>
  <c r="DU18" i="1"/>
  <c r="DT18" i="1"/>
  <c r="DR18" i="1"/>
  <c r="DQ18" i="1"/>
  <c r="DO18" i="1"/>
  <c r="DN18" i="1"/>
  <c r="DL18" i="1"/>
  <c r="DK18" i="1"/>
  <c r="DI18" i="1"/>
  <c r="DH18" i="1"/>
  <c r="DF18" i="1"/>
  <c r="DE18" i="1"/>
  <c r="DC18" i="1"/>
  <c r="DB18" i="1"/>
  <c r="CZ18" i="1"/>
  <c r="CY18" i="1"/>
  <c r="CW18" i="1"/>
  <c r="CV18" i="1"/>
  <c r="CT18" i="1"/>
  <c r="CS18" i="1"/>
  <c r="CQ18" i="1"/>
  <c r="CP18" i="1"/>
  <c r="CN18" i="1"/>
  <c r="CM18" i="1"/>
  <c r="CK18" i="1"/>
  <c r="CJ18" i="1"/>
  <c r="CH18" i="1"/>
  <c r="CG18" i="1"/>
  <c r="CE18" i="1"/>
  <c r="CD18" i="1"/>
  <c r="CB18" i="1"/>
  <c r="CA18" i="1"/>
  <c r="BY18" i="1"/>
  <c r="BX18" i="1"/>
  <c r="BV18" i="1"/>
  <c r="BU18" i="1"/>
  <c r="BS18" i="1"/>
  <c r="BR18" i="1"/>
  <c r="BP18" i="1"/>
  <c r="BO18" i="1"/>
  <c r="BM18" i="1"/>
  <c r="BL18" i="1"/>
  <c r="BJ18" i="1"/>
  <c r="BI18" i="1"/>
  <c r="BG18" i="1"/>
  <c r="BF18" i="1"/>
  <c r="BD18" i="1"/>
  <c r="BC18" i="1"/>
  <c r="BA18" i="1"/>
  <c r="AZ18" i="1"/>
  <c r="AX18" i="1"/>
  <c r="AW18" i="1"/>
  <c r="AU18" i="1"/>
  <c r="AT18" i="1"/>
  <c r="AR18" i="1"/>
  <c r="AQ18" i="1"/>
  <c r="AO18" i="1"/>
  <c r="AN18" i="1"/>
  <c r="AL18" i="1"/>
  <c r="AK18" i="1"/>
  <c r="AI18" i="1"/>
  <c r="AH18" i="1"/>
  <c r="AF18" i="1"/>
  <c r="AE18" i="1"/>
  <c r="AC18" i="1"/>
  <c r="AB18" i="1"/>
  <c r="Z18" i="1"/>
  <c r="Y18" i="1"/>
  <c r="W18" i="1"/>
  <c r="V18" i="1"/>
  <c r="T18" i="1"/>
  <c r="S18" i="1"/>
  <c r="Q18" i="1"/>
  <c r="P18" i="1"/>
  <c r="N18" i="1"/>
  <c r="M18" i="1"/>
  <c r="K18" i="1"/>
  <c r="J18" i="1"/>
  <c r="H18" i="1"/>
  <c r="G18" i="1"/>
  <c r="E18" i="1"/>
  <c r="D18" i="1"/>
  <c r="C18" i="1"/>
  <c r="B18" i="1"/>
  <c r="A18" i="1"/>
  <c r="KV17" i="1"/>
  <c r="KU17" i="1"/>
  <c r="KT17" i="1"/>
  <c r="KS17" i="1"/>
  <c r="KR17" i="1"/>
  <c r="KP17" i="1"/>
  <c r="KO17" i="1"/>
  <c r="KM17" i="1"/>
  <c r="KL17" i="1"/>
  <c r="KJ17" i="1"/>
  <c r="KI17" i="1"/>
  <c r="KG17" i="1"/>
  <c r="KF17" i="1"/>
  <c r="KD17" i="1"/>
  <c r="KC17" i="1"/>
  <c r="KA17" i="1"/>
  <c r="JZ17" i="1"/>
  <c r="JX17" i="1"/>
  <c r="JW17" i="1"/>
  <c r="JU17" i="1"/>
  <c r="JT17" i="1"/>
  <c r="JR17" i="1"/>
  <c r="JQ17" i="1"/>
  <c r="JO17" i="1"/>
  <c r="JN17" i="1"/>
  <c r="JL17" i="1"/>
  <c r="JK17" i="1"/>
  <c r="JI17" i="1"/>
  <c r="JH17" i="1"/>
  <c r="JF17" i="1"/>
  <c r="JE17" i="1"/>
  <c r="JC17" i="1"/>
  <c r="JB17" i="1"/>
  <c r="IZ17" i="1"/>
  <c r="IY17" i="1"/>
  <c r="IW17" i="1"/>
  <c r="IV17" i="1"/>
  <c r="IT17" i="1"/>
  <c r="IS17" i="1"/>
  <c r="IQ17" i="1"/>
  <c r="IP17" i="1"/>
  <c r="IN17" i="1"/>
  <c r="IM17" i="1"/>
  <c r="IK17" i="1"/>
  <c r="IJ17" i="1"/>
  <c r="IH17" i="1"/>
  <c r="IG17" i="1"/>
  <c r="IE17" i="1"/>
  <c r="ID17" i="1"/>
  <c r="IB17" i="1"/>
  <c r="IA17" i="1"/>
  <c r="HY17" i="1"/>
  <c r="HX17" i="1"/>
  <c r="HV17" i="1"/>
  <c r="HU17" i="1"/>
  <c r="HS17" i="1"/>
  <c r="HR17" i="1"/>
  <c r="HP17" i="1"/>
  <c r="HO17" i="1"/>
  <c r="HM17" i="1"/>
  <c r="HL17" i="1"/>
  <c r="HJ17" i="1"/>
  <c r="HI17" i="1"/>
  <c r="HG17" i="1"/>
  <c r="HF17" i="1"/>
  <c r="HD17" i="1"/>
  <c r="HC17" i="1"/>
  <c r="HA17" i="1"/>
  <c r="GZ17" i="1"/>
  <c r="GX17" i="1"/>
  <c r="GW17" i="1"/>
  <c r="GU17" i="1"/>
  <c r="GT17" i="1"/>
  <c r="GR17" i="1"/>
  <c r="GQ17" i="1"/>
  <c r="GO17" i="1"/>
  <c r="GN17" i="1"/>
  <c r="GL17" i="1"/>
  <c r="GK17" i="1"/>
  <c r="GI17" i="1"/>
  <c r="GH17" i="1"/>
  <c r="GF17" i="1"/>
  <c r="GE17" i="1"/>
  <c r="GC17" i="1"/>
  <c r="GB17" i="1"/>
  <c r="FZ17" i="1"/>
  <c r="FY17" i="1"/>
  <c r="FW17" i="1"/>
  <c r="FV17" i="1"/>
  <c r="FT17" i="1"/>
  <c r="FS17" i="1"/>
  <c r="FQ17" i="1"/>
  <c r="FP17" i="1"/>
  <c r="FN17" i="1"/>
  <c r="FM17" i="1"/>
  <c r="FK17" i="1"/>
  <c r="FJ17" i="1"/>
  <c r="FH17" i="1"/>
  <c r="FG17" i="1"/>
  <c r="FE17" i="1"/>
  <c r="FD17" i="1"/>
  <c r="FB17" i="1"/>
  <c r="FA17" i="1"/>
  <c r="EY17" i="1"/>
  <c r="EX17" i="1"/>
  <c r="EV17" i="1"/>
  <c r="EU17" i="1"/>
  <c r="ES17" i="1"/>
  <c r="ER17" i="1"/>
  <c r="EP17" i="1"/>
  <c r="EO17" i="1"/>
  <c r="EM17" i="1"/>
  <c r="EL17" i="1"/>
  <c r="EJ17" i="1"/>
  <c r="EI17" i="1"/>
  <c r="EG17" i="1"/>
  <c r="EF17" i="1"/>
  <c r="ED17" i="1"/>
  <c r="EC17" i="1"/>
  <c r="EA17" i="1"/>
  <c r="DZ17" i="1"/>
  <c r="DX17" i="1"/>
  <c r="DW17" i="1"/>
  <c r="DU17" i="1"/>
  <c r="DT17" i="1"/>
  <c r="DR17" i="1"/>
  <c r="DQ17" i="1"/>
  <c r="DO17" i="1"/>
  <c r="DN17" i="1"/>
  <c r="DL17" i="1"/>
  <c r="DK17" i="1"/>
  <c r="DI17" i="1"/>
  <c r="DH17" i="1"/>
  <c r="DF17" i="1"/>
  <c r="DE17" i="1"/>
  <c r="DC17" i="1"/>
  <c r="DB17" i="1"/>
  <c r="CZ17" i="1"/>
  <c r="CY17" i="1"/>
  <c r="CW17" i="1"/>
  <c r="CV17" i="1"/>
  <c r="CT17" i="1"/>
  <c r="CS17" i="1"/>
  <c r="CQ17" i="1"/>
  <c r="CP17" i="1"/>
  <c r="CN17" i="1"/>
  <c r="CM17" i="1"/>
  <c r="CK17" i="1"/>
  <c r="CJ17" i="1"/>
  <c r="CH17" i="1"/>
  <c r="CG17" i="1"/>
  <c r="CE17" i="1"/>
  <c r="CD17" i="1"/>
  <c r="CB17" i="1"/>
  <c r="CA17" i="1"/>
  <c r="BY17" i="1"/>
  <c r="BX17" i="1"/>
  <c r="BV17" i="1"/>
  <c r="BU17" i="1"/>
  <c r="BS17" i="1"/>
  <c r="BR17" i="1"/>
  <c r="BP17" i="1"/>
  <c r="BO17" i="1"/>
  <c r="BM17" i="1"/>
  <c r="BL17" i="1"/>
  <c r="BJ17" i="1"/>
  <c r="BI17" i="1"/>
  <c r="BG17" i="1"/>
  <c r="BF17" i="1"/>
  <c r="BD17" i="1"/>
  <c r="BC17" i="1"/>
  <c r="BA17" i="1"/>
  <c r="AZ17" i="1"/>
  <c r="AX17" i="1"/>
  <c r="AW17" i="1"/>
  <c r="AU17" i="1"/>
  <c r="AT17" i="1"/>
  <c r="AR17" i="1"/>
  <c r="AQ17" i="1"/>
  <c r="AO17" i="1"/>
  <c r="AN17" i="1"/>
  <c r="AL17" i="1"/>
  <c r="AK17" i="1"/>
  <c r="AI17" i="1"/>
  <c r="AH17" i="1"/>
  <c r="AF17" i="1"/>
  <c r="AE17" i="1"/>
  <c r="AC17" i="1"/>
  <c r="AB17" i="1"/>
  <c r="Z17" i="1"/>
  <c r="Y17" i="1"/>
  <c r="W17" i="1"/>
  <c r="V17" i="1"/>
  <c r="T17" i="1"/>
  <c r="S17" i="1"/>
  <c r="Q17" i="1"/>
  <c r="P17" i="1"/>
  <c r="N17" i="1"/>
  <c r="M17" i="1"/>
  <c r="K17" i="1"/>
  <c r="J17" i="1"/>
  <c r="H17" i="1"/>
  <c r="G17" i="1"/>
  <c r="E17" i="1"/>
  <c r="D17" i="1"/>
  <c r="C17" i="1"/>
  <c r="B17" i="1"/>
  <c r="A17" i="1"/>
  <c r="KV16" i="1"/>
  <c r="KU16" i="1"/>
  <c r="KT16" i="1"/>
  <c r="KS16" i="1"/>
  <c r="KR16" i="1"/>
  <c r="KP16" i="1"/>
  <c r="KO16" i="1"/>
  <c r="KM16" i="1"/>
  <c r="KL16" i="1"/>
  <c r="KJ16" i="1"/>
  <c r="KI16" i="1"/>
  <c r="KG16" i="1"/>
  <c r="KF16" i="1"/>
  <c r="KD16" i="1"/>
  <c r="KC16" i="1"/>
  <c r="KA16" i="1"/>
  <c r="JZ16" i="1"/>
  <c r="JX16" i="1"/>
  <c r="JW16" i="1"/>
  <c r="JU16" i="1"/>
  <c r="JT16" i="1"/>
  <c r="JR16" i="1"/>
  <c r="JQ16" i="1"/>
  <c r="JO16" i="1"/>
  <c r="JN16" i="1"/>
  <c r="JL16" i="1"/>
  <c r="JK16" i="1"/>
  <c r="JI16" i="1"/>
  <c r="JH16" i="1"/>
  <c r="JF16" i="1"/>
  <c r="JE16" i="1"/>
  <c r="JC16" i="1"/>
  <c r="JB16" i="1"/>
  <c r="IZ16" i="1"/>
  <c r="IY16" i="1"/>
  <c r="IW16" i="1"/>
  <c r="IV16" i="1"/>
  <c r="IT16" i="1"/>
  <c r="IS16" i="1"/>
  <c r="IQ16" i="1"/>
  <c r="IP16" i="1"/>
  <c r="IN16" i="1"/>
  <c r="IM16" i="1"/>
  <c r="IK16" i="1"/>
  <c r="IJ16" i="1"/>
  <c r="IH16" i="1"/>
  <c r="IG16" i="1"/>
  <c r="IE16" i="1"/>
  <c r="ID16" i="1"/>
  <c r="IB16" i="1"/>
  <c r="IA16" i="1"/>
  <c r="HY16" i="1"/>
  <c r="HX16" i="1"/>
  <c r="HV16" i="1"/>
  <c r="HU16" i="1"/>
  <c r="HS16" i="1"/>
  <c r="HR16" i="1"/>
  <c r="HP16" i="1"/>
  <c r="HO16" i="1"/>
  <c r="HM16" i="1"/>
  <c r="HL16" i="1"/>
  <c r="HJ16" i="1"/>
  <c r="HI16" i="1"/>
  <c r="HG16" i="1"/>
  <c r="HF16" i="1"/>
  <c r="HD16" i="1"/>
  <c r="HC16" i="1"/>
  <c r="HA16" i="1"/>
  <c r="GZ16" i="1"/>
  <c r="GX16" i="1"/>
  <c r="GW16" i="1"/>
  <c r="GU16" i="1"/>
  <c r="GT16" i="1"/>
  <c r="GR16" i="1"/>
  <c r="GQ16" i="1"/>
  <c r="GO16" i="1"/>
  <c r="GN16" i="1"/>
  <c r="GL16" i="1"/>
  <c r="GK16" i="1"/>
  <c r="GI16" i="1"/>
  <c r="GH16" i="1"/>
  <c r="GF16" i="1"/>
  <c r="GE16" i="1"/>
  <c r="GC16" i="1"/>
  <c r="GB16" i="1"/>
  <c r="FZ16" i="1"/>
  <c r="FY16" i="1"/>
  <c r="FW16" i="1"/>
  <c r="FV16" i="1"/>
  <c r="FT16" i="1"/>
  <c r="FS16" i="1"/>
  <c r="FQ16" i="1"/>
  <c r="FP16" i="1"/>
  <c r="FN16" i="1"/>
  <c r="FM16" i="1"/>
  <c r="FK16" i="1"/>
  <c r="FJ16" i="1"/>
  <c r="FH16" i="1"/>
  <c r="FG16" i="1"/>
  <c r="FE16" i="1"/>
  <c r="FD16" i="1"/>
  <c r="FB16" i="1"/>
  <c r="FA16" i="1"/>
  <c r="EY16" i="1"/>
  <c r="EX16" i="1"/>
  <c r="EV16" i="1"/>
  <c r="EU16" i="1"/>
  <c r="ES16" i="1"/>
  <c r="ER16" i="1"/>
  <c r="EP16" i="1"/>
  <c r="EO16" i="1"/>
  <c r="EM16" i="1"/>
  <c r="EL16" i="1"/>
  <c r="EJ16" i="1"/>
  <c r="EI16" i="1"/>
  <c r="EG16" i="1"/>
  <c r="EF16" i="1"/>
  <c r="ED16" i="1"/>
  <c r="EC16" i="1"/>
  <c r="EA16" i="1"/>
  <c r="DZ16" i="1"/>
  <c r="DX16" i="1"/>
  <c r="DW16" i="1"/>
  <c r="DU16" i="1"/>
  <c r="DT16" i="1"/>
  <c r="DR16" i="1"/>
  <c r="DQ16" i="1"/>
  <c r="DO16" i="1"/>
  <c r="DN16" i="1"/>
  <c r="DL16" i="1"/>
  <c r="DK16" i="1"/>
  <c r="DI16" i="1"/>
  <c r="DH16" i="1"/>
  <c r="DF16" i="1"/>
  <c r="DE16" i="1"/>
  <c r="DC16" i="1"/>
  <c r="DB16" i="1"/>
  <c r="CZ16" i="1"/>
  <c r="CY16" i="1"/>
  <c r="CW16" i="1"/>
  <c r="CV16" i="1"/>
  <c r="CT16" i="1"/>
  <c r="CS16" i="1"/>
  <c r="CQ16" i="1"/>
  <c r="CP16" i="1"/>
  <c r="CN16" i="1"/>
  <c r="CM16" i="1"/>
  <c r="CK16" i="1"/>
  <c r="CJ16" i="1"/>
  <c r="CH16" i="1"/>
  <c r="CG16" i="1"/>
  <c r="CE16" i="1"/>
  <c r="CD16" i="1"/>
  <c r="CB16" i="1"/>
  <c r="CA16" i="1"/>
  <c r="BY16" i="1"/>
  <c r="BX16" i="1"/>
  <c r="BV16" i="1"/>
  <c r="BU16" i="1"/>
  <c r="BS16" i="1"/>
  <c r="BR16" i="1"/>
  <c r="BP16" i="1"/>
  <c r="BO16" i="1"/>
  <c r="BM16" i="1"/>
  <c r="BL16" i="1"/>
  <c r="BJ16" i="1"/>
  <c r="BI16" i="1"/>
  <c r="BG16" i="1"/>
  <c r="BF16" i="1"/>
  <c r="BD16" i="1"/>
  <c r="BC16" i="1"/>
  <c r="BA16" i="1"/>
  <c r="AZ16" i="1"/>
  <c r="AX16" i="1"/>
  <c r="AW16" i="1"/>
  <c r="AU16" i="1"/>
  <c r="AT16" i="1"/>
  <c r="AR16" i="1"/>
  <c r="AQ16" i="1"/>
  <c r="AO16" i="1"/>
  <c r="AN16" i="1"/>
  <c r="AL16" i="1"/>
  <c r="AK16" i="1"/>
  <c r="AI16" i="1"/>
  <c r="AH16" i="1"/>
  <c r="AF16" i="1"/>
  <c r="AE16" i="1"/>
  <c r="AC16" i="1"/>
  <c r="AB16" i="1"/>
  <c r="Z16" i="1"/>
  <c r="Y16" i="1"/>
  <c r="W16" i="1"/>
  <c r="V16" i="1"/>
  <c r="T16" i="1"/>
  <c r="S16" i="1"/>
  <c r="Q16" i="1"/>
  <c r="P16" i="1"/>
  <c r="N16" i="1"/>
  <c r="M16" i="1"/>
  <c r="K16" i="1"/>
  <c r="J16" i="1"/>
  <c r="H16" i="1"/>
  <c r="G16" i="1"/>
  <c r="E16" i="1"/>
  <c r="D16" i="1"/>
  <c r="C16" i="1"/>
  <c r="B16" i="1"/>
  <c r="A16" i="1"/>
  <c r="KV15" i="1"/>
  <c r="KU15" i="1"/>
  <c r="KT15" i="1"/>
  <c r="KS15" i="1"/>
  <c r="KR15" i="1"/>
  <c r="KP15" i="1"/>
  <c r="KO15" i="1"/>
  <c r="KM15" i="1"/>
  <c r="KL15" i="1"/>
  <c r="KJ15" i="1"/>
  <c r="KI15" i="1"/>
  <c r="KG15" i="1"/>
  <c r="KF15" i="1"/>
  <c r="KD15" i="1"/>
  <c r="KC15" i="1"/>
  <c r="KA15" i="1"/>
  <c r="JZ15" i="1"/>
  <c r="JX15" i="1"/>
  <c r="JW15" i="1"/>
  <c r="JU15" i="1"/>
  <c r="JT15" i="1"/>
  <c r="JR15" i="1"/>
  <c r="JQ15" i="1"/>
  <c r="JO15" i="1"/>
  <c r="JN15" i="1"/>
  <c r="JL15" i="1"/>
  <c r="JK15" i="1"/>
  <c r="JI15" i="1"/>
  <c r="JH15" i="1"/>
  <c r="JF15" i="1"/>
  <c r="JE15" i="1"/>
  <c r="JC15" i="1"/>
  <c r="JB15" i="1"/>
  <c r="IZ15" i="1"/>
  <c r="IY15" i="1"/>
  <c r="IW15" i="1"/>
  <c r="IV15" i="1"/>
  <c r="IT15" i="1"/>
  <c r="IS15" i="1"/>
  <c r="IQ15" i="1"/>
  <c r="IP15" i="1"/>
  <c r="IN15" i="1"/>
  <c r="IM15" i="1"/>
  <c r="IK15" i="1"/>
  <c r="IJ15" i="1"/>
  <c r="IH15" i="1"/>
  <c r="IG15" i="1"/>
  <c r="IE15" i="1"/>
  <c r="ID15" i="1"/>
  <c r="IB15" i="1"/>
  <c r="IA15" i="1"/>
  <c r="HY15" i="1"/>
  <c r="HX15" i="1"/>
  <c r="HV15" i="1"/>
  <c r="HU15" i="1"/>
  <c r="HS15" i="1"/>
  <c r="HR15" i="1"/>
  <c r="HP15" i="1"/>
  <c r="HO15" i="1"/>
  <c r="HM15" i="1"/>
  <c r="HL15" i="1"/>
  <c r="HJ15" i="1"/>
  <c r="HI15" i="1"/>
  <c r="HG15" i="1"/>
  <c r="HF15" i="1"/>
  <c r="HD15" i="1"/>
  <c r="HC15" i="1"/>
  <c r="HA15" i="1"/>
  <c r="GZ15" i="1"/>
  <c r="GX15" i="1"/>
  <c r="GW15" i="1"/>
  <c r="GU15" i="1"/>
  <c r="GT15" i="1"/>
  <c r="GR15" i="1"/>
  <c r="GQ15" i="1"/>
  <c r="GO15" i="1"/>
  <c r="GN15" i="1"/>
  <c r="GL15" i="1"/>
  <c r="GK15" i="1"/>
  <c r="GI15" i="1"/>
  <c r="GH15" i="1"/>
  <c r="GF15" i="1"/>
  <c r="GE15" i="1"/>
  <c r="GC15" i="1"/>
  <c r="GB15" i="1"/>
  <c r="FZ15" i="1"/>
  <c r="FY15" i="1"/>
  <c r="FW15" i="1"/>
  <c r="FV15" i="1"/>
  <c r="FT15" i="1"/>
  <c r="FS15" i="1"/>
  <c r="FQ15" i="1"/>
  <c r="FP15" i="1"/>
  <c r="FN15" i="1"/>
  <c r="FM15" i="1"/>
  <c r="FK15" i="1"/>
  <c r="FJ15" i="1"/>
  <c r="FH15" i="1"/>
  <c r="FG15" i="1"/>
  <c r="FE15" i="1"/>
  <c r="FD15" i="1"/>
  <c r="FB15" i="1"/>
  <c r="FA15" i="1"/>
  <c r="EY15" i="1"/>
  <c r="EX15" i="1"/>
  <c r="EV15" i="1"/>
  <c r="EU15" i="1"/>
  <c r="ES15" i="1"/>
  <c r="ER15" i="1"/>
  <c r="EP15" i="1"/>
  <c r="EO15" i="1"/>
  <c r="EM15" i="1"/>
  <c r="EL15" i="1"/>
  <c r="EJ15" i="1"/>
  <c r="EI15" i="1"/>
  <c r="EG15" i="1"/>
  <c r="EF15" i="1"/>
  <c r="ED15" i="1"/>
  <c r="EC15" i="1"/>
  <c r="EA15" i="1"/>
  <c r="DZ15" i="1"/>
  <c r="DX15" i="1"/>
  <c r="DW15" i="1"/>
  <c r="DU15" i="1"/>
  <c r="DT15" i="1"/>
  <c r="DR15" i="1"/>
  <c r="DQ15" i="1"/>
  <c r="DO15" i="1"/>
  <c r="DN15" i="1"/>
  <c r="DL15" i="1"/>
  <c r="DK15" i="1"/>
  <c r="DI15" i="1"/>
  <c r="DH15" i="1"/>
  <c r="DF15" i="1"/>
  <c r="DE15" i="1"/>
  <c r="DC15" i="1"/>
  <c r="DB15" i="1"/>
  <c r="CZ15" i="1"/>
  <c r="CY15" i="1"/>
  <c r="CW15" i="1"/>
  <c r="CV15" i="1"/>
  <c r="CT15" i="1"/>
  <c r="CS15" i="1"/>
  <c r="CQ15" i="1"/>
  <c r="CP15" i="1"/>
  <c r="CN15" i="1"/>
  <c r="CM15" i="1"/>
  <c r="CK15" i="1"/>
  <c r="CJ15" i="1"/>
  <c r="CH15" i="1"/>
  <c r="CG15" i="1"/>
  <c r="CE15" i="1"/>
  <c r="CD15" i="1"/>
  <c r="CB15" i="1"/>
  <c r="CA15" i="1"/>
  <c r="BY15" i="1"/>
  <c r="BX15" i="1"/>
  <c r="BV15" i="1"/>
  <c r="BU15" i="1"/>
  <c r="BS15" i="1"/>
  <c r="BR15" i="1"/>
  <c r="BP15" i="1"/>
  <c r="BO15" i="1"/>
  <c r="BM15" i="1"/>
  <c r="BL15" i="1"/>
  <c r="BJ15" i="1"/>
  <c r="BI15" i="1"/>
  <c r="BG15" i="1"/>
  <c r="BF15" i="1"/>
  <c r="BD15" i="1"/>
  <c r="BC15" i="1"/>
  <c r="BA15" i="1"/>
  <c r="AZ15" i="1"/>
  <c r="AX15" i="1"/>
  <c r="AW15" i="1"/>
  <c r="AU15" i="1"/>
  <c r="AT15" i="1"/>
  <c r="AR15" i="1"/>
  <c r="AQ15" i="1"/>
  <c r="AO15" i="1"/>
  <c r="AN15" i="1"/>
  <c r="AL15" i="1"/>
  <c r="AK15" i="1"/>
  <c r="AI15" i="1"/>
  <c r="AH15" i="1"/>
  <c r="AF15" i="1"/>
  <c r="AE15" i="1"/>
  <c r="AC15" i="1"/>
  <c r="AB15" i="1"/>
  <c r="Z15" i="1"/>
  <c r="Y15" i="1"/>
  <c r="W15" i="1"/>
  <c r="V15" i="1"/>
  <c r="T15" i="1"/>
  <c r="S15" i="1"/>
  <c r="Q15" i="1"/>
  <c r="P15" i="1"/>
  <c r="N15" i="1"/>
  <c r="M15" i="1"/>
  <c r="K15" i="1"/>
  <c r="J15" i="1"/>
  <c r="H15" i="1"/>
  <c r="G15" i="1"/>
  <c r="E15" i="1"/>
  <c r="D15" i="1"/>
  <c r="C15" i="1"/>
  <c r="B15" i="1"/>
  <c r="A15" i="1"/>
  <c r="KV14" i="1"/>
  <c r="KU14" i="1"/>
  <c r="KT14" i="1"/>
  <c r="KS14" i="1"/>
  <c r="KR14" i="1"/>
  <c r="KP14" i="1"/>
  <c r="KO14" i="1"/>
  <c r="KM14" i="1"/>
  <c r="KL14" i="1"/>
  <c r="KJ14" i="1"/>
  <c r="KI14" i="1"/>
  <c r="KG14" i="1"/>
  <c r="KF14" i="1"/>
  <c r="KD14" i="1"/>
  <c r="KC14" i="1"/>
  <c r="KA14" i="1"/>
  <c r="JZ14" i="1"/>
  <c r="JX14" i="1"/>
  <c r="JW14" i="1"/>
  <c r="JU14" i="1"/>
  <c r="JT14" i="1"/>
  <c r="JR14" i="1"/>
  <c r="JQ14" i="1"/>
  <c r="JO14" i="1"/>
  <c r="JN14" i="1"/>
  <c r="JL14" i="1"/>
  <c r="JK14" i="1"/>
  <c r="JI14" i="1"/>
  <c r="JH14" i="1"/>
  <c r="JF14" i="1"/>
  <c r="JE14" i="1"/>
  <c r="JC14" i="1"/>
  <c r="JB14" i="1"/>
  <c r="IZ14" i="1"/>
  <c r="IY14" i="1"/>
  <c r="IW14" i="1"/>
  <c r="IV14" i="1"/>
  <c r="IT14" i="1"/>
  <c r="IS14" i="1"/>
  <c r="IQ14" i="1"/>
  <c r="IP14" i="1"/>
  <c r="IN14" i="1"/>
  <c r="IM14" i="1"/>
  <c r="IK14" i="1"/>
  <c r="IJ14" i="1"/>
  <c r="IH14" i="1"/>
  <c r="IG14" i="1"/>
  <c r="IE14" i="1"/>
  <c r="ID14" i="1"/>
  <c r="IB14" i="1"/>
  <c r="IA14" i="1"/>
  <c r="HY14" i="1"/>
  <c r="HX14" i="1"/>
  <c r="HV14" i="1"/>
  <c r="HU14" i="1"/>
  <c r="HS14" i="1"/>
  <c r="HR14" i="1"/>
  <c r="HP14" i="1"/>
  <c r="HO14" i="1"/>
  <c r="HM14" i="1"/>
  <c r="HL14" i="1"/>
  <c r="HJ14" i="1"/>
  <c r="HI14" i="1"/>
  <c r="HG14" i="1"/>
  <c r="HF14" i="1"/>
  <c r="HD14" i="1"/>
  <c r="HC14" i="1"/>
  <c r="HA14" i="1"/>
  <c r="GZ14" i="1"/>
  <c r="GX14" i="1"/>
  <c r="GW14" i="1"/>
  <c r="GU14" i="1"/>
  <c r="GT14" i="1"/>
  <c r="GR14" i="1"/>
  <c r="GQ14" i="1"/>
  <c r="GO14" i="1"/>
  <c r="GN14" i="1"/>
  <c r="GL14" i="1"/>
  <c r="GK14" i="1"/>
  <c r="GI14" i="1"/>
  <c r="GH14" i="1"/>
  <c r="GF14" i="1"/>
  <c r="GE14" i="1"/>
  <c r="GC14" i="1"/>
  <c r="GB14" i="1"/>
  <c r="FZ14" i="1"/>
  <c r="FY14" i="1"/>
  <c r="FW14" i="1"/>
  <c r="FV14" i="1"/>
  <c r="FT14" i="1"/>
  <c r="FS14" i="1"/>
  <c r="FQ14" i="1"/>
  <c r="FP14" i="1"/>
  <c r="FN14" i="1"/>
  <c r="FM14" i="1"/>
  <c r="FK14" i="1"/>
  <c r="FJ14" i="1"/>
  <c r="FH14" i="1"/>
  <c r="FG14" i="1"/>
  <c r="FE14" i="1"/>
  <c r="FD14" i="1"/>
  <c r="FB14" i="1"/>
  <c r="FA14" i="1"/>
  <c r="EY14" i="1"/>
  <c r="EX14" i="1"/>
  <c r="EV14" i="1"/>
  <c r="EU14" i="1"/>
  <c r="ES14" i="1"/>
  <c r="ER14" i="1"/>
  <c r="EP14" i="1"/>
  <c r="EO14" i="1"/>
  <c r="EM14" i="1"/>
  <c r="EL14" i="1"/>
  <c r="EJ14" i="1"/>
  <c r="EI14" i="1"/>
  <c r="EG14" i="1"/>
  <c r="EF14" i="1"/>
  <c r="ED14" i="1"/>
  <c r="EC14" i="1"/>
  <c r="EA14" i="1"/>
  <c r="DZ14" i="1"/>
  <c r="DX14" i="1"/>
  <c r="DW14" i="1"/>
  <c r="DU14" i="1"/>
  <c r="DT14" i="1"/>
  <c r="DR14" i="1"/>
  <c r="DQ14" i="1"/>
  <c r="DO14" i="1"/>
  <c r="DN14" i="1"/>
  <c r="DL14" i="1"/>
  <c r="DK14" i="1"/>
  <c r="DH14" i="1"/>
  <c r="DF14" i="1"/>
  <c r="DE14" i="1"/>
  <c r="DC14" i="1"/>
  <c r="DB14" i="1"/>
  <c r="CZ14" i="1"/>
  <c r="CY14" i="1"/>
  <c r="CW14" i="1"/>
  <c r="CV14" i="1"/>
  <c r="CT14" i="1"/>
  <c r="CS14" i="1"/>
  <c r="CQ14" i="1"/>
  <c r="CP14" i="1"/>
  <c r="CN14" i="1"/>
  <c r="CM14" i="1"/>
  <c r="CK14" i="1"/>
  <c r="CJ14" i="1"/>
  <c r="CH14" i="1"/>
  <c r="CG14" i="1"/>
  <c r="CE14" i="1"/>
  <c r="CD14" i="1"/>
  <c r="CB14" i="1"/>
  <c r="CA14" i="1"/>
  <c r="BY14" i="1"/>
  <c r="BX14" i="1"/>
  <c r="BV14" i="1"/>
  <c r="BU14" i="1"/>
  <c r="BS14" i="1"/>
  <c r="BR14" i="1"/>
  <c r="BP14" i="1"/>
  <c r="BO14" i="1"/>
  <c r="BM14" i="1"/>
  <c r="BL14" i="1"/>
  <c r="BJ14" i="1"/>
  <c r="BI14" i="1"/>
  <c r="BG14" i="1"/>
  <c r="BF14" i="1"/>
  <c r="BD14" i="1"/>
  <c r="BC14" i="1"/>
  <c r="BA14" i="1"/>
  <c r="AZ14" i="1"/>
  <c r="AX14" i="1"/>
  <c r="AW14" i="1"/>
  <c r="AU14" i="1"/>
  <c r="AT14" i="1"/>
  <c r="AR14" i="1"/>
  <c r="AQ14" i="1"/>
  <c r="AO14" i="1"/>
  <c r="AN14" i="1"/>
  <c r="AL14" i="1"/>
  <c r="AK14" i="1"/>
  <c r="AI14" i="1"/>
  <c r="AH14" i="1"/>
  <c r="AF14" i="1"/>
  <c r="AE14" i="1"/>
  <c r="AC14" i="1"/>
  <c r="AB14" i="1"/>
  <c r="Z14" i="1"/>
  <c r="Y14" i="1"/>
  <c r="W14" i="1"/>
  <c r="V14" i="1"/>
  <c r="T14" i="1"/>
  <c r="S14" i="1"/>
  <c r="Q14" i="1"/>
  <c r="P14" i="1"/>
  <c r="N14" i="1"/>
  <c r="M14" i="1"/>
  <c r="K14" i="1"/>
  <c r="J14" i="1"/>
  <c r="H14" i="1"/>
  <c r="G14" i="1"/>
  <c r="E14" i="1"/>
  <c r="D14" i="1"/>
  <c r="C14" i="1"/>
  <c r="B14" i="1"/>
  <c r="A14" i="1"/>
  <c r="KV13" i="1"/>
  <c r="KU13" i="1"/>
  <c r="KT13" i="1"/>
  <c r="KS13" i="1"/>
  <c r="KR13" i="1"/>
  <c r="KP13" i="1"/>
  <c r="KO13" i="1"/>
  <c r="KM13" i="1"/>
  <c r="KL13" i="1"/>
  <c r="KJ13" i="1"/>
  <c r="KI13" i="1"/>
  <c r="KG13" i="1"/>
  <c r="KF13" i="1"/>
  <c r="KD13" i="1"/>
  <c r="KC13" i="1"/>
  <c r="KA13" i="1"/>
  <c r="JZ13" i="1"/>
  <c r="JX13" i="1"/>
  <c r="JW13" i="1"/>
  <c r="JU13" i="1"/>
  <c r="JT13" i="1"/>
  <c r="JR13" i="1"/>
  <c r="JQ13" i="1"/>
  <c r="JO13" i="1"/>
  <c r="JN13" i="1"/>
  <c r="JL13" i="1"/>
  <c r="JK13" i="1"/>
  <c r="JI13" i="1"/>
  <c r="JH13" i="1"/>
  <c r="JF13" i="1"/>
  <c r="JE13" i="1"/>
  <c r="JC13" i="1"/>
  <c r="JB13" i="1"/>
  <c r="IZ13" i="1"/>
  <c r="IY13" i="1"/>
  <c r="IW13" i="1"/>
  <c r="IV13" i="1"/>
  <c r="IT13" i="1"/>
  <c r="IS13" i="1"/>
  <c r="IQ13" i="1"/>
  <c r="IP13" i="1"/>
  <c r="IN13" i="1"/>
  <c r="IM13" i="1"/>
  <c r="IK13" i="1"/>
  <c r="IJ13" i="1"/>
  <c r="IH13" i="1"/>
  <c r="IG13" i="1"/>
  <c r="IE13" i="1"/>
  <c r="ID13" i="1"/>
  <c r="IB13" i="1"/>
  <c r="IA13" i="1"/>
  <c r="HY13" i="1"/>
  <c r="HX13" i="1"/>
  <c r="HV13" i="1"/>
  <c r="HU13" i="1"/>
  <c r="HS13" i="1"/>
  <c r="HR13" i="1"/>
  <c r="HP13" i="1"/>
  <c r="HO13" i="1"/>
  <c r="HM13" i="1"/>
  <c r="HL13" i="1"/>
  <c r="HJ13" i="1"/>
  <c r="HI13" i="1"/>
  <c r="HG13" i="1"/>
  <c r="HF13" i="1"/>
  <c r="HD13" i="1"/>
  <c r="HC13" i="1"/>
  <c r="HA13" i="1"/>
  <c r="GZ13" i="1"/>
  <c r="GX13" i="1"/>
  <c r="GW13" i="1"/>
  <c r="GU13" i="1"/>
  <c r="GT13" i="1"/>
  <c r="GR13" i="1"/>
  <c r="GQ13" i="1"/>
  <c r="GO13" i="1"/>
  <c r="GN13" i="1"/>
  <c r="GL13" i="1"/>
  <c r="GK13" i="1"/>
  <c r="GI13" i="1"/>
  <c r="GH13" i="1"/>
  <c r="GF13" i="1"/>
  <c r="GE13" i="1"/>
  <c r="GC13" i="1"/>
  <c r="GB13" i="1"/>
  <c r="FZ13" i="1"/>
  <c r="FY13" i="1"/>
  <c r="FW13" i="1"/>
  <c r="FV13" i="1"/>
  <c r="FT13" i="1"/>
  <c r="FS13" i="1"/>
  <c r="FQ13" i="1"/>
  <c r="FP13" i="1"/>
  <c r="FN13" i="1"/>
  <c r="FM13" i="1"/>
  <c r="FK13" i="1"/>
  <c r="FJ13" i="1"/>
  <c r="FH13" i="1"/>
  <c r="FG13" i="1"/>
  <c r="FE13" i="1"/>
  <c r="FD13" i="1"/>
  <c r="FB13" i="1"/>
  <c r="FA13" i="1"/>
  <c r="EY13" i="1"/>
  <c r="EX13" i="1"/>
  <c r="EV13" i="1"/>
  <c r="EU13" i="1"/>
  <c r="ES13" i="1"/>
  <c r="ER13" i="1"/>
  <c r="EP13" i="1"/>
  <c r="EO13" i="1"/>
  <c r="EM13" i="1"/>
  <c r="EL13" i="1"/>
  <c r="EJ13" i="1"/>
  <c r="EI13" i="1"/>
  <c r="EG13" i="1"/>
  <c r="EF13" i="1"/>
  <c r="ED13" i="1"/>
  <c r="EC13" i="1"/>
  <c r="EA13" i="1"/>
  <c r="DZ13" i="1"/>
  <c r="DX13" i="1"/>
  <c r="DW13" i="1"/>
  <c r="DU13" i="1"/>
  <c r="DT13" i="1"/>
  <c r="DR13" i="1"/>
  <c r="DQ13" i="1"/>
  <c r="DO13" i="1"/>
  <c r="DN13" i="1"/>
  <c r="DL13" i="1"/>
  <c r="DK13" i="1"/>
  <c r="DH13" i="1"/>
  <c r="DF13" i="1"/>
  <c r="DE13" i="1"/>
  <c r="DC13" i="1"/>
  <c r="DB13" i="1"/>
  <c r="CZ13" i="1"/>
  <c r="CY13" i="1"/>
  <c r="CW13" i="1"/>
  <c r="CV13" i="1"/>
  <c r="CT13" i="1"/>
  <c r="CS13" i="1"/>
  <c r="CQ13" i="1"/>
  <c r="CP13" i="1"/>
  <c r="CN13" i="1"/>
  <c r="CM13" i="1"/>
  <c r="CK13" i="1"/>
  <c r="CJ13" i="1"/>
  <c r="CH13" i="1"/>
  <c r="CG13" i="1"/>
  <c r="CE13" i="1"/>
  <c r="CD13" i="1"/>
  <c r="CB13" i="1"/>
  <c r="CA13" i="1"/>
  <c r="BY13" i="1"/>
  <c r="BX13" i="1"/>
  <c r="BV13" i="1"/>
  <c r="BU13" i="1"/>
  <c r="BS13" i="1"/>
  <c r="BR13" i="1"/>
  <c r="BP13" i="1"/>
  <c r="BO13" i="1"/>
  <c r="BM13" i="1"/>
  <c r="BL13" i="1"/>
  <c r="BJ13" i="1"/>
  <c r="BI13" i="1"/>
  <c r="BG13" i="1"/>
  <c r="BF13" i="1"/>
  <c r="BD13" i="1"/>
  <c r="BC13" i="1"/>
  <c r="BA13" i="1"/>
  <c r="AZ13" i="1"/>
  <c r="AX13" i="1"/>
  <c r="AW13" i="1"/>
  <c r="AU13" i="1"/>
  <c r="AT13" i="1"/>
  <c r="AR13" i="1"/>
  <c r="AQ13" i="1"/>
  <c r="AO13" i="1"/>
  <c r="AN13" i="1"/>
  <c r="AL13" i="1"/>
  <c r="AK13" i="1"/>
  <c r="AI13" i="1"/>
  <c r="AH13" i="1"/>
  <c r="AF13" i="1"/>
  <c r="AE13" i="1"/>
  <c r="AC13" i="1"/>
  <c r="AB13" i="1"/>
  <c r="Z13" i="1"/>
  <c r="Y13" i="1"/>
  <c r="W13" i="1"/>
  <c r="V13" i="1"/>
  <c r="T13" i="1"/>
  <c r="S13" i="1"/>
  <c r="Q13" i="1"/>
  <c r="P13" i="1"/>
  <c r="N13" i="1"/>
  <c r="M13" i="1"/>
  <c r="K13" i="1"/>
  <c r="J13" i="1"/>
  <c r="H13" i="1"/>
  <c r="G13" i="1"/>
  <c r="E13" i="1"/>
  <c r="D13" i="1"/>
  <c r="C13" i="1"/>
  <c r="B13" i="1"/>
  <c r="A13" i="1"/>
  <c r="KV12" i="1"/>
  <c r="KU12" i="1"/>
  <c r="KT12" i="1"/>
  <c r="KS12" i="1"/>
  <c r="KR12" i="1"/>
  <c r="KP12" i="1"/>
  <c r="KO12" i="1"/>
  <c r="KM12" i="1"/>
  <c r="KL12" i="1"/>
  <c r="KJ12" i="1"/>
  <c r="KI12" i="1"/>
  <c r="KG12" i="1"/>
  <c r="KF12" i="1"/>
  <c r="KD12" i="1"/>
  <c r="KC12" i="1"/>
  <c r="KA12" i="1"/>
  <c r="JZ12" i="1"/>
  <c r="JX12" i="1"/>
  <c r="JW12" i="1"/>
  <c r="JU12" i="1"/>
  <c r="JT12" i="1"/>
  <c r="JR12" i="1"/>
  <c r="JQ12" i="1"/>
  <c r="JO12" i="1"/>
  <c r="JN12" i="1"/>
  <c r="JL12" i="1"/>
  <c r="JK12" i="1"/>
  <c r="JI12" i="1"/>
  <c r="JH12" i="1"/>
  <c r="JF12" i="1"/>
  <c r="JE12" i="1"/>
  <c r="JC12" i="1"/>
  <c r="JB12" i="1"/>
  <c r="IZ12" i="1"/>
  <c r="IY12" i="1"/>
  <c r="IW12" i="1"/>
  <c r="IV12" i="1"/>
  <c r="IT12" i="1"/>
  <c r="IS12" i="1"/>
  <c r="IQ12" i="1"/>
  <c r="IP12" i="1"/>
  <c r="IN12" i="1"/>
  <c r="IM12" i="1"/>
  <c r="IK12" i="1"/>
  <c r="IJ12" i="1"/>
  <c r="IH12" i="1"/>
  <c r="IG12" i="1"/>
  <c r="IE12" i="1"/>
  <c r="ID12" i="1"/>
  <c r="IB12" i="1"/>
  <c r="IA12" i="1"/>
  <c r="HY12" i="1"/>
  <c r="HX12" i="1"/>
  <c r="HV12" i="1"/>
  <c r="HU12" i="1"/>
  <c r="HS12" i="1"/>
  <c r="HR12" i="1"/>
  <c r="HP12" i="1"/>
  <c r="HO12" i="1"/>
  <c r="HM12" i="1"/>
  <c r="HL12" i="1"/>
  <c r="HJ12" i="1"/>
  <c r="HI12" i="1"/>
  <c r="HG12" i="1"/>
  <c r="HF12" i="1"/>
  <c r="HD12" i="1"/>
  <c r="HC12" i="1"/>
  <c r="HA12" i="1"/>
  <c r="GZ12" i="1"/>
  <c r="GX12" i="1"/>
  <c r="GW12" i="1"/>
  <c r="GU12" i="1"/>
  <c r="GT12" i="1"/>
  <c r="GR12" i="1"/>
  <c r="GQ12" i="1"/>
  <c r="GO12" i="1"/>
  <c r="GN12" i="1"/>
  <c r="GL12" i="1"/>
  <c r="GK12" i="1"/>
  <c r="GI12" i="1"/>
  <c r="GH12" i="1"/>
  <c r="GF12" i="1"/>
  <c r="GE12" i="1"/>
  <c r="GC12" i="1"/>
  <c r="GB12" i="1"/>
  <c r="FZ12" i="1"/>
  <c r="FY12" i="1"/>
  <c r="FW12" i="1"/>
  <c r="FV12" i="1"/>
  <c r="FT12" i="1"/>
  <c r="FS12" i="1"/>
  <c r="FQ12" i="1"/>
  <c r="FP12" i="1"/>
  <c r="FN12" i="1"/>
  <c r="FM12" i="1"/>
  <c r="FK12" i="1"/>
  <c r="FJ12" i="1"/>
  <c r="FH12" i="1"/>
  <c r="FG12" i="1"/>
  <c r="FE12" i="1"/>
  <c r="FD12" i="1"/>
  <c r="FB12" i="1"/>
  <c r="FA12" i="1"/>
  <c r="EY12" i="1"/>
  <c r="EX12" i="1"/>
  <c r="EV12" i="1"/>
  <c r="EU12" i="1"/>
  <c r="ES12" i="1"/>
  <c r="ER12" i="1"/>
  <c r="EP12" i="1"/>
  <c r="EO12" i="1"/>
  <c r="EM12" i="1"/>
  <c r="EL12" i="1"/>
  <c r="EJ12" i="1"/>
  <c r="EI12" i="1"/>
  <c r="EG12" i="1"/>
  <c r="EF12" i="1"/>
  <c r="ED12" i="1"/>
  <c r="EC12" i="1"/>
  <c r="EA12" i="1"/>
  <c r="DZ12" i="1"/>
  <c r="DX12" i="1"/>
  <c r="DW12" i="1"/>
  <c r="DU12" i="1"/>
  <c r="DT12" i="1"/>
  <c r="DR12" i="1"/>
  <c r="DQ12" i="1"/>
  <c r="DO12" i="1"/>
  <c r="DN12" i="1"/>
  <c r="DL12" i="1"/>
  <c r="DK12" i="1"/>
  <c r="DH12" i="1"/>
  <c r="DF12" i="1"/>
  <c r="DE12" i="1"/>
  <c r="DC12" i="1"/>
  <c r="DB12" i="1"/>
  <c r="CZ12" i="1"/>
  <c r="CY12" i="1"/>
  <c r="CW12" i="1"/>
  <c r="CV12" i="1"/>
  <c r="CT12" i="1"/>
  <c r="CS12" i="1"/>
  <c r="CQ12" i="1"/>
  <c r="CP12" i="1"/>
  <c r="CN12" i="1"/>
  <c r="CM12" i="1"/>
  <c r="CK12" i="1"/>
  <c r="CJ12" i="1"/>
  <c r="CH12" i="1"/>
  <c r="CG12" i="1"/>
  <c r="CE12" i="1"/>
  <c r="CD12" i="1"/>
  <c r="CB12" i="1"/>
  <c r="CA12" i="1"/>
  <c r="BY12" i="1"/>
  <c r="BX12" i="1"/>
  <c r="BV12" i="1"/>
  <c r="BU12" i="1"/>
  <c r="BS12" i="1"/>
  <c r="BR12" i="1"/>
  <c r="BP12" i="1"/>
  <c r="BO12" i="1"/>
  <c r="BM12" i="1"/>
  <c r="BL12" i="1"/>
  <c r="BJ12" i="1"/>
  <c r="BI12" i="1"/>
  <c r="BG12" i="1"/>
  <c r="BF12" i="1"/>
  <c r="BD12" i="1"/>
  <c r="BC12" i="1"/>
  <c r="BA12" i="1"/>
  <c r="AZ12" i="1"/>
  <c r="AX12" i="1"/>
  <c r="AW12" i="1"/>
  <c r="AU12" i="1"/>
  <c r="AT12" i="1"/>
  <c r="AR12" i="1"/>
  <c r="AQ12" i="1"/>
  <c r="AO12" i="1"/>
  <c r="AN12" i="1"/>
  <c r="AL12" i="1"/>
  <c r="AK12" i="1"/>
  <c r="AI12" i="1"/>
  <c r="AH12" i="1"/>
  <c r="AF12" i="1"/>
  <c r="AE12" i="1"/>
  <c r="AC12" i="1"/>
  <c r="AB12" i="1"/>
  <c r="Z12" i="1"/>
  <c r="Y12" i="1"/>
  <c r="W12" i="1"/>
  <c r="V12" i="1"/>
  <c r="T12" i="1"/>
  <c r="S12" i="1"/>
  <c r="Q12" i="1"/>
  <c r="P12" i="1"/>
  <c r="N12" i="1"/>
  <c r="M12" i="1"/>
  <c r="K12" i="1"/>
  <c r="J12" i="1"/>
  <c r="H12" i="1"/>
  <c r="G12" i="1"/>
  <c r="E12" i="1"/>
  <c r="D12" i="1"/>
  <c r="C12" i="1"/>
  <c r="B12" i="1"/>
  <c r="A12" i="1"/>
  <c r="KV11" i="1"/>
  <c r="KU11" i="1"/>
  <c r="KT11" i="1"/>
  <c r="KS11" i="1"/>
  <c r="KR11" i="1"/>
  <c r="KP11" i="1"/>
  <c r="KO11" i="1"/>
  <c r="KM11" i="1"/>
  <c r="KL11" i="1"/>
  <c r="KJ11" i="1"/>
  <c r="KI11" i="1"/>
  <c r="KG11" i="1"/>
  <c r="KF11" i="1"/>
  <c r="KD11" i="1"/>
  <c r="KC11" i="1"/>
  <c r="KA11" i="1"/>
  <c r="JZ11" i="1"/>
  <c r="JX11" i="1"/>
  <c r="JW11" i="1"/>
  <c r="JU11" i="1"/>
  <c r="JT11" i="1"/>
  <c r="JR11" i="1"/>
  <c r="JQ11" i="1"/>
  <c r="JO11" i="1"/>
  <c r="JN11" i="1"/>
  <c r="JL11" i="1"/>
  <c r="JK11" i="1"/>
  <c r="JI11" i="1"/>
  <c r="JH11" i="1"/>
  <c r="JF11" i="1"/>
  <c r="JE11" i="1"/>
  <c r="JC11" i="1"/>
  <c r="JB11" i="1"/>
  <c r="IZ11" i="1"/>
  <c r="IY11" i="1"/>
  <c r="IW11" i="1"/>
  <c r="IV11" i="1"/>
  <c r="IT11" i="1"/>
  <c r="IS11" i="1"/>
  <c r="IQ11" i="1"/>
  <c r="IP11" i="1"/>
  <c r="IN11" i="1"/>
  <c r="IM11" i="1"/>
  <c r="IK11" i="1"/>
  <c r="IJ11" i="1"/>
  <c r="IH11" i="1"/>
  <c r="IG11" i="1"/>
  <c r="IE11" i="1"/>
  <c r="ID11" i="1"/>
  <c r="IB11" i="1"/>
  <c r="IA11" i="1"/>
  <c r="HY11" i="1"/>
  <c r="HX11" i="1"/>
  <c r="HV11" i="1"/>
  <c r="HU11" i="1"/>
  <c r="HS11" i="1"/>
  <c r="HR11" i="1"/>
  <c r="HP11" i="1"/>
  <c r="HO11" i="1"/>
  <c r="HM11" i="1"/>
  <c r="HL11" i="1"/>
  <c r="HJ11" i="1"/>
  <c r="HI11" i="1"/>
  <c r="HG11" i="1"/>
  <c r="HF11" i="1"/>
  <c r="HD11" i="1"/>
  <c r="HC11" i="1"/>
  <c r="HA11" i="1"/>
  <c r="GZ11" i="1"/>
  <c r="GX11" i="1"/>
  <c r="GW11" i="1"/>
  <c r="GU11" i="1"/>
  <c r="GT11" i="1"/>
  <c r="GR11" i="1"/>
  <c r="GQ11" i="1"/>
  <c r="GO11" i="1"/>
  <c r="GN11" i="1"/>
  <c r="GL11" i="1"/>
  <c r="GK11" i="1"/>
  <c r="GI11" i="1"/>
  <c r="GH11" i="1"/>
  <c r="GF11" i="1"/>
  <c r="GE11" i="1"/>
  <c r="GC11" i="1"/>
  <c r="GB11" i="1"/>
  <c r="FZ11" i="1"/>
  <c r="FY11" i="1"/>
  <c r="FW11" i="1"/>
  <c r="FV11" i="1"/>
  <c r="FT11" i="1"/>
  <c r="FS11" i="1"/>
  <c r="FQ11" i="1"/>
  <c r="FP11" i="1"/>
  <c r="FN11" i="1"/>
  <c r="FM11" i="1"/>
  <c r="FK11" i="1"/>
  <c r="FJ11" i="1"/>
  <c r="FH11" i="1"/>
  <c r="FG11" i="1"/>
  <c r="FE11" i="1"/>
  <c r="FD11" i="1"/>
  <c r="FB11" i="1"/>
  <c r="FA11" i="1"/>
  <c r="EY11" i="1"/>
  <c r="EX11" i="1"/>
  <c r="EV11" i="1"/>
  <c r="EU11" i="1"/>
  <c r="ES11" i="1"/>
  <c r="ER11" i="1"/>
  <c r="EP11" i="1"/>
  <c r="EO11" i="1"/>
  <c r="EM11" i="1"/>
  <c r="EL11" i="1"/>
  <c r="EJ11" i="1"/>
  <c r="EI11" i="1"/>
  <c r="EG11" i="1"/>
  <c r="EF11" i="1"/>
  <c r="ED11" i="1"/>
  <c r="EC11" i="1"/>
  <c r="EA11" i="1"/>
  <c r="DZ11" i="1"/>
  <c r="DX11" i="1"/>
  <c r="DW11" i="1"/>
  <c r="DU11" i="1"/>
  <c r="DT11" i="1"/>
  <c r="DR11" i="1"/>
  <c r="DQ11" i="1"/>
  <c r="DO11" i="1"/>
  <c r="DN11" i="1"/>
  <c r="DL11" i="1"/>
  <c r="DK11" i="1"/>
  <c r="DH11" i="1"/>
  <c r="DF11" i="1"/>
  <c r="DE11" i="1"/>
  <c r="DC11" i="1"/>
  <c r="DB11" i="1"/>
  <c r="CZ11" i="1"/>
  <c r="CY11" i="1"/>
  <c r="CW11" i="1"/>
  <c r="CV11" i="1"/>
  <c r="CT11" i="1"/>
  <c r="CS11" i="1"/>
  <c r="CQ11" i="1"/>
  <c r="CP11" i="1"/>
  <c r="CN11" i="1"/>
  <c r="CM11" i="1"/>
  <c r="CK11" i="1"/>
  <c r="CJ11" i="1"/>
  <c r="CH11" i="1"/>
  <c r="CG11" i="1"/>
  <c r="CE11" i="1"/>
  <c r="CD11" i="1"/>
  <c r="CB11" i="1"/>
  <c r="CA11" i="1"/>
  <c r="BY11" i="1"/>
  <c r="BX11" i="1"/>
  <c r="BV11" i="1"/>
  <c r="BU11" i="1"/>
  <c r="BS11" i="1"/>
  <c r="BR11" i="1"/>
  <c r="BP11" i="1"/>
  <c r="BO11" i="1"/>
  <c r="BM11" i="1"/>
  <c r="BL11" i="1"/>
  <c r="BJ11" i="1"/>
  <c r="BI11" i="1"/>
  <c r="BG11" i="1"/>
  <c r="BF11" i="1"/>
  <c r="BD11" i="1"/>
  <c r="BC11" i="1"/>
  <c r="BA11" i="1"/>
  <c r="AZ11" i="1"/>
  <c r="AX11" i="1"/>
  <c r="AW11" i="1"/>
  <c r="AU11" i="1"/>
  <c r="AT11" i="1"/>
  <c r="AR11" i="1"/>
  <c r="AQ11" i="1"/>
  <c r="AO11" i="1"/>
  <c r="AN11" i="1"/>
  <c r="AL11" i="1"/>
  <c r="AK11" i="1"/>
  <c r="AI11" i="1"/>
  <c r="AH11" i="1"/>
  <c r="AF11" i="1"/>
  <c r="AE11" i="1"/>
  <c r="AC11" i="1"/>
  <c r="AB11" i="1"/>
  <c r="Z11" i="1"/>
  <c r="Y11" i="1"/>
  <c r="W11" i="1"/>
  <c r="V11" i="1"/>
  <c r="T11" i="1"/>
  <c r="S11" i="1"/>
  <c r="Q11" i="1"/>
  <c r="P11" i="1"/>
  <c r="N11" i="1"/>
  <c r="M11" i="1"/>
  <c r="K11" i="1"/>
  <c r="J11" i="1"/>
  <c r="H11" i="1"/>
  <c r="G11" i="1"/>
  <c r="E11" i="1"/>
  <c r="D11" i="1"/>
  <c r="C11" i="1"/>
  <c r="B11" i="1"/>
  <c r="A11" i="1"/>
  <c r="KV10" i="1"/>
  <c r="KU10" i="1"/>
  <c r="KT10" i="1"/>
  <c r="KS10" i="1"/>
  <c r="KR10" i="1"/>
  <c r="KP10" i="1"/>
  <c r="KO10" i="1"/>
  <c r="KM10" i="1"/>
  <c r="KL10" i="1"/>
  <c r="KJ10" i="1"/>
  <c r="KI10" i="1"/>
  <c r="KG10" i="1"/>
  <c r="KF10" i="1"/>
  <c r="KD10" i="1"/>
  <c r="KC10" i="1"/>
  <c r="KA10" i="1"/>
  <c r="JZ10" i="1"/>
  <c r="JX10" i="1"/>
  <c r="JW10" i="1"/>
  <c r="JU10" i="1"/>
  <c r="JT10" i="1"/>
  <c r="JR10" i="1"/>
  <c r="JQ10" i="1"/>
  <c r="JO10" i="1"/>
  <c r="JN10" i="1"/>
  <c r="JL10" i="1"/>
  <c r="JK10" i="1"/>
  <c r="JI10" i="1"/>
  <c r="JH10" i="1"/>
  <c r="JF10" i="1"/>
  <c r="JE10" i="1"/>
  <c r="JC10" i="1"/>
  <c r="JB10" i="1"/>
  <c r="IZ10" i="1"/>
  <c r="IY10" i="1"/>
  <c r="IW10" i="1"/>
  <c r="IV10" i="1"/>
  <c r="IT10" i="1"/>
  <c r="IS10" i="1"/>
  <c r="IQ10" i="1"/>
  <c r="IP10" i="1"/>
  <c r="IN10" i="1"/>
  <c r="IM10" i="1"/>
  <c r="IK10" i="1"/>
  <c r="IJ10" i="1"/>
  <c r="IH10" i="1"/>
  <c r="IG10" i="1"/>
  <c r="IE10" i="1"/>
  <c r="ID10" i="1"/>
  <c r="IB10" i="1"/>
  <c r="IA10" i="1"/>
  <c r="HY10" i="1"/>
  <c r="HX10" i="1"/>
  <c r="HV10" i="1"/>
  <c r="HU10" i="1"/>
  <c r="HS10" i="1"/>
  <c r="HR10" i="1"/>
  <c r="HP10" i="1"/>
  <c r="HO10" i="1"/>
  <c r="HM10" i="1"/>
  <c r="HL10" i="1"/>
  <c r="HJ10" i="1"/>
  <c r="HI10" i="1"/>
  <c r="HG10" i="1"/>
  <c r="HF10" i="1"/>
  <c r="HD10" i="1"/>
  <c r="HC10" i="1"/>
  <c r="HA10" i="1"/>
  <c r="GZ10" i="1"/>
  <c r="GX10" i="1"/>
  <c r="GW10" i="1"/>
  <c r="GU10" i="1"/>
  <c r="GT10" i="1"/>
  <c r="GR10" i="1"/>
  <c r="GQ10" i="1"/>
  <c r="GO10" i="1"/>
  <c r="GN10" i="1"/>
  <c r="GL10" i="1"/>
  <c r="GK10" i="1"/>
  <c r="GI10" i="1"/>
  <c r="GH10" i="1"/>
  <c r="GF10" i="1"/>
  <c r="GE10" i="1"/>
  <c r="GC10" i="1"/>
  <c r="GB10" i="1"/>
  <c r="FZ10" i="1"/>
  <c r="FY10" i="1"/>
  <c r="FW10" i="1"/>
  <c r="FV10" i="1"/>
  <c r="FT10" i="1"/>
  <c r="FS10" i="1"/>
  <c r="FQ10" i="1"/>
  <c r="FP10" i="1"/>
  <c r="FN10" i="1"/>
  <c r="FM10" i="1"/>
  <c r="FK10" i="1"/>
  <c r="FJ10" i="1"/>
  <c r="FH10" i="1"/>
  <c r="FG10" i="1"/>
  <c r="FE10" i="1"/>
  <c r="FD10" i="1"/>
  <c r="FB10" i="1"/>
  <c r="FA10" i="1"/>
  <c r="EY10" i="1"/>
  <c r="EX10" i="1"/>
  <c r="EV10" i="1"/>
  <c r="EU10" i="1"/>
  <c r="ES10" i="1"/>
  <c r="ER10" i="1"/>
  <c r="EP10" i="1"/>
  <c r="EO10" i="1"/>
  <c r="EM10" i="1"/>
  <c r="EL10" i="1"/>
  <c r="EJ10" i="1"/>
  <c r="EI10" i="1"/>
  <c r="EG10" i="1"/>
  <c r="EF10" i="1"/>
  <c r="ED10" i="1"/>
  <c r="EC10" i="1"/>
  <c r="EA10" i="1"/>
  <c r="DZ10" i="1"/>
  <c r="DX10" i="1"/>
  <c r="DW10" i="1"/>
  <c r="DU10" i="1"/>
  <c r="DT10" i="1"/>
  <c r="DR10" i="1"/>
  <c r="DQ10" i="1"/>
  <c r="DO10" i="1"/>
  <c r="DN10" i="1"/>
  <c r="DL10" i="1"/>
  <c r="DK10" i="1"/>
  <c r="DH10" i="1"/>
  <c r="DF10" i="1"/>
  <c r="DE10" i="1"/>
  <c r="DC10" i="1"/>
  <c r="DB10" i="1"/>
  <c r="CZ10" i="1"/>
  <c r="CY10" i="1"/>
  <c r="CW10" i="1"/>
  <c r="CV10" i="1"/>
  <c r="CT10" i="1"/>
  <c r="CS10" i="1"/>
  <c r="CQ10" i="1"/>
  <c r="CP10" i="1"/>
  <c r="CN10" i="1"/>
  <c r="CM10" i="1"/>
  <c r="CK10" i="1"/>
  <c r="CJ10" i="1"/>
  <c r="CH10" i="1"/>
  <c r="CG10" i="1"/>
  <c r="CE10" i="1"/>
  <c r="CD10" i="1"/>
  <c r="CB10" i="1"/>
  <c r="CA10" i="1"/>
  <c r="BY10" i="1"/>
  <c r="BX10" i="1"/>
  <c r="BV10" i="1"/>
  <c r="BU10" i="1"/>
  <c r="BS10" i="1"/>
  <c r="BR10" i="1"/>
  <c r="BP10" i="1"/>
  <c r="BO10" i="1"/>
  <c r="BM10" i="1"/>
  <c r="BL10" i="1"/>
  <c r="BJ10" i="1"/>
  <c r="BI10" i="1"/>
  <c r="BG10" i="1"/>
  <c r="BF10" i="1"/>
  <c r="BD10" i="1"/>
  <c r="BC10" i="1"/>
  <c r="BA10" i="1"/>
  <c r="AZ10" i="1"/>
  <c r="AX10" i="1"/>
  <c r="AW10" i="1"/>
  <c r="AU10" i="1"/>
  <c r="AT10" i="1"/>
  <c r="AR10" i="1"/>
  <c r="AQ10" i="1"/>
  <c r="AO10" i="1"/>
  <c r="AN10" i="1"/>
  <c r="AL10" i="1"/>
  <c r="AK10" i="1"/>
  <c r="AI10" i="1"/>
  <c r="AH10" i="1"/>
  <c r="AF10" i="1"/>
  <c r="AE10" i="1"/>
  <c r="AC10" i="1"/>
  <c r="AB10" i="1"/>
  <c r="Z10" i="1"/>
  <c r="Y10" i="1"/>
  <c r="W10" i="1"/>
  <c r="V10" i="1"/>
  <c r="T10" i="1"/>
  <c r="S10" i="1"/>
  <c r="Q10" i="1"/>
  <c r="P10" i="1"/>
  <c r="N10" i="1"/>
  <c r="M10" i="1"/>
  <c r="K10" i="1"/>
  <c r="J10" i="1"/>
  <c r="H10" i="1"/>
  <c r="G10" i="1"/>
  <c r="E10" i="1"/>
  <c r="D10" i="1"/>
  <c r="C10" i="1"/>
  <c r="B10" i="1"/>
  <c r="A10" i="1"/>
  <c r="BF137" i="56"/>
  <c r="BE137" i="56"/>
  <c r="BE139" i="56" s="1"/>
  <c r="BD137" i="56"/>
  <c r="BD139" i="56" s="1"/>
  <c r="BC137" i="56"/>
  <c r="BC139" i="56" s="1"/>
  <c r="BB137" i="56"/>
  <c r="BB139" i="56" s="1"/>
  <c r="AZ137" i="56"/>
  <c r="AY137" i="56"/>
  <c r="AX137" i="56"/>
  <c r="AW137" i="56"/>
  <c r="AV137" i="56"/>
  <c r="AU137" i="56"/>
  <c r="AT137" i="56"/>
  <c r="AS137" i="56"/>
  <c r="AQ137" i="56"/>
  <c r="AP137" i="56"/>
  <c r="AO137" i="56"/>
  <c r="AN137" i="56"/>
  <c r="AL137" i="56"/>
  <c r="AK137" i="56"/>
  <c r="AJ137" i="56"/>
  <c r="AI137" i="56"/>
  <c r="AH137" i="56"/>
  <c r="AG137" i="56"/>
  <c r="AF137" i="56"/>
  <c r="R137" i="56"/>
  <c r="R138" i="56" s="1"/>
  <c r="Q137" i="56"/>
  <c r="BF139" i="56" s="1"/>
  <c r="AC136" i="56"/>
  <c r="AA136" i="56"/>
  <c r="BA134" i="56"/>
  <c r="AR134" i="56"/>
  <c r="AM134" i="56"/>
  <c r="AD134" i="56" s="1"/>
  <c r="AR133" i="56"/>
  <c r="BA133" i="56" s="1"/>
  <c r="AD133" i="56" s="1"/>
  <c r="AM133" i="56"/>
  <c r="BA132" i="56"/>
  <c r="AR132" i="56"/>
  <c r="AM132" i="56"/>
  <c r="AD132" i="56" s="1"/>
  <c r="Z132" i="56"/>
  <c r="Y132" i="56"/>
  <c r="Y137" i="56" s="1"/>
  <c r="W132" i="56"/>
  <c r="O132" i="56"/>
  <c r="U132" i="56" s="1"/>
  <c r="AA132" i="56" s="1"/>
  <c r="N132" i="56"/>
  <c r="V132" i="56" s="1"/>
  <c r="AR130" i="56"/>
  <c r="BA130" i="56" s="1"/>
  <c r="AD130" i="56" s="1"/>
  <c r="AM130" i="56"/>
  <c r="BA129" i="56"/>
  <c r="AR129" i="56"/>
  <c r="AM129" i="56"/>
  <c r="AD129" i="56" s="1"/>
  <c r="W129" i="56"/>
  <c r="V129" i="56"/>
  <c r="U129" i="56"/>
  <c r="T129" i="56"/>
  <c r="P129" i="56"/>
  <c r="O129" i="56"/>
  <c r="N129" i="56"/>
  <c r="H129" i="56"/>
  <c r="K129" i="56" s="1"/>
  <c r="AC129" i="56" s="1"/>
  <c r="C129" i="56"/>
  <c r="BA128" i="56"/>
  <c r="AR128" i="56"/>
  <c r="AM128" i="56"/>
  <c r="AD128" i="56" s="1"/>
  <c r="W128" i="56"/>
  <c r="O128" i="56"/>
  <c r="U128" i="56" s="1"/>
  <c r="AA128" i="56" s="1"/>
  <c r="N128" i="56"/>
  <c r="V128" i="56" s="1"/>
  <c r="AR126" i="56"/>
  <c r="BA126" i="56" s="1"/>
  <c r="AD126" i="56" s="1"/>
  <c r="AM126" i="56"/>
  <c r="BA125" i="56"/>
  <c r="AR125" i="56"/>
  <c r="AM125" i="56"/>
  <c r="AD125" i="56" s="1"/>
  <c r="AR124" i="56"/>
  <c r="BA124" i="56" s="1"/>
  <c r="AD124" i="56" s="1"/>
  <c r="AM124" i="56"/>
  <c r="BA123" i="56"/>
  <c r="AR123" i="56"/>
  <c r="AM123" i="56"/>
  <c r="AD123" i="56" s="1"/>
  <c r="Z123" i="56"/>
  <c r="W123" i="56"/>
  <c r="O123" i="56"/>
  <c r="U123" i="56" s="1"/>
  <c r="AA123" i="56" s="1"/>
  <c r="N123" i="56"/>
  <c r="V123" i="56" s="1"/>
  <c r="AR121" i="56"/>
  <c r="BA121" i="56" s="1"/>
  <c r="AD121" i="56" s="1"/>
  <c r="AM121" i="56"/>
  <c r="BA120" i="56"/>
  <c r="AR120" i="56"/>
  <c r="AM120" i="56"/>
  <c r="AD120" i="56" s="1"/>
  <c r="AR119" i="56"/>
  <c r="BA119" i="56" s="1"/>
  <c r="AD119" i="56" s="1"/>
  <c r="AM119" i="56"/>
  <c r="W119" i="56"/>
  <c r="U119" i="56"/>
  <c r="AA119" i="56" s="1"/>
  <c r="T119" i="56"/>
  <c r="P119" i="56"/>
  <c r="O119" i="56"/>
  <c r="N119" i="56"/>
  <c r="V119" i="56" s="1"/>
  <c r="C119" i="56"/>
  <c r="BA117" i="56"/>
  <c r="AR117" i="56"/>
  <c r="AM117" i="56"/>
  <c r="AD117" i="56" s="1"/>
  <c r="AR116" i="56"/>
  <c r="BA116" i="56" s="1"/>
  <c r="AD116" i="56" s="1"/>
  <c r="AM116" i="56"/>
  <c r="W116" i="56"/>
  <c r="V116" i="56"/>
  <c r="U116" i="56"/>
  <c r="T116" i="56"/>
  <c r="O116" i="56"/>
  <c r="P116" i="56" s="1"/>
  <c r="N116" i="56"/>
  <c r="J116" i="56"/>
  <c r="H116" i="56"/>
  <c r="K116" i="56" s="1"/>
  <c r="C116" i="56"/>
  <c r="BA115" i="56"/>
  <c r="AD115" i="56" s="1"/>
  <c r="AR115" i="56"/>
  <c r="AM115" i="56"/>
  <c r="W115" i="56"/>
  <c r="O115" i="56"/>
  <c r="U115" i="56" s="1"/>
  <c r="AA115" i="56" s="1"/>
  <c r="N115" i="56"/>
  <c r="V115" i="56" s="1"/>
  <c r="AR113" i="56"/>
  <c r="BA113" i="56" s="1"/>
  <c r="AM113" i="56"/>
  <c r="AR112" i="56"/>
  <c r="BA112" i="56" s="1"/>
  <c r="AD112" i="56" s="1"/>
  <c r="AM112" i="56"/>
  <c r="AR111" i="56"/>
  <c r="BA111" i="56" s="1"/>
  <c r="AM111" i="56"/>
  <c r="W111" i="56"/>
  <c r="X111" i="56" s="1"/>
  <c r="U111" i="56"/>
  <c r="AA111" i="56" s="1"/>
  <c r="T111" i="56"/>
  <c r="O111" i="56"/>
  <c r="V111" i="56" s="1"/>
  <c r="N111" i="56"/>
  <c r="H111" i="56"/>
  <c r="K111" i="56" s="1"/>
  <c r="AC111" i="56" s="1"/>
  <c r="C111" i="56"/>
  <c r="BA109" i="56"/>
  <c r="AR109" i="56"/>
  <c r="AM109" i="56"/>
  <c r="AD109" i="56" s="1"/>
  <c r="AR108" i="56"/>
  <c r="BA108" i="56" s="1"/>
  <c r="AD108" i="56" s="1"/>
  <c r="AM108" i="56"/>
  <c r="W108" i="56"/>
  <c r="O108" i="56"/>
  <c r="U108" i="56" s="1"/>
  <c r="N108" i="56"/>
  <c r="V108" i="56" s="1"/>
  <c r="AR107" i="56"/>
  <c r="BA107" i="56" s="1"/>
  <c r="AD107" i="56" s="1"/>
  <c r="AM107" i="56"/>
  <c r="Z107" i="56"/>
  <c r="W107" i="56"/>
  <c r="U107" i="56"/>
  <c r="AA107" i="56" s="1"/>
  <c r="T107" i="56"/>
  <c r="O107" i="56"/>
  <c r="V107" i="56" s="1"/>
  <c r="N107" i="56"/>
  <c r="H107" i="56"/>
  <c r="K107" i="56" s="1"/>
  <c r="AC107" i="56" s="1"/>
  <c r="C107" i="56"/>
  <c r="W105" i="56"/>
  <c r="O105" i="56"/>
  <c r="U105" i="56" s="1"/>
  <c r="N105" i="56"/>
  <c r="V105" i="56" s="1"/>
  <c r="AR104" i="56"/>
  <c r="BA104" i="56" s="1"/>
  <c r="AD104" i="56" s="1"/>
  <c r="AM104" i="56"/>
  <c r="W104" i="56"/>
  <c r="S104" i="56"/>
  <c r="S137" i="56" s="1"/>
  <c r="O104" i="56"/>
  <c r="U104" i="56" s="1"/>
  <c r="N104" i="56"/>
  <c r="V104" i="56" s="1"/>
  <c r="AR103" i="56"/>
  <c r="BA103" i="56" s="1"/>
  <c r="AM103" i="56"/>
  <c r="W103" i="56"/>
  <c r="O103" i="56"/>
  <c r="U103" i="56" s="1"/>
  <c r="N103" i="56"/>
  <c r="V103" i="56" s="1"/>
  <c r="AR102" i="56"/>
  <c r="BA102" i="56" s="1"/>
  <c r="AM102" i="56"/>
  <c r="AD102" i="56" s="1"/>
  <c r="W102" i="56"/>
  <c r="V102" i="56"/>
  <c r="U102" i="56"/>
  <c r="T102" i="56"/>
  <c r="O102" i="56"/>
  <c r="P102" i="56" s="1"/>
  <c r="N102" i="56"/>
  <c r="H102" i="56"/>
  <c r="K102" i="56" s="1"/>
  <c r="AC102" i="56" s="1"/>
  <c r="C102" i="56"/>
  <c r="BA100" i="56"/>
  <c r="AR100" i="56"/>
  <c r="AM100" i="56"/>
  <c r="AD100" i="56" s="1"/>
  <c r="W100" i="56"/>
  <c r="AR99" i="56"/>
  <c r="BA99" i="56" s="1"/>
  <c r="AM99" i="56"/>
  <c r="AD99" i="56" s="1"/>
  <c r="W99" i="56"/>
  <c r="O99" i="56"/>
  <c r="U99" i="56" s="1"/>
  <c r="N99" i="56"/>
  <c r="V99" i="56" s="1"/>
  <c r="AR98" i="56"/>
  <c r="BA98" i="56" s="1"/>
  <c r="AM98" i="56"/>
  <c r="W98" i="56"/>
  <c r="V98" i="56"/>
  <c r="U98" i="56"/>
  <c r="T98" i="56"/>
  <c r="O98" i="56"/>
  <c r="P98" i="56" s="1"/>
  <c r="N98" i="56"/>
  <c r="H98" i="56"/>
  <c r="K98" i="56" s="1"/>
  <c r="AC98" i="56" s="1"/>
  <c r="C98" i="56"/>
  <c r="BA96" i="56"/>
  <c r="AR96" i="56"/>
  <c r="AM96" i="56"/>
  <c r="AD96" i="56" s="1"/>
  <c r="AR95" i="56"/>
  <c r="BA95" i="56" s="1"/>
  <c r="AD95" i="56" s="1"/>
  <c r="AM95" i="56"/>
  <c r="W95" i="56"/>
  <c r="O95" i="56"/>
  <c r="P95" i="56" s="1"/>
  <c r="N95" i="56"/>
  <c r="V95" i="56" s="1"/>
  <c r="M95" i="56"/>
  <c r="U95" i="56" s="1"/>
  <c r="AR94" i="56"/>
  <c r="BA94" i="56" s="1"/>
  <c r="AM94" i="56"/>
  <c r="AD94" i="56" s="1"/>
  <c r="W94" i="56"/>
  <c r="U94" i="56"/>
  <c r="AA94" i="56" s="1"/>
  <c r="T94" i="56"/>
  <c r="O94" i="56"/>
  <c r="P94" i="56" s="1"/>
  <c r="M94" i="56"/>
  <c r="N94" i="56" s="1"/>
  <c r="C94" i="56"/>
  <c r="AR92" i="56"/>
  <c r="BA92" i="56" s="1"/>
  <c r="AD92" i="56" s="1"/>
  <c r="AM92" i="56"/>
  <c r="AR91" i="56"/>
  <c r="BA91" i="56" s="1"/>
  <c r="AM91" i="56"/>
  <c r="AD91" i="56" s="1"/>
  <c r="AR90" i="56"/>
  <c r="BA90" i="56" s="1"/>
  <c r="AD90" i="56" s="1"/>
  <c r="AM90" i="56"/>
  <c r="W90" i="56"/>
  <c r="O90" i="56"/>
  <c r="P90" i="56" s="1"/>
  <c r="N90" i="56"/>
  <c r="V90" i="56" s="1"/>
  <c r="M90" i="56"/>
  <c r="U90" i="56" s="1"/>
  <c r="AA90" i="56" s="1"/>
  <c r="AR88" i="56"/>
  <c r="BA88" i="56" s="1"/>
  <c r="AM88" i="56"/>
  <c r="AD88" i="56" s="1"/>
  <c r="W88" i="56"/>
  <c r="BA87" i="56"/>
  <c r="AR87" i="56"/>
  <c r="AM87" i="56"/>
  <c r="AD87" i="56" s="1"/>
  <c r="W87" i="56"/>
  <c r="O87" i="56"/>
  <c r="P87" i="56" s="1"/>
  <c r="M87" i="56"/>
  <c r="T87" i="56" s="1"/>
  <c r="AR86" i="56"/>
  <c r="BA86" i="56" s="1"/>
  <c r="AD86" i="56" s="1"/>
  <c r="AM86" i="56"/>
  <c r="W86" i="56"/>
  <c r="T86" i="56"/>
  <c r="P86" i="56"/>
  <c r="O86" i="56"/>
  <c r="M86" i="56"/>
  <c r="U86" i="56" s="1"/>
  <c r="C86" i="56"/>
  <c r="BA84" i="56"/>
  <c r="AD84" i="56" s="1"/>
  <c r="AR84" i="56"/>
  <c r="AM84" i="56"/>
  <c r="AR83" i="56"/>
  <c r="BA83" i="56" s="1"/>
  <c r="AD83" i="56" s="1"/>
  <c r="AM83" i="56"/>
  <c r="W83" i="56"/>
  <c r="P83" i="56"/>
  <c r="O83" i="56"/>
  <c r="M83" i="56"/>
  <c r="BA82" i="56"/>
  <c r="AR82" i="56"/>
  <c r="AM82" i="56"/>
  <c r="AD82" i="56"/>
  <c r="Z82" i="56"/>
  <c r="W82" i="56"/>
  <c r="V82" i="56"/>
  <c r="U82" i="56"/>
  <c r="T82" i="56"/>
  <c r="O82" i="56"/>
  <c r="P82" i="56" s="1"/>
  <c r="N82" i="56"/>
  <c r="H82" i="56"/>
  <c r="K82" i="56" s="1"/>
  <c r="AC82" i="56" s="1"/>
  <c r="C82" i="56"/>
  <c r="BA80" i="56"/>
  <c r="AR80" i="56"/>
  <c r="AM80" i="56"/>
  <c r="AD80" i="56" s="1"/>
  <c r="BA79" i="56"/>
  <c r="AR79" i="56"/>
  <c r="AM79" i="56"/>
  <c r="AD79" i="56"/>
  <c r="BA78" i="56"/>
  <c r="AR78" i="56"/>
  <c r="AM78" i="56"/>
  <c r="AD78" i="56" s="1"/>
  <c r="AA78" i="56"/>
  <c r="W78" i="56"/>
  <c r="U78" i="56"/>
  <c r="P78" i="56"/>
  <c r="O78" i="56"/>
  <c r="T78" i="56" s="1"/>
  <c r="N78" i="56"/>
  <c r="V78" i="56" s="1"/>
  <c r="C78" i="56"/>
  <c r="AR76" i="56"/>
  <c r="BA76" i="56" s="1"/>
  <c r="AD76" i="56" s="1"/>
  <c r="AM76" i="56"/>
  <c r="W76" i="56"/>
  <c r="V76" i="56"/>
  <c r="T76" i="56"/>
  <c r="O76" i="56"/>
  <c r="P76" i="56" s="1"/>
  <c r="N76" i="56"/>
  <c r="K76" i="56"/>
  <c r="J76" i="56"/>
  <c r="H76" i="56"/>
  <c r="BA75" i="56"/>
  <c r="AR75" i="56"/>
  <c r="AM75" i="56"/>
  <c r="AD75" i="56" s="1"/>
  <c r="W75" i="56"/>
  <c r="V75" i="56"/>
  <c r="T75" i="56"/>
  <c r="O75" i="56"/>
  <c r="P75" i="56" s="1"/>
  <c r="N75" i="56"/>
  <c r="K75" i="56"/>
  <c r="AC75" i="56" s="1"/>
  <c r="J75" i="56"/>
  <c r="H75" i="56"/>
  <c r="BA74" i="56"/>
  <c r="AR74" i="56"/>
  <c r="AM74" i="56"/>
  <c r="AD74" i="56" s="1"/>
  <c r="Z74" i="56"/>
  <c r="W74" i="56"/>
  <c r="P74" i="56"/>
  <c r="O74" i="56"/>
  <c r="N74" i="56"/>
  <c r="H74" i="56"/>
  <c r="J74" i="56" s="1"/>
  <c r="AR72" i="56"/>
  <c r="BA72" i="56" s="1"/>
  <c r="AM72" i="56"/>
  <c r="BA71" i="56"/>
  <c r="AR71" i="56"/>
  <c r="AM71" i="56"/>
  <c r="AD71" i="56" s="1"/>
  <c r="W71" i="56"/>
  <c r="V71" i="56"/>
  <c r="T71" i="56"/>
  <c r="O71" i="56"/>
  <c r="P71" i="56" s="1"/>
  <c r="N71" i="56"/>
  <c r="K71" i="56"/>
  <c r="AC71" i="56" s="1"/>
  <c r="H71" i="56"/>
  <c r="J71" i="56" s="1"/>
  <c r="BA70" i="56"/>
  <c r="AR70" i="56"/>
  <c r="AM70" i="56"/>
  <c r="AD70" i="56" s="1"/>
  <c r="Z70" i="56"/>
  <c r="W70" i="56"/>
  <c r="O70" i="56"/>
  <c r="K70" i="56" s="1"/>
  <c r="N70" i="56"/>
  <c r="H70" i="56"/>
  <c r="J70" i="56" s="1"/>
  <c r="BA68" i="56"/>
  <c r="AR68" i="56"/>
  <c r="AM68" i="56"/>
  <c r="AD68" i="56" s="1"/>
  <c r="BA67" i="56"/>
  <c r="AR67" i="56"/>
  <c r="AM67" i="56"/>
  <c r="BA66" i="56"/>
  <c r="AR66" i="56"/>
  <c r="AM66" i="56"/>
  <c r="W66" i="56"/>
  <c r="X66" i="56" s="1"/>
  <c r="V66" i="56"/>
  <c r="U66" i="56"/>
  <c r="P66" i="56"/>
  <c r="O66" i="56"/>
  <c r="T66" i="56" s="1"/>
  <c r="N66" i="56"/>
  <c r="H66" i="56"/>
  <c r="K66" i="56" s="1"/>
  <c r="AC66" i="56" s="1"/>
  <c r="C66" i="56"/>
  <c r="AR64" i="56"/>
  <c r="BA64" i="56" s="1"/>
  <c r="AD64" i="56" s="1"/>
  <c r="AM64" i="56"/>
  <c r="AR63" i="56"/>
  <c r="BA63" i="56" s="1"/>
  <c r="AM63" i="56"/>
  <c r="AD63" i="56" s="1"/>
  <c r="W63" i="56"/>
  <c r="U63" i="56"/>
  <c r="P63" i="56"/>
  <c r="O63" i="56"/>
  <c r="N63" i="56"/>
  <c r="V63" i="56" s="1"/>
  <c r="M63" i="56"/>
  <c r="T63" i="56" s="1"/>
  <c r="AR62" i="56"/>
  <c r="BA62" i="56" s="1"/>
  <c r="AM62" i="56"/>
  <c r="W62" i="56"/>
  <c r="O62" i="56"/>
  <c r="P62" i="56" s="1"/>
  <c r="M62" i="56"/>
  <c r="C62" i="56" s="1"/>
  <c r="BA61" i="56"/>
  <c r="AR61" i="56"/>
  <c r="AM61" i="56"/>
  <c r="AD61" i="56"/>
  <c r="W61" i="56"/>
  <c r="O61" i="56"/>
  <c r="T61" i="56" s="1"/>
  <c r="M61" i="56"/>
  <c r="N61" i="56" s="1"/>
  <c r="H61" i="56"/>
  <c r="J61" i="56" s="1"/>
  <c r="AR59" i="56"/>
  <c r="BA59" i="56" s="1"/>
  <c r="AM59" i="56"/>
  <c r="AD59" i="56" s="1"/>
  <c r="BA58" i="56"/>
  <c r="AR58" i="56"/>
  <c r="AM58" i="56"/>
  <c r="AD58" i="56" s="1"/>
  <c r="AR57" i="56"/>
  <c r="BA57" i="56" s="1"/>
  <c r="AM57" i="56"/>
  <c r="W57" i="56"/>
  <c r="V57" i="56"/>
  <c r="U57" i="56"/>
  <c r="AA57" i="56" s="1"/>
  <c r="P57" i="56"/>
  <c r="O57" i="56"/>
  <c r="T57" i="56" s="1"/>
  <c r="N57" i="56"/>
  <c r="H57" i="56"/>
  <c r="J57" i="56" s="1"/>
  <c r="C57" i="56"/>
  <c r="AR55" i="56"/>
  <c r="BA55" i="56" s="1"/>
  <c r="AD55" i="56" s="1"/>
  <c r="AM55" i="56"/>
  <c r="AR54" i="56"/>
  <c r="BA54" i="56" s="1"/>
  <c r="AD54" i="56" s="1"/>
  <c r="AM54" i="56"/>
  <c r="AR53" i="56"/>
  <c r="BA53" i="56" s="1"/>
  <c r="AD53" i="56" s="1"/>
  <c r="AM53" i="56"/>
  <c r="Z53" i="56"/>
  <c r="W53" i="56"/>
  <c r="O53" i="56"/>
  <c r="P53" i="56" s="1"/>
  <c r="N53" i="56"/>
  <c r="V53" i="56" s="1"/>
  <c r="AR51" i="56"/>
  <c r="BA51" i="56" s="1"/>
  <c r="AD51" i="56" s="1"/>
  <c r="AM51" i="56"/>
  <c r="AR50" i="56"/>
  <c r="BA50" i="56" s="1"/>
  <c r="AM50" i="56"/>
  <c r="AR49" i="56"/>
  <c r="BA49" i="56" s="1"/>
  <c r="AD49" i="56" s="1"/>
  <c r="AM49" i="56"/>
  <c r="Z49" i="56"/>
  <c r="W49" i="56"/>
  <c r="V49" i="56"/>
  <c r="U49" i="56"/>
  <c r="AA49" i="56" s="1"/>
  <c r="P49" i="56"/>
  <c r="O49" i="56"/>
  <c r="T49" i="56" s="1"/>
  <c r="N49" i="56"/>
  <c r="H49" i="56"/>
  <c r="J49" i="56" s="1"/>
  <c r="C49" i="56"/>
  <c r="AR47" i="56"/>
  <c r="BA47" i="56" s="1"/>
  <c r="AD47" i="56" s="1"/>
  <c r="AM47" i="56"/>
  <c r="AR46" i="56"/>
  <c r="BA46" i="56" s="1"/>
  <c r="AD46" i="56" s="1"/>
  <c r="AM46" i="56"/>
  <c r="AR45" i="56"/>
  <c r="BA45" i="56" s="1"/>
  <c r="AM45" i="56"/>
  <c r="AD45" i="56" s="1"/>
  <c r="W45" i="56"/>
  <c r="O45" i="56"/>
  <c r="P45" i="56" s="1"/>
  <c r="M45" i="56"/>
  <c r="N45" i="56" s="1"/>
  <c r="AR43" i="56"/>
  <c r="BA43" i="56" s="1"/>
  <c r="AD43" i="56" s="1"/>
  <c r="AM43" i="56"/>
  <c r="AR42" i="56"/>
  <c r="BA42" i="56" s="1"/>
  <c r="AM42" i="56"/>
  <c r="AR41" i="56"/>
  <c r="BA41" i="56" s="1"/>
  <c r="AD41" i="56" s="1"/>
  <c r="AM41" i="56"/>
  <c r="W41" i="56"/>
  <c r="U41" i="56"/>
  <c r="AA41" i="56" s="1"/>
  <c r="T41" i="56"/>
  <c r="O41" i="56"/>
  <c r="V41" i="56" s="1"/>
  <c r="N41" i="56"/>
  <c r="M41" i="56"/>
  <c r="H41" i="56"/>
  <c r="J41" i="56" s="1"/>
  <c r="C41" i="56"/>
  <c r="AR39" i="56"/>
  <c r="BA39" i="56" s="1"/>
  <c r="AM39" i="56"/>
  <c r="AR38" i="56"/>
  <c r="BA38" i="56" s="1"/>
  <c r="AD38" i="56" s="1"/>
  <c r="AM38" i="56"/>
  <c r="AR37" i="56"/>
  <c r="BA37" i="56" s="1"/>
  <c r="AM37" i="56"/>
  <c r="W37" i="56"/>
  <c r="O37" i="56"/>
  <c r="P37" i="56" s="1"/>
  <c r="M37" i="56"/>
  <c r="N37" i="56" s="1"/>
  <c r="AR35" i="56"/>
  <c r="BA35" i="56" s="1"/>
  <c r="AD35" i="56" s="1"/>
  <c r="AM35" i="56"/>
  <c r="AR34" i="56"/>
  <c r="BA34" i="56" s="1"/>
  <c r="AM34" i="56"/>
  <c r="AD34" i="56" s="1"/>
  <c r="AR33" i="56"/>
  <c r="BA33" i="56" s="1"/>
  <c r="AD33" i="56" s="1"/>
  <c r="AM33" i="56"/>
  <c r="W33" i="56"/>
  <c r="U33" i="56"/>
  <c r="AA33" i="56" s="1"/>
  <c r="T33" i="56"/>
  <c r="O33" i="56"/>
  <c r="P33" i="56" s="1"/>
  <c r="N33" i="56"/>
  <c r="V33" i="56" s="1"/>
  <c r="M33" i="56"/>
  <c r="H33" i="56"/>
  <c r="J33" i="56" s="1"/>
  <c r="C33" i="56"/>
  <c r="AR31" i="56"/>
  <c r="BA31" i="56" s="1"/>
  <c r="AM31" i="56"/>
  <c r="AD31" i="56" s="1"/>
  <c r="W31" i="56"/>
  <c r="V31" i="56"/>
  <c r="U31" i="56"/>
  <c r="P31" i="56"/>
  <c r="O31" i="56"/>
  <c r="C31" i="56" s="1"/>
  <c r="N31" i="56"/>
  <c r="M31" i="56"/>
  <c r="T31" i="56" s="1"/>
  <c r="H31" i="56"/>
  <c r="K31" i="56" s="1"/>
  <c r="AC31" i="56" s="1"/>
  <c r="BA30" i="56"/>
  <c r="AR30" i="56"/>
  <c r="AM30" i="56"/>
  <c r="AD30" i="56" s="1"/>
  <c r="W30" i="56"/>
  <c r="T30" i="56"/>
  <c r="P30" i="56"/>
  <c r="O30" i="56"/>
  <c r="M30" i="56"/>
  <c r="U30" i="56" s="1"/>
  <c r="C30" i="56"/>
  <c r="BA29" i="56"/>
  <c r="AD29" i="56" s="1"/>
  <c r="AR29" i="56"/>
  <c r="AM29" i="56"/>
  <c r="W29" i="56"/>
  <c r="O29" i="56"/>
  <c r="T29" i="56" s="1"/>
  <c r="N29" i="56"/>
  <c r="J29" i="56"/>
  <c r="H29" i="56"/>
  <c r="AR27" i="56"/>
  <c r="BA27" i="56" s="1"/>
  <c r="AM27" i="56"/>
  <c r="W27" i="56"/>
  <c r="O27" i="56"/>
  <c r="T27" i="56" s="1"/>
  <c r="N27" i="56"/>
  <c r="J27" i="56"/>
  <c r="H27" i="56"/>
  <c r="AR26" i="56"/>
  <c r="BA26" i="56" s="1"/>
  <c r="AM26" i="56"/>
  <c r="AD26" i="56" s="1"/>
  <c r="Z26" i="56"/>
  <c r="W26" i="56"/>
  <c r="U26" i="56"/>
  <c r="T26" i="56"/>
  <c r="P26" i="56"/>
  <c r="O26" i="56"/>
  <c r="N26" i="56"/>
  <c r="V26" i="56" s="1"/>
  <c r="C26" i="56"/>
  <c r="AR25" i="56"/>
  <c r="BA25" i="56" s="1"/>
  <c r="AD25" i="56" s="1"/>
  <c r="AM25" i="56"/>
  <c r="W25" i="56"/>
  <c r="T25" i="56"/>
  <c r="P25" i="56"/>
  <c r="O25" i="56"/>
  <c r="M25" i="56"/>
  <c r="U25" i="56" s="1"/>
  <c r="C25" i="56"/>
  <c r="BA23" i="56"/>
  <c r="AD23" i="56" s="1"/>
  <c r="AR23" i="56"/>
  <c r="AM23" i="56"/>
  <c r="AR22" i="56"/>
  <c r="BA22" i="56" s="1"/>
  <c r="AD22" i="56" s="1"/>
  <c r="AM22" i="56"/>
  <c r="BA21" i="56"/>
  <c r="AD21" i="56" s="1"/>
  <c r="AR21" i="56"/>
  <c r="AM21" i="56"/>
  <c r="AR20" i="56"/>
  <c r="BA20" i="56" s="1"/>
  <c r="AD20" i="56" s="1"/>
  <c r="AM20" i="56"/>
  <c r="W20" i="56"/>
  <c r="T20" i="56"/>
  <c r="P20" i="56"/>
  <c r="O20" i="56"/>
  <c r="M20" i="56"/>
  <c r="U20" i="56" s="1"/>
  <c r="AA20" i="56" s="1"/>
  <c r="C20" i="56"/>
  <c r="BA18" i="56"/>
  <c r="AD18" i="56" s="1"/>
  <c r="AR18" i="56"/>
  <c r="AM18" i="56"/>
  <c r="AR17" i="56"/>
  <c r="BA17" i="56" s="1"/>
  <c r="AD17" i="56" s="1"/>
  <c r="AM17" i="56"/>
  <c r="BA16" i="56"/>
  <c r="AD16" i="56" s="1"/>
  <c r="AR16" i="56"/>
  <c r="AM16" i="56"/>
  <c r="W16" i="56"/>
  <c r="O16" i="56"/>
  <c r="P16" i="56" s="1"/>
  <c r="M16" i="56"/>
  <c r="T16" i="56" s="1"/>
  <c r="AR14" i="56"/>
  <c r="BA14" i="56" s="1"/>
  <c r="AD14" i="56" s="1"/>
  <c r="AM14" i="56"/>
  <c r="BA13" i="56"/>
  <c r="AD13" i="56" s="1"/>
  <c r="AR13" i="56"/>
  <c r="AM13" i="56"/>
  <c r="AR12" i="56"/>
  <c r="BA12" i="56" s="1"/>
  <c r="AD12" i="56" s="1"/>
  <c r="AM12" i="56"/>
  <c r="BA11" i="56"/>
  <c r="AD11" i="56" s="1"/>
  <c r="AR11" i="56"/>
  <c r="AM11" i="56"/>
  <c r="Z11" i="56"/>
  <c r="W11" i="56"/>
  <c r="P11" i="56"/>
  <c r="O11" i="56"/>
  <c r="M11" i="56"/>
  <c r="U11" i="56" s="1"/>
  <c r="AA11" i="56" s="1"/>
  <c r="C11" i="56"/>
  <c r="W9" i="56"/>
  <c r="AR8" i="56"/>
  <c r="BA8" i="56" s="1"/>
  <c r="AM8" i="56"/>
  <c r="AD8" i="56" s="1"/>
  <c r="W8" i="56"/>
  <c r="U8" i="56"/>
  <c r="O8" i="56"/>
  <c r="V8" i="56" s="1"/>
  <c r="N8" i="56"/>
  <c r="M8" i="56"/>
  <c r="H8" i="56"/>
  <c r="K8" i="56" s="1"/>
  <c r="AR7" i="56"/>
  <c r="BA7" i="56" s="1"/>
  <c r="AM7" i="56"/>
  <c r="AD7" i="56" s="1"/>
  <c r="W7" i="56"/>
  <c r="T7" i="56"/>
  <c r="P7" i="56"/>
  <c r="O7" i="56"/>
  <c r="M7" i="56"/>
  <c r="U7" i="56" s="1"/>
  <c r="C7" i="56"/>
  <c r="BA6" i="56"/>
  <c r="AR6" i="56"/>
  <c r="AM6" i="56"/>
  <c r="Z6" i="56"/>
  <c r="Z137" i="56" s="1"/>
  <c r="W6" i="56"/>
  <c r="P6" i="56"/>
  <c r="O6" i="56"/>
  <c r="N6" i="56"/>
  <c r="H6" i="56" s="1"/>
  <c r="M6" i="56"/>
  <c r="U6" i="56" s="1"/>
  <c r="A6" i="56"/>
  <c r="I97" i="47"/>
  <c r="H97" i="47"/>
  <c r="G97" i="47"/>
  <c r="E97" i="47"/>
  <c r="H95" i="47"/>
  <c r="G95" i="47"/>
  <c r="E95" i="47"/>
  <c r="I94" i="47"/>
  <c r="H94" i="47"/>
  <c r="G94" i="47"/>
  <c r="F94" i="47"/>
  <c r="E94" i="47"/>
  <c r="I92" i="47"/>
  <c r="H92" i="47"/>
  <c r="G92" i="47"/>
  <c r="E92" i="47"/>
  <c r="G90" i="47"/>
  <c r="E90" i="47"/>
  <c r="I89" i="47"/>
  <c r="H89" i="47"/>
  <c r="G89" i="47"/>
  <c r="E89" i="47"/>
  <c r="I87" i="47"/>
  <c r="H87" i="47"/>
  <c r="G87" i="47"/>
  <c r="E87" i="47"/>
  <c r="I86" i="47"/>
  <c r="H86" i="47"/>
  <c r="G86" i="47"/>
  <c r="E86" i="47"/>
  <c r="G84" i="47"/>
  <c r="E84" i="47"/>
  <c r="I83" i="47"/>
  <c r="H83" i="47"/>
  <c r="G83" i="47"/>
  <c r="E83" i="47"/>
  <c r="H81" i="47"/>
  <c r="G81" i="47"/>
  <c r="F81" i="47"/>
  <c r="E81" i="47"/>
  <c r="I80" i="47"/>
  <c r="H80" i="47"/>
  <c r="G80" i="47"/>
  <c r="F80" i="47"/>
  <c r="E80" i="47"/>
  <c r="H78" i="47"/>
  <c r="G78" i="47"/>
  <c r="E78" i="47"/>
  <c r="G77" i="47"/>
  <c r="F77" i="47"/>
  <c r="E77" i="47"/>
  <c r="H76" i="47"/>
  <c r="G76" i="47"/>
  <c r="F76" i="47"/>
  <c r="E76" i="47"/>
  <c r="I75" i="47"/>
  <c r="H75" i="47"/>
  <c r="G75" i="47"/>
  <c r="F75" i="47"/>
  <c r="E75" i="47"/>
  <c r="I74" i="47"/>
  <c r="H74" i="47"/>
  <c r="G74" i="47"/>
  <c r="F74" i="47"/>
  <c r="E74" i="47"/>
  <c r="H72" i="47"/>
  <c r="G72" i="47"/>
  <c r="F72" i="47"/>
  <c r="E72" i="47"/>
  <c r="I71" i="47"/>
  <c r="H71" i="47"/>
  <c r="G71" i="47"/>
  <c r="E71" i="47"/>
  <c r="I70" i="47"/>
  <c r="H70" i="47"/>
  <c r="G70" i="47"/>
  <c r="F70" i="47"/>
  <c r="E70" i="47"/>
  <c r="I68" i="47"/>
  <c r="H68" i="47"/>
  <c r="G68" i="47"/>
  <c r="E68" i="47"/>
  <c r="I67" i="47"/>
  <c r="H67" i="47"/>
  <c r="G67" i="47"/>
  <c r="F67" i="47"/>
  <c r="E67" i="47"/>
  <c r="I65" i="47"/>
  <c r="H65" i="47"/>
  <c r="G65" i="47"/>
  <c r="E65" i="47"/>
  <c r="H63" i="47"/>
  <c r="G63" i="47"/>
  <c r="E63" i="47"/>
  <c r="I62" i="47"/>
  <c r="H62" i="47"/>
  <c r="G62" i="47"/>
  <c r="F62" i="47"/>
  <c r="E62" i="47"/>
  <c r="I61" i="47"/>
  <c r="H61" i="47"/>
  <c r="G61" i="47"/>
  <c r="F61" i="47"/>
  <c r="E61" i="47"/>
  <c r="I59" i="47"/>
  <c r="H59" i="47"/>
  <c r="G59" i="47"/>
  <c r="E59" i="47"/>
  <c r="I58" i="47"/>
  <c r="H58" i="47"/>
  <c r="G58" i="47"/>
  <c r="E58" i="47"/>
  <c r="I56" i="47"/>
  <c r="H56" i="47"/>
  <c r="G56" i="47"/>
  <c r="E56" i="47"/>
  <c r="I54" i="47"/>
  <c r="H54" i="47"/>
  <c r="G54" i="47"/>
  <c r="E54" i="47"/>
  <c r="I53" i="47"/>
  <c r="H53" i="47"/>
  <c r="G53" i="47"/>
  <c r="E53" i="47"/>
  <c r="G52" i="47"/>
  <c r="E52" i="47"/>
  <c r="G51" i="47"/>
  <c r="F51" i="47"/>
  <c r="E51" i="47"/>
  <c r="I50" i="47"/>
  <c r="H50" i="47"/>
  <c r="G50" i="47"/>
  <c r="E50" i="47"/>
  <c r="G48" i="47"/>
  <c r="E48" i="47"/>
  <c r="I47" i="47"/>
  <c r="H47" i="47"/>
  <c r="G47" i="47"/>
  <c r="F47" i="47"/>
  <c r="E47" i="47"/>
  <c r="I46" i="47"/>
  <c r="H46" i="47"/>
  <c r="G46" i="47"/>
  <c r="E46" i="47"/>
  <c r="G44" i="47"/>
  <c r="E44" i="47"/>
  <c r="I43" i="47"/>
  <c r="H43" i="47"/>
  <c r="G43" i="47"/>
  <c r="E43" i="47"/>
  <c r="I41" i="47"/>
  <c r="H41" i="47"/>
  <c r="G41" i="47"/>
  <c r="E41" i="47"/>
  <c r="I40" i="47"/>
  <c r="H40" i="47"/>
  <c r="G40" i="47"/>
  <c r="F40" i="47"/>
  <c r="E40" i="47"/>
  <c r="I39" i="47"/>
  <c r="H39" i="47"/>
  <c r="G39" i="47"/>
  <c r="F39" i="47"/>
  <c r="E39" i="47"/>
  <c r="I37" i="47"/>
  <c r="H37" i="47"/>
  <c r="G37" i="47"/>
  <c r="E37" i="47"/>
  <c r="I35" i="47"/>
  <c r="H35" i="47"/>
  <c r="G35" i="47"/>
  <c r="F35" i="47"/>
  <c r="E35" i="47"/>
  <c r="I33" i="47"/>
  <c r="H33" i="47"/>
  <c r="G33" i="47"/>
  <c r="F33" i="47"/>
  <c r="E33" i="47"/>
  <c r="I31" i="47"/>
  <c r="H31" i="47"/>
  <c r="G31" i="47"/>
  <c r="E31" i="47"/>
  <c r="I29" i="47"/>
  <c r="H29" i="47"/>
  <c r="G29" i="47"/>
  <c r="F29" i="47"/>
  <c r="E29" i="47"/>
  <c r="I27" i="47"/>
  <c r="H27" i="47"/>
  <c r="G27" i="47"/>
  <c r="E27" i="47"/>
  <c r="I25" i="47"/>
  <c r="H25" i="47"/>
  <c r="G25" i="47"/>
  <c r="E25" i="47"/>
  <c r="I23" i="47"/>
  <c r="H23" i="47"/>
  <c r="G23" i="47"/>
  <c r="E23" i="47"/>
  <c r="G22" i="47"/>
  <c r="E22" i="47"/>
  <c r="I21" i="47"/>
  <c r="H21" i="47"/>
  <c r="G21" i="47"/>
  <c r="E21" i="47"/>
  <c r="I20" i="47"/>
  <c r="H20" i="47"/>
  <c r="G20" i="47"/>
  <c r="E20" i="47"/>
  <c r="I18" i="47"/>
  <c r="H18" i="47"/>
  <c r="G18" i="47"/>
  <c r="E18" i="47"/>
  <c r="I17" i="47"/>
  <c r="H17" i="47"/>
  <c r="G17" i="47"/>
  <c r="F17" i="47"/>
  <c r="E17" i="47"/>
  <c r="G16" i="47"/>
  <c r="E16" i="47"/>
  <c r="I15" i="47"/>
  <c r="H15" i="47"/>
  <c r="G15" i="47"/>
  <c r="E15" i="47"/>
  <c r="K13" i="47"/>
  <c r="I13" i="47"/>
  <c r="H13" i="47"/>
  <c r="G13" i="47"/>
  <c r="E13" i="47"/>
  <c r="K12" i="47"/>
  <c r="I11" i="47"/>
  <c r="H11" i="47"/>
  <c r="G11" i="47"/>
  <c r="E11" i="47"/>
  <c r="I9" i="47"/>
  <c r="H9" i="47"/>
  <c r="G9" i="47"/>
  <c r="E9" i="47"/>
  <c r="I7" i="47"/>
  <c r="H7" i="47"/>
  <c r="G7" i="47"/>
  <c r="F7" i="47"/>
  <c r="E7" i="47"/>
  <c r="I6" i="47"/>
  <c r="H6" i="47"/>
  <c r="G6" i="47"/>
  <c r="E6" i="47"/>
  <c r="H5" i="47"/>
  <c r="G5" i="47"/>
  <c r="E5" i="47"/>
  <c r="I4" i="47"/>
  <c r="H4" i="47"/>
  <c r="G4" i="47"/>
  <c r="E4" i="47"/>
  <c r="A4" i="47"/>
  <c r="B1" i="47"/>
  <c r="S40" i="45"/>
  <c r="R40" i="45"/>
  <c r="Q40" i="45"/>
  <c r="O40" i="45"/>
  <c r="N40" i="45"/>
  <c r="M40" i="45"/>
  <c r="K40" i="45"/>
  <c r="J40" i="45"/>
  <c r="I40" i="45"/>
  <c r="G40" i="45"/>
  <c r="F40" i="45"/>
  <c r="E40" i="45"/>
  <c r="C40" i="45"/>
  <c r="B40" i="45"/>
  <c r="AK38" i="45"/>
  <c r="AL38" i="45" s="1"/>
  <c r="AG38" i="45"/>
  <c r="AI38" i="45" s="1"/>
  <c r="AC38" i="45"/>
  <c r="AD38" i="45" s="1"/>
  <c r="Y38" i="45"/>
  <c r="AA38" i="45" s="1"/>
  <c r="U38" i="45"/>
  <c r="V38" i="45" s="1"/>
  <c r="S38" i="45"/>
  <c r="R38" i="45"/>
  <c r="P38" i="45"/>
  <c r="O38" i="45"/>
  <c r="N38" i="45"/>
  <c r="L38" i="45"/>
  <c r="K38" i="45"/>
  <c r="J38" i="45"/>
  <c r="H38" i="45"/>
  <c r="G38" i="45"/>
  <c r="F38" i="45"/>
  <c r="D38" i="45"/>
  <c r="C38" i="45"/>
  <c r="B38" i="45"/>
  <c r="A38" i="45"/>
  <c r="AK37" i="45"/>
  <c r="AL37" i="45" s="1"/>
  <c r="AG37" i="45"/>
  <c r="AH37" i="45" s="1"/>
  <c r="AC37" i="45"/>
  <c r="AD37" i="45" s="1"/>
  <c r="Y37" i="45"/>
  <c r="Z37" i="45" s="1"/>
  <c r="U37" i="45"/>
  <c r="S37" i="45"/>
  <c r="R37" i="45"/>
  <c r="P37" i="45"/>
  <c r="O37" i="45"/>
  <c r="N37" i="45"/>
  <c r="L37" i="45"/>
  <c r="K37" i="45"/>
  <c r="J37" i="45"/>
  <c r="H37" i="45"/>
  <c r="G37" i="45"/>
  <c r="F37" i="45"/>
  <c r="D37" i="45"/>
  <c r="C37" i="45"/>
  <c r="B37" i="45"/>
  <c r="A37" i="45"/>
  <c r="AK36" i="45"/>
  <c r="AM36" i="45" s="1"/>
  <c r="AG36" i="45"/>
  <c r="AH36" i="45" s="1"/>
  <c r="AC36" i="45"/>
  <c r="AE36" i="45" s="1"/>
  <c r="Y36" i="45"/>
  <c r="Z36" i="45" s="1"/>
  <c r="U36" i="45"/>
  <c r="S36" i="45"/>
  <c r="R36" i="45"/>
  <c r="P36" i="45"/>
  <c r="O36" i="45"/>
  <c r="N36" i="45"/>
  <c r="L36" i="45"/>
  <c r="K36" i="45"/>
  <c r="J36" i="45"/>
  <c r="H36" i="45"/>
  <c r="G36" i="45"/>
  <c r="F36" i="45"/>
  <c r="D36" i="45"/>
  <c r="C36" i="45"/>
  <c r="B36" i="45"/>
  <c r="A36" i="45"/>
  <c r="AK35" i="45"/>
  <c r="AL35" i="45" s="1"/>
  <c r="AG35" i="45"/>
  <c r="AH35" i="45" s="1"/>
  <c r="AC35" i="45"/>
  <c r="AD35" i="45" s="1"/>
  <c r="Y35" i="45"/>
  <c r="Z35" i="45" s="1"/>
  <c r="U35" i="45"/>
  <c r="W35" i="45" s="1"/>
  <c r="S35" i="45"/>
  <c r="R35" i="45"/>
  <c r="P35" i="45"/>
  <c r="O35" i="45"/>
  <c r="N35" i="45"/>
  <c r="L35" i="45"/>
  <c r="K35" i="45"/>
  <c r="J35" i="45"/>
  <c r="H35" i="45"/>
  <c r="G35" i="45"/>
  <c r="F35" i="45"/>
  <c r="D35" i="45"/>
  <c r="C35" i="45"/>
  <c r="B35" i="45"/>
  <c r="A35" i="45"/>
  <c r="AK34" i="45"/>
  <c r="AL34" i="45" s="1"/>
  <c r="AG34" i="45"/>
  <c r="AI34" i="45" s="1"/>
  <c r="AC34" i="45"/>
  <c r="AD34" i="45" s="1"/>
  <c r="Y34" i="45"/>
  <c r="AA34" i="45" s="1"/>
  <c r="U34" i="45"/>
  <c r="V34" i="45" s="1"/>
  <c r="S34" i="45"/>
  <c r="R34" i="45"/>
  <c r="P34" i="45"/>
  <c r="O34" i="45"/>
  <c r="N34" i="45"/>
  <c r="L34" i="45"/>
  <c r="K34" i="45"/>
  <c r="J34" i="45"/>
  <c r="H34" i="45"/>
  <c r="G34" i="45"/>
  <c r="F34" i="45"/>
  <c r="D34" i="45"/>
  <c r="C34" i="45"/>
  <c r="B34" i="45"/>
  <c r="A34" i="45"/>
  <c r="AK33" i="45"/>
  <c r="AL33" i="45" s="1"/>
  <c r="AG33" i="45"/>
  <c r="AH33" i="45" s="1"/>
  <c r="AC33" i="45"/>
  <c r="AD33" i="45" s="1"/>
  <c r="Y33" i="45"/>
  <c r="Z33" i="45" s="1"/>
  <c r="U33" i="45"/>
  <c r="S33" i="45"/>
  <c r="R33" i="45"/>
  <c r="P33" i="45"/>
  <c r="O33" i="45"/>
  <c r="N33" i="45"/>
  <c r="L33" i="45"/>
  <c r="K33" i="45"/>
  <c r="J33" i="45"/>
  <c r="H33" i="45"/>
  <c r="G33" i="45"/>
  <c r="F33" i="45"/>
  <c r="D33" i="45"/>
  <c r="C33" i="45"/>
  <c r="B33" i="45"/>
  <c r="A33" i="45"/>
  <c r="AK32" i="45"/>
  <c r="AM32" i="45" s="1"/>
  <c r="AG32" i="45"/>
  <c r="AH32" i="45" s="1"/>
  <c r="AC32" i="45"/>
  <c r="AE32" i="45" s="1"/>
  <c r="Y32" i="45"/>
  <c r="Z32" i="45" s="1"/>
  <c r="U32" i="45"/>
  <c r="S32" i="45"/>
  <c r="R32" i="45"/>
  <c r="P32" i="45"/>
  <c r="O32" i="45"/>
  <c r="N32" i="45"/>
  <c r="L32" i="45"/>
  <c r="K32" i="45"/>
  <c r="J32" i="45"/>
  <c r="H32" i="45"/>
  <c r="G32" i="45"/>
  <c r="F32" i="45"/>
  <c r="D32" i="45"/>
  <c r="C32" i="45"/>
  <c r="B32" i="45"/>
  <c r="A32" i="45"/>
  <c r="AK31" i="45"/>
  <c r="AL31" i="45" s="1"/>
  <c r="AG31" i="45"/>
  <c r="AH31" i="45" s="1"/>
  <c r="AC31" i="45"/>
  <c r="AD31" i="45" s="1"/>
  <c r="Y31" i="45"/>
  <c r="Z31" i="45" s="1"/>
  <c r="U31" i="45"/>
  <c r="W31" i="45" s="1"/>
  <c r="S31" i="45"/>
  <c r="R31" i="45"/>
  <c r="P31" i="45"/>
  <c r="O31" i="45"/>
  <c r="N31" i="45"/>
  <c r="L31" i="45"/>
  <c r="K31" i="45"/>
  <c r="J31" i="45"/>
  <c r="H31" i="45"/>
  <c r="G31" i="45"/>
  <c r="F31" i="45"/>
  <c r="D31" i="45"/>
  <c r="C31" i="45"/>
  <c r="B31" i="45"/>
  <c r="A31" i="45"/>
  <c r="AK30" i="45"/>
  <c r="AL30" i="45" s="1"/>
  <c r="AG30" i="45"/>
  <c r="AI30" i="45" s="1"/>
  <c r="AC30" i="45"/>
  <c r="AD30" i="45" s="1"/>
  <c r="Y30" i="45"/>
  <c r="AA30" i="45" s="1"/>
  <c r="U30" i="45"/>
  <c r="V30" i="45" s="1"/>
  <c r="S30" i="45"/>
  <c r="R30" i="45"/>
  <c r="P30" i="45"/>
  <c r="O30" i="45"/>
  <c r="N30" i="45"/>
  <c r="L30" i="45"/>
  <c r="K30" i="45"/>
  <c r="J30" i="45"/>
  <c r="H30" i="45"/>
  <c r="G30" i="45"/>
  <c r="F30" i="45"/>
  <c r="D30" i="45"/>
  <c r="C30" i="45"/>
  <c r="B30" i="45"/>
  <c r="A30" i="45"/>
  <c r="AK29" i="45"/>
  <c r="AL29" i="45" s="1"/>
  <c r="AG29" i="45"/>
  <c r="AH29" i="45" s="1"/>
  <c r="AC29" i="45"/>
  <c r="AD29" i="45" s="1"/>
  <c r="Y29" i="45"/>
  <c r="Z29" i="45" s="1"/>
  <c r="U29" i="45"/>
  <c r="S29" i="45"/>
  <c r="R29" i="45"/>
  <c r="P29" i="45"/>
  <c r="O29" i="45"/>
  <c r="N29" i="45"/>
  <c r="L29" i="45"/>
  <c r="K29" i="45"/>
  <c r="J29" i="45"/>
  <c r="H29" i="45"/>
  <c r="G29" i="45"/>
  <c r="F29" i="45"/>
  <c r="D29" i="45"/>
  <c r="C29" i="45"/>
  <c r="B29" i="45"/>
  <c r="A29" i="45"/>
  <c r="AK28" i="45"/>
  <c r="AM28" i="45" s="1"/>
  <c r="AG28" i="45"/>
  <c r="AH28" i="45" s="1"/>
  <c r="AC28" i="45"/>
  <c r="AE28" i="45" s="1"/>
  <c r="Y28" i="45"/>
  <c r="Z28" i="45" s="1"/>
  <c r="U28" i="45"/>
  <c r="S28" i="45"/>
  <c r="R28" i="45"/>
  <c r="P28" i="45"/>
  <c r="O28" i="45"/>
  <c r="N28" i="45"/>
  <c r="L28" i="45"/>
  <c r="K28" i="45"/>
  <c r="J28" i="45"/>
  <c r="H28" i="45"/>
  <c r="G28" i="45"/>
  <c r="F28" i="45"/>
  <c r="D28" i="45"/>
  <c r="C28" i="45"/>
  <c r="B28" i="45"/>
  <c r="A28" i="45"/>
  <c r="AK27" i="45"/>
  <c r="AL27" i="45" s="1"/>
  <c r="AG27" i="45"/>
  <c r="AH27" i="45" s="1"/>
  <c r="AC27" i="45"/>
  <c r="AD27" i="45" s="1"/>
  <c r="Y27" i="45"/>
  <c r="Z27" i="45" s="1"/>
  <c r="U27" i="45"/>
  <c r="W27" i="45" s="1"/>
  <c r="S27" i="45"/>
  <c r="R27" i="45"/>
  <c r="P27" i="45"/>
  <c r="O27" i="45"/>
  <c r="N27" i="45"/>
  <c r="L27" i="45"/>
  <c r="K27" i="45"/>
  <c r="J27" i="45"/>
  <c r="H27" i="45"/>
  <c r="G27" i="45"/>
  <c r="F27" i="45"/>
  <c r="D27" i="45"/>
  <c r="C27" i="45"/>
  <c r="B27" i="45"/>
  <c r="A27" i="45"/>
  <c r="AU26" i="45"/>
  <c r="AK26" i="45"/>
  <c r="AM26" i="45" s="1"/>
  <c r="AG26" i="45"/>
  <c r="AI26" i="45" s="1"/>
  <c r="AC26" i="45"/>
  <c r="AE26" i="45" s="1"/>
  <c r="Y26" i="45"/>
  <c r="AA26" i="45" s="1"/>
  <c r="U26" i="45"/>
  <c r="W26" i="45" s="1"/>
  <c r="S26" i="45"/>
  <c r="R26" i="45"/>
  <c r="P26" i="45"/>
  <c r="O26" i="45"/>
  <c r="N26" i="45"/>
  <c r="L26" i="45"/>
  <c r="K26" i="45"/>
  <c r="J26" i="45"/>
  <c r="H26" i="45"/>
  <c r="G26" i="45"/>
  <c r="F26" i="45"/>
  <c r="D26" i="45"/>
  <c r="C26" i="45"/>
  <c r="B26" i="45"/>
  <c r="A26" i="45"/>
  <c r="AK25" i="45"/>
  <c r="AM25" i="45" s="1"/>
  <c r="AG25" i="45"/>
  <c r="AI25" i="45" s="1"/>
  <c r="AC25" i="45"/>
  <c r="AE25" i="45" s="1"/>
  <c r="Y25" i="45"/>
  <c r="AA25" i="45" s="1"/>
  <c r="U25" i="45"/>
  <c r="W25" i="45" s="1"/>
  <c r="S25" i="45"/>
  <c r="R25" i="45"/>
  <c r="P25" i="45"/>
  <c r="O25" i="45"/>
  <c r="N25" i="45"/>
  <c r="L25" i="45"/>
  <c r="K25" i="45"/>
  <c r="J25" i="45"/>
  <c r="H25" i="45"/>
  <c r="G25" i="45"/>
  <c r="F25" i="45"/>
  <c r="D25" i="45"/>
  <c r="C25" i="45"/>
  <c r="B25" i="45"/>
  <c r="A25" i="45"/>
  <c r="AU24" i="45"/>
  <c r="AT24" i="45"/>
  <c r="AK24" i="45"/>
  <c r="AM24" i="45" s="1"/>
  <c r="AG24" i="45"/>
  <c r="AH24" i="45" s="1"/>
  <c r="AC24" i="45"/>
  <c r="AE24" i="45" s="1"/>
  <c r="Y24" i="45"/>
  <c r="AA24" i="45" s="1"/>
  <c r="U24" i="45"/>
  <c r="W24" i="45" s="1"/>
  <c r="S24" i="45"/>
  <c r="R24" i="45"/>
  <c r="P24" i="45"/>
  <c r="O24" i="45"/>
  <c r="N24" i="45"/>
  <c r="L24" i="45"/>
  <c r="K24" i="45"/>
  <c r="J24" i="45"/>
  <c r="H24" i="45"/>
  <c r="G24" i="45"/>
  <c r="F24" i="45"/>
  <c r="D24" i="45"/>
  <c r="C24" i="45"/>
  <c r="B24" i="45"/>
  <c r="A24" i="45"/>
  <c r="AK23" i="45"/>
  <c r="AM23" i="45" s="1"/>
  <c r="AG23" i="45"/>
  <c r="AI23" i="45" s="1"/>
  <c r="AC23" i="45"/>
  <c r="AE23" i="45" s="1"/>
  <c r="Y23" i="45"/>
  <c r="AA23" i="45" s="1"/>
  <c r="U23" i="45"/>
  <c r="S23" i="45"/>
  <c r="R23" i="45"/>
  <c r="P23" i="45"/>
  <c r="O23" i="45"/>
  <c r="N23" i="45"/>
  <c r="L23" i="45"/>
  <c r="K23" i="45"/>
  <c r="J23" i="45"/>
  <c r="H23" i="45"/>
  <c r="G23" i="45"/>
  <c r="F23" i="45"/>
  <c r="D23" i="45"/>
  <c r="C23" i="45"/>
  <c r="B23" i="45"/>
  <c r="A23" i="45"/>
  <c r="AU22" i="45"/>
  <c r="AT22" i="45"/>
  <c r="AK22" i="45"/>
  <c r="AM22" i="45" s="1"/>
  <c r="AG22" i="45"/>
  <c r="AI22" i="45" s="1"/>
  <c r="AC22" i="45"/>
  <c r="AE22" i="45" s="1"/>
  <c r="Y22" i="45"/>
  <c r="AA22" i="45" s="1"/>
  <c r="U22" i="45"/>
  <c r="V22" i="45" s="1"/>
  <c r="S22" i="45"/>
  <c r="R22" i="45"/>
  <c r="P22" i="45"/>
  <c r="O22" i="45"/>
  <c r="N22" i="45"/>
  <c r="L22" i="45"/>
  <c r="K22" i="45"/>
  <c r="J22" i="45"/>
  <c r="H22" i="45"/>
  <c r="G22" i="45"/>
  <c r="F22" i="45"/>
  <c r="D22" i="45"/>
  <c r="C22" i="45"/>
  <c r="B22" i="45"/>
  <c r="A22" i="45"/>
  <c r="AU21" i="45"/>
  <c r="AT21" i="45"/>
  <c r="AK21" i="45"/>
  <c r="AM21" i="45" s="1"/>
  <c r="AG21" i="45"/>
  <c r="AI21" i="45" s="1"/>
  <c r="AC21" i="45"/>
  <c r="AE21" i="45" s="1"/>
  <c r="Y21" i="45"/>
  <c r="AA21" i="45" s="1"/>
  <c r="U21" i="45"/>
  <c r="S21" i="45"/>
  <c r="R21" i="45"/>
  <c r="P21" i="45"/>
  <c r="O21" i="45"/>
  <c r="N21" i="45"/>
  <c r="L21" i="45"/>
  <c r="K21" i="45"/>
  <c r="J21" i="45"/>
  <c r="H21" i="45"/>
  <c r="G21" i="45"/>
  <c r="F21" i="45"/>
  <c r="D21" i="45"/>
  <c r="C21" i="45"/>
  <c r="B21" i="45"/>
  <c r="A21" i="45"/>
  <c r="AU20" i="45"/>
  <c r="AT20" i="45"/>
  <c r="AK20" i="45"/>
  <c r="AM20" i="45" s="1"/>
  <c r="AG20" i="45"/>
  <c r="AI20" i="45" s="1"/>
  <c r="AC20" i="45"/>
  <c r="AE20" i="45" s="1"/>
  <c r="Y20" i="45"/>
  <c r="AA20" i="45" s="1"/>
  <c r="U20" i="45"/>
  <c r="V20" i="45" s="1"/>
  <c r="S20" i="45"/>
  <c r="R20" i="45"/>
  <c r="P20" i="45"/>
  <c r="O20" i="45"/>
  <c r="N20" i="45"/>
  <c r="L20" i="45"/>
  <c r="K20" i="45"/>
  <c r="J20" i="45"/>
  <c r="H20" i="45"/>
  <c r="G20" i="45"/>
  <c r="F20" i="45"/>
  <c r="D20" i="45"/>
  <c r="C20" i="45"/>
  <c r="B20" i="45"/>
  <c r="A20" i="45"/>
  <c r="AU19" i="45"/>
  <c r="AT19" i="45"/>
  <c r="AK19" i="45"/>
  <c r="AM19" i="45" s="1"/>
  <c r="AG19" i="45"/>
  <c r="AI19" i="45" s="1"/>
  <c r="AC19" i="45"/>
  <c r="AE19" i="45" s="1"/>
  <c r="Y19" i="45"/>
  <c r="AA19" i="45" s="1"/>
  <c r="U19" i="45"/>
  <c r="S19" i="45"/>
  <c r="R19" i="45"/>
  <c r="P19" i="45"/>
  <c r="O19" i="45"/>
  <c r="N19" i="45"/>
  <c r="L19" i="45"/>
  <c r="K19" i="45"/>
  <c r="J19" i="45"/>
  <c r="H19" i="45"/>
  <c r="G19" i="45"/>
  <c r="F19" i="45"/>
  <c r="D19" i="45"/>
  <c r="C19" i="45"/>
  <c r="B19" i="45"/>
  <c r="A19" i="45"/>
  <c r="AU18" i="45"/>
  <c r="AT18" i="45"/>
  <c r="AK18" i="45"/>
  <c r="AM18" i="45" s="1"/>
  <c r="AG18" i="45"/>
  <c r="AI18" i="45" s="1"/>
  <c r="AC18" i="45"/>
  <c r="AE18" i="45" s="1"/>
  <c r="Y18" i="45"/>
  <c r="AA18" i="45" s="1"/>
  <c r="U18" i="45"/>
  <c r="S18" i="45"/>
  <c r="R18" i="45"/>
  <c r="P18" i="45"/>
  <c r="O18" i="45"/>
  <c r="N18" i="45"/>
  <c r="L18" i="45"/>
  <c r="K18" i="45"/>
  <c r="J18" i="45"/>
  <c r="H18" i="45"/>
  <c r="G18" i="45"/>
  <c r="F18" i="45"/>
  <c r="D18" i="45"/>
  <c r="C18" i="45"/>
  <c r="B18" i="45"/>
  <c r="A18" i="45"/>
  <c r="AU17" i="45"/>
  <c r="AT17" i="45"/>
  <c r="AK17" i="45"/>
  <c r="AM17" i="45" s="1"/>
  <c r="AG17" i="45"/>
  <c r="AI17" i="45" s="1"/>
  <c r="AC17" i="45"/>
  <c r="AE17" i="45" s="1"/>
  <c r="Y17" i="45"/>
  <c r="AA17" i="45" s="1"/>
  <c r="U17" i="45"/>
  <c r="V17" i="45" s="1"/>
  <c r="S17" i="45"/>
  <c r="R17" i="45"/>
  <c r="P17" i="45"/>
  <c r="O17" i="45"/>
  <c r="N17" i="45"/>
  <c r="L17" i="45"/>
  <c r="K17" i="45"/>
  <c r="J17" i="45"/>
  <c r="H17" i="45"/>
  <c r="G17" i="45"/>
  <c r="F17" i="45"/>
  <c r="D17" i="45"/>
  <c r="C17" i="45"/>
  <c r="B17" i="45"/>
  <c r="A17" i="45"/>
  <c r="AU16" i="45"/>
  <c r="AT16" i="45"/>
  <c r="AK16" i="45"/>
  <c r="AM16" i="45" s="1"/>
  <c r="AG16" i="45"/>
  <c r="AI16" i="45" s="1"/>
  <c r="AC16" i="45"/>
  <c r="AE16" i="45" s="1"/>
  <c r="Y16" i="45"/>
  <c r="AA16" i="45" s="1"/>
  <c r="U16" i="45"/>
  <c r="W16" i="45" s="1"/>
  <c r="S16" i="45"/>
  <c r="R16" i="45"/>
  <c r="P16" i="45"/>
  <c r="O16" i="45"/>
  <c r="N16" i="45"/>
  <c r="L16" i="45"/>
  <c r="K16" i="45"/>
  <c r="J16" i="45"/>
  <c r="H16" i="45"/>
  <c r="G16" i="45"/>
  <c r="F16" i="45"/>
  <c r="D16" i="45"/>
  <c r="C16" i="45"/>
  <c r="B16" i="45"/>
  <c r="A16" i="45"/>
  <c r="AU15" i="45"/>
  <c r="AT15" i="45"/>
  <c r="AK15" i="45"/>
  <c r="AL15" i="45" s="1"/>
  <c r="AG15" i="45"/>
  <c r="AI15" i="45" s="1"/>
  <c r="AC15" i="45"/>
  <c r="AD15" i="45" s="1"/>
  <c r="Y15" i="45"/>
  <c r="AA15" i="45" s="1"/>
  <c r="U15" i="45"/>
  <c r="S15" i="45"/>
  <c r="R15" i="45"/>
  <c r="P15" i="45"/>
  <c r="O15" i="45"/>
  <c r="N15" i="45"/>
  <c r="L15" i="45"/>
  <c r="K15" i="45"/>
  <c r="J15" i="45"/>
  <c r="H15" i="45"/>
  <c r="G15" i="45"/>
  <c r="F15" i="45"/>
  <c r="D15" i="45"/>
  <c r="C15" i="45"/>
  <c r="B15" i="45"/>
  <c r="A15" i="45"/>
  <c r="AU14" i="45"/>
  <c r="AT14" i="45"/>
  <c r="AK14" i="45"/>
  <c r="AM14" i="45" s="1"/>
  <c r="AG14" i="45"/>
  <c r="AI14" i="45" s="1"/>
  <c r="AC14" i="45"/>
  <c r="Y14" i="45"/>
  <c r="AA14" i="45" s="1"/>
  <c r="U14" i="45"/>
  <c r="W14" i="45" s="1"/>
  <c r="S14" i="45"/>
  <c r="R14" i="45"/>
  <c r="P14" i="45"/>
  <c r="O14" i="45"/>
  <c r="N14" i="45"/>
  <c r="L14" i="45"/>
  <c r="K14" i="45"/>
  <c r="J14" i="45"/>
  <c r="H14" i="45"/>
  <c r="G14" i="45"/>
  <c r="F14" i="45"/>
  <c r="D14" i="45"/>
  <c r="C14" i="45"/>
  <c r="B14" i="45"/>
  <c r="A14" i="45"/>
  <c r="AU13" i="45"/>
  <c r="AT13" i="45"/>
  <c r="AK13" i="45"/>
  <c r="AM13" i="45" s="1"/>
  <c r="AG13" i="45"/>
  <c r="AH13" i="45" s="1"/>
  <c r="AC13" i="45"/>
  <c r="AE13" i="45" s="1"/>
  <c r="Y13" i="45"/>
  <c r="Z13" i="45" s="1"/>
  <c r="U13" i="45"/>
  <c r="W13" i="45" s="1"/>
  <c r="S13" i="45"/>
  <c r="R13" i="45"/>
  <c r="P13" i="45"/>
  <c r="O13" i="45"/>
  <c r="N13" i="45"/>
  <c r="L13" i="45"/>
  <c r="K13" i="45"/>
  <c r="J13" i="45"/>
  <c r="H13" i="45"/>
  <c r="G13" i="45"/>
  <c r="F13" i="45"/>
  <c r="D13" i="45"/>
  <c r="C13" i="45"/>
  <c r="B13" i="45"/>
  <c r="A13" i="45"/>
  <c r="AU12" i="45"/>
  <c r="AT12" i="45"/>
  <c r="AK12" i="45"/>
  <c r="AM12" i="45" s="1"/>
  <c r="AG12" i="45"/>
  <c r="AH12" i="45" s="1"/>
  <c r="AC12" i="45"/>
  <c r="AE12" i="45" s="1"/>
  <c r="Y12" i="45"/>
  <c r="Z12" i="45" s="1"/>
  <c r="U12" i="45"/>
  <c r="W12" i="45" s="1"/>
  <c r="S12" i="45"/>
  <c r="R12" i="45"/>
  <c r="P12" i="45"/>
  <c r="O12" i="45"/>
  <c r="N12" i="45"/>
  <c r="L12" i="45"/>
  <c r="K12" i="45"/>
  <c r="J12" i="45"/>
  <c r="H12" i="45"/>
  <c r="G12" i="45"/>
  <c r="F12" i="45"/>
  <c r="D12" i="45"/>
  <c r="C12" i="45"/>
  <c r="B12" i="45"/>
  <c r="A12" i="45"/>
  <c r="AU11" i="45"/>
  <c r="AT11" i="45"/>
  <c r="AK11" i="45"/>
  <c r="AM11" i="45" s="1"/>
  <c r="AG11" i="45"/>
  <c r="AH11" i="45" s="1"/>
  <c r="AC11" i="45"/>
  <c r="AE11" i="45" s="1"/>
  <c r="Y11" i="45"/>
  <c r="Z11" i="45" s="1"/>
  <c r="U11" i="45"/>
  <c r="W11" i="45" s="1"/>
  <c r="S11" i="45"/>
  <c r="R11" i="45"/>
  <c r="P11" i="45"/>
  <c r="O11" i="45"/>
  <c r="N11" i="45"/>
  <c r="L11" i="45"/>
  <c r="K11" i="45"/>
  <c r="J11" i="45"/>
  <c r="H11" i="45"/>
  <c r="G11" i="45"/>
  <c r="F11" i="45"/>
  <c r="D11" i="45"/>
  <c r="C11" i="45"/>
  <c r="B11" i="45"/>
  <c r="A11" i="45"/>
  <c r="AK10" i="45"/>
  <c r="AL10" i="45" s="1"/>
  <c r="AG10" i="45"/>
  <c r="AI10" i="45" s="1"/>
  <c r="AC10" i="45"/>
  <c r="AE10" i="45" s="1"/>
  <c r="Y10" i="45"/>
  <c r="AA10" i="45" s="1"/>
  <c r="U10" i="45"/>
  <c r="V10" i="45" s="1"/>
  <c r="S10" i="45"/>
  <c r="R10" i="45"/>
  <c r="P10" i="45"/>
  <c r="O10" i="45"/>
  <c r="N10" i="45"/>
  <c r="L10" i="45"/>
  <c r="K10" i="45"/>
  <c r="J10" i="45"/>
  <c r="H10" i="45"/>
  <c r="G10" i="45"/>
  <c r="F10" i="45"/>
  <c r="D10" i="45"/>
  <c r="C10" i="45"/>
  <c r="B10" i="45"/>
  <c r="A10" i="45"/>
  <c r="AK9" i="45"/>
  <c r="AM9" i="45" s="1"/>
  <c r="AG9" i="45"/>
  <c r="AI9" i="45" s="1"/>
  <c r="AC9" i="45"/>
  <c r="AE9" i="45" s="1"/>
  <c r="Y9" i="45"/>
  <c r="AA9" i="45" s="1"/>
  <c r="U9" i="45"/>
  <c r="W9" i="45" s="1"/>
  <c r="S9" i="45"/>
  <c r="R9" i="45"/>
  <c r="P9" i="45"/>
  <c r="O9" i="45"/>
  <c r="N9" i="45"/>
  <c r="L9" i="45"/>
  <c r="K9" i="45"/>
  <c r="J9" i="45"/>
  <c r="H9" i="45"/>
  <c r="G9" i="45"/>
  <c r="F9" i="45"/>
  <c r="D9" i="45"/>
  <c r="C9" i="45"/>
  <c r="B9" i="45"/>
  <c r="A9" i="45"/>
  <c r="AK8" i="45"/>
  <c r="AM8" i="45" s="1"/>
  <c r="AG8" i="45"/>
  <c r="AF8" i="45" s="1"/>
  <c r="AC8" i="45"/>
  <c r="AE8" i="45" s="1"/>
  <c r="Y8" i="45"/>
  <c r="Z8" i="45" s="1"/>
  <c r="U8" i="45"/>
  <c r="AN8" i="45" s="1"/>
  <c r="S8" i="45"/>
  <c r="R8" i="45"/>
  <c r="P8" i="45"/>
  <c r="O8" i="45"/>
  <c r="N8" i="45"/>
  <c r="L8" i="45"/>
  <c r="K8" i="45"/>
  <c r="J8" i="45"/>
  <c r="H8" i="45"/>
  <c r="G8" i="45"/>
  <c r="F8" i="45"/>
  <c r="D8" i="45"/>
  <c r="C8" i="45"/>
  <c r="B8" i="45"/>
  <c r="A8" i="45"/>
  <c r="AD41" i="48"/>
  <c r="AB41" i="48"/>
  <c r="Z41" i="48"/>
  <c r="X41" i="48"/>
  <c r="V41" i="48"/>
  <c r="T41" i="48"/>
  <c r="R41" i="48"/>
  <c r="P41" i="48"/>
  <c r="I41" i="48"/>
  <c r="AE39" i="48"/>
  <c r="AD39" i="48"/>
  <c r="AC39" i="48"/>
  <c r="AB39" i="48"/>
  <c r="AA39" i="48"/>
  <c r="Y39" i="48"/>
  <c r="X39" i="48"/>
  <c r="W39" i="48"/>
  <c r="V39" i="48"/>
  <c r="U39" i="48"/>
  <c r="S39" i="48"/>
  <c r="R39" i="48"/>
  <c r="Q39" i="48"/>
  <c r="P39" i="48"/>
  <c r="I39" i="48"/>
  <c r="F39" i="48"/>
  <c r="E39" i="48"/>
  <c r="D39" i="48"/>
  <c r="A39" i="48"/>
  <c r="AE38" i="48"/>
  <c r="AD38" i="48"/>
  <c r="AC38" i="48"/>
  <c r="AB38" i="48"/>
  <c r="AA38" i="48"/>
  <c r="Y38" i="48"/>
  <c r="X38" i="48"/>
  <c r="W38" i="48"/>
  <c r="V38" i="48"/>
  <c r="U38" i="48"/>
  <c r="S38" i="48"/>
  <c r="R38" i="48"/>
  <c r="Q38" i="48"/>
  <c r="P38" i="48"/>
  <c r="I38" i="48"/>
  <c r="F38" i="48"/>
  <c r="E38" i="48"/>
  <c r="D38" i="48"/>
  <c r="A38" i="48"/>
  <c r="AE37" i="48"/>
  <c r="AD37" i="48"/>
  <c r="AC37" i="48"/>
  <c r="AB37" i="48"/>
  <c r="AA37" i="48"/>
  <c r="Y37" i="48"/>
  <c r="X37" i="48"/>
  <c r="W37" i="48"/>
  <c r="V37" i="48"/>
  <c r="U37" i="48"/>
  <c r="S37" i="48"/>
  <c r="R37" i="48"/>
  <c r="Q37" i="48"/>
  <c r="P37" i="48"/>
  <c r="I37" i="48"/>
  <c r="F37" i="48"/>
  <c r="E37" i="48"/>
  <c r="D37" i="48"/>
  <c r="A37" i="48"/>
  <c r="AL36" i="48"/>
  <c r="AN36" i="48" s="1"/>
  <c r="AE36" i="48"/>
  <c r="AD36" i="48"/>
  <c r="AC36" i="48"/>
  <c r="AB36" i="48"/>
  <c r="AA36" i="48"/>
  <c r="Y36" i="48"/>
  <c r="X36" i="48"/>
  <c r="W36" i="48"/>
  <c r="V36" i="48"/>
  <c r="U36" i="48"/>
  <c r="S36" i="48"/>
  <c r="R36" i="48"/>
  <c r="Q36" i="48"/>
  <c r="P36" i="48"/>
  <c r="N36" i="48"/>
  <c r="G36" i="48" s="1"/>
  <c r="I36" i="48"/>
  <c r="F36" i="48"/>
  <c r="E36" i="48"/>
  <c r="D36" i="48"/>
  <c r="A36" i="48"/>
  <c r="AE35" i="48"/>
  <c r="AD35" i="48"/>
  <c r="AC35" i="48"/>
  <c r="AB35" i="48"/>
  <c r="AA35" i="48"/>
  <c r="Y35" i="48"/>
  <c r="X35" i="48"/>
  <c r="W35" i="48"/>
  <c r="V35" i="48"/>
  <c r="U35" i="48"/>
  <c r="S35" i="48"/>
  <c r="R35" i="48"/>
  <c r="Q35" i="48"/>
  <c r="P35" i="48"/>
  <c r="I35" i="48"/>
  <c r="F35" i="48"/>
  <c r="E35" i="48"/>
  <c r="D35" i="48"/>
  <c r="A35" i="48"/>
  <c r="AN34" i="48"/>
  <c r="AL34" i="48"/>
  <c r="AE34" i="48"/>
  <c r="AD34" i="48"/>
  <c r="AC34" i="48"/>
  <c r="AB34" i="48"/>
  <c r="AA34" i="48"/>
  <c r="Y34" i="48"/>
  <c r="X34" i="48"/>
  <c r="W34" i="48"/>
  <c r="V34" i="48"/>
  <c r="U34" i="48"/>
  <c r="S34" i="48"/>
  <c r="R34" i="48"/>
  <c r="Q34" i="48"/>
  <c r="P34" i="48"/>
  <c r="N34" i="48"/>
  <c r="G34" i="48" s="1"/>
  <c r="L34" i="48"/>
  <c r="J34" i="48"/>
  <c r="I34" i="48"/>
  <c r="H34" i="48"/>
  <c r="F34" i="48"/>
  <c r="E34" i="48"/>
  <c r="D34" i="48"/>
  <c r="A34" i="48"/>
  <c r="AE33" i="48"/>
  <c r="AD33" i="48"/>
  <c r="AC33" i="48"/>
  <c r="AB33" i="48"/>
  <c r="AA33" i="48"/>
  <c r="Y33" i="48"/>
  <c r="X33" i="48"/>
  <c r="W33" i="48"/>
  <c r="V33" i="48"/>
  <c r="U33" i="48"/>
  <c r="S33" i="48"/>
  <c r="R33" i="48"/>
  <c r="Q33" i="48"/>
  <c r="P33" i="48"/>
  <c r="I33" i="48"/>
  <c r="F33" i="48"/>
  <c r="E33" i="48"/>
  <c r="D33" i="48"/>
  <c r="A33" i="48"/>
  <c r="AE32" i="48"/>
  <c r="AD32" i="48"/>
  <c r="AC32" i="48"/>
  <c r="AB32" i="48"/>
  <c r="AA32" i="48"/>
  <c r="Y32" i="48"/>
  <c r="X32" i="48"/>
  <c r="W32" i="48"/>
  <c r="V32" i="48"/>
  <c r="U32" i="48"/>
  <c r="S32" i="48"/>
  <c r="R32" i="48"/>
  <c r="Q32" i="48"/>
  <c r="P32" i="48"/>
  <c r="I32" i="48"/>
  <c r="F32" i="48"/>
  <c r="E32" i="48"/>
  <c r="D32" i="48"/>
  <c r="A32" i="48"/>
  <c r="AE31" i="48"/>
  <c r="AD31" i="48"/>
  <c r="AC31" i="48"/>
  <c r="AB31" i="48"/>
  <c r="AA31" i="48"/>
  <c r="Y31" i="48"/>
  <c r="X31" i="48"/>
  <c r="W31" i="48"/>
  <c r="V31" i="48"/>
  <c r="U31" i="48"/>
  <c r="S31" i="48"/>
  <c r="R31" i="48"/>
  <c r="Q31" i="48"/>
  <c r="P31" i="48"/>
  <c r="I31" i="48"/>
  <c r="F31" i="48"/>
  <c r="E31" i="48"/>
  <c r="D31" i="48"/>
  <c r="A31" i="48"/>
  <c r="AE30" i="48"/>
  <c r="AD30" i="48"/>
  <c r="AC30" i="48"/>
  <c r="AB30" i="48"/>
  <c r="AA30" i="48"/>
  <c r="Y30" i="48"/>
  <c r="X30" i="48"/>
  <c r="W30" i="48"/>
  <c r="V30" i="48"/>
  <c r="U30" i="48"/>
  <c r="S30" i="48"/>
  <c r="R30" i="48"/>
  <c r="Q30" i="48"/>
  <c r="P30" i="48"/>
  <c r="I30" i="48"/>
  <c r="F30" i="48"/>
  <c r="E30" i="48"/>
  <c r="D30" i="48"/>
  <c r="A30" i="48"/>
  <c r="AE29" i="48"/>
  <c r="AD29" i="48"/>
  <c r="AC29" i="48"/>
  <c r="AB29" i="48"/>
  <c r="AA29" i="48"/>
  <c r="Y29" i="48"/>
  <c r="X29" i="48"/>
  <c r="W29" i="48"/>
  <c r="V29" i="48"/>
  <c r="U29" i="48"/>
  <c r="S29" i="48"/>
  <c r="R29" i="48"/>
  <c r="Q29" i="48"/>
  <c r="P29" i="48"/>
  <c r="I29" i="48"/>
  <c r="F29" i="48"/>
  <c r="E29" i="48"/>
  <c r="D29" i="48"/>
  <c r="A29" i="48"/>
  <c r="AE28" i="48"/>
  <c r="AD28" i="48"/>
  <c r="AC28" i="48"/>
  <c r="AB28" i="48"/>
  <c r="AA28" i="48"/>
  <c r="Y28" i="48"/>
  <c r="X28" i="48"/>
  <c r="W28" i="48"/>
  <c r="V28" i="48"/>
  <c r="U28" i="48"/>
  <c r="S28" i="48"/>
  <c r="R28" i="48"/>
  <c r="Q28" i="48"/>
  <c r="P28" i="48"/>
  <c r="I28" i="48"/>
  <c r="F28" i="48"/>
  <c r="E28" i="48"/>
  <c r="D28" i="48"/>
  <c r="A28" i="48"/>
  <c r="AL27" i="48"/>
  <c r="AN27" i="48" s="1"/>
  <c r="AE27" i="48"/>
  <c r="AD27" i="48"/>
  <c r="AC27" i="48"/>
  <c r="AB27" i="48"/>
  <c r="AA27" i="48"/>
  <c r="Y27" i="48"/>
  <c r="X27" i="48"/>
  <c r="W27" i="48"/>
  <c r="V27" i="48"/>
  <c r="U27" i="48"/>
  <c r="S27" i="48"/>
  <c r="R27" i="48"/>
  <c r="Q27" i="48"/>
  <c r="P27" i="48"/>
  <c r="I27" i="48"/>
  <c r="F27" i="48"/>
  <c r="E27" i="48"/>
  <c r="D27" i="48"/>
  <c r="A27" i="48"/>
  <c r="AE26" i="48"/>
  <c r="AD26" i="48"/>
  <c r="AC26" i="48"/>
  <c r="AB26" i="48"/>
  <c r="AA26" i="48"/>
  <c r="Y26" i="48"/>
  <c r="X26" i="48"/>
  <c r="W26" i="48"/>
  <c r="V26" i="48"/>
  <c r="U26" i="48"/>
  <c r="S26" i="48"/>
  <c r="R26" i="48"/>
  <c r="Q26" i="48"/>
  <c r="P26" i="48"/>
  <c r="N26" i="48"/>
  <c r="I26" i="48"/>
  <c r="G26" i="48"/>
  <c r="F26" i="48"/>
  <c r="E26" i="48"/>
  <c r="D26" i="48"/>
  <c r="A26" i="48"/>
  <c r="AE25" i="48"/>
  <c r="AD25" i="48"/>
  <c r="AC25" i="48"/>
  <c r="AB25" i="48"/>
  <c r="AA25" i="48"/>
  <c r="Y25" i="48"/>
  <c r="X25" i="48"/>
  <c r="W25" i="48"/>
  <c r="V25" i="48"/>
  <c r="U25" i="48"/>
  <c r="S25" i="48"/>
  <c r="R25" i="48"/>
  <c r="Q25" i="48"/>
  <c r="P25" i="48"/>
  <c r="I25" i="48"/>
  <c r="F25" i="48"/>
  <c r="E25" i="48"/>
  <c r="D25" i="48"/>
  <c r="A25" i="48"/>
  <c r="AE24" i="48"/>
  <c r="AD24" i="48"/>
  <c r="AC24" i="48"/>
  <c r="AB24" i="48"/>
  <c r="AA24" i="48"/>
  <c r="Y24" i="48"/>
  <c r="X24" i="48"/>
  <c r="W24" i="48"/>
  <c r="V24" i="48"/>
  <c r="U24" i="48"/>
  <c r="S24" i="48"/>
  <c r="R24" i="48"/>
  <c r="Q24" i="48"/>
  <c r="P24" i="48"/>
  <c r="L24" i="48"/>
  <c r="J24" i="48" s="1"/>
  <c r="I24" i="48"/>
  <c r="F24" i="48"/>
  <c r="E24" i="48"/>
  <c r="D24" i="48"/>
  <c r="A24" i="48"/>
  <c r="AE23" i="48"/>
  <c r="AD23" i="48"/>
  <c r="AC23" i="48"/>
  <c r="AB23" i="48"/>
  <c r="AA23" i="48"/>
  <c r="Y23" i="48"/>
  <c r="X23" i="48"/>
  <c r="W23" i="48"/>
  <c r="V23" i="48"/>
  <c r="U23" i="48"/>
  <c r="S23" i="48"/>
  <c r="R23" i="48"/>
  <c r="Q23" i="48"/>
  <c r="P23" i="48"/>
  <c r="N23" i="48"/>
  <c r="L23" i="48"/>
  <c r="H23" i="48" s="1"/>
  <c r="J23" i="48"/>
  <c r="I23" i="48"/>
  <c r="G23" i="48"/>
  <c r="F23" i="48"/>
  <c r="E23" i="48"/>
  <c r="D23" i="48"/>
  <c r="A23" i="48"/>
  <c r="AE22" i="48"/>
  <c r="AD22" i="48"/>
  <c r="AC22" i="48"/>
  <c r="AB22" i="48"/>
  <c r="AA22" i="48"/>
  <c r="Y22" i="48"/>
  <c r="X22" i="48"/>
  <c r="W22" i="48"/>
  <c r="V22" i="48"/>
  <c r="U22" i="48"/>
  <c r="S22" i="48"/>
  <c r="R22" i="48"/>
  <c r="Q22" i="48"/>
  <c r="P22" i="48"/>
  <c r="I22" i="48"/>
  <c r="F22" i="48"/>
  <c r="E22" i="48"/>
  <c r="D22" i="48"/>
  <c r="A22" i="48"/>
  <c r="AE21" i="48"/>
  <c r="AD21" i="48"/>
  <c r="AC21" i="48"/>
  <c r="AB21" i="48"/>
  <c r="AA21" i="48"/>
  <c r="Y21" i="48"/>
  <c r="X21" i="48"/>
  <c r="W21" i="48"/>
  <c r="V21" i="48"/>
  <c r="U21" i="48"/>
  <c r="S21" i="48"/>
  <c r="R21" i="48"/>
  <c r="Q21" i="48"/>
  <c r="P21" i="48"/>
  <c r="N21" i="48"/>
  <c r="I21" i="48"/>
  <c r="G21" i="48"/>
  <c r="F21" i="48"/>
  <c r="E21" i="48"/>
  <c r="D21" i="48"/>
  <c r="A21" i="48"/>
  <c r="AE20" i="48"/>
  <c r="AD20" i="48"/>
  <c r="AC20" i="48"/>
  <c r="AB20" i="48"/>
  <c r="AA20" i="48"/>
  <c r="Y20" i="48"/>
  <c r="X20" i="48"/>
  <c r="W20" i="48"/>
  <c r="V20" i="48"/>
  <c r="U20" i="48"/>
  <c r="S20" i="48"/>
  <c r="R20" i="48"/>
  <c r="Q20" i="48"/>
  <c r="P20" i="48"/>
  <c r="I20" i="48"/>
  <c r="F20" i="48"/>
  <c r="E20" i="48"/>
  <c r="D20" i="48"/>
  <c r="A20" i="48"/>
  <c r="AL19" i="48"/>
  <c r="AN19" i="48" s="1"/>
  <c r="AE19" i="48"/>
  <c r="AD19" i="48"/>
  <c r="AC19" i="48"/>
  <c r="AB19" i="48"/>
  <c r="AA19" i="48"/>
  <c r="Y19" i="48"/>
  <c r="X19" i="48"/>
  <c r="W19" i="48"/>
  <c r="V19" i="48"/>
  <c r="U19" i="48"/>
  <c r="S19" i="48"/>
  <c r="R19" i="48"/>
  <c r="Q19" i="48"/>
  <c r="P19" i="48"/>
  <c r="N19" i="48"/>
  <c r="G19" i="48" s="1"/>
  <c r="I19" i="48"/>
  <c r="F19" i="48"/>
  <c r="E19" i="48"/>
  <c r="D19" i="48"/>
  <c r="A19" i="48"/>
  <c r="AE18" i="48"/>
  <c r="AD18" i="48"/>
  <c r="AC18" i="48"/>
  <c r="AB18" i="48"/>
  <c r="AA18" i="48"/>
  <c r="Y18" i="48"/>
  <c r="X18" i="48"/>
  <c r="W18" i="48"/>
  <c r="V18" i="48"/>
  <c r="U18" i="48"/>
  <c r="S18" i="48"/>
  <c r="R18" i="48"/>
  <c r="Q18" i="48"/>
  <c r="P18" i="48"/>
  <c r="I18" i="48"/>
  <c r="F18" i="48"/>
  <c r="E18" i="48"/>
  <c r="D18" i="48"/>
  <c r="A18" i="48"/>
  <c r="AE17" i="48"/>
  <c r="AD17" i="48"/>
  <c r="AC17" i="48"/>
  <c r="AB17" i="48"/>
  <c r="AA17" i="48"/>
  <c r="Y17" i="48"/>
  <c r="X17" i="48"/>
  <c r="W17" i="48"/>
  <c r="V17" i="48"/>
  <c r="U17" i="48"/>
  <c r="S17" i="48"/>
  <c r="R17" i="48"/>
  <c r="Q17" i="48"/>
  <c r="P17" i="48"/>
  <c r="N17" i="48"/>
  <c r="I17" i="48"/>
  <c r="G17" i="48"/>
  <c r="F17" i="48"/>
  <c r="E17" i="48"/>
  <c r="D17" i="48"/>
  <c r="A17" i="48"/>
  <c r="AE16" i="48"/>
  <c r="AD16" i="48"/>
  <c r="AC16" i="48"/>
  <c r="AB16" i="48"/>
  <c r="AA16" i="48"/>
  <c r="Y16" i="48"/>
  <c r="X16" i="48"/>
  <c r="W16" i="48"/>
  <c r="V16" i="48"/>
  <c r="U16" i="48"/>
  <c r="S16" i="48"/>
  <c r="R16" i="48"/>
  <c r="Q16" i="48"/>
  <c r="P16" i="48"/>
  <c r="I16" i="48"/>
  <c r="F16" i="48"/>
  <c r="E16" i="48"/>
  <c r="D16" i="48"/>
  <c r="A16" i="48"/>
  <c r="AE15" i="48"/>
  <c r="AD15" i="48"/>
  <c r="AC15" i="48"/>
  <c r="AB15" i="48"/>
  <c r="AA15" i="48"/>
  <c r="Y15" i="48"/>
  <c r="X15" i="48"/>
  <c r="W15" i="48"/>
  <c r="V15" i="48"/>
  <c r="U15" i="48"/>
  <c r="S15" i="48"/>
  <c r="R15" i="48"/>
  <c r="Q15" i="48"/>
  <c r="P15" i="48"/>
  <c r="N15" i="48"/>
  <c r="I15" i="48"/>
  <c r="G15" i="48"/>
  <c r="F15" i="48"/>
  <c r="E15" i="48"/>
  <c r="D15" i="48"/>
  <c r="A15" i="48"/>
  <c r="AE14" i="48"/>
  <c r="AD14" i="48"/>
  <c r="AC14" i="48"/>
  <c r="AB14" i="48"/>
  <c r="AA14" i="48"/>
  <c r="Y14" i="48"/>
  <c r="X14" i="48"/>
  <c r="W14" i="48"/>
  <c r="V14" i="48"/>
  <c r="U14" i="48"/>
  <c r="S14" i="48"/>
  <c r="R14" i="48"/>
  <c r="Q14" i="48"/>
  <c r="P14" i="48"/>
  <c r="I14" i="48"/>
  <c r="F14" i="48"/>
  <c r="E14" i="48"/>
  <c r="D14" i="48"/>
  <c r="A14" i="48"/>
  <c r="AE13" i="48"/>
  <c r="AD13" i="48"/>
  <c r="AC13" i="48"/>
  <c r="AB13" i="48"/>
  <c r="AA13" i="48"/>
  <c r="Y13" i="48"/>
  <c r="X13" i="48"/>
  <c r="W13" i="48"/>
  <c r="V13" i="48"/>
  <c r="U13" i="48"/>
  <c r="S13" i="48"/>
  <c r="R13" i="48"/>
  <c r="Q13" i="48"/>
  <c r="P13" i="48"/>
  <c r="I13" i="48"/>
  <c r="F13" i="48"/>
  <c r="E13" i="48"/>
  <c r="D13" i="48"/>
  <c r="A13" i="48"/>
  <c r="AN12" i="48"/>
  <c r="AL12" i="48"/>
  <c r="AE12" i="48"/>
  <c r="AD12" i="48"/>
  <c r="AC12" i="48"/>
  <c r="AB12" i="48"/>
  <c r="AA12" i="48"/>
  <c r="Y12" i="48"/>
  <c r="X12" i="48"/>
  <c r="W12" i="48"/>
  <c r="V12" i="48"/>
  <c r="U12" i="48"/>
  <c r="S12" i="48"/>
  <c r="R12" i="48"/>
  <c r="Q12" i="48"/>
  <c r="P12" i="48"/>
  <c r="N12" i="48"/>
  <c r="G12" i="48" s="1"/>
  <c r="I12" i="48"/>
  <c r="F12" i="48"/>
  <c r="E12" i="48"/>
  <c r="D12" i="48"/>
  <c r="A12" i="48"/>
  <c r="AE11" i="48"/>
  <c r="AD11" i="48"/>
  <c r="AC11" i="48"/>
  <c r="AB11" i="48"/>
  <c r="AA11" i="48"/>
  <c r="Y11" i="48"/>
  <c r="X11" i="48"/>
  <c r="W11" i="48"/>
  <c r="V11" i="48"/>
  <c r="U11" i="48"/>
  <c r="S11" i="48"/>
  <c r="R11" i="48"/>
  <c r="Q11" i="48"/>
  <c r="P11" i="48"/>
  <c r="I11" i="48"/>
  <c r="F11" i="48"/>
  <c r="E11" i="48"/>
  <c r="D11" i="48"/>
  <c r="A11" i="48"/>
  <c r="AE10" i="48"/>
  <c r="AD10" i="48"/>
  <c r="AC10" i="48"/>
  <c r="AB10" i="48"/>
  <c r="AA10" i="48"/>
  <c r="Y10" i="48"/>
  <c r="X10" i="48"/>
  <c r="W10" i="48"/>
  <c r="V10" i="48"/>
  <c r="U10" i="48"/>
  <c r="S10" i="48"/>
  <c r="R10" i="48"/>
  <c r="Q10" i="48"/>
  <c r="P10" i="48"/>
  <c r="N10" i="48"/>
  <c r="I10" i="48"/>
  <c r="G10" i="48"/>
  <c r="F10" i="48"/>
  <c r="E10" i="48"/>
  <c r="D10" i="48"/>
  <c r="A10" i="48"/>
  <c r="AE9" i="48"/>
  <c r="AD9" i="48"/>
  <c r="AC9" i="48"/>
  <c r="AB9" i="48"/>
  <c r="AA9" i="48"/>
  <c r="Y9" i="48"/>
  <c r="X9" i="48"/>
  <c r="W9" i="48"/>
  <c r="V9" i="48"/>
  <c r="U9" i="48"/>
  <c r="S9" i="48"/>
  <c r="R9" i="48"/>
  <c r="Q9" i="48"/>
  <c r="P9" i="48"/>
  <c r="I9" i="48"/>
  <c r="F9" i="48"/>
  <c r="E9" i="48"/>
  <c r="D9" i="48"/>
  <c r="AM10" i="45" l="1"/>
  <c r="AN29" i="45"/>
  <c r="AN33" i="45"/>
  <c r="AN37" i="45"/>
  <c r="AM37" i="45"/>
  <c r="AX138" i="55"/>
  <c r="X166" i="55" s="1"/>
  <c r="AF138" i="55"/>
  <c r="X150" i="55" s="1"/>
  <c r="AT138" i="55"/>
  <c r="X162" i="55" s="1"/>
  <c r="AH138" i="55"/>
  <c r="X152" i="55" s="1"/>
  <c r="AK138" i="55"/>
  <c r="X155" i="55" s="1"/>
  <c r="AS138" i="55"/>
  <c r="X161" i="55" s="1"/>
  <c r="AQ138" i="55"/>
  <c r="X160" i="55" s="1"/>
  <c r="AN138" i="55"/>
  <c r="X157" i="55" s="1"/>
  <c r="AM138" i="55"/>
  <c r="AZ138" i="55"/>
  <c r="X167" i="55" s="1"/>
  <c r="AG138" i="55"/>
  <c r="X151" i="55" s="1"/>
  <c r="AW138" i="55"/>
  <c r="X164" i="55" s="1"/>
  <c r="AR138" i="55"/>
  <c r="AJ138" i="55"/>
  <c r="X154" i="55" s="1"/>
  <c r="AL138" i="55"/>
  <c r="X156" i="55" s="1"/>
  <c r="AY138" i="55"/>
  <c r="AP138" i="55"/>
  <c r="X159" i="55" s="1"/>
  <c r="AO138" i="55"/>
  <c r="X158" i="55" s="1"/>
  <c r="AI138" i="55"/>
  <c r="X153" i="55" s="1"/>
  <c r="AU138" i="55"/>
  <c r="X163" i="55" s="1"/>
  <c r="AV138" i="55"/>
  <c r="X165" i="55" s="1"/>
  <c r="BA138" i="55"/>
  <c r="X168" i="55"/>
  <c r="X170" i="55" s="1"/>
  <c r="K6" i="56"/>
  <c r="J6" i="56"/>
  <c r="AD37" i="56"/>
  <c r="AD42" i="56"/>
  <c r="AD50" i="56"/>
  <c r="AD27" i="56"/>
  <c r="AA25" i="56"/>
  <c r="AD39" i="56"/>
  <c r="V45" i="56"/>
  <c r="H45" i="56"/>
  <c r="V37" i="56"/>
  <c r="H37" i="56"/>
  <c r="AA6" i="56"/>
  <c r="AD57" i="56"/>
  <c r="H24" i="48"/>
  <c r="X70" i="56"/>
  <c r="V6" i="56"/>
  <c r="AM137" i="56"/>
  <c r="N7" i="56"/>
  <c r="U16" i="56"/>
  <c r="AA16" i="56" s="1"/>
  <c r="N20" i="56"/>
  <c r="N25" i="56"/>
  <c r="H26" i="56"/>
  <c r="C27" i="56"/>
  <c r="N13" i="48" s="1"/>
  <c r="G13" i="48" s="1"/>
  <c r="U27" i="56"/>
  <c r="C29" i="56"/>
  <c r="N14" i="48" s="1"/>
  <c r="G14" i="48" s="1"/>
  <c r="U29" i="56"/>
  <c r="AA29" i="56" s="1"/>
  <c r="N30" i="56"/>
  <c r="K33" i="56"/>
  <c r="K41" i="56"/>
  <c r="K49" i="56"/>
  <c r="T53" i="56"/>
  <c r="K57" i="56"/>
  <c r="C61" i="56"/>
  <c r="U61" i="56"/>
  <c r="T62" i="56"/>
  <c r="J66" i="56"/>
  <c r="W137" i="56"/>
  <c r="AR137" i="56"/>
  <c r="V27" i="56"/>
  <c r="V29" i="56"/>
  <c r="C37" i="56"/>
  <c r="N16" i="48" s="1"/>
  <c r="G16" i="48" s="1"/>
  <c r="T37" i="56"/>
  <c r="C45" i="56"/>
  <c r="N18" i="48" s="1"/>
  <c r="G18" i="48" s="1"/>
  <c r="T45" i="56"/>
  <c r="C53" i="56"/>
  <c r="U53" i="56"/>
  <c r="AA53" i="56" s="1"/>
  <c r="V61" i="56"/>
  <c r="AD66" i="56"/>
  <c r="BA137" i="56"/>
  <c r="U37" i="56"/>
  <c r="AA37" i="56" s="1"/>
  <c r="U45" i="56"/>
  <c r="AA45" i="56" s="1"/>
  <c r="H53" i="56"/>
  <c r="K74" i="56"/>
  <c r="V74" i="56"/>
  <c r="U74" i="56"/>
  <c r="C74" i="56"/>
  <c r="U83" i="56"/>
  <c r="AA82" i="56" s="1"/>
  <c r="T83" i="56"/>
  <c r="C83" i="56"/>
  <c r="N27" i="48" s="1"/>
  <c r="G27" i="48" s="1"/>
  <c r="N83" i="56"/>
  <c r="V94" i="56"/>
  <c r="H94" i="56"/>
  <c r="AD98" i="56"/>
  <c r="AA102" i="56"/>
  <c r="AD103" i="56"/>
  <c r="AD113" i="56"/>
  <c r="Z139" i="56"/>
  <c r="I2" i="53"/>
  <c r="P8" i="56"/>
  <c r="P137" i="56" s="1"/>
  <c r="O137" i="56" s="1"/>
  <c r="N11" i="56"/>
  <c r="K27" i="56"/>
  <c r="AC27" i="56" s="1"/>
  <c r="K29" i="56"/>
  <c r="K61" i="56"/>
  <c r="X74" i="56"/>
  <c r="C8" i="56"/>
  <c r="T8" i="56"/>
  <c r="AC8" i="56" s="1"/>
  <c r="N16" i="56"/>
  <c r="P41" i="56"/>
  <c r="AD62" i="56"/>
  <c r="AD67" i="56"/>
  <c r="T74" i="56"/>
  <c r="AB111" i="56"/>
  <c r="Y139" i="56"/>
  <c r="U62" i="56"/>
  <c r="N62" i="56"/>
  <c r="V70" i="56"/>
  <c r="U70" i="56"/>
  <c r="AA70" i="56" s="1"/>
  <c r="C70" i="56"/>
  <c r="AD72" i="56"/>
  <c r="AA86" i="56"/>
  <c r="C6" i="56"/>
  <c r="T6" i="56"/>
  <c r="J8" i="56"/>
  <c r="T11" i="56"/>
  <c r="P27" i="56"/>
  <c r="P29" i="56"/>
  <c r="J31" i="56"/>
  <c r="P61" i="56"/>
  <c r="P70" i="56"/>
  <c r="S138" i="56"/>
  <c r="S139" i="56"/>
  <c r="AD111" i="56"/>
  <c r="AD6" i="56"/>
  <c r="AD137" i="56" s="1"/>
  <c r="C16" i="56"/>
  <c r="N11" i="48" s="1"/>
  <c r="G11" i="48" s="1"/>
  <c r="H63" i="56"/>
  <c r="AA66" i="56"/>
  <c r="AB66" i="56" s="1"/>
  <c r="T70" i="56"/>
  <c r="AC70" i="56" s="1"/>
  <c r="AA98" i="56"/>
  <c r="C71" i="56"/>
  <c r="U71" i="56"/>
  <c r="C75" i="56"/>
  <c r="U75" i="56"/>
  <c r="C76" i="56"/>
  <c r="U76" i="56"/>
  <c r="H78" i="56"/>
  <c r="N86" i="56"/>
  <c r="U87" i="56"/>
  <c r="P107" i="56"/>
  <c r="P111" i="56"/>
  <c r="R139" i="56"/>
  <c r="Q138" i="56"/>
  <c r="P99" i="56"/>
  <c r="P103" i="56"/>
  <c r="P104" i="56"/>
  <c r="P115" i="56"/>
  <c r="C63" i="56"/>
  <c r="J82" i="56"/>
  <c r="N87" i="56"/>
  <c r="J98" i="56"/>
  <c r="T99" i="56"/>
  <c r="J102" i="56"/>
  <c r="T103" i="56"/>
  <c r="P105" i="56"/>
  <c r="J107" i="56"/>
  <c r="P108" i="56"/>
  <c r="J111" i="56"/>
  <c r="T115" i="56"/>
  <c r="H119" i="56"/>
  <c r="P123" i="56"/>
  <c r="P128" i="56"/>
  <c r="J129" i="56"/>
  <c r="P132" i="56"/>
  <c r="C90" i="56"/>
  <c r="N29" i="48" s="1"/>
  <c r="G29" i="48" s="1"/>
  <c r="T90" i="56"/>
  <c r="C95" i="56"/>
  <c r="N30" i="48" s="1"/>
  <c r="G30" i="48" s="1"/>
  <c r="T95" i="56"/>
  <c r="C99" i="56"/>
  <c r="N31" i="48" s="1"/>
  <c r="G31" i="48" s="1"/>
  <c r="C103" i="56"/>
  <c r="N32" i="48" s="1"/>
  <c r="G32" i="48" s="1"/>
  <c r="C104" i="56"/>
  <c r="T104" i="56"/>
  <c r="T105" i="56"/>
  <c r="T108" i="56"/>
  <c r="C115" i="56"/>
  <c r="N35" i="48" s="1"/>
  <c r="G35" i="48" s="1"/>
  <c r="T123" i="56"/>
  <c r="T128" i="56"/>
  <c r="T132" i="56"/>
  <c r="H90" i="56"/>
  <c r="H95" i="56"/>
  <c r="H99" i="56"/>
  <c r="H103" i="56"/>
  <c r="H104" i="56"/>
  <c r="C105" i="56"/>
  <c r="C108" i="56"/>
  <c r="N33" i="48" s="1"/>
  <c r="G33" i="48" s="1"/>
  <c r="H115" i="56"/>
  <c r="C123" i="56"/>
  <c r="N37" i="48" s="1"/>
  <c r="G37" i="48" s="1"/>
  <c r="C128" i="56"/>
  <c r="N38" i="48" s="1"/>
  <c r="G38" i="48" s="1"/>
  <c r="C132" i="56"/>
  <c r="N39" i="48" s="1"/>
  <c r="G39" i="48" s="1"/>
  <c r="C87" i="56"/>
  <c r="N28" i="48" s="1"/>
  <c r="G28" i="48" s="1"/>
  <c r="H105" i="56"/>
  <c r="H108" i="56"/>
  <c r="H123" i="56"/>
  <c r="H128" i="56"/>
  <c r="H132" i="56"/>
  <c r="AL21" i="48"/>
  <c r="AN21" i="48" s="1"/>
  <c r="AF9" i="45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F22" i="45" s="1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N23" i="45"/>
  <c r="AM35" i="45"/>
  <c r="Z25" i="45"/>
  <c r="Z10" i="45"/>
  <c r="Z24" i="45"/>
  <c r="Z9" i="45"/>
  <c r="AD11" i="45"/>
  <c r="AL26" i="45"/>
  <c r="AN14" i="45"/>
  <c r="AA8" i="45"/>
  <c r="AH9" i="45"/>
  <c r="AH10" i="45"/>
  <c r="Z18" i="45"/>
  <c r="Z26" i="45"/>
  <c r="W10" i="45"/>
  <c r="AD17" i="45"/>
  <c r="AD26" i="45"/>
  <c r="AL14" i="45"/>
  <c r="AD22" i="45"/>
  <c r="AI24" i="45"/>
  <c r="AH25" i="45"/>
  <c r="AM31" i="45"/>
  <c r="AE33" i="45"/>
  <c r="AH8" i="45"/>
  <c r="AL17" i="45"/>
  <c r="AL20" i="45"/>
  <c r="AL21" i="45"/>
  <c r="AI27" i="45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AI8" i="45"/>
  <c r="AN19" i="45"/>
  <c r="AN15" i="45"/>
  <c r="I46" i="26" s="1"/>
  <c r="AF16" i="48" s="1"/>
  <c r="AJ16" i="48" s="1"/>
  <c r="AN21" i="45"/>
  <c r="AL22" i="45"/>
  <c r="AN24" i="45"/>
  <c r="I46" i="17" s="1"/>
  <c r="AF25" i="48" s="1"/>
  <c r="V26" i="45"/>
  <c r="AM27" i="45"/>
  <c r="AI29" i="45"/>
  <c r="AM33" i="45"/>
  <c r="AE35" i="45"/>
  <c r="W37" i="45"/>
  <c r="V13" i="45"/>
  <c r="W15" i="45"/>
  <c r="Z20" i="45"/>
  <c r="V21" i="45"/>
  <c r="AE31" i="45"/>
  <c r="W33" i="45"/>
  <c r="Z15" i="45"/>
  <c r="AH19" i="45"/>
  <c r="Z22" i="45"/>
  <c r="AA27" i="45"/>
  <c r="AI31" i="45"/>
  <c r="AN36" i="45"/>
  <c r="AD12" i="45"/>
  <c r="AD13" i="45"/>
  <c r="AH17" i="45"/>
  <c r="AH20" i="45"/>
  <c r="Z23" i="45"/>
  <c r="AN35" i="45"/>
  <c r="AO35" i="45" s="1"/>
  <c r="I46" i="33"/>
  <c r="AF9" i="48" s="1"/>
  <c r="AG9" i="48" s="1"/>
  <c r="AP8" i="45"/>
  <c r="AN12" i="45"/>
  <c r="I46" i="29" s="1"/>
  <c r="AF13" i="48" s="1"/>
  <c r="AJ13" i="48" s="1"/>
  <c r="AN28" i="45"/>
  <c r="V9" i="45"/>
  <c r="V12" i="45"/>
  <c r="AL13" i="45"/>
  <c r="AH18" i="45"/>
  <c r="AD19" i="45"/>
  <c r="AH21" i="45"/>
  <c r="V23" i="45"/>
  <c r="AL23" i="45"/>
  <c r="AE29" i="45"/>
  <c r="AN31" i="45"/>
  <c r="AA33" i="45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AN13" i="45"/>
  <c r="I46" i="27" s="1"/>
  <c r="I47" i="27" s="1"/>
  <c r="AN32" i="45"/>
  <c r="AI35" i="45"/>
  <c r="AA37" i="45"/>
  <c r="V8" i="45"/>
  <c r="AD8" i="45"/>
  <c r="AL8" i="45"/>
  <c r="AE15" i="45"/>
  <c r="Z17" i="45"/>
  <c r="AD20" i="45"/>
  <c r="AH22" i="45"/>
  <c r="AH26" i="45"/>
  <c r="AE27" i="45"/>
  <c r="AA31" i="45"/>
  <c r="W8" i="45"/>
  <c r="AL9" i="45"/>
  <c r="AD10" i="45"/>
  <c r="AN10" i="45"/>
  <c r="AL11" i="45"/>
  <c r="V14" i="45"/>
  <c r="AH16" i="45"/>
  <c r="V19" i="45"/>
  <c r="AL19" i="45"/>
  <c r="Z21" i="45"/>
  <c r="AN22" i="45"/>
  <c r="AP22" i="45" s="1"/>
  <c r="AD23" i="45"/>
  <c r="AN25" i="45"/>
  <c r="AP25" i="45" s="1"/>
  <c r="W29" i="45"/>
  <c r="AM29" i="45"/>
  <c r="AI33" i="45"/>
  <c r="AE37" i="45"/>
  <c r="AN9" i="45"/>
  <c r="I46" i="32" s="1"/>
  <c r="I47" i="32" s="1"/>
  <c r="AN11" i="45"/>
  <c r="I46" i="30" s="1"/>
  <c r="AF12" i="48" s="1"/>
  <c r="AJ12" i="48" s="1"/>
  <c r="AA35" i="45"/>
  <c r="AD9" i="45"/>
  <c r="V11" i="45"/>
  <c r="AL12" i="45"/>
  <c r="Z14" i="45"/>
  <c r="V15" i="45"/>
  <c r="AL16" i="45"/>
  <c r="Z19" i="45"/>
  <c r="AN20" i="45"/>
  <c r="AD21" i="45"/>
  <c r="AH23" i="45"/>
  <c r="AN27" i="45"/>
  <c r="AP27" i="45" s="1"/>
  <c r="AA29" i="45"/>
  <c r="AI37" i="45"/>
  <c r="AK9" i="48"/>
  <c r="I46" i="28"/>
  <c r="AP14" i="45"/>
  <c r="AO14" i="45"/>
  <c r="U40" i="45"/>
  <c r="AC40" i="45"/>
  <c r="AK40" i="45"/>
  <c r="AO10" i="45"/>
  <c r="AA11" i="45"/>
  <c r="AI11" i="45"/>
  <c r="AA12" i="45"/>
  <c r="AI12" i="45"/>
  <c r="AA13" i="45"/>
  <c r="AI13" i="45"/>
  <c r="AM15" i="45"/>
  <c r="AD18" i="45"/>
  <c r="I46" i="8"/>
  <c r="AP33" i="45"/>
  <c r="AO33" i="45"/>
  <c r="AF10" i="48"/>
  <c r="AD14" i="45"/>
  <c r="AO15" i="45"/>
  <c r="Z16" i="45"/>
  <c r="AN16" i="45"/>
  <c r="I46" i="22"/>
  <c r="AP20" i="45"/>
  <c r="AO20" i="45"/>
  <c r="I46" i="14"/>
  <c r="AO27" i="45"/>
  <c r="J46" i="33"/>
  <c r="I47" i="33"/>
  <c r="AP9" i="45"/>
  <c r="AE14" i="45"/>
  <c r="AP15" i="45"/>
  <c r="AN18" i="45"/>
  <c r="W18" i="45"/>
  <c r="AP23" i="45"/>
  <c r="AO23" i="45"/>
  <c r="I46" i="18"/>
  <c r="AP28" i="45"/>
  <c r="AO28" i="45"/>
  <c r="I46" i="13"/>
  <c r="I46" i="4"/>
  <c r="AP37" i="45"/>
  <c r="AO37" i="45"/>
  <c r="Y40" i="45"/>
  <c r="AG40" i="45"/>
  <c r="AO8" i="45"/>
  <c r="AH15" i="45"/>
  <c r="AD16" i="45"/>
  <c r="V18" i="45"/>
  <c r="AL18" i="45"/>
  <c r="I46" i="10"/>
  <c r="AP31" i="45"/>
  <c r="AO31" i="45"/>
  <c r="AP21" i="45"/>
  <c r="AO21" i="45"/>
  <c r="I46" i="20"/>
  <c r="I48" i="17"/>
  <c r="AP32" i="45"/>
  <c r="AO32" i="45"/>
  <c r="I46" i="9"/>
  <c r="I48" i="29"/>
  <c r="AO12" i="45"/>
  <c r="AO13" i="45"/>
  <c r="AH14" i="45"/>
  <c r="V16" i="45"/>
  <c r="AN17" i="45"/>
  <c r="W17" i="45"/>
  <c r="I46" i="6"/>
  <c r="AP35" i="45"/>
  <c r="AP12" i="45"/>
  <c r="AP13" i="45"/>
  <c r="AP19" i="45"/>
  <c r="AO19" i="45"/>
  <c r="I46" i="21"/>
  <c r="AP29" i="45"/>
  <c r="AO29" i="45"/>
  <c r="I46" i="12"/>
  <c r="I46" i="37"/>
  <c r="AP36" i="45"/>
  <c r="AO36" i="45"/>
  <c r="V24" i="45"/>
  <c r="AD24" i="45"/>
  <c r="AL24" i="45"/>
  <c r="V25" i="45"/>
  <c r="AD25" i="45"/>
  <c r="AL25" i="45"/>
  <c r="AN26" i="45"/>
  <c r="AA28" i="45"/>
  <c r="AI28" i="45"/>
  <c r="W30" i="45"/>
  <c r="AE30" i="45"/>
  <c r="AM30" i="45"/>
  <c r="AA32" i="45"/>
  <c r="AI32" i="45"/>
  <c r="W34" i="45"/>
  <c r="AE34" i="45"/>
  <c r="AM34" i="45"/>
  <c r="AA36" i="45"/>
  <c r="AI36" i="45"/>
  <c r="W38" i="45"/>
  <c r="AE38" i="45"/>
  <c r="AM38" i="45"/>
  <c r="I46" i="16"/>
  <c r="V29" i="45"/>
  <c r="AN30" i="45"/>
  <c r="V33" i="45"/>
  <c r="AN34" i="45"/>
  <c r="V37" i="45"/>
  <c r="AN38" i="45"/>
  <c r="W19" i="45"/>
  <c r="W20" i="45"/>
  <c r="W21" i="45"/>
  <c r="W22" i="45"/>
  <c r="W23" i="45"/>
  <c r="AO24" i="45"/>
  <c r="AO25" i="45"/>
  <c r="V28" i="45"/>
  <c r="AD28" i="45"/>
  <c r="AL28" i="45"/>
  <c r="Z30" i="45"/>
  <c r="AH30" i="45"/>
  <c r="V32" i="45"/>
  <c r="AD32" i="45"/>
  <c r="AL32" i="45"/>
  <c r="Z34" i="45"/>
  <c r="AH34" i="45"/>
  <c r="V36" i="45"/>
  <c r="AD36" i="45"/>
  <c r="AL36" i="45"/>
  <c r="Z38" i="45"/>
  <c r="AH38" i="45"/>
  <c r="AP24" i="45"/>
  <c r="W28" i="45"/>
  <c r="W32" i="45"/>
  <c r="W36" i="45"/>
  <c r="V27" i="45"/>
  <c r="V31" i="45"/>
  <c r="V35" i="45"/>
  <c r="D42" i="23"/>
  <c r="E42" i="24"/>
  <c r="E40" i="24"/>
  <c r="D40" i="23"/>
  <c r="D52" i="24"/>
  <c r="D53" i="24" s="1"/>
  <c r="E43" i="24"/>
  <c r="D43" i="23"/>
  <c r="E41" i="24"/>
  <c r="D41" i="23"/>
  <c r="C52" i="24"/>
  <c r="C53" i="24" s="1"/>
  <c r="I48" i="33" l="1"/>
  <c r="I47" i="17"/>
  <c r="AO9" i="45"/>
  <c r="I47" i="30"/>
  <c r="I46" i="19"/>
  <c r="I48" i="30"/>
  <c r="AO11" i="45"/>
  <c r="AO22" i="45"/>
  <c r="I47" i="29"/>
  <c r="AJ9" i="48"/>
  <c r="AP11" i="45"/>
  <c r="I48" i="26"/>
  <c r="I47" i="26"/>
  <c r="AB57" i="56"/>
  <c r="K105" i="56"/>
  <c r="AC105" i="56" s="1"/>
  <c r="J105" i="56"/>
  <c r="J104" i="56"/>
  <c r="K104" i="56"/>
  <c r="AC104" i="56" s="1"/>
  <c r="N24" i="48"/>
  <c r="G24" i="48" s="1"/>
  <c r="V16" i="56"/>
  <c r="H16" i="56"/>
  <c r="AC61" i="56"/>
  <c r="X57" i="56"/>
  <c r="J103" i="56"/>
  <c r="K103" i="56"/>
  <c r="V87" i="56"/>
  <c r="H87" i="56"/>
  <c r="AB70" i="56"/>
  <c r="AC29" i="56"/>
  <c r="K94" i="56"/>
  <c r="J94" i="56"/>
  <c r="N25" i="48"/>
  <c r="G25" i="48" s="1"/>
  <c r="AC49" i="56"/>
  <c r="L19" i="48"/>
  <c r="K26" i="56"/>
  <c r="AC26" i="56" s="1"/>
  <c r="J26" i="56"/>
  <c r="K37" i="56"/>
  <c r="J37" i="56"/>
  <c r="J99" i="56"/>
  <c r="K99" i="56"/>
  <c r="AA74" i="56"/>
  <c r="AB74" i="56" s="1"/>
  <c r="AC41" i="56"/>
  <c r="X41" i="56"/>
  <c r="L17" i="48"/>
  <c r="V25" i="56"/>
  <c r="V137" i="56" s="1"/>
  <c r="H25" i="56"/>
  <c r="J95" i="56"/>
  <c r="K95" i="56"/>
  <c r="AC95" i="56" s="1"/>
  <c r="K63" i="56"/>
  <c r="AC63" i="56" s="1"/>
  <c r="J63" i="56"/>
  <c r="H62" i="56"/>
  <c r="V62" i="56"/>
  <c r="H11" i="56"/>
  <c r="V11" i="56"/>
  <c r="H83" i="56"/>
  <c r="V83" i="56"/>
  <c r="AC33" i="56"/>
  <c r="X33" i="56"/>
  <c r="L15" i="48"/>
  <c r="V20" i="56"/>
  <c r="H20" i="56"/>
  <c r="AB33" i="56"/>
  <c r="AH25" i="48"/>
  <c r="K132" i="56"/>
  <c r="J132" i="56"/>
  <c r="J90" i="56"/>
  <c r="K90" i="56"/>
  <c r="AC74" i="56"/>
  <c r="L25" i="48"/>
  <c r="V30" i="56"/>
  <c r="H30" i="56"/>
  <c r="X49" i="56"/>
  <c r="AB49" i="56"/>
  <c r="K128" i="56"/>
  <c r="J128" i="56"/>
  <c r="J115" i="56"/>
  <c r="K115" i="56"/>
  <c r="V86" i="56"/>
  <c r="H86" i="56"/>
  <c r="I9" i="53"/>
  <c r="T137" i="56"/>
  <c r="E12" i="54"/>
  <c r="K53" i="56"/>
  <c r="J53" i="56"/>
  <c r="AA61" i="56"/>
  <c r="V7" i="56"/>
  <c r="H7" i="56"/>
  <c r="K45" i="56"/>
  <c r="J45" i="56"/>
  <c r="K123" i="56"/>
  <c r="J123" i="56"/>
  <c r="J78" i="56"/>
  <c r="K78" i="56"/>
  <c r="C137" i="56"/>
  <c r="N9" i="48"/>
  <c r="N22" i="48"/>
  <c r="G22" i="48" s="1"/>
  <c r="AA137" i="56"/>
  <c r="K108" i="56"/>
  <c r="J108" i="56"/>
  <c r="K119" i="56"/>
  <c r="J119" i="56"/>
  <c r="X142" i="56"/>
  <c r="W139" i="56"/>
  <c r="AC57" i="56"/>
  <c r="L21" i="48"/>
  <c r="U137" i="56"/>
  <c r="X140" i="56" s="1"/>
  <c r="AB41" i="56"/>
  <c r="AC6" i="56"/>
  <c r="T9" i="53"/>
  <c r="T2" i="53"/>
  <c r="AL28" i="48"/>
  <c r="AN28" i="48" s="1"/>
  <c r="AL26" i="48"/>
  <c r="AN26" i="48" s="1"/>
  <c r="AJ25" i="48"/>
  <c r="AF14" i="48"/>
  <c r="I46" i="31"/>
  <c r="AP10" i="45"/>
  <c r="I48" i="27"/>
  <c r="I48" i="32"/>
  <c r="I48" i="21"/>
  <c r="I47" i="21"/>
  <c r="AF20" i="48"/>
  <c r="I46" i="24"/>
  <c r="AP17" i="45"/>
  <c r="AO17" i="45"/>
  <c r="AA40" i="45"/>
  <c r="Z40" i="45"/>
  <c r="J48" i="33"/>
  <c r="J47" i="33"/>
  <c r="I48" i="8"/>
  <c r="I47" i="8"/>
  <c r="AF34" i="48"/>
  <c r="AL40" i="45"/>
  <c r="AM40" i="45"/>
  <c r="AP30" i="45"/>
  <c r="AO30" i="45"/>
  <c r="I46" i="11"/>
  <c r="I48" i="20"/>
  <c r="I47" i="20"/>
  <c r="AF22" i="48"/>
  <c r="I48" i="10"/>
  <c r="I47" i="10"/>
  <c r="AF32" i="48"/>
  <c r="AJ10" i="48"/>
  <c r="AG10" i="48"/>
  <c r="AE40" i="45"/>
  <c r="AD40" i="45"/>
  <c r="I47" i="22"/>
  <c r="I48" i="22"/>
  <c r="AF21" i="48"/>
  <c r="J46" i="32"/>
  <c r="W40" i="45"/>
  <c r="V40" i="45"/>
  <c r="AN40" i="45"/>
  <c r="I47" i="16"/>
  <c r="I48" i="16"/>
  <c r="AF26" i="48"/>
  <c r="I46" i="15"/>
  <c r="AP26" i="45"/>
  <c r="AO26" i="45"/>
  <c r="I47" i="9"/>
  <c r="I48" i="9"/>
  <c r="AF33" i="48"/>
  <c r="I47" i="4"/>
  <c r="I48" i="4"/>
  <c r="AF38" i="48"/>
  <c r="I46" i="23"/>
  <c r="AO18" i="45"/>
  <c r="AP18" i="45"/>
  <c r="I46" i="25"/>
  <c r="AP16" i="45"/>
  <c r="AO16" i="45"/>
  <c r="I47" i="37"/>
  <c r="I48" i="37"/>
  <c r="AF37" i="48"/>
  <c r="I47" i="13"/>
  <c r="I48" i="13"/>
  <c r="AF29" i="48"/>
  <c r="I47" i="19"/>
  <c r="I48" i="19"/>
  <c r="AF23" i="48"/>
  <c r="I46" i="43"/>
  <c r="AP38" i="45"/>
  <c r="AO38" i="45"/>
  <c r="I48" i="12"/>
  <c r="I47" i="12"/>
  <c r="AF30" i="48"/>
  <c r="I48" i="6"/>
  <c r="I47" i="6"/>
  <c r="AF36" i="48"/>
  <c r="I47" i="28"/>
  <c r="I48" i="28"/>
  <c r="AF15" i="48"/>
  <c r="AP34" i="45"/>
  <c r="AO34" i="45"/>
  <c r="I46" i="7"/>
  <c r="AJ14" i="48"/>
  <c r="AI40" i="45"/>
  <c r="AH40" i="45"/>
  <c r="I48" i="18"/>
  <c r="I47" i="18"/>
  <c r="AF24" i="48"/>
  <c r="I48" i="14"/>
  <c r="I47" i="14"/>
  <c r="AF28" i="48"/>
  <c r="E43" i="23"/>
  <c r="D43" i="21"/>
  <c r="E40" i="23"/>
  <c r="D40" i="21"/>
  <c r="D52" i="23"/>
  <c r="D53" i="23" s="1"/>
  <c r="E52" i="24"/>
  <c r="E53" i="24" s="1"/>
  <c r="E41" i="23"/>
  <c r="D41" i="21"/>
  <c r="D42" i="21"/>
  <c r="E42" i="23"/>
  <c r="I10" i="53" l="1"/>
  <c r="E27" i="54" s="1"/>
  <c r="K83" i="56"/>
  <c r="J83" i="56"/>
  <c r="K7" i="56"/>
  <c r="J7" i="56"/>
  <c r="AC78" i="56"/>
  <c r="AB78" i="56" s="1"/>
  <c r="X78" i="56"/>
  <c r="L26" i="48"/>
  <c r="H25" i="48"/>
  <c r="J25" i="48"/>
  <c r="K20" i="56"/>
  <c r="J20" i="56"/>
  <c r="K11" i="56"/>
  <c r="J11" i="56"/>
  <c r="H19" i="48"/>
  <c r="J19" i="48"/>
  <c r="AC119" i="56"/>
  <c r="L36" i="48"/>
  <c r="AH36" i="48" s="1"/>
  <c r="AB119" i="56"/>
  <c r="X119" i="56"/>
  <c r="K25" i="56"/>
  <c r="J25" i="56"/>
  <c r="AC99" i="56"/>
  <c r="AB98" i="56" s="1"/>
  <c r="L31" i="48"/>
  <c r="X98" i="56"/>
  <c r="H15" i="48"/>
  <c r="J15" i="48"/>
  <c r="E29" i="54"/>
  <c r="E38" i="54"/>
  <c r="E23" i="54"/>
  <c r="E5" i="54"/>
  <c r="E28" i="54"/>
  <c r="E35" i="54"/>
  <c r="E22" i="54"/>
  <c r="E20" i="54"/>
  <c r="AC90" i="56"/>
  <c r="AB90" i="56" s="1"/>
  <c r="X90" i="56"/>
  <c r="L29" i="48"/>
  <c r="AC128" i="56"/>
  <c r="AB128" i="56" s="1"/>
  <c r="X128" i="56"/>
  <c r="L38" i="48"/>
  <c r="AC108" i="56"/>
  <c r="AB107" i="56" s="1"/>
  <c r="L33" i="48"/>
  <c r="X107" i="56"/>
  <c r="AC123" i="56"/>
  <c r="AB123" i="56" s="1"/>
  <c r="X123" i="56"/>
  <c r="L37" i="48"/>
  <c r="K62" i="56"/>
  <c r="J62" i="56"/>
  <c r="J17" i="48"/>
  <c r="H17" i="48"/>
  <c r="J87" i="56"/>
  <c r="K87" i="56"/>
  <c r="AC87" i="56" s="1"/>
  <c r="H21" i="48"/>
  <c r="J21" i="48"/>
  <c r="AC53" i="56"/>
  <c r="AB53" i="56" s="1"/>
  <c r="L20" i="48"/>
  <c r="X53" i="56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G9" i="48"/>
  <c r="K86" i="56"/>
  <c r="J86" i="56"/>
  <c r="AC132" i="56"/>
  <c r="X132" i="56"/>
  <c r="L39" i="48"/>
  <c r="AB132" i="56"/>
  <c r="X37" i="56"/>
  <c r="AC37" i="56"/>
  <c r="AB37" i="56" s="1"/>
  <c r="L16" i="48"/>
  <c r="AC103" i="56"/>
  <c r="AB102" i="56" s="1"/>
  <c r="L32" i="48"/>
  <c r="X102" i="56"/>
  <c r="I3" i="53"/>
  <c r="X45" i="56"/>
  <c r="AC45" i="56"/>
  <c r="AB45" i="56" s="1"/>
  <c r="L18" i="48"/>
  <c r="K30" i="56"/>
  <c r="J30" i="56"/>
  <c r="AC94" i="56"/>
  <c r="AB94" i="56" s="1"/>
  <c r="L30" i="48"/>
  <c r="AH30" i="48" s="1"/>
  <c r="X94" i="56"/>
  <c r="K16" i="56"/>
  <c r="J16" i="56"/>
  <c r="AC115" i="56"/>
  <c r="L35" i="48"/>
  <c r="AB115" i="56"/>
  <c r="X115" i="56"/>
  <c r="T10" i="53"/>
  <c r="N25" i="54" s="1"/>
  <c r="AL16" i="48"/>
  <c r="AN16" i="48" s="1"/>
  <c r="AL18" i="48"/>
  <c r="AN18" i="48" s="1"/>
  <c r="AL20" i="48"/>
  <c r="AN20" i="48" s="1"/>
  <c r="N20" i="48"/>
  <c r="AL11" i="48"/>
  <c r="AN11" i="48" s="1"/>
  <c r="AL38" i="48"/>
  <c r="AN38" i="48" s="1"/>
  <c r="AL23" i="48"/>
  <c r="AN23" i="48" s="1"/>
  <c r="AL32" i="48"/>
  <c r="AN32" i="48" s="1"/>
  <c r="AL30" i="48"/>
  <c r="AN30" i="48" s="1"/>
  <c r="AL33" i="48"/>
  <c r="AN33" i="48" s="1"/>
  <c r="AL9" i="48"/>
  <c r="N34" i="54"/>
  <c r="N35" i="54"/>
  <c r="N29" i="54"/>
  <c r="N23" i="54"/>
  <c r="N17" i="54"/>
  <c r="N19" i="54"/>
  <c r="N18" i="54"/>
  <c r="N39" i="54"/>
  <c r="N20" i="54"/>
  <c r="N31" i="54"/>
  <c r="N10" i="54"/>
  <c r="N7" i="54"/>
  <c r="N6" i="54"/>
  <c r="N5" i="54"/>
  <c r="N32" i="54"/>
  <c r="N4" i="54"/>
  <c r="N33" i="54"/>
  <c r="AL31" i="48"/>
  <c r="AN31" i="48" s="1"/>
  <c r="AL35" i="48"/>
  <c r="AN35" i="48" s="1"/>
  <c r="AL24" i="48"/>
  <c r="AN24" i="48" s="1"/>
  <c r="AL37" i="48"/>
  <c r="AN37" i="48" s="1"/>
  <c r="AL29" i="48"/>
  <c r="AN29" i="48" s="1"/>
  <c r="AL13" i="48"/>
  <c r="AN13" i="48" s="1"/>
  <c r="N12" i="54"/>
  <c r="AL10" i="48"/>
  <c r="AN10" i="48" s="1"/>
  <c r="AL25" i="48"/>
  <c r="AN25" i="48" s="1"/>
  <c r="AL39" i="48"/>
  <c r="AN39" i="48" s="1"/>
  <c r="AL14" i="48"/>
  <c r="AN14" i="48" s="1"/>
  <c r="AL22" i="48"/>
  <c r="AN22" i="48" s="1"/>
  <c r="AL17" i="48"/>
  <c r="AN17" i="48" s="1"/>
  <c r="AF11" i="48"/>
  <c r="AG11" i="48" s="1"/>
  <c r="I48" i="31"/>
  <c r="I47" i="31"/>
  <c r="AK10" i="48"/>
  <c r="AJ34" i="48"/>
  <c r="AH34" i="48"/>
  <c r="AJ24" i="48"/>
  <c r="AH24" i="48"/>
  <c r="AJ36" i="48"/>
  <c r="AJ26" i="48"/>
  <c r="AH26" i="48"/>
  <c r="AH21" i="48"/>
  <c r="AJ21" i="48"/>
  <c r="I48" i="24"/>
  <c r="I47" i="24"/>
  <c r="AF18" i="48"/>
  <c r="I47" i="7"/>
  <c r="I48" i="7"/>
  <c r="AF35" i="48"/>
  <c r="I47" i="25"/>
  <c r="I48" i="25"/>
  <c r="AF17" i="48"/>
  <c r="AH33" i="48"/>
  <c r="AJ33" i="48"/>
  <c r="AJ32" i="48"/>
  <c r="AH32" i="48"/>
  <c r="I47" i="11"/>
  <c r="I48" i="11"/>
  <c r="AF31" i="48"/>
  <c r="AH20" i="48"/>
  <c r="AJ20" i="48"/>
  <c r="I48" i="43"/>
  <c r="I47" i="43"/>
  <c r="AF39" i="48"/>
  <c r="AJ23" i="48"/>
  <c r="AH23" i="48"/>
  <c r="AJ37" i="48"/>
  <c r="I48" i="15"/>
  <c r="I47" i="15"/>
  <c r="AF27" i="48"/>
  <c r="AJ28" i="48"/>
  <c r="AJ30" i="48"/>
  <c r="I47" i="23"/>
  <c r="I48" i="23"/>
  <c r="AF19" i="48"/>
  <c r="AN42" i="45"/>
  <c r="AP40" i="45"/>
  <c r="AO40" i="45"/>
  <c r="AJ29" i="48"/>
  <c r="J48" i="32"/>
  <c r="J47" i="32"/>
  <c r="J46" i="31"/>
  <c r="AJ15" i="48"/>
  <c r="AH15" i="48"/>
  <c r="AJ38" i="48"/>
  <c r="AJ22" i="48"/>
  <c r="E41" i="21"/>
  <c r="D41" i="22"/>
  <c r="E40" i="21"/>
  <c r="D40" i="22"/>
  <c r="D52" i="21"/>
  <c r="D53" i="21" s="1"/>
  <c r="E52" i="23"/>
  <c r="E53" i="23" s="1"/>
  <c r="E43" i="21"/>
  <c r="D43" i="22"/>
  <c r="D42" i="22"/>
  <c r="E42" i="21"/>
  <c r="J29" i="48" l="1"/>
  <c r="H29" i="48"/>
  <c r="E13" i="54"/>
  <c r="H39" i="48"/>
  <c r="J39" i="48"/>
  <c r="H20" i="48"/>
  <c r="J20" i="48"/>
  <c r="E6" i="54"/>
  <c r="E11" i="54"/>
  <c r="E4" i="54"/>
  <c r="J35" i="48"/>
  <c r="H35" i="48"/>
  <c r="AC62" i="56"/>
  <c r="AB61" i="56" s="1"/>
  <c r="X61" i="56"/>
  <c r="L22" i="48"/>
  <c r="E33" i="54"/>
  <c r="E17" i="54"/>
  <c r="E19" i="54"/>
  <c r="E10" i="54"/>
  <c r="E7" i="54"/>
  <c r="AC25" i="56"/>
  <c r="AB25" i="56" s="1"/>
  <c r="L13" i="48"/>
  <c r="X25" i="56"/>
  <c r="AC11" i="56"/>
  <c r="AB11" i="56" s="1"/>
  <c r="X11" i="56"/>
  <c r="L10" i="48"/>
  <c r="J32" i="48"/>
  <c r="H32" i="48"/>
  <c r="E9" i="54"/>
  <c r="E26" i="54"/>
  <c r="E21" i="54"/>
  <c r="E16" i="54"/>
  <c r="H37" i="48"/>
  <c r="J37" i="48"/>
  <c r="AC20" i="56"/>
  <c r="AB20" i="56" s="1"/>
  <c r="L12" i="48"/>
  <c r="X20" i="56"/>
  <c r="AC7" i="56"/>
  <c r="L9" i="48"/>
  <c r="X6" i="56"/>
  <c r="K137" i="56"/>
  <c r="J38" i="48"/>
  <c r="H38" i="48"/>
  <c r="J18" i="48"/>
  <c r="H18" i="48"/>
  <c r="AC86" i="56"/>
  <c r="L28" i="48"/>
  <c r="X86" i="56"/>
  <c r="AB86" i="56"/>
  <c r="J16" i="48"/>
  <c r="H16" i="48"/>
  <c r="AH16" i="48"/>
  <c r="AC30" i="56"/>
  <c r="AB29" i="56" s="1"/>
  <c r="X29" i="56"/>
  <c r="L14" i="48"/>
  <c r="E30" i="54"/>
  <c r="E18" i="54"/>
  <c r="H36" i="48"/>
  <c r="J36" i="48"/>
  <c r="AH29" i="48"/>
  <c r="AH37" i="48"/>
  <c r="AC16" i="56"/>
  <c r="AB16" i="56" s="1"/>
  <c r="X16" i="56"/>
  <c r="L11" i="48"/>
  <c r="E24" i="54"/>
  <c r="E32" i="54"/>
  <c r="E34" i="54"/>
  <c r="E25" i="54"/>
  <c r="AC83" i="56"/>
  <c r="AB82" i="56" s="1"/>
  <c r="L27" i="48"/>
  <c r="X82" i="56"/>
  <c r="AH38" i="48"/>
  <c r="E37" i="54"/>
  <c r="E8" i="54"/>
  <c r="E39" i="54"/>
  <c r="E36" i="54"/>
  <c r="J31" i="48"/>
  <c r="H31" i="48"/>
  <c r="J26" i="48"/>
  <c r="H26" i="48"/>
  <c r="J33" i="48"/>
  <c r="H33" i="48"/>
  <c r="J30" i="48"/>
  <c r="H30" i="48"/>
  <c r="E31" i="54"/>
  <c r="N21" i="54"/>
  <c r="N8" i="54"/>
  <c r="N26" i="54"/>
  <c r="N16" i="54"/>
  <c r="N22" i="54"/>
  <c r="N27" i="54"/>
  <c r="N9" i="54"/>
  <c r="N30" i="54"/>
  <c r="N28" i="54"/>
  <c r="T3" i="53"/>
  <c r="N41" i="48"/>
  <c r="G41" i="48" s="1"/>
  <c r="O20" i="48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G20" i="48"/>
  <c r="N11" i="54"/>
  <c r="N37" i="54"/>
  <c r="N36" i="54"/>
  <c r="N24" i="54"/>
  <c r="AL15" i="48"/>
  <c r="AN15" i="48" s="1"/>
  <c r="N38" i="54"/>
  <c r="AN9" i="48"/>
  <c r="AM9" i="48"/>
  <c r="T8" i="53"/>
  <c r="U2" i="53" s="1"/>
  <c r="O12" i="54" s="1"/>
  <c r="P12" i="54" s="1"/>
  <c r="O41" i="54"/>
  <c r="P41" i="54" s="1"/>
  <c r="Q41" i="54" s="1"/>
  <c r="T11" i="53"/>
  <c r="AF41" i="48"/>
  <c r="AJ41" i="48" s="1"/>
  <c r="AH11" i="48"/>
  <c r="AJ11" i="48"/>
  <c r="AJ31" i="48"/>
  <c r="AH31" i="48"/>
  <c r="AJ39" i="48"/>
  <c r="AH39" i="48"/>
  <c r="AH17" i="48"/>
  <c r="AJ17" i="48"/>
  <c r="AJ18" i="48"/>
  <c r="AH18" i="48"/>
  <c r="J47" i="31"/>
  <c r="J48" i="31"/>
  <c r="J46" i="30"/>
  <c r="AJ19" i="48"/>
  <c r="AH19" i="48"/>
  <c r="AK11" i="48"/>
  <c r="AG12" i="48"/>
  <c r="AJ35" i="48"/>
  <c r="AH35" i="48"/>
  <c r="AJ27" i="48"/>
  <c r="D43" i="20"/>
  <c r="E43" i="22"/>
  <c r="D52" i="22"/>
  <c r="D53" i="22" s="1"/>
  <c r="D40" i="20"/>
  <c r="E40" i="22"/>
  <c r="E52" i="21"/>
  <c r="E53" i="21" s="1"/>
  <c r="D41" i="20"/>
  <c r="E41" i="22"/>
  <c r="E42" i="22"/>
  <c r="D42" i="20"/>
  <c r="AH41" i="48" l="1"/>
  <c r="AC137" i="56"/>
  <c r="F13" i="54"/>
  <c r="G13" i="54" s="1"/>
  <c r="H12" i="48"/>
  <c r="J12" i="48"/>
  <c r="AH12" i="48"/>
  <c r="J22" i="48"/>
  <c r="H22" i="48"/>
  <c r="AH22" i="48"/>
  <c r="J11" i="48"/>
  <c r="H11" i="48"/>
  <c r="AH38" i="51"/>
  <c r="AH3" i="51"/>
  <c r="AI3" i="51" s="1"/>
  <c r="I8" i="53"/>
  <c r="AH4" i="51"/>
  <c r="Z138" i="56"/>
  <c r="X146" i="56" s="1"/>
  <c r="Y138" i="56"/>
  <c r="X145" i="56" s="1"/>
  <c r="X137" i="56"/>
  <c r="F41" i="54" s="1"/>
  <c r="G41" i="54" s="1"/>
  <c r="H41" i="54" s="1"/>
  <c r="AA138" i="56"/>
  <c r="X148" i="56" s="1"/>
  <c r="V138" i="56"/>
  <c r="J13" i="48"/>
  <c r="H13" i="48"/>
  <c r="AH13" i="48"/>
  <c r="H27" i="48"/>
  <c r="J27" i="48"/>
  <c r="H14" i="48"/>
  <c r="J14" i="48"/>
  <c r="AH14" i="48"/>
  <c r="AH27" i="48"/>
  <c r="J28" i="48"/>
  <c r="H28" i="48"/>
  <c r="AH28" i="48"/>
  <c r="AB6" i="56"/>
  <c r="AB137" i="56" s="1"/>
  <c r="L41" i="48"/>
  <c r="H9" i="48"/>
  <c r="M9" i="48"/>
  <c r="J9" i="48"/>
  <c r="AH9" i="48"/>
  <c r="J10" i="48"/>
  <c r="H10" i="48"/>
  <c r="AH10" i="48"/>
  <c r="T5" i="53"/>
  <c r="U3" i="53"/>
  <c r="O13" i="54" s="1"/>
  <c r="P13" i="54" s="1"/>
  <c r="N13" i="54"/>
  <c r="O32" i="54"/>
  <c r="O35" i="54"/>
  <c r="O39" i="54"/>
  <c r="O29" i="54"/>
  <c r="O38" i="54"/>
  <c r="P38" i="54" s="1"/>
  <c r="Q38" i="54" s="1"/>
  <c r="O10" i="54"/>
  <c r="P10" i="54" s="1"/>
  <c r="O27" i="54"/>
  <c r="O25" i="54"/>
  <c r="O37" i="54"/>
  <c r="O9" i="54"/>
  <c r="P9" i="54" s="1"/>
  <c r="O21" i="54"/>
  <c r="O4" i="54"/>
  <c r="O28" i="54"/>
  <c r="O24" i="54"/>
  <c r="P24" i="54" s="1"/>
  <c r="O8" i="54"/>
  <c r="P8" i="54" s="1"/>
  <c r="O33" i="54"/>
  <c r="O22" i="54"/>
  <c r="O30" i="54"/>
  <c r="O7" i="54"/>
  <c r="P7" i="54" s="1"/>
  <c r="O11" i="54"/>
  <c r="P11" i="54" s="1"/>
  <c r="O23" i="54"/>
  <c r="O31" i="54"/>
  <c r="P31" i="54" s="1"/>
  <c r="O34" i="54"/>
  <c r="O17" i="54"/>
  <c r="O19" i="54"/>
  <c r="O26" i="54"/>
  <c r="O6" i="54"/>
  <c r="P6" i="54" s="1"/>
  <c r="O18" i="54"/>
  <c r="P18" i="54" s="1"/>
  <c r="O20" i="54"/>
  <c r="O5" i="54"/>
  <c r="P5" i="54" s="1"/>
  <c r="O16" i="54"/>
  <c r="O36" i="54"/>
  <c r="AM10" i="48"/>
  <c r="AO9" i="48"/>
  <c r="AL41" i="48"/>
  <c r="AN41" i="48" s="1"/>
  <c r="Q12" i="54"/>
  <c r="AK12" i="48"/>
  <c r="AG13" i="48"/>
  <c r="J47" i="30"/>
  <c r="J48" i="30"/>
  <c r="J46" i="29"/>
  <c r="E41" i="20"/>
  <c r="D41" i="19"/>
  <c r="E52" i="22"/>
  <c r="E53" i="22" s="1"/>
  <c r="D40" i="19"/>
  <c r="D52" i="20"/>
  <c r="D53" i="20" s="1"/>
  <c r="E40" i="20"/>
  <c r="E42" i="20"/>
  <c r="D42" i="19"/>
  <c r="E43" i="20"/>
  <c r="D43" i="19"/>
  <c r="I5" i="53" l="1"/>
  <c r="AC138" i="56"/>
  <c r="X147" i="56" s="1"/>
  <c r="J2" i="53"/>
  <c r="F12" i="54"/>
  <c r="G12" i="54" s="1"/>
  <c r="H12" i="54" s="1"/>
  <c r="J3" i="53"/>
  <c r="I11" i="53"/>
  <c r="I4" i="53"/>
  <c r="AB138" i="56"/>
  <c r="X149" i="56" s="1"/>
  <c r="M10" i="48"/>
  <c r="K9" i="48"/>
  <c r="AI9" i="48"/>
  <c r="AK138" i="56"/>
  <c r="X155" i="56" s="1"/>
  <c r="AO138" i="56"/>
  <c r="X158" i="56" s="1"/>
  <c r="AM138" i="56"/>
  <c r="AJ138" i="56"/>
  <c r="X154" i="56" s="1"/>
  <c r="AP138" i="56"/>
  <c r="X159" i="56" s="1"/>
  <c r="AN138" i="56"/>
  <c r="X157" i="56" s="1"/>
  <c r="AS138" i="56"/>
  <c r="X161" i="56" s="1"/>
  <c r="AU138" i="56"/>
  <c r="X163" i="56" s="1"/>
  <c r="AQ138" i="56"/>
  <c r="X160" i="56" s="1"/>
  <c r="AH138" i="56"/>
  <c r="X152" i="56" s="1"/>
  <c r="AW138" i="56"/>
  <c r="X164" i="56" s="1"/>
  <c r="AX138" i="56"/>
  <c r="X166" i="56" s="1"/>
  <c r="AL138" i="56"/>
  <c r="X156" i="56" s="1"/>
  <c r="AI138" i="56"/>
  <c r="X153" i="56" s="1"/>
  <c r="BA138" i="56"/>
  <c r="AY138" i="56"/>
  <c r="AR138" i="56"/>
  <c r="AV138" i="56"/>
  <c r="X165" i="56" s="1"/>
  <c r="AF138" i="56"/>
  <c r="X150" i="56" s="1"/>
  <c r="AZ138" i="56"/>
  <c r="X167" i="56" s="1"/>
  <c r="AG138" i="56"/>
  <c r="X151" i="56" s="1"/>
  <c r="AT138" i="56"/>
  <c r="X162" i="56" s="1"/>
  <c r="H41" i="48"/>
  <c r="J41" i="48"/>
  <c r="U5" i="53"/>
  <c r="O15" i="54" s="1"/>
  <c r="P15" i="54" s="1"/>
  <c r="N15" i="54"/>
  <c r="P4" i="54"/>
  <c r="T4" i="53"/>
  <c r="AO10" i="48"/>
  <c r="AM11" i="48"/>
  <c r="P19" i="54"/>
  <c r="P36" i="54"/>
  <c r="P33" i="54"/>
  <c r="P16" i="54"/>
  <c r="J48" i="29"/>
  <c r="J47" i="29"/>
  <c r="J46" i="27"/>
  <c r="AK13" i="48"/>
  <c r="AG14" i="48"/>
  <c r="E42" i="19"/>
  <c r="D42" i="18"/>
  <c r="E52" i="20"/>
  <c r="E53" i="20" s="1"/>
  <c r="D40" i="18"/>
  <c r="D52" i="19"/>
  <c r="D53" i="19" s="1"/>
  <c r="E40" i="19"/>
  <c r="E43" i="19"/>
  <c r="D43" i="18"/>
  <c r="E41" i="19"/>
  <c r="D41" i="18"/>
  <c r="Q24" i="54" l="1"/>
  <c r="X168" i="56"/>
  <c r="X170" i="56" s="1"/>
  <c r="J5" i="53"/>
  <c r="E15" i="54"/>
  <c r="F15" i="54" s="1"/>
  <c r="G15" i="54" s="1"/>
  <c r="E14" i="54"/>
  <c r="J4" i="53"/>
  <c r="F6" i="54"/>
  <c r="G6" i="54" s="1"/>
  <c r="F39" i="54"/>
  <c r="F11" i="54"/>
  <c r="G11" i="54" s="1"/>
  <c r="F29" i="54"/>
  <c r="F36" i="54"/>
  <c r="G36" i="54" s="1"/>
  <c r="F33" i="54"/>
  <c r="F27" i="54"/>
  <c r="F34" i="54"/>
  <c r="F37" i="54"/>
  <c r="F35" i="54"/>
  <c r="F25" i="54"/>
  <c r="F23" i="54"/>
  <c r="F32" i="54"/>
  <c r="F30" i="54"/>
  <c r="F7" i="54"/>
  <c r="G7" i="54" s="1"/>
  <c r="F24" i="54"/>
  <c r="F18" i="54"/>
  <c r="G18" i="54" s="1"/>
  <c r="F22" i="54"/>
  <c r="F16" i="54"/>
  <c r="G16" i="54" s="1"/>
  <c r="F21" i="54"/>
  <c r="F28" i="54"/>
  <c r="F10" i="54"/>
  <c r="G10" i="54" s="1"/>
  <c r="F26" i="54"/>
  <c r="F20" i="54"/>
  <c r="F4" i="54"/>
  <c r="F38" i="54"/>
  <c r="G38" i="54" s="1"/>
  <c r="H38" i="54" s="1"/>
  <c r="F19" i="54"/>
  <c r="G19" i="54" s="1"/>
  <c r="F9" i="54"/>
  <c r="G9" i="54" s="1"/>
  <c r="F5" i="54"/>
  <c r="G5" i="54" s="1"/>
  <c r="F8" i="54"/>
  <c r="G8" i="54" s="1"/>
  <c r="F17" i="54"/>
  <c r="F31" i="54"/>
  <c r="K10" i="48"/>
  <c r="M11" i="48"/>
  <c r="AI10" i="48"/>
  <c r="N14" i="54"/>
  <c r="N40" i="54" s="1"/>
  <c r="U4" i="53"/>
  <c r="O14" i="54" s="1"/>
  <c r="AO11" i="48"/>
  <c r="AM12" i="48"/>
  <c r="Q4" i="54"/>
  <c r="AK14" i="48"/>
  <c r="AG15" i="48"/>
  <c r="J47" i="27"/>
  <c r="J48" i="27"/>
  <c r="J46" i="28"/>
  <c r="E43" i="18"/>
  <c r="D43" i="17"/>
  <c r="E52" i="19"/>
  <c r="E53" i="19" s="1"/>
  <c r="E40" i="18"/>
  <c r="D40" i="17"/>
  <c r="D52" i="18"/>
  <c r="D53" i="18" s="1"/>
  <c r="E41" i="18"/>
  <c r="D41" i="17"/>
  <c r="D42" i="17"/>
  <c r="E42" i="18"/>
  <c r="K11" i="48" l="1"/>
  <c r="M12" i="48"/>
  <c r="AI11" i="48"/>
  <c r="G24" i="54"/>
  <c r="H24" i="54" s="1"/>
  <c r="G4" i="54"/>
  <c r="F14" i="54"/>
  <c r="G14" i="54" s="1"/>
  <c r="H14" i="54" s="1"/>
  <c r="E40" i="54"/>
  <c r="G31" i="54"/>
  <c r="G33" i="54"/>
  <c r="P14" i="54"/>
  <c r="O40" i="54"/>
  <c r="O42" i="54" s="1"/>
  <c r="AO12" i="48"/>
  <c r="AM13" i="48"/>
  <c r="J47" i="28"/>
  <c r="J48" i="28"/>
  <c r="J46" i="26"/>
  <c r="AK15" i="48"/>
  <c r="AG16" i="48"/>
  <c r="E41" i="17"/>
  <c r="D41" i="16"/>
  <c r="D52" i="17"/>
  <c r="D53" i="17" s="1"/>
  <c r="E40" i="17"/>
  <c r="D40" i="16"/>
  <c r="E43" i="17"/>
  <c r="D43" i="16"/>
  <c r="E52" i="18"/>
  <c r="E53" i="18" s="1"/>
  <c r="E42" i="17"/>
  <c r="D42" i="16"/>
  <c r="G40" i="54" l="1"/>
  <c r="G42" i="54" s="1"/>
  <c r="H4" i="54"/>
  <c r="H40" i="54" s="1"/>
  <c r="H42" i="54" s="1"/>
  <c r="G11" i="53" s="1"/>
  <c r="F40" i="54"/>
  <c r="F42" i="54" s="1"/>
  <c r="K12" i="48"/>
  <c r="M13" i="48"/>
  <c r="AI12" i="48"/>
  <c r="Q14" i="54"/>
  <c r="Q40" i="54" s="1"/>
  <c r="Q42" i="54" s="1"/>
  <c r="R11" i="53" s="1"/>
  <c r="P40" i="54"/>
  <c r="P42" i="54" s="1"/>
  <c r="AM14" i="48"/>
  <c r="AO13" i="48"/>
  <c r="J47" i="26"/>
  <c r="J48" i="26"/>
  <c r="J46" i="25"/>
  <c r="AK16" i="48"/>
  <c r="AG17" i="48"/>
  <c r="E43" i="16"/>
  <c r="D43" i="15"/>
  <c r="D52" i="16"/>
  <c r="D53" i="16" s="1"/>
  <c r="E40" i="16"/>
  <c r="D40" i="15"/>
  <c r="D41" i="15"/>
  <c r="E41" i="16"/>
  <c r="E52" i="17"/>
  <c r="E53" i="17" s="1"/>
  <c r="E42" i="16"/>
  <c r="D42" i="15"/>
  <c r="M14" i="48" l="1"/>
  <c r="K13" i="48"/>
  <c r="AI13" i="48"/>
  <c r="AO14" i="48"/>
  <c r="AM15" i="48"/>
  <c r="J47" i="25"/>
  <c r="J48" i="25"/>
  <c r="J46" i="24"/>
  <c r="AK17" i="48"/>
  <c r="AG18" i="48"/>
  <c r="D41" i="14"/>
  <c r="E41" i="15"/>
  <c r="D40" i="14"/>
  <c r="D52" i="15"/>
  <c r="D53" i="15" s="1"/>
  <c r="E40" i="15"/>
  <c r="D43" i="14"/>
  <c r="E43" i="15"/>
  <c r="E52" i="16"/>
  <c r="E53" i="16" s="1"/>
  <c r="E42" i="15"/>
  <c r="D42" i="14"/>
  <c r="K14" i="48" l="1"/>
  <c r="M15" i="48"/>
  <c r="AI14" i="48"/>
  <c r="AM16" i="48"/>
  <c r="AO15" i="48"/>
  <c r="AK18" i="48"/>
  <c r="AG19" i="48"/>
  <c r="J48" i="24"/>
  <c r="J47" i="24"/>
  <c r="J46" i="23"/>
  <c r="E43" i="14"/>
  <c r="D43" i="13"/>
  <c r="D40" i="13"/>
  <c r="D52" i="14"/>
  <c r="D53" i="14" s="1"/>
  <c r="E40" i="14"/>
  <c r="E52" i="15"/>
  <c r="E53" i="15" s="1"/>
  <c r="E42" i="14"/>
  <c r="D42" i="13"/>
  <c r="E41" i="14"/>
  <c r="D41" i="13"/>
  <c r="M16" i="48" l="1"/>
  <c r="K15" i="48"/>
  <c r="AI15" i="48"/>
  <c r="AO16" i="48"/>
  <c r="AM17" i="48"/>
  <c r="AK19" i="48"/>
  <c r="AG20" i="48"/>
  <c r="J47" i="23"/>
  <c r="J48" i="23"/>
  <c r="J46" i="21"/>
  <c r="E40" i="13"/>
  <c r="D40" i="12"/>
  <c r="D52" i="13"/>
  <c r="D53" i="13" s="1"/>
  <c r="D42" i="12"/>
  <c r="E42" i="13"/>
  <c r="E52" i="14"/>
  <c r="E53" i="14" s="1"/>
  <c r="E41" i="13"/>
  <c r="D41" i="12"/>
  <c r="E43" i="13"/>
  <c r="D43" i="12"/>
  <c r="M17" i="48" l="1"/>
  <c r="K16" i="48"/>
  <c r="AI16" i="48"/>
  <c r="AM18" i="48"/>
  <c r="AO17" i="48"/>
  <c r="AK20" i="48"/>
  <c r="AG21" i="48"/>
  <c r="J48" i="21"/>
  <c r="J47" i="21"/>
  <c r="J46" i="22"/>
  <c r="E43" i="12"/>
  <c r="D43" i="11"/>
  <c r="E40" i="12"/>
  <c r="D40" i="11"/>
  <c r="D52" i="12"/>
  <c r="D53" i="12" s="1"/>
  <c r="E41" i="12"/>
  <c r="D41" i="11"/>
  <c r="E42" i="12"/>
  <c r="D42" i="11"/>
  <c r="E52" i="13"/>
  <c r="E53" i="13" s="1"/>
  <c r="M18" i="48" l="1"/>
  <c r="K17" i="48"/>
  <c r="AI17" i="48"/>
  <c r="AO18" i="48"/>
  <c r="AM19" i="48"/>
  <c r="AK21" i="48"/>
  <c r="AG22" i="48"/>
  <c r="J47" i="22"/>
  <c r="J48" i="22"/>
  <c r="J46" i="20"/>
  <c r="E52" i="12"/>
  <c r="E53" i="12" s="1"/>
  <c r="E41" i="11"/>
  <c r="D41" i="10"/>
  <c r="E43" i="11"/>
  <c r="D43" i="10"/>
  <c r="E40" i="11"/>
  <c r="D40" i="10"/>
  <c r="D52" i="11"/>
  <c r="D53" i="11" s="1"/>
  <c r="E42" i="11"/>
  <c r="D42" i="10"/>
  <c r="K18" i="48" l="1"/>
  <c r="M19" i="48"/>
  <c r="AI18" i="48"/>
  <c r="AM20" i="48"/>
  <c r="AO19" i="48"/>
  <c r="J48" i="20"/>
  <c r="J47" i="20"/>
  <c r="J46" i="19"/>
  <c r="AK22" i="48"/>
  <c r="AG23" i="48"/>
  <c r="E52" i="11"/>
  <c r="E53" i="11" s="1"/>
  <c r="E40" i="10"/>
  <c r="D40" i="9"/>
  <c r="D52" i="10"/>
  <c r="D53" i="10" s="1"/>
  <c r="D41" i="9"/>
  <c r="E41" i="10"/>
  <c r="E43" i="10"/>
  <c r="D43" i="9"/>
  <c r="E42" i="10"/>
  <c r="D42" i="9"/>
  <c r="M20" i="48" l="1"/>
  <c r="K19" i="48"/>
  <c r="AI19" i="48"/>
  <c r="AO20" i="48"/>
  <c r="AM21" i="48"/>
  <c r="AK23" i="48"/>
  <c r="AG24" i="48"/>
  <c r="J47" i="19"/>
  <c r="J48" i="19"/>
  <c r="J46" i="18"/>
  <c r="E41" i="9"/>
  <c r="D41" i="8"/>
  <c r="E43" i="9"/>
  <c r="D43" i="8"/>
  <c r="D40" i="8"/>
  <c r="D52" i="9"/>
  <c r="D53" i="9" s="1"/>
  <c r="E40" i="9"/>
  <c r="E42" i="9"/>
  <c r="D42" i="8"/>
  <c r="E52" i="10"/>
  <c r="E53" i="10" s="1"/>
  <c r="M21" i="48" l="1"/>
  <c r="K20" i="48"/>
  <c r="AI20" i="48"/>
  <c r="AO21" i="48"/>
  <c r="AM22" i="48"/>
  <c r="J48" i="18"/>
  <c r="J47" i="18"/>
  <c r="J46" i="17"/>
  <c r="AK24" i="48"/>
  <c r="AG25" i="48"/>
  <c r="E52" i="9"/>
  <c r="E53" i="9" s="1"/>
  <c r="E43" i="8"/>
  <c r="D43" i="7"/>
  <c r="D40" i="7"/>
  <c r="D52" i="8"/>
  <c r="D53" i="8" s="1"/>
  <c r="E40" i="8"/>
  <c r="E41" i="8"/>
  <c r="D41" i="7"/>
  <c r="E42" i="8"/>
  <c r="D42" i="7"/>
  <c r="M22" i="48" l="1"/>
  <c r="K21" i="48"/>
  <c r="AI21" i="48"/>
  <c r="AM23" i="48"/>
  <c r="AO22" i="48"/>
  <c r="J48" i="17"/>
  <c r="J47" i="17"/>
  <c r="J46" i="16"/>
  <c r="AK25" i="48"/>
  <c r="AG26" i="48"/>
  <c r="E41" i="7"/>
  <c r="D41" i="6"/>
  <c r="E40" i="7"/>
  <c r="D40" i="6"/>
  <c r="D52" i="7"/>
  <c r="D53" i="7" s="1"/>
  <c r="E43" i="7"/>
  <c r="D43" i="6"/>
  <c r="E52" i="8"/>
  <c r="E53" i="8" s="1"/>
  <c r="E42" i="7"/>
  <c r="D42" i="6"/>
  <c r="M23" i="48" l="1"/>
  <c r="K22" i="48"/>
  <c r="AI22" i="48"/>
  <c r="AM24" i="48"/>
  <c r="AO23" i="48"/>
  <c r="J47" i="16"/>
  <c r="J48" i="16"/>
  <c r="J46" i="15"/>
  <c r="AK26" i="48"/>
  <c r="AG27" i="48"/>
  <c r="E43" i="6"/>
  <c r="D43" i="37"/>
  <c r="E52" i="7"/>
  <c r="E53" i="7" s="1"/>
  <c r="E40" i="6"/>
  <c r="D40" i="37"/>
  <c r="D52" i="6"/>
  <c r="D53" i="6" s="1"/>
  <c r="E41" i="6"/>
  <c r="D41" i="37"/>
  <c r="D42" i="37"/>
  <c r="E42" i="6"/>
  <c r="M24" i="48" l="1"/>
  <c r="K23" i="48"/>
  <c r="AI23" i="48"/>
  <c r="AO24" i="48"/>
  <c r="AM25" i="48"/>
  <c r="J48" i="15"/>
  <c r="J47" i="15"/>
  <c r="J46" i="14"/>
  <c r="AK27" i="48"/>
  <c r="AG28" i="48"/>
  <c r="E40" i="37"/>
  <c r="D40" i="4"/>
  <c r="D52" i="37"/>
  <c r="D53" i="37" s="1"/>
  <c r="D43" i="4"/>
  <c r="E43" i="37"/>
  <c r="D41" i="4"/>
  <c r="E41" i="37"/>
  <c r="E52" i="6"/>
  <c r="E53" i="6" s="1"/>
  <c r="D42" i="4"/>
  <c r="E42" i="37"/>
  <c r="M25" i="48" l="1"/>
  <c r="K24" i="48"/>
  <c r="AI24" i="48"/>
  <c r="AM26" i="48"/>
  <c r="AO25" i="48"/>
  <c r="J48" i="14"/>
  <c r="J47" i="14"/>
  <c r="J46" i="13"/>
  <c r="AK28" i="48"/>
  <c r="AG29" i="48"/>
  <c r="E43" i="4"/>
  <c r="D43" i="43"/>
  <c r="E43" i="43" s="1"/>
  <c r="E41" i="4"/>
  <c r="D41" i="43"/>
  <c r="E41" i="43" s="1"/>
  <c r="D52" i="4"/>
  <c r="D53" i="4" s="1"/>
  <c r="E40" i="4"/>
  <c r="D40" i="43"/>
  <c r="E42" i="4"/>
  <c r="D42" i="43"/>
  <c r="E42" i="43" s="1"/>
  <c r="E52" i="37"/>
  <c r="E53" i="37" s="1"/>
  <c r="M26" i="48" l="1"/>
  <c r="K25" i="48"/>
  <c r="AI25" i="48"/>
  <c r="AO26" i="48"/>
  <c r="AM27" i="48"/>
  <c r="AK29" i="48"/>
  <c r="AG30" i="48"/>
  <c r="J47" i="13"/>
  <c r="J48" i="13"/>
  <c r="J46" i="12"/>
  <c r="E52" i="4"/>
  <c r="E53" i="4" s="1"/>
  <c r="D52" i="43"/>
  <c r="D53" i="43" s="1"/>
  <c r="E40" i="43"/>
  <c r="E52" i="43" s="1"/>
  <c r="E53" i="43" s="1"/>
  <c r="M27" i="48" l="1"/>
  <c r="K26" i="48"/>
  <c r="AI26" i="48"/>
  <c r="AM28" i="48"/>
  <c r="AO27" i="48"/>
  <c r="J48" i="12"/>
  <c r="J47" i="12"/>
  <c r="J46" i="11"/>
  <c r="AK30" i="48"/>
  <c r="AG31" i="48"/>
  <c r="M28" i="48" l="1"/>
  <c r="K27" i="48"/>
  <c r="AI27" i="48"/>
  <c r="AO28" i="48"/>
  <c r="AM29" i="48"/>
  <c r="J47" i="11"/>
  <c r="J48" i="11"/>
  <c r="J46" i="10"/>
  <c r="AK31" i="48"/>
  <c r="AG32" i="48"/>
  <c r="M29" i="48" l="1"/>
  <c r="K28" i="48"/>
  <c r="AI28" i="48"/>
  <c r="AO29" i="48"/>
  <c r="AM30" i="48"/>
  <c r="AK32" i="48"/>
  <c r="AG33" i="48"/>
  <c r="J48" i="10"/>
  <c r="J47" i="10"/>
  <c r="J46" i="9"/>
  <c r="M30" i="48" l="1"/>
  <c r="K29" i="48"/>
  <c r="AI29" i="48"/>
  <c r="AO30" i="48"/>
  <c r="AM31" i="48"/>
  <c r="J47" i="9"/>
  <c r="J48" i="9"/>
  <c r="J46" i="8"/>
  <c r="AK33" i="48"/>
  <c r="AG34" i="48"/>
  <c r="M31" i="48" l="1"/>
  <c r="K30" i="48"/>
  <c r="AI30" i="48"/>
  <c r="AM32" i="48"/>
  <c r="AO31" i="48"/>
  <c r="AK34" i="48"/>
  <c r="AG35" i="48"/>
  <c r="J47" i="8"/>
  <c r="J48" i="8"/>
  <c r="J46" i="7"/>
  <c r="K31" i="48" l="1"/>
  <c r="M32" i="48"/>
  <c r="AI31" i="48"/>
  <c r="AO32" i="48"/>
  <c r="AM33" i="48"/>
  <c r="AK35" i="48"/>
  <c r="AG36" i="48"/>
  <c r="J47" i="7"/>
  <c r="J48" i="7"/>
  <c r="J46" i="6"/>
  <c r="K32" i="48" l="1"/>
  <c r="M33" i="48"/>
  <c r="AI32" i="48"/>
  <c r="AM34" i="48"/>
  <c r="AO33" i="48"/>
  <c r="J48" i="6"/>
  <c r="J47" i="6"/>
  <c r="J46" i="37"/>
  <c r="AK36" i="48"/>
  <c r="AG37" i="48"/>
  <c r="M34" i="48" l="1"/>
  <c r="K33" i="48"/>
  <c r="AI33" i="48"/>
  <c r="AO34" i="48"/>
  <c r="AM35" i="48"/>
  <c r="AK37" i="48"/>
  <c r="AG38" i="48"/>
  <c r="J47" i="37"/>
  <c r="J48" i="37"/>
  <c r="J46" i="4"/>
  <c r="M35" i="48" l="1"/>
  <c r="K34" i="48"/>
  <c r="AI34" i="48"/>
  <c r="AM36" i="48"/>
  <c r="AO35" i="48"/>
  <c r="J47" i="4"/>
  <c r="J48" i="4"/>
  <c r="J46" i="43"/>
  <c r="AK38" i="48"/>
  <c r="AG39" i="48"/>
  <c r="M36" i="48" l="1"/>
  <c r="K35" i="48"/>
  <c r="AI35" i="48"/>
  <c r="AO36" i="48"/>
  <c r="AM37" i="48"/>
  <c r="AK39" i="48"/>
  <c r="J48" i="43"/>
  <c r="J47" i="43"/>
  <c r="K36" i="48" l="1"/>
  <c r="M37" i="48"/>
  <c r="AI36" i="48"/>
  <c r="AO37" i="48"/>
  <c r="AM38" i="48"/>
  <c r="M38" i="48" l="1"/>
  <c r="K37" i="48"/>
  <c r="AI37" i="48"/>
  <c r="AM39" i="48"/>
  <c r="AO39" i="48" s="1"/>
  <c r="AO38" i="48"/>
  <c r="K38" i="48" l="1"/>
  <c r="M39" i="48"/>
  <c r="AI38" i="48"/>
  <c r="K39" i="48" l="1"/>
  <c r="AI39" i="48"/>
</calcChain>
</file>

<file path=xl/comments1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Hospeco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Lifeguard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Bethel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Bethel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Bethel &amp; CVT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Jenwin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Riverpro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Bimasakti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6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Hospeco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Lifeguard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Bethel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Bethel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Bethel &amp; CVT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Jenwin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Riverpro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Bimasakti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6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7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8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  <comment ref="H9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Al Muqarram</t>
        </r>
      </text>
    </comment>
  </commentList>
</comments>
</file>

<file path=xl/comments3.xml><?xml version="1.0" encoding="utf-8"?>
<comments xmlns="http://schemas.openxmlformats.org/spreadsheetml/2006/main">
  <authors>
    <author>Produksi-PM</author>
  </authors>
  <commentList>
    <comment ref="AV22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Bocor</t>
        </r>
      </text>
    </comment>
    <comment ref="AV23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Bocor</t>
        </r>
      </text>
    </comment>
  </commentList>
</comments>
</file>

<file path=xl/sharedStrings.xml><?xml version="1.0" encoding="utf-8"?>
<sst xmlns="http://schemas.openxmlformats.org/spreadsheetml/2006/main" count="5920" uniqueCount="777">
  <si>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</si>
  <si>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</si>
  <si>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</si>
  <si>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</si>
  <si>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</si>
  <si>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</si>
  <si>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</si>
  <si>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</si>
  <si>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</si>
  <si>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</si>
  <si>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</si>
  <si>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</si>
  <si>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</si>
  <si>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</si>
  <si>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</si>
  <si>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</si>
  <si>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</si>
  <si>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</si>
  <si>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</si>
  <si>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</si>
  <si>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</si>
  <si>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</si>
  <si>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</si>
  <si>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</si>
  <si>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</si>
  <si>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</si>
  <si>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</si>
  <si>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</si>
  <si>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</si>
  <si>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</si>
  <si>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</si>
  <si>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</si>
  <si>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</si>
  <si>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</si>
  <si>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</si>
  <si>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</si>
  <si>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</si>
  <si>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</si>
  <si>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</si>
  <si>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</si>
  <si>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</si>
  <si>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</si>
  <si>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LBKP Gajah Mas</t>
  </si>
  <si>
    <t>LBKP BAGAS</t>
  </si>
  <si>
    <t>LBKP RAPP MHW</t>
  </si>
  <si>
    <t>BCTMP ROTTNEROS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</si>
  <si>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</si>
  <si>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</si>
  <si>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</si>
  <si>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</si>
  <si>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</si>
  <si>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</si>
  <si>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</si>
  <si>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</si>
  <si>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</si>
  <si>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</si>
  <si>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</si>
  <si>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</si>
  <si>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</si>
  <si>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</si>
  <si>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</si>
  <si>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</si>
  <si>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</si>
  <si>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</si>
  <si>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</si>
  <si>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</si>
  <si>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</si>
  <si>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</si>
  <si>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</si>
  <si>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</si>
  <si>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</si>
  <si>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</si>
  <si>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</si>
  <si>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</si>
  <si>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</si>
  <si>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</si>
  <si>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</si>
  <si>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</si>
  <si>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</si>
  <si>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</si>
  <si>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</si>
  <si>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</si>
  <si>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</si>
  <si>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</si>
  <si>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</si>
  <si>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</si>
  <si>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</si>
  <si>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</si>
  <si>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</si>
  <si>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</si>
  <si>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</si>
  <si>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</si>
  <si>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</si>
  <si>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LBKP Astra Cell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</si>
  <si>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</si>
  <si>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</si>
  <si>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</si>
  <si>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</si>
  <si>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</si>
  <si>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</si>
  <si>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</si>
  <si>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</si>
  <si>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</si>
  <si>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</si>
  <si>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</si>
  <si>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</si>
  <si>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</si>
  <si>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</si>
  <si>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</si>
  <si>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</si>
  <si>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</si>
  <si>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</si>
  <si>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</si>
  <si>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</si>
  <si>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</si>
  <si>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</si>
  <si>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</si>
  <si>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</si>
  <si>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</si>
  <si>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</si>
  <si>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</si>
  <si>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</si>
  <si>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</si>
  <si>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</si>
  <si>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</si>
  <si>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</si>
  <si>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</si>
  <si>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</si>
  <si>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</si>
  <si>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</si>
  <si>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</si>
  <si>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</si>
  <si>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</si>
  <si>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</si>
  <si>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</si>
  <si>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</si>
  <si>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</si>
  <si>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</si>
  <si>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</si>
  <si>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</si>
  <si>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</si>
  <si>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</si>
  <si>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</si>
  <si>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</si>
  <si>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</si>
  <si>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</si>
  <si>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</si>
  <si>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</si>
  <si>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</si>
  <si>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</si>
  <si>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</si>
  <si>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</si>
  <si>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</si>
  <si>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</si>
  <si>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</si>
  <si>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</si>
  <si>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</si>
  <si>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</si>
  <si>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</si>
  <si>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</si>
  <si>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</si>
  <si>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</si>
  <si>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</si>
  <si>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</si>
  <si>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</si>
  <si>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</si>
  <si>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</si>
  <si>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</si>
  <si>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</si>
  <si>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</si>
  <si>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</si>
  <si>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</si>
  <si>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</si>
  <si>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</si>
  <si>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</si>
  <si>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</si>
  <si>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</si>
  <si>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</si>
  <si>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</si>
  <si>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</si>
  <si>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</si>
  <si>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</si>
  <si>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</si>
  <si>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</si>
  <si>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</si>
  <si>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</si>
  <si>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</si>
  <si>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</si>
  <si>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</si>
  <si>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</si>
  <si>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</si>
  <si>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</si>
  <si>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</si>
  <si>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</si>
  <si>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</si>
  <si>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</si>
  <si>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</si>
  <si>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</si>
  <si>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</si>
  <si>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Baklog</t>
  </si>
  <si>
    <t>Sisa spool popereel</t>
  </si>
  <si>
    <t>Pending</t>
  </si>
  <si>
    <t>Ngelokor</t>
  </si>
  <si>
    <t>Keriput</t>
  </si>
  <si>
    <t>Potongan jelek</t>
  </si>
  <si>
    <t>Hole</t>
  </si>
  <si>
    <t>Kertas sobek pinggir</t>
  </si>
  <si>
    <t>Joint</t>
  </si>
  <si>
    <t>Jumbo gandeng</t>
  </si>
  <si>
    <t>Formasi jelek</t>
  </si>
  <si>
    <t>MDT &lt; std</t>
  </si>
  <si>
    <t>Lembab</t>
  </si>
  <si>
    <t>Diameter &lt; std</t>
  </si>
  <si>
    <t>Bw &lt; std</t>
  </si>
  <si>
    <t>Bulky &lt; std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</si>
  <si>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</si>
  <si>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</si>
  <si>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</si>
  <si>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</si>
  <si>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</si>
  <si>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</si>
  <si>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</si>
  <si>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PAPER MACHINE 16 DAILY REPORT 1</t>
  </si>
  <si>
    <t>PM 16</t>
  </si>
  <si>
    <t>TISSUE MACHINE 16</t>
  </si>
  <si>
    <t>Total PM16</t>
  </si>
  <si>
    <t>SODRA</t>
  </si>
  <si>
    <t>Nyoman Mariasa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</si>
  <si>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</si>
  <si>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</si>
  <si>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</si>
  <si>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</si>
  <si>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</si>
  <si>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</si>
  <si>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Sheet Breaks</t>
  </si>
  <si>
    <t>Loss Time Process</t>
  </si>
  <si>
    <t>Change Blade</t>
  </si>
  <si>
    <t>Estimasi RBP &amp; Backlog</t>
  </si>
  <si>
    <t>Change Spool</t>
  </si>
  <si>
    <t>Estimasi Basic Weight</t>
  </si>
  <si>
    <t>Loss Time Mekanik</t>
  </si>
  <si>
    <t>Loss Speed</t>
  </si>
  <si>
    <t>Scheduled Shut Down</t>
  </si>
  <si>
    <t>Theory with Available Time (ton)</t>
  </si>
  <si>
    <t>Total LT/DT (mins)</t>
  </si>
  <si>
    <t>Total LT/DT (ton)</t>
  </si>
  <si>
    <t>LT/DT Percentage</t>
  </si>
  <si>
    <t>Down Time EID</t>
  </si>
  <si>
    <t>Down Time Mekanik</t>
  </si>
  <si>
    <t>Sinergy</t>
  </si>
  <si>
    <t>PM 16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</si>
  <si>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</si>
  <si>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</si>
  <si>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</si>
  <si>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</si>
  <si>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</si>
  <si>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</si>
  <si>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</si>
  <si>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</si>
  <si>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</si>
  <si>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</si>
  <si>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Reject Broke Plant</t>
  </si>
  <si>
    <t>Basic Weight Estimation</t>
  </si>
  <si>
    <t>Down Time Process</t>
  </si>
  <si>
    <t>Loss Time Change Grade</t>
  </si>
  <si>
    <t>Change Grade</t>
  </si>
  <si>
    <t>Maintenance</t>
  </si>
  <si>
    <t>Loss Time EID</t>
  </si>
  <si>
    <t>Tonase</t>
  </si>
  <si>
    <t>Prosentase</t>
  </si>
  <si>
    <t>Total Prosentase</t>
  </si>
  <si>
    <t>Gripis</t>
  </si>
  <si>
    <t>Warisan</t>
  </si>
  <si>
    <t>Dirt</t>
  </si>
  <si>
    <t>F 12</t>
  </si>
  <si>
    <t>PULP AND BROKE DAILY REPORT PM 16</t>
  </si>
  <si>
    <t>CHEMICAL DAILY REPORT PM 16</t>
  </si>
  <si>
    <t>Marketing</t>
  </si>
  <si>
    <t>Loss time</t>
  </si>
  <si>
    <t>Down Time</t>
  </si>
  <si>
    <t>SINERGY</t>
  </si>
  <si>
    <t>Backlog</t>
  </si>
  <si>
    <t>awal bulan produksi MG mengikuti real speed karea usia felt sudah 7minggu</t>
  </si>
  <si>
    <t>NB : info pak hartono untuk napkin + towel speed 1600mpm, gsm tinggi 92ton(&gt;17)</t>
  </si>
  <si>
    <t>Loss Time Marketing</t>
  </si>
  <si>
    <t>VP OW</t>
  </si>
  <si>
    <t>MCC</t>
  </si>
  <si>
    <t>Drive Panel</t>
  </si>
  <si>
    <t>Aux Panel</t>
  </si>
  <si>
    <t>Stock Prep</t>
  </si>
  <si>
    <t>Pulper</t>
  </si>
  <si>
    <t>Kehilangan Effisiensi PM 16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</si>
  <si>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</si>
  <si>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</si>
  <si>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</si>
  <si>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</si>
  <si>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</si>
  <si>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</si>
  <si>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</si>
  <si>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</si>
  <si>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</si>
  <si>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</si>
  <si>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</si>
  <si>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</si>
  <si>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</si>
  <si>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</si>
  <si>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</si>
  <si>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</si>
  <si>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</si>
  <si>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</si>
  <si>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</si>
  <si>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</si>
  <si>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</si>
  <si>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</si>
  <si>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</si>
  <si>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</si>
  <si>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</si>
  <si>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</si>
  <si>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</si>
  <si>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</si>
  <si>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</si>
  <si>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</si>
  <si>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</si>
  <si>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</si>
  <si>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</si>
  <si>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</si>
  <si>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</si>
  <si>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</si>
  <si>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</si>
  <si>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</si>
  <si>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</si>
  <si>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</si>
  <si>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</si>
  <si>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</si>
  <si>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</si>
  <si>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</si>
  <si>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</si>
  <si>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</si>
  <si>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</si>
  <si>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</si>
  <si>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</si>
  <si>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</si>
  <si>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</si>
  <si>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</si>
  <si>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</si>
  <si>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</si>
  <si>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</si>
  <si>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</si>
  <si>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</si>
  <si>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</si>
  <si>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</si>
  <si>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</si>
  <si>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</si>
  <si>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</si>
  <si>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</si>
  <si>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</si>
  <si>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</si>
  <si>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16 Running Time</t>
  </si>
  <si>
    <t>Running</t>
  </si>
  <si>
    <t>Down Time PLN</t>
  </si>
  <si>
    <t xml:space="preserve">Kapasitas Running (ton) </t>
  </si>
  <si>
    <t>Eff FG vs Target  Running(%)</t>
  </si>
  <si>
    <t>Dimas Selgi</t>
  </si>
  <si>
    <t>NBKP KORAB/SCA</t>
  </si>
  <si>
    <t>NBKP HOWE/HSPP</t>
  </si>
  <si>
    <t>Chest Akhir</t>
  </si>
  <si>
    <t xml:space="preserve">Sisa spool seset </t>
  </si>
  <si>
    <t>Sisa spool rewinder</t>
  </si>
  <si>
    <t>Setting potongan</t>
  </si>
  <si>
    <t>Seset cek QC</t>
  </si>
  <si>
    <t>Gelombang</t>
  </si>
  <si>
    <t>Soping</t>
  </si>
  <si>
    <t>Potongan Serabut</t>
  </si>
  <si>
    <t>Setting slitter</t>
  </si>
  <si>
    <t>Crushing</t>
  </si>
  <si>
    <t>Thickness kurang</t>
  </si>
  <si>
    <t>Potongan lari-lari</t>
  </si>
  <si>
    <t>Reject roll</t>
  </si>
  <si>
    <t>Warna kehijauan</t>
  </si>
  <si>
    <t>Gulungan lari-lari</t>
  </si>
  <si>
    <t>NBKP Catalyst/Crafton</t>
  </si>
  <si>
    <t>.01.23</t>
  </si>
  <si>
    <t>0</t>
  </si>
  <si>
    <t>F 12 VP OW</t>
  </si>
  <si>
    <t>- Change Spool (9x)</t>
  </si>
  <si>
    <t>LBKP TEL PELITA/TEL PRIME</t>
  </si>
  <si>
    <t>LBKP SUZANO</t>
  </si>
  <si>
    <t>F 13 VP OW</t>
  </si>
  <si>
    <t>F13 HB</t>
  </si>
  <si>
    <t>SS</t>
  </si>
  <si>
    <t>PHP PM</t>
  </si>
  <si>
    <t xml:space="preserve">PM16 Efficiency Running Report </t>
  </si>
  <si>
    <t>- Sheet Breaks (0x)</t>
  </si>
  <si>
    <t>Steam, &amp; gangguan sinergy (X)</t>
  </si>
  <si>
    <t>Freq, Trip PLN (X)</t>
  </si>
  <si>
    <t>Cleaning Holes (X)</t>
  </si>
  <si>
    <t>Per hari</t>
  </si>
  <si>
    <t>LBKP CAKRAWALA/GHN</t>
  </si>
  <si>
    <t>EBKP GHN/CAKRAWALA</t>
  </si>
  <si>
    <t>BROKE</t>
  </si>
  <si>
    <t>DESEMBER</t>
  </si>
  <si>
    <t>.12.25</t>
  </si>
  <si>
    <t xml:space="preserve">-11.54 Cleaning area PM </t>
  </si>
  <si>
    <t>- Sheetbreak (Cleaning pm)</t>
  </si>
  <si>
    <t>-Awal shift PM16 produksi T14 (FG Bethel &amp; Cvt) speed 1300/-24%</t>
  </si>
  <si>
    <t>- 00.35 Sheetbreak, Cleaning PM area ( hood wet, press roll, vacuum, hpp felt dan wire, headbox fs and ds side, shower coating release, filter chemical)</t>
  </si>
  <si>
    <t>- 04.44 Sheetbreak, Cleaning PM area ( press roll, vacuum, hpp felt dan wire, headbox fs and ds side, shower coating release, filter chemical)</t>
  </si>
  <si>
    <t>-Awal shift PM16 produksi F15 (FG Hospeco) speed 1250mpm/-24%</t>
  </si>
  <si>
    <t>1289/980</t>
  </si>
  <si>
    <t>- 19:10 Change grade T14 (FG Bethel &amp; Cvt) speed 1300/-24%</t>
  </si>
  <si>
    <t>-Awal shift PM16 produksi T12.5 (FG Lifeguard) speed 1350mpm/-24%</t>
  </si>
  <si>
    <t>1326/1007</t>
  </si>
  <si>
    <t>1300/988</t>
  </si>
  <si>
    <t>1305/991</t>
  </si>
  <si>
    <t>- Change Spool (10x)</t>
  </si>
  <si>
    <t>- Change Blade (0x)</t>
  </si>
  <si>
    <t>- Change Spool (8x)</t>
  </si>
  <si>
    <t>Facial</t>
  </si>
  <si>
    <t>-11.50 Change grade T12.5 (FG Lifeguard) speed 1350 mpm/-24%</t>
  </si>
  <si>
    <t>Toilet</t>
  </si>
  <si>
    <t>- Change Spool (26x)</t>
  </si>
  <si>
    <t>Facial/Toilet</t>
  </si>
  <si>
    <t>NBKP Rottneros</t>
  </si>
  <si>
    <t>EBKP MONDI</t>
  </si>
  <si>
    <t>Putra Radian</t>
  </si>
  <si>
    <t>Abd Syuhud</t>
  </si>
  <si>
    <t>T 14 VP OW</t>
  </si>
  <si>
    <t>T 12,5 VP OW</t>
  </si>
  <si>
    <t>F 15 VP OW</t>
  </si>
  <si>
    <t>F 15</t>
  </si>
  <si>
    <t>T 12,5</t>
  </si>
  <si>
    <t>T 14</t>
  </si>
  <si>
    <t>277*1</t>
  </si>
  <si>
    <t>140*2</t>
  </si>
  <si>
    <t>275*1</t>
  </si>
  <si>
    <t>272*1</t>
  </si>
  <si>
    <t xml:space="preserve">- 11.42 Sheetbreak, Change Blade (ceramic) </t>
  </si>
  <si>
    <t>- 13.43 Sheetbreak, sirkulasi UTM (MED Perbaikan loader )</t>
  </si>
  <si>
    <t>- 09.19 Sheetbreak, Cleaning area PM</t>
  </si>
  <si>
    <t>- 15:30 Tegangan PLN turun
- Motor sirkulasi hood trip</t>
  </si>
  <si>
    <t>- Mompa stock flow stop
- 15:35 Motor sirkulasi hood ready</t>
  </si>
  <si>
    <t>- stock on</t>
  </si>
  <si>
    <t>- 00.28  Sheetbreak, Cleaning PM area (Hood wet, press roll, vacuum, hpp felt dan wire, headbox fs and ds side, shower coating release, filter chemical)</t>
  </si>
  <si>
    <t>- 04.31 Sheetbreak, Cleaning PM area ( press roll, vacuum, hpp felt dan wire, headbox fs and ds side, shower coating release, filter chemical)</t>
  </si>
  <si>
    <t>- 15:38 on Reel</t>
  </si>
  <si>
    <t>DT</t>
  </si>
  <si>
    <t>- Change Blade (1x)</t>
  </si>
  <si>
    <t>- Sheet Breaks (3x)</t>
  </si>
  <si>
    <t>- Sheet Breaks (1x)</t>
  </si>
  <si>
    <t>- Sheet Breaks (4x)</t>
  </si>
  <si>
    <t>- 15:30 Tegangan PLN turun, Motor sirkulasi hood trip</t>
  </si>
  <si>
    <t>Tegangan PLN turun, Motor sirkulasi hood trip</t>
  </si>
  <si>
    <t>14</t>
  </si>
  <si>
    <t>15/12,5/14</t>
  </si>
  <si>
    <t>- 08.22 Sheetbreak, Cleaning PM area (Hood wet, press roll, vacuum, hpp felt dan wire, headbox fs dan ds, shower coating release, filter chemical)</t>
  </si>
  <si>
    <t>-Awal shift PM16 produksi T14 (CVT) speed 1300/-24%</t>
  </si>
  <si>
    <t>- 23.42 Sheetbreak, Cleaning PM area (Hood wet, press roll, vacuum, hpp felt dan wire, headbox fs and ds side, filter chemical)</t>
  </si>
  <si>
    <t>- 01.30 Geripis area DS, New blade (ceramic) &amp; cleaning shower coating release</t>
  </si>
  <si>
    <t>- Change Spool (27x)</t>
  </si>
  <si>
    <t>- 07.37 Sheetbreak, Cleaning PM area (Hood wet, press roll, vacuum, hpp felt dan wire, headbox fs dan ds , filter chemical, filter hood)</t>
  </si>
  <si>
    <t>- Awal shift PM16 produksi T14 (CVT) speed 1300/-24%</t>
  </si>
  <si>
    <t>16:05 PM Trip
- Cleaning area pm. Uhlebox dan hood
- Eid cek encordere drive yankee A</t>
  </si>
  <si>
    <t>17:35 Eid selesai ganti encodere drive
- Coba crawl ( cek bacaan drive )</t>
  </si>
  <si>
    <t>17:40 PM Start Up</t>
  </si>
  <si>
    <t>17:55 On reel</t>
  </si>
  <si>
    <t>- 00.40 Sheetbreak, Cleaning PM area (Hood wet, press roll, vacuum, hpp felt dan wire, headbox fs and ds side, shower coating release, filter chemical)</t>
  </si>
  <si>
    <t>- 01.00  Adjust lock nut DS side,</t>
  </si>
  <si>
    <t>- 03.00 &amp; 05.00 seset pm ( jumbo keriput mati, steam drop)</t>
  </si>
  <si>
    <t>Reject : 400 kg / 2.2% ( keriput steam turun)
Seset rewind : 820 kg / 4.5% ( gagal proses , keriput )</t>
  </si>
  <si>
    <t>- Change Spool (7x)</t>
  </si>
  <si>
    <t>- Change Spool (23x)</t>
  </si>
  <si>
    <t>- 16:05 PM Trip, Cleaning area pm. Uhlebox dan hood</t>
  </si>
  <si>
    <t>PM Trip, Cleaning area pm. Uhlebox dan hood</t>
  </si>
  <si>
    <t>- 07.59 Sheetbreak, Cleaning PM area (Hood wet, press roll, vacuum, hpp felt dan wire, headbox fs dan ds, shower coating release, filter chemical)</t>
  </si>
  <si>
    <t>-Awal shift PM16 produksi T18 (Jenwin) speed 1050/-24%</t>
  </si>
  <si>
    <t>- 15.45 Sheetbreak, Cleaning PM area (Hood wet, press roll, vacuum, hpp felt dan wire, headbox fs dan ds, shower coating release, filter chemical)</t>
  </si>
  <si>
    <t>- 01.20 Sheetbreak, Cleaning PM area (Hood wet, press roll, vacuum, hpp felt dan wire, headbox fs and ds side, shower coating release, filter chemical)</t>
  </si>
  <si>
    <t>- 04.30 shoping, Cleaning all PM</t>
  </si>
  <si>
    <t>- Change Blade (2x)</t>
  </si>
  <si>
    <t>-11.00 Change grade T18 speed 1050 mpm / -24%</t>
  </si>
  <si>
    <t>1175/893</t>
  </si>
  <si>
    <t>1118/850</t>
  </si>
  <si>
    <t>1350/1026</t>
  </si>
  <si>
    <t>1214/923</t>
  </si>
  <si>
    <t>- Change Blade (4x)</t>
  </si>
  <si>
    <t>T 18 VP OW</t>
  </si>
  <si>
    <t>- 21.10 Change grade T12,5 speed 1350 mpm / -24%</t>
  </si>
  <si>
    <t>-Awal shift PM16 produksi T12,5 (CVT) speed 1350/-24%</t>
  </si>
  <si>
    <t>271*1</t>
  </si>
  <si>
    <t>T 18</t>
  </si>
  <si>
    <t>280*1</t>
  </si>
  <si>
    <t>- 08.01 Sheetbreak, Cleaning PM area (Hood wet, press roll, vacuum, hpp felt dan wire, headbox fs dan ds, shower coating release, filter chemical, filter hood)</t>
  </si>
  <si>
    <t>- 08.00 Change grade F13 gsm (FG Pingguan) speed 1350/-24%</t>
  </si>
  <si>
    <t>-Awal shift PM16 produksi F 13 (FG Riverpro) speed 1350/-24%</t>
  </si>
  <si>
    <t>- 16.16 Sheetbreak, Cleaning PM area (Hood wet, press roll, vacuum, hpp felt dan wire, headbox fs dan ds, shower coating release, filter chemical, filter hood)</t>
  </si>
  <si>
    <t>- 19.50  cleaning area PM dan ganti blade</t>
  </si>
  <si>
    <t>-Awal shift PM16 produksi F12 (AHS) gsm Speed 1360 mpm/-24%</t>
  </si>
  <si>
    <t>- 00.18 Sheetbreak, Cleaning PM area (Hood wet, press roll, vacuum, hpp felt dan wire, headbox fs and ds side, shower coating release, filter chemical, filter hood)</t>
  </si>
  <si>
    <t>- 03.00 Mdwt kurang, WSR up 208 -&gt; 254 ml/mnt</t>
  </si>
  <si>
    <t>-04.00 Geripis sheetbreak, setting shower cooling</t>
  </si>
  <si>
    <t>- 05.23 PM stabil, speed up 1400 mpm</t>
  </si>
  <si>
    <t>- Spool stater tidak bisa memutarkan spool</t>
  </si>
  <si>
    <t>- 16.30 cleaning area PM &amp; ganti filter coating release</t>
  </si>
  <si>
    <t>- 17.30 cleaning area PM &amp; new blade (tissue kasar)</t>
  </si>
  <si>
    <t>- Spool stater tidak bisa memutarkan Spool (reel clamp bengkong)</t>
  </si>
  <si>
    <t>- Pinhole acak, Karcher wire dan cleaning roll berkala</t>
  </si>
  <si>
    <t>- Awal shift PM16 produksi F12 (AHS) gsm Speed 1400 mpm/-24%</t>
  </si>
  <si>
    <t>- 21.35 Change grade F12 gsm Speed 1400 mpm/-24%</t>
  </si>
  <si>
    <t>1358/1032</t>
  </si>
  <si>
    <t>1368/1039</t>
  </si>
  <si>
    <t>- Sheet Breaks (2x)</t>
  </si>
  <si>
    <t>1400/1064</t>
  </si>
  <si>
    <t xml:space="preserve">- Sheet Breaks (0x) </t>
  </si>
  <si>
    <t>- Change Spool (28x)</t>
  </si>
  <si>
    <t>- Change Spool (24x)</t>
  </si>
  <si>
    <t>Toilet/Facial</t>
  </si>
  <si>
    <t>14/18/12,5</t>
  </si>
  <si>
    <t>12,5/13/12</t>
  </si>
  <si>
    <t>12</t>
  </si>
  <si>
    <t>AMICOAT TC 6218</t>
  </si>
  <si>
    <t>SODIUM HYPOCHLORID</t>
  </si>
  <si>
    <t>CHEMZYME CL</t>
  </si>
  <si>
    <t>F 13</t>
  </si>
  <si>
    <t>133*2</t>
  </si>
  <si>
    <t>- Spool stater tidak bisa memutarkan Spool</t>
  </si>
  <si>
    <t>- Spool stater tidak bisa memutarkan spool (reel clamp bengkong)</t>
  </si>
  <si>
    <t>- 03.25 Sheetbreak, Cleaning PM area (Hood wet, press roll, vacuum, hpp felt dan wire, headbox fs and ds side, shower coating release, filter chemical, filter hood)</t>
  </si>
  <si>
    <t>- 09:50 Change blade (kasar)</t>
  </si>
  <si>
    <t>- Spool stater belum bisa</t>
  </si>
  <si>
    <t>- Spool starter belum bisa (reel clemp bengkok baut sebagian ada putus)</t>
  </si>
  <si>
    <t xml:space="preserve">- 00.45 Sheetbreak cleaning area PM </t>
  </si>
  <si>
    <t>EBKP GUAIBA</t>
  </si>
  <si>
    <t xml:space="preserve">- 07.55 Sheetbreak cleaning area PM &amp; ganti new blade. </t>
  </si>
  <si>
    <t>- 23.38 Cleaning area PM</t>
  </si>
  <si>
    <t>- 05.12 Cleaning area PM</t>
  </si>
  <si>
    <t>- 05.44 muncul hole garis sisi DS (Ganti new Blade )</t>
  </si>
  <si>
    <t>- Awal shift PM16 produksi 1. F12 ( AHS )
- Deckle : 2800 mm
Speed Awal : 1400 mpm / -24%</t>
  </si>
  <si>
    <t xml:space="preserve">- Jumbo indikasi hole acak 1 deckle setelah cleaning , -&gt; PM turun speed naikkan hpp felt dan coba naikan Rpm fanpump </t>
  </si>
  <si>
    <t>- Awal shift 1. F12  (AHS) 
- Deckle : 280 Cm
Speed Awal : 1400 mpm / -24%</t>
  </si>
  <si>
    <t>- 07:55 Ganti filter tc
- 08:32 Cleaning Pm
- 12:11 Cleaning pm
- 14:20 Cleaning pm</t>
  </si>
  <si>
    <t>STOP</t>
  </si>
  <si>
    <t>- Change Spool (11x)</t>
  </si>
  <si>
    <t>Dimas S R</t>
  </si>
  <si>
    <t>- 08:40 Cleaning Pm
- Change Blade ceramic</t>
  </si>
  <si>
    <t>- 07:15 Ganti filter tc</t>
  </si>
  <si>
    <t>- 12:46  Cleaning Pm</t>
  </si>
  <si>
    <t>-23.12 Sheetbreak cleaning PM
-00.44 Sheetbreak change spool</t>
  </si>
  <si>
    <t>00.55 kertas putus-putus / lolos popereel (atur suhu, dan naikan load tickling refiner)</t>
  </si>
  <si>
    <t>-01.21 Sheetbreak change spool</t>
  </si>
  <si>
    <t>-02.28 Sheetbreak cleaning PM</t>
  </si>
  <si>
    <t>- 15.38 Cleaning filter hood</t>
  </si>
  <si>
    <t>- 19.00 Sheetbreak, cleaning shower coating release</t>
  </si>
  <si>
    <t>- 20.00 cleaning filter hood</t>
  </si>
  <si>
    <t>- 07.15 Cleaning filter hood
- 08.23 Kertas kasar, New Blade (Cleaning all PM)</t>
  </si>
  <si>
    <t>- 09.45 Indikasi dirt jumbo roll 78 (pending), Overflow couchpit, drain silo</t>
  </si>
  <si>
    <t>- 10.26 Indikasi dirt mulai hilang</t>
  </si>
  <si>
    <t xml:space="preserve">-15.00 PM stabil </t>
  </si>
  <si>
    <t>-15.40 Control valve broke storage -&gt; mixing chest bermasalah dibagian selang angin, (setting oleh EID)</t>
  </si>
  <si>
    <t>-16.35 Mulai muncul pinhole acak (karcher wire)</t>
  </si>
  <si>
    <t>-18.50 Indikasi dirt di White Water tank (over flow WW tank)</t>
  </si>
  <si>
    <t xml:space="preserve">- 00.10 Sheetbreak Cleaning PM </t>
  </si>
  <si>
    <t xml:space="preserve">- 07.55 Sheetbreak Cleaning PM </t>
  </si>
  <si>
    <t>- 09.16 change new blade</t>
  </si>
  <si>
    <t>- 20.00 Cleaning filter chemical</t>
  </si>
  <si>
    <t>- 20.22 Amisoft 2kg masuk</t>
  </si>
  <si>
    <t>- 22.02 Steam Drop, PM 14 Start</t>
  </si>
  <si>
    <t xml:space="preserve">- 06.00 kertas brosot satu deckel pm stop spray yankee buntu semua Fresh water Tangki Chamber coating release habis (pelampung eror) bersihkan shower coating release yang mampet </t>
  </si>
  <si>
    <t xml:space="preserve">- 06.40 onreel </t>
  </si>
  <si>
    <t>- 15.38 Cleaning filter hood
- 16.50 Change grade F13 (Bimasakti) speed 1370/-24%
- 19.40 indikasi wave, cleaning shower coating release yang buntu</t>
  </si>
  <si>
    <t>1376/1046</t>
  </si>
  <si>
    <t>- Awal shift PM16 produksi 1. F13 (Bimasakti)
- Deckle : 2800 mm
Speed Awal : 1370mpm/-24%</t>
  </si>
  <si>
    <t xml:space="preserve">- 01.05 Amisoft stop
- 02.20 Change grade F11.5 gsm speed 1400/-24%
- 02.20 Cleaning PM </t>
  </si>
  <si>
    <t>1385/1053</t>
  </si>
  <si>
    <t>1387/1054</t>
  </si>
  <si>
    <t>- Change Spool (29x)</t>
  </si>
  <si>
    <t>Kertas brosot satu deckel pm stop spray yankee buntu semua</t>
  </si>
  <si>
    <t>12/13/11,5</t>
  </si>
  <si>
    <t>F 11,5</t>
  </si>
  <si>
    <t>139*2</t>
  </si>
  <si>
    <t>F 11,5 VP OW</t>
  </si>
  <si>
    <t>- 07. 08 awal shift boster pump masuk angin dan filter coating release terdapat banyak kotoran, shower coating release banyak yang buntu, brosot satu deckle, ganti filter.
- 07.15 pompa MAP masuk angin dan selang bocor.</t>
  </si>
  <si>
    <t xml:space="preserve">- 08.00 cleaning area pm, ganti blade, PM sudah lancar. </t>
  </si>
  <si>
    <t>- 10.12 jumbo gripis sisi DS, nozle spray coating release buntu sisi DS, ganti nozle spray yang baru.</t>
  </si>
  <si>
    <t>- Awal shift PM16 produksi F 11,5 Speed 1400mpm/-24%</t>
  </si>
  <si>
    <t>- 15:00 - 18:22 steam pres Susa terkontrol ( Cv make Up steam sering nyantol ) pressure naik turun +- 7.1 bar sampai 4.7 bar</t>
  </si>
  <si>
    <t>- CV make up fresh steam to Yankee sering nyantol saat ada kenaikan set point steam press. Temp Yankee susah terkontrol</t>
  </si>
  <si>
    <t>- Awal shift PM16 produksi F 12 Speed 1400mpm/-24%</t>
  </si>
  <si>
    <t>- 20:30 Ganti grade F 12 gsm ( ubah steam press hunting kembali -&gt; setting ulang CV fresh steam )</t>
  </si>
  <si>
    <t>- 00:21 Cleaning pm (hood, roll, breast roll)</t>
  </si>
  <si>
    <t>- 03:30 Cleaning pm</t>
  </si>
  <si>
    <t>- 05:15 Cleaning pm (hood, breast roll, headbox dan ganti filter tc)</t>
  </si>
  <si>
    <t>- Sheet Breaks (8x)</t>
  </si>
  <si>
    <t>- Sheet Breaks (10x)</t>
  </si>
  <si>
    <t>11,5</t>
  </si>
  <si>
    <t>07:07 Cleaning pm (hood, roll, breast roll)
09.07 MED ganti pompa kondesar yankee</t>
  </si>
  <si>
    <t>10.09 MED selesai ganti pompa kondesat yankee</t>
  </si>
  <si>
    <t xml:space="preserve">10.11 ganti new blades (tissue kasar) </t>
  </si>
  <si>
    <t>- 20:35 saat kertas gulung popereel Blade no 2 tiba2 Brosot 1deckle -&gt; stock off dan ganti Blade keramik baru</t>
  </si>
  <si>
    <t>- 20:50  PM16 on reel</t>
  </si>
  <si>
    <t>- 21:18 press booster turun lagi 2.8 ke 2.6
- 21:48 Naikan inverter Bosster 45% -&gt; press naik 2.7)</t>
  </si>
  <si>
    <t>- 00:00 Amisoft 2kg on</t>
  </si>
  <si>
    <t>- 05:30 Amisoft stop</t>
  </si>
  <si>
    <t>- Awal shift PM16 produksi T 12 (Lifeguard + Purchasing) Speed 1400mpm/-24%</t>
  </si>
  <si>
    <t>- 16:55 Change grade T 12 (Lifeguard + Purchasing) Speed 1400mpm/-24%
- 18:56 -19:24 Press Bosster turun lalu naik lagi
- 20:23  Pressure coating turun lagi</t>
  </si>
  <si>
    <t>11,5/12</t>
  </si>
  <si>
    <t>274*1</t>
  </si>
  <si>
    <t>T 12</t>
  </si>
  <si>
    <t>T 12 VP OW</t>
  </si>
  <si>
    <t>- 11.54 cleaning filter hood</t>
  </si>
  <si>
    <t>- 14.40 new blade</t>
  </si>
  <si>
    <t>- 21.51 cleaning area pm, (breast roll, hood, all shower)</t>
  </si>
  <si>
    <t>- 03:30 Amisoft On 2 kg</t>
  </si>
  <si>
    <t>- 08.00 cleaning area pm, (breast roll, hood, all shower) ganti filter tc. 
- 11.36 change grade T12 LB 1400/-21%</t>
  </si>
  <si>
    <t>1400/1081</t>
  </si>
  <si>
    <t>- 23:30 Change grade T17 speed 1100/-23%</t>
  </si>
  <si>
    <t>- 04:10 Change grade T18 , WSR on speed 1080/-23%</t>
  </si>
  <si>
    <t>1111/860</t>
  </si>
  <si>
    <t>1400/1148</t>
  </si>
  <si>
    <t>- Awal shift PM16 produksi T 12 (Lifeguard + Purchasing) Speed 1400mpm/-18%</t>
  </si>
  <si>
    <t>1303/1029</t>
  </si>
  <si>
    <t>12/17/18</t>
  </si>
  <si>
    <t>T 17 VP OW</t>
  </si>
  <si>
    <t>276*1</t>
  </si>
  <si>
    <t>T 17</t>
  </si>
  <si>
    <t xml:space="preserve">- 09.55 cleaning area pm (breast roll, hood wet, filter TC) dan ganti blade baru (tissue kasar) </t>
  </si>
  <si>
    <t>- 00:15 Cleaning hood, all roll pm, headbox &amp; ganti filter tc</t>
  </si>
  <si>
    <t xml:space="preserve">- 04:40 Cleaning pm (headbox &amp; roll) </t>
  </si>
  <si>
    <t xml:space="preserve">- 05:45 Change blade ceramic (kasar) </t>
  </si>
  <si>
    <t>- Awal shift PM16 produksi T 18 Speed 1100mpm/-23%</t>
  </si>
  <si>
    <t xml:space="preserve">- 17.16 Cleaning area PM, Filter hood, dan ganti filter TC </t>
  </si>
  <si>
    <t>1100/847</t>
  </si>
  <si>
    <t>- Change Spool (21x)</t>
  </si>
  <si>
    <t>18</t>
  </si>
  <si>
    <t>- 07.38 Cleaning filter hood</t>
  </si>
  <si>
    <t>- 08.00 Cleaning PM, Cleaning filter chemical</t>
  </si>
  <si>
    <t>- 12.00 plat cover UTM jatuh ke broke utm pulperagitator shut down.
'- 13.30 plat sudah dapat diambil</t>
  </si>
  <si>
    <t>- 15.40 Cleaning dan ganti filter TC</t>
  </si>
  <si>
    <t>- 16.20 Cleaning filter hood</t>
  </si>
  <si>
    <t>- 17.12 Cleaning PM</t>
  </si>
  <si>
    <t xml:space="preserve">- Cleaning Pm (headbox, roll pm, hood) </t>
  </si>
  <si>
    <t xml:space="preserve">- 23:47 New Blade (kertas kasar) </t>
  </si>
  <si>
    <t>- 04:45 Cleaning pm</t>
  </si>
  <si>
    <t>- 02:30 Cleaning pm + Change grade T16 speed 1170/-25%</t>
  </si>
  <si>
    <t>- Awal shift PM16 produksi T 18 (Winner Paper) Speed 1100mpm/-25%</t>
  </si>
  <si>
    <t>- Awal shift PM16 produksi T 18 (Winner Paper) Speed 1100mpm/-24%</t>
  </si>
  <si>
    <t>1100/829</t>
  </si>
  <si>
    <t>1139/854</t>
  </si>
  <si>
    <t>1113/838</t>
  </si>
  <si>
    <t>T 16 VP OW</t>
  </si>
  <si>
    <t>18/16</t>
  </si>
  <si>
    <t>T 16</t>
  </si>
  <si>
    <t>- Awal shift PM16 produksi T16 speed 1170/-25%</t>
  </si>
  <si>
    <t>- 07.00 Steam drop 14.18 Bar
- 08.10 Cleaning filter hood</t>
  </si>
  <si>
    <t>- 08.30 Cleaning filter chemical</t>
  </si>
  <si>
    <t>- 10.20 Mdwt low, wsr up 120 -&gt; 180ml/mnt
- 14.20 Steam drop 14.81 Bar</t>
  </si>
  <si>
    <t>03:13 Cleaning pm</t>
  </si>
  <si>
    <t>05:10 Cleaning pm</t>
  </si>
  <si>
    <t>01:50 Change grade T15 speed 1270 mpm/-25%</t>
  </si>
  <si>
    <t>- Awal shift PM16 produksi T15 speed 1270 mpm/-25%</t>
  </si>
  <si>
    <t xml:space="preserve">- 08.13 Cleaning PM </t>
  </si>
  <si>
    <t>- 08.46 Cleaning filter hood</t>
  </si>
  <si>
    <t>- 09.57 Sheetbreak, cleaning filter chemical, shower coating release</t>
  </si>
  <si>
    <t>- Awal shift PM16 produksi T15 (Winner Paper) speed 1270 mpm/-25%</t>
  </si>
  <si>
    <t>- 20.06 Ganti blade, cleaning area PM, dan ganti filter TC</t>
  </si>
  <si>
    <t>- 01.38 cleaning area PM, dan ganti filter TC</t>
  </si>
  <si>
    <t>1270/952</t>
  </si>
  <si>
    <t>T 15 VP OW</t>
  </si>
  <si>
    <t>- 23:52 New Blade (kertas kasar) 
- Cleaning Pm (headbox, roll pm, hood, ganti filter tc)</t>
  </si>
  <si>
    <t>1234/925</t>
  </si>
  <si>
    <t>1170/877</t>
  </si>
  <si>
    <t>1191/893</t>
  </si>
  <si>
    <t>- Change Spool (25x)</t>
  </si>
  <si>
    <t>16/15</t>
  </si>
  <si>
    <t>15</t>
  </si>
  <si>
    <t>T 15</t>
  </si>
  <si>
    <t>- 07.40 Cleaning filter hood, filter chemical</t>
  </si>
  <si>
    <t>- 09.31 Cleaning PM, New Blade ceramic</t>
  </si>
  <si>
    <t>- 15.40 Ganti dan cleaning filter chemical</t>
  </si>
  <si>
    <t>- 18.50 Cleaning PM</t>
  </si>
  <si>
    <t>- 00.12 Cleaning area PM, hood wet, breast roll dan Ganti dan cleaning filter chemical</t>
  </si>
  <si>
    <t>- 03.18 WSR off</t>
  </si>
  <si>
    <t>- 03.31 naik speed 1350 mpm</t>
  </si>
  <si>
    <t>- 03.25 change grade T13.5 speed 1350mpm/-25%</t>
  </si>
  <si>
    <t>1305/979</t>
  </si>
  <si>
    <t>1281/961</t>
  </si>
  <si>
    <t>15/13,5</t>
  </si>
  <si>
    <t>T 13,5 VP OW</t>
  </si>
  <si>
    <t>T 13,5</t>
  </si>
  <si>
    <t>277,5*1</t>
  </si>
  <si>
    <t>- Awal shift PM16 produksi 1. T13.5 &amp; T14.5 ( FG truvai &amp; Sehyun )
- Deckle : 2775 &amp; 2760 mm
Speed Awal : 1350 mpm / -25%</t>
  </si>
  <si>
    <t>- 07.43 Hole acak, Cleaning filter hood, filter chemical, Hpp felt up 14 -&gt; 18 Bar
- 09.10 Maintenance memperbaiki dan setting telcutter
- 11.45 Cleaning Pm, New blade ceramic (biru)
- 13.00 Change grade T13.5 (FG Truvai) -&gt; T14.5 (Sehyun)</t>
  </si>
  <si>
    <t>- 01.06 Cleaning pm, headbox, roll, hood, ganti filter tc.</t>
  </si>
  <si>
    <t>- 16:22 Cleaning pm, headbox, roll, hood, ganti filter tc
- 19:40 Cleaning pm
- 22:15 Cleaning pm</t>
  </si>
  <si>
    <t>T 14,5</t>
  </si>
  <si>
    <t>- Awal shift PM16 produksi 1. T14. 5 (Sehyun )
- Deckle : 276 Cm  
Speed Awal : 1280mpm / -25%</t>
  </si>
  <si>
    <t>- Awal shift PM16 produksi 1. T14. 5 (Sehyun )
- Deckle : 276 Cm  
Speed Awal : 1280 mpm / -25%</t>
  </si>
  <si>
    <t>1280/960</t>
  </si>
  <si>
    <t>1332,5/999,38</t>
  </si>
  <si>
    <t>1297,5/973,13</t>
  </si>
  <si>
    <t>13,5/14,5</t>
  </si>
  <si>
    <t>T 14,5 VP OW</t>
  </si>
  <si>
    <t>138*2</t>
  </si>
  <si>
    <t>- Awal shift PM16 produksi 1. F12.5 (Holyindo)
- Deckle : 280 Cm
Speed Awal : 1400 mpm / -24%</t>
  </si>
  <si>
    <t>- 00.49 Cleaning PM area hood wet, all roll. ganti filter TC, ganti blade baru (kasar) 
- 03.59 cleaning area pm.</t>
  </si>
  <si>
    <t>- Awal shift PM16 produksi 1. F12  (HKM &amp; CVT) 
- Deckle : 272.5 Cm
2. F12.5 (Holyindo)
- Deckle : 280 Cm
Speed Awal : 1400 mpm / -24%</t>
  </si>
  <si>
    <t>- 16.32 Cleaning PM
- 19:15 Ganti F12.5</t>
  </si>
  <si>
    <t>- Awal shift PM16 produksi 1. F12  (HKM &amp; CVT) 
- Deckle : 272.5 Cm
Speed Awal : 1400 mpm / -24%</t>
  </si>
  <si>
    <t>- 07:15 Ganti filter tc
- 07:40 Cleaning Pm,hood, cleaning filter hood
- 10:45 Cleaning pm
- 12:40 Cleaning pm</t>
  </si>
  <si>
    <t>- Awal shift PM16 produksi 1. F13 (FG Pingguan dan Jemar )
- Deckle : 266 Cm  dan 276 Cm
2. F12 (HKM dan CVT) 
- Deckle : 2725 mm
Speed Awal : 1350mpm / -24%</t>
  </si>
  <si>
    <t>- 01.11 Cleaning pm, ganti filter tc, cleaning hood
- 02.08 ganti blade
- 04.25 change grade F12 (Speed 1400mpm/25%)</t>
  </si>
  <si>
    <t>- Awal shift PM16 produksi 1. F13 (FG Pingguan dan Jemar )
- Deckle : 266 Cm  dan 276 Cm
Speed Awal : 1350mpm / -24%</t>
  </si>
  <si>
    <t>- 16:23 Cleaning pm, ganti filter tc, cleaning hood
- 19:00 Cleaning pm
- 21:40 Cleaning pm</t>
  </si>
  <si>
    <t>- Awal shift PM16 produksi 1. T14.5, F16, F13 ( Sehyun, TSSC &amp; FG Pingguan )
- Deckle : 2760, 2700 &amp; 2660 mm
Speed Awal : 1300 mpm / -25%</t>
  </si>
  <si>
    <t>- 07.40 Cleaning filter hood, filter chemical
- 08.40 Sheetbreak, Cleaning Pm, New blade ceramic (biru), Change grade T14.5 (Sehyun) -&gt; F16 (TSSC) 
Wsr On 252 ml/mnt
- 11.10 Pressure telcutter pelan sehingga tidak memotong kertas, disetting oleh maintenance</t>
  </si>
  <si>
    <t>Jam 13:40 mulai change ke F 13</t>
  </si>
  <si>
    <t>F 16</t>
  </si>
  <si>
    <t>1311,11/992,33</t>
  </si>
  <si>
    <t>1233,33/925</t>
  </si>
  <si>
    <t>F 12,5</t>
  </si>
  <si>
    <t>14,5/116/13/12</t>
  </si>
  <si>
    <t>12/12,5</t>
  </si>
  <si>
    <t>45*6</t>
  </si>
  <si>
    <t>68*4</t>
  </si>
  <si>
    <t>150+122,5</t>
  </si>
  <si>
    <t>Nyoman M</t>
  </si>
  <si>
    <t>F 16 VP OW</t>
  </si>
  <si>
    <t>F 12,5 VP OW</t>
  </si>
  <si>
    <t>- 08:45 Cleaning pm, hood</t>
  </si>
  <si>
    <t>- 07:15  Ganti filter tc</t>
  </si>
  <si>
    <t>- 12:40  Cleaning pm</t>
  </si>
  <si>
    <t>- 20:09 change blade, cleaning hood &amp; roll2, ganti filter coating</t>
  </si>
  <si>
    <t>- 03:36 cleaning</t>
  </si>
  <si>
    <t>- Awal shift PM16 produksi 1. F 12,5 (Holyindo)
- Deckle : 280 Cm
Speed Awal : 1400 mpm / -24%</t>
  </si>
  <si>
    <t>12,5</t>
  </si>
  <si>
    <t>- 08.18 Cleaning PM</t>
  </si>
  <si>
    <t>- 15:30 Cleaning pm, ganti filter tc, cleaning headbox
- 17:36 Cleaning roll</t>
  </si>
  <si>
    <t>- Change blade (kertas kasar)</t>
  </si>
  <si>
    <t>- Ganti filter tc</t>
  </si>
  <si>
    <t>- 23.37 Cleaning filter hood</t>
  </si>
  <si>
    <t>- 03.58 Cleaning All PM</t>
  </si>
  <si>
    <t>- Awal shift PM16 produksi F 12 (CVT) Speed 1400 mpm/-24%</t>
  </si>
  <si>
    <t>- 07.10 Cleaning PM</t>
  </si>
  <si>
    <t>- 23.40 Cleaning filter hood</t>
  </si>
  <si>
    <t>- 01.56 Cleaning All PM</t>
  </si>
  <si>
    <t>- 03.22 Geripis dan shoping, New blade ceramic</t>
  </si>
  <si>
    <t>- 20:00 Change grade F12 (CVT) 1400 mpm/-24%</t>
  </si>
  <si>
    <t>12,5/12</t>
  </si>
  <si>
    <t>- 08.24 Cleaning PM</t>
  </si>
  <si>
    <t>- 600 kg (potongan roll, banana roll kadang mutar kadang tidak med)</t>
  </si>
  <si>
    <t>- 05.25 Cleaning PM dan ganti filter tc</t>
  </si>
  <si>
    <t>- 20.00 ganti blade, sisi DS gripis dan brosot.</t>
  </si>
  <si>
    <t>- 23.45 Cleaning filter hood</t>
  </si>
  <si>
    <t>- 01:06 Ganti New blade ceramic -&gt; saat loading no 2 Brosot 1 deckle PM stock off</t>
  </si>
  <si>
    <t>- 01:21 Pm Onreel</t>
  </si>
  <si>
    <t>Ganti New blade ceramic -&gt; saat loading no 2 Brosot 1 deckle PM stock off</t>
  </si>
  <si>
    <t>- Awal shift PM16 produksi 1. F12 ( CVT )
- Deckle : 2660 mm
2. T15 (winner paper) 
- Deckel : 2760 mm
Speed Awal : 1400 mpm / -25%</t>
  </si>
  <si>
    <t>- 15.45 Cleaning area pm, filter, hood. 
- 21.02 change grade T15, new blade</t>
  </si>
  <si>
    <t>- Awal shift PM16 produksi 1. F12 ( CVT )
- Deckle : 2660 mm
Speed Awal : 1400 mpm / -25%</t>
  </si>
  <si>
    <t>- 10.14 Cleaning filter hood</t>
  </si>
  <si>
    <t>- Awal shift PM16 produksi 1. T15 ( Winner paper )
- Deckle : 2760 mm
Speed Awal : 1250 mpm / -25%</t>
  </si>
  <si>
    <r>
      <t xml:space="preserve">- 23.00 Keriput sisi DS - Center, adjust secondary, Speed down 1250 -&gt; 1200 mpm, Steam 5.0 Bar naik steam bertahap ke  6.5 bar
- </t>
    </r>
    <r>
      <rPr>
        <b/>
        <sz val="10"/>
        <color rgb="FFFF0000"/>
        <rFont val="Arial"/>
        <family val="2"/>
      </rPr>
      <t>01.20</t>
    </r>
    <r>
      <rPr>
        <b/>
        <sz val="10"/>
        <color indexed="8"/>
        <rFont val="Arial"/>
        <family val="2"/>
      </rPr>
      <t xml:space="preserve"> Cleaning filter hood, Steam up 5.0 -&gt; 6.6 Bar, Speed up 1200 -&gt; 1205 mpm
- 01.44 Sheetbreak wire terkena grease, cleaning all pm dan wire menggunakan xylene
- 02.30 PM stabil, Speed up 1205 -&gt; 1210 mpm
- 03.30 Speed up 1210 -&gt; 1220 mpm, Steam up 6.6 -&gt; 6.75 Bar
- 04.40 Speed up 1220 -&gt; 1230 mpm
- 05.20 Speed up 1230 -&gt; 1240 mpm</t>
    </r>
  </si>
  <si>
    <t>1215,73/911,8</t>
  </si>
  <si>
    <t>1368,04/1026,03</t>
  </si>
  <si>
    <t>1400/1050</t>
  </si>
  <si>
    <t>1327,92/995,94</t>
  </si>
  <si>
    <t>12/15</t>
  </si>
  <si>
    <t>- Awal shift PM16 produksi 1. T15 ( Winner paper )
- Deckle : 2760 mm
Speed Awal : 1240 mpm / -25%</t>
  </si>
  <si>
    <t>- 07:15 Ganti filter TC</t>
  </si>
  <si>
    <t>- Speed up 1250 Mpm</t>
  </si>
  <si>
    <t>- 08:20 Ganti blade ceramic
- Cleaning pm, hood, headbox</t>
  </si>
  <si>
    <t>- 16.20 Ganti filter TC, cleaning area PM, hood wet, head box</t>
  </si>
  <si>
    <t>- ⁠17.46 Steam drop 14 bar</t>
  </si>
  <si>
    <t>- 00.40 Cleaning filter hood</t>
  </si>
  <si>
    <t>- 01.34 Geripis sisi Ds, Cleaning shower coating release</t>
  </si>
  <si>
    <t>- 04.59 New blade ceramic, cleaning all pm</t>
  </si>
  <si>
    <t>1250/937</t>
  </si>
  <si>
    <t>1249/937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</si>
</sst>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0.000"/>
    <numFmt numFmtId="183" formatCode="_-* #,##0.000_-;\-* #,##0.000_-;_-* &quot;-&quot;???_-;_-@_-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6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9" tint="-0.499984740745262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0" fontId="44" fillId="0" borderId="0"/>
    <xf numFmtId="164" fontId="44" fillId="0" borderId="0" applyFont="0" applyFill="0" applyBorder="0" applyAlignment="0" applyProtection="0"/>
  </cellStyleXfs>
  <cellXfs count="793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0" fontId="27" fillId="0" borderId="0" xfId="0" applyFont="1"/>
    <xf numFmtId="0" fontId="27" fillId="0" borderId="18" xfId="28" applyNumberFormat="1" applyFont="1" applyBorder="1"/>
    <xf numFmtId="0" fontId="26" fillId="24" borderId="13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7" fontId="41" fillId="0" borderId="0" xfId="0" applyNumberFormat="1" applyFont="1" applyAlignment="1">
      <alignment horizontal="center" vertical="center" wrapText="1"/>
    </xf>
    <xf numFmtId="178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8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7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7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8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8" fontId="38" fillId="0" borderId="11" xfId="29" applyNumberFormat="1" applyFont="1" applyFill="1" applyBorder="1" applyAlignment="1">
      <alignment horizontal="center"/>
    </xf>
    <xf numFmtId="178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8" fontId="42" fillId="0" borderId="11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178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7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8" fontId="42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8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8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40" xfId="0" applyFont="1" applyFill="1" applyBorder="1" applyAlignment="1">
      <alignment vertical="center" wrapText="1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68" fontId="38" fillId="0" borderId="11" xfId="0" applyNumberFormat="1" applyFont="1" applyBorder="1" applyAlignment="1">
      <alignment horizontal="center"/>
    </xf>
    <xf numFmtId="178" fontId="41" fillId="0" borderId="17" xfId="29" applyNumberFormat="1" applyFont="1" applyBorder="1" applyAlignment="1">
      <alignment vertical="center"/>
    </xf>
    <xf numFmtId="178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49" fillId="0" borderId="0" xfId="41" applyFont="1"/>
    <xf numFmtId="0" fontId="50" fillId="0" borderId="0" xfId="41" applyFont="1"/>
    <xf numFmtId="0" fontId="50" fillId="0" borderId="0" xfId="41" applyFont="1" applyAlignment="1">
      <alignment horizontal="center"/>
    </xf>
    <xf numFmtId="2" fontId="50" fillId="0" borderId="0" xfId="41" applyNumberFormat="1" applyFont="1" applyAlignment="1">
      <alignment horizontal="center"/>
    </xf>
    <xf numFmtId="0" fontId="46" fillId="0" borderId="0" xfId="41"/>
    <xf numFmtId="0" fontId="46" fillId="0" borderId="0" xfId="41" applyAlignment="1">
      <alignment horizontal="center"/>
    </xf>
    <xf numFmtId="2" fontId="46" fillId="0" borderId="0" xfId="41" applyNumberFormat="1" applyAlignment="1">
      <alignment horizontal="center"/>
    </xf>
    <xf numFmtId="2" fontId="46" fillId="0" borderId="0" xfId="41" applyNumberFormat="1"/>
    <xf numFmtId="0" fontId="51" fillId="0" borderId="0" xfId="41" applyFont="1"/>
    <xf numFmtId="16" fontId="46" fillId="0" borderId="10" xfId="41" applyNumberFormat="1" applyBorder="1"/>
    <xf numFmtId="0" fontId="46" fillId="0" borderId="11" xfId="41" applyBorder="1"/>
    <xf numFmtId="2" fontId="46" fillId="0" borderId="11" xfId="41" applyNumberFormat="1" applyBorder="1" applyAlignment="1">
      <alignment horizontal="center"/>
    </xf>
    <xf numFmtId="165" fontId="46" fillId="11" borderId="11" xfId="28" applyFont="1" applyFill="1" applyBorder="1" applyAlignment="1" applyProtection="1">
      <alignment horizontal="center"/>
    </xf>
    <xf numFmtId="0" fontId="52" fillId="0" borderId="0" xfId="41" applyFont="1"/>
    <xf numFmtId="165" fontId="52" fillId="0" borderId="23" xfId="28" applyFont="1" applyBorder="1" applyProtection="1"/>
    <xf numFmtId="0" fontId="46" fillId="0" borderId="0" xfId="42" applyAlignment="1">
      <alignment horizontal="center"/>
    </xf>
    <xf numFmtId="39" fontId="46" fillId="0" borderId="0" xfId="42" quotePrefix="1" applyNumberFormat="1" applyAlignment="1">
      <alignment horizontal="left"/>
    </xf>
    <xf numFmtId="0" fontId="46" fillId="0" borderId="0" xfId="41" quotePrefix="1"/>
    <xf numFmtId="39" fontId="46" fillId="0" borderId="0" xfId="42" applyNumberFormat="1"/>
    <xf numFmtId="39" fontId="46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2" fontId="30" fillId="0" borderId="0" xfId="0" applyNumberFormat="1" applyFont="1"/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168" fontId="32" fillId="0" borderId="0" xfId="0" applyNumberFormat="1" applyFont="1" applyAlignment="1">
      <alignment horizontal="center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7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65" fontId="45" fillId="24" borderId="10" xfId="0" applyNumberFormat="1" applyFont="1" applyFill="1" applyBorder="1" applyAlignment="1">
      <alignment horizontal="left"/>
    </xf>
    <xf numFmtId="16" fontId="22" fillId="24" borderId="0" xfId="28" applyNumberFormat="1" applyFont="1" applyFill="1" applyBorder="1" applyProtection="1">
      <protection locked="0"/>
    </xf>
    <xf numFmtId="173" fontId="46" fillId="0" borderId="67" xfId="0" applyNumberFormat="1" applyFont="1" applyBorder="1"/>
    <xf numFmtId="164" fontId="41" fillId="0" borderId="11" xfId="29" applyFont="1" applyFill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8" fontId="42" fillId="0" borderId="0" xfId="29" applyNumberFormat="1" applyFont="1" applyFill="1" applyBorder="1" applyAlignment="1">
      <alignment vertical="center"/>
    </xf>
    <xf numFmtId="178" fontId="26" fillId="24" borderId="21" xfId="29" applyNumberFormat="1" applyFont="1" applyFill="1" applyBorder="1" applyAlignment="1" applyProtection="1">
      <alignment horizontal="right" vertical="center"/>
    </xf>
    <xf numFmtId="178" fontId="26" fillId="24" borderId="17" xfId="29" applyNumberFormat="1" applyFont="1" applyFill="1" applyBorder="1" applyAlignment="1" applyProtection="1">
      <alignment horizontal="right" vertical="center"/>
    </xf>
    <xf numFmtId="178" fontId="26" fillId="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 vertical="center"/>
    </xf>
    <xf numFmtId="178" fontId="22" fillId="2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/>
    </xf>
    <xf numFmtId="178" fontId="26" fillId="24" borderId="14" xfId="29" applyNumberFormat="1" applyFont="1" applyFill="1" applyBorder="1" applyAlignment="1" applyProtection="1">
      <alignment horizontal="right"/>
    </xf>
    <xf numFmtId="178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8" fillId="28" borderId="0" xfId="0" applyFont="1" applyFill="1"/>
    <xf numFmtId="178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0" fontId="41" fillId="28" borderId="0" xfId="0" applyNumberFormat="1" applyFont="1" applyFill="1" applyAlignment="1">
      <alignment horizontal="right"/>
    </xf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8" fontId="42" fillId="25" borderId="13" xfId="29" applyNumberFormat="1" applyFont="1" applyFill="1" applyBorder="1" applyAlignment="1">
      <alignment vertical="center"/>
    </xf>
    <xf numFmtId="178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8" fontId="42" fillId="4" borderId="11" xfId="29" applyNumberFormat="1" applyFont="1" applyFill="1" applyBorder="1" applyAlignment="1">
      <alignment horizontal="center"/>
    </xf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7" fontId="32" fillId="35" borderId="11" xfId="28" applyNumberFormat="1" applyFont="1" applyFill="1" applyBorder="1" applyAlignment="1" applyProtection="1">
      <alignment horizontal="center"/>
    </xf>
    <xf numFmtId="168" fontId="36" fillId="35" borderId="13" xfId="0" applyNumberFormat="1" applyFont="1" applyFill="1" applyBorder="1" applyAlignment="1">
      <alignment horizontal="center" vertical="center" wrapText="1"/>
    </xf>
    <xf numFmtId="167" fontId="32" fillId="36" borderId="11" xfId="28" applyNumberFormat="1" applyFont="1" applyFill="1" applyBorder="1" applyAlignment="1" applyProtection="1">
      <alignment horizontal="center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3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3" fontId="44" fillId="0" borderId="55" xfId="0" applyNumberFormat="1" applyFont="1" applyBorder="1" applyAlignment="1">
      <alignment horizontal="center" vertical="center"/>
    </xf>
    <xf numFmtId="0" fontId="27" fillId="0" borderId="11" xfId="28" applyNumberFormat="1" applyFont="1" applyBorder="1" applyProtection="1"/>
    <xf numFmtId="0" fontId="44" fillId="0" borderId="0" xfId="0" applyFont="1"/>
    <xf numFmtId="178" fontId="53" fillId="0" borderId="0" xfId="29" applyNumberFormat="1" applyFont="1" applyProtection="1"/>
    <xf numFmtId="9" fontId="0" fillId="0" borderId="0" xfId="50" applyFont="1" applyProtection="1"/>
    <xf numFmtId="10" fontId="41" fillId="0" borderId="11" xfId="50" applyNumberFormat="1" applyFont="1" applyFill="1" applyBorder="1" applyAlignment="1">
      <alignment vertical="center"/>
    </xf>
    <xf numFmtId="16" fontId="46" fillId="0" borderId="11" xfId="41" applyNumberFormat="1" applyBorder="1"/>
    <xf numFmtId="0" fontId="0" fillId="0" borderId="17" xfId="28" applyNumberFormat="1" applyFont="1" applyBorder="1" applyProtection="1"/>
    <xf numFmtId="2" fontId="38" fillId="0" borderId="11" xfId="45" applyNumberFormat="1" applyFont="1" applyBorder="1" applyAlignment="1">
      <alignment horizontal="center"/>
    </xf>
    <xf numFmtId="2" fontId="41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4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7" fillId="0" borderId="66" xfId="0" applyNumberFormat="1" applyFont="1" applyBorder="1" applyAlignment="1">
      <alignment vertical="center"/>
    </xf>
    <xf numFmtId="0" fontId="27" fillId="0" borderId="66" xfId="0" applyFont="1" applyBorder="1" applyAlignment="1">
      <alignment horizontal="center" vertical="center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68" fontId="27" fillId="0" borderId="66" xfId="0" applyNumberFormat="1" applyFont="1" applyBorder="1" applyAlignment="1">
      <alignment vertical="center"/>
    </xf>
    <xf numFmtId="2" fontId="27" fillId="0" borderId="66" xfId="0" applyNumberFormat="1" applyFont="1" applyBorder="1" applyAlignment="1">
      <alignment vertical="center" wrapText="1"/>
    </xf>
    <xf numFmtId="4" fontId="27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7" fillId="0" borderId="66" xfId="50" applyFont="1" applyFill="1" applyBorder="1" applyAlignment="1" applyProtection="1">
      <alignment horizontal="center" vertical="center"/>
    </xf>
    <xf numFmtId="2" fontId="0" fillId="0" borderId="17" xfId="28" applyNumberFormat="1" applyFont="1" applyBorder="1" applyProtection="1"/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65" fontId="42" fillId="33" borderId="11" xfId="29" applyNumberFormat="1" applyFont="1" applyFill="1" applyBorder="1" applyAlignment="1">
      <alignment vertical="center"/>
    </xf>
    <xf numFmtId="0" fontId="44" fillId="0" borderId="11" xfId="0" applyFont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horizontal="center" vertical="center" wrapText="1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8" fillId="0" borderId="19" xfId="55" applyFont="1" applyBorder="1" applyAlignment="1">
      <alignment horizontal="left"/>
    </xf>
    <xf numFmtId="0" fontId="30" fillId="0" borderId="11" xfId="55" applyFont="1" applyBorder="1" applyAlignment="1">
      <alignment horizontal="left"/>
    </xf>
    <xf numFmtId="0" fontId="54" fillId="0" borderId="0" xfId="0" applyFont="1"/>
    <xf numFmtId="0" fontId="26" fillId="24" borderId="14" xfId="0" quotePrefix="1" applyFont="1" applyFill="1" applyBorder="1" applyAlignment="1" applyProtection="1">
      <alignment wrapText="1"/>
      <protection locked="0"/>
    </xf>
    <xf numFmtId="178" fontId="42" fillId="0" borderId="17" xfId="29" applyNumberFormat="1" applyFont="1" applyFill="1" applyBorder="1" applyAlignment="1">
      <alignment vertical="center" wrapText="1"/>
    </xf>
    <xf numFmtId="0" fontId="54" fillId="0" borderId="0" xfId="56" applyFont="1"/>
    <xf numFmtId="14" fontId="54" fillId="27" borderId="0" xfId="56" applyNumberFormat="1" applyFont="1" applyFill="1" applyAlignment="1">
      <alignment horizontal="center" vertical="center"/>
    </xf>
    <xf numFmtId="2" fontId="54" fillId="27" borderId="0" xfId="56" applyNumberFormat="1" applyFont="1" applyFill="1" applyAlignment="1">
      <alignment horizontal="center" vertical="center" wrapText="1"/>
    </xf>
    <xf numFmtId="0" fontId="54" fillId="27" borderId="0" xfId="56" applyFont="1" applyFill="1" applyAlignment="1">
      <alignment horizontal="center" vertical="center"/>
    </xf>
    <xf numFmtId="0" fontId="44" fillId="0" borderId="0" xfId="56"/>
    <xf numFmtId="0" fontId="54" fillId="27" borderId="11" xfId="56" applyFont="1" applyFill="1" applyBorder="1" applyAlignment="1">
      <alignment horizontal="center" vertical="center"/>
    </xf>
    <xf numFmtId="0" fontId="54" fillId="27" borderId="11" xfId="56" applyFont="1" applyFill="1" applyBorder="1" applyAlignment="1">
      <alignment horizontal="center" vertical="center" wrapText="1"/>
    </xf>
    <xf numFmtId="2" fontId="44" fillId="0" borderId="0" xfId="56" applyNumberFormat="1"/>
    <xf numFmtId="0" fontId="44" fillId="0" borderId="0" xfId="56" quotePrefix="1"/>
    <xf numFmtId="0" fontId="44" fillId="0" borderId="11" xfId="56" applyBorder="1"/>
    <xf numFmtId="2" fontId="44" fillId="0" borderId="11" xfId="56" applyNumberFormat="1" applyBorder="1" applyAlignment="1">
      <alignment horizontal="center"/>
    </xf>
    <xf numFmtId="10" fontId="0" fillId="0" borderId="11" xfId="50" applyNumberFormat="1" applyFont="1" applyBorder="1" applyAlignment="1">
      <alignment horizontal="center"/>
    </xf>
    <xf numFmtId="2" fontId="44" fillId="0" borderId="0" xfId="56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44" fillId="27" borderId="11" xfId="56" applyFill="1" applyBorder="1"/>
    <xf numFmtId="2" fontId="44" fillId="0" borderId="11" xfId="56" applyNumberFormat="1" applyBorder="1"/>
    <xf numFmtId="10" fontId="0" fillId="0" borderId="11" xfId="50" applyNumberFormat="1" applyFont="1" applyBorder="1"/>
    <xf numFmtId="14" fontId="44" fillId="0" borderId="0" xfId="56" applyNumberFormat="1" applyAlignment="1">
      <alignment horizontal="center"/>
    </xf>
    <xf numFmtId="9" fontId="54" fillId="27" borderId="11" xfId="50" applyFont="1" applyFill="1" applyBorder="1" applyAlignment="1">
      <alignment horizontal="center" vertical="center" wrapText="1"/>
    </xf>
    <xf numFmtId="2" fontId="54" fillId="38" borderId="11" xfId="0" applyNumberFormat="1" applyFont="1" applyFill="1" applyBorder="1" applyAlignment="1">
      <alignment horizontal="center"/>
    </xf>
    <xf numFmtId="10" fontId="54" fillId="38" borderId="11" xfId="50" applyNumberFormat="1" applyFont="1" applyFill="1" applyBorder="1" applyAlignment="1">
      <alignment horizontal="center"/>
    </xf>
    <xf numFmtId="0" fontId="27" fillId="38" borderId="11" xfId="0" applyFont="1" applyFill="1" applyBorder="1"/>
    <xf numFmtId="0" fontId="38" fillId="39" borderId="11" xfId="55" applyFont="1" applyFill="1" applyBorder="1" applyAlignment="1">
      <alignment horizontal="left"/>
    </xf>
    <xf numFmtId="0" fontId="0" fillId="40" borderId="11" xfId="0" applyFill="1" applyBorder="1"/>
    <xf numFmtId="0" fontId="44" fillId="40" borderId="11" xfId="0" applyFont="1" applyFill="1" applyBorder="1"/>
    <xf numFmtId="10" fontId="0" fillId="39" borderId="17" xfId="50" applyNumberFormat="1" applyFont="1" applyFill="1" applyBorder="1"/>
    <xf numFmtId="10" fontId="0" fillId="0" borderId="17" xfId="50" applyNumberFormat="1" applyFont="1" applyBorder="1"/>
    <xf numFmtId="0" fontId="58" fillId="0" borderId="11" xfId="55" applyFont="1" applyBorder="1" applyAlignment="1">
      <alignment horizontal="left"/>
    </xf>
    <xf numFmtId="10" fontId="57" fillId="27" borderId="11" xfId="50" applyNumberFormat="1" applyFont="1" applyFill="1" applyBorder="1"/>
    <xf numFmtId="10" fontId="27" fillId="0" borderId="11" xfId="0" applyNumberFormat="1" applyFont="1" applyBorder="1"/>
    <xf numFmtId="177" fontId="41" fillId="0" borderId="11" xfId="0" applyNumberFormat="1" applyFont="1" applyBorder="1" applyAlignment="1">
      <alignment horizontal="center" vertical="center" wrapText="1"/>
    </xf>
    <xf numFmtId="0" fontId="21" fillId="0" borderId="0" xfId="41" applyFont="1"/>
    <xf numFmtId="178" fontId="41" fillId="0" borderId="19" xfId="29" applyNumberFormat="1" applyFont="1" applyFill="1" applyBorder="1" applyAlignment="1">
      <alignment vertical="center"/>
    </xf>
    <xf numFmtId="181" fontId="42" fillId="25" borderId="11" xfId="29" applyNumberFormat="1" applyFont="1" applyFill="1" applyBorder="1" applyAlignment="1">
      <alignment vertical="center"/>
    </xf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79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65" fontId="26" fillId="24" borderId="10" xfId="28" applyFont="1" applyFill="1" applyBorder="1" applyAlignment="1" applyProtection="1">
      <alignment horizontal="center" vertical="center"/>
      <protection locked="0"/>
    </xf>
    <xf numFmtId="0" fontId="26" fillId="24" borderId="14" xfId="0" applyFont="1" applyFill="1" applyBorder="1" applyAlignment="1" applyProtection="1">
      <alignment horizontal="center" vertical="center"/>
      <protection locked="0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2" fontId="0" fillId="0" borderId="70" xfId="0" applyNumberFormat="1" applyBorder="1" applyAlignment="1">
      <alignment vertical="center"/>
    </xf>
    <xf numFmtId="9" fontId="41" fillId="27" borderId="11" xfId="0" applyNumberFormat="1" applyFont="1" applyFill="1" applyBorder="1" applyAlignment="1">
      <alignment horizontal="center" vertical="center" wrapText="1"/>
    </xf>
    <xf numFmtId="10" fontId="44" fillId="0" borderId="0" xfId="56" applyNumberFormat="1"/>
    <xf numFmtId="178" fontId="42" fillId="41" borderId="11" xfId="57" applyNumberFormat="1" applyFont="1" applyFill="1" applyBorder="1" applyAlignment="1">
      <alignment horizontal="center" vertical="center" wrapText="1"/>
    </xf>
    <xf numFmtId="178" fontId="42" fillId="26" borderId="14" xfId="57" applyNumberFormat="1" applyFont="1" applyFill="1" applyBorder="1" applyAlignment="1">
      <alignment horizontal="center" vertical="center" wrapText="1"/>
    </xf>
    <xf numFmtId="178" fontId="42" fillId="26" borderId="11" xfId="57" applyNumberFormat="1" applyFont="1" applyFill="1" applyBorder="1" applyAlignment="1">
      <alignment horizontal="center" vertical="center" wrapText="1"/>
    </xf>
    <xf numFmtId="178" fontId="42" fillId="41" borderId="14" xfId="57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6" xfId="28" applyNumberFormat="1" applyFont="1" applyBorder="1" applyAlignment="1"/>
    <xf numFmtId="2" fontId="0" fillId="0" borderId="86" xfId="28" applyNumberFormat="1" applyFont="1" applyBorder="1" applyAlignment="1" applyProtection="1">
      <alignment horizontal="center" vertical="center"/>
      <protection hidden="1"/>
    </xf>
    <xf numFmtId="0" fontId="42" fillId="0" borderId="14" xfId="0" applyFont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6" fillId="24" borderId="39" xfId="0" applyFont="1" applyFill="1" applyBorder="1" applyAlignment="1">
      <alignment horizontal="left" vertical="center"/>
    </xf>
    <xf numFmtId="165" fontId="26" fillId="24" borderId="45" xfId="50" applyNumberFormat="1" applyFont="1" applyFill="1" applyBorder="1" applyAlignment="1" applyProtection="1">
      <alignment horizontal="center" vertical="center"/>
      <protection locked="0"/>
    </xf>
    <xf numFmtId="0" fontId="26" fillId="24" borderId="54" xfId="0" applyFont="1" applyFill="1" applyBorder="1" applyAlignment="1" applyProtection="1">
      <alignment horizontal="left" vertical="center"/>
      <protection locked="0"/>
    </xf>
    <xf numFmtId="16" fontId="46" fillId="0" borderId="25" xfId="41" applyNumberFormat="1" applyBorder="1"/>
    <xf numFmtId="0" fontId="46" fillId="0" borderId="17" xfId="41" applyBorder="1"/>
    <xf numFmtId="16" fontId="46" fillId="0" borderId="17" xfId="41" applyNumberFormat="1" applyBorder="1"/>
    <xf numFmtId="2" fontId="46" fillId="0" borderId="17" xfId="41" applyNumberFormat="1" applyBorder="1" applyAlignment="1">
      <alignment horizontal="center"/>
    </xf>
    <xf numFmtId="2" fontId="27" fillId="0" borderId="31" xfId="28" applyNumberFormat="1" applyFont="1" applyBorder="1" applyAlignment="1">
      <alignment horizontal="center" vertical="center"/>
    </xf>
    <xf numFmtId="165" fontId="46" fillId="11" borderId="17" xfId="28" applyFont="1" applyFill="1" applyBorder="1" applyAlignment="1" applyProtection="1">
      <alignment horizontal="center"/>
    </xf>
    <xf numFmtId="2" fontId="27" fillId="27" borderId="0" xfId="41" applyNumberFormat="1" applyFont="1" applyFill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6" fillId="0" borderId="39" xfId="0" applyNumberFormat="1" applyFont="1" applyBorder="1" applyAlignment="1">
      <alignment horizontal="center" vertical="center"/>
    </xf>
    <xf numFmtId="173" fontId="27" fillId="27" borderId="0" xfId="0" applyNumberFormat="1" applyFont="1" applyFill="1" applyAlignment="1">
      <alignment vertical="center"/>
    </xf>
    <xf numFmtId="180" fontId="27" fillId="27" borderId="0" xfId="0" applyNumberFormat="1" applyFont="1" applyFill="1" applyAlignment="1">
      <alignment horizontal="right" vertical="center"/>
    </xf>
    <xf numFmtId="0" fontId="26" fillId="24" borderId="0" xfId="0" applyFont="1" applyFill="1" applyAlignment="1">
      <alignment horizontal="right"/>
    </xf>
    <xf numFmtId="0" fontId="61" fillId="24" borderId="0" xfId="0" applyFont="1" applyFill="1" applyAlignment="1">
      <alignment horizontal="right"/>
    </xf>
    <xf numFmtId="0" fontId="22" fillId="24" borderId="0" xfId="0" applyFont="1" applyFill="1" applyAlignment="1">
      <alignment horizontal="right"/>
    </xf>
    <xf numFmtId="2" fontId="22" fillId="24" borderId="0" xfId="28" applyNumberFormat="1" applyFont="1" applyFill="1" applyBorder="1" applyProtection="1">
      <protection locked="0"/>
    </xf>
    <xf numFmtId="176" fontId="22" fillId="24" borderId="0" xfId="0" applyNumberFormat="1" applyFont="1" applyFill="1"/>
    <xf numFmtId="176" fontId="26" fillId="24" borderId="0" xfId="0" applyNumberFormat="1" applyFont="1" applyFill="1"/>
    <xf numFmtId="0" fontId="61" fillId="24" borderId="0" xfId="0" applyFont="1" applyFill="1"/>
    <xf numFmtId="0" fontId="44" fillId="24" borderId="0" xfId="0" applyFont="1" applyFill="1" applyAlignment="1">
      <alignment horizontal="right"/>
    </xf>
    <xf numFmtId="0" fontId="44" fillId="24" borderId="0" xfId="0" applyFont="1" applyFill="1"/>
    <xf numFmtId="0" fontId="62" fillId="24" borderId="0" xfId="0" applyFont="1" applyFill="1" applyAlignment="1">
      <alignment horizontal="right"/>
    </xf>
    <xf numFmtId="0" fontId="62" fillId="24" borderId="0" xfId="0" applyFont="1" applyFill="1"/>
    <xf numFmtId="176" fontId="62" fillId="24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top" wrapText="1"/>
    </xf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44" fillId="0" borderId="11" xfId="0" applyFont="1" applyBorder="1" applyAlignment="1">
      <alignment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27" fillId="24" borderId="87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0" fillId="0" borderId="85" xfId="0" applyBorder="1"/>
    <xf numFmtId="10" fontId="26" fillId="24" borderId="36" xfId="50" applyNumberFormat="1" applyFont="1" applyFill="1" applyBorder="1" applyAlignment="1" applyProtection="1">
      <alignment horizontal="center" vertical="center"/>
    </xf>
    <xf numFmtId="0" fontId="27" fillId="24" borderId="0" xfId="0" applyFont="1" applyFill="1"/>
    <xf numFmtId="0" fontId="63" fillId="24" borderId="0" xfId="0" applyFont="1" applyFill="1" applyAlignment="1">
      <alignment horizontal="right"/>
    </xf>
    <xf numFmtId="1" fontId="44" fillId="27" borderId="39" xfId="0" applyNumberFormat="1" applyFont="1" applyFill="1" applyBorder="1" applyAlignment="1">
      <alignment horizontal="center" vertical="center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0" fontId="27" fillId="0" borderId="19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0" fontId="44" fillId="0" borderId="45" xfId="0" applyFont="1" applyBorder="1"/>
    <xf numFmtId="0" fontId="0" fillId="0" borderId="45" xfId="0" applyBorder="1"/>
    <xf numFmtId="2" fontId="0" fillId="0" borderId="64" xfId="0" applyNumberFormat="1" applyBorder="1" applyAlignment="1">
      <alignment vertical="center"/>
    </xf>
    <xf numFmtId="0" fontId="0" fillId="0" borderId="68" xfId="0" applyBorder="1"/>
    <xf numFmtId="0" fontId="44" fillId="0" borderId="26" xfId="0" applyFont="1" applyBorder="1"/>
    <xf numFmtId="0" fontId="0" fillId="0" borderId="26" xfId="0" applyBorder="1"/>
    <xf numFmtId="2" fontId="0" fillId="0" borderId="40" xfId="0" applyNumberFormat="1" applyBorder="1" applyAlignment="1">
      <alignment vertical="center"/>
    </xf>
    <xf numFmtId="173" fontId="46" fillId="0" borderId="85" xfId="0" applyNumberFormat="1" applyFont="1" applyBorder="1"/>
    <xf numFmtId="182" fontId="22" fillId="24" borderId="0" xfId="0" applyNumberFormat="1" applyFont="1" applyFill="1"/>
    <xf numFmtId="183" fontId="22" fillId="24" borderId="0" xfId="0" applyNumberFormat="1" applyFont="1" applyFill="1"/>
    <xf numFmtId="2" fontId="0" fillId="27" borderId="11" xfId="28" applyNumberFormat="1" applyFont="1" applyFill="1" applyBorder="1" applyAlignment="1">
      <alignment vertical="top"/>
    </xf>
    <xf numFmtId="0" fontId="44" fillId="0" borderId="0" xfId="56" quotePrefix="1" applyAlignment="1">
      <alignment wrapText="1"/>
    </xf>
    <xf numFmtId="0" fontId="67" fillId="24" borderId="13" xfId="0" quotePrefix="1" applyFont="1" applyFill="1" applyBorder="1" applyAlignment="1" applyProtection="1">
      <alignment wrapText="1"/>
      <protection locked="0"/>
    </xf>
    <xf numFmtId="4" fontId="44" fillId="0" borderId="11" xfId="0" applyNumberFormat="1" applyFont="1" applyBorder="1" applyAlignment="1">
      <alignment vertical="center"/>
    </xf>
    <xf numFmtId="4" fontId="32" fillId="0" borderId="0" xfId="0" applyNumberFormat="1" applyFont="1" applyAlignment="1">
      <alignment horizontal="center"/>
    </xf>
    <xf numFmtId="4" fontId="35" fillId="0" borderId="0" xfId="28" applyNumberFormat="1" applyFont="1" applyBorder="1" applyAlignment="1" applyProtection="1">
      <alignment horizontal="right"/>
    </xf>
    <xf numFmtId="10" fontId="0" fillId="0" borderId="0" xfId="0" applyNumberForma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169" fontId="34" fillId="0" borderId="0" xfId="0" applyNumberFormat="1" applyFont="1" applyAlignment="1">
      <alignment horizontal="center" vertical="center"/>
    </xf>
    <xf numFmtId="168" fontId="37" fillId="0" borderId="11" xfId="0" applyNumberFormat="1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171" fontId="37" fillId="0" borderId="11" xfId="0" applyNumberFormat="1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justify" wrapText="1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6" borderId="13" xfId="28" applyNumberFormat="1" applyFont="1" applyFill="1" applyBorder="1" applyAlignment="1" applyProtection="1">
      <alignment horizontal="center"/>
    </xf>
    <xf numFmtId="167" fontId="32" fillId="36" borderId="20" xfId="28" applyNumberFormat="1" applyFont="1" applyFill="1" applyBorder="1" applyAlignment="1" applyProtection="1">
      <alignment horizontal="center"/>
    </xf>
    <xf numFmtId="167" fontId="32" fillId="36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5" borderId="20" xfId="28" applyNumberFormat="1" applyFont="1" applyFill="1" applyBorder="1" applyAlignment="1" applyProtection="1">
      <alignment horizontal="center"/>
    </xf>
    <xf numFmtId="167" fontId="32" fillId="35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37" borderId="13" xfId="28" applyNumberFormat="1" applyFont="1" applyFill="1" applyBorder="1" applyAlignment="1" applyProtection="1">
      <alignment horizontal="center"/>
    </xf>
    <xf numFmtId="167" fontId="32" fillId="37" borderId="20" xfId="28" applyNumberFormat="1" applyFont="1" applyFill="1" applyBorder="1" applyAlignment="1" applyProtection="1">
      <alignment horizontal="center"/>
    </xf>
    <xf numFmtId="167" fontId="32" fillId="37" borderId="19" xfId="28" applyNumberFormat="1" applyFont="1" applyFill="1" applyBorder="1" applyAlignment="1" applyProtection="1">
      <alignment horizontal="center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7" fontId="42" fillId="0" borderId="58" xfId="0" applyNumberFormat="1" applyFont="1" applyBorder="1" applyAlignment="1">
      <alignment horizontal="center" vertical="center"/>
    </xf>
    <xf numFmtId="177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7" fontId="42" fillId="0" borderId="30" xfId="0" applyNumberFormat="1" applyFont="1" applyBorder="1" applyAlignment="1">
      <alignment horizontal="center" vertical="center"/>
    </xf>
    <xf numFmtId="177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8" fontId="42" fillId="0" borderId="14" xfId="29" applyNumberFormat="1" applyFont="1" applyFill="1" applyBorder="1" applyAlignment="1">
      <alignment horizontal="center" vertical="center" wrapText="1"/>
    </xf>
    <xf numFmtId="178" fontId="42" fillId="0" borderId="62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78" fontId="42" fillId="25" borderId="14" xfId="29" applyNumberFormat="1" applyFont="1" applyFill="1" applyBorder="1" applyAlignment="1">
      <alignment horizontal="center" vertical="center" wrapText="1"/>
    </xf>
    <xf numFmtId="178" fontId="42" fillId="25" borderId="62" xfId="29" applyNumberFormat="1" applyFont="1" applyFill="1" applyBorder="1" applyAlignment="1">
      <alignment horizontal="center" vertical="center" wrapText="1"/>
    </xf>
    <xf numFmtId="178" fontId="42" fillId="4" borderId="58" xfId="29" applyNumberFormat="1" applyFont="1" applyFill="1" applyBorder="1" applyAlignment="1">
      <alignment horizontal="center" vertical="center" wrapText="1"/>
    </xf>
    <xf numFmtId="178" fontId="42" fillId="4" borderId="31" xfId="29" applyNumberFormat="1" applyFont="1" applyFill="1" applyBorder="1" applyAlignment="1">
      <alignment horizontal="center" vertical="center" wrapText="1"/>
    </xf>
    <xf numFmtId="178" fontId="42" fillId="4" borderId="30" xfId="29" applyNumberFormat="1" applyFont="1" applyFill="1" applyBorder="1" applyAlignment="1">
      <alignment horizontal="center" vertical="center" wrapText="1"/>
    </xf>
    <xf numFmtId="178" fontId="42" fillId="4" borderId="16" xfId="29" applyNumberFormat="1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 vertical="center" wrapText="1"/>
    </xf>
    <xf numFmtId="178" fontId="42" fillId="25" borderId="11" xfId="29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0" fontId="48" fillId="22" borderId="11" xfId="0" applyFont="1" applyFill="1" applyBorder="1" applyAlignment="1">
      <alignment horizontal="center"/>
    </xf>
    <xf numFmtId="178" fontId="42" fillId="22" borderId="14" xfId="29" applyNumberFormat="1" applyFont="1" applyFill="1" applyBorder="1" applyAlignment="1">
      <alignment horizontal="center" vertical="center" wrapText="1"/>
    </xf>
    <xf numFmtId="178" fontId="42" fillId="22" borderId="62" xfId="29" applyNumberFormat="1" applyFont="1" applyFill="1" applyBorder="1" applyAlignment="1">
      <alignment horizontal="center" vertical="center" wrapText="1"/>
    </xf>
    <xf numFmtId="178" fontId="42" fillId="22" borderId="17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/>
    </xf>
    <xf numFmtId="178" fontId="42" fillId="4" borderId="11" xfId="29" applyNumberFormat="1" applyFont="1" applyFill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41" borderId="87" xfId="57" applyNumberFormat="1" applyFont="1" applyFill="1" applyBorder="1" applyAlignment="1">
      <alignment horizontal="center" vertical="center" wrapText="1"/>
    </xf>
    <xf numFmtId="178" fontId="42" fillId="41" borderId="62" xfId="57" applyNumberFormat="1" applyFont="1" applyFill="1" applyBorder="1" applyAlignment="1">
      <alignment horizontal="center" vertical="center" wrapText="1"/>
    </xf>
    <xf numFmtId="178" fontId="42" fillId="41" borderId="17" xfId="57" applyNumberFormat="1" applyFont="1" applyFill="1" applyBorder="1" applyAlignment="1">
      <alignment horizontal="center" vertical="center" wrapText="1"/>
    </xf>
    <xf numFmtId="178" fontId="42" fillId="26" borderId="87" xfId="57" applyNumberFormat="1" applyFont="1" applyFill="1" applyBorder="1" applyAlignment="1">
      <alignment horizontal="center" vertical="center" wrapText="1"/>
    </xf>
    <xf numFmtId="178" fontId="42" fillId="26" borderId="62" xfId="57" applyNumberFormat="1" applyFont="1" applyFill="1" applyBorder="1" applyAlignment="1">
      <alignment horizontal="center" vertical="center" wrapText="1"/>
    </xf>
    <xf numFmtId="178" fontId="42" fillId="26" borderId="17" xfId="57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center" vertical="center" wrapText="1"/>
    </xf>
    <xf numFmtId="178" fontId="42" fillId="0" borderId="20" xfId="29" applyNumberFormat="1" applyFont="1" applyFill="1" applyBorder="1" applyAlignment="1">
      <alignment horizontal="center" vertical="center" wrapText="1"/>
    </xf>
    <xf numFmtId="178" fontId="42" fillId="0" borderId="19" xfId="29" applyNumberFormat="1" applyFont="1" applyFill="1" applyBorder="1" applyAlignment="1">
      <alignment horizontal="center" vertical="center" wrapText="1"/>
    </xf>
    <xf numFmtId="178" fontId="42" fillId="41" borderId="58" xfId="57" applyNumberFormat="1" applyFont="1" applyFill="1" applyBorder="1" applyAlignment="1">
      <alignment horizontal="center" vertical="center" wrapText="1"/>
    </xf>
    <xf numFmtId="178" fontId="42" fillId="41" borderId="31" xfId="57" applyNumberFormat="1" applyFont="1" applyFill="1" applyBorder="1" applyAlignment="1">
      <alignment horizontal="center" vertical="center" wrapText="1"/>
    </xf>
    <xf numFmtId="178" fontId="42" fillId="26" borderId="13" xfId="57" applyNumberFormat="1" applyFont="1" applyFill="1" applyBorder="1" applyAlignment="1">
      <alignment horizontal="center" vertical="center" wrapText="1"/>
    </xf>
    <xf numFmtId="178" fontId="42" fillId="26" borderId="19" xfId="57" applyNumberFormat="1" applyFont="1" applyFill="1" applyBorder="1" applyAlignment="1">
      <alignment horizontal="center" vertical="center" wrapText="1"/>
    </xf>
    <xf numFmtId="178" fontId="42" fillId="26" borderId="14" xfId="29" applyNumberFormat="1" applyFont="1" applyFill="1" applyBorder="1" applyAlignment="1">
      <alignment horizontal="center" vertical="center" wrapText="1"/>
    </xf>
    <xf numFmtId="178" fontId="42" fillId="26" borderId="62" xfId="29" applyNumberFormat="1" applyFont="1" applyFill="1" applyBorder="1" applyAlignment="1">
      <alignment horizontal="center" vertical="center" wrapText="1"/>
    </xf>
    <xf numFmtId="178" fontId="42" fillId="26" borderId="17" xfId="29" applyNumberFormat="1" applyFont="1" applyFill="1" applyBorder="1" applyAlignment="1">
      <alignment horizontal="center" vertical="center" wrapText="1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0" fontId="52" fillId="0" borderId="76" xfId="41" applyFont="1" applyBorder="1" applyAlignment="1">
      <alignment horizontal="center"/>
    </xf>
    <xf numFmtId="0" fontId="52" fillId="0" borderId="77" xfId="41" applyFont="1" applyBorder="1" applyAlignment="1">
      <alignment horizontal="center"/>
    </xf>
    <xf numFmtId="0" fontId="52" fillId="0" borderId="22" xfId="41" applyFont="1" applyBorder="1" applyAlignment="1">
      <alignment horizontal="center"/>
    </xf>
    <xf numFmtId="2" fontId="0" fillId="33" borderId="13" xfId="28" applyNumberFormat="1" applyFont="1" applyFill="1" applyBorder="1" applyAlignment="1">
      <alignment horizontal="center"/>
    </xf>
    <xf numFmtId="2" fontId="0" fillId="33" borderId="20" xfId="28" applyNumberFormat="1" applyFont="1" applyFill="1" applyBorder="1" applyAlignment="1">
      <alignment horizontal="center"/>
    </xf>
    <xf numFmtId="2" fontId="0" fillId="33" borderId="19" xfId="28" applyNumberFormat="1" applyFont="1" applyFill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0" fillId="27" borderId="20" xfId="28" applyNumberFormat="1" applyFont="1" applyFill="1" applyBorder="1" applyAlignment="1">
      <alignment horizontal="center"/>
    </xf>
    <xf numFmtId="2" fontId="0" fillId="27" borderId="19" xfId="28" applyNumberFormat="1" applyFont="1" applyFill="1" applyBorder="1" applyAlignment="1">
      <alignment horizontal="center"/>
    </xf>
    <xf numFmtId="0" fontId="52" fillId="0" borderId="67" xfId="41" applyFont="1" applyBorder="1" applyAlignment="1">
      <alignment horizontal="center" vertical="center"/>
    </xf>
    <xf numFmtId="0" fontId="52" fillId="0" borderId="85" xfId="41" applyFont="1" applyBorder="1" applyAlignment="1">
      <alignment horizontal="center" vertical="center"/>
    </xf>
    <xf numFmtId="0" fontId="52" fillId="0" borderId="68" xfId="41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27" fillId="0" borderId="85" xfId="0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52" fillId="11" borderId="67" xfId="41" applyFont="1" applyFill="1" applyBorder="1" applyAlignment="1">
      <alignment horizontal="center" vertical="center" wrapText="1"/>
    </xf>
    <xf numFmtId="0" fontId="52" fillId="11" borderId="85" xfId="41" applyFont="1" applyFill="1" applyBorder="1" applyAlignment="1">
      <alignment horizontal="center" vertical="center" wrapText="1"/>
    </xf>
    <xf numFmtId="0" fontId="52" fillId="11" borderId="68" xfId="41" applyFont="1" applyFill="1" applyBorder="1" applyAlignment="1">
      <alignment horizontal="center" vertical="center" wrapText="1"/>
    </xf>
    <xf numFmtId="0" fontId="27" fillId="45" borderId="79" xfId="0" applyFont="1" applyFill="1" applyBorder="1" applyAlignment="1">
      <alignment horizontal="center" vertical="center" wrapText="1"/>
    </xf>
    <xf numFmtId="0" fontId="27" fillId="45" borderId="80" xfId="0" applyFont="1" applyFill="1" applyBorder="1" applyAlignment="1">
      <alignment horizontal="center" vertical="center" wrapText="1"/>
    </xf>
    <xf numFmtId="0" fontId="27" fillId="45" borderId="81" xfId="0" applyFont="1" applyFill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43" borderId="80" xfId="0" applyFont="1" applyFill="1" applyBorder="1" applyAlignment="1">
      <alignment horizontal="center" vertical="center" wrapText="1"/>
    </xf>
    <xf numFmtId="0" fontId="27" fillId="43" borderId="81" xfId="0" applyFont="1" applyFill="1" applyBorder="1" applyAlignment="1">
      <alignment horizontal="center" vertical="center" wrapText="1"/>
    </xf>
    <xf numFmtId="0" fontId="27" fillId="33" borderId="79" xfId="0" applyFont="1" applyFill="1" applyBorder="1" applyAlignment="1">
      <alignment horizontal="center" vertical="center" wrapText="1"/>
    </xf>
    <xf numFmtId="0" fontId="27" fillId="33" borderId="80" xfId="0" applyFont="1" applyFill="1" applyBorder="1" applyAlignment="1">
      <alignment horizontal="center" vertical="center" wrapText="1"/>
    </xf>
    <xf numFmtId="0" fontId="27" fillId="33" borderId="81" xfId="0" applyFont="1" applyFill="1" applyBorder="1" applyAlignment="1">
      <alignment horizontal="center" vertical="center" wrapText="1"/>
    </xf>
    <xf numFmtId="0" fontId="27" fillId="42" borderId="79" xfId="0" applyFont="1" applyFill="1" applyBorder="1" applyAlignment="1">
      <alignment horizontal="center" vertical="center" wrapText="1"/>
    </xf>
    <xf numFmtId="0" fontId="27" fillId="42" borderId="80" xfId="0" applyFont="1" applyFill="1" applyBorder="1" applyAlignment="1">
      <alignment horizontal="center" vertical="center" wrapText="1"/>
    </xf>
    <xf numFmtId="0" fontId="27" fillId="42" borderId="81" xfId="0" applyFont="1" applyFill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0" fontId="27" fillId="27" borderId="79" xfId="0" applyFont="1" applyFill="1" applyBorder="1" applyAlignment="1">
      <alignment horizontal="center" vertical="center" wrapText="1"/>
    </xf>
    <xf numFmtId="0" fontId="27" fillId="27" borderId="80" xfId="0" applyFont="1" applyFill="1" applyBorder="1" applyAlignment="1">
      <alignment horizontal="center" vertical="center" wrapText="1"/>
    </xf>
    <xf numFmtId="0" fontId="27" fillId="27" borderId="81" xfId="0" applyFont="1" applyFill="1" applyBorder="1" applyAlignment="1">
      <alignment horizontal="center" vertical="center" wrapText="1"/>
    </xf>
    <xf numFmtId="0" fontId="27" fillId="44" borderId="79" xfId="0" applyFont="1" applyFill="1" applyBorder="1" applyAlignment="1">
      <alignment horizontal="center" vertical="center" wrapText="1"/>
    </xf>
    <xf numFmtId="0" fontId="27" fillId="44" borderId="80" xfId="0" applyFont="1" applyFill="1" applyBorder="1" applyAlignment="1">
      <alignment horizontal="center" vertical="center" wrapText="1"/>
    </xf>
    <xf numFmtId="0" fontId="27" fillId="44" borderId="81" xfId="0" applyFont="1" applyFill="1" applyBorder="1" applyAlignment="1">
      <alignment horizontal="center" vertical="center" wrapText="1"/>
    </xf>
    <xf numFmtId="10" fontId="57" fillId="27" borderId="11" xfId="0" applyNumberFormat="1" applyFont="1" applyFill="1" applyBorder="1" applyAlignment="1">
      <alignment horizontal="center" vertical="center"/>
    </xf>
    <xf numFmtId="0" fontId="57" fillId="27" borderId="11" xfId="0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7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0" borderId="87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55" fillId="0" borderId="11" xfId="0" applyNumberFormat="1" applyFont="1" applyBorder="1" applyAlignment="1">
      <alignment horizontal="center" vertical="center"/>
    </xf>
    <xf numFmtId="0" fontId="55" fillId="0" borderId="11" xfId="0" applyFont="1" applyBorder="1" applyAlignment="1">
      <alignment horizontal="center" vertical="center"/>
    </xf>
    <xf numFmtId="0" fontId="54" fillId="0" borderId="87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10" fontId="54" fillId="0" borderId="87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22" fillId="24" borderId="76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78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6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9" xfId="0" applyFont="1" applyFill="1" applyBorder="1" applyAlignment="1">
      <alignment horizontal="center"/>
    </xf>
    <xf numFmtId="0" fontId="26" fillId="24" borderId="70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7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19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54.765000000000001</c:v>
                </c:pt>
                <c:pt idx="1">
                  <c:v>53.106000000000002</c:v>
                </c:pt>
                <c:pt idx="2">
                  <c:v>57.095999999999997</c:v>
                </c:pt>
                <c:pt idx="3">
                  <c:v>41.052</c:v>
                </c:pt>
                <c:pt idx="4">
                  <c:v>52.134</c:v>
                </c:pt>
                <c:pt idx="5">
                  <c:v>46.978999999999999</c:v>
                </c:pt>
                <c:pt idx="6">
                  <c:v>44.481000000000002</c:v>
                </c:pt>
                <c:pt idx="7">
                  <c:v>54.173999999999999</c:v>
                </c:pt>
                <c:pt idx="8">
                  <c:v>49.234000000000002</c:v>
                </c:pt>
                <c:pt idx="9">
                  <c:v>49.491</c:v>
                </c:pt>
                <c:pt idx="10">
                  <c:v>42.121000000000002</c:v>
                </c:pt>
                <c:pt idx="11">
                  <c:v>42.796999999999997</c:v>
                </c:pt>
                <c:pt idx="12">
                  <c:v>48.720999999999997</c:v>
                </c:pt>
                <c:pt idx="13">
                  <c:v>46.695999999999998</c:v>
                </c:pt>
                <c:pt idx="14">
                  <c:v>38.723999999999997</c:v>
                </c:pt>
                <c:pt idx="15">
                  <c:v>45.914000000000001</c:v>
                </c:pt>
                <c:pt idx="16">
                  <c:v>53.536000000000001</c:v>
                </c:pt>
                <c:pt idx="17">
                  <c:v>51.192999999999998</c:v>
                </c:pt>
                <c:pt idx="18">
                  <c:v>55.948</c:v>
                </c:pt>
                <c:pt idx="19">
                  <c:v>61.436999999999998</c:v>
                </c:pt>
                <c:pt idx="20">
                  <c:v>49.655999999999999</c:v>
                </c:pt>
                <c:pt idx="21">
                  <c:v>55.546999999999997</c:v>
                </c:pt>
                <c:pt idx="22">
                  <c:v>50.734999999999999</c:v>
                </c:pt>
                <c:pt idx="23">
                  <c:v>52.133000000000003</c:v>
                </c:pt>
                <c:pt idx="24">
                  <c:v>46.787999999999997</c:v>
                </c:pt>
                <c:pt idx="25">
                  <c:v>47.401000000000003</c:v>
                </c:pt>
                <c:pt idx="26">
                  <c:v>50.04</c:v>
                </c:pt>
                <c:pt idx="27">
                  <c:v>47.351999999999997</c:v>
                </c:pt>
                <c:pt idx="28">
                  <c:v>45.203000000000003</c:v>
                </c:pt>
                <c:pt idx="29">
                  <c:v>46.945999999999998</c:v>
                </c:pt>
                <c:pt idx="30">
                  <c:v>53.325000000000003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156992"/>
        <c:axId val="38520832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9D9-4AE7-A2BC-243B616CE85F}"/>
              </c:ext>
            </c:extLst>
          </c:dPt>
          <c:cat>
            <c:numRef>
              <c:f>Report1!$A$9:$A$39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1.020257349870421</c:v>
                </c:pt>
                <c:pt idx="1">
                  <c:v>0.98022825020696536</c:v>
                </c:pt>
                <c:pt idx="2">
                  <c:v>1.053875497567448</c:v>
                </c:pt>
                <c:pt idx="3">
                  <c:v>0.75773603976003356</c:v>
                </c:pt>
                <c:pt idx="4">
                  <c:v>0.95252474036390711</c:v>
                </c:pt>
                <c:pt idx="5">
                  <c:v>0.90094566536602549</c:v>
                </c:pt>
                <c:pt idx="6">
                  <c:v>0.86403462152404831</c:v>
                </c:pt>
                <c:pt idx="7">
                  <c:v>1.0523192281298483</c:v>
                </c:pt>
                <c:pt idx="8">
                  <c:v>0.95636070583204047</c:v>
                </c:pt>
                <c:pt idx="9">
                  <c:v>0.96135287996777663</c:v>
                </c:pt>
                <c:pt idx="10">
                  <c:v>0.8181920886044477</c:v>
                </c:pt>
                <c:pt idx="11">
                  <c:v>0.83132325481362135</c:v>
                </c:pt>
                <c:pt idx="12">
                  <c:v>0.94639578236265265</c:v>
                </c:pt>
                <c:pt idx="13">
                  <c:v>0.89421581623734758</c:v>
                </c:pt>
                <c:pt idx="14">
                  <c:v>0.78871719635613302</c:v>
                </c:pt>
                <c:pt idx="15">
                  <c:v>0.91847634085043084</c:v>
                </c:pt>
                <c:pt idx="16">
                  <c:v>1.0083279460209369</c:v>
                </c:pt>
                <c:pt idx="17">
                  <c:v>0.84485677508294987</c:v>
                </c:pt>
                <c:pt idx="18">
                  <c:v>0.95346614836609511</c:v>
                </c:pt>
                <c:pt idx="19">
                  <c:v>1.0968476462605015</c:v>
                </c:pt>
                <c:pt idx="20">
                  <c:v>0.87446798618771693</c:v>
                </c:pt>
                <c:pt idx="21">
                  <c:v>0.98380912574033363</c:v>
                </c:pt>
                <c:pt idx="22">
                  <c:v>0.91998201433801985</c:v>
                </c:pt>
                <c:pt idx="23">
                  <c:v>0.99410496777728441</c:v>
                </c:pt>
                <c:pt idx="24">
                  <c:v>0.90277428859927344</c:v>
                </c:pt>
                <c:pt idx="25">
                  <c:v>0.88392484186657128</c:v>
                </c:pt>
                <c:pt idx="26">
                  <c:v>0.95056340827815344</c:v>
                </c:pt>
                <c:pt idx="27">
                  <c:v>0.93341553824155654</c:v>
                </c:pt>
                <c:pt idx="28">
                  <c:v>0.92427297750432902</c:v>
                </c:pt>
                <c:pt idx="29">
                  <c:v>0.92063882874565606</c:v>
                </c:pt>
                <c:pt idx="30">
                  <c:v>0.97243621500176503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9D9-4AE7-A2BC-243B616CE85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1.020257349870421</c:v>
                </c:pt>
                <c:pt idx="1">
                  <c:v>1.0001500999338826</c:v>
                </c:pt>
                <c:pt idx="2">
                  <c:v>1.0181137775655245</c:v>
                </c:pt>
                <c:pt idx="3">
                  <c:v>0.95286894455448856</c:v>
                </c:pt>
                <c:pt idx="4">
                  <c:v>0.95279941247135813</c:v>
                </c:pt>
                <c:pt idx="5">
                  <c:v>0.94443052796577742</c:v>
                </c:pt>
                <c:pt idx="6">
                  <c:v>0.93338087449685647</c:v>
                </c:pt>
                <c:pt idx="7">
                  <c:v>0.94775256835594213</c:v>
                </c:pt>
                <c:pt idx="8">
                  <c:v>0.94868058180152104</c:v>
                </c:pt>
                <c:pt idx="9">
                  <c:v>0.94991379037605561</c:v>
                </c:pt>
                <c:pt idx="10">
                  <c:v>0.93823206348144661</c:v>
                </c:pt>
                <c:pt idx="11">
                  <c:v>0.92952320960604584</c:v>
                </c:pt>
                <c:pt idx="12">
                  <c:v>0.93079412935487238</c:v>
                </c:pt>
                <c:pt idx="13">
                  <c:v>0.92819769059162349</c:v>
                </c:pt>
                <c:pt idx="14">
                  <c:v>0.91947136292681908</c:v>
                </c:pt>
                <c:pt idx="15">
                  <c:v>0.91941177613019831</c:v>
                </c:pt>
                <c:pt idx="16">
                  <c:v>0.92472900158344773</c:v>
                </c:pt>
                <c:pt idx="17">
                  <c:v>0.91962616633220351</c:v>
                </c:pt>
                <c:pt idx="18">
                  <c:v>0.92159780378183076</c:v>
                </c:pt>
                <c:pt idx="19">
                  <c:v>0.93083101835980253</c:v>
                </c:pt>
                <c:pt idx="20">
                  <c:v>0.92797319438623194</c:v>
                </c:pt>
                <c:pt idx="21">
                  <c:v>0.93065307694206434</c:v>
                </c:pt>
                <c:pt idx="22">
                  <c:v>0.93017522688382825</c:v>
                </c:pt>
                <c:pt idx="23">
                  <c:v>0.932786356503988</c:v>
                </c:pt>
                <c:pt idx="24">
                  <c:v>0.93162193375672953</c:v>
                </c:pt>
                <c:pt idx="25">
                  <c:v>0.92978103614607244</c:v>
                </c:pt>
                <c:pt idx="26">
                  <c:v>0.93053969477279619</c:v>
                </c:pt>
                <c:pt idx="27">
                  <c:v>0.93063742487207612</c:v>
                </c:pt>
                <c:pt idx="28">
                  <c:v>0.9304355290360723</c:v>
                </c:pt>
                <c:pt idx="29">
                  <c:v>0.93012187083680486</c:v>
                </c:pt>
                <c:pt idx="30">
                  <c:v>0.93153026350351709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211776"/>
        <c:axId val="385210240"/>
      </c:lineChart>
      <c:dateAx>
        <c:axId val="3851569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85208320"/>
        <c:crosses val="autoZero"/>
        <c:auto val="1"/>
        <c:lblOffset val="100"/>
        <c:baseTimeUnit val="days"/>
      </c:dateAx>
      <c:valAx>
        <c:axId val="38520832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385156992"/>
        <c:crosses val="autoZero"/>
        <c:crossBetween val="between"/>
      </c:valAx>
      <c:valAx>
        <c:axId val="38521024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5211776"/>
        <c:crosses val="max"/>
        <c:crossBetween val="between"/>
      </c:valAx>
      <c:dateAx>
        <c:axId val="38521177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385210240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76200</xdr:rowOff>
    </xdr:from>
    <xdr:to>
      <xdr:col>17</xdr:col>
      <xdr:colOff>457199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D7">
            <v>0</v>
          </cell>
          <cell r="AT7">
            <v>7383.3299999997816</v>
          </cell>
          <cell r="AU7">
            <v>14430.000000000291</v>
          </cell>
          <cell r="AV7">
            <v>9749.3299999997671</v>
          </cell>
          <cell r="AW7">
            <v>0</v>
          </cell>
          <cell r="AX7">
            <v>1628.7000000000116</v>
          </cell>
        </row>
        <row r="8">
          <cell r="AT8">
            <v>6907.9500000002008</v>
          </cell>
          <cell r="AU8">
            <v>14680.000000000291</v>
          </cell>
          <cell r="AV8">
            <v>9209.9500000003354</v>
          </cell>
          <cell r="AW8">
            <v>0</v>
          </cell>
          <cell r="AX8">
            <v>1874</v>
          </cell>
        </row>
        <row r="9">
          <cell r="AT9">
            <v>7324.4200000000683</v>
          </cell>
          <cell r="AU9">
            <v>13000</v>
          </cell>
          <cell r="AV9">
            <v>12074.419999999272</v>
          </cell>
          <cell r="AW9">
            <v>0</v>
          </cell>
          <cell r="AX9">
            <v>1920</v>
          </cell>
        </row>
        <row r="10">
          <cell r="AT10">
            <v>6285.7599999999547</v>
          </cell>
          <cell r="AU10">
            <v>13000</v>
          </cell>
          <cell r="AV10">
            <v>7835.760000000364</v>
          </cell>
          <cell r="AW10">
            <v>0</v>
          </cell>
          <cell r="AX10">
            <v>2080</v>
          </cell>
        </row>
        <row r="11">
          <cell r="AT11">
            <v>7381.9100000000226</v>
          </cell>
          <cell r="AU11">
            <v>17000</v>
          </cell>
          <cell r="AV11">
            <v>10181.909999999636</v>
          </cell>
          <cell r="AW11">
            <v>0</v>
          </cell>
          <cell r="AX11">
            <v>1810</v>
          </cell>
        </row>
        <row r="12">
          <cell r="AT12">
            <v>7516.9900000000453</v>
          </cell>
          <cell r="AU12">
            <v>18000</v>
          </cell>
          <cell r="AV12">
            <v>10466.990000000545</v>
          </cell>
          <cell r="AW12">
            <v>14401.517309056017</v>
          </cell>
          <cell r="AX12">
            <v>1800</v>
          </cell>
        </row>
        <row r="13">
          <cell r="AT13">
            <v>7811.7899999999099</v>
          </cell>
          <cell r="AU13">
            <v>19000</v>
          </cell>
          <cell r="AV13">
            <v>10511.790000000183</v>
          </cell>
          <cell r="AW13">
            <v>14631.778725163509</v>
          </cell>
          <cell r="AX13">
            <v>1890</v>
          </cell>
        </row>
        <row r="14">
          <cell r="AT14">
            <v>7465.1900000000687</v>
          </cell>
          <cell r="AU14">
            <v>18000</v>
          </cell>
          <cell r="AV14">
            <v>10115.189999999819</v>
          </cell>
          <cell r="AW14">
            <v>13961.272893757192</v>
          </cell>
          <cell r="AX14">
            <v>1930</v>
          </cell>
        </row>
        <row r="15">
          <cell r="AT15">
            <v>5999.16</v>
          </cell>
          <cell r="AU15">
            <v>19000</v>
          </cell>
          <cell r="AV15">
            <v>10699.159999999818</v>
          </cell>
          <cell r="AW15">
            <v>13798.288204763598</v>
          </cell>
          <cell r="AX15">
            <v>2000</v>
          </cell>
        </row>
        <row r="16">
          <cell r="AT16">
            <v>8476.2999999999774</v>
          </cell>
          <cell r="AU16">
            <v>19000</v>
          </cell>
          <cell r="AV16">
            <v>10576.3</v>
          </cell>
          <cell r="AW16">
            <v>14019.359228257277</v>
          </cell>
          <cell r="AX16">
            <v>2510</v>
          </cell>
        </row>
        <row r="17">
          <cell r="AT17">
            <v>7102.6200000000235</v>
          </cell>
          <cell r="AU17">
            <v>18000</v>
          </cell>
          <cell r="AV17">
            <v>9302.6200000001827</v>
          </cell>
          <cell r="AW17">
            <v>11792.343550602323</v>
          </cell>
          <cell r="AX17">
            <v>2390</v>
          </cell>
        </row>
        <row r="18">
          <cell r="AT18">
            <v>7689.2400000000225</v>
          </cell>
          <cell r="AU18">
            <v>19000</v>
          </cell>
          <cell r="AV18">
            <v>10989.239999999636</v>
          </cell>
          <cell r="AW18">
            <v>13331.697802085982</v>
          </cell>
          <cell r="AX18">
            <v>2420</v>
          </cell>
        </row>
        <row r="19">
          <cell r="AT19">
            <v>8355.4099999999544</v>
          </cell>
          <cell r="AU19">
            <v>18000</v>
          </cell>
          <cell r="AV19">
            <v>11105.410000000182</v>
          </cell>
          <cell r="AW19">
            <v>13866.307704719387</v>
          </cell>
          <cell r="AX19">
            <v>2390</v>
          </cell>
        </row>
        <row r="20">
          <cell r="AT20">
            <v>6153.4100000000226</v>
          </cell>
          <cell r="AU20">
            <v>19000</v>
          </cell>
          <cell r="AV20">
            <v>7853.4100000001818</v>
          </cell>
          <cell r="AW20">
            <v>12442.480272839572</v>
          </cell>
          <cell r="AX20">
            <v>1710</v>
          </cell>
        </row>
        <row r="21">
          <cell r="AT21">
            <v>7385.5500000000175</v>
          </cell>
          <cell r="AU21">
            <v>17000</v>
          </cell>
          <cell r="AV21">
            <v>8580.5500000001812</v>
          </cell>
          <cell r="AW21">
            <v>12334.892435163434</v>
          </cell>
          <cell r="AX21">
            <v>1680</v>
          </cell>
        </row>
        <row r="22">
          <cell r="AT22">
            <v>6691.7699999999822</v>
          </cell>
          <cell r="AU22">
            <v>17000</v>
          </cell>
          <cell r="AV22">
            <v>8846.7699999992728</v>
          </cell>
          <cell r="AW22">
            <v>12190.034508968489</v>
          </cell>
          <cell r="AX22">
            <v>1740</v>
          </cell>
        </row>
        <row r="23">
          <cell r="AT23">
            <v>7642.5599999999768</v>
          </cell>
          <cell r="AU23">
            <v>11000</v>
          </cell>
          <cell r="AV23">
            <v>9242.56</v>
          </cell>
          <cell r="AW23">
            <v>14265.619030887752</v>
          </cell>
          <cell r="AX23">
            <v>1710</v>
          </cell>
        </row>
        <row r="24">
          <cell r="AT24">
            <v>5995.9000000000451</v>
          </cell>
          <cell r="AU24">
            <v>11000</v>
          </cell>
          <cell r="AV24">
            <v>8895.9000000003634</v>
          </cell>
          <cell r="AW24">
            <v>13148.224168223502</v>
          </cell>
          <cell r="AX24">
            <v>1790</v>
          </cell>
        </row>
        <row r="25">
          <cell r="AT25">
            <v>7002.7299999999541</v>
          </cell>
          <cell r="AU25">
            <v>13000</v>
          </cell>
          <cell r="AV25">
            <v>9052.7300000003634</v>
          </cell>
          <cell r="AW25">
            <v>13632.36112814292</v>
          </cell>
          <cell r="AX25">
            <v>1820</v>
          </cell>
        </row>
        <row r="26">
          <cell r="AT26">
            <v>6916.8600000000451</v>
          </cell>
          <cell r="AU26">
            <v>15000</v>
          </cell>
          <cell r="AV26">
            <v>8566.8599999994549</v>
          </cell>
          <cell r="AW26">
            <v>12393.800929277324</v>
          </cell>
          <cell r="AX26">
            <v>1790</v>
          </cell>
        </row>
        <row r="27">
          <cell r="AT27">
            <v>7099.5899999991043</v>
          </cell>
          <cell r="AU27">
            <v>14319.999999999709</v>
          </cell>
          <cell r="AV27">
            <v>8928.5900000003057</v>
          </cell>
          <cell r="AW27">
            <v>13006.909202247067</v>
          </cell>
          <cell r="AX27">
            <v>1835.6000000000058</v>
          </cell>
        </row>
        <row r="28">
          <cell r="AT28">
            <v>5890.3900000016965</v>
          </cell>
          <cell r="AU28">
            <v>16079.999999999927</v>
          </cell>
          <cell r="AV28">
            <v>8594.3899999999412</v>
          </cell>
          <cell r="AW28">
            <v>12888.36417363592</v>
          </cell>
          <cell r="AX28">
            <v>1700.6000000000058</v>
          </cell>
        </row>
        <row r="29">
          <cell r="AT29">
            <v>7541.1999999995687</v>
          </cell>
          <cell r="AU29">
            <v>16329.999999999927</v>
          </cell>
          <cell r="AV29">
            <v>9491.2000000001826</v>
          </cell>
          <cell r="AW29">
            <v>12868.964067302044</v>
          </cell>
          <cell r="AX29">
            <v>1668.8999999999651</v>
          </cell>
        </row>
        <row r="30">
          <cell r="AT30">
            <v>6759.6900000000951</v>
          </cell>
          <cell r="AU30">
            <v>18640.000000001237</v>
          </cell>
          <cell r="AV30">
            <v>9018.6899999995421</v>
          </cell>
          <cell r="AW30">
            <v>12388.188763631961</v>
          </cell>
          <cell r="AX30">
            <v>1746.8000000000466</v>
          </cell>
        </row>
        <row r="31">
          <cell r="AT31">
            <v>6967.9299999994682</v>
          </cell>
          <cell r="AU31">
            <v>19629.9999999992</v>
          </cell>
          <cell r="AV31">
            <v>9275.9300000000294</v>
          </cell>
          <cell r="AW31">
            <v>13324.870006305875</v>
          </cell>
          <cell r="AX31">
            <v>2218.0999999999767</v>
          </cell>
        </row>
        <row r="32">
          <cell r="AT32">
            <v>7221.6799999999776</v>
          </cell>
          <cell r="AU32">
            <v>18000</v>
          </cell>
          <cell r="AV32">
            <v>8821.68</v>
          </cell>
          <cell r="AW32">
            <v>13593.379705517866</v>
          </cell>
          <cell r="AX32">
            <v>2190</v>
          </cell>
        </row>
        <row r="33">
          <cell r="AT33">
            <v>6997.5300000000916</v>
          </cell>
          <cell r="AU33">
            <v>18000</v>
          </cell>
          <cell r="AV33">
            <v>8747.5300000005464</v>
          </cell>
          <cell r="AW33">
            <v>13138.169498719357</v>
          </cell>
          <cell r="AX33">
            <v>2540</v>
          </cell>
        </row>
        <row r="34">
          <cell r="AT34">
            <v>8304.8299999999545</v>
          </cell>
          <cell r="AU34">
            <v>20000</v>
          </cell>
          <cell r="AV34">
            <v>9654.8299999996361</v>
          </cell>
          <cell r="AW34">
            <v>13196.802097228745</v>
          </cell>
          <cell r="AX34">
            <v>2460</v>
          </cell>
        </row>
        <row r="35">
          <cell r="AT35">
            <v>6685.4999999999545</v>
          </cell>
          <cell r="AU35">
            <v>16000</v>
          </cell>
          <cell r="AV35">
            <v>9035.4999999996362</v>
          </cell>
          <cell r="AW35">
            <v>11389.979561127169</v>
          </cell>
          <cell r="AX35">
            <v>2170</v>
          </cell>
        </row>
        <row r="36">
          <cell r="AT36">
            <v>6564.5000000000682</v>
          </cell>
          <cell r="AU36">
            <v>14000</v>
          </cell>
          <cell r="AV36">
            <v>9914.5000000005457</v>
          </cell>
          <cell r="AW36">
            <v>12476.152381980037</v>
          </cell>
          <cell r="AX36">
            <v>1570</v>
          </cell>
        </row>
        <row r="37">
          <cell r="AT37">
            <v>7749.3599999999551</v>
          </cell>
          <cell r="AU37">
            <v>15000</v>
          </cell>
          <cell r="AV37">
            <v>10299.359999999455</v>
          </cell>
          <cell r="AW37">
            <v>6969.6196974036066</v>
          </cell>
          <cell r="AX37">
            <v>1720</v>
          </cell>
        </row>
        <row r="38">
          <cell r="AY38">
            <v>1422174.1770470077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536"/>
  <sheetViews>
    <sheetView zoomScaleNormal="100" workbookViewId="0">
      <pane xSplit="3" ySplit="8" topLeftCell="M24" activePane="bottomRight" state="frozen"/>
      <selection pane="topRight" activeCell="E1" sqref="E1"/>
      <selection pane="bottomLeft" activeCell="A9" sqref="A9"/>
      <selection pane="bottomRight" activeCell="R41" sqref="R41"/>
    </sheetView>
  </sheetViews>
  <sheetFormatPr defaultColWidth="9.140625" defaultRowHeight="12.75"/>
  <cols>
    <col min="1" max="1" width="7.5703125" style="277" customWidth="1"/>
    <col min="2" max="2" width="12" style="276" customWidth="1"/>
    <col min="3" max="3" width="12.28515625" style="276" bestFit="1" customWidth="1"/>
    <col min="4" max="4" width="8.28515625" style="276" customWidth="1"/>
    <col min="5" max="5" width="8" style="276" customWidth="1"/>
    <col min="6" max="6" width="6.85546875" style="276" customWidth="1"/>
    <col min="7" max="11" width="8.7109375" style="276" customWidth="1"/>
    <col min="12" max="12" width="8.7109375" style="278" customWidth="1"/>
    <col min="13" max="15" width="8.7109375" style="279" customWidth="1"/>
    <col min="16" max="16" width="8.7109375" style="278" customWidth="1"/>
    <col min="17" max="18" width="8.7109375" style="279" customWidth="1"/>
    <col min="19" max="19" width="8.7109375" style="280" customWidth="1"/>
    <col min="20" max="25" width="8.7109375" style="280" hidden="1" customWidth="1"/>
    <col min="26" max="27" width="7.7109375" style="280" customWidth="1"/>
    <col min="28" max="29" width="7.7109375" style="281" customWidth="1"/>
    <col min="30" max="30" width="7.7109375" style="280" customWidth="1"/>
    <col min="31" max="31" width="7.7109375" style="281" customWidth="1"/>
    <col min="32" max="32" width="10.85546875" style="280" customWidth="1"/>
    <col min="33" max="33" width="11.140625" style="280" customWidth="1"/>
    <col min="34" max="37" width="7.5703125" style="281" customWidth="1"/>
    <col min="38" max="38" width="8.7109375" style="278" customWidth="1"/>
    <col min="39" max="39" width="8.7109375" style="279" customWidth="1"/>
    <col min="40" max="41" width="8.7109375" style="276" customWidth="1"/>
  </cols>
  <sheetData>
    <row r="1" spans="1:41" ht="12.75" customHeight="1">
      <c r="A1" s="275"/>
    </row>
    <row r="2" spans="1:41">
      <c r="A2" s="275"/>
    </row>
    <row r="3" spans="1:41" ht="12.75" customHeight="1">
      <c r="A3" s="586" t="s">
        <v>222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86"/>
      <c r="X3" s="586"/>
      <c r="Y3" s="586"/>
      <c r="Z3" s="586"/>
      <c r="AA3" s="586"/>
      <c r="AB3" s="586"/>
      <c r="AC3" s="586"/>
      <c r="AD3" s="586"/>
      <c r="AE3" s="586"/>
      <c r="AF3" s="586"/>
      <c r="AG3" s="586"/>
      <c r="AH3" s="586"/>
      <c r="AI3" s="586"/>
      <c r="AJ3" s="586"/>
      <c r="AK3" s="586"/>
      <c r="AL3"/>
      <c r="AM3"/>
      <c r="AN3"/>
      <c r="AO3"/>
    </row>
    <row r="4" spans="1:41" ht="12.75" customHeight="1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  <c r="T4" s="586"/>
      <c r="U4" s="586"/>
      <c r="V4" s="586"/>
      <c r="W4" s="586"/>
      <c r="X4" s="586"/>
      <c r="Y4" s="586"/>
      <c r="Z4" s="586"/>
      <c r="AA4" s="586"/>
      <c r="AB4" s="586"/>
      <c r="AC4" s="586"/>
      <c r="AD4" s="586"/>
      <c r="AE4" s="586"/>
      <c r="AF4" s="586"/>
      <c r="AG4" s="586"/>
      <c r="AH4" s="586"/>
      <c r="AI4" s="586"/>
      <c r="AJ4" s="586"/>
      <c r="AK4" s="586"/>
      <c r="AL4"/>
      <c r="AM4"/>
      <c r="AN4"/>
      <c r="AO4"/>
    </row>
    <row r="5" spans="1:41">
      <c r="H5" s="278"/>
      <c r="I5" s="279"/>
      <c r="J5" s="279"/>
      <c r="K5" s="279"/>
      <c r="AN5" s="279"/>
      <c r="AO5" s="279"/>
    </row>
    <row r="6" spans="1:41" ht="22.7" customHeight="1">
      <c r="A6" s="589" t="s">
        <v>7</v>
      </c>
      <c r="B6" s="588" t="s">
        <v>8</v>
      </c>
      <c r="C6" s="588" t="s">
        <v>5</v>
      </c>
      <c r="D6" s="588" t="s">
        <v>193</v>
      </c>
      <c r="E6" s="588" t="s">
        <v>194</v>
      </c>
      <c r="F6" s="588" t="s">
        <v>190</v>
      </c>
      <c r="G6" s="588" t="s">
        <v>189</v>
      </c>
      <c r="H6" s="588" t="s">
        <v>191</v>
      </c>
      <c r="I6" s="588" t="s">
        <v>192</v>
      </c>
      <c r="J6" s="593" t="s">
        <v>196</v>
      </c>
      <c r="K6" s="594"/>
      <c r="L6" s="592" t="s">
        <v>195</v>
      </c>
      <c r="M6" s="592"/>
      <c r="N6" s="592" t="s">
        <v>197</v>
      </c>
      <c r="O6" s="592"/>
      <c r="P6" s="598" t="s">
        <v>29</v>
      </c>
      <c r="Q6" s="598"/>
      <c r="R6" s="587" t="s">
        <v>22</v>
      </c>
      <c r="S6" s="587"/>
      <c r="T6" s="587" t="s">
        <v>30</v>
      </c>
      <c r="U6" s="587"/>
      <c r="V6" s="587"/>
      <c r="W6" s="587"/>
      <c r="X6" s="587"/>
      <c r="Y6" s="587"/>
      <c r="Z6" s="587" t="s">
        <v>31</v>
      </c>
      <c r="AA6" s="587"/>
      <c r="AB6" s="587"/>
      <c r="AC6" s="587"/>
      <c r="AD6" s="587"/>
      <c r="AE6" s="587"/>
      <c r="AF6" s="587" t="s">
        <v>32</v>
      </c>
      <c r="AG6" s="587"/>
      <c r="AH6" s="587"/>
      <c r="AI6" s="587"/>
      <c r="AJ6" s="587"/>
      <c r="AK6" s="587"/>
      <c r="AL6" s="592" t="s">
        <v>360</v>
      </c>
      <c r="AM6" s="592"/>
      <c r="AN6" s="593" t="s">
        <v>361</v>
      </c>
      <c r="AO6" s="594"/>
    </row>
    <row r="7" spans="1:41" ht="22.7" customHeight="1">
      <c r="A7" s="590"/>
      <c r="B7" s="588"/>
      <c r="C7" s="588"/>
      <c r="D7" s="588"/>
      <c r="E7" s="588"/>
      <c r="F7" s="588"/>
      <c r="G7" s="588"/>
      <c r="H7" s="588"/>
      <c r="I7" s="588"/>
      <c r="J7" s="595"/>
      <c r="K7" s="596"/>
      <c r="L7" s="592"/>
      <c r="M7" s="592"/>
      <c r="N7" s="592"/>
      <c r="O7" s="592"/>
      <c r="P7" s="598"/>
      <c r="Q7" s="598"/>
      <c r="R7" s="587"/>
      <c r="S7" s="587"/>
      <c r="T7" s="587" t="s">
        <v>35</v>
      </c>
      <c r="U7" s="587"/>
      <c r="V7" s="587" t="s">
        <v>33</v>
      </c>
      <c r="W7" s="587"/>
      <c r="X7" s="587" t="s">
        <v>34</v>
      </c>
      <c r="Y7" s="587"/>
      <c r="Z7" s="587" t="s">
        <v>35</v>
      </c>
      <c r="AA7" s="587"/>
      <c r="AB7" s="597" t="s">
        <v>33</v>
      </c>
      <c r="AC7" s="597"/>
      <c r="AD7" s="587" t="s">
        <v>34</v>
      </c>
      <c r="AE7" s="587"/>
      <c r="AF7" s="587" t="s">
        <v>35</v>
      </c>
      <c r="AG7" s="587"/>
      <c r="AH7" s="587" t="s">
        <v>25</v>
      </c>
      <c r="AI7" s="587"/>
      <c r="AJ7" s="587" t="s">
        <v>26</v>
      </c>
      <c r="AK7" s="587"/>
      <c r="AL7" s="592"/>
      <c r="AM7" s="592"/>
      <c r="AN7" s="595"/>
      <c r="AO7" s="596"/>
    </row>
    <row r="8" spans="1:41" s="1" customFormat="1">
      <c r="A8" s="591"/>
      <c r="B8" s="588"/>
      <c r="C8" s="588"/>
      <c r="D8" s="588"/>
      <c r="E8" s="588"/>
      <c r="F8" s="588"/>
      <c r="G8" s="588"/>
      <c r="H8" s="588"/>
      <c r="I8" s="588"/>
      <c r="J8" s="429" t="s">
        <v>36</v>
      </c>
      <c r="K8" s="427" t="s">
        <v>37</v>
      </c>
      <c r="L8" s="282" t="s">
        <v>36</v>
      </c>
      <c r="M8" s="283" t="s">
        <v>37</v>
      </c>
      <c r="N8" s="282" t="s">
        <v>36</v>
      </c>
      <c r="O8" s="283" t="s">
        <v>37</v>
      </c>
      <c r="P8" s="282" t="s">
        <v>36</v>
      </c>
      <c r="Q8" s="283" t="s">
        <v>37</v>
      </c>
      <c r="R8" s="287" t="s">
        <v>36</v>
      </c>
      <c r="S8" s="284" t="s">
        <v>37</v>
      </c>
      <c r="T8" s="287" t="s">
        <v>36</v>
      </c>
      <c r="U8" s="283" t="s">
        <v>37</v>
      </c>
      <c r="V8" s="288" t="s">
        <v>36</v>
      </c>
      <c r="W8" s="283" t="s">
        <v>37</v>
      </c>
      <c r="X8" s="288" t="s">
        <v>36</v>
      </c>
      <c r="Y8" s="283" t="s">
        <v>37</v>
      </c>
      <c r="Z8" s="285" t="s">
        <v>36</v>
      </c>
      <c r="AA8" s="284" t="s">
        <v>37</v>
      </c>
      <c r="AB8" s="286" t="s">
        <v>36</v>
      </c>
      <c r="AC8" s="289" t="s">
        <v>37</v>
      </c>
      <c r="AD8" s="285" t="s">
        <v>36</v>
      </c>
      <c r="AE8" s="289" t="s">
        <v>37</v>
      </c>
      <c r="AF8" s="285" t="s">
        <v>36</v>
      </c>
      <c r="AG8" s="284" t="s">
        <v>37</v>
      </c>
      <c r="AH8" s="286" t="s">
        <v>36</v>
      </c>
      <c r="AI8" s="289" t="s">
        <v>37</v>
      </c>
      <c r="AJ8" s="286" t="s">
        <v>36</v>
      </c>
      <c r="AK8" s="289" t="s">
        <v>37</v>
      </c>
      <c r="AL8" s="282" t="s">
        <v>36</v>
      </c>
      <c r="AM8" s="283" t="s">
        <v>37</v>
      </c>
      <c r="AN8" s="429" t="s">
        <v>36</v>
      </c>
      <c r="AO8" s="427" t="s">
        <v>37</v>
      </c>
    </row>
    <row r="9" spans="1:41" s="403" customFormat="1" ht="12.75" customHeight="1">
      <c r="A9" s="417">
        <v>45992</v>
      </c>
      <c r="B9" s="426" t="s">
        <v>421</v>
      </c>
      <c r="C9" s="404" t="s">
        <v>453</v>
      </c>
      <c r="D9" s="396">
        <f>+'1'!F42</f>
        <v>1305.2083333333333</v>
      </c>
      <c r="E9" s="396">
        <f>+'1'!G42</f>
        <v>991.95833333333337</v>
      </c>
      <c r="F9" s="47">
        <f t="shared" ref="F9:F39" si="0">1-(E9/D9)</f>
        <v>0.23999999999999988</v>
      </c>
      <c r="G9" s="422">
        <f>+P9/N9</f>
        <v>1.0075891311556968</v>
      </c>
      <c r="H9" s="418">
        <f>+P9/L9</f>
        <v>1.0075891311556968</v>
      </c>
      <c r="I9" s="418">
        <f>+R9/P9</f>
        <v>1.0125728020708142</v>
      </c>
      <c r="J9" s="423">
        <f>+R9/L9</f>
        <v>1.020257349870421</v>
      </c>
      <c r="K9" s="423">
        <f>+S9/M9</f>
        <v>1.020257349870421</v>
      </c>
      <c r="L9" s="397">
        <f>+SUM(Efficiency1!K6:K8)</f>
        <v>53.677633399999998</v>
      </c>
      <c r="M9" s="398">
        <f>L9</f>
        <v>53.677633399999998</v>
      </c>
      <c r="N9" s="397">
        <f>+SUM(Efficiency1!C6:C8)</f>
        <v>53.677633399999998</v>
      </c>
      <c r="O9" s="398">
        <f>N9</f>
        <v>53.677633399999998</v>
      </c>
      <c r="P9" s="398">
        <f>'1'!I38</f>
        <v>54.085000000000008</v>
      </c>
      <c r="Q9" s="398">
        <f>P9</f>
        <v>54.085000000000008</v>
      </c>
      <c r="R9" s="398">
        <f>'1'!I40</f>
        <v>54.765000000000001</v>
      </c>
      <c r="S9" s="398">
        <f>R9</f>
        <v>54.765000000000001</v>
      </c>
      <c r="T9" s="97">
        <v>0</v>
      </c>
      <c r="U9" s="290">
        <f>T9</f>
        <v>0</v>
      </c>
      <c r="V9" s="290">
        <f>T9/P9</f>
        <v>0</v>
      </c>
      <c r="W9" s="290">
        <f>U9/Q9</f>
        <v>0</v>
      </c>
      <c r="X9" s="291">
        <f>IF(AND(R9&gt;0,T9&gt;0),(T9/(R9*1000))*1000,0)</f>
        <v>0</v>
      </c>
      <c r="Y9" s="290">
        <f>IF(AND(S9&gt;0,U9&gt;0),U9/S9,0)</f>
        <v>0</v>
      </c>
      <c r="Z9" s="400">
        <v>126.4</v>
      </c>
      <c r="AA9" s="401">
        <f>Z9</f>
        <v>126.4</v>
      </c>
      <c r="AB9" s="402">
        <f t="shared" ref="AB9:AB39" si="1">Z9/(P9)</f>
        <v>2.3370620319866875</v>
      </c>
      <c r="AC9" s="402">
        <f t="shared" ref="AC9:AC39" si="2">AA9/(Q9)</f>
        <v>2.3370620319866875</v>
      </c>
      <c r="AD9" s="397">
        <f t="shared" ref="AD9:AD39" si="3">IF(AND(R9&gt;0,Z9&gt;0),Z9/(R9),0)</f>
        <v>2.3080434584132203</v>
      </c>
      <c r="AE9" s="402">
        <f t="shared" ref="AE9:AE39" si="4">IF(AND(S9&gt;0,AA9&gt;0),AA9/(S9),0)</f>
        <v>2.3080434584132203</v>
      </c>
      <c r="AF9" s="401">
        <f>'1'!I46</f>
        <v>33191.359999999855</v>
      </c>
      <c r="AG9" s="401">
        <f>AF9</f>
        <v>33191.359999999855</v>
      </c>
      <c r="AH9" s="402">
        <f t="shared" ref="AH9:AH39" si="5">IF(AND(L9&gt;0,AF9&gt;0),(AF9/(P9*1000)*1000),0)</f>
        <v>613.68882314874463</v>
      </c>
      <c r="AI9" s="402">
        <f t="shared" ref="AI9:AI39" si="6">IF(AND(M9&gt;0,AG9&gt;0),(AG9/(Q9*1000)*1000),0)</f>
        <v>613.68882314874463</v>
      </c>
      <c r="AJ9" s="402">
        <f t="shared" ref="AJ9:AJ39" si="7">IF(AND(R9&gt;0,AF9&gt;0),(AF9/(R9*1000)*1000),0)</f>
        <v>606.0688395873251</v>
      </c>
      <c r="AK9" s="402">
        <f t="shared" ref="AK9:AK39" si="8">IF(AND(S9&gt;0,AG9&gt;0),(AG9/(S9*1000)*1000),0)</f>
        <v>606.0688395873251</v>
      </c>
      <c r="AL9" s="397">
        <f>+SUM(Efficiency2!K6:K8)</f>
        <v>53.677633399999998</v>
      </c>
      <c r="AM9" s="398">
        <f>AL9</f>
        <v>53.677633399999998</v>
      </c>
      <c r="AN9" s="423">
        <f>+R9/AL9</f>
        <v>1.020257349870421</v>
      </c>
      <c r="AO9" s="423">
        <f>+S9/AM9</f>
        <v>1.020257349870421</v>
      </c>
    </row>
    <row r="10" spans="1:41" s="403" customFormat="1" ht="12.75" customHeight="1">
      <c r="A10" s="417">
        <f t="shared" ref="A10:A38" si="9">A9+1</f>
        <v>45993</v>
      </c>
      <c r="B10" s="426" t="s">
        <v>419</v>
      </c>
      <c r="C10" s="404" t="s">
        <v>452</v>
      </c>
      <c r="D10" s="396">
        <f>+'2'!F42</f>
        <v>1300</v>
      </c>
      <c r="E10" s="396">
        <f>+'2'!G42</f>
        <v>988</v>
      </c>
      <c r="F10" s="47">
        <f t="shared" si="0"/>
        <v>0.24</v>
      </c>
      <c r="G10" s="422">
        <f t="shared" ref="G10:G41" si="10">+P10/N10</f>
        <v>0.99169064133750662</v>
      </c>
      <c r="H10" s="418">
        <f t="shared" ref="H10:H41" si="11">+P10/L10</f>
        <v>0.99169064133750662</v>
      </c>
      <c r="I10" s="418">
        <f t="shared" ref="I10:I41" si="12">+R10/P10</f>
        <v>0.98844156569322694</v>
      </c>
      <c r="J10" s="423">
        <f t="shared" ref="J10:J41" si="13">+R10/L10</f>
        <v>0.98022825020696536</v>
      </c>
      <c r="K10" s="423">
        <f t="shared" ref="K10:K39" si="14">+S10/M10</f>
        <v>1.0001500999338826</v>
      </c>
      <c r="L10" s="397">
        <f>+Efficiency1!K11</f>
        <v>54.1771776</v>
      </c>
      <c r="M10" s="398">
        <f t="shared" ref="M10:O38" si="15">M9+L10</f>
        <v>107.854811</v>
      </c>
      <c r="N10" s="397">
        <f>+Efficiency1!C11</f>
        <v>54.1771776</v>
      </c>
      <c r="O10" s="398">
        <f t="shared" si="15"/>
        <v>107.854811</v>
      </c>
      <c r="P10" s="398">
        <f>'2'!I38</f>
        <v>53.726999999999997</v>
      </c>
      <c r="Q10" s="398">
        <f t="shared" ref="Q10:Q38" si="16">Q9+P10</f>
        <v>107.81200000000001</v>
      </c>
      <c r="R10" s="398">
        <f>'2'!I40</f>
        <v>53.106000000000002</v>
      </c>
      <c r="S10" s="398">
        <f t="shared" ref="S10:S38" si="17">S9+R10</f>
        <v>107.87100000000001</v>
      </c>
      <c r="T10" s="97"/>
      <c r="U10" s="12">
        <f t="shared" ref="U10:U38" si="18">T10+U9</f>
        <v>0</v>
      </c>
      <c r="V10" s="290">
        <f t="shared" ref="V10:W39" si="19">T10/P10</f>
        <v>0</v>
      </c>
      <c r="W10" s="290">
        <f t="shared" si="19"/>
        <v>0</v>
      </c>
      <c r="X10" s="291">
        <f t="shared" ref="X10:X39" si="20">IF(AND(R10&gt;0,T10&gt;0),(T10/(R10*1000))*1000,0)</f>
        <v>0</v>
      </c>
      <c r="Y10" s="290">
        <f t="shared" ref="Y10:Y39" si="21">IF(AND(S10&gt;0,U10&gt;0),U10/S10,0)</f>
        <v>0</v>
      </c>
      <c r="Z10" s="400">
        <v>128.5</v>
      </c>
      <c r="AA10" s="399">
        <f t="shared" ref="AA10:AA38" si="22">Z10+AA9</f>
        <v>254.9</v>
      </c>
      <c r="AB10" s="402">
        <f t="shared" si="1"/>
        <v>2.3917211085673871</v>
      </c>
      <c r="AC10" s="402">
        <f t="shared" si="2"/>
        <v>2.3643008199458313</v>
      </c>
      <c r="AD10" s="397">
        <f t="shared" si="3"/>
        <v>2.4196889240387152</v>
      </c>
      <c r="AE10" s="402">
        <f t="shared" si="4"/>
        <v>2.3630076665646929</v>
      </c>
      <c r="AF10" s="401">
        <f>'2'!I46</f>
        <v>32671.900000000827</v>
      </c>
      <c r="AG10" s="399">
        <f t="shared" ref="AG10:AG38" si="23">AF10+AG9</f>
        <v>65863.260000000679</v>
      </c>
      <c r="AH10" s="402">
        <f t="shared" si="5"/>
        <v>608.10951663038747</v>
      </c>
      <c r="AI10" s="402">
        <f t="shared" si="6"/>
        <v>610.90843319853695</v>
      </c>
      <c r="AJ10" s="402">
        <f t="shared" si="7"/>
        <v>615.22050239145904</v>
      </c>
      <c r="AK10" s="402">
        <f t="shared" si="8"/>
        <v>610.57429707707047</v>
      </c>
      <c r="AL10" s="397">
        <f>+Efficiency2!K11</f>
        <v>54.1771776</v>
      </c>
      <c r="AM10" s="398">
        <f t="shared" ref="AM10:AM38" si="24">AM9+AL10</f>
        <v>107.854811</v>
      </c>
      <c r="AN10" s="423">
        <f t="shared" ref="AN10:AN41" si="25">+R10/AL10</f>
        <v>0.98022825020696536</v>
      </c>
      <c r="AO10" s="423">
        <f t="shared" ref="AO10:AO39" si="26">+S10/AM10</f>
        <v>1.0001500999338826</v>
      </c>
    </row>
    <row r="11" spans="1:41" s="403" customFormat="1" ht="12.75" customHeight="1">
      <c r="A11" s="417">
        <f t="shared" si="9"/>
        <v>45994</v>
      </c>
      <c r="B11" s="426" t="s">
        <v>419</v>
      </c>
      <c r="C11" s="404" t="s">
        <v>452</v>
      </c>
      <c r="D11" s="396">
        <f>+'3'!F42</f>
        <v>1300</v>
      </c>
      <c r="E11" s="396">
        <f>+'3'!G42</f>
        <v>988</v>
      </c>
      <c r="F11" s="47">
        <f t="shared" si="0"/>
        <v>0.24</v>
      </c>
      <c r="G11" s="422">
        <f t="shared" si="10"/>
        <v>1.0149661247764963</v>
      </c>
      <c r="H11" s="418">
        <f>+P11/L11</f>
        <v>1.0149661247764963</v>
      </c>
      <c r="I11" s="418">
        <f t="shared" si="12"/>
        <v>1.0383356368662253</v>
      </c>
      <c r="J11" s="423">
        <f t="shared" si="13"/>
        <v>1.053875497567448</v>
      </c>
      <c r="K11" s="423">
        <f t="shared" si="14"/>
        <v>1.0181137775655245</v>
      </c>
      <c r="L11" s="397">
        <f>+Efficiency1!K16</f>
        <v>54.1771776</v>
      </c>
      <c r="M11" s="398">
        <f t="shared" si="15"/>
        <v>162.03198860000001</v>
      </c>
      <c r="N11" s="397">
        <f>+Efficiency1!C16</f>
        <v>54.1771776</v>
      </c>
      <c r="O11" s="398">
        <f t="shared" si="15"/>
        <v>162.03198860000001</v>
      </c>
      <c r="P11" s="398">
        <f>'3'!I38</f>
        <v>54.988</v>
      </c>
      <c r="Q11" s="398">
        <f t="shared" si="16"/>
        <v>162.80000000000001</v>
      </c>
      <c r="R11" s="398">
        <f>'3'!I40</f>
        <v>57.095999999999997</v>
      </c>
      <c r="S11" s="398">
        <f t="shared" si="17"/>
        <v>164.96700000000001</v>
      </c>
      <c r="T11" s="97"/>
      <c r="U11" s="12">
        <f t="shared" si="18"/>
        <v>0</v>
      </c>
      <c r="V11" s="290">
        <f t="shared" si="19"/>
        <v>0</v>
      </c>
      <c r="W11" s="290">
        <f t="shared" si="19"/>
        <v>0</v>
      </c>
      <c r="X11" s="291">
        <f t="shared" si="20"/>
        <v>0</v>
      </c>
      <c r="Y11" s="290">
        <f t="shared" si="21"/>
        <v>0</v>
      </c>
      <c r="Z11" s="400">
        <v>128.6</v>
      </c>
      <c r="AA11" s="399">
        <f t="shared" si="22"/>
        <v>383.5</v>
      </c>
      <c r="AB11" s="402">
        <f t="shared" si="1"/>
        <v>2.338692078271623</v>
      </c>
      <c r="AC11" s="402">
        <f t="shared" si="2"/>
        <v>2.3556511056511056</v>
      </c>
      <c r="AD11" s="397">
        <f t="shared" si="3"/>
        <v>2.2523469244780721</v>
      </c>
      <c r="AE11" s="402">
        <f t="shared" si="4"/>
        <v>2.3247073657155672</v>
      </c>
      <c r="AF11" s="401">
        <f>'3'!I46</f>
        <v>34318.839999999342</v>
      </c>
      <c r="AG11" s="399">
        <f t="shared" si="23"/>
        <v>100182.10000000002</v>
      </c>
      <c r="AH11" s="402">
        <f t="shared" si="5"/>
        <v>624.11507965373073</v>
      </c>
      <c r="AI11" s="402">
        <f t="shared" si="6"/>
        <v>615.36916461916485</v>
      </c>
      <c r="AJ11" s="402">
        <f t="shared" si="7"/>
        <v>601.07257951519091</v>
      </c>
      <c r="AK11" s="402">
        <f t="shared" si="8"/>
        <v>607.28569956415538</v>
      </c>
      <c r="AL11" s="397">
        <f>+Efficiency2!K16</f>
        <v>54.1771776</v>
      </c>
      <c r="AM11" s="398">
        <f t="shared" si="24"/>
        <v>162.03198860000001</v>
      </c>
      <c r="AN11" s="423">
        <f t="shared" si="25"/>
        <v>1.053875497567448</v>
      </c>
      <c r="AO11" s="423">
        <f t="shared" si="26"/>
        <v>1.0181137775655245</v>
      </c>
    </row>
    <row r="12" spans="1:41" s="403" customFormat="1" ht="12.75" customHeight="1">
      <c r="A12" s="417">
        <f t="shared" si="9"/>
        <v>45995</v>
      </c>
      <c r="B12" s="426" t="s">
        <v>419</v>
      </c>
      <c r="C12" s="404" t="s">
        <v>452</v>
      </c>
      <c r="D12" s="396">
        <f>+'4'!F42</f>
        <v>1300</v>
      </c>
      <c r="E12" s="396">
        <f>+'4'!G42</f>
        <v>988</v>
      </c>
      <c r="F12" s="47">
        <f t="shared" si="0"/>
        <v>0.24</v>
      </c>
      <c r="G12" s="422">
        <f t="shared" si="10"/>
        <v>0.90248333645198975</v>
      </c>
      <c r="H12" s="418">
        <f t="shared" si="11"/>
        <v>0.90248333645198975</v>
      </c>
      <c r="I12" s="418">
        <f t="shared" si="12"/>
        <v>0.83961222235857147</v>
      </c>
      <c r="J12" s="423">
        <f t="shared" si="13"/>
        <v>0.75773603976003356</v>
      </c>
      <c r="K12" s="423">
        <f t="shared" si="14"/>
        <v>0.95286894455448856</v>
      </c>
      <c r="L12" s="397">
        <f>+Efficiency1!K20</f>
        <v>54.1771776</v>
      </c>
      <c r="M12" s="398">
        <f t="shared" si="15"/>
        <v>216.2091662</v>
      </c>
      <c r="N12" s="397">
        <f>+Efficiency1!C20</f>
        <v>54.1771776</v>
      </c>
      <c r="O12" s="398">
        <f t="shared" si="15"/>
        <v>216.2091662</v>
      </c>
      <c r="P12" s="398">
        <f>'4'!I38</f>
        <v>48.894000000000005</v>
      </c>
      <c r="Q12" s="398">
        <f t="shared" si="16"/>
        <v>211.69400000000002</v>
      </c>
      <c r="R12" s="398">
        <f>'4'!I40</f>
        <v>41.052</v>
      </c>
      <c r="S12" s="398">
        <f t="shared" si="17"/>
        <v>206.01900000000001</v>
      </c>
      <c r="T12" s="97"/>
      <c r="U12" s="12">
        <f t="shared" si="18"/>
        <v>0</v>
      </c>
      <c r="V12" s="290">
        <f t="shared" si="19"/>
        <v>0</v>
      </c>
      <c r="W12" s="290">
        <f t="shared" si="19"/>
        <v>0</v>
      </c>
      <c r="X12" s="291">
        <f t="shared" si="20"/>
        <v>0</v>
      </c>
      <c r="Y12" s="290">
        <f t="shared" si="21"/>
        <v>0</v>
      </c>
      <c r="Z12" s="400">
        <v>120.8</v>
      </c>
      <c r="AA12" s="399">
        <f t="shared" si="22"/>
        <v>504.3</v>
      </c>
      <c r="AB12" s="402">
        <f t="shared" si="1"/>
        <v>2.4706507955986416</v>
      </c>
      <c r="AC12" s="402">
        <f t="shared" si="2"/>
        <v>2.3822120608047461</v>
      </c>
      <c r="AD12" s="397">
        <f t="shared" si="3"/>
        <v>2.9426093734775405</v>
      </c>
      <c r="AE12" s="402">
        <f t="shared" si="4"/>
        <v>2.4478324814701558</v>
      </c>
      <c r="AF12" s="401">
        <f>'4'!I46</f>
        <v>29201.520000000317</v>
      </c>
      <c r="AG12" s="399">
        <f t="shared" si="23"/>
        <v>129383.62000000034</v>
      </c>
      <c r="AH12" s="402">
        <f t="shared" si="5"/>
        <v>597.24137931035125</v>
      </c>
      <c r="AI12" s="402">
        <f t="shared" si="6"/>
        <v>611.1822725254392</v>
      </c>
      <c r="AJ12" s="402">
        <f t="shared" si="7"/>
        <v>711.33002046186095</v>
      </c>
      <c r="AK12" s="402">
        <f t="shared" si="8"/>
        <v>628.01790126153583</v>
      </c>
      <c r="AL12" s="397">
        <f>+Efficiency2!K20</f>
        <v>54.1771776</v>
      </c>
      <c r="AM12" s="398">
        <f t="shared" si="24"/>
        <v>216.2091662</v>
      </c>
      <c r="AN12" s="423">
        <f t="shared" si="25"/>
        <v>0.75773603976003356</v>
      </c>
      <c r="AO12" s="423">
        <f t="shared" si="26"/>
        <v>0.95286894455448856</v>
      </c>
    </row>
    <row r="13" spans="1:41" s="403" customFormat="1" ht="12.75" customHeight="1">
      <c r="A13" s="417">
        <f t="shared" si="9"/>
        <v>45996</v>
      </c>
      <c r="B13" s="426" t="s">
        <v>419</v>
      </c>
      <c r="C13" s="404" t="s">
        <v>516</v>
      </c>
      <c r="D13" s="396">
        <f>+'5'!F42</f>
        <v>1214.5833333333333</v>
      </c>
      <c r="E13" s="396">
        <f>+'5'!G42</f>
        <v>923.08333333333337</v>
      </c>
      <c r="F13" s="47">
        <f t="shared" si="0"/>
        <v>0.23999999999999988</v>
      </c>
      <c r="G13" s="422">
        <f t="shared" si="10"/>
        <v>0.98564952177871834</v>
      </c>
      <c r="H13" s="418">
        <f t="shared" si="11"/>
        <v>0.98564952177871834</v>
      </c>
      <c r="I13" s="418">
        <f t="shared" si="12"/>
        <v>0.96639294122008634</v>
      </c>
      <c r="J13" s="423">
        <f t="shared" si="13"/>
        <v>0.95252474036390711</v>
      </c>
      <c r="K13" s="423">
        <f t="shared" si="14"/>
        <v>0.95279941247135813</v>
      </c>
      <c r="L13" s="397">
        <f>+SUM(Efficiency1!K25:K27)</f>
        <v>54.732436640000003</v>
      </c>
      <c r="M13" s="398">
        <f t="shared" si="15"/>
        <v>270.94160283999997</v>
      </c>
      <c r="N13" s="397">
        <f>+SUM(Efficiency1!C25:C27)</f>
        <v>54.732436640000003</v>
      </c>
      <c r="O13" s="398">
        <f t="shared" si="15"/>
        <v>270.94160283999997</v>
      </c>
      <c r="P13" s="398">
        <f>'5'!I38</f>
        <v>53.947000000000003</v>
      </c>
      <c r="Q13" s="398">
        <f t="shared" si="16"/>
        <v>265.64100000000002</v>
      </c>
      <c r="R13" s="398">
        <f>'5'!I40</f>
        <v>52.134</v>
      </c>
      <c r="S13" s="398">
        <f t="shared" si="17"/>
        <v>258.15300000000002</v>
      </c>
      <c r="T13" s="97"/>
      <c r="U13" s="12">
        <f t="shared" si="18"/>
        <v>0</v>
      </c>
      <c r="V13" s="290">
        <f t="shared" si="19"/>
        <v>0</v>
      </c>
      <c r="W13" s="290">
        <f t="shared" si="19"/>
        <v>0</v>
      </c>
      <c r="X13" s="291">
        <f t="shared" si="20"/>
        <v>0</v>
      </c>
      <c r="Y13" s="290">
        <f t="shared" si="21"/>
        <v>0</v>
      </c>
      <c r="Z13" s="400">
        <v>130.30000000000001</v>
      </c>
      <c r="AA13" s="399">
        <f t="shared" si="22"/>
        <v>634.6</v>
      </c>
      <c r="AB13" s="402">
        <f t="shared" si="1"/>
        <v>2.4153335681316848</v>
      </c>
      <c r="AC13" s="402">
        <f t="shared" si="2"/>
        <v>2.3889384545307388</v>
      </c>
      <c r="AD13" s="397">
        <f t="shared" si="3"/>
        <v>2.4993286530862777</v>
      </c>
      <c r="AE13" s="402">
        <f t="shared" si="4"/>
        <v>2.4582321336571722</v>
      </c>
      <c r="AF13" s="401">
        <f>'5'!I46</f>
        <v>36373.819999999658</v>
      </c>
      <c r="AG13" s="399">
        <f t="shared" si="23"/>
        <v>165757.44</v>
      </c>
      <c r="AH13" s="402">
        <f t="shared" si="5"/>
        <v>674.25102415332935</v>
      </c>
      <c r="AI13" s="402">
        <f t="shared" si="6"/>
        <v>623.99042316509883</v>
      </c>
      <c r="AJ13" s="402">
        <f t="shared" si="7"/>
        <v>697.69862277975324</v>
      </c>
      <c r="AK13" s="402">
        <f t="shared" si="8"/>
        <v>642.08992341750809</v>
      </c>
      <c r="AL13" s="397">
        <f>+SUM(Efficiency2!K25:K27)</f>
        <v>54.732436640000003</v>
      </c>
      <c r="AM13" s="398">
        <f t="shared" si="24"/>
        <v>270.94160283999997</v>
      </c>
      <c r="AN13" s="423">
        <f t="shared" si="25"/>
        <v>0.95252474036390711</v>
      </c>
      <c r="AO13" s="423">
        <f t="shared" si="26"/>
        <v>0.95279941247135813</v>
      </c>
    </row>
    <row r="14" spans="1:41" s="403" customFormat="1" ht="12.75" customHeight="1">
      <c r="A14" s="417">
        <f t="shared" si="9"/>
        <v>45997</v>
      </c>
      <c r="B14" s="426" t="s">
        <v>515</v>
      </c>
      <c r="C14" s="404" t="s">
        <v>517</v>
      </c>
      <c r="D14" s="396">
        <f>+'6'!F42</f>
        <v>1358.9791666666667</v>
      </c>
      <c r="E14" s="396">
        <f>+'6'!G42</f>
        <v>1032.8241666666668</v>
      </c>
      <c r="F14" s="47">
        <f t="shared" si="0"/>
        <v>0.24</v>
      </c>
      <c r="G14" s="422">
        <f t="shared" si="10"/>
        <v>0.94638358896338159</v>
      </c>
      <c r="H14" s="418">
        <f t="shared" si="11"/>
        <v>0.93905160710770352</v>
      </c>
      <c r="I14" s="418">
        <f t="shared" si="12"/>
        <v>0.95942082261160799</v>
      </c>
      <c r="J14" s="423">
        <f t="shared" si="13"/>
        <v>0.90094566536602549</v>
      </c>
      <c r="K14" s="423">
        <f t="shared" si="14"/>
        <v>0.94443052796577742</v>
      </c>
      <c r="L14" s="397">
        <f>+SUM(Efficiency1!K29:K31)</f>
        <v>52.144099034999996</v>
      </c>
      <c r="M14" s="398">
        <f t="shared" si="15"/>
        <v>323.08570187499998</v>
      </c>
      <c r="N14" s="397">
        <f>+SUM(Efficiency1!C29:C31)</f>
        <v>51.740119515000004</v>
      </c>
      <c r="O14" s="398">
        <f t="shared" si="15"/>
        <v>322.68172235499998</v>
      </c>
      <c r="P14" s="398">
        <f>'6'!I38</f>
        <v>48.966000000000001</v>
      </c>
      <c r="Q14" s="398">
        <f t="shared" si="16"/>
        <v>314.60700000000003</v>
      </c>
      <c r="R14" s="398">
        <f>'6'!I40</f>
        <v>46.978999999999999</v>
      </c>
      <c r="S14" s="398">
        <f t="shared" si="17"/>
        <v>305.13200000000001</v>
      </c>
      <c r="T14" s="97"/>
      <c r="U14" s="12">
        <f t="shared" si="18"/>
        <v>0</v>
      </c>
      <c r="V14" s="290">
        <f t="shared" si="19"/>
        <v>0</v>
      </c>
      <c r="W14" s="290">
        <f t="shared" si="19"/>
        <v>0</v>
      </c>
      <c r="X14" s="291">
        <f t="shared" si="20"/>
        <v>0</v>
      </c>
      <c r="Y14" s="290">
        <f t="shared" si="21"/>
        <v>0</v>
      </c>
      <c r="Z14" s="400">
        <v>128.80000000000001</v>
      </c>
      <c r="AA14" s="399">
        <f t="shared" si="22"/>
        <v>763.40000000000009</v>
      </c>
      <c r="AB14" s="402">
        <f t="shared" si="1"/>
        <v>2.6303966017236453</v>
      </c>
      <c r="AC14" s="402">
        <f t="shared" si="2"/>
        <v>2.4265194353590354</v>
      </c>
      <c r="AD14" s="397">
        <f t="shared" si="3"/>
        <v>2.7416505247025271</v>
      </c>
      <c r="AE14" s="402">
        <f t="shared" si="4"/>
        <v>2.501868043994075</v>
      </c>
      <c r="AF14" s="401">
        <f>'6'!I46</f>
        <v>52185.497309056605</v>
      </c>
      <c r="AG14" s="399">
        <f t="shared" si="23"/>
        <v>217942.93730905661</v>
      </c>
      <c r="AH14" s="402">
        <f t="shared" si="5"/>
        <v>1065.7496489208145</v>
      </c>
      <c r="AI14" s="402">
        <f t="shared" si="6"/>
        <v>692.7466245476312</v>
      </c>
      <c r="AJ14" s="402">
        <f t="shared" si="7"/>
        <v>1110.826056515818</v>
      </c>
      <c r="AK14" s="402">
        <f t="shared" si="8"/>
        <v>714.25788612487906</v>
      </c>
      <c r="AL14" s="397">
        <f>+SUM(Efficiency2!K29:K31)</f>
        <v>52.144099034999996</v>
      </c>
      <c r="AM14" s="398">
        <f t="shared" si="24"/>
        <v>323.08570187499998</v>
      </c>
      <c r="AN14" s="423">
        <f t="shared" si="25"/>
        <v>0.90094566536602549</v>
      </c>
      <c r="AO14" s="423">
        <f t="shared" si="26"/>
        <v>0.94443052796577742</v>
      </c>
    </row>
    <row r="15" spans="1:41" s="403" customFormat="1" ht="12.75" customHeight="1">
      <c r="A15" s="417">
        <f t="shared" si="9"/>
        <v>45998</v>
      </c>
      <c r="B15" s="426" t="s">
        <v>417</v>
      </c>
      <c r="C15" s="404" t="s">
        <v>518</v>
      </c>
      <c r="D15" s="396">
        <f>+'7'!F42</f>
        <v>1400</v>
      </c>
      <c r="E15" s="396">
        <f>+'7'!G42</f>
        <v>1064</v>
      </c>
      <c r="F15" s="47">
        <f t="shared" si="0"/>
        <v>0.24</v>
      </c>
      <c r="G15" s="422">
        <f t="shared" si="10"/>
        <v>0.95224264779011014</v>
      </c>
      <c r="H15" s="418">
        <f t="shared" si="11"/>
        <v>0.95224264779011014</v>
      </c>
      <c r="I15" s="418">
        <f t="shared" si="12"/>
        <v>0.90736812043572279</v>
      </c>
      <c r="J15" s="423">
        <f t="shared" si="13"/>
        <v>0.86403462152404831</v>
      </c>
      <c r="K15" s="423">
        <f t="shared" si="14"/>
        <v>0.93338087449685647</v>
      </c>
      <c r="L15" s="397">
        <f>+Efficiency1!K33</f>
        <v>51.480575999999999</v>
      </c>
      <c r="M15" s="398">
        <f t="shared" si="15"/>
        <v>374.56627787499997</v>
      </c>
      <c r="N15" s="397">
        <f>+Efficiency1!C33</f>
        <v>51.480575999999999</v>
      </c>
      <c r="O15" s="398">
        <f t="shared" si="15"/>
        <v>374.16229835499996</v>
      </c>
      <c r="P15" s="398">
        <f>'7'!I38</f>
        <v>49.021999999999998</v>
      </c>
      <c r="Q15" s="398">
        <f t="shared" si="16"/>
        <v>363.62900000000002</v>
      </c>
      <c r="R15" s="398">
        <f>'7'!I40</f>
        <v>44.481000000000002</v>
      </c>
      <c r="S15" s="398">
        <f t="shared" si="17"/>
        <v>349.613</v>
      </c>
      <c r="T15" s="97"/>
      <c r="U15" s="12">
        <f t="shared" si="18"/>
        <v>0</v>
      </c>
      <c r="V15" s="290">
        <f t="shared" si="19"/>
        <v>0</v>
      </c>
      <c r="W15" s="290">
        <f t="shared" si="19"/>
        <v>0</v>
      </c>
      <c r="X15" s="291">
        <f t="shared" si="20"/>
        <v>0</v>
      </c>
      <c r="Y15" s="290">
        <f t="shared" si="21"/>
        <v>0</v>
      </c>
      <c r="Z15" s="400">
        <v>124.5</v>
      </c>
      <c r="AA15" s="399">
        <f t="shared" si="22"/>
        <v>887.90000000000009</v>
      </c>
      <c r="AB15" s="402">
        <f t="shared" si="1"/>
        <v>2.5396760638080864</v>
      </c>
      <c r="AC15" s="402">
        <f t="shared" si="2"/>
        <v>2.4417744459325301</v>
      </c>
      <c r="AD15" s="397">
        <f t="shared" si="3"/>
        <v>2.798947865380724</v>
      </c>
      <c r="AE15" s="402">
        <f t="shared" si="4"/>
        <v>2.5396652870459624</v>
      </c>
      <c r="AF15" s="401">
        <f>'7'!I46</f>
        <v>53845.358725163598</v>
      </c>
      <c r="AG15" s="399">
        <f t="shared" si="23"/>
        <v>271788.2960342202</v>
      </c>
      <c r="AH15" s="402">
        <f t="shared" si="5"/>
        <v>1098.3917164775735</v>
      </c>
      <c r="AI15" s="402">
        <f t="shared" si="6"/>
        <v>747.43294961133518</v>
      </c>
      <c r="AJ15" s="402">
        <f t="shared" si="7"/>
        <v>1210.5249145739438</v>
      </c>
      <c r="AK15" s="402">
        <f t="shared" si="8"/>
        <v>777.39756826611199</v>
      </c>
      <c r="AL15" s="397">
        <f>+Efficiency2!K33</f>
        <v>51.480575999999999</v>
      </c>
      <c r="AM15" s="398">
        <f t="shared" si="24"/>
        <v>374.56627787499997</v>
      </c>
      <c r="AN15" s="423">
        <f t="shared" si="25"/>
        <v>0.86403462152404831</v>
      </c>
      <c r="AO15" s="423">
        <f t="shared" si="26"/>
        <v>0.93338087449685647</v>
      </c>
    </row>
    <row r="16" spans="1:41" s="403" customFormat="1" ht="12.75" customHeight="1">
      <c r="A16" s="417">
        <f t="shared" si="9"/>
        <v>45999</v>
      </c>
      <c r="B16" s="426" t="s">
        <v>417</v>
      </c>
      <c r="C16" s="404" t="s">
        <v>518</v>
      </c>
      <c r="D16" s="396">
        <f>+'8'!F42</f>
        <v>1400</v>
      </c>
      <c r="E16" s="396">
        <f>+'8'!G42</f>
        <v>1064</v>
      </c>
      <c r="F16" s="47">
        <f t="shared" si="0"/>
        <v>0.24</v>
      </c>
      <c r="G16" s="422">
        <f t="shared" si="10"/>
        <v>0.93070054227831478</v>
      </c>
      <c r="H16" s="418">
        <f t="shared" si="11"/>
        <v>0.93070054227831478</v>
      </c>
      <c r="I16" s="418">
        <f t="shared" si="12"/>
        <v>1.1306743472543987</v>
      </c>
      <c r="J16" s="423">
        <f t="shared" si="13"/>
        <v>1.0523192281298483</v>
      </c>
      <c r="K16" s="423">
        <f t="shared" si="14"/>
        <v>0.94775256835594213</v>
      </c>
      <c r="L16" s="397">
        <f>+Efficiency1!K37</f>
        <v>51.480575999999999</v>
      </c>
      <c r="M16" s="398">
        <f t="shared" si="15"/>
        <v>426.04685387499995</v>
      </c>
      <c r="N16" s="397">
        <f>+Efficiency1!C37</f>
        <v>51.480575999999999</v>
      </c>
      <c r="O16" s="398">
        <f t="shared" si="15"/>
        <v>425.64287435499995</v>
      </c>
      <c r="P16" s="398">
        <f>'8'!I38</f>
        <v>47.912999999999997</v>
      </c>
      <c r="Q16" s="398">
        <f t="shared" si="16"/>
        <v>411.54200000000003</v>
      </c>
      <c r="R16" s="398">
        <f>'8'!I40</f>
        <v>54.173999999999999</v>
      </c>
      <c r="S16" s="398">
        <f t="shared" si="17"/>
        <v>403.78699999999998</v>
      </c>
      <c r="T16" s="97"/>
      <c r="U16" s="12">
        <f t="shared" si="18"/>
        <v>0</v>
      </c>
      <c r="V16" s="290">
        <f t="shared" si="19"/>
        <v>0</v>
      </c>
      <c r="W16" s="290">
        <f t="shared" si="19"/>
        <v>0</v>
      </c>
      <c r="X16" s="291">
        <f t="shared" si="20"/>
        <v>0</v>
      </c>
      <c r="Y16" s="290">
        <f t="shared" si="21"/>
        <v>0</v>
      </c>
      <c r="Z16" s="400">
        <v>123.7</v>
      </c>
      <c r="AA16" s="399">
        <f t="shared" si="22"/>
        <v>1011.6000000000001</v>
      </c>
      <c r="AB16" s="402">
        <f t="shared" si="1"/>
        <v>2.5817627783691277</v>
      </c>
      <c r="AC16" s="402">
        <f t="shared" si="2"/>
        <v>2.4580723231164745</v>
      </c>
      <c r="AD16" s="397">
        <f t="shared" si="3"/>
        <v>2.2833831727396907</v>
      </c>
      <c r="AE16" s="402">
        <f t="shared" si="4"/>
        <v>2.5052812497678234</v>
      </c>
      <c r="AF16" s="401">
        <f>'8'!I46</f>
        <v>51471.652893757084</v>
      </c>
      <c r="AG16" s="399">
        <f t="shared" si="23"/>
        <v>323259.9489279773</v>
      </c>
      <c r="AH16" s="402">
        <f t="shared" si="5"/>
        <v>1074.273222168453</v>
      </c>
      <c r="AI16" s="402">
        <f t="shared" si="6"/>
        <v>785.48471098448579</v>
      </c>
      <c r="AJ16" s="402">
        <f t="shared" si="7"/>
        <v>950.1172683161127</v>
      </c>
      <c r="AK16" s="402">
        <f t="shared" si="8"/>
        <v>800.57047138213284</v>
      </c>
      <c r="AL16" s="397">
        <f>+Efficiency2!K37</f>
        <v>51.480575999999999</v>
      </c>
      <c r="AM16" s="398">
        <f t="shared" si="24"/>
        <v>426.04685387499995</v>
      </c>
      <c r="AN16" s="423">
        <f t="shared" si="25"/>
        <v>1.0523192281298483</v>
      </c>
      <c r="AO16" s="423">
        <f t="shared" si="26"/>
        <v>0.94775256835594213</v>
      </c>
    </row>
    <row r="17" spans="1:41" s="403" customFormat="1" ht="12.75" customHeight="1">
      <c r="A17" s="417">
        <f t="shared" si="9"/>
        <v>46000</v>
      </c>
      <c r="B17" s="426" t="s">
        <v>417</v>
      </c>
      <c r="C17" s="404" t="s">
        <v>518</v>
      </c>
      <c r="D17" s="396">
        <f>+'9'!F42</f>
        <v>1400</v>
      </c>
      <c r="E17" s="396">
        <f>+'9'!G42</f>
        <v>1064</v>
      </c>
      <c r="F17" s="47">
        <f t="shared" si="0"/>
        <v>0.24</v>
      </c>
      <c r="G17" s="422">
        <f t="shared" si="10"/>
        <v>0.92157088529856379</v>
      </c>
      <c r="H17" s="418">
        <f t="shared" si="11"/>
        <v>0.92157088529856379</v>
      </c>
      <c r="I17" s="418">
        <f t="shared" si="12"/>
        <v>1.0377505638344962</v>
      </c>
      <c r="J17" s="423">
        <f t="shared" si="13"/>
        <v>0.95636070583204047</v>
      </c>
      <c r="K17" s="423">
        <f t="shared" si="14"/>
        <v>0.94868058180152104</v>
      </c>
      <c r="L17" s="397">
        <f>+Efficiency1!K41</f>
        <v>51.480575999999999</v>
      </c>
      <c r="M17" s="398">
        <f t="shared" si="15"/>
        <v>477.52742987499994</v>
      </c>
      <c r="N17" s="398">
        <f>+Efficiency1!C41</f>
        <v>51.480575999999999</v>
      </c>
      <c r="O17" s="398">
        <f t="shared" si="15"/>
        <v>477.12345035499993</v>
      </c>
      <c r="P17" s="398">
        <f>'9'!I38</f>
        <v>47.442999999999998</v>
      </c>
      <c r="Q17" s="398">
        <f t="shared" si="16"/>
        <v>458.98500000000001</v>
      </c>
      <c r="R17" s="398">
        <f>'9'!I40</f>
        <v>49.234000000000002</v>
      </c>
      <c r="S17" s="398">
        <f t="shared" si="17"/>
        <v>453.02099999999996</v>
      </c>
      <c r="T17" s="97"/>
      <c r="U17" s="12">
        <f t="shared" si="18"/>
        <v>0</v>
      </c>
      <c r="V17" s="290">
        <f t="shared" si="19"/>
        <v>0</v>
      </c>
      <c r="W17" s="290">
        <f t="shared" si="19"/>
        <v>0</v>
      </c>
      <c r="X17" s="291">
        <f t="shared" si="20"/>
        <v>0</v>
      </c>
      <c r="Y17" s="290">
        <f t="shared" si="21"/>
        <v>0</v>
      </c>
      <c r="Z17" s="400">
        <v>121.2</v>
      </c>
      <c r="AA17" s="399">
        <f t="shared" si="22"/>
        <v>1132.8000000000002</v>
      </c>
      <c r="AB17" s="402">
        <f t="shared" si="1"/>
        <v>2.5546445207933735</v>
      </c>
      <c r="AC17" s="402">
        <f t="shared" si="2"/>
        <v>2.4680545115853461</v>
      </c>
      <c r="AD17" s="397">
        <f t="shared" si="3"/>
        <v>2.4617134500548401</v>
      </c>
      <c r="AE17" s="402">
        <f t="shared" si="4"/>
        <v>2.5005463322892321</v>
      </c>
      <c r="AF17" s="401">
        <f>'9'!I46</f>
        <v>51496.608204763412</v>
      </c>
      <c r="AG17" s="399">
        <f t="shared" si="23"/>
        <v>374756.55713274074</v>
      </c>
      <c r="AH17" s="402">
        <f t="shared" si="5"/>
        <v>1085.4416500803788</v>
      </c>
      <c r="AI17" s="402">
        <f t="shared" si="6"/>
        <v>816.48977010739077</v>
      </c>
      <c r="AJ17" s="402">
        <f t="shared" si="7"/>
        <v>1045.9562132827602</v>
      </c>
      <c r="AK17" s="402">
        <f t="shared" si="8"/>
        <v>827.2388192440103</v>
      </c>
      <c r="AL17" s="397">
        <f>+Efficiency2!K41</f>
        <v>51.480575999999999</v>
      </c>
      <c r="AM17" s="398">
        <f t="shared" si="24"/>
        <v>477.52742987499994</v>
      </c>
      <c r="AN17" s="423">
        <f t="shared" si="25"/>
        <v>0.95636070583204047</v>
      </c>
      <c r="AO17" s="423">
        <f t="shared" si="26"/>
        <v>0.94868058180152104</v>
      </c>
    </row>
    <row r="18" spans="1:41" s="403" customFormat="1" ht="12.75" customHeight="1">
      <c r="A18" s="417">
        <f t="shared" si="9"/>
        <v>46001</v>
      </c>
      <c r="B18" s="426" t="s">
        <v>417</v>
      </c>
      <c r="C18" s="404" t="s">
        <v>518</v>
      </c>
      <c r="D18" s="396">
        <f>+'10'!F42</f>
        <v>1400</v>
      </c>
      <c r="E18" s="396">
        <f>+'10'!G42</f>
        <v>1064</v>
      </c>
      <c r="F18" s="47">
        <f t="shared" si="0"/>
        <v>0.24</v>
      </c>
      <c r="G18" s="422">
        <f t="shared" si="10"/>
        <v>0.97052138655169673</v>
      </c>
      <c r="H18" s="418">
        <f t="shared" si="11"/>
        <v>0.97052138655169673</v>
      </c>
      <c r="I18" s="418">
        <f>+R18/P18</f>
        <v>0.99055300922682787</v>
      </c>
      <c r="J18" s="423">
        <f t="shared" si="13"/>
        <v>0.96135287996777663</v>
      </c>
      <c r="K18" s="423">
        <f t="shared" si="14"/>
        <v>0.94991379037605561</v>
      </c>
      <c r="L18" s="397">
        <f>+Efficiency1!K45</f>
        <v>51.480575999999999</v>
      </c>
      <c r="M18" s="398">
        <f t="shared" si="15"/>
        <v>529.00800587499998</v>
      </c>
      <c r="N18" s="397">
        <f>+Efficiency1!C45</f>
        <v>51.480575999999999</v>
      </c>
      <c r="O18" s="398">
        <f t="shared" si="15"/>
        <v>528.60402635499997</v>
      </c>
      <c r="P18" s="398">
        <f>'10'!I38</f>
        <v>49.963000000000001</v>
      </c>
      <c r="Q18" s="398">
        <f t="shared" si="16"/>
        <v>508.94800000000004</v>
      </c>
      <c r="R18" s="398">
        <f>'10'!I40</f>
        <v>49.491</v>
      </c>
      <c r="S18" s="398">
        <f t="shared" si="17"/>
        <v>502.51199999999994</v>
      </c>
      <c r="T18" s="97"/>
      <c r="U18" s="12">
        <f t="shared" si="18"/>
        <v>0</v>
      </c>
      <c r="V18" s="290">
        <f t="shared" si="19"/>
        <v>0</v>
      </c>
      <c r="W18" s="290">
        <f t="shared" si="19"/>
        <v>0</v>
      </c>
      <c r="X18" s="291">
        <f t="shared" si="20"/>
        <v>0</v>
      </c>
      <c r="Y18" s="290">
        <f t="shared" si="21"/>
        <v>0</v>
      </c>
      <c r="Z18" s="400">
        <v>119</v>
      </c>
      <c r="AA18" s="399">
        <f t="shared" si="22"/>
        <v>1251.8000000000002</v>
      </c>
      <c r="AB18" s="402">
        <f t="shared" si="1"/>
        <v>2.3817625042531474</v>
      </c>
      <c r="AC18" s="402">
        <f t="shared" si="2"/>
        <v>2.4595832973113168</v>
      </c>
      <c r="AD18" s="397">
        <f t="shared" si="3"/>
        <v>2.4044775817825466</v>
      </c>
      <c r="AE18" s="402">
        <f t="shared" si="4"/>
        <v>2.4910847900149653</v>
      </c>
      <c r="AF18" s="401">
        <f>'10'!I46</f>
        <v>54581.959228257256</v>
      </c>
      <c r="AG18" s="399">
        <f t="shared" si="23"/>
        <v>429338.51636099798</v>
      </c>
      <c r="AH18" s="402">
        <f t="shared" si="5"/>
        <v>1092.4475957860268</v>
      </c>
      <c r="AI18" s="402">
        <f t="shared" si="6"/>
        <v>843.58031932731421</v>
      </c>
      <c r="AJ18" s="402">
        <f t="shared" si="7"/>
        <v>1102.8663641522148</v>
      </c>
      <c r="AK18" s="402">
        <f t="shared" si="8"/>
        <v>854.38460446914314</v>
      </c>
      <c r="AL18" s="397">
        <f>+Efficiency2!K45</f>
        <v>51.480575999999999</v>
      </c>
      <c r="AM18" s="398">
        <f t="shared" si="24"/>
        <v>529.00800587499998</v>
      </c>
      <c r="AN18" s="423">
        <f t="shared" si="25"/>
        <v>0.96135287996777663</v>
      </c>
      <c r="AO18" s="423">
        <f t="shared" si="26"/>
        <v>0.94991379037605561</v>
      </c>
    </row>
    <row r="19" spans="1:41" s="403" customFormat="1" ht="12.75" customHeight="1">
      <c r="A19" s="417">
        <f t="shared" si="9"/>
        <v>46002</v>
      </c>
      <c r="B19" s="426" t="s">
        <v>417</v>
      </c>
      <c r="C19" s="404" t="s">
        <v>518</v>
      </c>
      <c r="D19" s="396">
        <f>+'11'!F42</f>
        <v>1400</v>
      </c>
      <c r="E19" s="396">
        <f>+'11'!G42</f>
        <v>1064</v>
      </c>
      <c r="F19" s="47">
        <f t="shared" si="0"/>
        <v>0.24</v>
      </c>
      <c r="G19" s="422">
        <f t="shared" si="10"/>
        <v>0.91014910167283292</v>
      </c>
      <c r="H19" s="418">
        <f t="shared" si="11"/>
        <v>0.91014910167283292</v>
      </c>
      <c r="I19" s="418">
        <f t="shared" si="12"/>
        <v>0.89896489168711979</v>
      </c>
      <c r="J19" s="423">
        <f t="shared" si="13"/>
        <v>0.8181920886044477</v>
      </c>
      <c r="K19" s="423">
        <f t="shared" si="14"/>
        <v>0.93823206348144661</v>
      </c>
      <c r="L19" s="397">
        <f>+Efficiency1!K49</f>
        <v>51.480575999999999</v>
      </c>
      <c r="M19" s="398">
        <f t="shared" si="15"/>
        <v>580.48858187500002</v>
      </c>
      <c r="N19" s="397">
        <f>+Efficiency1!C49</f>
        <v>51.480575999999999</v>
      </c>
      <c r="O19" s="398">
        <f t="shared" si="15"/>
        <v>580.08460235500002</v>
      </c>
      <c r="P19" s="398">
        <f>'11'!I38</f>
        <v>46.855000000000004</v>
      </c>
      <c r="Q19" s="398">
        <f t="shared" si="16"/>
        <v>555.803</v>
      </c>
      <c r="R19" s="398">
        <f>'11'!I40</f>
        <v>42.121000000000002</v>
      </c>
      <c r="S19" s="398">
        <f t="shared" si="17"/>
        <v>544.63299999999992</v>
      </c>
      <c r="T19" s="97"/>
      <c r="U19" s="12">
        <f t="shared" si="18"/>
        <v>0</v>
      </c>
      <c r="V19" s="290">
        <f t="shared" si="19"/>
        <v>0</v>
      </c>
      <c r="W19" s="290">
        <f t="shared" si="19"/>
        <v>0</v>
      </c>
      <c r="X19" s="291">
        <f t="shared" si="20"/>
        <v>0</v>
      </c>
      <c r="Y19" s="290">
        <f t="shared" si="21"/>
        <v>0</v>
      </c>
      <c r="Z19" s="400">
        <v>120.2</v>
      </c>
      <c r="AA19" s="399">
        <f t="shared" si="22"/>
        <v>1372.0000000000002</v>
      </c>
      <c r="AB19" s="402">
        <f t="shared" si="1"/>
        <v>2.565361220787536</v>
      </c>
      <c r="AC19" s="402">
        <f t="shared" si="2"/>
        <v>2.468500529863999</v>
      </c>
      <c r="AD19" s="397">
        <f t="shared" si="3"/>
        <v>2.8536834358158636</v>
      </c>
      <c r="AE19" s="402">
        <f t="shared" si="4"/>
        <v>2.5191275592922215</v>
      </c>
      <c r="AF19" s="401">
        <f>'11'!I46</f>
        <v>48587.583550602532</v>
      </c>
      <c r="AG19" s="399">
        <f t="shared" si="23"/>
        <v>477926.09991160053</v>
      </c>
      <c r="AH19" s="402">
        <f t="shared" si="5"/>
        <v>1036.9775595049093</v>
      </c>
      <c r="AI19" s="402">
        <f t="shared" si="6"/>
        <v>859.88398751284262</v>
      </c>
      <c r="AJ19" s="402">
        <f t="shared" si="7"/>
        <v>1153.5239797393826</v>
      </c>
      <c r="AK19" s="402">
        <f t="shared" si="8"/>
        <v>877.51954051921325</v>
      </c>
      <c r="AL19" s="397">
        <f>+Efficiency2!K49</f>
        <v>51.480575999999999</v>
      </c>
      <c r="AM19" s="398">
        <f t="shared" si="24"/>
        <v>580.48858187500002</v>
      </c>
      <c r="AN19" s="423">
        <f t="shared" si="25"/>
        <v>0.8181920886044477</v>
      </c>
      <c r="AO19" s="423">
        <f t="shared" si="26"/>
        <v>0.93823206348144661</v>
      </c>
    </row>
    <row r="20" spans="1:41" s="403" customFormat="1" ht="12.75" customHeight="1">
      <c r="A20" s="417">
        <f t="shared" si="9"/>
        <v>46003</v>
      </c>
      <c r="B20" s="426" t="s">
        <v>417</v>
      </c>
      <c r="C20" s="404" t="s">
        <v>518</v>
      </c>
      <c r="D20" s="396">
        <f>+'12'!F42</f>
        <v>1400</v>
      </c>
      <c r="E20" s="396">
        <f>+'12'!G42</f>
        <v>1064</v>
      </c>
      <c r="F20" s="47">
        <f t="shared" si="0"/>
        <v>0.24</v>
      </c>
      <c r="G20" s="422">
        <f t="shared" si="10"/>
        <v>0.89894099087003221</v>
      </c>
      <c r="H20" s="418">
        <f t="shared" si="11"/>
        <v>0.89894099087003221</v>
      </c>
      <c r="I20" s="418">
        <f t="shared" si="12"/>
        <v>0.9247806733220969</v>
      </c>
      <c r="J20" s="423">
        <f t="shared" si="13"/>
        <v>0.83132325481362135</v>
      </c>
      <c r="K20" s="423">
        <f t="shared" si="14"/>
        <v>0.92952320960604584</v>
      </c>
      <c r="L20" s="397">
        <f>+Efficiency1!K53</f>
        <v>51.480575999999999</v>
      </c>
      <c r="M20" s="398">
        <f t="shared" si="15"/>
        <v>631.96915787500006</v>
      </c>
      <c r="N20" s="398">
        <f>+Efficiency2!K53</f>
        <v>51.480575999999999</v>
      </c>
      <c r="O20" s="398">
        <f t="shared" si="15"/>
        <v>631.56517835500006</v>
      </c>
      <c r="P20" s="398">
        <f>'12'!I38</f>
        <v>46.277999999999999</v>
      </c>
      <c r="Q20" s="398">
        <f t="shared" si="16"/>
        <v>602.08100000000002</v>
      </c>
      <c r="R20" s="398">
        <f>'12'!I40</f>
        <v>42.796999999999997</v>
      </c>
      <c r="S20" s="398">
        <f t="shared" si="17"/>
        <v>587.42999999999995</v>
      </c>
      <c r="T20" s="97"/>
      <c r="U20" s="12">
        <f t="shared" si="18"/>
        <v>0</v>
      </c>
      <c r="V20" s="290">
        <f t="shared" si="19"/>
        <v>0</v>
      </c>
      <c r="W20" s="290">
        <f t="shared" si="19"/>
        <v>0</v>
      </c>
      <c r="X20" s="291">
        <f t="shared" si="20"/>
        <v>0</v>
      </c>
      <c r="Y20" s="290">
        <f t="shared" si="21"/>
        <v>0</v>
      </c>
      <c r="Z20" s="400">
        <v>119.8</v>
      </c>
      <c r="AA20" s="399">
        <f t="shared" si="22"/>
        <v>1491.8000000000002</v>
      </c>
      <c r="AB20" s="402">
        <f t="shared" si="1"/>
        <v>2.588703055447513</v>
      </c>
      <c r="AC20" s="402">
        <f t="shared" si="2"/>
        <v>2.4777397061192765</v>
      </c>
      <c r="AD20" s="397">
        <f t="shared" si="3"/>
        <v>2.7992616304881186</v>
      </c>
      <c r="AE20" s="402">
        <f t="shared" si="4"/>
        <v>2.5395366256405025</v>
      </c>
      <c r="AF20" s="401">
        <f>'12'!I46</f>
        <v>53430.177802085644</v>
      </c>
      <c r="AG20" s="399">
        <f t="shared" si="23"/>
        <v>531356.27771368623</v>
      </c>
      <c r="AH20" s="402">
        <f t="shared" si="5"/>
        <v>1154.5481179412602</v>
      </c>
      <c r="AI20" s="402">
        <f t="shared" si="6"/>
        <v>882.53287799097836</v>
      </c>
      <c r="AJ20" s="402">
        <f t="shared" si="7"/>
        <v>1248.4561488442096</v>
      </c>
      <c r="AK20" s="402">
        <f t="shared" si="8"/>
        <v>904.54399283946384</v>
      </c>
      <c r="AL20" s="397">
        <f>+Efficiency2!K53</f>
        <v>51.480575999999999</v>
      </c>
      <c r="AM20" s="398">
        <f t="shared" si="24"/>
        <v>631.96915787500006</v>
      </c>
      <c r="AN20" s="423">
        <f t="shared" si="25"/>
        <v>0.83132325481362135</v>
      </c>
      <c r="AO20" s="423">
        <f t="shared" si="26"/>
        <v>0.92952320960604584</v>
      </c>
    </row>
    <row r="21" spans="1:41" s="403" customFormat="1" ht="12.75" customHeight="1">
      <c r="A21" s="417">
        <f t="shared" si="9"/>
        <v>46004</v>
      </c>
      <c r="B21" s="426" t="s">
        <v>417</v>
      </c>
      <c r="C21" s="404" t="s">
        <v>518</v>
      </c>
      <c r="D21" s="396">
        <f>+'13'!F42</f>
        <v>1400</v>
      </c>
      <c r="E21" s="396">
        <f>+'13'!G42</f>
        <v>1064</v>
      </c>
      <c r="F21" s="47">
        <f t="shared" si="0"/>
        <v>0.24</v>
      </c>
      <c r="G21" s="422">
        <f t="shared" si="10"/>
        <v>0.95226207259219475</v>
      </c>
      <c r="H21" s="418">
        <f t="shared" si="11"/>
        <v>0.95226207259219475</v>
      </c>
      <c r="I21" s="418">
        <f t="shared" si="12"/>
        <v>0.99383962629786016</v>
      </c>
      <c r="J21" s="423">
        <f t="shared" si="13"/>
        <v>0.94639578236265265</v>
      </c>
      <c r="K21" s="423">
        <f t="shared" si="14"/>
        <v>0.93079412935487238</v>
      </c>
      <c r="L21" s="397">
        <f>+Efficiency1!K57</f>
        <v>51.480575999999999</v>
      </c>
      <c r="M21" s="398">
        <f t="shared" si="15"/>
        <v>683.44973387500011</v>
      </c>
      <c r="N21" s="397">
        <f>+Efficiency1!C57</f>
        <v>51.480575999999999</v>
      </c>
      <c r="O21" s="398">
        <f t="shared" si="15"/>
        <v>683.0457543550001</v>
      </c>
      <c r="P21" s="398">
        <f>'13'!I38</f>
        <v>49.022999999999996</v>
      </c>
      <c r="Q21" s="398">
        <f t="shared" si="16"/>
        <v>651.10400000000004</v>
      </c>
      <c r="R21" s="398">
        <f>'13'!I40</f>
        <v>48.720999999999997</v>
      </c>
      <c r="S21" s="398">
        <f t="shared" si="17"/>
        <v>636.15099999999995</v>
      </c>
      <c r="T21" s="97"/>
      <c r="U21" s="12">
        <f t="shared" si="18"/>
        <v>0</v>
      </c>
      <c r="V21" s="290">
        <f t="shared" si="19"/>
        <v>0</v>
      </c>
      <c r="W21" s="290">
        <f t="shared" si="19"/>
        <v>0</v>
      </c>
      <c r="X21" s="291">
        <f t="shared" si="20"/>
        <v>0</v>
      </c>
      <c r="Y21" s="290">
        <f t="shared" si="21"/>
        <v>0</v>
      </c>
      <c r="Z21" s="400">
        <v>116.4</v>
      </c>
      <c r="AA21" s="399">
        <f t="shared" si="22"/>
        <v>1608.2000000000003</v>
      </c>
      <c r="AB21" s="402">
        <f t="shared" si="1"/>
        <v>2.3743956918181266</v>
      </c>
      <c r="AC21" s="402">
        <f t="shared" si="2"/>
        <v>2.4699587162726693</v>
      </c>
      <c r="AD21" s="397">
        <f t="shared" si="3"/>
        <v>2.3891135239424481</v>
      </c>
      <c r="AE21" s="402">
        <f t="shared" si="4"/>
        <v>2.5280161471097276</v>
      </c>
      <c r="AF21" s="401">
        <f>'13'!I46</f>
        <v>53717.127704719525</v>
      </c>
      <c r="AG21" s="399">
        <f t="shared" si="23"/>
        <v>585073.40541840577</v>
      </c>
      <c r="AH21" s="402">
        <f t="shared" si="5"/>
        <v>1095.7535790286097</v>
      </c>
      <c r="AI21" s="402">
        <f t="shared" si="6"/>
        <v>898.58671643609273</v>
      </c>
      <c r="AJ21" s="402">
        <f t="shared" si="7"/>
        <v>1102.545672394235</v>
      </c>
      <c r="AK21" s="402">
        <f t="shared" si="8"/>
        <v>919.70837964320697</v>
      </c>
      <c r="AL21" s="397">
        <f>+Efficiency2!K57</f>
        <v>51.480575999999999</v>
      </c>
      <c r="AM21" s="398">
        <f t="shared" si="24"/>
        <v>683.44973387500011</v>
      </c>
      <c r="AN21" s="423">
        <f t="shared" si="25"/>
        <v>0.94639578236265265</v>
      </c>
      <c r="AO21" s="423">
        <f t="shared" si="26"/>
        <v>0.93079412935487238</v>
      </c>
    </row>
    <row r="22" spans="1:41" s="403" customFormat="1" ht="12.75" customHeight="1">
      <c r="A22" s="417">
        <f t="shared" si="9"/>
        <v>46005</v>
      </c>
      <c r="B22" s="426" t="s">
        <v>417</v>
      </c>
      <c r="C22" s="404" t="s">
        <v>576</v>
      </c>
      <c r="D22" s="396">
        <f>+'14'!F42</f>
        <v>1387.5816326530614</v>
      </c>
      <c r="E22" s="396">
        <f>+'14'!G42</f>
        <v>1054.5620408163265</v>
      </c>
      <c r="F22" s="47">
        <f t="shared" si="0"/>
        <v>0.2400000000000001</v>
      </c>
      <c r="G22" s="422">
        <f t="shared" si="10"/>
        <v>0.92014455135781548</v>
      </c>
      <c r="H22" s="418">
        <f t="shared" si="11"/>
        <v>0.92014455135781548</v>
      </c>
      <c r="I22" s="418">
        <f t="shared" si="12"/>
        <v>0.97182101977107183</v>
      </c>
      <c r="J22" s="423">
        <f t="shared" si="13"/>
        <v>0.89421581623734758</v>
      </c>
      <c r="K22" s="423">
        <f t="shared" si="14"/>
        <v>0.92819769059162349</v>
      </c>
      <c r="L22" s="397">
        <f>+SUM(Efficiency1!K61:K63)</f>
        <v>52.220056</v>
      </c>
      <c r="M22" s="398">
        <f t="shared" si="15"/>
        <v>735.66978987500011</v>
      </c>
      <c r="N22" s="397">
        <f>+SUM(Efficiency1!C61:C63)</f>
        <v>52.220056</v>
      </c>
      <c r="O22" s="398">
        <f t="shared" si="15"/>
        <v>735.2658103550001</v>
      </c>
      <c r="P22" s="398">
        <f>'14'!I38</f>
        <v>48.05</v>
      </c>
      <c r="Q22" s="398">
        <f t="shared" si="16"/>
        <v>699.154</v>
      </c>
      <c r="R22" s="398">
        <f>'14'!I40</f>
        <v>46.695999999999998</v>
      </c>
      <c r="S22" s="398">
        <f t="shared" si="17"/>
        <v>682.84699999999998</v>
      </c>
      <c r="T22" s="97"/>
      <c r="U22" s="12">
        <f t="shared" si="18"/>
        <v>0</v>
      </c>
      <c r="V22" s="290">
        <f t="shared" si="19"/>
        <v>0</v>
      </c>
      <c r="W22" s="290">
        <f t="shared" si="19"/>
        <v>0</v>
      </c>
      <c r="X22" s="291">
        <f t="shared" si="20"/>
        <v>0</v>
      </c>
      <c r="Y22" s="290">
        <f t="shared" si="21"/>
        <v>0</v>
      </c>
      <c r="Z22" s="400">
        <v>116.4</v>
      </c>
      <c r="AA22" s="399">
        <f t="shared" si="22"/>
        <v>1724.6000000000004</v>
      </c>
      <c r="AB22" s="402">
        <f t="shared" si="1"/>
        <v>2.4224765868886577</v>
      </c>
      <c r="AC22" s="402">
        <f t="shared" si="2"/>
        <v>2.466695463374307</v>
      </c>
      <c r="AD22" s="397">
        <f t="shared" si="3"/>
        <v>2.4927188624293302</v>
      </c>
      <c r="AE22" s="402">
        <f t="shared" si="4"/>
        <v>2.5256023677339146</v>
      </c>
      <c r="AF22" s="401">
        <f>'14'!I46</f>
        <v>47159.300272839777</v>
      </c>
      <c r="AG22" s="399">
        <f t="shared" si="23"/>
        <v>632232.7056912455</v>
      </c>
      <c r="AH22" s="402">
        <f t="shared" si="5"/>
        <v>981.4630649914626</v>
      </c>
      <c r="AI22" s="402">
        <f t="shared" si="6"/>
        <v>904.282469514936</v>
      </c>
      <c r="AJ22" s="402">
        <f t="shared" si="7"/>
        <v>1009.9216265384567</v>
      </c>
      <c r="AK22" s="402">
        <f t="shared" si="8"/>
        <v>925.87754751978923</v>
      </c>
      <c r="AL22" s="397">
        <f>+SUM(Efficiency2!K61:K63)</f>
        <v>52.220056</v>
      </c>
      <c r="AM22" s="398">
        <f t="shared" si="24"/>
        <v>735.66978987500011</v>
      </c>
      <c r="AN22" s="423">
        <f t="shared" si="25"/>
        <v>0.89421581623734758</v>
      </c>
      <c r="AO22" s="423">
        <f t="shared" si="26"/>
        <v>0.92819769059162349</v>
      </c>
    </row>
    <row r="23" spans="1:41" s="403" customFormat="1" ht="12.75" customHeight="1">
      <c r="A23" s="417">
        <f t="shared" si="9"/>
        <v>46006</v>
      </c>
      <c r="B23" s="426" t="s">
        <v>417</v>
      </c>
      <c r="C23" s="404" t="s">
        <v>593</v>
      </c>
      <c r="D23" s="396">
        <f>+'15'!F42</f>
        <v>1400</v>
      </c>
      <c r="E23" s="396">
        <f>+'15'!G42</f>
        <v>1064</v>
      </c>
      <c r="F23" s="47">
        <f t="shared" si="0"/>
        <v>0.24</v>
      </c>
      <c r="G23" s="422">
        <f t="shared" si="10"/>
        <v>0.89688982908641468</v>
      </c>
      <c r="H23" s="418">
        <f t="shared" si="11"/>
        <v>0.89688982908641468</v>
      </c>
      <c r="I23" s="418">
        <f t="shared" si="12"/>
        <v>0.87939139320994653</v>
      </c>
      <c r="J23" s="423">
        <f t="shared" si="13"/>
        <v>0.78871719635613302</v>
      </c>
      <c r="K23" s="423">
        <f t="shared" si="14"/>
        <v>0.91947136292681908</v>
      </c>
      <c r="L23" s="397">
        <f>+Efficiency1!K66</f>
        <v>49.097446054054053</v>
      </c>
      <c r="M23" s="398">
        <f t="shared" si="15"/>
        <v>784.76723592905421</v>
      </c>
      <c r="N23" s="397">
        <f>+Efficiency1!C66</f>
        <v>49.097446054054053</v>
      </c>
      <c r="O23" s="398">
        <f t="shared" si="15"/>
        <v>784.3632564090542</v>
      </c>
      <c r="P23" s="398">
        <f>'15'!I38</f>
        <v>44.035000000000004</v>
      </c>
      <c r="Q23" s="398">
        <f t="shared" si="16"/>
        <v>743.18899999999996</v>
      </c>
      <c r="R23" s="398">
        <f>'15'!I40</f>
        <v>38.723999999999997</v>
      </c>
      <c r="S23" s="398">
        <f t="shared" si="17"/>
        <v>721.57100000000003</v>
      </c>
      <c r="T23" s="97"/>
      <c r="U23" s="12">
        <f t="shared" si="18"/>
        <v>0</v>
      </c>
      <c r="V23" s="290">
        <f t="shared" si="19"/>
        <v>0</v>
      </c>
      <c r="W23" s="290">
        <f t="shared" si="19"/>
        <v>0</v>
      </c>
      <c r="X23" s="291">
        <f t="shared" si="20"/>
        <v>0</v>
      </c>
      <c r="Y23" s="290">
        <f t="shared" si="21"/>
        <v>0</v>
      </c>
      <c r="Z23" s="400">
        <v>115.4</v>
      </c>
      <c r="AA23" s="399">
        <f t="shared" si="22"/>
        <v>1840.0000000000005</v>
      </c>
      <c r="AB23" s="402">
        <f t="shared" si="1"/>
        <v>2.6206426706029293</v>
      </c>
      <c r="AC23" s="402">
        <f t="shared" si="2"/>
        <v>2.4758170532663972</v>
      </c>
      <c r="AD23" s="397">
        <f t="shared" si="3"/>
        <v>2.9800640429707679</v>
      </c>
      <c r="AE23" s="402">
        <f t="shared" si="4"/>
        <v>2.5499916155166997</v>
      </c>
      <c r="AF23" s="401">
        <f>'15'!I46</f>
        <v>46980.992435163629</v>
      </c>
      <c r="AG23" s="399">
        <f t="shared" si="23"/>
        <v>679213.69812640909</v>
      </c>
      <c r="AH23" s="402">
        <f t="shared" si="5"/>
        <v>1066.9011566972551</v>
      </c>
      <c r="AI23" s="402">
        <f t="shared" si="6"/>
        <v>913.91785686603157</v>
      </c>
      <c r="AJ23" s="402">
        <f t="shared" si="7"/>
        <v>1213.2267440131088</v>
      </c>
      <c r="AK23" s="402">
        <f t="shared" si="8"/>
        <v>941.29849748175729</v>
      </c>
      <c r="AL23" s="397">
        <f>+Efficiency2!K66</f>
        <v>49.097446054054053</v>
      </c>
      <c r="AM23" s="398">
        <f t="shared" si="24"/>
        <v>784.76723592905421</v>
      </c>
      <c r="AN23" s="423">
        <f t="shared" si="25"/>
        <v>0.78871719635613302</v>
      </c>
      <c r="AO23" s="423">
        <f t="shared" si="26"/>
        <v>0.91947136292681908</v>
      </c>
    </row>
    <row r="24" spans="1:41" s="403" customFormat="1" ht="12.75" customHeight="1">
      <c r="A24" s="417">
        <f t="shared" si="9"/>
        <v>46007</v>
      </c>
      <c r="B24" s="426" t="s">
        <v>421</v>
      </c>
      <c r="C24" s="404" t="s">
        <v>604</v>
      </c>
      <c r="D24" s="396">
        <f>+'16'!F42</f>
        <v>1400</v>
      </c>
      <c r="E24" s="396">
        <f>+'16'!G42</f>
        <v>1064</v>
      </c>
      <c r="F24" s="47">
        <f t="shared" si="0"/>
        <v>0.24</v>
      </c>
      <c r="G24" s="422">
        <f t="shared" si="10"/>
        <v>0.9566244957051977</v>
      </c>
      <c r="H24" s="418">
        <f t="shared" si="11"/>
        <v>0.9566244957051977</v>
      </c>
      <c r="I24" s="418">
        <f t="shared" si="12"/>
        <v>0.96012212208025771</v>
      </c>
      <c r="J24" s="423">
        <f t="shared" si="13"/>
        <v>0.91847634085043084</v>
      </c>
      <c r="K24" s="423">
        <f t="shared" si="14"/>
        <v>0.91941177613019831</v>
      </c>
      <c r="L24" s="397">
        <f>+SUM(Efficiency1!K70:K71)</f>
        <v>49.989311600000008</v>
      </c>
      <c r="M24" s="398">
        <f t="shared" si="15"/>
        <v>834.75654752905416</v>
      </c>
      <c r="N24" s="397">
        <f>+SUM(Efficiency1!C70:C71)</f>
        <v>49.989311600000008</v>
      </c>
      <c r="O24" s="398">
        <f t="shared" si="15"/>
        <v>834.35256800905427</v>
      </c>
      <c r="P24" s="398">
        <f>'16'!I38</f>
        <v>47.820999999999998</v>
      </c>
      <c r="Q24" s="398">
        <f t="shared" si="16"/>
        <v>791.01</v>
      </c>
      <c r="R24" s="576">
        <f>'16'!I40</f>
        <v>45.914000000000001</v>
      </c>
      <c r="S24" s="398">
        <f t="shared" si="17"/>
        <v>767.48500000000001</v>
      </c>
      <c r="T24" s="97"/>
      <c r="U24" s="12">
        <f t="shared" si="18"/>
        <v>0</v>
      </c>
      <c r="V24" s="290">
        <f t="shared" si="19"/>
        <v>0</v>
      </c>
      <c r="W24" s="290">
        <f t="shared" si="19"/>
        <v>0</v>
      </c>
      <c r="X24" s="291">
        <f t="shared" si="20"/>
        <v>0</v>
      </c>
      <c r="Y24" s="290">
        <f t="shared" si="21"/>
        <v>0</v>
      </c>
      <c r="Z24" s="400">
        <v>116.7</v>
      </c>
      <c r="AA24" s="399">
        <f t="shared" si="22"/>
        <v>1956.7000000000005</v>
      </c>
      <c r="AB24" s="402">
        <f t="shared" si="1"/>
        <v>2.4403504736412875</v>
      </c>
      <c r="AC24" s="402">
        <f t="shared" si="2"/>
        <v>2.4736728992048147</v>
      </c>
      <c r="AD24" s="397">
        <f t="shared" si="3"/>
        <v>2.5417084113777935</v>
      </c>
      <c r="AE24" s="402">
        <f t="shared" si="4"/>
        <v>2.5494960813566396</v>
      </c>
      <c r="AF24" s="401">
        <f>'16'!I46</f>
        <v>46468.574508967744</v>
      </c>
      <c r="AG24" s="399">
        <f t="shared" si="23"/>
        <v>725682.27263537678</v>
      </c>
      <c r="AH24" s="402">
        <f t="shared" si="5"/>
        <v>971.71900439070168</v>
      </c>
      <c r="AI24" s="402">
        <f t="shared" si="6"/>
        <v>917.41226107808598</v>
      </c>
      <c r="AJ24" s="402">
        <f t="shared" si="7"/>
        <v>1012.0785492217568</v>
      </c>
      <c r="AK24" s="402">
        <f t="shared" si="8"/>
        <v>945.53284120911383</v>
      </c>
      <c r="AL24" s="397">
        <f>+SUM(Efficiency2!K70:K71)</f>
        <v>49.989311600000008</v>
      </c>
      <c r="AM24" s="398">
        <f t="shared" si="24"/>
        <v>834.75654752905416</v>
      </c>
      <c r="AN24" s="423">
        <f t="shared" si="25"/>
        <v>0.91847634085043084</v>
      </c>
      <c r="AO24" s="423">
        <f t="shared" si="26"/>
        <v>0.91941177613019831</v>
      </c>
    </row>
    <row r="25" spans="1:41" s="403" customFormat="1" ht="12.75" customHeight="1">
      <c r="A25" s="417">
        <f t="shared" si="9"/>
        <v>46008</v>
      </c>
      <c r="B25" s="426" t="s">
        <v>419</v>
      </c>
      <c r="C25" s="404" t="s">
        <v>620</v>
      </c>
      <c r="D25" s="396">
        <f>+'17'!F42</f>
        <v>1303.6666666666667</v>
      </c>
      <c r="E25" s="396">
        <f>+'17'!G42</f>
        <v>1029.6666666666667</v>
      </c>
      <c r="F25" s="47">
        <f t="shared" si="0"/>
        <v>0.21017642546663251</v>
      </c>
      <c r="G25" s="422">
        <f t="shared" si="10"/>
        <v>0.98631032481467429</v>
      </c>
      <c r="H25" s="418">
        <f t="shared" si="11"/>
        <v>0.98631032481467429</v>
      </c>
      <c r="I25" s="418">
        <f t="shared" si="12"/>
        <v>1.0223232188210132</v>
      </c>
      <c r="J25" s="423">
        <f t="shared" si="13"/>
        <v>1.0083279460209369</v>
      </c>
      <c r="K25" s="423">
        <f t="shared" si="14"/>
        <v>0.92472900158344773</v>
      </c>
      <c r="L25" s="397">
        <f>+SUM(Efficiency1!K74:K76)</f>
        <v>53.093837388186785</v>
      </c>
      <c r="M25" s="398">
        <f t="shared" si="15"/>
        <v>887.85038491724094</v>
      </c>
      <c r="N25" s="397">
        <f>+SUM(Efficiency1!C74:C76)</f>
        <v>53.093837388186785</v>
      </c>
      <c r="O25" s="398">
        <f t="shared" si="15"/>
        <v>887.44640539724105</v>
      </c>
      <c r="P25" s="398">
        <f>'17'!I38</f>
        <v>52.367000000000004</v>
      </c>
      <c r="Q25" s="398">
        <f t="shared" si="16"/>
        <v>843.37699999999995</v>
      </c>
      <c r="R25" s="398">
        <f>'17'!I40</f>
        <v>53.536000000000001</v>
      </c>
      <c r="S25" s="398">
        <f t="shared" si="17"/>
        <v>821.02099999999996</v>
      </c>
      <c r="T25" s="97"/>
      <c r="U25" s="12">
        <f t="shared" si="18"/>
        <v>0</v>
      </c>
      <c r="V25" s="290">
        <f t="shared" si="19"/>
        <v>0</v>
      </c>
      <c r="W25" s="290">
        <f t="shared" si="19"/>
        <v>0</v>
      </c>
      <c r="X25" s="291">
        <f t="shared" si="20"/>
        <v>0</v>
      </c>
      <c r="Y25" s="290">
        <f t="shared" si="21"/>
        <v>0</v>
      </c>
      <c r="Z25" s="400">
        <v>121.1</v>
      </c>
      <c r="AA25" s="399">
        <f t="shared" si="22"/>
        <v>2077.8000000000006</v>
      </c>
      <c r="AB25" s="402">
        <f t="shared" si="1"/>
        <v>2.312525063494185</v>
      </c>
      <c r="AC25" s="402">
        <f t="shared" si="2"/>
        <v>2.4636669010418837</v>
      </c>
      <c r="AD25" s="397">
        <f t="shared" si="3"/>
        <v>2.2620292887029287</v>
      </c>
      <c r="AE25" s="402">
        <f t="shared" si="4"/>
        <v>2.5307513449716885</v>
      </c>
      <c r="AF25" s="401">
        <f>'17'!I46</f>
        <v>43860.739030887722</v>
      </c>
      <c r="AG25" s="399">
        <f t="shared" si="23"/>
        <v>769543.0116662645</v>
      </c>
      <c r="AH25" s="402">
        <f t="shared" si="5"/>
        <v>837.56447821887286</v>
      </c>
      <c r="AI25" s="402">
        <f t="shared" si="6"/>
        <v>912.45434920120488</v>
      </c>
      <c r="AJ25" s="402">
        <f t="shared" si="7"/>
        <v>819.2756095129954</v>
      </c>
      <c r="AK25" s="402">
        <f t="shared" si="8"/>
        <v>937.30003454998655</v>
      </c>
      <c r="AL25" s="397">
        <f>+SUM(Efficiency2!K74:K76)</f>
        <v>53.093837388186785</v>
      </c>
      <c r="AM25" s="398">
        <f t="shared" si="24"/>
        <v>887.85038491724094</v>
      </c>
      <c r="AN25" s="423">
        <f t="shared" si="25"/>
        <v>1.0083279460209369</v>
      </c>
      <c r="AO25" s="423">
        <f t="shared" si="26"/>
        <v>0.92472900158344773</v>
      </c>
    </row>
    <row r="26" spans="1:41" s="403" customFormat="1" ht="12.75" customHeight="1">
      <c r="A26" s="417">
        <f t="shared" si="9"/>
        <v>46009</v>
      </c>
      <c r="B26" s="426" t="s">
        <v>419</v>
      </c>
      <c r="C26" s="404" t="s">
        <v>632</v>
      </c>
      <c r="D26" s="396">
        <f>+'18'!F42</f>
        <v>1100</v>
      </c>
      <c r="E26" s="396">
        <f>+'18'!G42</f>
        <v>847</v>
      </c>
      <c r="F26" s="47">
        <f t="shared" si="0"/>
        <v>0.22999999999999998</v>
      </c>
      <c r="G26" s="422">
        <f t="shared" si="10"/>
        <v>0.9260698352705381</v>
      </c>
      <c r="H26" s="418">
        <f t="shared" si="11"/>
        <v>0.9260698352705381</v>
      </c>
      <c r="I26" s="418">
        <f t="shared" si="12"/>
        <v>0.91230352496703127</v>
      </c>
      <c r="J26" s="423">
        <f t="shared" si="13"/>
        <v>0.84485677508294987</v>
      </c>
      <c r="K26" s="423">
        <f t="shared" si="14"/>
        <v>0.91962616633220351</v>
      </c>
      <c r="L26" s="397">
        <f>+Efficiency1!K78</f>
        <v>60.593702399999998</v>
      </c>
      <c r="M26" s="398">
        <f t="shared" si="15"/>
        <v>948.44408731724093</v>
      </c>
      <c r="N26" s="397">
        <f>+Efficiency1!C78</f>
        <v>60.593702399999998</v>
      </c>
      <c r="O26" s="398">
        <f t="shared" si="15"/>
        <v>948.04010779724103</v>
      </c>
      <c r="P26" s="398">
        <f>'18'!I38</f>
        <v>56.114000000000004</v>
      </c>
      <c r="Q26" s="398">
        <f t="shared" si="16"/>
        <v>899.49099999999999</v>
      </c>
      <c r="R26" s="398">
        <f>'18'!I40</f>
        <v>51.192999999999998</v>
      </c>
      <c r="S26" s="398">
        <f t="shared" si="17"/>
        <v>872.21399999999994</v>
      </c>
      <c r="T26" s="97"/>
      <c r="U26" s="12">
        <f t="shared" si="18"/>
        <v>0</v>
      </c>
      <c r="V26" s="290">
        <f t="shared" si="19"/>
        <v>0</v>
      </c>
      <c r="W26" s="290">
        <f t="shared" si="19"/>
        <v>0</v>
      </c>
      <c r="X26" s="291">
        <f t="shared" si="20"/>
        <v>0</v>
      </c>
      <c r="Y26" s="290">
        <f t="shared" si="21"/>
        <v>0</v>
      </c>
      <c r="Z26" s="400">
        <v>120.4</v>
      </c>
      <c r="AA26" s="399">
        <f t="shared" si="22"/>
        <v>2198.2000000000007</v>
      </c>
      <c r="AB26" s="402">
        <f t="shared" si="1"/>
        <v>2.1456321060697863</v>
      </c>
      <c r="AC26" s="402">
        <f t="shared" si="2"/>
        <v>2.4438265641346057</v>
      </c>
      <c r="AD26" s="397">
        <f t="shared" si="3"/>
        <v>2.3518840466470028</v>
      </c>
      <c r="AE26" s="402">
        <f t="shared" si="4"/>
        <v>2.5202530571625781</v>
      </c>
      <c r="AF26" s="401">
        <f>'18'!I46</f>
        <v>40830.024168223914</v>
      </c>
      <c r="AG26" s="399">
        <f t="shared" si="23"/>
        <v>810373.03583448846</v>
      </c>
      <c r="AH26" s="402">
        <f t="shared" si="5"/>
        <v>727.62633510752948</v>
      </c>
      <c r="AI26" s="402">
        <f t="shared" si="6"/>
        <v>900.92400683774326</v>
      </c>
      <c r="AJ26" s="402">
        <f t="shared" si="7"/>
        <v>797.57045237090836</v>
      </c>
      <c r="AK26" s="402">
        <f t="shared" si="8"/>
        <v>929.09886316258212</v>
      </c>
      <c r="AL26" s="397">
        <f>+Efficiency2!K78</f>
        <v>60.593702399999998</v>
      </c>
      <c r="AM26" s="398">
        <f t="shared" si="24"/>
        <v>948.44408731724093</v>
      </c>
      <c r="AN26" s="423">
        <f t="shared" si="25"/>
        <v>0.84485677508294987</v>
      </c>
      <c r="AO26" s="423">
        <f t="shared" si="26"/>
        <v>0.91962616633220351</v>
      </c>
    </row>
    <row r="27" spans="1:41" s="403" customFormat="1" ht="12.75" customHeight="1">
      <c r="A27" s="417">
        <f t="shared" si="9"/>
        <v>46010</v>
      </c>
      <c r="B27" s="426" t="s">
        <v>419</v>
      </c>
      <c r="C27" s="404" t="s">
        <v>649</v>
      </c>
      <c r="D27" s="396">
        <f>+'19'!F42</f>
        <v>1113.125</v>
      </c>
      <c r="E27" s="396">
        <f>+'19'!G42</f>
        <v>838.51041666666663</v>
      </c>
      <c r="F27" s="47">
        <f t="shared" si="0"/>
        <v>0.24670597042859821</v>
      </c>
      <c r="G27" s="422">
        <f t="shared" si="10"/>
        <v>1.0150559578355143</v>
      </c>
      <c r="H27" s="418">
        <f t="shared" si="11"/>
        <v>1.0150559578355143</v>
      </c>
      <c r="I27" s="418">
        <f t="shared" si="12"/>
        <v>0.93932372989489943</v>
      </c>
      <c r="J27" s="423">
        <f t="shared" si="13"/>
        <v>0.95346614836609511</v>
      </c>
      <c r="K27" s="423">
        <f t="shared" si="14"/>
        <v>0.92159780378183076</v>
      </c>
      <c r="L27" s="397">
        <f>+SUM(Efficiency1!K82:K83)</f>
        <v>58.678538399999994</v>
      </c>
      <c r="M27" s="398">
        <f t="shared" si="15"/>
        <v>1007.1226257172409</v>
      </c>
      <c r="N27" s="397">
        <f>+SUM(Efficiency1!C82:C83)</f>
        <v>58.678538399999994</v>
      </c>
      <c r="O27" s="398">
        <f t="shared" si="15"/>
        <v>1006.718646197241</v>
      </c>
      <c r="P27" s="398">
        <f>'19'!I38</f>
        <v>59.561999999999998</v>
      </c>
      <c r="Q27" s="398">
        <f t="shared" si="16"/>
        <v>959.053</v>
      </c>
      <c r="R27" s="398">
        <f>'19'!I40</f>
        <v>55.948</v>
      </c>
      <c r="S27" s="398">
        <f t="shared" si="17"/>
        <v>928.16199999999992</v>
      </c>
      <c r="T27" s="97"/>
      <c r="U27" s="12">
        <f t="shared" si="18"/>
        <v>0</v>
      </c>
      <c r="V27" s="290">
        <f t="shared" si="19"/>
        <v>0</v>
      </c>
      <c r="W27" s="290">
        <f t="shared" si="19"/>
        <v>0</v>
      </c>
      <c r="X27" s="291">
        <f t="shared" si="20"/>
        <v>0</v>
      </c>
      <c r="Y27" s="290">
        <f t="shared" si="21"/>
        <v>0</v>
      </c>
      <c r="Z27" s="400">
        <v>121.5</v>
      </c>
      <c r="AA27" s="399">
        <f t="shared" si="22"/>
        <v>2319.7000000000007</v>
      </c>
      <c r="AB27" s="402">
        <f t="shared" si="1"/>
        <v>2.0398912058023573</v>
      </c>
      <c r="AC27" s="402">
        <f t="shared" si="2"/>
        <v>2.4187401530468082</v>
      </c>
      <c r="AD27" s="397">
        <f t="shared" si="3"/>
        <v>2.1716593980124399</v>
      </c>
      <c r="AE27" s="402">
        <f t="shared" si="4"/>
        <v>2.499240434320734</v>
      </c>
      <c r="AF27" s="401">
        <f>'19'!I46</f>
        <v>44507.821128143238</v>
      </c>
      <c r="AG27" s="399">
        <f t="shared" si="23"/>
        <v>854880.85696263169</v>
      </c>
      <c r="AH27" s="402">
        <f t="shared" si="5"/>
        <v>747.25195809649165</v>
      </c>
      <c r="AI27" s="402">
        <f t="shared" si="6"/>
        <v>891.38020209793592</v>
      </c>
      <c r="AJ27" s="402">
        <f t="shared" si="7"/>
        <v>795.52121841966186</v>
      </c>
      <c r="AK27" s="402">
        <f t="shared" si="8"/>
        <v>921.04703377495719</v>
      </c>
      <c r="AL27" s="397">
        <f>+SUM(Efficiency2!K82:K83)</f>
        <v>58.678538399999994</v>
      </c>
      <c r="AM27" s="398">
        <f t="shared" si="24"/>
        <v>1007.1226257172409</v>
      </c>
      <c r="AN27" s="423">
        <f t="shared" si="25"/>
        <v>0.95346614836609511</v>
      </c>
      <c r="AO27" s="423">
        <f t="shared" si="26"/>
        <v>0.92159780378183076</v>
      </c>
    </row>
    <row r="28" spans="1:41" s="403" customFormat="1" ht="12.75" customHeight="1">
      <c r="A28" s="417">
        <f t="shared" si="9"/>
        <v>46011</v>
      </c>
      <c r="B28" s="426" t="s">
        <v>419</v>
      </c>
      <c r="C28" s="404" t="s">
        <v>672</v>
      </c>
      <c r="D28" s="396">
        <f>+'20'!F42</f>
        <v>1191.5277777777778</v>
      </c>
      <c r="E28" s="396">
        <f>+'20'!G42</f>
        <v>893.64583333333337</v>
      </c>
      <c r="F28" s="47">
        <f t="shared" si="0"/>
        <v>0.25</v>
      </c>
      <c r="G28" s="422">
        <f t="shared" si="10"/>
        <v>0.98133737929913556</v>
      </c>
      <c r="H28" s="418">
        <f t="shared" si="11"/>
        <v>0.98133737929913556</v>
      </c>
      <c r="I28" s="418">
        <f t="shared" si="12"/>
        <v>1.1177069878290611</v>
      </c>
      <c r="J28" s="423">
        <f t="shared" si="13"/>
        <v>1.0968476462605015</v>
      </c>
      <c r="K28" s="423">
        <f t="shared" si="14"/>
        <v>0.93083101835980253</v>
      </c>
      <c r="L28" s="397">
        <f>+SUM(Efficiency1!K86:K87)</f>
        <v>56.012336999999995</v>
      </c>
      <c r="M28" s="398">
        <f t="shared" si="15"/>
        <v>1063.1349627172408</v>
      </c>
      <c r="N28" s="397">
        <f>+SUM(Efficiency1!C86:C87)</f>
        <v>56.012336999999995</v>
      </c>
      <c r="O28" s="398">
        <f t="shared" si="15"/>
        <v>1062.7309831972409</v>
      </c>
      <c r="P28" s="398">
        <f>'20'!I38</f>
        <v>54.966999999999999</v>
      </c>
      <c r="Q28" s="398">
        <f t="shared" si="16"/>
        <v>1014.02</v>
      </c>
      <c r="R28" s="398">
        <f>'20'!I40</f>
        <v>61.436999999999998</v>
      </c>
      <c r="S28" s="398">
        <f t="shared" si="17"/>
        <v>989.59899999999993</v>
      </c>
      <c r="T28" s="97"/>
      <c r="U28" s="12">
        <f t="shared" si="18"/>
        <v>0</v>
      </c>
      <c r="V28" s="290">
        <f t="shared" si="19"/>
        <v>0</v>
      </c>
      <c r="W28" s="290">
        <f t="shared" si="19"/>
        <v>0</v>
      </c>
      <c r="X28" s="291">
        <f t="shared" si="20"/>
        <v>0</v>
      </c>
      <c r="Y28" s="290">
        <f t="shared" si="21"/>
        <v>0</v>
      </c>
      <c r="Z28" s="400">
        <v>119.3</v>
      </c>
      <c r="AA28" s="399">
        <f t="shared" si="22"/>
        <v>2439.0000000000009</v>
      </c>
      <c r="AB28" s="402">
        <f t="shared" si="1"/>
        <v>2.1703931449778957</v>
      </c>
      <c r="AC28" s="402">
        <f t="shared" si="2"/>
        <v>2.405278002406265</v>
      </c>
      <c r="AD28" s="397">
        <f t="shared" si="3"/>
        <v>1.9418265865846314</v>
      </c>
      <c r="AE28" s="402">
        <f t="shared" si="4"/>
        <v>2.4646346651522495</v>
      </c>
      <c r="AF28" s="401">
        <f>'20'!I46</f>
        <v>44667.520929276827</v>
      </c>
      <c r="AG28" s="399">
        <f t="shared" si="23"/>
        <v>899548.37789190852</v>
      </c>
      <c r="AH28" s="402">
        <f t="shared" si="5"/>
        <v>812.62431875992559</v>
      </c>
      <c r="AI28" s="402">
        <f t="shared" si="6"/>
        <v>887.11108054269982</v>
      </c>
      <c r="AJ28" s="402">
        <f t="shared" si="7"/>
        <v>727.04593208126744</v>
      </c>
      <c r="AK28" s="402">
        <f t="shared" si="8"/>
        <v>909.00291723406008</v>
      </c>
      <c r="AL28" s="397">
        <f>+SUM(Efficiency2!K86:K87)</f>
        <v>56.012336999999995</v>
      </c>
      <c r="AM28" s="398">
        <f t="shared" si="24"/>
        <v>1063.1349627172408</v>
      </c>
      <c r="AN28" s="423">
        <f t="shared" si="25"/>
        <v>1.0968476462605015</v>
      </c>
      <c r="AO28" s="423">
        <f t="shared" si="26"/>
        <v>0.93083101835980253</v>
      </c>
    </row>
    <row r="29" spans="1:41" s="403" customFormat="1" ht="12.75" customHeight="1">
      <c r="A29" s="417">
        <f t="shared" si="9"/>
        <v>46012</v>
      </c>
      <c r="B29" s="426" t="s">
        <v>419</v>
      </c>
      <c r="C29" s="404" t="s">
        <v>673</v>
      </c>
      <c r="D29" s="396">
        <f>+'21'!F42</f>
        <v>1270</v>
      </c>
      <c r="E29" s="396">
        <f>+'21'!G42</f>
        <v>952.5</v>
      </c>
      <c r="F29" s="47">
        <f t="shared" si="0"/>
        <v>0.25</v>
      </c>
      <c r="G29" s="422">
        <f t="shared" si="10"/>
        <v>0.94045460501012257</v>
      </c>
      <c r="H29" s="418">
        <f t="shared" si="11"/>
        <v>0.94045460501012257</v>
      </c>
      <c r="I29" s="418">
        <f t="shared" si="12"/>
        <v>0.92983540250547725</v>
      </c>
      <c r="J29" s="423">
        <f t="shared" si="13"/>
        <v>0.87446798618771693</v>
      </c>
      <c r="K29" s="423">
        <f t="shared" si="14"/>
        <v>0.92797319438623194</v>
      </c>
      <c r="L29" s="397">
        <f>+Efficiency1!K90</f>
        <v>56.784239999999997</v>
      </c>
      <c r="M29" s="398">
        <f t="shared" si="15"/>
        <v>1119.9192027172408</v>
      </c>
      <c r="N29" s="397">
        <f>+Efficiency1!C90</f>
        <v>56.784239999999997</v>
      </c>
      <c r="O29" s="398">
        <f t="shared" si="15"/>
        <v>1119.5152231972409</v>
      </c>
      <c r="P29" s="398">
        <f>'21'!I38</f>
        <v>53.402999999999999</v>
      </c>
      <c r="Q29" s="398">
        <f t="shared" si="16"/>
        <v>1067.423</v>
      </c>
      <c r="R29" s="398">
        <f>'21'!I40</f>
        <v>49.655999999999999</v>
      </c>
      <c r="S29" s="398">
        <f t="shared" si="17"/>
        <v>1039.2549999999999</v>
      </c>
      <c r="T29" s="97"/>
      <c r="U29" s="12">
        <f t="shared" si="18"/>
        <v>0</v>
      </c>
      <c r="V29" s="290">
        <f t="shared" si="19"/>
        <v>0</v>
      </c>
      <c r="W29" s="290">
        <f t="shared" si="19"/>
        <v>0</v>
      </c>
      <c r="X29" s="291">
        <f t="shared" si="20"/>
        <v>0</v>
      </c>
      <c r="Y29" s="290">
        <f t="shared" si="21"/>
        <v>0</v>
      </c>
      <c r="Z29" s="400">
        <v>125.5</v>
      </c>
      <c r="AA29" s="399">
        <f t="shared" si="22"/>
        <v>2564.5000000000009</v>
      </c>
      <c r="AB29" s="402">
        <f t="shared" si="1"/>
        <v>2.3500552403423027</v>
      </c>
      <c r="AC29" s="402">
        <f t="shared" si="2"/>
        <v>2.4025152165542627</v>
      </c>
      <c r="AD29" s="397">
        <f t="shared" si="3"/>
        <v>2.5273884324150155</v>
      </c>
      <c r="AE29" s="402">
        <f t="shared" si="4"/>
        <v>2.4676330640699358</v>
      </c>
      <c r="AF29" s="401">
        <f>'21'!I46</f>
        <v>45190.689202246191</v>
      </c>
      <c r="AG29" s="399">
        <f t="shared" si="23"/>
        <v>944739.06709415466</v>
      </c>
      <c r="AH29" s="402">
        <f t="shared" si="5"/>
        <v>846.22004760493212</v>
      </c>
      <c r="AI29" s="402">
        <f t="shared" si="6"/>
        <v>885.06530878026297</v>
      </c>
      <c r="AJ29" s="402">
        <f t="shared" si="7"/>
        <v>910.0751007380012</v>
      </c>
      <c r="AK29" s="402">
        <f t="shared" si="8"/>
        <v>909.05414657052859</v>
      </c>
      <c r="AL29" s="397">
        <f>+Efficiency2!K90</f>
        <v>56.784239999999997</v>
      </c>
      <c r="AM29" s="398">
        <f t="shared" si="24"/>
        <v>1119.9192027172408</v>
      </c>
      <c r="AN29" s="423">
        <f t="shared" si="25"/>
        <v>0.87446798618771693</v>
      </c>
      <c r="AO29" s="423">
        <f t="shared" si="26"/>
        <v>0.92797319438623194</v>
      </c>
    </row>
    <row r="30" spans="1:41" s="403" customFormat="1" ht="12.75" customHeight="1">
      <c r="A30" s="417">
        <f t="shared" si="9"/>
        <v>46013</v>
      </c>
      <c r="B30" s="426" t="s">
        <v>419</v>
      </c>
      <c r="C30" s="404" t="s">
        <v>685</v>
      </c>
      <c r="D30" s="396">
        <f>+'22'!F42</f>
        <v>1281.9444444444443</v>
      </c>
      <c r="E30" s="396">
        <f>+'22'!G42</f>
        <v>961.45833333333337</v>
      </c>
      <c r="F30" s="47">
        <f t="shared" si="0"/>
        <v>0.24999999999999989</v>
      </c>
      <c r="G30" s="422">
        <f t="shared" si="10"/>
        <v>0.96802836474451703</v>
      </c>
      <c r="H30" s="418">
        <f t="shared" si="11"/>
        <v>0.96802836474451703</v>
      </c>
      <c r="I30" s="418">
        <f t="shared" si="12"/>
        <v>1.0163019613583137</v>
      </c>
      <c r="J30" s="423">
        <f t="shared" si="13"/>
        <v>0.98380912574033363</v>
      </c>
      <c r="K30" s="423">
        <f t="shared" si="14"/>
        <v>0.93065307694206434</v>
      </c>
      <c r="L30" s="397">
        <f>+SUM(Efficiency1!K94:K95)</f>
        <v>56.46115546875</v>
      </c>
      <c r="M30" s="398">
        <f t="shared" si="15"/>
        <v>1176.3803581859906</v>
      </c>
      <c r="N30" s="397">
        <f>+SUM(Efficiency1!C94:C95)</f>
        <v>56.46115546875</v>
      </c>
      <c r="O30" s="398">
        <f t="shared" si="15"/>
        <v>1175.9763786659908</v>
      </c>
      <c r="P30" s="398">
        <f>'22'!I38</f>
        <v>54.656000000000006</v>
      </c>
      <c r="Q30" s="398">
        <f t="shared" si="16"/>
        <v>1122.079</v>
      </c>
      <c r="R30" s="398">
        <f>'22'!I40</f>
        <v>55.546999999999997</v>
      </c>
      <c r="S30" s="398">
        <f t="shared" si="17"/>
        <v>1094.8019999999999</v>
      </c>
      <c r="T30" s="97"/>
      <c r="U30" s="12">
        <f t="shared" si="18"/>
        <v>0</v>
      </c>
      <c r="V30" s="290">
        <f t="shared" si="19"/>
        <v>0</v>
      </c>
      <c r="W30" s="290">
        <f t="shared" si="19"/>
        <v>0</v>
      </c>
      <c r="X30" s="291">
        <f t="shared" si="20"/>
        <v>0</v>
      </c>
      <c r="Y30" s="290">
        <f t="shared" si="21"/>
        <v>0</v>
      </c>
      <c r="Z30" s="400">
        <v>124.1</v>
      </c>
      <c r="AA30" s="399">
        <f t="shared" si="22"/>
        <v>2688.6000000000008</v>
      </c>
      <c r="AB30" s="402">
        <f t="shared" si="1"/>
        <v>2.2705649882903978</v>
      </c>
      <c r="AC30" s="402">
        <f t="shared" si="2"/>
        <v>2.3960879759803015</v>
      </c>
      <c r="AD30" s="397">
        <f t="shared" si="3"/>
        <v>2.2341440581849605</v>
      </c>
      <c r="AE30" s="402">
        <f t="shared" si="4"/>
        <v>2.4557865257827451</v>
      </c>
      <c r="AF30" s="401">
        <f>'22'!I46</f>
        <v>45153.744173637489</v>
      </c>
      <c r="AG30" s="399">
        <f t="shared" si="23"/>
        <v>989892.81126779213</v>
      </c>
      <c r="AH30" s="402">
        <f t="shared" si="5"/>
        <v>826.14432402000671</v>
      </c>
      <c r="AI30" s="402">
        <f t="shared" si="6"/>
        <v>882.19529219225399</v>
      </c>
      <c r="AJ30" s="402">
        <f t="shared" si="7"/>
        <v>812.89258058288465</v>
      </c>
      <c r="AK30" s="402">
        <f t="shared" si="8"/>
        <v>904.17519448063865</v>
      </c>
      <c r="AL30" s="397">
        <f>+SUM(Efficiency2!K94:K95)</f>
        <v>56.46115546875</v>
      </c>
      <c r="AM30" s="398">
        <f t="shared" si="24"/>
        <v>1176.3803581859906</v>
      </c>
      <c r="AN30" s="423">
        <f t="shared" si="25"/>
        <v>0.98380912574033363</v>
      </c>
      <c r="AO30" s="423">
        <f t="shared" si="26"/>
        <v>0.93065307694206434</v>
      </c>
    </row>
    <row r="31" spans="1:41" s="403" customFormat="1" ht="12.75" customHeight="1">
      <c r="A31" s="417">
        <f t="shared" si="9"/>
        <v>46014</v>
      </c>
      <c r="B31" s="426" t="s">
        <v>419</v>
      </c>
      <c r="C31" s="404" t="s">
        <v>699</v>
      </c>
      <c r="D31" s="396">
        <f>+'23'!F42</f>
        <v>1297.5</v>
      </c>
      <c r="E31" s="396">
        <f>+'23'!G42</f>
        <v>973.125</v>
      </c>
      <c r="F31" s="47">
        <f t="shared" si="0"/>
        <v>0.25</v>
      </c>
      <c r="G31" s="422">
        <f t="shared" si="10"/>
        <v>0.96914080493367116</v>
      </c>
      <c r="H31" s="418">
        <f t="shared" si="11"/>
        <v>0.96914080493367116</v>
      </c>
      <c r="I31" s="418">
        <f t="shared" si="12"/>
        <v>0.94927590465142386</v>
      </c>
      <c r="J31" s="423">
        <f t="shared" si="13"/>
        <v>0.91998201433801985</v>
      </c>
      <c r="K31" s="423">
        <f t="shared" si="14"/>
        <v>0.93017522688382825</v>
      </c>
      <c r="L31" s="397">
        <f>+SUM(Efficiency1!K98:K99)</f>
        <v>55.147817250000003</v>
      </c>
      <c r="M31" s="398">
        <f t="shared" si="15"/>
        <v>1231.5281754359908</v>
      </c>
      <c r="N31" s="397">
        <f>+SUM(Efficiency1!C98:C99)</f>
        <v>55.147817250000003</v>
      </c>
      <c r="O31" s="398">
        <f t="shared" si="15"/>
        <v>1231.1241959159906</v>
      </c>
      <c r="P31" s="398">
        <f>'23'!I38</f>
        <v>53.445999999999998</v>
      </c>
      <c r="Q31" s="398">
        <f t="shared" si="16"/>
        <v>1175.5249999999999</v>
      </c>
      <c r="R31" s="398">
        <f>'23'!I40</f>
        <v>50.734999999999999</v>
      </c>
      <c r="S31" s="398">
        <f t="shared" si="17"/>
        <v>1145.5369999999998</v>
      </c>
      <c r="T31" s="97"/>
      <c r="U31" s="12">
        <f t="shared" si="18"/>
        <v>0</v>
      </c>
      <c r="V31" s="290">
        <f t="shared" si="19"/>
        <v>0</v>
      </c>
      <c r="W31" s="290">
        <f t="shared" si="19"/>
        <v>0</v>
      </c>
      <c r="X31" s="291">
        <f t="shared" si="20"/>
        <v>0</v>
      </c>
      <c r="Y31" s="290">
        <f t="shared" si="21"/>
        <v>0</v>
      </c>
      <c r="Z31" s="400">
        <v>120.1</v>
      </c>
      <c r="AA31" s="399">
        <f t="shared" si="22"/>
        <v>2808.7000000000007</v>
      </c>
      <c r="AB31" s="402">
        <f t="shared" si="1"/>
        <v>2.2471279422220558</v>
      </c>
      <c r="AC31" s="402">
        <f t="shared" si="2"/>
        <v>2.389315412262607</v>
      </c>
      <c r="AD31" s="397">
        <f t="shared" si="3"/>
        <v>2.3672021287079925</v>
      </c>
      <c r="AE31" s="402">
        <f t="shared" si="4"/>
        <v>2.4518631873086605</v>
      </c>
      <c r="AF31" s="401">
        <f>'23'!I46</f>
        <v>47900.264067301687</v>
      </c>
      <c r="AG31" s="399">
        <f t="shared" si="23"/>
        <v>1037793.0753350938</v>
      </c>
      <c r="AH31" s="402">
        <f t="shared" si="5"/>
        <v>896.23665133595944</v>
      </c>
      <c r="AI31" s="402">
        <f t="shared" si="6"/>
        <v>882.83369161446501</v>
      </c>
      <c r="AJ31" s="402">
        <f t="shared" si="7"/>
        <v>944.1266200315697</v>
      </c>
      <c r="AK31" s="402">
        <f t="shared" si="8"/>
        <v>905.944614041357</v>
      </c>
      <c r="AL31" s="397">
        <f>+SUM(Efficiency2!K98:K99)</f>
        <v>55.147817250000003</v>
      </c>
      <c r="AM31" s="398">
        <f t="shared" si="24"/>
        <v>1231.5281754359908</v>
      </c>
      <c r="AN31" s="423">
        <f t="shared" si="25"/>
        <v>0.91998201433801985</v>
      </c>
      <c r="AO31" s="423">
        <f t="shared" si="26"/>
        <v>0.93017522688382825</v>
      </c>
    </row>
    <row r="32" spans="1:41" s="403" customFormat="1" ht="12.75" customHeight="1">
      <c r="A32" s="417">
        <f t="shared" si="9"/>
        <v>46015</v>
      </c>
      <c r="B32" s="426" t="s">
        <v>515</v>
      </c>
      <c r="C32" s="404" t="s">
        <v>719</v>
      </c>
      <c r="D32" s="396">
        <f>+'24'!F42</f>
        <v>1311.1111111111111</v>
      </c>
      <c r="E32" s="396">
        <f>+'24'!G42</f>
        <v>992.33333333333337</v>
      </c>
      <c r="F32" s="47">
        <f t="shared" si="0"/>
        <v>0.24313559322033895</v>
      </c>
      <c r="G32" s="422">
        <f t="shared" si="10"/>
        <v>0.96571175599828041</v>
      </c>
      <c r="H32" s="418">
        <f t="shared" si="11"/>
        <v>0.962165009957344</v>
      </c>
      <c r="I32" s="418">
        <f t="shared" si="12"/>
        <v>1.0331959253240319</v>
      </c>
      <c r="J32" s="423">
        <f t="shared" si="13"/>
        <v>0.99410496777728441</v>
      </c>
      <c r="K32" s="423">
        <f t="shared" si="14"/>
        <v>0.932786356503988</v>
      </c>
      <c r="L32" s="397">
        <f>+SUM(Efficiency1!K102:K105)</f>
        <v>52.442148153191489</v>
      </c>
      <c r="M32" s="398">
        <f t="shared" si="15"/>
        <v>1283.9703235891823</v>
      </c>
      <c r="N32" s="397">
        <f>+SUM(Efficiency1!C102:C105)</f>
        <v>52.249545153191491</v>
      </c>
      <c r="O32" s="398">
        <f t="shared" si="15"/>
        <v>1283.3737410691822</v>
      </c>
      <c r="P32" s="398">
        <f>'24'!I38</f>
        <v>50.457999999999998</v>
      </c>
      <c r="Q32" s="398">
        <f t="shared" si="16"/>
        <v>1225.9829999999999</v>
      </c>
      <c r="R32" s="398">
        <f>'24'!I40</f>
        <v>52.133000000000003</v>
      </c>
      <c r="S32" s="398">
        <f t="shared" si="17"/>
        <v>1197.6699999999998</v>
      </c>
      <c r="T32" s="97"/>
      <c r="U32" s="12">
        <f t="shared" si="18"/>
        <v>0</v>
      </c>
      <c r="V32" s="290">
        <f t="shared" si="19"/>
        <v>0</v>
      </c>
      <c r="W32" s="290">
        <f t="shared" si="19"/>
        <v>0</v>
      </c>
      <c r="X32" s="291">
        <f t="shared" si="20"/>
        <v>0</v>
      </c>
      <c r="Y32" s="290">
        <f t="shared" si="21"/>
        <v>0</v>
      </c>
      <c r="Z32" s="400">
        <v>120.5</v>
      </c>
      <c r="AA32" s="399">
        <f t="shared" si="22"/>
        <v>2929.2000000000007</v>
      </c>
      <c r="AB32" s="402">
        <f t="shared" si="1"/>
        <v>2.3881247770422926</v>
      </c>
      <c r="AC32" s="402">
        <f t="shared" si="2"/>
        <v>2.3892664090774511</v>
      </c>
      <c r="AD32" s="397">
        <f t="shared" si="3"/>
        <v>2.3113958529146603</v>
      </c>
      <c r="AE32" s="402">
        <f t="shared" si="4"/>
        <v>2.4457488289762632</v>
      </c>
      <c r="AF32" s="401">
        <f>+'24'!I46</f>
        <v>48553.368763632883</v>
      </c>
      <c r="AG32" s="399">
        <f t="shared" si="23"/>
        <v>1086346.4440987266</v>
      </c>
      <c r="AH32" s="402">
        <f t="shared" si="5"/>
        <v>962.2531365419336</v>
      </c>
      <c r="AI32" s="402">
        <f t="shared" si="6"/>
        <v>886.10237180998979</v>
      </c>
      <c r="AJ32" s="402">
        <f t="shared" si="7"/>
        <v>931.33655772030932</v>
      </c>
      <c r="AK32" s="402">
        <f t="shared" si="8"/>
        <v>907.04989195581982</v>
      </c>
      <c r="AL32" s="397">
        <f>+SUM(Efficiency2!K102:K105)</f>
        <v>52.442148153191489</v>
      </c>
      <c r="AM32" s="398">
        <f t="shared" si="24"/>
        <v>1283.9703235891823</v>
      </c>
      <c r="AN32" s="423">
        <f t="shared" si="25"/>
        <v>0.99410496777728441</v>
      </c>
      <c r="AO32" s="423">
        <f t="shared" si="26"/>
        <v>0.932786356503988</v>
      </c>
    </row>
    <row r="33" spans="1:41" s="403" customFormat="1" ht="12.75" customHeight="1">
      <c r="A33" s="417">
        <f t="shared" si="9"/>
        <v>46016</v>
      </c>
      <c r="B33" s="426" t="s">
        <v>417</v>
      </c>
      <c r="C33" s="404" t="s">
        <v>720</v>
      </c>
      <c r="D33" s="396">
        <f>+'25'!F42</f>
        <v>1400</v>
      </c>
      <c r="E33" s="396">
        <f>+'25'!G42</f>
        <v>1064</v>
      </c>
      <c r="F33" s="47">
        <f t="shared" si="0"/>
        <v>0.24</v>
      </c>
      <c r="G33" s="422">
        <f t="shared" si="10"/>
        <v>0.9732010252280533</v>
      </c>
      <c r="H33" s="418">
        <f t="shared" si="11"/>
        <v>0.9732010252280533</v>
      </c>
      <c r="I33" s="418">
        <f t="shared" si="12"/>
        <v>0.92763392680122114</v>
      </c>
      <c r="J33" s="423">
        <f t="shared" si="13"/>
        <v>0.90277428859927344</v>
      </c>
      <c r="K33" s="423">
        <f t="shared" si="14"/>
        <v>0.93162193375672953</v>
      </c>
      <c r="L33" s="397">
        <f>+SUM(Efficiency1!K107:K108)</f>
        <v>51.826908000000003</v>
      </c>
      <c r="M33" s="398">
        <f t="shared" si="15"/>
        <v>1335.7972315891823</v>
      </c>
      <c r="N33" s="397">
        <f>+SUM(Efficiency1!C107:C108)</f>
        <v>51.826908000000003</v>
      </c>
      <c r="O33" s="398">
        <f t="shared" si="15"/>
        <v>1335.2006490691822</v>
      </c>
      <c r="P33" s="398">
        <f>'25'!I38</f>
        <v>50.438000000000002</v>
      </c>
      <c r="Q33" s="398">
        <f t="shared" si="16"/>
        <v>1276.421</v>
      </c>
      <c r="R33" s="398">
        <f>'25'!I40</f>
        <v>46.787999999999997</v>
      </c>
      <c r="S33" s="398">
        <f t="shared" si="17"/>
        <v>1244.4579999999999</v>
      </c>
      <c r="T33" s="97"/>
      <c r="U33" s="12">
        <f t="shared" si="18"/>
        <v>0</v>
      </c>
      <c r="V33" s="290">
        <f t="shared" si="19"/>
        <v>0</v>
      </c>
      <c r="W33" s="290">
        <f t="shared" si="19"/>
        <v>0</v>
      </c>
      <c r="X33" s="291">
        <f t="shared" si="20"/>
        <v>0</v>
      </c>
      <c r="Y33" s="290">
        <f t="shared" si="21"/>
        <v>0</v>
      </c>
      <c r="Z33" s="400">
        <v>123.8</v>
      </c>
      <c r="AA33" s="399">
        <f t="shared" si="22"/>
        <v>3053.0000000000009</v>
      </c>
      <c r="AB33" s="402">
        <f t="shared" si="1"/>
        <v>2.4544985923311788</v>
      </c>
      <c r="AC33" s="402">
        <f t="shared" si="2"/>
        <v>2.3918440702558175</v>
      </c>
      <c r="AD33" s="397">
        <f t="shared" si="3"/>
        <v>2.6459776010942977</v>
      </c>
      <c r="AE33" s="402">
        <f t="shared" si="4"/>
        <v>2.4532768482343328</v>
      </c>
      <c r="AF33" s="401">
        <f>+'25'!I46</f>
        <v>51416.830006304546</v>
      </c>
      <c r="AG33" s="399">
        <f t="shared" si="23"/>
        <v>1137763.274105031</v>
      </c>
      <c r="AH33" s="402">
        <f t="shared" si="5"/>
        <v>1019.406598324766</v>
      </c>
      <c r="AI33" s="402">
        <f t="shared" si="6"/>
        <v>891.36991173369222</v>
      </c>
      <c r="AJ33" s="402">
        <f t="shared" si="7"/>
        <v>1098.9319912435785</v>
      </c>
      <c r="AK33" s="402">
        <f t="shared" si="8"/>
        <v>914.26410060044714</v>
      </c>
      <c r="AL33" s="397">
        <f>+SUM(Efficiency2!K107:K108)</f>
        <v>51.826908000000003</v>
      </c>
      <c r="AM33" s="398">
        <f t="shared" si="24"/>
        <v>1335.7972315891823</v>
      </c>
      <c r="AN33" s="423">
        <f t="shared" si="25"/>
        <v>0.90277428859927344</v>
      </c>
      <c r="AO33" s="423">
        <f t="shared" si="26"/>
        <v>0.93162193375672953</v>
      </c>
    </row>
    <row r="34" spans="1:41" s="403" customFormat="1" ht="12.75" customHeight="1">
      <c r="A34" s="417">
        <f t="shared" si="9"/>
        <v>46017</v>
      </c>
      <c r="B34" s="426" t="s">
        <v>417</v>
      </c>
      <c r="C34" s="404" t="s">
        <v>733</v>
      </c>
      <c r="D34" s="396">
        <f>+'26'!F42</f>
        <v>1400</v>
      </c>
      <c r="E34" s="396">
        <f>+'26'!G42</f>
        <v>1064</v>
      </c>
      <c r="F34" s="47">
        <f t="shared" si="0"/>
        <v>0.24</v>
      </c>
      <c r="G34" s="422">
        <f t="shared" si="10"/>
        <v>0.90591060985797822</v>
      </c>
      <c r="H34" s="418">
        <f t="shared" si="11"/>
        <v>0.90591060985797822</v>
      </c>
      <c r="I34" s="418">
        <f t="shared" si="12"/>
        <v>0.97573075339645954</v>
      </c>
      <c r="J34" s="423">
        <f t="shared" si="13"/>
        <v>0.88392484186657128</v>
      </c>
      <c r="K34" s="423">
        <f t="shared" si="14"/>
        <v>0.92978103614607244</v>
      </c>
      <c r="L34" s="397">
        <f>+Efficiency1!K111</f>
        <v>53.625599999999999</v>
      </c>
      <c r="M34" s="398">
        <f t="shared" si="15"/>
        <v>1389.4228315891824</v>
      </c>
      <c r="N34" s="397">
        <f>+Efficiency1!C111</f>
        <v>53.625599999999999</v>
      </c>
      <c r="O34" s="398">
        <f t="shared" si="15"/>
        <v>1388.8262490691823</v>
      </c>
      <c r="P34" s="398">
        <f>'26'!I38</f>
        <v>48.58</v>
      </c>
      <c r="Q34" s="398">
        <f t="shared" si="16"/>
        <v>1325.001</v>
      </c>
      <c r="R34" s="398">
        <f>'26'!I40</f>
        <v>47.401000000000003</v>
      </c>
      <c r="S34" s="398">
        <f t="shared" si="17"/>
        <v>1291.8589999999999</v>
      </c>
      <c r="T34" s="97"/>
      <c r="U34" s="12">
        <f t="shared" si="18"/>
        <v>0</v>
      </c>
      <c r="V34" s="290">
        <f t="shared" si="19"/>
        <v>0</v>
      </c>
      <c r="W34" s="290">
        <f t="shared" si="19"/>
        <v>0</v>
      </c>
      <c r="X34" s="291">
        <f t="shared" si="20"/>
        <v>0</v>
      </c>
      <c r="Y34" s="290">
        <f t="shared" si="21"/>
        <v>0</v>
      </c>
      <c r="Z34" s="400">
        <v>118.7</v>
      </c>
      <c r="AA34" s="399">
        <f t="shared" si="22"/>
        <v>3171.7000000000007</v>
      </c>
      <c r="AB34" s="402">
        <f t="shared" si="1"/>
        <v>2.4433923425277895</v>
      </c>
      <c r="AC34" s="402">
        <f t="shared" si="2"/>
        <v>2.3937340424648741</v>
      </c>
      <c r="AD34" s="397">
        <f t="shared" si="3"/>
        <v>2.5041665787641612</v>
      </c>
      <c r="AE34" s="402">
        <f t="shared" si="4"/>
        <v>2.4551440985432627</v>
      </c>
      <c r="AF34" s="401">
        <f>'26'!I46</f>
        <v>49826.739705517844</v>
      </c>
      <c r="AG34" s="399">
        <f t="shared" si="23"/>
        <v>1187590.0138105489</v>
      </c>
      <c r="AH34" s="402">
        <f t="shared" si="5"/>
        <v>1025.6636415298033</v>
      </c>
      <c r="AI34" s="402">
        <f t="shared" si="6"/>
        <v>896.29367359764183</v>
      </c>
      <c r="AJ34" s="402">
        <f t="shared" si="7"/>
        <v>1051.1748635159142</v>
      </c>
      <c r="AK34" s="402">
        <f t="shared" si="8"/>
        <v>919.2876419257434</v>
      </c>
      <c r="AL34" s="397">
        <f>+Efficiency2!K111</f>
        <v>53.625599999999999</v>
      </c>
      <c r="AM34" s="398">
        <f t="shared" si="24"/>
        <v>1389.4228315891824</v>
      </c>
      <c r="AN34" s="423">
        <f t="shared" si="25"/>
        <v>0.88392484186657128</v>
      </c>
      <c r="AO34" s="423">
        <f t="shared" si="26"/>
        <v>0.92978103614607244</v>
      </c>
    </row>
    <row r="35" spans="1:41" s="403" customFormat="1" ht="12.75" customHeight="1">
      <c r="A35" s="417">
        <f t="shared" si="9"/>
        <v>46018</v>
      </c>
      <c r="B35" s="426" t="s">
        <v>417</v>
      </c>
      <c r="C35" s="404" t="s">
        <v>746</v>
      </c>
      <c r="D35" s="396">
        <f>+'27'!F42</f>
        <v>1400</v>
      </c>
      <c r="E35" s="396">
        <f>+'27'!G42</f>
        <v>1064</v>
      </c>
      <c r="F35" s="47">
        <f t="shared" si="0"/>
        <v>0.24</v>
      </c>
      <c r="G35" s="422">
        <f t="shared" si="10"/>
        <v>0.91146949352522699</v>
      </c>
      <c r="H35" s="418">
        <f t="shared" si="11"/>
        <v>0.91146949352522699</v>
      </c>
      <c r="I35" s="418">
        <f t="shared" si="12"/>
        <v>1.0428910841565586</v>
      </c>
      <c r="J35" s="423">
        <f t="shared" si="13"/>
        <v>0.95056340827815344</v>
      </c>
      <c r="K35" s="423">
        <f t="shared" si="14"/>
        <v>0.93053969477279619</v>
      </c>
      <c r="L35" s="397">
        <f>+SUM(Efficiency1!K115:K116)</f>
        <v>52.642464000000004</v>
      </c>
      <c r="M35" s="398">
        <f t="shared" si="15"/>
        <v>1442.0652955891824</v>
      </c>
      <c r="N35" s="397">
        <f>+SUM(Efficiency1!C115:C116)</f>
        <v>52.642464000000004</v>
      </c>
      <c r="O35" s="398">
        <f t="shared" si="15"/>
        <v>1441.4687130691823</v>
      </c>
      <c r="P35" s="398">
        <f>'27'!I38</f>
        <v>47.981999999999999</v>
      </c>
      <c r="Q35" s="398">
        <f t="shared" si="16"/>
        <v>1372.9829999999999</v>
      </c>
      <c r="R35" s="398">
        <f>'27'!I40</f>
        <v>50.04</v>
      </c>
      <c r="S35" s="398">
        <f t="shared" si="17"/>
        <v>1341.8989999999999</v>
      </c>
      <c r="T35" s="97"/>
      <c r="U35" s="12">
        <f t="shared" si="18"/>
        <v>0</v>
      </c>
      <c r="V35" s="290">
        <f t="shared" si="19"/>
        <v>0</v>
      </c>
      <c r="W35" s="290">
        <f t="shared" si="19"/>
        <v>0</v>
      </c>
      <c r="X35" s="291">
        <f t="shared" si="20"/>
        <v>0</v>
      </c>
      <c r="Y35" s="290">
        <f t="shared" si="21"/>
        <v>0</v>
      </c>
      <c r="Z35" s="400">
        <v>117.3</v>
      </c>
      <c r="AA35" s="399">
        <f t="shared" si="22"/>
        <v>3289.0000000000009</v>
      </c>
      <c r="AB35" s="402">
        <f t="shared" si="1"/>
        <v>2.4446667500312618</v>
      </c>
      <c r="AC35" s="402">
        <f t="shared" si="2"/>
        <v>2.3955140012658576</v>
      </c>
      <c r="AD35" s="397">
        <f t="shared" si="3"/>
        <v>2.3441247002398082</v>
      </c>
      <c r="AE35" s="402">
        <f t="shared" si="4"/>
        <v>2.4510041366749666</v>
      </c>
      <c r="AF35" s="401">
        <f>'27'!I46</f>
        <v>49423.229498719993</v>
      </c>
      <c r="AG35" s="399">
        <f t="shared" si="23"/>
        <v>1237013.243309269</v>
      </c>
      <c r="AH35" s="402">
        <f t="shared" si="5"/>
        <v>1030.0368783860613</v>
      </c>
      <c r="AI35" s="402">
        <f t="shared" si="6"/>
        <v>900.96763274510238</v>
      </c>
      <c r="AJ35" s="402">
        <f t="shared" si="7"/>
        <v>987.6744504140687</v>
      </c>
      <c r="AK35" s="402">
        <f t="shared" si="8"/>
        <v>921.83781589319983</v>
      </c>
      <c r="AL35" s="397">
        <f>+SUM(Efficiency2!K115:K116)</f>
        <v>52.642464000000004</v>
      </c>
      <c r="AM35" s="398">
        <f t="shared" si="24"/>
        <v>1442.0652955891824</v>
      </c>
      <c r="AN35" s="423">
        <f t="shared" si="25"/>
        <v>0.95056340827815344</v>
      </c>
      <c r="AO35" s="423">
        <f t="shared" si="26"/>
        <v>0.93053969477279619</v>
      </c>
    </row>
    <row r="36" spans="1:41" s="403" customFormat="1" ht="12.75" customHeight="1">
      <c r="A36" s="417">
        <f t="shared" si="9"/>
        <v>46019</v>
      </c>
      <c r="B36" s="426" t="s">
        <v>417</v>
      </c>
      <c r="C36" s="404" t="s">
        <v>518</v>
      </c>
      <c r="D36" s="396">
        <f>+'28'!F42</f>
        <v>1400</v>
      </c>
      <c r="E36" s="396">
        <f>+'28'!G42</f>
        <v>1064</v>
      </c>
      <c r="F36" s="47">
        <f t="shared" si="0"/>
        <v>0.24</v>
      </c>
      <c r="G36" s="422">
        <f t="shared" si="10"/>
        <v>0.95527644869750106</v>
      </c>
      <c r="H36" s="418">
        <f t="shared" si="11"/>
        <v>0.95527644869750106</v>
      </c>
      <c r="I36" s="418">
        <f t="shared" si="12"/>
        <v>0.9771156187449701</v>
      </c>
      <c r="J36" s="423">
        <f t="shared" si="13"/>
        <v>0.93341553824155654</v>
      </c>
      <c r="K36" s="423">
        <f t="shared" si="14"/>
        <v>0.93063742487207612</v>
      </c>
      <c r="L36" s="397">
        <f>+Efficiency1!K119</f>
        <v>50.729817600000011</v>
      </c>
      <c r="M36" s="398">
        <f t="shared" si="15"/>
        <v>1492.7951131891823</v>
      </c>
      <c r="N36" s="397">
        <f>+Efficiency1!C119</f>
        <v>50.729817600000011</v>
      </c>
      <c r="O36" s="398">
        <f t="shared" si="15"/>
        <v>1492.1985306691822</v>
      </c>
      <c r="P36" s="398">
        <f>'28'!I38</f>
        <v>48.460999999999999</v>
      </c>
      <c r="Q36" s="398">
        <f t="shared" si="16"/>
        <v>1421.444</v>
      </c>
      <c r="R36" s="398">
        <f>'28'!I40</f>
        <v>47.351999999999997</v>
      </c>
      <c r="S36" s="398">
        <f t="shared" si="17"/>
        <v>1389.251</v>
      </c>
      <c r="T36" s="97"/>
      <c r="U36" s="12">
        <f t="shared" si="18"/>
        <v>0</v>
      </c>
      <c r="V36" s="290">
        <f t="shared" si="19"/>
        <v>0</v>
      </c>
      <c r="W36" s="290">
        <f t="shared" si="19"/>
        <v>0</v>
      </c>
      <c r="X36" s="291">
        <f t="shared" si="20"/>
        <v>0</v>
      </c>
      <c r="Y36" s="290">
        <f t="shared" si="21"/>
        <v>0</v>
      </c>
      <c r="Z36" s="400">
        <v>118.2</v>
      </c>
      <c r="AA36" s="399">
        <f t="shared" si="22"/>
        <v>3407.2000000000007</v>
      </c>
      <c r="AB36" s="402">
        <f t="shared" si="1"/>
        <v>2.4390747198778402</v>
      </c>
      <c r="AC36" s="402">
        <f t="shared" si="2"/>
        <v>2.3969991079493815</v>
      </c>
      <c r="AD36" s="397">
        <f t="shared" si="3"/>
        <v>2.4961986822098328</v>
      </c>
      <c r="AE36" s="402">
        <f t="shared" si="4"/>
        <v>2.4525445725790376</v>
      </c>
      <c r="AF36" s="401">
        <f>'28'!I46</f>
        <v>53616.46209722833</v>
      </c>
      <c r="AG36" s="399">
        <f t="shared" si="23"/>
        <v>1290629.7054064972</v>
      </c>
      <c r="AH36" s="402">
        <f t="shared" si="5"/>
        <v>1106.3837332541286</v>
      </c>
      <c r="AI36" s="402">
        <f t="shared" si="6"/>
        <v>907.97084190900046</v>
      </c>
      <c r="AJ36" s="402">
        <f t="shared" si="7"/>
        <v>1132.2956178667921</v>
      </c>
      <c r="AK36" s="402">
        <f t="shared" si="8"/>
        <v>929.01117609884557</v>
      </c>
      <c r="AL36" s="397">
        <f>+Efficiency2!K119</f>
        <v>50.729817600000011</v>
      </c>
      <c r="AM36" s="398">
        <f t="shared" si="24"/>
        <v>1492.7951131891823</v>
      </c>
      <c r="AN36" s="423">
        <f t="shared" si="25"/>
        <v>0.93341553824155654</v>
      </c>
      <c r="AO36" s="423">
        <f t="shared" si="26"/>
        <v>0.93063742487207612</v>
      </c>
    </row>
    <row r="37" spans="1:41" s="403" customFormat="1" ht="12.75" customHeight="1">
      <c r="A37" s="417">
        <f t="shared" si="9"/>
        <v>46020</v>
      </c>
      <c r="B37" s="426" t="s">
        <v>417</v>
      </c>
      <c r="C37" s="404" t="s">
        <v>518</v>
      </c>
      <c r="D37" s="396">
        <f>+'29'!F42</f>
        <v>1400</v>
      </c>
      <c r="E37" s="396">
        <f>+'29'!G42</f>
        <v>1064</v>
      </c>
      <c r="F37" s="47">
        <f t="shared" si="0"/>
        <v>0.24</v>
      </c>
      <c r="G37" s="422">
        <f t="shared" si="10"/>
        <v>0.96596473692585694</v>
      </c>
      <c r="H37" s="418">
        <f t="shared" si="11"/>
        <v>0.96596473692585694</v>
      </c>
      <c r="I37" s="418">
        <f t="shared" si="12"/>
        <v>0.95683925320689212</v>
      </c>
      <c r="J37" s="423">
        <f t="shared" si="13"/>
        <v>0.92427297750432902</v>
      </c>
      <c r="K37" s="423">
        <f t="shared" si="14"/>
        <v>0.9304355290360723</v>
      </c>
      <c r="L37" s="397">
        <f>+Efficiency1!K123</f>
        <v>48.906547199999999</v>
      </c>
      <c r="M37" s="398">
        <f t="shared" si="15"/>
        <v>1541.7016603891823</v>
      </c>
      <c r="N37" s="397">
        <f>+Efficiency1!C123</f>
        <v>48.906547199999999</v>
      </c>
      <c r="O37" s="398">
        <f t="shared" si="15"/>
        <v>1541.1050778691822</v>
      </c>
      <c r="P37" s="398">
        <f>'29'!I38</f>
        <v>47.242000000000004</v>
      </c>
      <c r="Q37" s="398">
        <f t="shared" si="16"/>
        <v>1468.6859999999999</v>
      </c>
      <c r="R37" s="398">
        <f>'29'!I40</f>
        <v>45.203000000000003</v>
      </c>
      <c r="S37" s="398">
        <f t="shared" si="17"/>
        <v>1434.454</v>
      </c>
      <c r="T37" s="97"/>
      <c r="U37" s="12">
        <f t="shared" si="18"/>
        <v>0</v>
      </c>
      <c r="V37" s="290">
        <f t="shared" si="19"/>
        <v>0</v>
      </c>
      <c r="W37" s="290">
        <f t="shared" si="19"/>
        <v>0</v>
      </c>
      <c r="X37" s="291">
        <f t="shared" si="20"/>
        <v>0</v>
      </c>
      <c r="Y37" s="290">
        <f t="shared" si="21"/>
        <v>0</v>
      </c>
      <c r="Z37" s="400">
        <v>116</v>
      </c>
      <c r="AA37" s="399">
        <f t="shared" si="22"/>
        <v>3523.2000000000007</v>
      </c>
      <c r="AB37" s="402">
        <f t="shared" si="1"/>
        <v>2.4554421912704796</v>
      </c>
      <c r="AC37" s="402">
        <f t="shared" si="2"/>
        <v>2.3988789979614435</v>
      </c>
      <c r="AD37" s="397">
        <f t="shared" si="3"/>
        <v>2.5662013583169259</v>
      </c>
      <c r="AE37" s="402">
        <f t="shared" si="4"/>
        <v>2.4561261636831859</v>
      </c>
      <c r="AF37" s="401">
        <f>'29'!I46</f>
        <v>45280.979561126762</v>
      </c>
      <c r="AG37" s="399">
        <f t="shared" si="23"/>
        <v>1335910.684967624</v>
      </c>
      <c r="AH37" s="402">
        <f t="shared" si="5"/>
        <v>958.48989376247312</v>
      </c>
      <c r="AI37" s="402">
        <f t="shared" si="6"/>
        <v>909.59584619695704</v>
      </c>
      <c r="AJ37" s="402">
        <f t="shared" si="7"/>
        <v>1001.7250970317626</v>
      </c>
      <c r="AK37" s="402">
        <f t="shared" si="8"/>
        <v>931.30256178840455</v>
      </c>
      <c r="AL37" s="397">
        <f>+Efficiency2!K123</f>
        <v>48.906547199999999</v>
      </c>
      <c r="AM37" s="398">
        <f t="shared" si="24"/>
        <v>1541.7016603891823</v>
      </c>
      <c r="AN37" s="423">
        <f t="shared" si="25"/>
        <v>0.92427297750432902</v>
      </c>
      <c r="AO37" s="423">
        <f t="shared" si="26"/>
        <v>0.9304355290360723</v>
      </c>
    </row>
    <row r="38" spans="1:41" s="403" customFormat="1" ht="12.75" customHeight="1">
      <c r="A38" s="417">
        <f t="shared" si="9"/>
        <v>46021</v>
      </c>
      <c r="B38" s="426" t="s">
        <v>421</v>
      </c>
      <c r="C38" s="404" t="s">
        <v>765</v>
      </c>
      <c r="D38" s="396">
        <f>+'30'!F42</f>
        <v>1327.9236111111111</v>
      </c>
      <c r="E38" s="396">
        <f>+'30'!G42</f>
        <v>995.94270833333337</v>
      </c>
      <c r="F38" s="47">
        <f t="shared" si="0"/>
        <v>0.25</v>
      </c>
      <c r="G38" s="422">
        <f t="shared" si="10"/>
        <v>0.94362244198831602</v>
      </c>
      <c r="H38" s="418">
        <f t="shared" si="11"/>
        <v>0.94362244198831602</v>
      </c>
      <c r="I38" s="418">
        <f t="shared" si="12"/>
        <v>0.97564321044099911</v>
      </c>
      <c r="J38" s="423">
        <f t="shared" si="13"/>
        <v>0.92063882874565606</v>
      </c>
      <c r="K38" s="423">
        <f t="shared" si="14"/>
        <v>0.93012187083680486</v>
      </c>
      <c r="L38" s="397">
        <f>+SUM(Efficiency1!K128:K129)</f>
        <v>50.992852499999998</v>
      </c>
      <c r="M38" s="398">
        <f t="shared" si="15"/>
        <v>1592.6945128891823</v>
      </c>
      <c r="N38" s="397">
        <f>+SUM(Efficiency1!C128:C129)</f>
        <v>50.992852499999998</v>
      </c>
      <c r="O38" s="398">
        <f t="shared" si="15"/>
        <v>1592.0979303691822</v>
      </c>
      <c r="P38" s="398">
        <f>'30'!I38</f>
        <v>48.118000000000002</v>
      </c>
      <c r="Q38" s="398">
        <f t="shared" si="16"/>
        <v>1516.8039999999999</v>
      </c>
      <c r="R38" s="398">
        <f>'30'!I40</f>
        <v>46.945999999999998</v>
      </c>
      <c r="S38" s="398">
        <f t="shared" si="17"/>
        <v>1481.3999999999999</v>
      </c>
      <c r="T38" s="97"/>
      <c r="U38" s="12">
        <f t="shared" si="18"/>
        <v>0</v>
      </c>
      <c r="V38" s="290">
        <f t="shared" si="19"/>
        <v>0</v>
      </c>
      <c r="W38" s="290">
        <f t="shared" si="19"/>
        <v>0</v>
      </c>
      <c r="X38" s="291">
        <f t="shared" si="20"/>
        <v>0</v>
      </c>
      <c r="Y38" s="290">
        <f t="shared" si="21"/>
        <v>0</v>
      </c>
      <c r="Z38" s="400">
        <v>122.7</v>
      </c>
      <c r="AA38" s="399">
        <f t="shared" si="22"/>
        <v>3645.9000000000005</v>
      </c>
      <c r="AB38" s="402">
        <f t="shared" si="1"/>
        <v>2.549981295980714</v>
      </c>
      <c r="AC38" s="402">
        <f t="shared" si="2"/>
        <v>2.4036724586696772</v>
      </c>
      <c r="AD38" s="397">
        <f t="shared" si="3"/>
        <v>2.6136412047884807</v>
      </c>
      <c r="AE38" s="402">
        <f t="shared" si="4"/>
        <v>2.4611178614823821</v>
      </c>
      <c r="AF38" s="401">
        <f>'30'!I46</f>
        <v>44525.152381980653</v>
      </c>
      <c r="AG38" s="399">
        <f t="shared" si="23"/>
        <v>1380435.8373496046</v>
      </c>
      <c r="AH38" s="402">
        <f t="shared" si="5"/>
        <v>925.33256540131867</v>
      </c>
      <c r="AI38" s="402">
        <f t="shared" si="6"/>
        <v>910.09506656733822</v>
      </c>
      <c r="AJ38" s="402">
        <f t="shared" si="7"/>
        <v>948.43335709071391</v>
      </c>
      <c r="AK38" s="402">
        <f t="shared" si="8"/>
        <v>931.84544171027733</v>
      </c>
      <c r="AL38" s="397">
        <f>+SUM(Efficiency2!K128:K129)</f>
        <v>50.992852499999998</v>
      </c>
      <c r="AM38" s="398">
        <f t="shared" si="24"/>
        <v>1592.6945128891823</v>
      </c>
      <c r="AN38" s="423">
        <f t="shared" si="25"/>
        <v>0.92063882874565606</v>
      </c>
      <c r="AO38" s="423">
        <f t="shared" si="26"/>
        <v>0.93012187083680486</v>
      </c>
    </row>
    <row r="39" spans="1:41" s="403" customFormat="1" ht="12.75" customHeight="1">
      <c r="A39" s="417">
        <f>A38+1</f>
        <v>46022</v>
      </c>
      <c r="B39" s="426" t="s">
        <v>419</v>
      </c>
      <c r="C39" s="404" t="s">
        <v>673</v>
      </c>
      <c r="D39" s="396">
        <f>+'31'!F42</f>
        <v>1249.8958333333333</v>
      </c>
      <c r="E39" s="396">
        <f>+'31'!G42</f>
        <v>937.421875</v>
      </c>
      <c r="F39" s="47">
        <f t="shared" si="0"/>
        <v>0.25</v>
      </c>
      <c r="G39" s="422">
        <f t="shared" si="10"/>
        <v>1.0184639507104281</v>
      </c>
      <c r="H39" s="418">
        <f t="shared" si="11"/>
        <v>1.0184639507104281</v>
      </c>
      <c r="I39" s="418">
        <f t="shared" si="12"/>
        <v>0.95480671095274761</v>
      </c>
      <c r="J39" s="423">
        <f t="shared" si="13"/>
        <v>0.97243621500176503</v>
      </c>
      <c r="K39" s="423">
        <f t="shared" si="14"/>
        <v>0.93153026350351709</v>
      </c>
      <c r="L39" s="397">
        <f>+Efficiency1!K132</f>
        <v>54.83650153846154</v>
      </c>
      <c r="M39" s="398">
        <f>M38+L39</f>
        <v>1647.5310144276439</v>
      </c>
      <c r="N39" s="397">
        <f>+Efficiency1!C132</f>
        <v>54.83650153846154</v>
      </c>
      <c r="O39" s="398">
        <f>O38+N39</f>
        <v>1646.9344319076438</v>
      </c>
      <c r="P39" s="398">
        <f>'31'!I38</f>
        <v>55.849000000000004</v>
      </c>
      <c r="Q39" s="398">
        <f>Q38+P39</f>
        <v>1572.6529999999998</v>
      </c>
      <c r="R39" s="398">
        <f>'31'!I40</f>
        <v>53.325000000000003</v>
      </c>
      <c r="S39" s="398">
        <f>S38+R39</f>
        <v>1534.7249999999999</v>
      </c>
      <c r="T39" s="97"/>
      <c r="U39" s="12">
        <f>T39+U38</f>
        <v>0</v>
      </c>
      <c r="V39" s="290">
        <f t="shared" si="19"/>
        <v>0</v>
      </c>
      <c r="W39" s="290">
        <f t="shared" si="19"/>
        <v>0</v>
      </c>
      <c r="X39" s="291">
        <f t="shared" si="20"/>
        <v>0</v>
      </c>
      <c r="Y39" s="290">
        <f t="shared" si="21"/>
        <v>0</v>
      </c>
      <c r="Z39" s="400">
        <v>130.6</v>
      </c>
      <c r="AA39" s="399">
        <f>Z39+AA38</f>
        <v>3776.5000000000005</v>
      </c>
      <c r="AB39" s="402">
        <f t="shared" si="1"/>
        <v>2.3384483159949148</v>
      </c>
      <c r="AC39" s="402">
        <f t="shared" si="2"/>
        <v>2.4013561796531091</v>
      </c>
      <c r="AD39" s="397">
        <f t="shared" si="3"/>
        <v>2.4491326769807782</v>
      </c>
      <c r="AE39" s="402">
        <f t="shared" si="4"/>
        <v>2.4607014285947</v>
      </c>
      <c r="AF39" s="401">
        <f>'31'!I46</f>
        <v>41738.339697403018</v>
      </c>
      <c r="AG39" s="399">
        <f>AF39+AG38</f>
        <v>1422174.1770470077</v>
      </c>
      <c r="AH39" s="402">
        <f t="shared" si="5"/>
        <v>747.34265067240256</v>
      </c>
      <c r="AI39" s="402">
        <f t="shared" si="6"/>
        <v>904.31530480468859</v>
      </c>
      <c r="AJ39" s="402">
        <f t="shared" si="7"/>
        <v>782.71616872767027</v>
      </c>
      <c r="AK39" s="402">
        <f t="shared" si="8"/>
        <v>926.66384990601421</v>
      </c>
      <c r="AL39" s="397">
        <f>+Efficiency2!K132</f>
        <v>54.83650153846154</v>
      </c>
      <c r="AM39" s="398">
        <f>AM38+AL39</f>
        <v>1647.5310144276439</v>
      </c>
      <c r="AN39" s="423">
        <f t="shared" si="25"/>
        <v>0.97243621500176503</v>
      </c>
      <c r="AO39" s="423">
        <f t="shared" si="26"/>
        <v>0.93153026350351709</v>
      </c>
    </row>
    <row r="40" spans="1:41" s="403" customFormat="1" ht="12.75" customHeight="1" thickBot="1">
      <c r="A40" s="417"/>
      <c r="B40" s="405"/>
      <c r="C40" s="405"/>
      <c r="D40" s="405"/>
      <c r="E40" s="405"/>
      <c r="F40" s="419"/>
      <c r="G40" s="422"/>
      <c r="H40" s="418"/>
      <c r="I40" s="418"/>
      <c r="J40" s="423"/>
      <c r="K40" s="428"/>
      <c r="L40" s="406"/>
      <c r="M40" s="407"/>
      <c r="N40" s="407"/>
      <c r="O40" s="407"/>
      <c r="P40" s="407"/>
      <c r="Q40" s="407"/>
      <c r="R40" s="407"/>
      <c r="S40" s="407"/>
      <c r="T40" s="293"/>
      <c r="U40" s="292"/>
      <c r="V40" s="294"/>
      <c r="W40" s="294"/>
      <c r="X40" s="291"/>
      <c r="Y40" s="294"/>
      <c r="Z40" s="408"/>
      <c r="AA40" s="408"/>
      <c r="AB40" s="409"/>
      <c r="AC40" s="409"/>
      <c r="AD40" s="406"/>
      <c r="AE40" s="409"/>
      <c r="AF40" s="408"/>
      <c r="AG40" s="408"/>
      <c r="AH40" s="409"/>
      <c r="AI40" s="409"/>
      <c r="AJ40" s="409"/>
      <c r="AK40" s="409"/>
      <c r="AL40" s="406"/>
      <c r="AM40" s="407"/>
      <c r="AN40" s="423"/>
      <c r="AO40" s="428"/>
    </row>
    <row r="41" spans="1:41" s="403" customFormat="1" ht="12.75" customHeight="1" thickTop="1" thickBot="1">
      <c r="A41" s="410"/>
      <c r="B41" s="411"/>
      <c r="C41" s="411"/>
      <c r="D41" s="411"/>
      <c r="E41" s="411"/>
      <c r="F41" s="420"/>
      <c r="G41" s="422">
        <f t="shared" si="10"/>
        <v>0.95489715287474808</v>
      </c>
      <c r="H41" s="418">
        <f t="shared" si="11"/>
        <v>0.95455137792737887</v>
      </c>
      <c r="I41" s="418">
        <f t="shared" si="12"/>
        <v>0.97588279169022041</v>
      </c>
      <c r="J41" s="423">
        <f t="shared" si="13"/>
        <v>0.93153026350351709</v>
      </c>
      <c r="K41" s="423"/>
      <c r="L41" s="412">
        <f>SUM(L9:L39)</f>
        <v>1647.5310144276439</v>
      </c>
      <c r="M41" s="413"/>
      <c r="N41" s="412">
        <f>SUM(N9:N39)</f>
        <v>1646.9344319076438</v>
      </c>
      <c r="O41" s="413"/>
      <c r="P41" s="412">
        <f>SUM(P9:P39)</f>
        <v>1572.6529999999998</v>
      </c>
      <c r="Q41" s="413"/>
      <c r="R41" s="412">
        <f>SUM(R9:R39)</f>
        <v>1534.7249999999999</v>
      </c>
      <c r="S41" s="413"/>
      <c r="T41" s="295">
        <f>SUM(T9:T39)</f>
        <v>0</v>
      </c>
      <c r="U41" s="295"/>
      <c r="V41" s="296">
        <f>T41/P41</f>
        <v>0</v>
      </c>
      <c r="W41" s="296"/>
      <c r="X41" s="291">
        <f>IF(AND(R41&gt;0,T41&gt;0),(T41/(R41*1000))*1000,0)</f>
        <v>0</v>
      </c>
      <c r="Y41" s="296"/>
      <c r="Z41" s="414">
        <f>SUM(Z9:Z40)</f>
        <v>3776.5000000000005</v>
      </c>
      <c r="AA41" s="414"/>
      <c r="AB41" s="415">
        <f>Z41/P41</f>
        <v>2.4013561796531091</v>
      </c>
      <c r="AC41" s="415"/>
      <c r="AD41" s="416">
        <f>Z41/R41</f>
        <v>2.4607014285947</v>
      </c>
      <c r="AE41" s="415"/>
      <c r="AF41" s="414">
        <f>SUM(AF9:AF39)</f>
        <v>1422174.1770470077</v>
      </c>
      <c r="AG41" s="414"/>
      <c r="AH41" s="415">
        <f>AF41/P41</f>
        <v>904.31530480468859</v>
      </c>
      <c r="AI41" s="415"/>
      <c r="AJ41" s="415">
        <f>AF41/R41</f>
        <v>926.66384990601432</v>
      </c>
      <c r="AK41" s="415"/>
      <c r="AL41" s="412">
        <f>SUM(AL9:AL39)</f>
        <v>1647.5310144276439</v>
      </c>
      <c r="AM41" s="413"/>
      <c r="AN41" s="423">
        <f t="shared" si="25"/>
        <v>0.93153026350351709</v>
      </c>
      <c r="AO41" s="423"/>
    </row>
    <row r="42" spans="1:41" ht="12.75" customHeight="1" thickTop="1">
      <c r="S42" s="279"/>
      <c r="T42" s="279"/>
      <c r="U42" s="279"/>
      <c r="V42" s="279"/>
      <c r="W42" s="279"/>
      <c r="X42" s="279"/>
      <c r="Y42" s="279"/>
      <c r="Z42" s="279"/>
      <c r="AA42" s="279"/>
      <c r="AD42" s="279"/>
      <c r="AF42" s="279"/>
      <c r="AG42" s="279"/>
    </row>
    <row r="43" spans="1:41" ht="12.75" customHeight="1">
      <c r="S43" s="279"/>
      <c r="T43" s="279"/>
      <c r="U43" s="279"/>
      <c r="V43" s="279"/>
      <c r="W43" s="279"/>
      <c r="X43" s="279"/>
      <c r="Y43" s="279"/>
      <c r="Z43" s="279"/>
      <c r="AA43" s="279"/>
      <c r="AD43" s="279"/>
      <c r="AF43" s="279"/>
      <c r="AG43" s="279"/>
    </row>
    <row r="44" spans="1:41">
      <c r="S44" s="279"/>
      <c r="T44" s="279"/>
      <c r="U44" s="279"/>
      <c r="V44" s="279"/>
      <c r="W44" s="279"/>
      <c r="X44" s="279"/>
      <c r="Y44" s="279"/>
      <c r="Z44" s="279"/>
      <c r="AA44" s="279"/>
      <c r="AD44" s="279"/>
      <c r="AF44" s="279"/>
      <c r="AG44" s="279"/>
    </row>
    <row r="45" spans="1:41">
      <c r="R45" s="577"/>
      <c r="S45" s="297"/>
      <c r="T45" s="297"/>
      <c r="U45" s="297"/>
      <c r="V45" s="297"/>
      <c r="W45" s="297"/>
      <c r="X45" s="297"/>
      <c r="Y45" s="297"/>
    </row>
    <row r="46" spans="1:41">
      <c r="R46" s="578"/>
    </row>
    <row r="47" spans="1:41">
      <c r="R47" s="578"/>
    </row>
    <row r="48" spans="1:41">
      <c r="R48" s="578"/>
    </row>
    <row r="49" spans="18:41">
      <c r="R49" s="578"/>
      <c r="AN49"/>
      <c r="AO49"/>
    </row>
    <row r="50" spans="18:41">
      <c r="R50" s="578"/>
      <c r="AN50"/>
      <c r="AO50"/>
    </row>
    <row r="51" spans="18:41">
      <c r="R51" s="578"/>
      <c r="AN51"/>
      <c r="AO51"/>
    </row>
    <row r="52" spans="18:41">
      <c r="R52" s="578"/>
      <c r="AN52"/>
      <c r="AO52"/>
    </row>
    <row r="53" spans="18:41">
      <c r="R53" s="578"/>
      <c r="AN53"/>
      <c r="AO53"/>
    </row>
    <row r="54" spans="18:41">
      <c r="R54" s="578"/>
      <c r="AN54"/>
      <c r="AO54"/>
    </row>
    <row r="55" spans="18:41">
      <c r="R55" s="578"/>
      <c r="AN55"/>
      <c r="AO55"/>
    </row>
    <row r="56" spans="18:41">
      <c r="R56" s="578"/>
      <c r="AN56"/>
      <c r="AO56"/>
    </row>
    <row r="57" spans="18:41">
      <c r="R57" s="578"/>
      <c r="AN57"/>
      <c r="AO57"/>
    </row>
    <row r="58" spans="18:41">
      <c r="R58" s="578"/>
      <c r="AN58"/>
      <c r="AO58"/>
    </row>
    <row r="59" spans="18:41">
      <c r="R59" s="578"/>
      <c r="AN59"/>
      <c r="AO59"/>
    </row>
    <row r="60" spans="18:41">
      <c r="AN60"/>
      <c r="AO60"/>
    </row>
    <row r="65536" spans="3:39">
      <c r="C65536" s="298"/>
      <c r="AL65536"/>
      <c r="AM65536"/>
    </row>
  </sheetData>
  <mergeCells count="29">
    <mergeCell ref="AL6:AM7"/>
    <mergeCell ref="AN6:AO7"/>
    <mergeCell ref="Z7:AA7"/>
    <mergeCell ref="AB7:AC7"/>
    <mergeCell ref="J6:K7"/>
    <mergeCell ref="AF6:AK6"/>
    <mergeCell ref="AD7:AE7"/>
    <mergeCell ref="Z6:AE6"/>
    <mergeCell ref="P6:Q7"/>
    <mergeCell ref="R6:S7"/>
    <mergeCell ref="T6:Y6"/>
    <mergeCell ref="T7:U7"/>
    <mergeCell ref="X7:Y7"/>
    <mergeCell ref="A3:AK4"/>
    <mergeCell ref="AF7:AG7"/>
    <mergeCell ref="AH7:AI7"/>
    <mergeCell ref="AJ7:AK7"/>
    <mergeCell ref="D6:D8"/>
    <mergeCell ref="A6:A8"/>
    <mergeCell ref="B6:B8"/>
    <mergeCell ref="C6:C8"/>
    <mergeCell ref="L6:M7"/>
    <mergeCell ref="V7:W7"/>
    <mergeCell ref="H6:H8"/>
    <mergeCell ref="I6:I8"/>
    <mergeCell ref="E6:E8"/>
    <mergeCell ref="F6:F8"/>
    <mergeCell ref="G6:G8"/>
    <mergeCell ref="N6:O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45"/>
  <sheetViews>
    <sheetView zoomScaleNormal="100" workbookViewId="0">
      <pane xSplit="3" ySplit="6" topLeftCell="AC19" activePane="bottomRight" state="frozen"/>
      <selection pane="topRight" activeCell="D1" sqref="D1"/>
      <selection pane="bottomLeft" activeCell="A7" sqref="A7"/>
      <selection pane="bottomRight" activeCell="AN43" sqref="AN43"/>
    </sheetView>
  </sheetViews>
  <sheetFormatPr defaultColWidth="9.140625" defaultRowHeight="12.75"/>
  <cols>
    <col min="1" max="3" width="10.85546875" customWidth="1"/>
    <col min="4" max="4" width="12.85546875" hidden="1" customWidth="1"/>
    <col min="5" max="5" width="13.28515625" hidden="1" customWidth="1"/>
    <col min="6" max="6" width="14.5703125" hidden="1" customWidth="1"/>
    <col min="7" max="7" width="15.5703125" hidden="1" customWidth="1"/>
    <col min="8" max="8" width="18.85546875" hidden="1" customWidth="1"/>
    <col min="9" max="9" width="12.85546875" hidden="1" customWidth="1"/>
    <col min="10" max="10" width="11.5703125" hidden="1" customWidth="1"/>
    <col min="11" max="11" width="12" hidden="1" customWidth="1"/>
    <col min="12" max="12" width="12.28515625" hidden="1" customWidth="1"/>
    <col min="13" max="13" width="13" hidden="1" customWidth="1"/>
    <col min="14" max="15" width="11" hidden="1" customWidth="1"/>
    <col min="16" max="16" width="13.5703125" hidden="1" customWidth="1"/>
    <col min="17" max="17" width="12.42578125" hidden="1" customWidth="1"/>
    <col min="18" max="19" width="13.140625" hidden="1" customWidth="1"/>
    <col min="20" max="20" width="13" bestFit="1" customWidth="1"/>
    <col min="21" max="21" width="13.7109375" bestFit="1" customWidth="1"/>
    <col min="22" max="39" width="13.5703125" customWidth="1"/>
    <col min="40" max="40" width="13.85546875" bestFit="1" customWidth="1"/>
    <col min="41" max="42" width="10.85546875" bestFit="1" customWidth="1"/>
    <col min="45" max="45" width="39" bestFit="1" customWidth="1"/>
  </cols>
  <sheetData>
    <row r="2" spans="1:47" ht="24.75" customHeight="1">
      <c r="A2" s="599" t="s">
        <v>20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99"/>
      <c r="AM2" s="599"/>
      <c r="AN2" s="599"/>
      <c r="AO2" s="299"/>
      <c r="AP2" s="299"/>
      <c r="AQ2" s="299"/>
      <c r="AR2" s="299"/>
      <c r="AS2" s="299"/>
    </row>
    <row r="3" spans="1:47" ht="12.75" customHeight="1">
      <c r="A3" s="299"/>
      <c r="B3" s="299"/>
      <c r="C3" s="299"/>
      <c r="D3" s="300"/>
      <c r="E3" s="301"/>
      <c r="F3" s="302"/>
      <c r="G3" s="303"/>
      <c r="H3" s="304"/>
      <c r="I3" s="305"/>
      <c r="J3" s="305"/>
      <c r="K3" s="305"/>
      <c r="L3" s="306"/>
      <c r="M3" s="305"/>
      <c r="N3" s="305"/>
      <c r="O3" s="305"/>
      <c r="P3" s="307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305"/>
      <c r="AM3" s="305"/>
      <c r="AN3" s="305"/>
      <c r="AO3" s="5"/>
      <c r="AP3" s="5"/>
      <c r="AQ3" s="299"/>
      <c r="AR3" s="299"/>
      <c r="AS3" s="299"/>
    </row>
    <row r="4" spans="1:47">
      <c r="A4" s="608" t="s">
        <v>7</v>
      </c>
      <c r="B4" s="611" t="s">
        <v>21</v>
      </c>
      <c r="C4" s="611" t="s">
        <v>22</v>
      </c>
      <c r="D4" s="600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R4" s="601"/>
      <c r="S4" s="601"/>
      <c r="T4" s="601"/>
      <c r="U4" s="601"/>
      <c r="V4" s="601"/>
      <c r="W4" s="601"/>
      <c r="X4" s="601"/>
      <c r="Y4" s="601"/>
      <c r="Z4" s="601"/>
      <c r="AA4" s="601"/>
      <c r="AB4" s="601"/>
      <c r="AC4" s="601"/>
      <c r="AD4" s="601"/>
      <c r="AE4" s="601"/>
      <c r="AF4" s="601"/>
      <c r="AG4" s="601"/>
      <c r="AH4" s="601"/>
      <c r="AI4" s="601"/>
      <c r="AJ4" s="601"/>
      <c r="AK4" s="601"/>
      <c r="AL4" s="601"/>
      <c r="AM4" s="601"/>
      <c r="AN4" s="602" t="s">
        <v>225</v>
      </c>
      <c r="AO4" s="603"/>
      <c r="AP4" s="604"/>
    </row>
    <row r="5" spans="1:47" ht="14.25" customHeight="1">
      <c r="A5" s="609"/>
      <c r="B5" s="612"/>
      <c r="C5" s="612"/>
      <c r="D5" s="614" t="s">
        <v>171</v>
      </c>
      <c r="E5" s="615"/>
      <c r="F5" s="615"/>
      <c r="G5" s="616"/>
      <c r="H5" s="623" t="s">
        <v>172</v>
      </c>
      <c r="I5" s="624"/>
      <c r="J5" s="624"/>
      <c r="K5" s="625"/>
      <c r="L5" s="626" t="s">
        <v>173</v>
      </c>
      <c r="M5" s="627"/>
      <c r="N5" s="627"/>
      <c r="O5" s="628"/>
      <c r="P5" s="629" t="s">
        <v>174</v>
      </c>
      <c r="Q5" s="630"/>
      <c r="R5" s="630"/>
      <c r="S5" s="631"/>
      <c r="T5" s="632" t="s">
        <v>286</v>
      </c>
      <c r="U5" s="632"/>
      <c r="V5" s="632"/>
      <c r="W5" s="632"/>
      <c r="X5" s="633" t="s">
        <v>287</v>
      </c>
      <c r="Y5" s="634"/>
      <c r="Z5" s="634"/>
      <c r="AA5" s="635"/>
      <c r="AB5" s="617" t="s">
        <v>288</v>
      </c>
      <c r="AC5" s="618"/>
      <c r="AD5" s="618"/>
      <c r="AE5" s="619"/>
      <c r="AF5" s="620" t="s">
        <v>289</v>
      </c>
      <c r="AG5" s="621"/>
      <c r="AH5" s="621"/>
      <c r="AI5" s="622"/>
      <c r="AJ5" s="636" t="s">
        <v>290</v>
      </c>
      <c r="AK5" s="637"/>
      <c r="AL5" s="637"/>
      <c r="AM5" s="638"/>
      <c r="AN5" s="605"/>
      <c r="AO5" s="606"/>
      <c r="AP5" s="607"/>
    </row>
    <row r="6" spans="1:47" ht="14.25" customHeight="1">
      <c r="A6" s="610"/>
      <c r="B6" s="613"/>
      <c r="C6" s="613"/>
      <c r="D6" s="478" t="s">
        <v>23</v>
      </c>
      <c r="E6" s="370" t="s">
        <v>24</v>
      </c>
      <c r="F6" s="371" t="s">
        <v>25</v>
      </c>
      <c r="G6" s="371" t="s">
        <v>26</v>
      </c>
      <c r="H6" s="479" t="s">
        <v>23</v>
      </c>
      <c r="I6" s="372" t="s">
        <v>24</v>
      </c>
      <c r="J6" s="373" t="s">
        <v>25</v>
      </c>
      <c r="K6" s="373" t="s">
        <v>26</v>
      </c>
      <c r="L6" s="480" t="s">
        <v>23</v>
      </c>
      <c r="M6" s="376" t="s">
        <v>24</v>
      </c>
      <c r="N6" s="377" t="s">
        <v>25</v>
      </c>
      <c r="O6" s="377" t="s">
        <v>26</v>
      </c>
      <c r="P6" s="481" t="s">
        <v>23</v>
      </c>
      <c r="Q6" s="379" t="s">
        <v>24</v>
      </c>
      <c r="R6" s="380" t="s">
        <v>25</v>
      </c>
      <c r="S6" s="380" t="s">
        <v>26</v>
      </c>
      <c r="T6" s="374" t="s">
        <v>23</v>
      </c>
      <c r="U6" s="482" t="s">
        <v>24</v>
      </c>
      <c r="V6" s="375" t="s">
        <v>25</v>
      </c>
      <c r="W6" s="375" t="s">
        <v>26</v>
      </c>
      <c r="X6" s="382" t="s">
        <v>23</v>
      </c>
      <c r="Y6" s="382" t="s">
        <v>24</v>
      </c>
      <c r="Z6" s="382" t="s">
        <v>25</v>
      </c>
      <c r="AA6" s="382" t="s">
        <v>26</v>
      </c>
      <c r="AB6" s="378" t="s">
        <v>23</v>
      </c>
      <c r="AC6" s="378" t="s">
        <v>24</v>
      </c>
      <c r="AD6" s="378" t="s">
        <v>25</v>
      </c>
      <c r="AE6" s="378" t="s">
        <v>26</v>
      </c>
      <c r="AF6" s="381" t="s">
        <v>23</v>
      </c>
      <c r="AG6" s="381" t="s">
        <v>24</v>
      </c>
      <c r="AH6" s="381" t="s">
        <v>25</v>
      </c>
      <c r="AI6" s="381" t="s">
        <v>26</v>
      </c>
      <c r="AJ6" s="383" t="s">
        <v>23</v>
      </c>
      <c r="AK6" s="383" t="s">
        <v>24</v>
      </c>
      <c r="AL6" s="383" t="s">
        <v>25</v>
      </c>
      <c r="AM6" s="383" t="s">
        <v>26</v>
      </c>
      <c r="AN6" s="384" t="s">
        <v>24</v>
      </c>
      <c r="AO6" s="385" t="s">
        <v>25</v>
      </c>
      <c r="AP6" s="385" t="s">
        <v>26</v>
      </c>
      <c r="AR6" s="388"/>
    </row>
    <row r="7" spans="1:47">
      <c r="A7" s="309"/>
      <c r="B7" s="310"/>
      <c r="C7" s="31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314"/>
      <c r="AO7" s="100"/>
      <c r="AP7" s="100"/>
    </row>
    <row r="8" spans="1:47" ht="15">
      <c r="A8" s="309">
        <f>+Report1!A9</f>
        <v>45992</v>
      </c>
      <c r="B8" s="317">
        <f>+Report1!P9</f>
        <v>54.085000000000008</v>
      </c>
      <c r="C8" s="317">
        <f>+Report1!R9</f>
        <v>54.765000000000001</v>
      </c>
      <c r="D8" s="318">
        <f>+D7+E8</f>
        <v>0</v>
      </c>
      <c r="E8" s="318"/>
      <c r="F8" s="318">
        <f t="shared" ref="F8:F38" si="0">E8/B8</f>
        <v>0</v>
      </c>
      <c r="G8" s="318">
        <f t="shared" ref="G8:G38" si="1">E8/C8</f>
        <v>0</v>
      </c>
      <c r="H8" s="318">
        <f>+H7+I8</f>
        <v>0</v>
      </c>
      <c r="I8" s="318">
        <v>0</v>
      </c>
      <c r="J8" s="318">
        <f t="shared" ref="J8:J38" si="2">I8/B8</f>
        <v>0</v>
      </c>
      <c r="K8" s="318">
        <f t="shared" ref="K8:K38" si="3">I8/C8</f>
        <v>0</v>
      </c>
      <c r="L8" s="318">
        <f>+L7+M8</f>
        <v>0</v>
      </c>
      <c r="M8" s="318"/>
      <c r="N8" s="318">
        <f t="shared" ref="N8:N38" si="4">M8/B8</f>
        <v>0</v>
      </c>
      <c r="O8" s="318">
        <f t="shared" ref="O8:O38" si="5">M8/C8</f>
        <v>0</v>
      </c>
      <c r="P8" s="318">
        <f>+P7+Q8</f>
        <v>0</v>
      </c>
      <c r="Q8" s="318"/>
      <c r="R8" s="318">
        <f t="shared" ref="R8:R38" si="6">Q8/B8</f>
        <v>0</v>
      </c>
      <c r="S8" s="318">
        <f t="shared" ref="S8:S38" si="7">Q8/C8</f>
        <v>0</v>
      </c>
      <c r="T8" s="318">
        <f>+T7+U8</f>
        <v>7383.3299999997816</v>
      </c>
      <c r="U8" s="318">
        <f>+[1]DailyDes!AT7</f>
        <v>7383.3299999997816</v>
      </c>
      <c r="V8" s="318">
        <f t="shared" ref="V8:V38" si="8">U8/B8</f>
        <v>136.51345104927023</v>
      </c>
      <c r="W8" s="318">
        <f t="shared" ref="W8:W38" si="9">U8/C8</f>
        <v>134.81840591618337</v>
      </c>
      <c r="X8" s="318">
        <f>+X7+Y8</f>
        <v>14430.000000000291</v>
      </c>
      <c r="Y8" s="318">
        <f>+[1]DailyDes!AU7</f>
        <v>14430.000000000291</v>
      </c>
      <c r="Z8" s="318">
        <f>Y8/B8</f>
        <v>266.80225570861217</v>
      </c>
      <c r="AA8" s="318">
        <f>Y8/C8</f>
        <v>263.48945494385629</v>
      </c>
      <c r="AB8" s="318">
        <f>+AB7+AC8</f>
        <v>9749.3299999997671</v>
      </c>
      <c r="AC8" s="318">
        <f>+[1]DailyDes!AV7</f>
        <v>9749.3299999997671</v>
      </c>
      <c r="AD8" s="318">
        <f>AC8/B8</f>
        <v>180.25940648978028</v>
      </c>
      <c r="AE8" s="393">
        <f>AC8/C8</f>
        <v>178.02118141148119</v>
      </c>
      <c r="AF8" s="318">
        <f>+AF7+AG8</f>
        <v>0</v>
      </c>
      <c r="AG8" s="318">
        <f>+[1]DailyDes!AW7</f>
        <v>0</v>
      </c>
      <c r="AH8" s="318">
        <f>AG8/B8</f>
        <v>0</v>
      </c>
      <c r="AI8" s="421">
        <f>AG8/C8</f>
        <v>0</v>
      </c>
      <c r="AJ8" s="318">
        <f>+AJ7+AK8</f>
        <v>1628.7000000000116</v>
      </c>
      <c r="AK8" s="318">
        <f>+[1]DailyDes!AX7</f>
        <v>1628.7000000000116</v>
      </c>
      <c r="AL8" s="318">
        <f>AK8/B8</f>
        <v>30.11370990108184</v>
      </c>
      <c r="AM8" s="421">
        <f>AK8/C8</f>
        <v>29.7397973158041</v>
      </c>
      <c r="AN8" s="318">
        <f>+E8+I8+M8+Q8+U8+Y8+AC8+AG8+AK8</f>
        <v>33191.359999999855</v>
      </c>
      <c r="AO8" s="6">
        <f t="shared" ref="AO8:AO38" si="10">AN8/B8</f>
        <v>613.68882314874452</v>
      </c>
      <c r="AP8" s="316">
        <f t="shared" ref="AP8:AP38" si="11">AN8/C8</f>
        <v>606.06883958732499</v>
      </c>
      <c r="AT8" s="389" t="s">
        <v>182</v>
      </c>
      <c r="AU8" s="389" t="s">
        <v>183</v>
      </c>
    </row>
    <row r="9" spans="1:47" ht="15">
      <c r="A9" s="309">
        <f t="shared" ref="A9:A38" si="12">A8+1</f>
        <v>45993</v>
      </c>
      <c r="B9" s="317">
        <f>+Report1!P10</f>
        <v>53.726999999999997</v>
      </c>
      <c r="C9" s="317">
        <f>+Report1!R10</f>
        <v>53.106000000000002</v>
      </c>
      <c r="D9" s="318">
        <f t="shared" ref="D9:D38" si="13">+D8+E9</f>
        <v>0</v>
      </c>
      <c r="E9" s="318"/>
      <c r="F9" s="318">
        <f t="shared" si="0"/>
        <v>0</v>
      </c>
      <c r="G9" s="318">
        <f t="shared" si="1"/>
        <v>0</v>
      </c>
      <c r="H9" s="318">
        <f t="shared" ref="H9:H38" si="14">+H8+I9</f>
        <v>0</v>
      </c>
      <c r="I9" s="318"/>
      <c r="J9" s="318">
        <f t="shared" si="2"/>
        <v>0</v>
      </c>
      <c r="K9" s="318">
        <f t="shared" si="3"/>
        <v>0</v>
      </c>
      <c r="L9" s="318">
        <f t="shared" ref="L9:L38" si="15">+L8+M9</f>
        <v>0</v>
      </c>
      <c r="M9" s="318"/>
      <c r="N9" s="318">
        <f t="shared" si="4"/>
        <v>0</v>
      </c>
      <c r="O9" s="318">
        <f t="shared" si="5"/>
        <v>0</v>
      </c>
      <c r="P9" s="318">
        <f t="shared" ref="P9:P38" si="16">+P8+Q9</f>
        <v>0</v>
      </c>
      <c r="Q9" s="318"/>
      <c r="R9" s="318">
        <f t="shared" si="6"/>
        <v>0</v>
      </c>
      <c r="S9" s="318">
        <f t="shared" si="7"/>
        <v>0</v>
      </c>
      <c r="T9" s="318">
        <f t="shared" ref="T9:T38" si="17">+T8+U9</f>
        <v>14291.279999999982</v>
      </c>
      <c r="U9" s="318">
        <f>+[1]DailyDes!AT8</f>
        <v>6907.9500000002008</v>
      </c>
      <c r="V9" s="318">
        <f t="shared" si="8"/>
        <v>128.57501814730398</v>
      </c>
      <c r="W9" s="318">
        <f t="shared" si="9"/>
        <v>130.07852220088503</v>
      </c>
      <c r="X9" s="318">
        <f t="shared" ref="X9:X38" si="18">+X8+Y9</f>
        <v>29110.000000000582</v>
      </c>
      <c r="Y9" s="318">
        <f>+[1]DailyDes!AU8</f>
        <v>14680.000000000291</v>
      </c>
      <c r="Z9" s="318">
        <f t="shared" ref="Z9:Z38" si="19">Y9/B9</f>
        <v>273.23319746124469</v>
      </c>
      <c r="AA9" s="318">
        <f t="shared" ref="AA9:AA38" si="20">Y9/C9</f>
        <v>276.42827552442833</v>
      </c>
      <c r="AB9" s="318">
        <f t="shared" ref="AB9:AB38" si="21">+AB8+AC9</f>
        <v>18959.280000000101</v>
      </c>
      <c r="AC9" s="318">
        <f>+[1]DailyDes!AV8</f>
        <v>9209.9500000003354</v>
      </c>
      <c r="AD9" s="318">
        <f t="shared" ref="AD9:AD38" si="22">AC9/B9</f>
        <v>171.42125932957984</v>
      </c>
      <c r="AE9" s="393">
        <f t="shared" ref="AE9:AE38" si="23">AC9/C9</f>
        <v>173.42578992958113</v>
      </c>
      <c r="AF9" s="318">
        <f t="shared" ref="AF9:AF38" si="24">+AF8+AG9</f>
        <v>0</v>
      </c>
      <c r="AG9" s="318">
        <f>+[1]DailyDes!AW8</f>
        <v>0</v>
      </c>
      <c r="AH9" s="318">
        <f t="shared" ref="AH9:AH38" si="25">AG9/B9</f>
        <v>0</v>
      </c>
      <c r="AI9" s="421">
        <f t="shared" ref="AI9:AI38" si="26">AG9/C9</f>
        <v>0</v>
      </c>
      <c r="AJ9" s="318">
        <f t="shared" ref="AJ9:AJ38" si="27">+AJ8+AK9</f>
        <v>3502.7000000000116</v>
      </c>
      <c r="AK9" s="318">
        <f>+[1]DailyDes!AX8</f>
        <v>1874</v>
      </c>
      <c r="AL9" s="318">
        <f t="shared" ref="AL9:AL38" si="28">AK9/B9</f>
        <v>34.880041692259013</v>
      </c>
      <c r="AM9" s="421">
        <f t="shared" ref="AM9:AM38" si="29">AK9/C9</f>
        <v>35.287914736564609</v>
      </c>
      <c r="AN9" s="318">
        <f t="shared" ref="AN9:AN38" si="30">+E9+I9+M9+Q9+U9+Y9+AC9+AG9+AK9</f>
        <v>32671.900000000827</v>
      </c>
      <c r="AO9" s="315">
        <f t="shared" si="10"/>
        <v>608.10951663038747</v>
      </c>
      <c r="AP9" s="316">
        <f t="shared" si="11"/>
        <v>615.22050239145904</v>
      </c>
      <c r="AT9" s="389" t="s">
        <v>184</v>
      </c>
      <c r="AU9" s="389" t="s">
        <v>184</v>
      </c>
    </row>
    <row r="10" spans="1:47" ht="15">
      <c r="A10" s="309">
        <f t="shared" si="12"/>
        <v>45994</v>
      </c>
      <c r="B10" s="317">
        <f>+Report1!P11</f>
        <v>54.988</v>
      </c>
      <c r="C10" s="317">
        <f>+Report1!R11</f>
        <v>57.095999999999997</v>
      </c>
      <c r="D10" s="318">
        <f>+D9+E10</f>
        <v>0</v>
      </c>
      <c r="E10" s="318"/>
      <c r="F10" s="318">
        <f>E10/B10</f>
        <v>0</v>
      </c>
      <c r="G10" s="318">
        <f>E10/C10</f>
        <v>0</v>
      </c>
      <c r="H10" s="318">
        <f>+H9+I10</f>
        <v>0</v>
      </c>
      <c r="I10" s="318"/>
      <c r="J10" s="318">
        <f>I10/B10</f>
        <v>0</v>
      </c>
      <c r="K10" s="318">
        <f>I10/C10</f>
        <v>0</v>
      </c>
      <c r="L10" s="318">
        <f>+L9+M10</f>
        <v>0</v>
      </c>
      <c r="M10" s="318"/>
      <c r="N10" s="318">
        <f>M10/B10</f>
        <v>0</v>
      </c>
      <c r="O10" s="318">
        <f>M10/C10</f>
        <v>0</v>
      </c>
      <c r="P10" s="318">
        <f>+P9+Q10</f>
        <v>0</v>
      </c>
      <c r="Q10" s="318"/>
      <c r="R10" s="318">
        <f>Q10/B10</f>
        <v>0</v>
      </c>
      <c r="S10" s="318">
        <f>Q10/C10</f>
        <v>0</v>
      </c>
      <c r="T10" s="318">
        <f>+T9+U10</f>
        <v>21615.700000000052</v>
      </c>
      <c r="U10" s="318">
        <f>+[1]DailyDes!AT9</f>
        <v>7324.4200000000683</v>
      </c>
      <c r="V10" s="318">
        <f>U10/B10</f>
        <v>133.20033461846344</v>
      </c>
      <c r="W10" s="318">
        <f>U10/C10</f>
        <v>128.28254168418223</v>
      </c>
      <c r="X10" s="318">
        <f>+X9+Y10</f>
        <v>42110.000000000582</v>
      </c>
      <c r="Y10" s="318">
        <f>+[1]DailyDes!AU9</f>
        <v>13000</v>
      </c>
      <c r="Z10" s="318">
        <f>Y10/B10</f>
        <v>236.41521786571616</v>
      </c>
      <c r="AA10" s="318">
        <f>Y10/C10</f>
        <v>227.68670309653916</v>
      </c>
      <c r="AB10" s="318">
        <f>+AB9+AC10</f>
        <v>31033.699999999371</v>
      </c>
      <c r="AC10" s="318">
        <f>+[1]DailyDes!AV9</f>
        <v>12074.419999999272</v>
      </c>
      <c r="AD10" s="318">
        <f>AC10/B10</f>
        <v>219.58281806938373</v>
      </c>
      <c r="AE10" s="393">
        <f>AC10/C10</f>
        <v>211.47576012328838</v>
      </c>
      <c r="AF10" s="318">
        <f>+AF9+AG10</f>
        <v>0</v>
      </c>
      <c r="AG10" s="318">
        <f>+[1]DailyDes!AW9</f>
        <v>0</v>
      </c>
      <c r="AH10" s="318">
        <f>AG10/B10</f>
        <v>0</v>
      </c>
      <c r="AI10" s="421">
        <f>AG10/C10</f>
        <v>0</v>
      </c>
      <c r="AJ10" s="318">
        <f>+AJ9+AK10</f>
        <v>5422.7000000000116</v>
      </c>
      <c r="AK10" s="318">
        <f>+[1]DailyDes!AX9</f>
        <v>1920</v>
      </c>
      <c r="AL10" s="318">
        <f>AK10/B10</f>
        <v>34.91670910016731</v>
      </c>
      <c r="AM10" s="421">
        <f>AK10/C10</f>
        <v>33.627574611181167</v>
      </c>
      <c r="AN10" s="318">
        <f>+E10+I10+M10+Q10+U10+Y10+AC10+AG10+AK10</f>
        <v>34318.839999999342</v>
      </c>
      <c r="AO10" s="315">
        <f>AN10/B10</f>
        <v>624.11507965373062</v>
      </c>
      <c r="AP10" s="316">
        <f>AN10/C10</f>
        <v>601.07257951519102</v>
      </c>
      <c r="AT10" s="389" t="s">
        <v>184</v>
      </c>
      <c r="AU10" s="389" t="s">
        <v>184</v>
      </c>
    </row>
    <row r="11" spans="1:47">
      <c r="A11" s="309">
        <f t="shared" si="12"/>
        <v>45995</v>
      </c>
      <c r="B11" s="317">
        <f>+Report1!P12</f>
        <v>48.894000000000005</v>
      </c>
      <c r="C11" s="317">
        <f>+Report1!R12</f>
        <v>41.052</v>
      </c>
      <c r="D11" s="318">
        <f t="shared" si="13"/>
        <v>0</v>
      </c>
      <c r="E11" s="318"/>
      <c r="F11" s="318">
        <f t="shared" si="0"/>
        <v>0</v>
      </c>
      <c r="G11" s="318">
        <f t="shared" si="1"/>
        <v>0</v>
      </c>
      <c r="H11" s="318">
        <f t="shared" si="14"/>
        <v>0</v>
      </c>
      <c r="I11" s="318"/>
      <c r="J11" s="318">
        <f t="shared" si="2"/>
        <v>0</v>
      </c>
      <c r="K11" s="318">
        <f t="shared" si="3"/>
        <v>0</v>
      </c>
      <c r="L11" s="318">
        <f t="shared" si="15"/>
        <v>0</v>
      </c>
      <c r="M11" s="318"/>
      <c r="N11" s="318">
        <f t="shared" si="4"/>
        <v>0</v>
      </c>
      <c r="O11" s="318">
        <f t="shared" si="5"/>
        <v>0</v>
      </c>
      <c r="P11" s="318">
        <f t="shared" si="16"/>
        <v>0</v>
      </c>
      <c r="Q11" s="318"/>
      <c r="R11" s="318">
        <f t="shared" si="6"/>
        <v>0</v>
      </c>
      <c r="S11" s="318">
        <f t="shared" si="7"/>
        <v>0</v>
      </c>
      <c r="T11" s="318">
        <f t="shared" si="17"/>
        <v>27901.460000000006</v>
      </c>
      <c r="U11" s="318">
        <f>+[1]DailyDes!AT10</f>
        <v>6285.7599999999547</v>
      </c>
      <c r="V11" s="318">
        <f t="shared" si="8"/>
        <v>128.5589233852815</v>
      </c>
      <c r="W11" s="318">
        <f t="shared" si="9"/>
        <v>153.11702231316269</v>
      </c>
      <c r="X11" s="318">
        <f t="shared" si="18"/>
        <v>55110.000000000582</v>
      </c>
      <c r="Y11" s="318">
        <f>+[1]DailyDes!AU10</f>
        <v>13000</v>
      </c>
      <c r="Z11" s="318">
        <f t="shared" si="19"/>
        <v>265.88129422833066</v>
      </c>
      <c r="AA11" s="318">
        <f t="shared" si="20"/>
        <v>316.67153853649029</v>
      </c>
      <c r="AB11" s="318">
        <f t="shared" si="21"/>
        <v>38869.459999999737</v>
      </c>
      <c r="AC11" s="318">
        <f>+[1]DailyDes!AV10</f>
        <v>7835.760000000364</v>
      </c>
      <c r="AD11" s="318">
        <f t="shared" si="22"/>
        <v>160.26015462020624</v>
      </c>
      <c r="AE11" s="393">
        <f t="shared" si="23"/>
        <v>190.87401344636959</v>
      </c>
      <c r="AF11" s="318">
        <f t="shared" si="24"/>
        <v>0</v>
      </c>
      <c r="AG11" s="318">
        <f>+[1]DailyDes!AW10</f>
        <v>0</v>
      </c>
      <c r="AH11" s="318">
        <f t="shared" si="25"/>
        <v>0</v>
      </c>
      <c r="AI11" s="421">
        <f t="shared" si="26"/>
        <v>0</v>
      </c>
      <c r="AJ11" s="318">
        <f t="shared" si="27"/>
        <v>7502.7000000000116</v>
      </c>
      <c r="AK11" s="318">
        <f>+[1]DailyDes!AX10</f>
        <v>2080</v>
      </c>
      <c r="AL11" s="318">
        <f t="shared" si="28"/>
        <v>42.541007076532907</v>
      </c>
      <c r="AM11" s="421">
        <f t="shared" si="29"/>
        <v>50.667446165838449</v>
      </c>
      <c r="AN11" s="318">
        <f t="shared" si="30"/>
        <v>29201.520000000317</v>
      </c>
      <c r="AO11" s="315">
        <f t="shared" si="10"/>
        <v>597.24137931035125</v>
      </c>
      <c r="AP11" s="316">
        <f t="shared" si="11"/>
        <v>711.33002046186095</v>
      </c>
      <c r="AR11" s="19"/>
      <c r="AS11" t="s">
        <v>172</v>
      </c>
      <c r="AT11" s="13">
        <f>+J39</f>
        <v>0</v>
      </c>
      <c r="AU11" s="13">
        <f>+K39</f>
        <v>0</v>
      </c>
    </row>
    <row r="12" spans="1:47">
      <c r="A12" s="309">
        <f t="shared" si="12"/>
        <v>45996</v>
      </c>
      <c r="B12" s="317">
        <f>+Report1!P13</f>
        <v>53.947000000000003</v>
      </c>
      <c r="C12" s="317">
        <f>+Report1!R13</f>
        <v>52.134</v>
      </c>
      <c r="D12" s="318">
        <f t="shared" si="13"/>
        <v>0</v>
      </c>
      <c r="E12" s="318"/>
      <c r="F12" s="318">
        <f t="shared" si="0"/>
        <v>0</v>
      </c>
      <c r="G12" s="318">
        <f t="shared" si="1"/>
        <v>0</v>
      </c>
      <c r="H12" s="318">
        <f t="shared" si="14"/>
        <v>0</v>
      </c>
      <c r="I12" s="318"/>
      <c r="J12" s="318">
        <f t="shared" si="2"/>
        <v>0</v>
      </c>
      <c r="K12" s="318">
        <f t="shared" si="3"/>
        <v>0</v>
      </c>
      <c r="L12" s="318">
        <f t="shared" si="15"/>
        <v>0</v>
      </c>
      <c r="M12" s="318"/>
      <c r="N12" s="318">
        <f t="shared" si="4"/>
        <v>0</v>
      </c>
      <c r="O12" s="318">
        <f t="shared" si="5"/>
        <v>0</v>
      </c>
      <c r="P12" s="318">
        <f t="shared" si="16"/>
        <v>0</v>
      </c>
      <c r="Q12" s="318"/>
      <c r="R12" s="318">
        <f t="shared" si="6"/>
        <v>0</v>
      </c>
      <c r="S12" s="318">
        <f t="shared" si="7"/>
        <v>0</v>
      </c>
      <c r="T12" s="318">
        <f t="shared" si="17"/>
        <v>35283.370000000032</v>
      </c>
      <c r="U12" s="318">
        <f>+[1]DailyDes!AT11</f>
        <v>7381.9100000000226</v>
      </c>
      <c r="V12" s="318">
        <f t="shared" si="8"/>
        <v>136.83633937012294</v>
      </c>
      <c r="W12" s="318">
        <f>U12/C12</f>
        <v>141.59492845360077</v>
      </c>
      <c r="X12" s="318">
        <f t="shared" si="18"/>
        <v>72110.000000000582</v>
      </c>
      <c r="Y12" s="318">
        <f>+[1]DailyDes!AU11</f>
        <v>17000</v>
      </c>
      <c r="Z12" s="318">
        <f t="shared" si="19"/>
        <v>315.12410328655903</v>
      </c>
      <c r="AA12" s="318">
        <f t="shared" si="20"/>
        <v>326.08278666513218</v>
      </c>
      <c r="AB12" s="318">
        <f t="shared" si="21"/>
        <v>49051.36999999937</v>
      </c>
      <c r="AC12" s="318">
        <f>+[1]DailyDes!AV11</f>
        <v>10181.909999999636</v>
      </c>
      <c r="AD12" s="318">
        <f t="shared" si="22"/>
        <v>188.73913285260784</v>
      </c>
      <c r="AE12" s="393">
        <f t="shared" si="23"/>
        <v>195.30268155137983</v>
      </c>
      <c r="AF12" s="318">
        <f t="shared" si="24"/>
        <v>0</v>
      </c>
      <c r="AG12" s="318">
        <f>+[1]DailyDes!AW11</f>
        <v>0</v>
      </c>
      <c r="AH12" s="318">
        <f t="shared" si="25"/>
        <v>0</v>
      </c>
      <c r="AI12" s="421">
        <f t="shared" si="26"/>
        <v>0</v>
      </c>
      <c r="AJ12" s="318">
        <f t="shared" si="27"/>
        <v>9312.7000000000116</v>
      </c>
      <c r="AK12" s="318">
        <f>+[1]DailyDes!AX11</f>
        <v>1810</v>
      </c>
      <c r="AL12" s="318">
        <f t="shared" si="28"/>
        <v>33.551448644039517</v>
      </c>
      <c r="AM12" s="421">
        <f t="shared" si="29"/>
        <v>34.71822610964054</v>
      </c>
      <c r="AN12" s="318">
        <f t="shared" si="30"/>
        <v>36373.819999999658</v>
      </c>
      <c r="AO12" s="315">
        <f t="shared" si="10"/>
        <v>674.25102415332935</v>
      </c>
      <c r="AP12" s="316">
        <f t="shared" si="11"/>
        <v>697.69862277975324</v>
      </c>
      <c r="AR12" s="19"/>
      <c r="AS12" t="s">
        <v>173</v>
      </c>
      <c r="AT12" s="13">
        <f>+N39</f>
        <v>0</v>
      </c>
      <c r="AU12" s="13">
        <f>+O39</f>
        <v>0</v>
      </c>
    </row>
    <row r="13" spans="1:47">
      <c r="A13" s="309">
        <f t="shared" si="12"/>
        <v>45997</v>
      </c>
      <c r="B13" s="317">
        <f>+Report1!P14</f>
        <v>48.966000000000001</v>
      </c>
      <c r="C13" s="317">
        <f>+Report1!R14</f>
        <v>46.978999999999999</v>
      </c>
      <c r="D13" s="318">
        <f t="shared" si="13"/>
        <v>0</v>
      </c>
      <c r="E13" s="318"/>
      <c r="F13" s="318">
        <f t="shared" si="0"/>
        <v>0</v>
      </c>
      <c r="G13" s="318">
        <f t="shared" si="1"/>
        <v>0</v>
      </c>
      <c r="H13" s="318">
        <f t="shared" si="14"/>
        <v>0</v>
      </c>
      <c r="I13" s="318"/>
      <c r="J13" s="318">
        <f t="shared" si="2"/>
        <v>0</v>
      </c>
      <c r="K13" s="318">
        <f t="shared" si="3"/>
        <v>0</v>
      </c>
      <c r="L13" s="318">
        <f t="shared" si="15"/>
        <v>0</v>
      </c>
      <c r="M13" s="318"/>
      <c r="N13" s="318">
        <f t="shared" si="4"/>
        <v>0</v>
      </c>
      <c r="O13" s="318">
        <f t="shared" si="5"/>
        <v>0</v>
      </c>
      <c r="P13" s="318">
        <f t="shared" si="16"/>
        <v>0</v>
      </c>
      <c r="Q13" s="318"/>
      <c r="R13" s="318">
        <f t="shared" si="6"/>
        <v>0</v>
      </c>
      <c r="S13" s="318">
        <f t="shared" si="7"/>
        <v>0</v>
      </c>
      <c r="T13" s="318">
        <f t="shared" si="17"/>
        <v>42800.360000000073</v>
      </c>
      <c r="U13" s="318">
        <f>+[1]DailyDes!AT12</f>
        <v>7516.9900000000453</v>
      </c>
      <c r="V13" s="318">
        <f t="shared" si="8"/>
        <v>153.51447943471072</v>
      </c>
      <c r="W13" s="318">
        <f t="shared" si="9"/>
        <v>160.00745013729636</v>
      </c>
      <c r="X13" s="318">
        <f t="shared" si="18"/>
        <v>90110.000000000582</v>
      </c>
      <c r="Y13" s="318">
        <f>+[1]DailyDes!AU12</f>
        <v>18000</v>
      </c>
      <c r="Z13" s="318">
        <f t="shared" si="19"/>
        <v>367.60200955765225</v>
      </c>
      <c r="AA13" s="318">
        <f t="shared" si="20"/>
        <v>383.14991804848978</v>
      </c>
      <c r="AB13" s="318">
        <f t="shared" si="21"/>
        <v>59518.359999999913</v>
      </c>
      <c r="AC13" s="318">
        <f>+[1]DailyDes!AV12</f>
        <v>10466.990000000545</v>
      </c>
      <c r="AD13" s="318">
        <f t="shared" si="22"/>
        <v>213.76036433444727</v>
      </c>
      <c r="AE13" s="393">
        <f t="shared" si="23"/>
        <v>222.80146448414283</v>
      </c>
      <c r="AF13" s="318">
        <f t="shared" si="24"/>
        <v>14401.517309056017</v>
      </c>
      <c r="AG13" s="318">
        <f>+[1]DailyDes!AW12</f>
        <v>14401.517309056017</v>
      </c>
      <c r="AH13" s="318">
        <f t="shared" si="25"/>
        <v>294.1125946382391</v>
      </c>
      <c r="AI13" s="421">
        <f t="shared" si="26"/>
        <v>306.55223204103999</v>
      </c>
      <c r="AJ13" s="318">
        <f t="shared" si="27"/>
        <v>11112.700000000012</v>
      </c>
      <c r="AK13" s="318">
        <f>+[1]DailyDes!AX12</f>
        <v>1800</v>
      </c>
      <c r="AL13" s="318">
        <f t="shared" si="28"/>
        <v>36.760200955765221</v>
      </c>
      <c r="AM13" s="421">
        <f t="shared" si="29"/>
        <v>38.314991804848972</v>
      </c>
      <c r="AN13" s="318">
        <f t="shared" si="30"/>
        <v>52185.497309056605</v>
      </c>
      <c r="AO13" s="315">
        <f t="shared" si="10"/>
        <v>1065.7496489208145</v>
      </c>
      <c r="AP13" s="316">
        <f t="shared" si="11"/>
        <v>1110.8260565158178</v>
      </c>
      <c r="AR13" s="19"/>
      <c r="AS13" t="s">
        <v>174</v>
      </c>
      <c r="AT13" s="13">
        <f>+R39</f>
        <v>0</v>
      </c>
      <c r="AU13" s="13">
        <f>+S39</f>
        <v>0</v>
      </c>
    </row>
    <row r="14" spans="1:47">
      <c r="A14" s="309">
        <f t="shared" si="12"/>
        <v>45998</v>
      </c>
      <c r="B14" s="317">
        <f>+Report1!P15</f>
        <v>49.021999999999998</v>
      </c>
      <c r="C14" s="317">
        <f>+Report1!R15</f>
        <v>44.481000000000002</v>
      </c>
      <c r="D14" s="318">
        <f t="shared" si="13"/>
        <v>0</v>
      </c>
      <c r="E14" s="318"/>
      <c r="F14" s="318">
        <f t="shared" si="0"/>
        <v>0</v>
      </c>
      <c r="G14" s="318">
        <f t="shared" si="1"/>
        <v>0</v>
      </c>
      <c r="H14" s="318">
        <f t="shared" si="14"/>
        <v>0</v>
      </c>
      <c r="I14" s="318"/>
      <c r="J14" s="318">
        <f t="shared" si="2"/>
        <v>0</v>
      </c>
      <c r="K14" s="318">
        <f t="shared" si="3"/>
        <v>0</v>
      </c>
      <c r="L14" s="318">
        <f t="shared" si="15"/>
        <v>0</v>
      </c>
      <c r="M14" s="318"/>
      <c r="N14" s="318">
        <f t="shared" si="4"/>
        <v>0</v>
      </c>
      <c r="O14" s="318">
        <f t="shared" si="5"/>
        <v>0</v>
      </c>
      <c r="P14" s="318">
        <f t="shared" si="16"/>
        <v>0</v>
      </c>
      <c r="Q14" s="318"/>
      <c r="R14" s="318">
        <f t="shared" si="6"/>
        <v>0</v>
      </c>
      <c r="S14" s="318">
        <f t="shared" si="7"/>
        <v>0</v>
      </c>
      <c r="T14" s="318">
        <f t="shared" si="17"/>
        <v>50612.14999999998</v>
      </c>
      <c r="U14" s="318">
        <f>+[1]DailyDes!AT13</f>
        <v>7811.7899999999099</v>
      </c>
      <c r="V14" s="318">
        <f t="shared" si="8"/>
        <v>159.35273958630634</v>
      </c>
      <c r="W14" s="318">
        <f t="shared" si="9"/>
        <v>175.62082686989748</v>
      </c>
      <c r="X14" s="318">
        <f t="shared" si="18"/>
        <v>109110.00000000058</v>
      </c>
      <c r="Y14" s="318">
        <f>+[1]DailyDes!AU13</f>
        <v>19000</v>
      </c>
      <c r="Z14" s="318">
        <f t="shared" si="19"/>
        <v>387.58108604300111</v>
      </c>
      <c r="AA14" s="318">
        <f t="shared" si="20"/>
        <v>427.14867021874505</v>
      </c>
      <c r="AB14" s="318">
        <f t="shared" si="21"/>
        <v>70030.150000000096</v>
      </c>
      <c r="AC14" s="318">
        <f>+[1]DailyDes!AV13</f>
        <v>10511.790000000183</v>
      </c>
      <c r="AD14" s="318">
        <f t="shared" si="22"/>
        <v>214.43005181347525</v>
      </c>
      <c r="AE14" s="393">
        <f t="shared" si="23"/>
        <v>236.32090105888318</v>
      </c>
      <c r="AF14" s="318">
        <f t="shared" si="24"/>
        <v>29033.296034219526</v>
      </c>
      <c r="AG14" s="318">
        <f>+[1]DailyDes!AW13</f>
        <v>14631.778725163509</v>
      </c>
      <c r="AH14" s="318">
        <f t="shared" si="25"/>
        <v>298.47372047577636</v>
      </c>
      <c r="AI14" s="421">
        <f t="shared" si="26"/>
        <v>328.94446449413255</v>
      </c>
      <c r="AJ14" s="318">
        <f t="shared" si="27"/>
        <v>13002.700000000012</v>
      </c>
      <c r="AK14" s="318">
        <f>+[1]DailyDes!AX13</f>
        <v>1890</v>
      </c>
      <c r="AL14" s="318">
        <f t="shared" si="28"/>
        <v>38.55411855901432</v>
      </c>
      <c r="AM14" s="421">
        <f t="shared" si="29"/>
        <v>42.490051932285695</v>
      </c>
      <c r="AN14" s="318">
        <f t="shared" si="30"/>
        <v>53845.358725163598</v>
      </c>
      <c r="AO14" s="315">
        <f t="shared" si="10"/>
        <v>1098.3917164775733</v>
      </c>
      <c r="AP14" s="316">
        <f t="shared" si="11"/>
        <v>1210.5249145739438</v>
      </c>
      <c r="AR14" s="19"/>
      <c r="AS14" t="s">
        <v>175</v>
      </c>
      <c r="AT14" s="13">
        <f>+V39</f>
        <v>0</v>
      </c>
      <c r="AU14" s="13">
        <f>+W39</f>
        <v>0</v>
      </c>
    </row>
    <row r="15" spans="1:47">
      <c r="A15" s="309">
        <f t="shared" si="12"/>
        <v>45999</v>
      </c>
      <c r="B15" s="317">
        <f>+Report1!P16</f>
        <v>47.912999999999997</v>
      </c>
      <c r="C15" s="317">
        <f>+Report1!R16</f>
        <v>54.173999999999999</v>
      </c>
      <c r="D15" s="318">
        <f t="shared" si="13"/>
        <v>0</v>
      </c>
      <c r="E15" s="318"/>
      <c r="F15" s="318">
        <f t="shared" si="0"/>
        <v>0</v>
      </c>
      <c r="G15" s="318">
        <f t="shared" si="1"/>
        <v>0</v>
      </c>
      <c r="H15" s="318">
        <f t="shared" si="14"/>
        <v>0</v>
      </c>
      <c r="I15" s="318"/>
      <c r="J15" s="318">
        <f t="shared" si="2"/>
        <v>0</v>
      </c>
      <c r="K15" s="318">
        <f t="shared" si="3"/>
        <v>0</v>
      </c>
      <c r="L15" s="318">
        <f t="shared" si="15"/>
        <v>0</v>
      </c>
      <c r="M15" s="318"/>
      <c r="N15" s="318">
        <f t="shared" si="4"/>
        <v>0</v>
      </c>
      <c r="O15" s="318">
        <f t="shared" si="5"/>
        <v>0</v>
      </c>
      <c r="P15" s="318">
        <f t="shared" si="16"/>
        <v>0</v>
      </c>
      <c r="Q15" s="318"/>
      <c r="R15" s="318">
        <f t="shared" si="6"/>
        <v>0</v>
      </c>
      <c r="S15" s="318">
        <f t="shared" si="7"/>
        <v>0</v>
      </c>
      <c r="T15" s="318">
        <f t="shared" si="17"/>
        <v>58077.340000000047</v>
      </c>
      <c r="U15" s="318">
        <f>+[1]DailyDes!AT14</f>
        <v>7465.1900000000687</v>
      </c>
      <c r="V15" s="318">
        <f t="shared" si="8"/>
        <v>155.80719220253519</v>
      </c>
      <c r="W15" s="318">
        <f t="shared" si="9"/>
        <v>137.80023627570549</v>
      </c>
      <c r="X15" s="318">
        <f t="shared" si="18"/>
        <v>127110.00000000058</v>
      </c>
      <c r="Y15" s="318">
        <f>+[1]DailyDes!AU14</f>
        <v>18000</v>
      </c>
      <c r="Z15" s="318">
        <f t="shared" si="19"/>
        <v>375.68092167052788</v>
      </c>
      <c r="AA15" s="318">
        <f t="shared" si="20"/>
        <v>332.2627090486211</v>
      </c>
      <c r="AB15" s="318">
        <f t="shared" si="21"/>
        <v>80145.339999999909</v>
      </c>
      <c r="AC15" s="318">
        <f>+[1]DailyDes!AV14</f>
        <v>10115.189999999819</v>
      </c>
      <c r="AD15" s="318">
        <f t="shared" si="22"/>
        <v>211.1157723373577</v>
      </c>
      <c r="AE15" s="393">
        <f t="shared" si="23"/>
        <v>186.71669066341454</v>
      </c>
      <c r="AF15" s="318">
        <f t="shared" si="24"/>
        <v>42994.568927976718</v>
      </c>
      <c r="AG15" s="318">
        <f>+[1]DailyDes!AW14</f>
        <v>13961.272893757192</v>
      </c>
      <c r="AH15" s="318">
        <f t="shared" si="25"/>
        <v>291.3879926900255</v>
      </c>
      <c r="AI15" s="421">
        <f t="shared" si="26"/>
        <v>257.71168630260257</v>
      </c>
      <c r="AJ15" s="318">
        <f t="shared" si="27"/>
        <v>14932.700000000012</v>
      </c>
      <c r="AK15" s="318">
        <f>+[1]DailyDes!AX14</f>
        <v>1930</v>
      </c>
      <c r="AL15" s="318">
        <f t="shared" si="28"/>
        <v>40.281343268006601</v>
      </c>
      <c r="AM15" s="421">
        <f t="shared" si="29"/>
        <v>35.625946025768819</v>
      </c>
      <c r="AN15" s="318">
        <f t="shared" si="30"/>
        <v>51471.652893757084</v>
      </c>
      <c r="AO15" s="315">
        <f t="shared" si="10"/>
        <v>1074.273222168453</v>
      </c>
      <c r="AP15" s="316">
        <f t="shared" si="11"/>
        <v>950.11726831611259</v>
      </c>
      <c r="AR15" s="19"/>
      <c r="AS15" t="s">
        <v>176</v>
      </c>
      <c r="AT15" s="13">
        <f>+Z39</f>
        <v>0</v>
      </c>
      <c r="AU15" s="13">
        <f>+AA39</f>
        <v>0</v>
      </c>
    </row>
    <row r="16" spans="1:47">
      <c r="A16" s="309">
        <f t="shared" si="12"/>
        <v>46000</v>
      </c>
      <c r="B16" s="317">
        <f>+Report1!P17</f>
        <v>47.442999999999998</v>
      </c>
      <c r="C16" s="317">
        <f>+Report1!R17</f>
        <v>49.234000000000002</v>
      </c>
      <c r="D16" s="318">
        <f t="shared" si="13"/>
        <v>0</v>
      </c>
      <c r="E16" s="318"/>
      <c r="F16" s="318">
        <f t="shared" si="0"/>
        <v>0</v>
      </c>
      <c r="G16" s="318">
        <f t="shared" si="1"/>
        <v>0</v>
      </c>
      <c r="H16" s="318">
        <f t="shared" si="14"/>
        <v>0</v>
      </c>
      <c r="I16" s="318"/>
      <c r="J16" s="318">
        <f t="shared" si="2"/>
        <v>0</v>
      </c>
      <c r="K16" s="318">
        <f t="shared" si="3"/>
        <v>0</v>
      </c>
      <c r="L16" s="318">
        <f t="shared" si="15"/>
        <v>0</v>
      </c>
      <c r="M16" s="318"/>
      <c r="N16" s="318">
        <f t="shared" si="4"/>
        <v>0</v>
      </c>
      <c r="O16" s="318">
        <f t="shared" si="5"/>
        <v>0</v>
      </c>
      <c r="P16" s="318">
        <f t="shared" si="16"/>
        <v>0</v>
      </c>
      <c r="Q16" s="318"/>
      <c r="R16" s="318">
        <f t="shared" si="6"/>
        <v>0</v>
      </c>
      <c r="S16" s="318">
        <f t="shared" si="7"/>
        <v>0</v>
      </c>
      <c r="T16" s="318">
        <f t="shared" si="17"/>
        <v>64076.500000000044</v>
      </c>
      <c r="U16" s="318">
        <f>+[1]DailyDes!AT15</f>
        <v>5999.16</v>
      </c>
      <c r="V16" s="318">
        <f t="shared" si="8"/>
        <v>126.4498450772506</v>
      </c>
      <c r="W16" s="318">
        <f t="shared" si="9"/>
        <v>121.84994109761546</v>
      </c>
      <c r="X16" s="318">
        <f t="shared" si="18"/>
        <v>146110.00000000058</v>
      </c>
      <c r="Y16" s="318">
        <f>+[1]DailyDes!AU15</f>
        <v>19000</v>
      </c>
      <c r="Z16" s="318">
        <f t="shared" si="19"/>
        <v>400.48057669203047</v>
      </c>
      <c r="AA16" s="318">
        <f t="shared" si="20"/>
        <v>385.91217451354754</v>
      </c>
      <c r="AB16" s="318">
        <f t="shared" si="21"/>
        <v>90844.499999999724</v>
      </c>
      <c r="AC16" s="318">
        <f>+[1]DailyDes!AV15</f>
        <v>10699.159999999818</v>
      </c>
      <c r="AD16" s="318">
        <f t="shared" si="22"/>
        <v>225.51609299580167</v>
      </c>
      <c r="AE16" s="393">
        <f t="shared" si="23"/>
        <v>217.31242637201564</v>
      </c>
      <c r="AF16" s="318">
        <f t="shared" si="24"/>
        <v>56792.857132740319</v>
      </c>
      <c r="AG16" s="318">
        <f>+[1]DailyDes!AW15</f>
        <v>13798.288204763598</v>
      </c>
      <c r="AH16" s="318">
        <f t="shared" si="25"/>
        <v>290.83928513718774</v>
      </c>
      <c r="AI16" s="421">
        <f t="shared" si="26"/>
        <v>280.25933714026075</v>
      </c>
      <c r="AJ16" s="318">
        <f t="shared" si="27"/>
        <v>16932.700000000012</v>
      </c>
      <c r="AK16" s="318">
        <f>+[1]DailyDes!AX15</f>
        <v>2000</v>
      </c>
      <c r="AL16" s="318">
        <f t="shared" si="28"/>
        <v>42.155850178108466</v>
      </c>
      <c r="AM16" s="421">
        <f t="shared" si="29"/>
        <v>40.622334159320793</v>
      </c>
      <c r="AN16" s="318">
        <f t="shared" si="30"/>
        <v>51496.608204763412</v>
      </c>
      <c r="AO16" s="315">
        <f t="shared" si="10"/>
        <v>1085.4416500803788</v>
      </c>
      <c r="AP16" s="316">
        <f t="shared" si="11"/>
        <v>1045.95621328276</v>
      </c>
      <c r="AR16" s="19"/>
      <c r="AT16" s="17">
        <f>SUM(AT10:AT15)</f>
        <v>0</v>
      </c>
      <c r="AU16" s="17">
        <f>SUM(AU10:AU15)</f>
        <v>0</v>
      </c>
    </row>
    <row r="17" spans="1:47">
      <c r="A17" s="309">
        <f t="shared" si="12"/>
        <v>46001</v>
      </c>
      <c r="B17" s="317">
        <f>+Report1!P18</f>
        <v>49.963000000000001</v>
      </c>
      <c r="C17" s="317">
        <f>+Report1!R18</f>
        <v>49.491</v>
      </c>
      <c r="D17" s="318">
        <f t="shared" si="13"/>
        <v>0</v>
      </c>
      <c r="E17" s="318"/>
      <c r="F17" s="318">
        <f t="shared" si="0"/>
        <v>0</v>
      </c>
      <c r="G17" s="318">
        <f t="shared" si="1"/>
        <v>0</v>
      </c>
      <c r="H17" s="318">
        <f t="shared" si="14"/>
        <v>0</v>
      </c>
      <c r="I17" s="318"/>
      <c r="J17" s="318">
        <f t="shared" si="2"/>
        <v>0</v>
      </c>
      <c r="K17" s="318">
        <f t="shared" si="3"/>
        <v>0</v>
      </c>
      <c r="L17" s="318">
        <f t="shared" si="15"/>
        <v>0</v>
      </c>
      <c r="M17" s="318"/>
      <c r="N17" s="318">
        <f t="shared" si="4"/>
        <v>0</v>
      </c>
      <c r="O17" s="318">
        <f t="shared" si="5"/>
        <v>0</v>
      </c>
      <c r="P17" s="318">
        <f t="shared" si="16"/>
        <v>0</v>
      </c>
      <c r="Q17" s="318"/>
      <c r="R17" s="318">
        <f t="shared" si="6"/>
        <v>0</v>
      </c>
      <c r="S17" s="318">
        <f t="shared" si="7"/>
        <v>0</v>
      </c>
      <c r="T17" s="318">
        <f t="shared" si="17"/>
        <v>72552.800000000017</v>
      </c>
      <c r="U17" s="318">
        <f>+[1]DailyDes!AT16</f>
        <v>8476.2999999999774</v>
      </c>
      <c r="V17" s="318">
        <f t="shared" si="8"/>
        <v>169.65154214118402</v>
      </c>
      <c r="W17" s="318">
        <f t="shared" si="9"/>
        <v>171.2695237517928</v>
      </c>
      <c r="X17" s="318">
        <f t="shared" si="18"/>
        <v>165110.00000000058</v>
      </c>
      <c r="Y17" s="318">
        <f>+[1]DailyDes!AU16</f>
        <v>19000</v>
      </c>
      <c r="Z17" s="318">
        <f t="shared" si="19"/>
        <v>380.28140824209913</v>
      </c>
      <c r="AA17" s="318">
        <f t="shared" si="20"/>
        <v>383.90818532662507</v>
      </c>
      <c r="AB17" s="318">
        <f t="shared" si="21"/>
        <v>101420.79999999973</v>
      </c>
      <c r="AC17" s="318">
        <f>+[1]DailyDes!AV16</f>
        <v>10576.3</v>
      </c>
      <c r="AD17" s="318">
        <f t="shared" si="22"/>
        <v>211.68264515741646</v>
      </c>
      <c r="AE17" s="393">
        <f t="shared" si="23"/>
        <v>213.70148107736759</v>
      </c>
      <c r="AF17" s="318">
        <f t="shared" si="24"/>
        <v>70812.216360997598</v>
      </c>
      <c r="AG17" s="318">
        <f>+[1]DailyDes!AW16</f>
        <v>14019.359228257277</v>
      </c>
      <c r="AH17" s="318">
        <f t="shared" si="25"/>
        <v>280.59482473544978</v>
      </c>
      <c r="AI17" s="421">
        <f t="shared" si="26"/>
        <v>283.2708821453856</v>
      </c>
      <c r="AJ17" s="318">
        <f t="shared" si="27"/>
        <v>19442.700000000012</v>
      </c>
      <c r="AK17" s="318">
        <f>+[1]DailyDes!AX16</f>
        <v>2510</v>
      </c>
      <c r="AL17" s="318">
        <f t="shared" si="28"/>
        <v>50.237175509877311</v>
      </c>
      <c r="AM17" s="421">
        <f t="shared" si="29"/>
        <v>50.716291851043621</v>
      </c>
      <c r="AN17" s="318">
        <f t="shared" si="30"/>
        <v>54581.959228257256</v>
      </c>
      <c r="AO17" s="315">
        <f t="shared" si="10"/>
        <v>1092.4475957860268</v>
      </c>
      <c r="AP17" s="316">
        <f t="shared" si="11"/>
        <v>1102.8663641522146</v>
      </c>
      <c r="AR17" s="19" t="s">
        <v>185</v>
      </c>
      <c r="AS17" t="s">
        <v>177</v>
      </c>
      <c r="AT17" s="13">
        <f>+AD39</f>
        <v>0</v>
      </c>
      <c r="AU17" s="13">
        <f>+AE39</f>
        <v>0</v>
      </c>
    </row>
    <row r="18" spans="1:47">
      <c r="A18" s="309">
        <f t="shared" si="12"/>
        <v>46002</v>
      </c>
      <c r="B18" s="317">
        <f>+Report1!P19</f>
        <v>46.855000000000004</v>
      </c>
      <c r="C18" s="317">
        <f>+Report1!R19</f>
        <v>42.121000000000002</v>
      </c>
      <c r="D18" s="318">
        <f t="shared" si="13"/>
        <v>0</v>
      </c>
      <c r="E18" s="318"/>
      <c r="F18" s="312">
        <f t="shared" si="0"/>
        <v>0</v>
      </c>
      <c r="G18" s="312">
        <f t="shared" si="1"/>
        <v>0</v>
      </c>
      <c r="H18" s="318">
        <f t="shared" si="14"/>
        <v>0</v>
      </c>
      <c r="I18" s="318"/>
      <c r="J18" s="312">
        <f t="shared" si="2"/>
        <v>0</v>
      </c>
      <c r="K18" s="312">
        <f t="shared" si="3"/>
        <v>0</v>
      </c>
      <c r="L18" s="318">
        <f t="shared" si="15"/>
        <v>0</v>
      </c>
      <c r="M18" s="318"/>
      <c r="N18" s="312">
        <f t="shared" si="4"/>
        <v>0</v>
      </c>
      <c r="O18" s="312">
        <f t="shared" si="5"/>
        <v>0</v>
      </c>
      <c r="P18" s="318">
        <f t="shared" si="16"/>
        <v>0</v>
      </c>
      <c r="Q18" s="318"/>
      <c r="R18" s="312">
        <f t="shared" si="6"/>
        <v>0</v>
      </c>
      <c r="S18" s="312">
        <f t="shared" si="7"/>
        <v>0</v>
      </c>
      <c r="T18" s="318">
        <f t="shared" si="17"/>
        <v>79655.420000000042</v>
      </c>
      <c r="U18" s="318">
        <f>+[1]DailyDes!AT17</f>
        <v>7102.6200000000235</v>
      </c>
      <c r="V18" s="312">
        <f t="shared" si="8"/>
        <v>151.58723722121488</v>
      </c>
      <c r="W18" s="312">
        <f t="shared" si="9"/>
        <v>168.62420170461345</v>
      </c>
      <c r="X18" s="318">
        <f t="shared" si="18"/>
        <v>183110.00000000058</v>
      </c>
      <c r="Y18" s="318">
        <f>+[1]DailyDes!AU17</f>
        <v>18000</v>
      </c>
      <c r="Z18" s="318">
        <f t="shared" si="19"/>
        <v>384.16390993490552</v>
      </c>
      <c r="AA18" s="318">
        <f t="shared" si="20"/>
        <v>427.34028156976331</v>
      </c>
      <c r="AB18" s="318">
        <f t="shared" si="21"/>
        <v>110723.41999999991</v>
      </c>
      <c r="AC18" s="318">
        <f>+[1]DailyDes!AV17</f>
        <v>9302.6200000001827</v>
      </c>
      <c r="AD18" s="318">
        <f t="shared" si="22"/>
        <v>198.54060399104006</v>
      </c>
      <c r="AE18" s="393">
        <f t="shared" si="23"/>
        <v>220.85468056314386</v>
      </c>
      <c r="AF18" s="318">
        <f t="shared" si="24"/>
        <v>82604.559911599921</v>
      </c>
      <c r="AG18" s="318">
        <f>+[1]DailyDes!AW17</f>
        <v>11792.343550602323</v>
      </c>
      <c r="AH18" s="318">
        <f t="shared" si="25"/>
        <v>251.67737809416971</v>
      </c>
      <c r="AI18" s="421">
        <f t="shared" si="26"/>
        <v>279.96352296009883</v>
      </c>
      <c r="AJ18" s="318">
        <f t="shared" si="27"/>
        <v>21832.700000000012</v>
      </c>
      <c r="AK18" s="318">
        <f>+[1]DailyDes!AX17</f>
        <v>2390</v>
      </c>
      <c r="AL18" s="318">
        <f t="shared" si="28"/>
        <v>51.008430263579122</v>
      </c>
      <c r="AM18" s="421">
        <f t="shared" si="29"/>
        <v>56.741292941763014</v>
      </c>
      <c r="AN18" s="318">
        <f t="shared" si="30"/>
        <v>48587.583550602532</v>
      </c>
      <c r="AO18" s="315">
        <f t="shared" si="10"/>
        <v>1036.9775595049093</v>
      </c>
      <c r="AP18" s="316">
        <f t="shared" si="11"/>
        <v>1153.5239797393824</v>
      </c>
      <c r="AR18" s="19"/>
      <c r="AS18" t="s">
        <v>178</v>
      </c>
      <c r="AT18" s="13">
        <f>+AH39</f>
        <v>0</v>
      </c>
      <c r="AU18" s="13">
        <f>+AI39</f>
        <v>0</v>
      </c>
    </row>
    <row r="19" spans="1:47">
      <c r="A19" s="309">
        <f t="shared" si="12"/>
        <v>46003</v>
      </c>
      <c r="B19" s="317">
        <f>+Report1!P20</f>
        <v>46.277999999999999</v>
      </c>
      <c r="C19" s="317">
        <f>+Report1!R20</f>
        <v>42.796999999999997</v>
      </c>
      <c r="D19" s="318">
        <f t="shared" si="13"/>
        <v>0</v>
      </c>
      <c r="E19" s="318"/>
      <c r="F19" s="312">
        <f t="shared" si="0"/>
        <v>0</v>
      </c>
      <c r="G19" s="312">
        <f t="shared" si="1"/>
        <v>0</v>
      </c>
      <c r="H19" s="318">
        <f t="shared" si="14"/>
        <v>0</v>
      </c>
      <c r="I19" s="318"/>
      <c r="J19" s="312">
        <f t="shared" si="2"/>
        <v>0</v>
      </c>
      <c r="K19" s="312">
        <f t="shared" si="3"/>
        <v>0</v>
      </c>
      <c r="L19" s="318">
        <f t="shared" si="15"/>
        <v>0</v>
      </c>
      <c r="M19" s="318"/>
      <c r="N19" s="312">
        <f t="shared" si="4"/>
        <v>0</v>
      </c>
      <c r="O19" s="312">
        <f t="shared" si="5"/>
        <v>0</v>
      </c>
      <c r="P19" s="318">
        <f t="shared" si="16"/>
        <v>0</v>
      </c>
      <c r="Q19" s="318"/>
      <c r="R19" s="312">
        <f t="shared" si="6"/>
        <v>0</v>
      </c>
      <c r="S19" s="312">
        <f t="shared" si="7"/>
        <v>0</v>
      </c>
      <c r="T19" s="318">
        <f t="shared" si="17"/>
        <v>87344.660000000062</v>
      </c>
      <c r="U19" s="318">
        <f>+[1]DailyDes!AT18</f>
        <v>7689.2400000000225</v>
      </c>
      <c r="V19" s="312">
        <f t="shared" si="8"/>
        <v>166.15324776351665</v>
      </c>
      <c r="W19" s="312">
        <f t="shared" si="9"/>
        <v>179.6677337196538</v>
      </c>
      <c r="X19" s="318">
        <f t="shared" si="18"/>
        <v>202110.00000000058</v>
      </c>
      <c r="Y19" s="318">
        <f>+[1]DailyDes!AU18</f>
        <v>19000</v>
      </c>
      <c r="Z19" s="318">
        <f t="shared" si="19"/>
        <v>410.56225420286097</v>
      </c>
      <c r="AA19" s="318">
        <f t="shared" si="20"/>
        <v>443.95635208075333</v>
      </c>
      <c r="AB19" s="318">
        <f t="shared" si="21"/>
        <v>121712.65999999955</v>
      </c>
      <c r="AC19" s="318">
        <f>+[1]DailyDes!AV18</f>
        <v>10989.239999999636</v>
      </c>
      <c r="AD19" s="318">
        <f t="shared" si="22"/>
        <v>237.46142875663676</v>
      </c>
      <c r="AE19" s="393">
        <f t="shared" si="23"/>
        <v>256.77594223893351</v>
      </c>
      <c r="AF19" s="318">
        <f t="shared" si="24"/>
        <v>95936.257713685904</v>
      </c>
      <c r="AG19" s="318">
        <f>+[1]DailyDes!AW18</f>
        <v>13331.697802085982</v>
      </c>
      <c r="AH19" s="318">
        <f t="shared" si="25"/>
        <v>288.07852115661831</v>
      </c>
      <c r="AI19" s="421">
        <f t="shared" si="26"/>
        <v>311.51010122405739</v>
      </c>
      <c r="AJ19" s="318">
        <f t="shared" si="27"/>
        <v>24252.700000000012</v>
      </c>
      <c r="AK19" s="318">
        <f>+[1]DailyDes!AX18</f>
        <v>2420</v>
      </c>
      <c r="AL19" s="318">
        <f t="shared" si="28"/>
        <v>52.292666061627557</v>
      </c>
      <c r="AM19" s="421">
        <f t="shared" si="29"/>
        <v>56.546019580811745</v>
      </c>
      <c r="AN19" s="318">
        <f t="shared" si="30"/>
        <v>53430.177802085644</v>
      </c>
      <c r="AO19" s="315">
        <f t="shared" si="10"/>
        <v>1154.5481179412602</v>
      </c>
      <c r="AP19" s="316">
        <f t="shared" si="11"/>
        <v>1248.4561488442098</v>
      </c>
      <c r="AR19" s="19"/>
      <c r="AT19" s="17">
        <f>SUM(AT17:AT18)</f>
        <v>0</v>
      </c>
      <c r="AU19" s="17">
        <f>SUM(AU17:AU18)</f>
        <v>0</v>
      </c>
    </row>
    <row r="20" spans="1:47">
      <c r="A20" s="309">
        <f t="shared" si="12"/>
        <v>46004</v>
      </c>
      <c r="B20" s="317">
        <f>+Report1!P21</f>
        <v>49.022999999999996</v>
      </c>
      <c r="C20" s="317">
        <f>+Report1!R21</f>
        <v>48.720999999999997</v>
      </c>
      <c r="D20" s="318">
        <f t="shared" si="13"/>
        <v>0</v>
      </c>
      <c r="E20" s="318"/>
      <c r="F20" s="312">
        <f t="shared" si="0"/>
        <v>0</v>
      </c>
      <c r="G20" s="312">
        <f t="shared" si="1"/>
        <v>0</v>
      </c>
      <c r="H20" s="318">
        <f t="shared" si="14"/>
        <v>0</v>
      </c>
      <c r="I20" s="318"/>
      <c r="J20" s="312">
        <f t="shared" si="2"/>
        <v>0</v>
      </c>
      <c r="K20" s="312">
        <f t="shared" si="3"/>
        <v>0</v>
      </c>
      <c r="L20" s="318">
        <f t="shared" si="15"/>
        <v>0</v>
      </c>
      <c r="M20" s="318"/>
      <c r="N20" s="312">
        <f t="shared" si="4"/>
        <v>0</v>
      </c>
      <c r="O20" s="312">
        <f t="shared" si="5"/>
        <v>0</v>
      </c>
      <c r="P20" s="318">
        <f t="shared" si="16"/>
        <v>0</v>
      </c>
      <c r="Q20" s="318"/>
      <c r="R20" s="312">
        <f t="shared" si="6"/>
        <v>0</v>
      </c>
      <c r="S20" s="312">
        <f t="shared" si="7"/>
        <v>0</v>
      </c>
      <c r="T20" s="318">
        <f t="shared" si="17"/>
        <v>95700.070000000022</v>
      </c>
      <c r="U20" s="318">
        <f>+[1]DailyDes!AT19</f>
        <v>8355.4099999999544</v>
      </c>
      <c r="V20" s="312">
        <f t="shared" si="8"/>
        <v>170.43856965097925</v>
      </c>
      <c r="W20" s="312">
        <f t="shared" si="9"/>
        <v>171.49504320518781</v>
      </c>
      <c r="X20" s="318">
        <f t="shared" si="18"/>
        <v>220110.00000000058</v>
      </c>
      <c r="Y20" s="318">
        <f>+[1]DailyDes!AU19</f>
        <v>18000</v>
      </c>
      <c r="Z20" s="318">
        <f t="shared" si="19"/>
        <v>367.17459151826699</v>
      </c>
      <c r="AA20" s="318">
        <f t="shared" si="20"/>
        <v>369.45054493955382</v>
      </c>
      <c r="AB20" s="318">
        <f t="shared" si="21"/>
        <v>132818.06999999975</v>
      </c>
      <c r="AC20" s="318">
        <f>+[1]DailyDes!AV19</f>
        <v>11105.410000000182</v>
      </c>
      <c r="AD20" s="318">
        <f t="shared" si="22"/>
        <v>226.53468779960798</v>
      </c>
      <c r="AE20" s="393">
        <f t="shared" si="23"/>
        <v>227.93887645984651</v>
      </c>
      <c r="AF20" s="318">
        <f t="shared" si="24"/>
        <v>109802.56541840528</v>
      </c>
      <c r="AG20" s="318">
        <f>+[1]DailyDes!AW19</f>
        <v>13866.307704719387</v>
      </c>
      <c r="AH20" s="318">
        <f t="shared" si="25"/>
        <v>282.85310374149662</v>
      </c>
      <c r="AI20" s="421">
        <f t="shared" si="26"/>
        <v>284.60638543378394</v>
      </c>
      <c r="AJ20" s="318">
        <f t="shared" si="27"/>
        <v>26642.700000000012</v>
      </c>
      <c r="AK20" s="318">
        <f>+[1]DailyDes!AX19</f>
        <v>2390</v>
      </c>
      <c r="AL20" s="318">
        <f t="shared" si="28"/>
        <v>48.752626318258777</v>
      </c>
      <c r="AM20" s="421">
        <f t="shared" si="29"/>
        <v>49.054822355862981</v>
      </c>
      <c r="AN20" s="318">
        <f t="shared" si="30"/>
        <v>53717.127704719525</v>
      </c>
      <c r="AO20" s="315">
        <f t="shared" si="10"/>
        <v>1095.7535790286097</v>
      </c>
      <c r="AP20" s="316">
        <f t="shared" si="11"/>
        <v>1102.5456723942352</v>
      </c>
      <c r="AR20" s="19" t="s">
        <v>186</v>
      </c>
      <c r="AS20" t="s">
        <v>179</v>
      </c>
      <c r="AT20" s="13">
        <f>+AL39</f>
        <v>0</v>
      </c>
      <c r="AU20" s="13">
        <f>+AM39</f>
        <v>0</v>
      </c>
    </row>
    <row r="21" spans="1:47">
      <c r="A21" s="309">
        <f t="shared" si="12"/>
        <v>46005</v>
      </c>
      <c r="B21" s="317">
        <f>+Report1!P22</f>
        <v>48.05</v>
      </c>
      <c r="C21" s="317">
        <f>+Report1!R22</f>
        <v>46.695999999999998</v>
      </c>
      <c r="D21" s="318">
        <f t="shared" si="13"/>
        <v>0</v>
      </c>
      <c r="E21" s="318"/>
      <c r="F21" s="312">
        <f t="shared" si="0"/>
        <v>0</v>
      </c>
      <c r="G21" s="312">
        <f t="shared" si="1"/>
        <v>0</v>
      </c>
      <c r="H21" s="318">
        <f t="shared" si="14"/>
        <v>0</v>
      </c>
      <c r="I21" s="318"/>
      <c r="J21" s="312">
        <f t="shared" si="2"/>
        <v>0</v>
      </c>
      <c r="K21" s="312">
        <f t="shared" si="3"/>
        <v>0</v>
      </c>
      <c r="L21" s="318">
        <f t="shared" si="15"/>
        <v>0</v>
      </c>
      <c r="M21" s="318"/>
      <c r="N21" s="312">
        <f t="shared" si="4"/>
        <v>0</v>
      </c>
      <c r="O21" s="312">
        <f t="shared" si="5"/>
        <v>0</v>
      </c>
      <c r="P21" s="318">
        <f t="shared" si="16"/>
        <v>0</v>
      </c>
      <c r="Q21" s="318"/>
      <c r="R21" s="312">
        <f t="shared" si="6"/>
        <v>0</v>
      </c>
      <c r="S21" s="312">
        <f t="shared" si="7"/>
        <v>0</v>
      </c>
      <c r="T21" s="318">
        <f t="shared" si="17"/>
        <v>101853.48000000004</v>
      </c>
      <c r="U21" s="318">
        <f>+[1]DailyDes!AT20</f>
        <v>6153.4100000000226</v>
      </c>
      <c r="V21" s="312">
        <f t="shared" si="8"/>
        <v>128.06264308012535</v>
      </c>
      <c r="W21" s="312">
        <f t="shared" si="9"/>
        <v>131.77595511392889</v>
      </c>
      <c r="X21" s="318">
        <f t="shared" si="18"/>
        <v>239110.00000000058</v>
      </c>
      <c r="Y21" s="318">
        <f>+[1]DailyDes!AU20</f>
        <v>19000</v>
      </c>
      <c r="Z21" s="318">
        <f t="shared" si="19"/>
        <v>395.42143600416233</v>
      </c>
      <c r="AA21" s="318">
        <f t="shared" si="20"/>
        <v>406.88709953743364</v>
      </c>
      <c r="AB21" s="318">
        <f t="shared" si="21"/>
        <v>140671.47999999992</v>
      </c>
      <c r="AC21" s="318">
        <f>+[1]DailyDes!AV20</f>
        <v>7853.4100000001818</v>
      </c>
      <c r="AD21" s="318">
        <f t="shared" si="22"/>
        <v>163.44245577523793</v>
      </c>
      <c r="AE21" s="393">
        <f t="shared" si="23"/>
        <v>168.18164296728162</v>
      </c>
      <c r="AF21" s="318">
        <f t="shared" si="24"/>
        <v>122245.04569124486</v>
      </c>
      <c r="AG21" s="318">
        <f>+[1]DailyDes!AW20</f>
        <v>12442.480272839572</v>
      </c>
      <c r="AH21" s="318">
        <f t="shared" si="25"/>
        <v>258.94860089156236</v>
      </c>
      <c r="AI21" s="421">
        <f t="shared" si="26"/>
        <v>266.45708996144361</v>
      </c>
      <c r="AJ21" s="318">
        <f t="shared" si="27"/>
        <v>28352.700000000012</v>
      </c>
      <c r="AK21" s="318">
        <f>+[1]DailyDes!AX20</f>
        <v>1710</v>
      </c>
      <c r="AL21" s="318">
        <f t="shared" si="28"/>
        <v>35.587929240374613</v>
      </c>
      <c r="AM21" s="421">
        <f t="shared" si="29"/>
        <v>36.61983895836903</v>
      </c>
      <c r="AN21" s="318">
        <f t="shared" si="30"/>
        <v>47159.300272839777</v>
      </c>
      <c r="AO21" s="315">
        <f t="shared" si="10"/>
        <v>981.4630649914626</v>
      </c>
      <c r="AP21" s="316">
        <f t="shared" si="11"/>
        <v>1009.9216265384568</v>
      </c>
      <c r="AS21" t="s">
        <v>180</v>
      </c>
      <c r="AT21" s="13" t="e">
        <f>+#REF!</f>
        <v>#REF!</v>
      </c>
      <c r="AU21" s="13" t="e">
        <f>+#REF!</f>
        <v>#REF!</v>
      </c>
    </row>
    <row r="22" spans="1:47">
      <c r="A22" s="309">
        <f t="shared" si="12"/>
        <v>46006</v>
      </c>
      <c r="B22" s="317">
        <f>+Report1!P23</f>
        <v>44.035000000000004</v>
      </c>
      <c r="C22" s="317">
        <f>+Report1!R23</f>
        <v>38.723999999999997</v>
      </c>
      <c r="D22" s="318">
        <f t="shared" si="13"/>
        <v>0</v>
      </c>
      <c r="E22" s="318"/>
      <c r="F22" s="312">
        <f t="shared" si="0"/>
        <v>0</v>
      </c>
      <c r="G22" s="312">
        <f t="shared" si="1"/>
        <v>0</v>
      </c>
      <c r="H22" s="318">
        <f t="shared" si="14"/>
        <v>0</v>
      </c>
      <c r="I22" s="318"/>
      <c r="J22" s="312">
        <f t="shared" si="2"/>
        <v>0</v>
      </c>
      <c r="K22" s="312">
        <f t="shared" si="3"/>
        <v>0</v>
      </c>
      <c r="L22" s="318">
        <f t="shared" si="15"/>
        <v>0</v>
      </c>
      <c r="M22" s="318"/>
      <c r="N22" s="312">
        <f t="shared" si="4"/>
        <v>0</v>
      </c>
      <c r="O22" s="312">
        <f t="shared" si="5"/>
        <v>0</v>
      </c>
      <c r="P22" s="318">
        <f t="shared" si="16"/>
        <v>0</v>
      </c>
      <c r="Q22" s="318"/>
      <c r="R22" s="312">
        <f t="shared" si="6"/>
        <v>0</v>
      </c>
      <c r="S22" s="312">
        <f t="shared" si="7"/>
        <v>0</v>
      </c>
      <c r="T22" s="318">
        <f t="shared" si="17"/>
        <v>109239.03000000006</v>
      </c>
      <c r="U22" s="318">
        <f>+[1]DailyDes!AT21</f>
        <v>7385.5500000000175</v>
      </c>
      <c r="V22" s="312">
        <f t="shared" si="8"/>
        <v>167.71999545815868</v>
      </c>
      <c r="W22" s="312">
        <f t="shared" si="9"/>
        <v>190.72280756120281</v>
      </c>
      <c r="X22" s="318">
        <f t="shared" si="18"/>
        <v>256110.00000000058</v>
      </c>
      <c r="Y22" s="318">
        <f>+[1]DailyDes!AU21</f>
        <v>17000</v>
      </c>
      <c r="Z22" s="318">
        <f t="shared" si="19"/>
        <v>386.05654592937435</v>
      </c>
      <c r="AA22" s="318">
        <f t="shared" si="20"/>
        <v>439.00423509967982</v>
      </c>
      <c r="AB22" s="318">
        <f t="shared" si="21"/>
        <v>149252.03000000012</v>
      </c>
      <c r="AC22" s="318">
        <f>+[1]DailyDes!AV21</f>
        <v>8580.5500000001812</v>
      </c>
      <c r="AD22" s="318">
        <f t="shared" si="22"/>
        <v>194.85749971613899</v>
      </c>
      <c r="AE22" s="393">
        <f t="shared" si="23"/>
        <v>221.58222291086102</v>
      </c>
      <c r="AF22" s="318">
        <f t="shared" si="24"/>
        <v>134579.93812640829</v>
      </c>
      <c r="AG22" s="318">
        <f>+[1]DailyDes!AW21</f>
        <v>12334.892435163434</v>
      </c>
      <c r="AH22" s="318">
        <f t="shared" si="25"/>
        <v>280.11564517232733</v>
      </c>
      <c r="AI22" s="421">
        <f t="shared" si="26"/>
        <v>318.53353050210296</v>
      </c>
      <c r="AJ22" s="318">
        <f t="shared" si="27"/>
        <v>30032.700000000012</v>
      </c>
      <c r="AK22" s="318">
        <f>+[1]DailyDes!AX21</f>
        <v>1680</v>
      </c>
      <c r="AL22" s="318">
        <f t="shared" si="28"/>
        <v>38.151470421255816</v>
      </c>
      <c r="AM22" s="421">
        <f t="shared" si="29"/>
        <v>43.383947939262477</v>
      </c>
      <c r="AN22" s="318">
        <f t="shared" si="30"/>
        <v>46980.992435163629</v>
      </c>
      <c r="AO22" s="315">
        <f t="shared" si="10"/>
        <v>1066.9011566972549</v>
      </c>
      <c r="AP22" s="316">
        <f t="shared" si="11"/>
        <v>1213.2267440131091</v>
      </c>
      <c r="AT22" s="17" t="e">
        <f>SUM(AT20:AT21)</f>
        <v>#REF!</v>
      </c>
      <c r="AU22" s="17" t="e">
        <f>SUM(AU20:AU21)</f>
        <v>#REF!</v>
      </c>
    </row>
    <row r="23" spans="1:47">
      <c r="A23" s="309">
        <f t="shared" si="12"/>
        <v>46007</v>
      </c>
      <c r="B23" s="317">
        <f>+Report1!P24</f>
        <v>47.820999999999998</v>
      </c>
      <c r="C23" s="317">
        <f>+Report1!R24</f>
        <v>45.914000000000001</v>
      </c>
      <c r="D23" s="318">
        <f t="shared" si="13"/>
        <v>0</v>
      </c>
      <c r="E23" s="318"/>
      <c r="F23" s="312">
        <f t="shared" si="0"/>
        <v>0</v>
      </c>
      <c r="G23" s="312">
        <f t="shared" si="1"/>
        <v>0</v>
      </c>
      <c r="H23" s="318">
        <f t="shared" si="14"/>
        <v>0</v>
      </c>
      <c r="I23" s="318"/>
      <c r="J23" s="312">
        <f t="shared" si="2"/>
        <v>0</v>
      </c>
      <c r="K23" s="312">
        <f t="shared" si="3"/>
        <v>0</v>
      </c>
      <c r="L23" s="318">
        <f t="shared" si="15"/>
        <v>0</v>
      </c>
      <c r="M23" s="318"/>
      <c r="N23" s="312">
        <f t="shared" si="4"/>
        <v>0</v>
      </c>
      <c r="O23" s="312">
        <f t="shared" si="5"/>
        <v>0</v>
      </c>
      <c r="P23" s="318">
        <f t="shared" si="16"/>
        <v>0</v>
      </c>
      <c r="Q23" s="318"/>
      <c r="R23" s="312">
        <f t="shared" si="6"/>
        <v>0</v>
      </c>
      <c r="S23" s="312">
        <f t="shared" si="7"/>
        <v>0</v>
      </c>
      <c r="T23" s="318">
        <f t="shared" si="17"/>
        <v>115930.80000000005</v>
      </c>
      <c r="U23" s="318">
        <f>+[1]DailyDes!AT22</f>
        <v>6691.7699999999822</v>
      </c>
      <c r="V23" s="312">
        <f t="shared" si="8"/>
        <v>139.93371113109268</v>
      </c>
      <c r="W23" s="312">
        <f t="shared" si="9"/>
        <v>145.74574203946469</v>
      </c>
      <c r="X23" s="318">
        <f t="shared" si="18"/>
        <v>273110.00000000058</v>
      </c>
      <c r="Y23" s="318">
        <f>+[1]DailyDes!AU22</f>
        <v>17000</v>
      </c>
      <c r="Z23" s="318">
        <f t="shared" si="19"/>
        <v>355.49235691432636</v>
      </c>
      <c r="AA23" s="318">
        <f t="shared" si="20"/>
        <v>370.25743781853026</v>
      </c>
      <c r="AB23" s="318">
        <f t="shared" si="21"/>
        <v>158098.79999999938</v>
      </c>
      <c r="AC23" s="318">
        <f>+[1]DailyDes!AV22</f>
        <v>8846.7699999992728</v>
      </c>
      <c r="AD23" s="318">
        <f t="shared" si="22"/>
        <v>184.99759519874686</v>
      </c>
      <c r="AE23" s="393">
        <f t="shared" si="23"/>
        <v>192.68131724526881</v>
      </c>
      <c r="AF23" s="318">
        <f t="shared" si="24"/>
        <v>146769.97263537679</v>
      </c>
      <c r="AG23" s="318">
        <f>+[1]DailyDes!AW22</f>
        <v>12190.034508968489</v>
      </c>
      <c r="AH23" s="318">
        <f t="shared" si="25"/>
        <v>254.90965285059889</v>
      </c>
      <c r="AI23" s="421">
        <f t="shared" si="26"/>
        <v>265.49711436530225</v>
      </c>
      <c r="AJ23" s="318">
        <f t="shared" si="27"/>
        <v>31772.700000000012</v>
      </c>
      <c r="AK23" s="318">
        <f>+[1]DailyDes!AX22</f>
        <v>1740</v>
      </c>
      <c r="AL23" s="318">
        <f t="shared" si="28"/>
        <v>36.38568829593693</v>
      </c>
      <c r="AM23" s="421">
        <f t="shared" si="29"/>
        <v>37.896937753190748</v>
      </c>
      <c r="AN23" s="318">
        <f t="shared" si="30"/>
        <v>46468.574508967744</v>
      </c>
      <c r="AO23" s="315">
        <f t="shared" si="10"/>
        <v>971.71900439070168</v>
      </c>
      <c r="AP23" s="316">
        <f t="shared" si="11"/>
        <v>1012.0785492217568</v>
      </c>
    </row>
    <row r="24" spans="1:47">
      <c r="A24" s="309">
        <f t="shared" si="12"/>
        <v>46008</v>
      </c>
      <c r="B24" s="317">
        <f>+Report1!P25</f>
        <v>52.367000000000004</v>
      </c>
      <c r="C24" s="317">
        <f>+Report1!R25</f>
        <v>53.536000000000001</v>
      </c>
      <c r="D24" s="318">
        <f t="shared" si="13"/>
        <v>0</v>
      </c>
      <c r="E24" s="318"/>
      <c r="F24" s="312">
        <f t="shared" si="0"/>
        <v>0</v>
      </c>
      <c r="G24" s="312">
        <f t="shared" si="1"/>
        <v>0</v>
      </c>
      <c r="H24" s="318">
        <f t="shared" si="14"/>
        <v>0</v>
      </c>
      <c r="I24" s="318"/>
      <c r="J24" s="312">
        <f t="shared" si="2"/>
        <v>0</v>
      </c>
      <c r="K24" s="312">
        <f t="shared" si="3"/>
        <v>0</v>
      </c>
      <c r="L24" s="318">
        <f t="shared" si="15"/>
        <v>0</v>
      </c>
      <c r="M24" s="318"/>
      <c r="N24" s="312">
        <f t="shared" si="4"/>
        <v>0</v>
      </c>
      <c r="O24" s="312">
        <f t="shared" si="5"/>
        <v>0</v>
      </c>
      <c r="P24" s="318">
        <f t="shared" si="16"/>
        <v>0</v>
      </c>
      <c r="Q24" s="318"/>
      <c r="R24" s="312">
        <f t="shared" si="6"/>
        <v>0</v>
      </c>
      <c r="S24" s="312">
        <f t="shared" si="7"/>
        <v>0</v>
      </c>
      <c r="T24" s="318">
        <f t="shared" si="17"/>
        <v>123573.36000000003</v>
      </c>
      <c r="U24" s="318">
        <f>+[1]DailyDes!AT23</f>
        <v>7642.5599999999768</v>
      </c>
      <c r="V24" s="312">
        <f t="shared" si="8"/>
        <v>145.94229190138782</v>
      </c>
      <c r="W24" s="312">
        <f t="shared" si="9"/>
        <v>142.75552898983818</v>
      </c>
      <c r="X24" s="318">
        <f t="shared" si="18"/>
        <v>284110.00000000058</v>
      </c>
      <c r="Y24" s="318">
        <f>+[1]DailyDes!AU23</f>
        <v>11000</v>
      </c>
      <c r="Z24" s="318">
        <f t="shared" si="19"/>
        <v>210.05595126701928</v>
      </c>
      <c r="AA24" s="318">
        <f t="shared" si="20"/>
        <v>205.46921697549311</v>
      </c>
      <c r="AB24" s="318">
        <f t="shared" si="21"/>
        <v>167341.35999999937</v>
      </c>
      <c r="AC24" s="318">
        <f>+[1]DailyDes!AV23</f>
        <v>9242.56</v>
      </c>
      <c r="AD24" s="318">
        <f t="shared" si="22"/>
        <v>176.4958848129547</v>
      </c>
      <c r="AE24" s="393">
        <f t="shared" si="23"/>
        <v>172.64196054991032</v>
      </c>
      <c r="AF24" s="318">
        <f t="shared" si="24"/>
        <v>161035.59166626455</v>
      </c>
      <c r="AG24" s="318">
        <f>+[1]DailyDes!AW23</f>
        <v>14265.619030887752</v>
      </c>
      <c r="AH24" s="318">
        <f t="shared" si="25"/>
        <v>272.41619781327461</v>
      </c>
      <c r="AI24" s="421">
        <f t="shared" si="26"/>
        <v>266.4677792679272</v>
      </c>
      <c r="AJ24" s="318">
        <f t="shared" si="27"/>
        <v>33482.700000000012</v>
      </c>
      <c r="AK24" s="318">
        <f>+[1]DailyDes!AX23</f>
        <v>1710</v>
      </c>
      <c r="AL24" s="318">
        <f t="shared" si="28"/>
        <v>32.654152424236635</v>
      </c>
      <c r="AM24" s="421">
        <f t="shared" si="29"/>
        <v>31.941123729826657</v>
      </c>
      <c r="AN24" s="318">
        <f t="shared" si="30"/>
        <v>43860.739030887722</v>
      </c>
      <c r="AO24" s="315">
        <f t="shared" si="10"/>
        <v>837.56447821887298</v>
      </c>
      <c r="AP24" s="316">
        <f t="shared" si="11"/>
        <v>819.2756095129954</v>
      </c>
      <c r="AS24" s="19" t="s">
        <v>2</v>
      </c>
      <c r="AT24" s="17" t="e">
        <f>+AT16+AT19+AT22</f>
        <v>#REF!</v>
      </c>
      <c r="AU24" s="17" t="e">
        <f>+AU16+AU19+AU22</f>
        <v>#REF!</v>
      </c>
    </row>
    <row r="25" spans="1:47">
      <c r="A25" s="309">
        <f t="shared" si="12"/>
        <v>46009</v>
      </c>
      <c r="B25" s="317">
        <f>+Report1!P26</f>
        <v>56.114000000000004</v>
      </c>
      <c r="C25" s="317">
        <f>+Report1!R26</f>
        <v>51.192999999999998</v>
      </c>
      <c r="D25" s="318">
        <f t="shared" si="13"/>
        <v>0</v>
      </c>
      <c r="E25" s="318"/>
      <c r="F25" s="312">
        <f t="shared" si="0"/>
        <v>0</v>
      </c>
      <c r="G25" s="312">
        <f t="shared" si="1"/>
        <v>0</v>
      </c>
      <c r="H25" s="318">
        <f t="shared" si="14"/>
        <v>0</v>
      </c>
      <c r="I25" s="318"/>
      <c r="J25" s="312">
        <f t="shared" si="2"/>
        <v>0</v>
      </c>
      <c r="K25" s="312">
        <f t="shared" si="3"/>
        <v>0</v>
      </c>
      <c r="L25" s="318">
        <f t="shared" si="15"/>
        <v>0</v>
      </c>
      <c r="M25" s="318"/>
      <c r="N25" s="312">
        <f t="shared" si="4"/>
        <v>0</v>
      </c>
      <c r="O25" s="312">
        <f t="shared" si="5"/>
        <v>0</v>
      </c>
      <c r="P25" s="318">
        <f t="shared" si="16"/>
        <v>0</v>
      </c>
      <c r="Q25" s="318"/>
      <c r="R25" s="312">
        <f t="shared" si="6"/>
        <v>0</v>
      </c>
      <c r="S25" s="312">
        <f t="shared" si="7"/>
        <v>0</v>
      </c>
      <c r="T25" s="318">
        <f t="shared" si="17"/>
        <v>129569.26000000007</v>
      </c>
      <c r="U25" s="318">
        <f>+[1]DailyDes!AT24</f>
        <v>5995.9000000000451</v>
      </c>
      <c r="V25" s="312">
        <f t="shared" si="8"/>
        <v>106.8521224649828</v>
      </c>
      <c r="W25" s="312">
        <f t="shared" si="9"/>
        <v>117.12343484460855</v>
      </c>
      <c r="X25" s="318">
        <f t="shared" si="18"/>
        <v>295110.00000000058</v>
      </c>
      <c r="Y25" s="318">
        <f>+[1]DailyDes!AU24</f>
        <v>11000</v>
      </c>
      <c r="Z25" s="318">
        <f t="shared" si="19"/>
        <v>196.02951135189079</v>
      </c>
      <c r="AA25" s="318">
        <f t="shared" si="20"/>
        <v>214.87312718535739</v>
      </c>
      <c r="AB25" s="318">
        <f t="shared" si="21"/>
        <v>176237.25999999975</v>
      </c>
      <c r="AC25" s="318">
        <f>+[1]DailyDes!AV24</f>
        <v>8895.9000000003634</v>
      </c>
      <c r="AD25" s="318">
        <f t="shared" si="22"/>
        <v>158.53263000321422</v>
      </c>
      <c r="AE25" s="393">
        <f t="shared" si="23"/>
        <v>173.77180473893625</v>
      </c>
      <c r="AF25" s="318">
        <f t="shared" si="24"/>
        <v>174183.81583448805</v>
      </c>
      <c r="AG25" s="318">
        <f>+[1]DailyDes!AW24</f>
        <v>13148.224168223502</v>
      </c>
      <c r="AH25" s="318">
        <f t="shared" si="25"/>
        <v>234.31272353108852</v>
      </c>
      <c r="AI25" s="421">
        <f t="shared" si="26"/>
        <v>256.83636763275257</v>
      </c>
      <c r="AJ25" s="318">
        <f t="shared" si="27"/>
        <v>35272.700000000012</v>
      </c>
      <c r="AK25" s="318">
        <f>+[1]DailyDes!AX24</f>
        <v>1790</v>
      </c>
      <c r="AL25" s="318">
        <f t="shared" si="28"/>
        <v>31.899347756353137</v>
      </c>
      <c r="AM25" s="421">
        <f t="shared" si="29"/>
        <v>34.96571796925361</v>
      </c>
      <c r="AN25" s="318">
        <f t="shared" si="30"/>
        <v>40830.024168223914</v>
      </c>
      <c r="AO25" s="315">
        <f t="shared" si="10"/>
        <v>727.62633510752948</v>
      </c>
      <c r="AP25" s="316">
        <f t="shared" si="11"/>
        <v>797.57045237090847</v>
      </c>
    </row>
    <row r="26" spans="1:47">
      <c r="A26" s="309">
        <f t="shared" si="12"/>
        <v>46010</v>
      </c>
      <c r="B26" s="317">
        <f>+Report1!P27</f>
        <v>59.561999999999998</v>
      </c>
      <c r="C26" s="317">
        <f>+Report1!R27</f>
        <v>55.948</v>
      </c>
      <c r="D26" s="318">
        <f t="shared" si="13"/>
        <v>0</v>
      </c>
      <c r="E26" s="318"/>
      <c r="F26" s="312">
        <f t="shared" si="0"/>
        <v>0</v>
      </c>
      <c r="G26" s="312">
        <f t="shared" si="1"/>
        <v>0</v>
      </c>
      <c r="H26" s="318">
        <f t="shared" si="14"/>
        <v>0</v>
      </c>
      <c r="I26" s="318"/>
      <c r="J26" s="312">
        <f t="shared" si="2"/>
        <v>0</v>
      </c>
      <c r="K26" s="312">
        <f t="shared" si="3"/>
        <v>0</v>
      </c>
      <c r="L26" s="318">
        <f t="shared" si="15"/>
        <v>0</v>
      </c>
      <c r="M26" s="318"/>
      <c r="N26" s="312">
        <f t="shared" si="4"/>
        <v>0</v>
      </c>
      <c r="O26" s="312">
        <f t="shared" si="5"/>
        <v>0</v>
      </c>
      <c r="P26" s="318">
        <f t="shared" si="16"/>
        <v>0</v>
      </c>
      <c r="Q26" s="318"/>
      <c r="R26" s="312">
        <f t="shared" si="6"/>
        <v>0</v>
      </c>
      <c r="S26" s="312">
        <f t="shared" si="7"/>
        <v>0</v>
      </c>
      <c r="T26" s="318">
        <f t="shared" si="17"/>
        <v>136571.99000000002</v>
      </c>
      <c r="U26" s="318">
        <f>+[1]DailyDes!AT25</f>
        <v>7002.7299999999541</v>
      </c>
      <c r="V26" s="312">
        <f t="shared" si="8"/>
        <v>117.57043081159051</v>
      </c>
      <c r="W26" s="312">
        <f t="shared" si="9"/>
        <v>125.16497461928851</v>
      </c>
      <c r="X26" s="318">
        <f t="shared" si="18"/>
        <v>308110.00000000058</v>
      </c>
      <c r="Y26" s="318">
        <f>+[1]DailyDes!AU25</f>
        <v>13000</v>
      </c>
      <c r="Z26" s="318">
        <f t="shared" si="19"/>
        <v>218.25996440683659</v>
      </c>
      <c r="AA26" s="318">
        <f t="shared" si="20"/>
        <v>232.35861871738041</v>
      </c>
      <c r="AB26" s="318">
        <f t="shared" si="21"/>
        <v>185289.99000000011</v>
      </c>
      <c r="AC26" s="318">
        <f>+[1]DailyDes!AV25</f>
        <v>9052.7300000003634</v>
      </c>
      <c r="AD26" s="318">
        <f t="shared" si="22"/>
        <v>151.9883482757524</v>
      </c>
      <c r="AE26" s="393">
        <f t="shared" si="23"/>
        <v>161.8061414170366</v>
      </c>
      <c r="AF26" s="318">
        <f t="shared" si="24"/>
        <v>187816.17696263097</v>
      </c>
      <c r="AG26" s="318">
        <f>+[1]DailyDes!AW25</f>
        <v>13632.36112814292</v>
      </c>
      <c r="AH26" s="318">
        <f t="shared" si="25"/>
        <v>228.87681958535509</v>
      </c>
      <c r="AI26" s="421">
        <f t="shared" si="26"/>
        <v>243.66127704552298</v>
      </c>
      <c r="AJ26" s="318">
        <f t="shared" si="27"/>
        <v>37092.700000000012</v>
      </c>
      <c r="AK26" s="318">
        <f>+[1]DailyDes!AX25</f>
        <v>1820</v>
      </c>
      <c r="AL26" s="318">
        <f t="shared" si="28"/>
        <v>30.556395016957122</v>
      </c>
      <c r="AM26" s="421">
        <f t="shared" si="29"/>
        <v>32.530206620433262</v>
      </c>
      <c r="AN26" s="318">
        <f t="shared" si="30"/>
        <v>44507.821128143238</v>
      </c>
      <c r="AO26" s="315">
        <f t="shared" si="10"/>
        <v>747.25195809649176</v>
      </c>
      <c r="AP26" s="316">
        <f t="shared" si="11"/>
        <v>795.52121841966175</v>
      </c>
      <c r="AS26" s="19" t="s">
        <v>187</v>
      </c>
      <c r="AU26" s="390" t="e">
        <f>+AU24/AT24-1</f>
        <v>#REF!</v>
      </c>
    </row>
    <row r="27" spans="1:47">
      <c r="A27" s="309">
        <f t="shared" si="12"/>
        <v>46011</v>
      </c>
      <c r="B27" s="317">
        <f>+Report1!P28</f>
        <v>54.966999999999999</v>
      </c>
      <c r="C27" s="317">
        <f>+Report1!R28</f>
        <v>61.436999999999998</v>
      </c>
      <c r="D27" s="318">
        <f t="shared" si="13"/>
        <v>0</v>
      </c>
      <c r="E27" s="318"/>
      <c r="F27" s="312">
        <f t="shared" si="0"/>
        <v>0</v>
      </c>
      <c r="G27" s="312">
        <f t="shared" si="1"/>
        <v>0</v>
      </c>
      <c r="H27" s="318">
        <f t="shared" si="14"/>
        <v>0</v>
      </c>
      <c r="I27" s="318"/>
      <c r="J27" s="312">
        <f t="shared" si="2"/>
        <v>0</v>
      </c>
      <c r="K27" s="312">
        <f t="shared" si="3"/>
        <v>0</v>
      </c>
      <c r="L27" s="318">
        <f t="shared" si="15"/>
        <v>0</v>
      </c>
      <c r="M27" s="318"/>
      <c r="N27" s="312">
        <f t="shared" si="4"/>
        <v>0</v>
      </c>
      <c r="O27" s="312">
        <f t="shared" si="5"/>
        <v>0</v>
      </c>
      <c r="P27" s="318">
        <f t="shared" si="16"/>
        <v>0</v>
      </c>
      <c r="Q27" s="318"/>
      <c r="R27" s="312">
        <f t="shared" si="6"/>
        <v>0</v>
      </c>
      <c r="S27" s="312">
        <f t="shared" si="7"/>
        <v>0</v>
      </c>
      <c r="T27" s="318">
        <f t="shared" si="17"/>
        <v>143488.85000000006</v>
      </c>
      <c r="U27" s="318">
        <f>+[1]DailyDes!AT26</f>
        <v>6916.8600000000451</v>
      </c>
      <c r="V27" s="312">
        <f t="shared" si="8"/>
        <v>125.83659286481063</v>
      </c>
      <c r="W27" s="312">
        <f t="shared" si="9"/>
        <v>112.58459885736683</v>
      </c>
      <c r="X27" s="318">
        <f t="shared" si="18"/>
        <v>323110.00000000058</v>
      </c>
      <c r="Y27" s="318">
        <f>+[1]DailyDes!AU26</f>
        <v>15000</v>
      </c>
      <c r="Z27" s="318">
        <f t="shared" si="19"/>
        <v>272.89100733167174</v>
      </c>
      <c r="AA27" s="318">
        <f t="shared" si="20"/>
        <v>244.15254651106011</v>
      </c>
      <c r="AB27" s="318">
        <f t="shared" si="21"/>
        <v>193856.84999999957</v>
      </c>
      <c r="AC27" s="318">
        <f>+[1]DailyDes!AV26</f>
        <v>8566.8599999994549</v>
      </c>
      <c r="AD27" s="318">
        <f t="shared" si="22"/>
        <v>155.85460367128377</v>
      </c>
      <c r="AE27" s="393">
        <f t="shared" si="23"/>
        <v>139.44137897357382</v>
      </c>
      <c r="AF27" s="318">
        <f t="shared" si="24"/>
        <v>200209.97789190829</v>
      </c>
      <c r="AG27" s="318">
        <f>+[1]DailyDes!AW26</f>
        <v>12393.800929277324</v>
      </c>
      <c r="AH27" s="318">
        <f t="shared" si="25"/>
        <v>225.47712135057989</v>
      </c>
      <c r="AI27" s="421">
        <f t="shared" si="26"/>
        <v>201.73187052228013</v>
      </c>
      <c r="AJ27" s="318">
        <f t="shared" si="27"/>
        <v>38882.700000000012</v>
      </c>
      <c r="AK27" s="318">
        <f>+[1]DailyDes!AX26</f>
        <v>1790</v>
      </c>
      <c r="AL27" s="318">
        <f t="shared" si="28"/>
        <v>32.564993541579497</v>
      </c>
      <c r="AM27" s="421">
        <f t="shared" si="29"/>
        <v>29.135537216986506</v>
      </c>
      <c r="AN27" s="318">
        <f t="shared" si="30"/>
        <v>44667.520929276827</v>
      </c>
      <c r="AO27" s="315">
        <f t="shared" si="10"/>
        <v>812.62431875992559</v>
      </c>
      <c r="AP27" s="316">
        <f t="shared" si="11"/>
        <v>727.04593208126744</v>
      </c>
    </row>
    <row r="28" spans="1:47">
      <c r="A28" s="309">
        <f t="shared" si="12"/>
        <v>46012</v>
      </c>
      <c r="B28" s="317">
        <f>+Report1!P29</f>
        <v>53.402999999999999</v>
      </c>
      <c r="C28" s="317">
        <f>+Report1!R29</f>
        <v>49.655999999999999</v>
      </c>
      <c r="D28" s="318">
        <f t="shared" si="13"/>
        <v>0</v>
      </c>
      <c r="E28" s="318"/>
      <c r="F28" s="313">
        <f t="shared" si="0"/>
        <v>0</v>
      </c>
      <c r="G28" s="312">
        <f t="shared" si="1"/>
        <v>0</v>
      </c>
      <c r="H28" s="318">
        <f t="shared" si="14"/>
        <v>0</v>
      </c>
      <c r="I28" s="318"/>
      <c r="J28" s="312">
        <f t="shared" si="2"/>
        <v>0</v>
      </c>
      <c r="K28" s="312">
        <f t="shared" si="3"/>
        <v>0</v>
      </c>
      <c r="L28" s="318">
        <f t="shared" si="15"/>
        <v>0</v>
      </c>
      <c r="M28" s="318"/>
      <c r="N28" s="312">
        <f t="shared" si="4"/>
        <v>0</v>
      </c>
      <c r="O28" s="312">
        <f t="shared" si="5"/>
        <v>0</v>
      </c>
      <c r="P28" s="318">
        <f t="shared" si="16"/>
        <v>0</v>
      </c>
      <c r="Q28" s="318"/>
      <c r="R28" s="312">
        <f t="shared" si="6"/>
        <v>0</v>
      </c>
      <c r="S28" s="312">
        <f t="shared" si="7"/>
        <v>0</v>
      </c>
      <c r="T28" s="318">
        <f t="shared" si="17"/>
        <v>150588.43999999916</v>
      </c>
      <c r="U28" s="318">
        <f>+[1]DailyDes!AT27</f>
        <v>7099.5899999991043</v>
      </c>
      <c r="V28" s="312">
        <f t="shared" si="8"/>
        <v>132.94365485083429</v>
      </c>
      <c r="W28" s="312">
        <f t="shared" si="9"/>
        <v>142.97547124212792</v>
      </c>
      <c r="X28" s="318">
        <f t="shared" si="18"/>
        <v>337430.00000000029</v>
      </c>
      <c r="Y28" s="318">
        <f>+[1]DailyDes!AU27</f>
        <v>14319.999999999709</v>
      </c>
      <c r="Z28" s="318">
        <f t="shared" si="19"/>
        <v>268.14972941594499</v>
      </c>
      <c r="AA28" s="318">
        <f t="shared" si="20"/>
        <v>288.38408248750824</v>
      </c>
      <c r="AB28" s="318">
        <f t="shared" si="21"/>
        <v>202785.43999999989</v>
      </c>
      <c r="AC28" s="318">
        <f>+[1]DailyDes!AV27</f>
        <v>8928.5900000003057</v>
      </c>
      <c r="AD28" s="318">
        <f t="shared" si="22"/>
        <v>167.19266707863426</v>
      </c>
      <c r="AE28" s="393">
        <f t="shared" si="23"/>
        <v>179.80888512969844</v>
      </c>
      <c r="AF28" s="318">
        <f t="shared" si="24"/>
        <v>213216.88709415536</v>
      </c>
      <c r="AG28" s="318">
        <f>+[1]DailyDes!AW27</f>
        <v>13006.909202247067</v>
      </c>
      <c r="AH28" s="318">
        <f t="shared" si="25"/>
        <v>243.56139546930072</v>
      </c>
      <c r="AI28" s="421">
        <f t="shared" si="26"/>
        <v>261.94033353969445</v>
      </c>
      <c r="AJ28" s="318">
        <f t="shared" si="27"/>
        <v>40718.300000000017</v>
      </c>
      <c r="AK28" s="318">
        <f>+[1]DailyDes!AX27</f>
        <v>1835.6000000000058</v>
      </c>
      <c r="AL28" s="318">
        <f t="shared" si="28"/>
        <v>34.372600790217888</v>
      </c>
      <c r="AM28" s="421">
        <f t="shared" si="29"/>
        <v>36.966328338972247</v>
      </c>
      <c r="AN28" s="318">
        <f t="shared" si="30"/>
        <v>45190.689202246191</v>
      </c>
      <c r="AO28" s="315">
        <f t="shared" si="10"/>
        <v>846.22004760493212</v>
      </c>
      <c r="AP28" s="316">
        <f t="shared" si="11"/>
        <v>910.07510073800131</v>
      </c>
    </row>
    <row r="29" spans="1:47">
      <c r="A29" s="309">
        <f t="shared" si="12"/>
        <v>46013</v>
      </c>
      <c r="B29" s="317">
        <f>+Report1!P30</f>
        <v>54.656000000000006</v>
      </c>
      <c r="C29" s="317">
        <f>+Report1!R30</f>
        <v>55.546999999999997</v>
      </c>
      <c r="D29" s="318">
        <f t="shared" si="13"/>
        <v>0</v>
      </c>
      <c r="E29" s="318"/>
      <c r="F29" s="312">
        <f t="shared" si="0"/>
        <v>0</v>
      </c>
      <c r="G29" s="312">
        <f t="shared" si="1"/>
        <v>0</v>
      </c>
      <c r="H29" s="318">
        <f t="shared" si="14"/>
        <v>0</v>
      </c>
      <c r="I29" s="318"/>
      <c r="J29" s="312">
        <f t="shared" si="2"/>
        <v>0</v>
      </c>
      <c r="K29" s="312">
        <f t="shared" si="3"/>
        <v>0</v>
      </c>
      <c r="L29" s="318">
        <f t="shared" si="15"/>
        <v>0</v>
      </c>
      <c r="M29" s="318"/>
      <c r="N29" s="312">
        <f t="shared" si="4"/>
        <v>0</v>
      </c>
      <c r="O29" s="312">
        <f t="shared" si="5"/>
        <v>0</v>
      </c>
      <c r="P29" s="318">
        <f t="shared" si="16"/>
        <v>0</v>
      </c>
      <c r="Q29" s="318"/>
      <c r="R29" s="312">
        <f t="shared" si="6"/>
        <v>0</v>
      </c>
      <c r="S29" s="312">
        <f t="shared" si="7"/>
        <v>0</v>
      </c>
      <c r="T29" s="318">
        <f t="shared" si="17"/>
        <v>156478.83000000086</v>
      </c>
      <c r="U29" s="318">
        <f>+[1]DailyDes!AT28</f>
        <v>5890.3900000016965</v>
      </c>
      <c r="V29" s="312">
        <f t="shared" si="8"/>
        <v>107.77206528106147</v>
      </c>
      <c r="W29" s="312">
        <f t="shared" si="9"/>
        <v>106.04335067603465</v>
      </c>
      <c r="X29" s="318">
        <f t="shared" si="18"/>
        <v>353510.00000000023</v>
      </c>
      <c r="Y29" s="318">
        <f>+[1]DailyDes!AU28</f>
        <v>16079.999999999927</v>
      </c>
      <c r="Z29" s="318">
        <f t="shared" si="19"/>
        <v>294.20374707259816</v>
      </c>
      <c r="AA29" s="318">
        <f t="shared" si="20"/>
        <v>289.48458062541499</v>
      </c>
      <c r="AB29" s="318">
        <f t="shared" si="21"/>
        <v>211379.82999999984</v>
      </c>
      <c r="AC29" s="318">
        <f>+[1]DailyDes!AV28</f>
        <v>8594.3899999999412</v>
      </c>
      <c r="AD29" s="318">
        <f t="shared" si="22"/>
        <v>157.24513319672022</v>
      </c>
      <c r="AE29" s="393">
        <f t="shared" si="23"/>
        <v>154.722847318486</v>
      </c>
      <c r="AF29" s="318">
        <f t="shared" si="24"/>
        <v>226105.25126779129</v>
      </c>
      <c r="AG29" s="318">
        <f>+[1]DailyDes!AW28</f>
        <v>12888.36417363592</v>
      </c>
      <c r="AH29" s="318">
        <f t="shared" si="25"/>
        <v>235.80877074128949</v>
      </c>
      <c r="AI29" s="421">
        <f t="shared" si="26"/>
        <v>232.02628717367134</v>
      </c>
      <c r="AJ29" s="318">
        <f t="shared" si="27"/>
        <v>42418.900000000023</v>
      </c>
      <c r="AK29" s="318">
        <f>+[1]DailyDes!AX28</f>
        <v>1700.6000000000058</v>
      </c>
      <c r="AL29" s="318">
        <f t="shared" si="28"/>
        <v>31.11460772833734</v>
      </c>
      <c r="AM29" s="421">
        <f t="shared" si="29"/>
        <v>30.615514789277654</v>
      </c>
      <c r="AN29" s="318">
        <f t="shared" si="30"/>
        <v>45153.744173637489</v>
      </c>
      <c r="AO29" s="315">
        <f t="shared" si="10"/>
        <v>826.14432402000671</v>
      </c>
      <c r="AP29" s="316">
        <f t="shared" si="11"/>
        <v>812.89258058288465</v>
      </c>
    </row>
    <row r="30" spans="1:47">
      <c r="A30" s="309">
        <f t="shared" si="12"/>
        <v>46014</v>
      </c>
      <c r="B30" s="317">
        <f>+Report1!P31</f>
        <v>53.445999999999998</v>
      </c>
      <c r="C30" s="317">
        <f>+Report1!R31</f>
        <v>50.734999999999999</v>
      </c>
      <c r="D30" s="318">
        <f t="shared" si="13"/>
        <v>0</v>
      </c>
      <c r="E30" s="318"/>
      <c r="F30" s="312">
        <f t="shared" si="0"/>
        <v>0</v>
      </c>
      <c r="G30" s="312">
        <f t="shared" si="1"/>
        <v>0</v>
      </c>
      <c r="H30" s="318">
        <f t="shared" si="14"/>
        <v>0</v>
      </c>
      <c r="I30" s="318"/>
      <c r="J30" s="312">
        <f t="shared" si="2"/>
        <v>0</v>
      </c>
      <c r="K30" s="312">
        <f t="shared" si="3"/>
        <v>0</v>
      </c>
      <c r="L30" s="318">
        <f t="shared" si="15"/>
        <v>0</v>
      </c>
      <c r="M30" s="318"/>
      <c r="N30" s="312">
        <f t="shared" si="4"/>
        <v>0</v>
      </c>
      <c r="O30" s="312">
        <f t="shared" si="5"/>
        <v>0</v>
      </c>
      <c r="P30" s="318">
        <f t="shared" si="16"/>
        <v>0</v>
      </c>
      <c r="Q30" s="318"/>
      <c r="R30" s="312">
        <f t="shared" si="6"/>
        <v>0</v>
      </c>
      <c r="S30" s="312">
        <f t="shared" si="7"/>
        <v>0</v>
      </c>
      <c r="T30" s="318">
        <f t="shared" si="17"/>
        <v>164020.03000000044</v>
      </c>
      <c r="U30" s="318">
        <f>+[1]DailyDes!AT29</f>
        <v>7541.1999999995687</v>
      </c>
      <c r="V30" s="312">
        <f t="shared" si="8"/>
        <v>141.09942745948376</v>
      </c>
      <c r="W30" s="312">
        <f t="shared" si="9"/>
        <v>148.63900660292833</v>
      </c>
      <c r="X30" s="318">
        <f t="shared" si="18"/>
        <v>369840.00000000017</v>
      </c>
      <c r="Y30" s="318">
        <f>+[1]DailyDes!AU29</f>
        <v>16329.999999999927</v>
      </c>
      <c r="Z30" s="318">
        <f t="shared" si="19"/>
        <v>305.54204243535395</v>
      </c>
      <c r="AA30" s="318">
        <f t="shared" si="20"/>
        <v>321.86853257120185</v>
      </c>
      <c r="AB30" s="318">
        <f t="shared" si="21"/>
        <v>220871.03000000003</v>
      </c>
      <c r="AC30" s="318">
        <f>+[1]DailyDes!AV29</f>
        <v>9491.2000000001826</v>
      </c>
      <c r="AD30" s="318">
        <f t="shared" si="22"/>
        <v>177.58485200015312</v>
      </c>
      <c r="AE30" s="393">
        <f t="shared" si="23"/>
        <v>187.0740120232617</v>
      </c>
      <c r="AF30" s="318">
        <f t="shared" si="24"/>
        <v>238974.21533509332</v>
      </c>
      <c r="AG30" s="318">
        <f>+[1]DailyDes!AW29</f>
        <v>12868.964067302044</v>
      </c>
      <c r="AH30" s="318">
        <f t="shared" si="25"/>
        <v>240.78441917640319</v>
      </c>
      <c r="AI30" s="421">
        <f t="shared" si="26"/>
        <v>253.65061727214041</v>
      </c>
      <c r="AJ30" s="318">
        <f t="shared" si="27"/>
        <v>44087.799999999988</v>
      </c>
      <c r="AK30" s="318">
        <f>+[1]DailyDes!AX29</f>
        <v>1668.8999999999651</v>
      </c>
      <c r="AL30" s="318">
        <f t="shared" si="28"/>
        <v>31.225910264565453</v>
      </c>
      <c r="AM30" s="421">
        <f t="shared" si="29"/>
        <v>32.894451562037354</v>
      </c>
      <c r="AN30" s="318">
        <f t="shared" si="30"/>
        <v>47900.264067301687</v>
      </c>
      <c r="AO30" s="315">
        <f t="shared" si="10"/>
        <v>896.23665133595944</v>
      </c>
      <c r="AP30" s="316">
        <f t="shared" si="11"/>
        <v>944.1266200315697</v>
      </c>
    </row>
    <row r="31" spans="1:47">
      <c r="A31" s="309">
        <f t="shared" si="12"/>
        <v>46015</v>
      </c>
      <c r="B31" s="317">
        <f>+Report1!P32</f>
        <v>50.457999999999998</v>
      </c>
      <c r="C31" s="317">
        <f>+Report1!R32</f>
        <v>52.133000000000003</v>
      </c>
      <c r="D31" s="318">
        <f t="shared" si="13"/>
        <v>0</v>
      </c>
      <c r="E31" s="318"/>
      <c r="F31" s="312">
        <f t="shared" si="0"/>
        <v>0</v>
      </c>
      <c r="G31" s="312">
        <f t="shared" si="1"/>
        <v>0</v>
      </c>
      <c r="H31" s="318">
        <f t="shared" si="14"/>
        <v>0</v>
      </c>
      <c r="I31" s="318"/>
      <c r="J31" s="312">
        <f t="shared" si="2"/>
        <v>0</v>
      </c>
      <c r="K31" s="312">
        <f t="shared" si="3"/>
        <v>0</v>
      </c>
      <c r="L31" s="318">
        <f t="shared" si="15"/>
        <v>0</v>
      </c>
      <c r="M31" s="318"/>
      <c r="N31" s="312">
        <f t="shared" si="4"/>
        <v>0</v>
      </c>
      <c r="O31" s="312">
        <f t="shared" si="5"/>
        <v>0</v>
      </c>
      <c r="P31" s="318">
        <f t="shared" si="16"/>
        <v>0</v>
      </c>
      <c r="Q31" s="318"/>
      <c r="R31" s="312">
        <f t="shared" si="6"/>
        <v>0</v>
      </c>
      <c r="S31" s="312">
        <f t="shared" si="7"/>
        <v>0</v>
      </c>
      <c r="T31" s="318">
        <f t="shared" si="17"/>
        <v>170779.72000000053</v>
      </c>
      <c r="U31" s="318">
        <f>+[1]DailyDes!AT30</f>
        <v>6759.6900000000951</v>
      </c>
      <c r="V31" s="312">
        <f t="shared" si="8"/>
        <v>133.96666534543769</v>
      </c>
      <c r="W31" s="312">
        <f t="shared" si="9"/>
        <v>129.66240193351803</v>
      </c>
      <c r="X31" s="318">
        <f t="shared" si="18"/>
        <v>388480.0000000014</v>
      </c>
      <c r="Y31" s="318">
        <f>+[1]DailyDes!AU30</f>
        <v>18640.000000001237</v>
      </c>
      <c r="Z31" s="318">
        <f t="shared" si="19"/>
        <v>369.41614808357917</v>
      </c>
      <c r="AA31" s="318">
        <f t="shared" si="20"/>
        <v>357.54704313968574</v>
      </c>
      <c r="AB31" s="318">
        <f t="shared" si="21"/>
        <v>229889.71999999956</v>
      </c>
      <c r="AC31" s="318">
        <f>+[1]DailyDes!AV30</f>
        <v>9018.6899999995421</v>
      </c>
      <c r="AD31" s="318">
        <f t="shared" si="22"/>
        <v>178.73657299138972</v>
      </c>
      <c r="AE31" s="393">
        <f t="shared" si="23"/>
        <v>172.9938810350362</v>
      </c>
      <c r="AF31" s="318">
        <f t="shared" si="24"/>
        <v>251362.4040987253</v>
      </c>
      <c r="AG31" s="318">
        <f>+[1]DailyDes!AW30</f>
        <v>12388.188763631961</v>
      </c>
      <c r="AH31" s="318">
        <f t="shared" si="25"/>
        <v>245.5148591627088</v>
      </c>
      <c r="AI31" s="421">
        <f t="shared" si="26"/>
        <v>237.62662351355112</v>
      </c>
      <c r="AJ31" s="318">
        <f t="shared" si="27"/>
        <v>45834.600000000035</v>
      </c>
      <c r="AK31" s="318">
        <f>+[1]DailyDes!AX30</f>
        <v>1746.8000000000466</v>
      </c>
      <c r="AL31" s="318">
        <f t="shared" si="28"/>
        <v>34.618890958818156</v>
      </c>
      <c r="AM31" s="421">
        <f t="shared" si="29"/>
        <v>33.506608098518143</v>
      </c>
      <c r="AN31" s="318">
        <f t="shared" si="30"/>
        <v>48553.368763632883</v>
      </c>
      <c r="AO31" s="315">
        <f t="shared" si="10"/>
        <v>962.2531365419336</v>
      </c>
      <c r="AP31" s="316">
        <f t="shared" si="11"/>
        <v>931.3365577203092</v>
      </c>
    </row>
    <row r="32" spans="1:47">
      <c r="A32" s="309">
        <f t="shared" si="12"/>
        <v>46016</v>
      </c>
      <c r="B32" s="317">
        <f>+Report1!P33</f>
        <v>50.438000000000002</v>
      </c>
      <c r="C32" s="317">
        <f>+Report1!R33</f>
        <v>46.787999999999997</v>
      </c>
      <c r="D32" s="318">
        <f t="shared" si="13"/>
        <v>0</v>
      </c>
      <c r="E32" s="318"/>
      <c r="F32" s="312">
        <f t="shared" si="0"/>
        <v>0</v>
      </c>
      <c r="G32" s="312">
        <f t="shared" si="1"/>
        <v>0</v>
      </c>
      <c r="H32" s="318">
        <f t="shared" si="14"/>
        <v>0</v>
      </c>
      <c r="I32" s="318"/>
      <c r="J32" s="312">
        <f t="shared" si="2"/>
        <v>0</v>
      </c>
      <c r="K32" s="312">
        <f t="shared" si="3"/>
        <v>0</v>
      </c>
      <c r="L32" s="318">
        <f t="shared" si="15"/>
        <v>0</v>
      </c>
      <c r="M32" s="318"/>
      <c r="N32" s="312">
        <f t="shared" si="4"/>
        <v>0</v>
      </c>
      <c r="O32" s="312">
        <f t="shared" si="5"/>
        <v>0</v>
      </c>
      <c r="P32" s="318">
        <f t="shared" si="16"/>
        <v>0</v>
      </c>
      <c r="Q32" s="318"/>
      <c r="R32" s="312">
        <f t="shared" si="6"/>
        <v>0</v>
      </c>
      <c r="S32" s="312">
        <f t="shared" si="7"/>
        <v>0</v>
      </c>
      <c r="T32" s="318">
        <f t="shared" si="17"/>
        <v>177747.65</v>
      </c>
      <c r="U32" s="318">
        <f>+[1]DailyDes!AT31</f>
        <v>6967.9299999994682</v>
      </c>
      <c r="V32" s="312">
        <f t="shared" si="8"/>
        <v>138.14841984217193</v>
      </c>
      <c r="W32" s="312">
        <f t="shared" si="9"/>
        <v>148.92557920833266</v>
      </c>
      <c r="X32" s="318">
        <f t="shared" si="18"/>
        <v>408110.00000000058</v>
      </c>
      <c r="Y32" s="318">
        <f>+[1]DailyDes!AU31</f>
        <v>19629.9999999992</v>
      </c>
      <c r="Z32" s="318">
        <f t="shared" si="19"/>
        <v>389.19068955944323</v>
      </c>
      <c r="AA32" s="318">
        <f t="shared" si="20"/>
        <v>419.5520218859366</v>
      </c>
      <c r="AB32" s="318">
        <f t="shared" si="21"/>
        <v>239165.64999999959</v>
      </c>
      <c r="AC32" s="318">
        <f>+[1]DailyDes!AV31</f>
        <v>9275.9300000000294</v>
      </c>
      <c r="AD32" s="318">
        <f t="shared" si="22"/>
        <v>183.90756968952039</v>
      </c>
      <c r="AE32" s="393">
        <f t="shared" si="23"/>
        <v>198.25446695734013</v>
      </c>
      <c r="AF32" s="318">
        <f t="shared" si="24"/>
        <v>264687.27410503116</v>
      </c>
      <c r="AG32" s="318">
        <f>+[1]DailyDes!AW31</f>
        <v>13324.870006305875</v>
      </c>
      <c r="AH32" s="318">
        <f t="shared" si="25"/>
        <v>264.18315568234021</v>
      </c>
      <c r="AI32" s="421">
        <f t="shared" si="26"/>
        <v>284.79246828900307</v>
      </c>
      <c r="AJ32" s="318">
        <f t="shared" si="27"/>
        <v>48052.700000000012</v>
      </c>
      <c r="AK32" s="318">
        <f>+[1]DailyDes!AX31</f>
        <v>2218.0999999999767</v>
      </c>
      <c r="AL32" s="318">
        <f t="shared" si="28"/>
        <v>43.976763551290233</v>
      </c>
      <c r="AM32" s="421">
        <f t="shared" si="29"/>
        <v>47.40745490296608</v>
      </c>
      <c r="AN32" s="318">
        <f t="shared" si="30"/>
        <v>51416.830006304546</v>
      </c>
      <c r="AO32" s="315">
        <f t="shared" si="10"/>
        <v>1019.4065983247659</v>
      </c>
      <c r="AP32" s="316">
        <f t="shared" si="11"/>
        <v>1098.9319912435785</v>
      </c>
    </row>
    <row r="33" spans="1:42">
      <c r="A33" s="309">
        <f t="shared" si="12"/>
        <v>46017</v>
      </c>
      <c r="B33" s="317">
        <f>+Report1!P34</f>
        <v>48.58</v>
      </c>
      <c r="C33" s="317">
        <f>+Report1!R34</f>
        <v>47.401000000000003</v>
      </c>
      <c r="D33" s="318">
        <f t="shared" si="13"/>
        <v>0</v>
      </c>
      <c r="E33" s="318"/>
      <c r="F33" s="312">
        <f t="shared" si="0"/>
        <v>0</v>
      </c>
      <c r="G33" s="312">
        <f t="shared" si="1"/>
        <v>0</v>
      </c>
      <c r="H33" s="318">
        <f t="shared" si="14"/>
        <v>0</v>
      </c>
      <c r="I33" s="318"/>
      <c r="J33" s="312">
        <f t="shared" si="2"/>
        <v>0</v>
      </c>
      <c r="K33" s="312">
        <f t="shared" si="3"/>
        <v>0</v>
      </c>
      <c r="L33" s="318">
        <f t="shared" si="15"/>
        <v>0</v>
      </c>
      <c r="M33" s="318"/>
      <c r="N33" s="312">
        <f t="shared" si="4"/>
        <v>0</v>
      </c>
      <c r="O33" s="312">
        <f t="shared" si="5"/>
        <v>0</v>
      </c>
      <c r="P33" s="318">
        <f t="shared" si="16"/>
        <v>0</v>
      </c>
      <c r="Q33" s="318"/>
      <c r="R33" s="312">
        <f t="shared" si="6"/>
        <v>0</v>
      </c>
      <c r="S33" s="312">
        <f t="shared" si="7"/>
        <v>0</v>
      </c>
      <c r="T33" s="318">
        <f t="shared" si="17"/>
        <v>184969.32999999996</v>
      </c>
      <c r="U33" s="318">
        <f>+[1]DailyDes!AT32</f>
        <v>7221.6799999999776</v>
      </c>
      <c r="V33" s="312">
        <f t="shared" si="8"/>
        <v>148.65541375051416</v>
      </c>
      <c r="W33" s="312">
        <f t="shared" si="9"/>
        <v>152.35290394717362</v>
      </c>
      <c r="X33" s="318">
        <f t="shared" si="18"/>
        <v>426110.00000000058</v>
      </c>
      <c r="Y33" s="318">
        <f>+[1]DailyDes!AU32</f>
        <v>18000</v>
      </c>
      <c r="Z33" s="318">
        <f t="shared" si="19"/>
        <v>370.52284890901609</v>
      </c>
      <c r="AA33" s="318">
        <f t="shared" si="20"/>
        <v>379.73882407544141</v>
      </c>
      <c r="AB33" s="318">
        <f t="shared" si="21"/>
        <v>247987.32999999958</v>
      </c>
      <c r="AC33" s="318">
        <f>+[1]DailyDes!AV32</f>
        <v>8821.68</v>
      </c>
      <c r="AD33" s="318">
        <f t="shared" si="22"/>
        <v>181.59077809798274</v>
      </c>
      <c r="AE33" s="393">
        <f t="shared" si="23"/>
        <v>186.10746608721334</v>
      </c>
      <c r="AF33" s="318">
        <f t="shared" si="24"/>
        <v>278280.653810549</v>
      </c>
      <c r="AG33" s="318">
        <f>+[1]DailyDes!AW32</f>
        <v>13593.379705517866</v>
      </c>
      <c r="AH33" s="318">
        <f t="shared" si="25"/>
        <v>279.8143208216934</v>
      </c>
      <c r="AI33" s="421">
        <f t="shared" si="26"/>
        <v>286.77411247690691</v>
      </c>
      <c r="AJ33" s="318">
        <f t="shared" si="27"/>
        <v>50242.700000000012</v>
      </c>
      <c r="AK33" s="318">
        <f>+[1]DailyDes!AX32</f>
        <v>2190</v>
      </c>
      <c r="AL33" s="318">
        <f t="shared" si="28"/>
        <v>45.080279950596953</v>
      </c>
      <c r="AM33" s="421">
        <f t="shared" si="29"/>
        <v>46.201556929178707</v>
      </c>
      <c r="AN33" s="318">
        <f t="shared" si="30"/>
        <v>49826.739705517844</v>
      </c>
      <c r="AO33" s="315">
        <f t="shared" si="10"/>
        <v>1025.6636415298033</v>
      </c>
      <c r="AP33" s="316">
        <f t="shared" si="11"/>
        <v>1051.174863515914</v>
      </c>
    </row>
    <row r="34" spans="1:42">
      <c r="A34" s="309">
        <f t="shared" si="12"/>
        <v>46018</v>
      </c>
      <c r="B34" s="317">
        <f>+Report1!P35</f>
        <v>47.981999999999999</v>
      </c>
      <c r="C34" s="317">
        <f>+Report1!R35</f>
        <v>50.04</v>
      </c>
      <c r="D34" s="318">
        <f t="shared" si="13"/>
        <v>0</v>
      </c>
      <c r="E34" s="318"/>
      <c r="F34" s="312">
        <f t="shared" si="0"/>
        <v>0</v>
      </c>
      <c r="G34" s="312">
        <f t="shared" si="1"/>
        <v>0</v>
      </c>
      <c r="H34" s="318">
        <f t="shared" si="14"/>
        <v>0</v>
      </c>
      <c r="I34" s="318"/>
      <c r="J34" s="312">
        <f t="shared" si="2"/>
        <v>0</v>
      </c>
      <c r="K34" s="312">
        <f t="shared" si="3"/>
        <v>0</v>
      </c>
      <c r="L34" s="318">
        <f t="shared" si="15"/>
        <v>0</v>
      </c>
      <c r="M34" s="318"/>
      <c r="N34" s="312">
        <f t="shared" si="4"/>
        <v>0</v>
      </c>
      <c r="O34" s="312">
        <f t="shared" si="5"/>
        <v>0</v>
      </c>
      <c r="P34" s="318">
        <f t="shared" si="16"/>
        <v>0</v>
      </c>
      <c r="Q34" s="318"/>
      <c r="R34" s="312">
        <f t="shared" si="6"/>
        <v>0</v>
      </c>
      <c r="S34" s="312">
        <f t="shared" si="7"/>
        <v>0</v>
      </c>
      <c r="T34" s="318">
        <f t="shared" si="17"/>
        <v>191966.86000000004</v>
      </c>
      <c r="U34" s="318">
        <f>+[1]DailyDes!AT33</f>
        <v>6997.5300000000916</v>
      </c>
      <c r="V34" s="312">
        <f t="shared" si="8"/>
        <v>145.83656371139369</v>
      </c>
      <c r="W34" s="312">
        <f t="shared" si="9"/>
        <v>139.83872901678839</v>
      </c>
      <c r="X34" s="318">
        <f t="shared" si="18"/>
        <v>444110.00000000058</v>
      </c>
      <c r="Y34" s="318">
        <f>+[1]DailyDes!AU33</f>
        <v>18000</v>
      </c>
      <c r="Z34" s="318">
        <f t="shared" si="19"/>
        <v>375.14067775415782</v>
      </c>
      <c r="AA34" s="318">
        <f t="shared" si="20"/>
        <v>359.71223021582733</v>
      </c>
      <c r="AB34" s="318">
        <f t="shared" si="21"/>
        <v>256734.86000000013</v>
      </c>
      <c r="AC34" s="318">
        <f>+[1]DailyDes!AV33</f>
        <v>8747.5300000005464</v>
      </c>
      <c r="AD34" s="318">
        <f t="shared" si="22"/>
        <v>182.30857404861294</v>
      </c>
      <c r="AE34" s="393">
        <f t="shared" si="23"/>
        <v>174.81075139889182</v>
      </c>
      <c r="AF34" s="318">
        <f t="shared" si="24"/>
        <v>291418.82330926834</v>
      </c>
      <c r="AG34" s="318">
        <f>+[1]DailyDes!AW33</f>
        <v>13138.169498719357</v>
      </c>
      <c r="AH34" s="318">
        <f t="shared" si="25"/>
        <v>273.81454501103241</v>
      </c>
      <c r="AI34" s="421">
        <f t="shared" si="26"/>
        <v>262.55334729654993</v>
      </c>
      <c r="AJ34" s="318">
        <f t="shared" si="27"/>
        <v>52782.700000000012</v>
      </c>
      <c r="AK34" s="318">
        <f>+[1]DailyDes!AX33</f>
        <v>2540</v>
      </c>
      <c r="AL34" s="318">
        <f t="shared" si="28"/>
        <v>52.936517860864491</v>
      </c>
      <c r="AM34" s="421">
        <f t="shared" si="29"/>
        <v>50.759392486011194</v>
      </c>
      <c r="AN34" s="318">
        <f t="shared" si="30"/>
        <v>49423.229498719993</v>
      </c>
      <c r="AO34" s="315">
        <f t="shared" si="10"/>
        <v>1030.0368783860613</v>
      </c>
      <c r="AP34" s="316">
        <f t="shared" si="11"/>
        <v>987.67445041406859</v>
      </c>
    </row>
    <row r="35" spans="1:42">
      <c r="A35" s="309">
        <f t="shared" si="12"/>
        <v>46019</v>
      </c>
      <c r="B35" s="317">
        <f>+Report1!P36</f>
        <v>48.460999999999999</v>
      </c>
      <c r="C35" s="317">
        <f>+Report1!R36</f>
        <v>47.351999999999997</v>
      </c>
      <c r="D35" s="318">
        <f t="shared" si="13"/>
        <v>0</v>
      </c>
      <c r="E35" s="318"/>
      <c r="F35" s="312">
        <f t="shared" si="0"/>
        <v>0</v>
      </c>
      <c r="G35" s="312">
        <f t="shared" si="1"/>
        <v>0</v>
      </c>
      <c r="H35" s="318">
        <f t="shared" si="14"/>
        <v>0</v>
      </c>
      <c r="I35" s="318"/>
      <c r="J35" s="312">
        <f t="shared" si="2"/>
        <v>0</v>
      </c>
      <c r="K35" s="312">
        <f t="shared" si="3"/>
        <v>0</v>
      </c>
      <c r="L35" s="318">
        <f t="shared" si="15"/>
        <v>0</v>
      </c>
      <c r="M35" s="318"/>
      <c r="N35" s="312">
        <f t="shared" si="4"/>
        <v>0</v>
      </c>
      <c r="O35" s="312">
        <f t="shared" si="5"/>
        <v>0</v>
      </c>
      <c r="P35" s="318">
        <f t="shared" si="16"/>
        <v>0</v>
      </c>
      <c r="Q35" s="318"/>
      <c r="R35" s="312">
        <f t="shared" si="6"/>
        <v>0</v>
      </c>
      <c r="S35" s="312">
        <f t="shared" si="7"/>
        <v>0</v>
      </c>
      <c r="T35" s="318">
        <f t="shared" si="17"/>
        <v>200271.69</v>
      </c>
      <c r="U35" s="318">
        <f>+[1]DailyDes!AT34</f>
        <v>8304.8299999999545</v>
      </c>
      <c r="V35" s="312">
        <f t="shared" si="8"/>
        <v>171.3714120633077</v>
      </c>
      <c r="W35" s="312">
        <f t="shared" si="9"/>
        <v>175.38498901841433</v>
      </c>
      <c r="X35" s="318">
        <f t="shared" si="18"/>
        <v>464110.00000000058</v>
      </c>
      <c r="Y35" s="318">
        <f>+[1]DailyDes!AU34</f>
        <v>20000</v>
      </c>
      <c r="Z35" s="318">
        <f t="shared" si="19"/>
        <v>412.70299828728258</v>
      </c>
      <c r="AA35" s="318">
        <f t="shared" si="20"/>
        <v>422.36864335191757</v>
      </c>
      <c r="AB35" s="318">
        <f t="shared" si="21"/>
        <v>266389.68999999977</v>
      </c>
      <c r="AC35" s="318">
        <f>+[1]DailyDes!AV34</f>
        <v>9654.8299999996361</v>
      </c>
      <c r="AD35" s="318">
        <f t="shared" si="22"/>
        <v>199.2288644476927</v>
      </c>
      <c r="AE35" s="393">
        <f t="shared" si="23"/>
        <v>203.89487244466204</v>
      </c>
      <c r="AF35" s="318">
        <f t="shared" si="24"/>
        <v>304615.6254064971</v>
      </c>
      <c r="AG35" s="318">
        <f>+[1]DailyDes!AW34</f>
        <v>13196.802097228745</v>
      </c>
      <c r="AH35" s="318">
        <f t="shared" si="25"/>
        <v>272.31798966651007</v>
      </c>
      <c r="AI35" s="421">
        <f t="shared" si="26"/>
        <v>278.69576991951232</v>
      </c>
      <c r="AJ35" s="318">
        <f t="shared" si="27"/>
        <v>55242.700000000012</v>
      </c>
      <c r="AK35" s="318">
        <f>+[1]DailyDes!AX34</f>
        <v>2460</v>
      </c>
      <c r="AL35" s="318">
        <f t="shared" si="28"/>
        <v>50.762468789335756</v>
      </c>
      <c r="AM35" s="421">
        <f t="shared" si="29"/>
        <v>51.951343132285864</v>
      </c>
      <c r="AN35" s="318">
        <f t="shared" si="30"/>
        <v>53616.46209722833</v>
      </c>
      <c r="AO35" s="315">
        <f t="shared" si="10"/>
        <v>1106.3837332541286</v>
      </c>
      <c r="AP35" s="316">
        <f t="shared" si="11"/>
        <v>1132.2956178667919</v>
      </c>
    </row>
    <row r="36" spans="1:42">
      <c r="A36" s="309">
        <f t="shared" si="12"/>
        <v>46020</v>
      </c>
      <c r="B36" s="317">
        <f>+Report1!P37</f>
        <v>47.242000000000004</v>
      </c>
      <c r="C36" s="317">
        <f>+Report1!R37</f>
        <v>45.203000000000003</v>
      </c>
      <c r="D36" s="318">
        <f t="shared" si="13"/>
        <v>0</v>
      </c>
      <c r="E36" s="318"/>
      <c r="F36" s="312">
        <f t="shared" si="0"/>
        <v>0</v>
      </c>
      <c r="G36" s="312">
        <f t="shared" si="1"/>
        <v>0</v>
      </c>
      <c r="H36" s="318">
        <f t="shared" si="14"/>
        <v>0</v>
      </c>
      <c r="I36" s="318"/>
      <c r="J36" s="312">
        <f t="shared" si="2"/>
        <v>0</v>
      </c>
      <c r="K36" s="312">
        <f t="shared" si="3"/>
        <v>0</v>
      </c>
      <c r="L36" s="318">
        <f t="shared" si="15"/>
        <v>0</v>
      </c>
      <c r="M36" s="318"/>
      <c r="N36" s="312">
        <f t="shared" si="4"/>
        <v>0</v>
      </c>
      <c r="O36" s="312">
        <f t="shared" si="5"/>
        <v>0</v>
      </c>
      <c r="P36" s="318">
        <f t="shared" si="16"/>
        <v>0</v>
      </c>
      <c r="Q36" s="318"/>
      <c r="R36" s="312">
        <f t="shared" si="6"/>
        <v>0</v>
      </c>
      <c r="S36" s="312">
        <f t="shared" si="7"/>
        <v>0</v>
      </c>
      <c r="T36" s="318">
        <f t="shared" si="17"/>
        <v>206957.18999999994</v>
      </c>
      <c r="U36" s="318">
        <f>+[1]DailyDes!AT35</f>
        <v>6685.4999999999545</v>
      </c>
      <c r="V36" s="312">
        <f t="shared" si="8"/>
        <v>141.51602387705756</v>
      </c>
      <c r="W36" s="312">
        <f t="shared" si="9"/>
        <v>147.89947569851458</v>
      </c>
      <c r="X36" s="318">
        <f t="shared" si="18"/>
        <v>480110.00000000058</v>
      </c>
      <c r="Y36" s="318">
        <f>+[1]DailyDes!AU35</f>
        <v>16000</v>
      </c>
      <c r="Z36" s="318">
        <f t="shared" si="19"/>
        <v>338.6816815545489</v>
      </c>
      <c r="AA36" s="318">
        <f t="shared" si="20"/>
        <v>353.95880804371387</v>
      </c>
      <c r="AB36" s="318">
        <f t="shared" si="21"/>
        <v>275425.18999999942</v>
      </c>
      <c r="AC36" s="318">
        <f>+[1]DailyDes!AV35</f>
        <v>9035.4999999996362</v>
      </c>
      <c r="AD36" s="318">
        <f t="shared" si="22"/>
        <v>191.25989585537519</v>
      </c>
      <c r="AE36" s="393">
        <f t="shared" si="23"/>
        <v>199.88717562992801</v>
      </c>
      <c r="AF36" s="318">
        <f t="shared" si="24"/>
        <v>316005.6049676243</v>
      </c>
      <c r="AG36" s="318">
        <f>+[1]DailyDes!AW35</f>
        <v>11389.979561127169</v>
      </c>
      <c r="AH36" s="318">
        <f t="shared" si="25"/>
        <v>241.09858941465578</v>
      </c>
      <c r="AI36" s="421">
        <f t="shared" si="26"/>
        <v>251.97397431867728</v>
      </c>
      <c r="AJ36" s="318">
        <f t="shared" si="27"/>
        <v>57412.700000000012</v>
      </c>
      <c r="AK36" s="318">
        <f>+[1]DailyDes!AX35</f>
        <v>2170</v>
      </c>
      <c r="AL36" s="318">
        <f t="shared" si="28"/>
        <v>45.93370306083569</v>
      </c>
      <c r="AM36" s="421">
        <f t="shared" si="29"/>
        <v>48.005663340928699</v>
      </c>
      <c r="AN36" s="318">
        <f t="shared" si="30"/>
        <v>45280.979561126762</v>
      </c>
      <c r="AO36" s="315">
        <f t="shared" si="10"/>
        <v>958.48989376247312</v>
      </c>
      <c r="AP36" s="316">
        <f t="shared" si="11"/>
        <v>1001.7250970317625</v>
      </c>
    </row>
    <row r="37" spans="1:42">
      <c r="A37" s="309">
        <f t="shared" si="12"/>
        <v>46021</v>
      </c>
      <c r="B37" s="317">
        <f>+Report1!P38</f>
        <v>48.118000000000002</v>
      </c>
      <c r="C37" s="317">
        <f>+Report1!R38</f>
        <v>46.945999999999998</v>
      </c>
      <c r="D37" s="318">
        <f t="shared" si="13"/>
        <v>0</v>
      </c>
      <c r="E37" s="318"/>
      <c r="F37" s="312">
        <f t="shared" si="0"/>
        <v>0</v>
      </c>
      <c r="G37" s="312">
        <f t="shared" si="1"/>
        <v>0</v>
      </c>
      <c r="H37" s="318">
        <f t="shared" si="14"/>
        <v>0</v>
      </c>
      <c r="I37" s="318"/>
      <c r="J37" s="312">
        <f t="shared" si="2"/>
        <v>0</v>
      </c>
      <c r="K37" s="312">
        <f t="shared" si="3"/>
        <v>0</v>
      </c>
      <c r="L37" s="318">
        <f t="shared" si="15"/>
        <v>0</v>
      </c>
      <c r="M37" s="318"/>
      <c r="N37" s="312">
        <f t="shared" si="4"/>
        <v>0</v>
      </c>
      <c r="O37" s="312">
        <f t="shared" si="5"/>
        <v>0</v>
      </c>
      <c r="P37" s="318">
        <f t="shared" si="16"/>
        <v>0</v>
      </c>
      <c r="Q37" s="318"/>
      <c r="R37" s="312">
        <f t="shared" si="6"/>
        <v>0</v>
      </c>
      <c r="S37" s="312">
        <f t="shared" si="7"/>
        <v>0</v>
      </c>
      <c r="T37" s="318">
        <f t="shared" si="17"/>
        <v>213521.69</v>
      </c>
      <c r="U37" s="318">
        <f>+[1]DailyDes!AT36</f>
        <v>6564.5000000000682</v>
      </c>
      <c r="V37" s="312">
        <f t="shared" si="8"/>
        <v>136.42503844715216</v>
      </c>
      <c r="W37" s="312">
        <f t="shared" si="9"/>
        <v>139.83086950965085</v>
      </c>
      <c r="X37" s="318">
        <f t="shared" si="18"/>
        <v>494110.00000000058</v>
      </c>
      <c r="Y37" s="318">
        <f>+[1]DailyDes!AU36</f>
        <v>14000</v>
      </c>
      <c r="Z37" s="318">
        <f t="shared" si="19"/>
        <v>290.9514111143439</v>
      </c>
      <c r="AA37" s="318">
        <f t="shared" si="20"/>
        <v>298.21497039151365</v>
      </c>
      <c r="AB37" s="318">
        <f t="shared" si="21"/>
        <v>285339.68999999994</v>
      </c>
      <c r="AC37" s="318">
        <f>+[1]DailyDes!AV36</f>
        <v>9914.5000000005457</v>
      </c>
      <c r="AD37" s="318">
        <f t="shared" si="22"/>
        <v>206.04555467809439</v>
      </c>
      <c r="AE37" s="393">
        <f t="shared" si="23"/>
        <v>211.1894517104875</v>
      </c>
      <c r="AF37" s="318">
        <f t="shared" si="24"/>
        <v>328481.75734960433</v>
      </c>
      <c r="AG37" s="318">
        <f>+[1]DailyDes!AW36</f>
        <v>12476.152381980037</v>
      </c>
      <c r="AH37" s="318">
        <f t="shared" si="25"/>
        <v>259.28243862961961</v>
      </c>
      <c r="AI37" s="421">
        <f t="shared" si="26"/>
        <v>265.75538665658496</v>
      </c>
      <c r="AJ37" s="318">
        <f t="shared" si="27"/>
        <v>58982.700000000012</v>
      </c>
      <c r="AK37" s="318">
        <f>+[1]DailyDes!AX36</f>
        <v>1570</v>
      </c>
      <c r="AL37" s="318">
        <f t="shared" si="28"/>
        <v>32.628122532108563</v>
      </c>
      <c r="AM37" s="421">
        <f t="shared" si="29"/>
        <v>33.442678822476893</v>
      </c>
      <c r="AN37" s="318">
        <f t="shared" si="30"/>
        <v>44525.152381980653</v>
      </c>
      <c r="AO37" s="315">
        <f t="shared" si="10"/>
        <v>925.33256540131867</v>
      </c>
      <c r="AP37" s="316">
        <f t="shared" si="11"/>
        <v>948.43335709071391</v>
      </c>
    </row>
    <row r="38" spans="1:42">
      <c r="A38" s="309">
        <f t="shared" si="12"/>
        <v>46022</v>
      </c>
      <c r="B38" s="317">
        <f>+Report1!P39</f>
        <v>55.849000000000004</v>
      </c>
      <c r="C38" s="317">
        <f>+Report1!R39</f>
        <v>53.325000000000003</v>
      </c>
      <c r="D38" s="318">
        <f t="shared" si="13"/>
        <v>0</v>
      </c>
      <c r="E38" s="318"/>
      <c r="F38" s="312">
        <f t="shared" si="0"/>
        <v>0</v>
      </c>
      <c r="G38" s="312">
        <f t="shared" si="1"/>
        <v>0</v>
      </c>
      <c r="H38" s="318">
        <f t="shared" si="14"/>
        <v>0</v>
      </c>
      <c r="I38" s="318"/>
      <c r="J38" s="312">
        <f t="shared" si="2"/>
        <v>0</v>
      </c>
      <c r="K38" s="312">
        <f t="shared" si="3"/>
        <v>0</v>
      </c>
      <c r="L38" s="318">
        <f t="shared" si="15"/>
        <v>0</v>
      </c>
      <c r="M38" s="318"/>
      <c r="N38" s="312">
        <f t="shared" si="4"/>
        <v>0</v>
      </c>
      <c r="O38" s="312">
        <f t="shared" si="5"/>
        <v>0</v>
      </c>
      <c r="P38" s="318">
        <f t="shared" si="16"/>
        <v>0</v>
      </c>
      <c r="Q38" s="318"/>
      <c r="R38" s="313">
        <f t="shared" si="6"/>
        <v>0</v>
      </c>
      <c r="S38" s="313">
        <f t="shared" si="7"/>
        <v>0</v>
      </c>
      <c r="T38" s="318">
        <f t="shared" si="17"/>
        <v>221271.04999999996</v>
      </c>
      <c r="U38" s="318">
        <f>+[1]DailyDes!AT37</f>
        <v>7749.3599999999551</v>
      </c>
      <c r="V38" s="312">
        <f t="shared" si="8"/>
        <v>138.75557306307999</v>
      </c>
      <c r="W38" s="312">
        <f t="shared" si="9"/>
        <v>145.32320675105402</v>
      </c>
      <c r="X38" s="318">
        <f t="shared" si="18"/>
        <v>509110.00000000058</v>
      </c>
      <c r="Y38" s="318">
        <f>+[1]DailyDes!AU37</f>
        <v>15000</v>
      </c>
      <c r="Z38" s="318">
        <f t="shared" si="19"/>
        <v>268.58135329191208</v>
      </c>
      <c r="AA38" s="318">
        <f t="shared" si="20"/>
        <v>281.2939521800281</v>
      </c>
      <c r="AB38" s="318">
        <f t="shared" si="21"/>
        <v>295639.04999999941</v>
      </c>
      <c r="AC38" s="318">
        <f>+[1]DailyDes!AV37</f>
        <v>10299.359999999455</v>
      </c>
      <c r="AD38" s="318">
        <f t="shared" si="22"/>
        <v>184.41440312269609</v>
      </c>
      <c r="AE38" s="393">
        <f t="shared" si="23"/>
        <v>193.14317862164941</v>
      </c>
      <c r="AF38" s="318">
        <f t="shared" si="24"/>
        <v>335451.37704700796</v>
      </c>
      <c r="AG38" s="318">
        <f>+[1]DailyDes!AW37</f>
        <v>6969.6196974036066</v>
      </c>
      <c r="AH38" s="318">
        <f t="shared" si="25"/>
        <v>124.7939926839085</v>
      </c>
      <c r="AI38" s="421">
        <f t="shared" si="26"/>
        <v>130.70079132496215</v>
      </c>
      <c r="AJ38" s="318">
        <f t="shared" si="27"/>
        <v>60702.700000000012</v>
      </c>
      <c r="AK38" s="318">
        <f>+[1]DailyDes!AX37</f>
        <v>1720</v>
      </c>
      <c r="AL38" s="318">
        <f t="shared" si="28"/>
        <v>30.797328510805922</v>
      </c>
      <c r="AM38" s="421">
        <f t="shared" si="29"/>
        <v>32.255039849976555</v>
      </c>
      <c r="AN38" s="318">
        <f t="shared" si="30"/>
        <v>41738.339697403018</v>
      </c>
      <c r="AO38" s="315">
        <f t="shared" si="10"/>
        <v>747.34265067240267</v>
      </c>
      <c r="AP38" s="316">
        <f t="shared" si="11"/>
        <v>782.71616872767027</v>
      </c>
    </row>
    <row r="39" spans="1:42">
      <c r="A39" s="309"/>
      <c r="B39" s="317"/>
      <c r="C39" s="317"/>
      <c r="D39" s="300"/>
      <c r="E39" s="311"/>
      <c r="F39" s="312"/>
      <c r="G39" s="312"/>
      <c r="H39" s="304"/>
      <c r="I39" s="306"/>
      <c r="J39" s="312"/>
      <c r="K39" s="312"/>
      <c r="L39" s="306"/>
      <c r="M39" s="311"/>
      <c r="N39" s="312"/>
      <c r="O39" s="312"/>
      <c r="P39" s="307"/>
      <c r="Q39" s="311"/>
      <c r="R39" s="313"/>
      <c r="S39" s="313"/>
      <c r="T39" s="308"/>
      <c r="U39" s="318"/>
      <c r="V39" s="312"/>
      <c r="W39" s="312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4"/>
      <c r="AO39" s="315"/>
      <c r="AP39" s="316"/>
    </row>
    <row r="40" spans="1:42">
      <c r="A40" s="319" t="s">
        <v>27</v>
      </c>
      <c r="B40" s="320">
        <f>SUM(B8:B38)</f>
        <v>1572.6529999999998</v>
      </c>
      <c r="C40" s="320">
        <f>SUM(C8:C38)</f>
        <v>1534.7249999999999</v>
      </c>
      <c r="D40" s="314"/>
      <c r="E40" s="320">
        <f>SUM(E8:E38)</f>
        <v>0</v>
      </c>
      <c r="F40" s="321">
        <f>E40/B40</f>
        <v>0</v>
      </c>
      <c r="G40" s="321">
        <f>E40/C40</f>
        <v>0</v>
      </c>
      <c r="H40" s="322"/>
      <c r="I40" s="320">
        <f>SUM(I8:I38)</f>
        <v>0</v>
      </c>
      <c r="J40" s="321">
        <f>I40/B40</f>
        <v>0</v>
      </c>
      <c r="K40" s="321">
        <f>I40/C40</f>
        <v>0</v>
      </c>
      <c r="L40" s="323"/>
      <c r="M40" s="320">
        <f>SUM(M8:M38)</f>
        <v>0</v>
      </c>
      <c r="N40" s="321">
        <f>M40/B40</f>
        <v>0</v>
      </c>
      <c r="O40" s="321">
        <f>M40/C40</f>
        <v>0</v>
      </c>
      <c r="P40" s="324"/>
      <c r="Q40" s="320">
        <f>SUM(Q8:Q38)</f>
        <v>0</v>
      </c>
      <c r="R40" s="321">
        <f>Q40/B40</f>
        <v>0</v>
      </c>
      <c r="S40" s="321">
        <f>Q40/C40</f>
        <v>0</v>
      </c>
      <c r="T40" s="325"/>
      <c r="U40" s="318">
        <f>SUM(U8:U39)</f>
        <v>221271.04999999996</v>
      </c>
      <c r="V40" s="321">
        <f>U40/B40</f>
        <v>140.699219726157</v>
      </c>
      <c r="W40" s="387">
        <f>U40/C40</f>
        <v>144.17635081203471</v>
      </c>
      <c r="X40" s="326"/>
      <c r="Y40" s="318">
        <f>SUM(Y8:Y39)</f>
        <v>509110.00000000058</v>
      </c>
      <c r="Z40" s="321">
        <f>Y40/B40</f>
        <v>323.72684883442224</v>
      </c>
      <c r="AA40" s="387">
        <f>Y40/C40</f>
        <v>331.7271823942404</v>
      </c>
      <c r="AB40" s="326"/>
      <c r="AC40" s="318">
        <f>SUM(AC8:AC39)</f>
        <v>295639.04999999941</v>
      </c>
      <c r="AD40" s="321">
        <f>AC40/B40</f>
        <v>187.98746449471017</v>
      </c>
      <c r="AE40" s="387">
        <f>AC40/C40</f>
        <v>192.63324048282229</v>
      </c>
      <c r="AF40" s="326"/>
      <c r="AG40" s="318">
        <f>SUM(AG8:AG39)</f>
        <v>335451.37704700796</v>
      </c>
      <c r="AH40" s="321">
        <f>AG40/B40</f>
        <v>213.30285641333975</v>
      </c>
      <c r="AI40" s="387">
        <f>AG40/C40</f>
        <v>218.57425730799199</v>
      </c>
      <c r="AJ40" s="326"/>
      <c r="AK40" s="318">
        <f>SUM(AK8:AK39)</f>
        <v>60702.700000000012</v>
      </c>
      <c r="AL40" s="321">
        <f>AK40/B40</f>
        <v>38.598915336059527</v>
      </c>
      <c r="AM40" s="387">
        <f>AK40/C40</f>
        <v>39.552818908925062</v>
      </c>
      <c r="AN40" s="318">
        <f>+E40+I40+M40+Q40+U40+Y40+AC40+AG40+AK40</f>
        <v>1422174.1770470077</v>
      </c>
      <c r="AO40" s="387">
        <f>AN40/B40</f>
        <v>904.31530480468859</v>
      </c>
      <c r="AP40" s="323">
        <f>AN40/C40</f>
        <v>926.66384990601432</v>
      </c>
    </row>
    <row r="41" spans="1:42">
      <c r="T41" s="327"/>
    </row>
    <row r="42" spans="1:42">
      <c r="AN42" s="4">
        <f>+AN40-[1]DailyDes!$AY$38</f>
        <v>0</v>
      </c>
    </row>
    <row r="43" spans="1:42">
      <c r="G43" s="328"/>
      <c r="H43" s="329"/>
    </row>
    <row r="44" spans="1:42">
      <c r="G44" s="328"/>
      <c r="I44" s="328"/>
      <c r="L44" s="328"/>
    </row>
    <row r="45" spans="1:42">
      <c r="E45" t="s">
        <v>0</v>
      </c>
      <c r="G45" s="328"/>
    </row>
  </sheetData>
  <mergeCells count="15">
    <mergeCell ref="A2:AN2"/>
    <mergeCell ref="D4:AM4"/>
    <mergeCell ref="AN4:AP5"/>
    <mergeCell ref="A4:A6"/>
    <mergeCell ref="B4:B6"/>
    <mergeCell ref="C4:C6"/>
    <mergeCell ref="D5:G5"/>
    <mergeCell ref="AB5:AE5"/>
    <mergeCell ref="AF5:AI5"/>
    <mergeCell ref="H5:K5"/>
    <mergeCell ref="L5:O5"/>
    <mergeCell ref="P5:S5"/>
    <mergeCell ref="T5:W5"/>
    <mergeCell ref="X5:AA5"/>
    <mergeCell ref="AJ5:AM5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A69" workbookViewId="0">
      <selection activeCell="I98" sqref="A97:I98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11">
      <c r="A1" s="519" t="s">
        <v>223</v>
      </c>
      <c r="B1" s="520">
        <f>+Report1!A9</f>
        <v>45992</v>
      </c>
      <c r="C1" s="94"/>
      <c r="G1" s="95"/>
      <c r="H1" s="96"/>
    </row>
    <row r="2" spans="1:11" ht="13.5" thickBot="1">
      <c r="A2" s="93"/>
      <c r="B2" s="94"/>
      <c r="C2" s="94"/>
      <c r="G2" s="95"/>
      <c r="H2" s="96"/>
    </row>
    <row r="3" spans="1:11" ht="26.25" thickBot="1">
      <c r="A3" s="386" t="s">
        <v>123</v>
      </c>
      <c r="B3" s="516" t="s">
        <v>8</v>
      </c>
      <c r="C3" s="516" t="s">
        <v>96</v>
      </c>
      <c r="D3" s="516" t="s">
        <v>124</v>
      </c>
      <c r="E3" s="516" t="s">
        <v>125</v>
      </c>
      <c r="F3" s="516" t="s">
        <v>126</v>
      </c>
      <c r="G3" s="517" t="s">
        <v>127</v>
      </c>
      <c r="H3" s="518" t="s">
        <v>128</v>
      </c>
      <c r="I3" s="556" t="s">
        <v>390</v>
      </c>
    </row>
    <row r="4" spans="1:11">
      <c r="A4" s="336">
        <f>+B1</f>
        <v>45992</v>
      </c>
      <c r="B4" s="563" t="s">
        <v>429</v>
      </c>
      <c r="C4" s="564">
        <v>2</v>
      </c>
      <c r="D4" s="563" t="s">
        <v>432</v>
      </c>
      <c r="E4" s="563">
        <f>277*1</f>
        <v>277</v>
      </c>
      <c r="F4" s="563">
        <v>16</v>
      </c>
      <c r="G4" s="564">
        <f>+E4*F4</f>
        <v>4432</v>
      </c>
      <c r="H4" s="565">
        <f>+G4/F4</f>
        <v>277</v>
      </c>
      <c r="I4" s="565">
        <f>+'1'!L37</f>
        <v>13.088000000000001</v>
      </c>
    </row>
    <row r="5" spans="1:11">
      <c r="A5" s="552"/>
      <c r="B5" s="388" t="s">
        <v>274</v>
      </c>
      <c r="C5">
        <v>2</v>
      </c>
      <c r="D5" s="388" t="s">
        <v>433</v>
      </c>
      <c r="E5" s="388">
        <f>140*2</f>
        <v>280</v>
      </c>
      <c r="F5" s="388">
        <v>16</v>
      </c>
      <c r="G5">
        <f>+E5*F5</f>
        <v>4480</v>
      </c>
      <c r="H5" s="483">
        <f>+G5/F5</f>
        <v>280</v>
      </c>
      <c r="I5" s="483" t="s">
        <v>281</v>
      </c>
    </row>
    <row r="6" spans="1:11">
      <c r="A6" s="552"/>
      <c r="B6" s="388" t="s">
        <v>430</v>
      </c>
      <c r="C6">
        <v>2</v>
      </c>
      <c r="D6" s="388" t="s">
        <v>434</v>
      </c>
      <c r="E6" s="388">
        <f>275*1</f>
        <v>275</v>
      </c>
      <c r="F6" s="388">
        <v>21</v>
      </c>
      <c r="G6">
        <f>+E6*F6</f>
        <v>5775</v>
      </c>
      <c r="H6" s="483">
        <f>+G6/F6</f>
        <v>275</v>
      </c>
      <c r="I6" s="483">
        <f>+'1'!L38</f>
        <v>14.989000000000004</v>
      </c>
    </row>
    <row r="7" spans="1:11">
      <c r="A7" s="552"/>
      <c r="B7" s="388" t="s">
        <v>431</v>
      </c>
      <c r="C7">
        <v>2</v>
      </c>
      <c r="D7" s="388" t="s">
        <v>435</v>
      </c>
      <c r="E7" s="388">
        <f>272*1</f>
        <v>272</v>
      </c>
      <c r="F7">
        <f>5+27</f>
        <v>32</v>
      </c>
      <c r="G7">
        <f>+E7*F7</f>
        <v>8704</v>
      </c>
      <c r="H7" s="483">
        <f>+G7/F7</f>
        <v>272</v>
      </c>
      <c r="I7" s="483">
        <f>+'1'!L39</f>
        <v>26.008000000000003</v>
      </c>
    </row>
    <row r="8" spans="1:11" ht="13.5" thickBot="1">
      <c r="A8" s="566"/>
      <c r="B8" s="567"/>
      <c r="C8" s="568"/>
      <c r="D8" s="567"/>
      <c r="E8" s="567"/>
      <c r="F8" s="568"/>
      <c r="G8" s="568"/>
      <c r="H8" s="569"/>
      <c r="I8" s="569"/>
    </row>
    <row r="9" spans="1:11">
      <c r="A9" s="336">
        <v>45993</v>
      </c>
      <c r="B9" s="388" t="s">
        <v>431</v>
      </c>
      <c r="C9">
        <v>2</v>
      </c>
      <c r="D9" s="388" t="s">
        <v>435</v>
      </c>
      <c r="E9" s="388">
        <f>272*1</f>
        <v>272</v>
      </c>
      <c r="F9">
        <v>92</v>
      </c>
      <c r="G9">
        <f>+E9*F9</f>
        <v>25024</v>
      </c>
      <c r="H9" s="483">
        <f>+G9/F9</f>
        <v>272</v>
      </c>
      <c r="I9" s="483">
        <f>+'2'!I38</f>
        <v>53.726999999999997</v>
      </c>
    </row>
    <row r="10" spans="1:11" ht="13.5" thickBot="1">
      <c r="A10" s="566"/>
      <c r="B10" s="567"/>
      <c r="C10" s="568"/>
      <c r="D10" s="567"/>
      <c r="E10" s="567"/>
      <c r="F10" s="568"/>
      <c r="G10" s="568"/>
      <c r="H10" s="569"/>
      <c r="I10" s="569"/>
    </row>
    <row r="11" spans="1:11">
      <c r="A11" s="336">
        <v>45994</v>
      </c>
      <c r="B11" s="388" t="s">
        <v>431</v>
      </c>
      <c r="C11">
        <v>2</v>
      </c>
      <c r="D11" s="388" t="s">
        <v>435</v>
      </c>
      <c r="E11" s="388">
        <f>272*1</f>
        <v>272</v>
      </c>
      <c r="F11">
        <v>98</v>
      </c>
      <c r="G11">
        <f>+E11*F11</f>
        <v>26656</v>
      </c>
      <c r="H11" s="483">
        <f>+G11/F11</f>
        <v>272</v>
      </c>
      <c r="I11" s="483">
        <f>+'3'!I38</f>
        <v>54.988</v>
      </c>
    </row>
    <row r="12" spans="1:11" ht="13.5" thickBot="1">
      <c r="A12" s="566"/>
      <c r="B12" s="567"/>
      <c r="C12" s="568"/>
      <c r="D12" s="567"/>
      <c r="E12" s="567"/>
      <c r="F12" s="568"/>
      <c r="G12" s="568"/>
      <c r="H12" s="569"/>
      <c r="I12" s="569"/>
      <c r="K12">
        <f>SUM(I:I)</f>
        <v>1468.7489999999996</v>
      </c>
    </row>
    <row r="13" spans="1:11">
      <c r="A13" s="336">
        <v>45995</v>
      </c>
      <c r="B13" s="388" t="s">
        <v>431</v>
      </c>
      <c r="C13">
        <v>2</v>
      </c>
      <c r="D13" s="388" t="s">
        <v>435</v>
      </c>
      <c r="E13" s="388">
        <f>272*1</f>
        <v>272</v>
      </c>
      <c r="F13">
        <v>72</v>
      </c>
      <c r="G13">
        <f>+E13*F13</f>
        <v>19584</v>
      </c>
      <c r="H13" s="483">
        <f>+G13/F13</f>
        <v>272</v>
      </c>
      <c r="I13" s="483">
        <f>+'4'!I38</f>
        <v>48.894000000000005</v>
      </c>
      <c r="K13">
        <f>+K12-'31'!J38</f>
        <v>-103.90400000000022</v>
      </c>
    </row>
    <row r="14" spans="1:11" ht="13.5" thickBot="1">
      <c r="A14" s="566"/>
      <c r="B14" s="567"/>
      <c r="C14" s="568"/>
      <c r="D14" s="567"/>
      <c r="E14" s="567"/>
      <c r="F14" s="568"/>
      <c r="G14" s="568"/>
      <c r="H14" s="569"/>
      <c r="I14" s="569"/>
    </row>
    <row r="15" spans="1:11">
      <c r="A15" s="336">
        <v>45996</v>
      </c>
      <c r="B15" s="388" t="s">
        <v>431</v>
      </c>
      <c r="C15">
        <v>2</v>
      </c>
      <c r="D15" s="388" t="s">
        <v>435</v>
      </c>
      <c r="E15" s="388">
        <f>272*1</f>
        <v>272</v>
      </c>
      <c r="F15">
        <v>14</v>
      </c>
      <c r="G15">
        <f>+E15*F15</f>
        <v>3808</v>
      </c>
      <c r="H15" s="483">
        <f>+(E15*F15+E16*F16)/(SUM(F15:F16))</f>
        <v>271.46666666666664</v>
      </c>
      <c r="I15" s="483">
        <f>+'5'!L37</f>
        <v>10.872000000000002</v>
      </c>
    </row>
    <row r="16" spans="1:11">
      <c r="A16" s="570"/>
      <c r="B16" s="388" t="s">
        <v>431</v>
      </c>
      <c r="C16">
        <v>2</v>
      </c>
      <c r="D16" s="388" t="s">
        <v>488</v>
      </c>
      <c r="E16" s="388">
        <f>271*1</f>
        <v>271</v>
      </c>
      <c r="F16">
        <v>16</v>
      </c>
      <c r="G16">
        <f>+E16*F16</f>
        <v>4336</v>
      </c>
      <c r="H16" s="483"/>
      <c r="I16" s="483"/>
    </row>
    <row r="17" spans="1:9">
      <c r="A17" s="570"/>
      <c r="B17" s="388" t="s">
        <v>489</v>
      </c>
      <c r="C17">
        <v>2</v>
      </c>
      <c r="D17" s="388" t="s">
        <v>490</v>
      </c>
      <c r="E17" s="388">
        <f>280*1</f>
        <v>280</v>
      </c>
      <c r="F17">
        <f>6+26</f>
        <v>32</v>
      </c>
      <c r="G17">
        <f>+E17*F17</f>
        <v>8960</v>
      </c>
      <c r="H17" s="483">
        <f>+G17/F17</f>
        <v>280</v>
      </c>
      <c r="I17" s="483">
        <f>+'5'!L38</f>
        <v>23.853000000000002</v>
      </c>
    </row>
    <row r="18" spans="1:9">
      <c r="A18" s="570"/>
      <c r="B18" s="388" t="s">
        <v>430</v>
      </c>
      <c r="C18">
        <v>2</v>
      </c>
      <c r="D18" s="388" t="s">
        <v>490</v>
      </c>
      <c r="E18" s="388">
        <f>280*1</f>
        <v>280</v>
      </c>
      <c r="F18">
        <v>20</v>
      </c>
      <c r="G18">
        <f>+E18*F18</f>
        <v>5600</v>
      </c>
      <c r="H18" s="483">
        <f>+G18/F18</f>
        <v>280</v>
      </c>
      <c r="I18" s="483">
        <f>+'5'!L39</f>
        <v>19.222000000000001</v>
      </c>
    </row>
    <row r="19" spans="1:9" ht="13.5" thickBot="1">
      <c r="A19" s="566"/>
      <c r="B19" s="567"/>
      <c r="C19" s="568"/>
      <c r="D19" s="567"/>
      <c r="E19" s="567"/>
      <c r="F19" s="568"/>
      <c r="G19" s="568"/>
      <c r="H19" s="569"/>
      <c r="I19" s="569"/>
    </row>
    <row r="20" spans="1:9">
      <c r="A20" s="336">
        <v>45997</v>
      </c>
      <c r="B20" s="388" t="s">
        <v>430</v>
      </c>
      <c r="C20">
        <v>2</v>
      </c>
      <c r="D20" s="388" t="s">
        <v>490</v>
      </c>
      <c r="E20" s="388">
        <f>280*1</f>
        <v>280</v>
      </c>
      <c r="F20">
        <v>13</v>
      </c>
      <c r="G20">
        <f>+E20*F20</f>
        <v>3640</v>
      </c>
      <c r="H20" s="483">
        <f>+G20/F20</f>
        <v>280</v>
      </c>
      <c r="I20" s="483">
        <f>+'6'!N37</f>
        <v>2.4500000000000002</v>
      </c>
    </row>
    <row r="21" spans="1:9">
      <c r="A21" s="570"/>
      <c r="B21" s="388" t="s">
        <v>522</v>
      </c>
      <c r="C21">
        <v>2</v>
      </c>
      <c r="D21" s="388" t="s">
        <v>433</v>
      </c>
      <c r="E21" s="388">
        <f>280*1</f>
        <v>280</v>
      </c>
      <c r="F21">
        <v>23</v>
      </c>
      <c r="G21">
        <f>+E21*F21</f>
        <v>6440</v>
      </c>
      <c r="H21" s="483">
        <f>+(E21*F21+E22*F22)/(SUM(F21:F22))</f>
        <v>274.05</v>
      </c>
      <c r="I21" s="483">
        <f>+'6'!N38</f>
        <v>28.792000000000002</v>
      </c>
    </row>
    <row r="22" spans="1:9">
      <c r="A22" s="570"/>
      <c r="B22" s="388" t="s">
        <v>522</v>
      </c>
      <c r="C22">
        <v>2</v>
      </c>
      <c r="D22" s="388" t="s">
        <v>523</v>
      </c>
      <c r="E22" s="388">
        <f>133*2</f>
        <v>266</v>
      </c>
      <c r="F22">
        <v>17</v>
      </c>
      <c r="G22">
        <f>+E22*F22</f>
        <v>4522</v>
      </c>
      <c r="H22" s="483"/>
      <c r="I22" s="483"/>
    </row>
    <row r="23" spans="1:9">
      <c r="A23" s="570"/>
      <c r="B23" s="388" t="s">
        <v>274</v>
      </c>
      <c r="C23">
        <v>2</v>
      </c>
      <c r="D23" s="388" t="s">
        <v>433</v>
      </c>
      <c r="E23" s="388">
        <f>280*1</f>
        <v>280</v>
      </c>
      <c r="F23">
        <v>22</v>
      </c>
      <c r="G23">
        <f>+E23*F23</f>
        <v>6160</v>
      </c>
      <c r="H23" s="483">
        <f>+G23/F23</f>
        <v>280</v>
      </c>
      <c r="I23" s="483">
        <f>+'6'!N39</f>
        <v>17.724</v>
      </c>
    </row>
    <row r="24" spans="1:9" ht="13.5" thickBot="1">
      <c r="A24" s="566"/>
      <c r="B24" s="567"/>
      <c r="C24" s="568"/>
      <c r="D24" s="567"/>
      <c r="E24" s="567"/>
      <c r="F24" s="568"/>
      <c r="G24" s="568"/>
      <c r="H24" s="569"/>
      <c r="I24" s="569"/>
    </row>
    <row r="25" spans="1:9">
      <c r="A25" s="336">
        <v>45998</v>
      </c>
      <c r="B25" s="388" t="s">
        <v>274</v>
      </c>
      <c r="C25">
        <v>2</v>
      </c>
      <c r="D25" s="388" t="s">
        <v>433</v>
      </c>
      <c r="E25" s="388">
        <f>280*1</f>
        <v>280</v>
      </c>
      <c r="F25">
        <v>82</v>
      </c>
      <c r="G25">
        <f>+E25*F25</f>
        <v>22960</v>
      </c>
      <c r="H25" s="483">
        <f>+G25/F25</f>
        <v>280</v>
      </c>
      <c r="I25" s="483">
        <f>+'7'!I38</f>
        <v>49.021999999999998</v>
      </c>
    </row>
    <row r="26" spans="1:9" ht="13.5" thickBot="1">
      <c r="A26" s="566"/>
      <c r="B26" s="567"/>
      <c r="C26" s="568"/>
      <c r="D26" s="567"/>
      <c r="E26" s="567"/>
      <c r="F26" s="568"/>
      <c r="G26" s="568"/>
      <c r="H26" s="569"/>
      <c r="I26" s="569"/>
    </row>
    <row r="27" spans="1:9">
      <c r="A27" s="336">
        <v>45999</v>
      </c>
      <c r="B27" s="388" t="s">
        <v>274</v>
      </c>
      <c r="C27">
        <v>2</v>
      </c>
      <c r="D27" s="388" t="s">
        <v>433</v>
      </c>
      <c r="E27" s="388">
        <f>280*1</f>
        <v>280</v>
      </c>
      <c r="F27">
        <v>99</v>
      </c>
      <c r="G27">
        <f>+E27*F27</f>
        <v>27720</v>
      </c>
      <c r="H27" s="483">
        <f>+G27/F27</f>
        <v>280</v>
      </c>
      <c r="I27" s="483">
        <f>+'8'!I38</f>
        <v>47.912999999999997</v>
      </c>
    </row>
    <row r="28" spans="1:9" ht="13.5" thickBot="1">
      <c r="A28" s="566"/>
      <c r="B28" s="567"/>
      <c r="C28" s="568"/>
      <c r="D28" s="567"/>
      <c r="E28" s="567"/>
      <c r="F28" s="568"/>
      <c r="G28" s="568"/>
      <c r="H28" s="569"/>
      <c r="I28" s="569"/>
    </row>
    <row r="29" spans="1:9">
      <c r="A29" s="336">
        <v>46000</v>
      </c>
      <c r="B29" s="388" t="s">
        <v>274</v>
      </c>
      <c r="C29">
        <v>2</v>
      </c>
      <c r="D29" s="388" t="s">
        <v>433</v>
      </c>
      <c r="E29" s="388">
        <f>280*1</f>
        <v>280</v>
      </c>
      <c r="F29">
        <f>178/2</f>
        <v>89</v>
      </c>
      <c r="G29">
        <f>+E29*F29</f>
        <v>24920</v>
      </c>
      <c r="H29" s="483">
        <f>+G29/F29</f>
        <v>280</v>
      </c>
      <c r="I29" s="483">
        <f>+'9'!I38</f>
        <v>47.442999999999998</v>
      </c>
    </row>
    <row r="30" spans="1:9" ht="13.5" thickBot="1">
      <c r="A30" s="566"/>
      <c r="B30" s="567"/>
      <c r="C30" s="568"/>
      <c r="D30" s="567"/>
      <c r="E30" s="567"/>
      <c r="F30" s="568"/>
      <c r="G30" s="568"/>
      <c r="H30" s="569"/>
      <c r="I30" s="569"/>
    </row>
    <row r="31" spans="1:9">
      <c r="A31" s="336">
        <v>46001</v>
      </c>
      <c r="B31" s="388" t="s">
        <v>274</v>
      </c>
      <c r="C31">
        <v>2</v>
      </c>
      <c r="D31" s="388" t="s">
        <v>433</v>
      </c>
      <c r="E31" s="388">
        <f>280*1</f>
        <v>280</v>
      </c>
      <c r="F31">
        <v>90</v>
      </c>
      <c r="G31">
        <f>+E31*F31</f>
        <v>25200</v>
      </c>
      <c r="H31" s="483">
        <f>+G31/F31</f>
        <v>280</v>
      </c>
      <c r="I31" s="483">
        <f>+'10'!I38</f>
        <v>49.963000000000001</v>
      </c>
    </row>
    <row r="32" spans="1:9" ht="13.5" thickBot="1">
      <c r="A32" s="566"/>
      <c r="B32" s="567"/>
      <c r="C32" s="568"/>
      <c r="D32" s="567"/>
      <c r="E32" s="567"/>
      <c r="F32" s="568"/>
      <c r="G32" s="568"/>
      <c r="H32" s="569"/>
      <c r="I32" s="569"/>
    </row>
    <row r="33" spans="1:9">
      <c r="A33" s="336">
        <v>46002</v>
      </c>
      <c r="B33" s="388" t="s">
        <v>274</v>
      </c>
      <c r="C33">
        <v>2</v>
      </c>
      <c r="D33" s="388" t="s">
        <v>433</v>
      </c>
      <c r="E33" s="388">
        <f>280*1</f>
        <v>280</v>
      </c>
      <c r="F33">
        <f>156/2</f>
        <v>78</v>
      </c>
      <c r="G33">
        <f>+E33*F33</f>
        <v>21840</v>
      </c>
      <c r="H33" s="483">
        <f>+G33/F33</f>
        <v>280</v>
      </c>
      <c r="I33" s="483">
        <f>+'11'!I38</f>
        <v>46.855000000000004</v>
      </c>
    </row>
    <row r="34" spans="1:9" ht="13.5" thickBot="1">
      <c r="A34" s="566"/>
      <c r="B34" s="567"/>
      <c r="C34" s="568"/>
      <c r="D34" s="567"/>
      <c r="E34" s="567"/>
      <c r="F34" s="568"/>
      <c r="G34" s="568"/>
      <c r="H34" s="569"/>
      <c r="I34" s="569"/>
    </row>
    <row r="35" spans="1:9">
      <c r="A35" s="336">
        <v>46003</v>
      </c>
      <c r="B35" s="388" t="s">
        <v>274</v>
      </c>
      <c r="C35">
        <v>2</v>
      </c>
      <c r="D35" s="388" t="s">
        <v>433</v>
      </c>
      <c r="E35" s="388">
        <f>280*1</f>
        <v>280</v>
      </c>
      <c r="F35">
        <f>158/2</f>
        <v>79</v>
      </c>
      <c r="G35">
        <f>+E35*F35</f>
        <v>22120</v>
      </c>
      <c r="H35" s="483">
        <f>+G35/F35</f>
        <v>280</v>
      </c>
      <c r="I35" s="483">
        <f>+'12'!I38</f>
        <v>46.277999999999999</v>
      </c>
    </row>
    <row r="36" spans="1:9" ht="13.5" thickBot="1">
      <c r="A36" s="566"/>
      <c r="B36" s="567"/>
      <c r="C36" s="568"/>
      <c r="D36" s="567"/>
      <c r="E36" s="567"/>
      <c r="F36" s="568"/>
      <c r="G36" s="568"/>
      <c r="H36" s="569"/>
      <c r="I36" s="569"/>
    </row>
    <row r="37" spans="1:9">
      <c r="A37" s="336">
        <v>46004</v>
      </c>
      <c r="B37" s="388" t="s">
        <v>274</v>
      </c>
      <c r="C37">
        <v>2</v>
      </c>
      <c r="D37" s="388" t="s">
        <v>433</v>
      </c>
      <c r="E37" s="388">
        <f>280*1</f>
        <v>280</v>
      </c>
      <c r="F37">
        <v>91</v>
      </c>
      <c r="G37">
        <f>+E37*F37</f>
        <v>25480</v>
      </c>
      <c r="H37" s="483">
        <f>+G37/F37</f>
        <v>280</v>
      </c>
      <c r="I37" s="483">
        <f>+'13'!I38</f>
        <v>49.022999999999996</v>
      </c>
    </row>
    <row r="38" spans="1:9" ht="13.5" thickBot="1">
      <c r="A38" s="566"/>
      <c r="B38" s="567"/>
      <c r="C38" s="568"/>
      <c r="D38" s="567"/>
      <c r="E38" s="567"/>
      <c r="F38" s="568"/>
      <c r="G38" s="568"/>
      <c r="H38" s="569"/>
      <c r="I38" s="569"/>
    </row>
    <row r="39" spans="1:9">
      <c r="A39" s="336">
        <v>46005</v>
      </c>
      <c r="B39" s="388" t="s">
        <v>274</v>
      </c>
      <c r="C39">
        <v>2</v>
      </c>
      <c r="D39" s="388" t="s">
        <v>433</v>
      </c>
      <c r="E39" s="388">
        <f>280*1</f>
        <v>280</v>
      </c>
      <c r="F39">
        <f>82/2</f>
        <v>41</v>
      </c>
      <c r="G39">
        <f>+E39*F39</f>
        <v>11480</v>
      </c>
      <c r="H39" s="483">
        <f>+G39/F39</f>
        <v>280</v>
      </c>
      <c r="I39" s="483">
        <f>+'14'!N37</f>
        <v>20.311</v>
      </c>
    </row>
    <row r="40" spans="1:9">
      <c r="A40" s="570"/>
      <c r="B40" s="388" t="s">
        <v>522</v>
      </c>
      <c r="C40">
        <v>2</v>
      </c>
      <c r="D40" s="388" t="s">
        <v>433</v>
      </c>
      <c r="E40" s="388">
        <f>280*1</f>
        <v>280</v>
      </c>
      <c r="F40">
        <f>58/2</f>
        <v>29</v>
      </c>
      <c r="G40">
        <f>+E40*F40</f>
        <v>8120</v>
      </c>
      <c r="H40" s="483">
        <f>+G40/F40</f>
        <v>280</v>
      </c>
      <c r="I40" s="483">
        <f>+'14'!N38</f>
        <v>20.53</v>
      </c>
    </row>
    <row r="41" spans="1:9">
      <c r="A41" s="570"/>
      <c r="B41" s="388" t="s">
        <v>577</v>
      </c>
      <c r="C41">
        <v>2</v>
      </c>
      <c r="D41" s="388" t="s">
        <v>578</v>
      </c>
      <c r="E41" s="388">
        <f>139*2</f>
        <v>278</v>
      </c>
      <c r="F41">
        <v>5</v>
      </c>
      <c r="G41">
        <f>+E41*F41</f>
        <v>1390</v>
      </c>
      <c r="H41" s="483">
        <f>+G41/F41</f>
        <v>278</v>
      </c>
      <c r="I41" s="483">
        <f>+'14'!N39</f>
        <v>7.2089999999999996</v>
      </c>
    </row>
    <row r="42" spans="1:9" ht="13.5" thickBot="1">
      <c r="A42" s="566"/>
      <c r="B42" s="567"/>
      <c r="C42" s="568"/>
      <c r="D42" s="567"/>
      <c r="E42" s="567"/>
      <c r="F42" s="568"/>
      <c r="G42" s="568"/>
      <c r="H42" s="569"/>
      <c r="I42" s="569"/>
    </row>
    <row r="43" spans="1:9">
      <c r="A43" s="336">
        <v>46006</v>
      </c>
      <c r="B43" s="388" t="s">
        <v>577</v>
      </c>
      <c r="C43">
        <v>2</v>
      </c>
      <c r="D43" s="388" t="s">
        <v>578</v>
      </c>
      <c r="E43" s="388">
        <f>139*2</f>
        <v>278</v>
      </c>
      <c r="F43">
        <v>50</v>
      </c>
      <c r="G43">
        <f>+E43*F43</f>
        <v>13900</v>
      </c>
      <c r="H43" s="483">
        <f>+(E43*F43+E44*F44)/(SUM(F43:F44))</f>
        <v>278.64864864864865</v>
      </c>
      <c r="I43" s="483">
        <f>+'15'!I38</f>
        <v>44.035000000000004</v>
      </c>
    </row>
    <row r="44" spans="1:9">
      <c r="A44" s="570"/>
      <c r="B44" s="388" t="s">
        <v>577</v>
      </c>
      <c r="C44">
        <v>2</v>
      </c>
      <c r="D44" s="388" t="s">
        <v>433</v>
      </c>
      <c r="E44" s="388">
        <f>140*2</f>
        <v>280</v>
      </c>
      <c r="F44">
        <v>24</v>
      </c>
      <c r="G44">
        <f>+E44*F44</f>
        <v>6720</v>
      </c>
      <c r="H44" s="483"/>
      <c r="I44" s="483"/>
    </row>
    <row r="45" spans="1:9" ht="13.5" thickBot="1">
      <c r="A45" s="566"/>
      <c r="B45" s="567"/>
      <c r="C45" s="568"/>
      <c r="D45" s="567"/>
      <c r="E45" s="567"/>
      <c r="F45" s="568"/>
      <c r="G45" s="568"/>
      <c r="H45" s="569"/>
      <c r="I45" s="569"/>
    </row>
    <row r="46" spans="1:9">
      <c r="A46" s="336">
        <v>46007</v>
      </c>
      <c r="B46" s="388" t="s">
        <v>577</v>
      </c>
      <c r="C46">
        <v>2</v>
      </c>
      <c r="D46" s="388" t="s">
        <v>433</v>
      </c>
      <c r="E46" s="388">
        <f>140*2</f>
        <v>280</v>
      </c>
      <c r="F46">
        <v>50</v>
      </c>
      <c r="G46">
        <f>+E46*F46</f>
        <v>14000</v>
      </c>
      <c r="H46" s="483">
        <f>+G46/F46</f>
        <v>280</v>
      </c>
      <c r="I46" s="483">
        <f>+'16'!N37</f>
        <v>21.999000000000002</v>
      </c>
    </row>
    <row r="47" spans="1:9">
      <c r="A47" s="570"/>
      <c r="B47" s="388" t="s">
        <v>606</v>
      </c>
      <c r="C47">
        <v>2</v>
      </c>
      <c r="D47" s="388" t="s">
        <v>605</v>
      </c>
      <c r="E47" s="388">
        <f>274*1</f>
        <v>274</v>
      </c>
      <c r="F47">
        <f>9+8</f>
        <v>17</v>
      </c>
      <c r="G47">
        <f>+E47*F47</f>
        <v>4658</v>
      </c>
      <c r="H47" s="483">
        <f>+(E47*F47+E48*F48)/(SUM(F47:F48))</f>
        <v>274.39285714285717</v>
      </c>
      <c r="I47" s="483">
        <f>+'16'!N38</f>
        <v>25.821999999999996</v>
      </c>
    </row>
    <row r="48" spans="1:9">
      <c r="A48" s="570"/>
      <c r="B48" s="388" t="s">
        <v>606</v>
      </c>
      <c r="C48">
        <v>2</v>
      </c>
      <c r="D48" s="388" t="s">
        <v>434</v>
      </c>
      <c r="E48" s="388">
        <f>275*1</f>
        <v>275</v>
      </c>
      <c r="F48">
        <v>11</v>
      </c>
      <c r="G48">
        <f>+E48*F48</f>
        <v>3025</v>
      </c>
      <c r="H48" s="483"/>
      <c r="I48" s="483"/>
    </row>
    <row r="49" spans="1:9" ht="13.5" thickBot="1">
      <c r="A49" s="566"/>
      <c r="B49" s="567"/>
      <c r="C49" s="568"/>
      <c r="D49" s="567"/>
      <c r="E49" s="567"/>
      <c r="F49" s="568"/>
      <c r="G49" s="568"/>
      <c r="H49" s="569"/>
      <c r="I49" s="569"/>
    </row>
    <row r="50" spans="1:9">
      <c r="A50" s="336">
        <v>46008</v>
      </c>
      <c r="B50" s="388" t="s">
        <v>606</v>
      </c>
      <c r="C50">
        <v>2</v>
      </c>
      <c r="D50" s="388" t="s">
        <v>432</v>
      </c>
      <c r="E50" s="388">
        <f>277*1</f>
        <v>277</v>
      </c>
      <c r="F50">
        <v>17</v>
      </c>
      <c r="G50">
        <f>+E50*F50</f>
        <v>4709</v>
      </c>
      <c r="H50" s="483">
        <f>+(E50*F50+E51*F51+E52*F52)/(SUM(F50:F52))</f>
        <v>276.1639344262295</v>
      </c>
      <c r="I50" s="483">
        <f>+'17'!N37</f>
        <v>34.079000000000001</v>
      </c>
    </row>
    <row r="51" spans="1:9">
      <c r="A51" s="570"/>
      <c r="B51" s="388" t="s">
        <v>606</v>
      </c>
      <c r="C51">
        <v>2</v>
      </c>
      <c r="D51" s="388" t="s">
        <v>622</v>
      </c>
      <c r="E51" s="388">
        <f>276*1</f>
        <v>276</v>
      </c>
      <c r="F51">
        <f>29+8</f>
        <v>37</v>
      </c>
      <c r="G51">
        <f>+E51*F51</f>
        <v>10212</v>
      </c>
      <c r="H51" s="483"/>
      <c r="I51" s="483"/>
    </row>
    <row r="52" spans="1:9">
      <c r="A52" s="570"/>
      <c r="B52" s="388" t="s">
        <v>606</v>
      </c>
      <c r="C52">
        <v>2</v>
      </c>
      <c r="D52" s="388" t="s">
        <v>434</v>
      </c>
      <c r="E52" s="388">
        <f>275*1</f>
        <v>275</v>
      </c>
      <c r="F52">
        <v>7</v>
      </c>
      <c r="G52">
        <f>+E52*F52</f>
        <v>1925</v>
      </c>
      <c r="H52" s="483"/>
      <c r="I52" s="483"/>
    </row>
    <row r="53" spans="1:9">
      <c r="A53" s="570"/>
      <c r="B53" s="388" t="s">
        <v>623</v>
      </c>
      <c r="C53">
        <v>2</v>
      </c>
      <c r="D53" s="388" t="s">
        <v>490</v>
      </c>
      <c r="E53" s="388">
        <f>280*1</f>
        <v>280</v>
      </c>
      <c r="F53">
        <v>16</v>
      </c>
      <c r="G53">
        <f>+E53*F53</f>
        <v>4480</v>
      </c>
      <c r="H53" s="483">
        <f>+G53/F53</f>
        <v>280</v>
      </c>
      <c r="I53" s="483">
        <f>+'17'!N38</f>
        <v>12.102</v>
      </c>
    </row>
    <row r="54" spans="1:9">
      <c r="A54" s="570"/>
      <c r="B54" s="388" t="s">
        <v>489</v>
      </c>
      <c r="C54">
        <v>2</v>
      </c>
      <c r="D54" s="388" t="s">
        <v>622</v>
      </c>
      <c r="E54" s="388">
        <f>276*1</f>
        <v>276</v>
      </c>
      <c r="F54">
        <v>2</v>
      </c>
      <c r="G54">
        <f>+E54*F54</f>
        <v>552</v>
      </c>
      <c r="H54" s="483">
        <f>+G54/F54</f>
        <v>276</v>
      </c>
      <c r="I54" s="483">
        <f>+'17'!N39</f>
        <v>6.1859999999999999</v>
      </c>
    </row>
    <row r="55" spans="1:9" ht="13.5" thickBot="1">
      <c r="A55" s="566"/>
      <c r="B55" s="567"/>
      <c r="C55" s="568"/>
      <c r="D55" s="567"/>
      <c r="E55" s="567"/>
      <c r="F55" s="568"/>
      <c r="G55" s="568"/>
      <c r="H55" s="569"/>
      <c r="I55" s="569"/>
    </row>
    <row r="56" spans="1:9">
      <c r="A56" s="336">
        <v>46009</v>
      </c>
      <c r="B56" s="388" t="s">
        <v>489</v>
      </c>
      <c r="C56">
        <v>2</v>
      </c>
      <c r="D56" s="388" t="s">
        <v>622</v>
      </c>
      <c r="E56" s="388">
        <f>276*1</f>
        <v>276</v>
      </c>
      <c r="F56">
        <v>74</v>
      </c>
      <c r="G56">
        <f>+E56*F56</f>
        <v>20424</v>
      </c>
      <c r="H56" s="483">
        <f>+G56/F56</f>
        <v>276</v>
      </c>
      <c r="I56" s="483">
        <f>+'18'!I38</f>
        <v>56.114000000000004</v>
      </c>
    </row>
    <row r="57" spans="1:9" ht="13.5" thickBot="1">
      <c r="A57" s="566"/>
      <c r="B57" s="567"/>
      <c r="C57" s="568"/>
      <c r="D57" s="567"/>
      <c r="E57" s="567"/>
      <c r="F57" s="568"/>
      <c r="G57" s="568"/>
      <c r="H57" s="569"/>
      <c r="I57" s="569"/>
    </row>
    <row r="58" spans="1:9">
      <c r="A58" s="336">
        <v>46010</v>
      </c>
      <c r="B58" s="388" t="s">
        <v>489</v>
      </c>
      <c r="C58">
        <v>2</v>
      </c>
      <c r="D58" s="388" t="s">
        <v>622</v>
      </c>
      <c r="E58" s="388">
        <f>276*1</f>
        <v>276</v>
      </c>
      <c r="F58">
        <v>82</v>
      </c>
      <c r="G58">
        <f>+E58*F58</f>
        <v>22632</v>
      </c>
      <c r="H58" s="483">
        <f>+G58/F58</f>
        <v>276</v>
      </c>
      <c r="I58" s="483">
        <f>+'19'!N37</f>
        <v>49.67</v>
      </c>
    </row>
    <row r="59" spans="1:9">
      <c r="A59" s="570"/>
      <c r="B59" s="388" t="s">
        <v>650</v>
      </c>
      <c r="C59">
        <v>2</v>
      </c>
      <c r="D59" s="388" t="s">
        <v>622</v>
      </c>
      <c r="E59" s="388">
        <f>276*1</f>
        <v>276</v>
      </c>
      <c r="F59">
        <v>0</v>
      </c>
      <c r="G59">
        <f>+E59*F59</f>
        <v>0</v>
      </c>
      <c r="H59" s="483">
        <f>+E59</f>
        <v>276</v>
      </c>
      <c r="I59" s="483">
        <f>+'19'!N38</f>
        <v>9.8919999999999995</v>
      </c>
    </row>
    <row r="60" spans="1:9" ht="13.5" thickBot="1">
      <c r="A60" s="566"/>
      <c r="B60" s="567"/>
      <c r="C60" s="568"/>
      <c r="D60" s="567"/>
      <c r="E60" s="567"/>
      <c r="F60" s="568"/>
      <c r="G60" s="568"/>
      <c r="H60" s="569"/>
      <c r="I60" s="569"/>
    </row>
    <row r="61" spans="1:9">
      <c r="A61" s="336">
        <v>46011</v>
      </c>
      <c r="B61" s="388" t="s">
        <v>650</v>
      </c>
      <c r="C61">
        <v>2</v>
      </c>
      <c r="D61" s="388" t="s">
        <v>622</v>
      </c>
      <c r="E61" s="388">
        <f>276*1</f>
        <v>276</v>
      </c>
      <c r="F61">
        <f>35+30+15</f>
        <v>80</v>
      </c>
      <c r="G61">
        <f>+E61*F61</f>
        <v>22080</v>
      </c>
      <c r="H61" s="483">
        <f>+G61/F61</f>
        <v>276</v>
      </c>
      <c r="I61" s="483">
        <f>+'20'!N37</f>
        <v>44.042000000000002</v>
      </c>
    </row>
    <row r="62" spans="1:9">
      <c r="A62" s="570"/>
      <c r="B62" s="388" t="s">
        <v>674</v>
      </c>
      <c r="C62">
        <v>2</v>
      </c>
      <c r="D62" s="388" t="s">
        <v>622</v>
      </c>
      <c r="E62" s="388">
        <f>276*1</f>
        <v>276</v>
      </c>
      <c r="F62">
        <f>9+4</f>
        <v>13</v>
      </c>
      <c r="G62">
        <f>+E62*F62</f>
        <v>3588</v>
      </c>
      <c r="H62" s="483">
        <f>+G62/F62</f>
        <v>276</v>
      </c>
      <c r="I62" s="483">
        <f>+'20'!N38</f>
        <v>10.924999999999999</v>
      </c>
    </row>
    <row r="63" spans="1:9">
      <c r="A63" s="570"/>
      <c r="B63" s="388" t="s">
        <v>489</v>
      </c>
      <c r="C63">
        <v>2</v>
      </c>
      <c r="D63" s="388" t="s">
        <v>622</v>
      </c>
      <c r="E63" s="388">
        <f>276*1</f>
        <v>276</v>
      </c>
      <c r="F63">
        <v>2</v>
      </c>
      <c r="G63">
        <f>+E63*F63</f>
        <v>552</v>
      </c>
      <c r="H63" s="483">
        <f>+G63/F63</f>
        <v>276</v>
      </c>
      <c r="I63" s="483" t="s">
        <v>281</v>
      </c>
    </row>
    <row r="64" spans="1:9" ht="13.5" thickBot="1">
      <c r="A64" s="566"/>
      <c r="B64" s="567"/>
      <c r="C64" s="568"/>
      <c r="D64" s="567"/>
      <c r="E64" s="567"/>
      <c r="F64" s="568"/>
      <c r="G64" s="568"/>
      <c r="H64" s="569"/>
      <c r="I64" s="569"/>
    </row>
    <row r="65" spans="1:9">
      <c r="A65" s="336">
        <v>46012</v>
      </c>
      <c r="B65" s="388" t="s">
        <v>674</v>
      </c>
      <c r="C65">
        <v>2</v>
      </c>
      <c r="D65" s="388" t="s">
        <v>622</v>
      </c>
      <c r="E65" s="388">
        <f>276*1</f>
        <v>276</v>
      </c>
      <c r="F65">
        <v>78</v>
      </c>
      <c r="G65">
        <f>+E65*F65</f>
        <v>21528</v>
      </c>
      <c r="H65" s="483">
        <f>+G65/F65</f>
        <v>276</v>
      </c>
      <c r="I65" s="483">
        <f>+'21'!I38</f>
        <v>53.402999999999999</v>
      </c>
    </row>
    <row r="66" spans="1:9" ht="13.5" thickBot="1">
      <c r="A66" s="566"/>
      <c r="B66" s="567"/>
      <c r="C66" s="568"/>
      <c r="D66" s="567"/>
      <c r="E66" s="567"/>
      <c r="F66" s="568"/>
      <c r="G66" s="568"/>
      <c r="H66" s="569"/>
      <c r="I66" s="569"/>
    </row>
    <row r="67" spans="1:9">
      <c r="A67" s="336">
        <v>46013</v>
      </c>
      <c r="B67" s="388" t="s">
        <v>674</v>
      </c>
      <c r="C67">
        <v>2</v>
      </c>
      <c r="D67" s="388" t="s">
        <v>622</v>
      </c>
      <c r="E67" s="388">
        <f>276*1</f>
        <v>276</v>
      </c>
      <c r="F67">
        <f>31+31+22</f>
        <v>84</v>
      </c>
      <c r="G67">
        <f>+E67*F67</f>
        <v>23184</v>
      </c>
      <c r="H67" s="483">
        <f>+G67/F67</f>
        <v>276</v>
      </c>
      <c r="I67" s="483">
        <f>+'22'!N37</f>
        <v>45.536000000000008</v>
      </c>
    </row>
    <row r="68" spans="1:9">
      <c r="A68" s="570"/>
      <c r="B68" s="388" t="s">
        <v>687</v>
      </c>
      <c r="C68">
        <v>2</v>
      </c>
      <c r="D68" s="388" t="s">
        <v>688</v>
      </c>
      <c r="E68" s="388">
        <f>277.5*1</f>
        <v>277.5</v>
      </c>
      <c r="F68">
        <v>4</v>
      </c>
      <c r="G68">
        <f>+E68*F68</f>
        <v>1110</v>
      </c>
      <c r="H68" s="483">
        <f>+G68/F68</f>
        <v>277.5</v>
      </c>
      <c r="I68" s="483">
        <f>+'22'!N38</f>
        <v>9.1199999999999992</v>
      </c>
    </row>
    <row r="69" spans="1:9" ht="13.5" thickBot="1">
      <c r="A69" s="566"/>
      <c r="B69" s="567"/>
      <c r="C69" s="568"/>
      <c r="D69" s="567"/>
      <c r="E69" s="567"/>
      <c r="F69" s="568"/>
      <c r="G69" s="568"/>
      <c r="H69" s="569"/>
      <c r="I69" s="569"/>
    </row>
    <row r="70" spans="1:9">
      <c r="A70" s="336">
        <v>46014</v>
      </c>
      <c r="B70" s="388" t="s">
        <v>687</v>
      </c>
      <c r="C70">
        <v>2</v>
      </c>
      <c r="D70" s="388" t="s">
        <v>688</v>
      </c>
      <c r="E70" s="388">
        <f>277.5*1</f>
        <v>277.5</v>
      </c>
      <c r="F70">
        <f>17+5+1</f>
        <v>23</v>
      </c>
      <c r="G70">
        <f>+E70*F70</f>
        <v>6382.5</v>
      </c>
      <c r="H70" s="483">
        <f>+G70/F70</f>
        <v>277.5</v>
      </c>
      <c r="I70" s="483">
        <f>+'22'!N40</f>
        <v>0</v>
      </c>
    </row>
    <row r="71" spans="1:9">
      <c r="A71" s="570"/>
      <c r="B71" s="388" t="s">
        <v>674</v>
      </c>
      <c r="C71">
        <v>2</v>
      </c>
      <c r="D71" s="388" t="s">
        <v>622</v>
      </c>
      <c r="E71" s="388">
        <f>276*1</f>
        <v>276</v>
      </c>
      <c r="F71">
        <v>1</v>
      </c>
      <c r="G71">
        <f>+E71*F71</f>
        <v>276</v>
      </c>
      <c r="H71" s="483">
        <f>+G71/F71</f>
        <v>276</v>
      </c>
      <c r="I71" s="483">
        <f>+'22'!N41</f>
        <v>0</v>
      </c>
    </row>
    <row r="72" spans="1:9">
      <c r="A72" s="570"/>
      <c r="B72" s="388" t="s">
        <v>693</v>
      </c>
      <c r="C72">
        <v>2</v>
      </c>
      <c r="D72" s="388" t="s">
        <v>701</v>
      </c>
      <c r="E72" s="388">
        <f>138*2</f>
        <v>276</v>
      </c>
      <c r="F72">
        <f>13+9+5+7+13+8</f>
        <v>55</v>
      </c>
      <c r="G72">
        <f>+E72*F72</f>
        <v>15180</v>
      </c>
      <c r="H72" s="483">
        <f>+G72/F72</f>
        <v>276</v>
      </c>
      <c r="I72" s="483"/>
    </row>
    <row r="73" spans="1:9" ht="13.5" thickBot="1">
      <c r="A73" s="566"/>
      <c r="B73" s="567"/>
      <c r="C73" s="568"/>
      <c r="D73" s="567"/>
      <c r="E73" s="567"/>
      <c r="F73" s="568"/>
      <c r="G73" s="568"/>
      <c r="H73" s="569"/>
      <c r="I73" s="569"/>
    </row>
    <row r="74" spans="1:9">
      <c r="A74" s="336">
        <v>46015</v>
      </c>
      <c r="B74" s="388" t="s">
        <v>693</v>
      </c>
      <c r="C74">
        <v>2</v>
      </c>
      <c r="D74" s="388" t="s">
        <v>701</v>
      </c>
      <c r="E74" s="388">
        <f>138*2</f>
        <v>276</v>
      </c>
      <c r="F74">
        <f>13+5</f>
        <v>18</v>
      </c>
      <c r="G74">
        <f>+E74*F74</f>
        <v>4968</v>
      </c>
      <c r="H74" s="483">
        <f>+G74/F74</f>
        <v>276</v>
      </c>
      <c r="I74" s="483">
        <f>+'22'!N44</f>
        <v>0</v>
      </c>
    </row>
    <row r="75" spans="1:9">
      <c r="A75" s="570"/>
      <c r="B75" s="388" t="s">
        <v>715</v>
      </c>
      <c r="C75">
        <v>2</v>
      </c>
      <c r="D75" s="388" t="s">
        <v>721</v>
      </c>
      <c r="E75" s="388">
        <f>45*6</f>
        <v>270</v>
      </c>
      <c r="F75">
        <f>5+2+5+4</f>
        <v>16</v>
      </c>
      <c r="G75">
        <f>+E75*F75</f>
        <v>4320</v>
      </c>
      <c r="H75" s="483">
        <f>+G75/F75</f>
        <v>270</v>
      </c>
      <c r="I75" s="483">
        <f>+'22'!N45</f>
        <v>0</v>
      </c>
    </row>
    <row r="76" spans="1:9">
      <c r="A76" s="570"/>
      <c r="B76" s="388" t="s">
        <v>522</v>
      </c>
      <c r="C76">
        <v>2</v>
      </c>
      <c r="D76" s="388" t="s">
        <v>722</v>
      </c>
      <c r="E76" s="388">
        <f>68*4</f>
        <v>272</v>
      </c>
      <c r="F76">
        <f>8+8+5</f>
        <v>21</v>
      </c>
      <c r="G76">
        <f>+E76*F76</f>
        <v>5712</v>
      </c>
      <c r="H76" s="483">
        <f>+(E76*F76+E77*F77)/(SUM(F76:F77))</f>
        <v>268.68085106382978</v>
      </c>
      <c r="I76" s="483"/>
    </row>
    <row r="77" spans="1:9">
      <c r="A77" s="570"/>
      <c r="B77" s="388" t="s">
        <v>522</v>
      </c>
      <c r="C77">
        <v>2</v>
      </c>
      <c r="D77" s="388" t="s">
        <v>523</v>
      </c>
      <c r="E77" s="388">
        <f>133*2</f>
        <v>266</v>
      </c>
      <c r="F77">
        <f>13+2+11</f>
        <v>26</v>
      </c>
      <c r="G77">
        <f>+E77*F77</f>
        <v>6916</v>
      </c>
      <c r="H77" s="483"/>
      <c r="I77" s="483"/>
    </row>
    <row r="78" spans="1:9">
      <c r="A78" s="570"/>
      <c r="B78" s="388" t="s">
        <v>274</v>
      </c>
      <c r="C78">
        <v>2</v>
      </c>
      <c r="D78" s="388" t="s">
        <v>723</v>
      </c>
      <c r="E78" s="388">
        <f>150+122.5</f>
        <v>272.5</v>
      </c>
      <c r="F78">
        <v>4</v>
      </c>
      <c r="G78">
        <f>+E78*F78</f>
        <v>1090</v>
      </c>
      <c r="H78" s="483">
        <f>+G78/F78</f>
        <v>272.5</v>
      </c>
      <c r="I78" s="483"/>
    </row>
    <row r="79" spans="1:9" ht="13.5" thickBot="1">
      <c r="A79" s="566"/>
      <c r="B79" s="567"/>
      <c r="C79" s="568"/>
      <c r="D79" s="567"/>
      <c r="E79" s="567"/>
      <c r="F79" s="568"/>
      <c r="G79" s="568"/>
      <c r="H79" s="569"/>
      <c r="I79" s="569"/>
    </row>
    <row r="80" spans="1:9">
      <c r="A80" s="570">
        <v>46016</v>
      </c>
      <c r="B80" s="388" t="s">
        <v>274</v>
      </c>
      <c r="C80">
        <v>2</v>
      </c>
      <c r="D80" s="388" t="s">
        <v>723</v>
      </c>
      <c r="E80" s="388">
        <f>150+122.5</f>
        <v>272.5</v>
      </c>
      <c r="F80">
        <f>8+13+7+13</f>
        <v>41</v>
      </c>
      <c r="G80">
        <f>+E80*F80</f>
        <v>11172.5</v>
      </c>
      <c r="H80" s="483">
        <f>+G80/F80</f>
        <v>272.5</v>
      </c>
      <c r="I80" s="483">
        <f>+'25'!I38-'Trim Rwd'!I81</f>
        <v>30.318000000000001</v>
      </c>
    </row>
    <row r="81" spans="1:9">
      <c r="A81" s="570"/>
      <c r="B81" s="388" t="s">
        <v>718</v>
      </c>
      <c r="C81">
        <v>2</v>
      </c>
      <c r="D81" s="388" t="s">
        <v>433</v>
      </c>
      <c r="E81" s="388">
        <f>140*2</f>
        <v>280</v>
      </c>
      <c r="F81">
        <f>6+2+10+12+13+6</f>
        <v>49</v>
      </c>
      <c r="G81">
        <f>+E81*F81</f>
        <v>13720</v>
      </c>
      <c r="H81" s="483">
        <f>+G81/F81</f>
        <v>280</v>
      </c>
      <c r="I81" s="483">
        <v>20.12</v>
      </c>
    </row>
    <row r="82" spans="1:9" ht="13.5" thickBot="1">
      <c r="A82" s="566"/>
      <c r="B82" s="567"/>
      <c r="C82" s="568"/>
      <c r="D82" s="567"/>
      <c r="E82" s="567"/>
      <c r="F82" s="568"/>
      <c r="G82" s="568"/>
      <c r="H82" s="569"/>
      <c r="I82" s="569"/>
    </row>
    <row r="83" spans="1:9">
      <c r="A83" s="570">
        <v>46017</v>
      </c>
      <c r="B83" s="388" t="s">
        <v>718</v>
      </c>
      <c r="C83">
        <v>2</v>
      </c>
      <c r="D83" s="388" t="s">
        <v>433</v>
      </c>
      <c r="E83" s="388">
        <f>140*2</f>
        <v>280</v>
      </c>
      <c r="F83">
        <v>85</v>
      </c>
      <c r="G83">
        <f>+E83*F83</f>
        <v>23800</v>
      </c>
      <c r="H83" s="483">
        <f>+(E83*F83+E84*F84)/(SUM(F83:F84))</f>
        <v>280</v>
      </c>
      <c r="I83" s="483">
        <f>+'26'!I38</f>
        <v>48.58</v>
      </c>
    </row>
    <row r="84" spans="1:9">
      <c r="A84" s="570"/>
      <c r="B84" s="388" t="s">
        <v>274</v>
      </c>
      <c r="C84">
        <v>2</v>
      </c>
      <c r="D84" s="388" t="s">
        <v>433</v>
      </c>
      <c r="E84" s="388">
        <f>140*2</f>
        <v>280</v>
      </c>
      <c r="F84">
        <v>1</v>
      </c>
      <c r="G84">
        <f>+E84*F84</f>
        <v>280</v>
      </c>
      <c r="H84" s="483"/>
      <c r="I84" s="483"/>
    </row>
    <row r="85" spans="1:9" ht="13.5" thickBot="1">
      <c r="A85" s="566"/>
      <c r="B85" s="567"/>
      <c r="C85" s="568"/>
      <c r="D85" s="567"/>
      <c r="E85" s="567"/>
      <c r="F85" s="568"/>
      <c r="G85" s="568"/>
      <c r="H85" s="569"/>
      <c r="I85" s="569"/>
    </row>
    <row r="86" spans="1:9">
      <c r="A86" s="570">
        <v>46018</v>
      </c>
      <c r="B86" s="388" t="s">
        <v>718</v>
      </c>
      <c r="C86">
        <v>2</v>
      </c>
      <c r="D86" s="388" t="s">
        <v>433</v>
      </c>
      <c r="E86" s="388">
        <f>140*2</f>
        <v>280</v>
      </c>
      <c r="F86">
        <v>60</v>
      </c>
      <c r="G86">
        <f>+E86*F86</f>
        <v>16800</v>
      </c>
      <c r="H86" s="483">
        <f>+G86/F86</f>
        <v>280</v>
      </c>
      <c r="I86" s="483">
        <f>+'27'!N37</f>
        <v>32.829000000000001</v>
      </c>
    </row>
    <row r="87" spans="1:9">
      <c r="A87" s="570"/>
      <c r="B87" s="388" t="s">
        <v>274</v>
      </c>
      <c r="C87">
        <v>2</v>
      </c>
      <c r="D87" s="388" t="s">
        <v>433</v>
      </c>
      <c r="E87" s="388">
        <f>140*2</f>
        <v>280</v>
      </c>
      <c r="F87">
        <v>24</v>
      </c>
      <c r="G87">
        <f>+E87*F87</f>
        <v>6720</v>
      </c>
      <c r="H87" s="483">
        <f>+G87/F87</f>
        <v>280</v>
      </c>
      <c r="I87" s="483">
        <f>+'27'!N38</f>
        <v>15.152999999999999</v>
      </c>
    </row>
    <row r="88" spans="1:9" ht="13.5" thickBot="1">
      <c r="A88" s="566"/>
      <c r="B88" s="567"/>
      <c r="C88" s="568"/>
      <c r="D88" s="567"/>
      <c r="E88" s="567"/>
      <c r="F88" s="568"/>
      <c r="G88" s="568"/>
      <c r="H88" s="569"/>
      <c r="I88" s="569"/>
    </row>
    <row r="89" spans="1:9">
      <c r="A89" s="570">
        <v>46019</v>
      </c>
      <c r="B89" s="388" t="s">
        <v>274</v>
      </c>
      <c r="C89">
        <v>2</v>
      </c>
      <c r="D89" s="388" t="s">
        <v>433</v>
      </c>
      <c r="E89" s="388">
        <f>140*2</f>
        <v>280</v>
      </c>
      <c r="F89">
        <v>51</v>
      </c>
      <c r="G89">
        <f>+E89*F89</f>
        <v>14280</v>
      </c>
      <c r="H89" s="483">
        <f>+(E89*F89+E90*F90)/(SUM(F89:F90))</f>
        <v>275.91666666666669</v>
      </c>
      <c r="I89" s="483">
        <f>+'28'!I38</f>
        <v>48.460999999999999</v>
      </c>
    </row>
    <row r="90" spans="1:9">
      <c r="A90" s="570"/>
      <c r="B90" s="388" t="s">
        <v>274</v>
      </c>
      <c r="C90">
        <v>2</v>
      </c>
      <c r="D90" s="388" t="s">
        <v>523</v>
      </c>
      <c r="E90" s="388">
        <f>133*2</f>
        <v>266</v>
      </c>
      <c r="F90">
        <v>21</v>
      </c>
      <c r="G90">
        <f>+E90*F90</f>
        <v>5586</v>
      </c>
      <c r="H90" s="483"/>
      <c r="I90" s="483"/>
    </row>
    <row r="91" spans="1:9" ht="13.5" thickBot="1">
      <c r="A91" s="566"/>
      <c r="B91" s="567"/>
      <c r="C91" s="568"/>
      <c r="D91" s="567"/>
      <c r="E91" s="567"/>
      <c r="F91" s="568"/>
      <c r="G91" s="568"/>
      <c r="H91" s="569"/>
      <c r="I91" s="569"/>
    </row>
    <row r="92" spans="1:9">
      <c r="A92" s="570">
        <v>46020</v>
      </c>
      <c r="B92" s="388" t="s">
        <v>274</v>
      </c>
      <c r="C92">
        <v>2</v>
      </c>
      <c r="D92" s="388" t="s">
        <v>523</v>
      </c>
      <c r="E92" s="388">
        <f>133*2</f>
        <v>266</v>
      </c>
      <c r="F92">
        <v>72</v>
      </c>
      <c r="G92">
        <f>+E92*F92</f>
        <v>19152</v>
      </c>
      <c r="H92" s="483">
        <f>+G92/F92</f>
        <v>266</v>
      </c>
      <c r="I92" s="483">
        <f>+'29'!I38</f>
        <v>47.242000000000004</v>
      </c>
    </row>
    <row r="93" spans="1:9" ht="13.5" thickBot="1">
      <c r="A93" s="566"/>
      <c r="B93" s="567"/>
      <c r="C93" s="568"/>
      <c r="D93" s="567"/>
      <c r="E93" s="567"/>
      <c r="F93" s="568"/>
      <c r="G93" s="568"/>
      <c r="H93" s="569"/>
      <c r="I93" s="569"/>
    </row>
    <row r="94" spans="1:9">
      <c r="A94" s="570">
        <v>46021</v>
      </c>
      <c r="B94" s="388" t="s">
        <v>274</v>
      </c>
      <c r="C94">
        <v>2</v>
      </c>
      <c r="D94" s="388" t="s">
        <v>523</v>
      </c>
      <c r="E94" s="388">
        <f>133*2</f>
        <v>266</v>
      </c>
      <c r="F94">
        <f>13+2+7+11+13+2+2</f>
        <v>50</v>
      </c>
      <c r="G94">
        <f>+E94*F94</f>
        <v>13300</v>
      </c>
      <c r="H94" s="483">
        <f>+G94/F94</f>
        <v>266</v>
      </c>
      <c r="I94" s="483">
        <f>+'30'!I38</f>
        <v>48.118000000000002</v>
      </c>
    </row>
    <row r="95" spans="1:9">
      <c r="A95" s="570"/>
      <c r="B95" s="388" t="s">
        <v>674</v>
      </c>
      <c r="C95">
        <v>2</v>
      </c>
      <c r="D95" s="388" t="s">
        <v>622</v>
      </c>
      <c r="E95" s="388">
        <f>276*1</f>
        <v>276</v>
      </c>
      <c r="F95">
        <v>24</v>
      </c>
      <c r="G95">
        <f>+E95*F95</f>
        <v>6624</v>
      </c>
      <c r="H95" s="483">
        <f>+G95/F95</f>
        <v>276</v>
      </c>
      <c r="I95" s="483"/>
    </row>
    <row r="96" spans="1:9" ht="13.5" thickBot="1">
      <c r="A96" s="566"/>
      <c r="B96" s="567"/>
      <c r="C96" s="568"/>
      <c r="D96" s="567"/>
      <c r="E96" s="567"/>
      <c r="F96" s="568"/>
      <c r="G96" s="568"/>
      <c r="H96" s="569"/>
      <c r="I96" s="569"/>
    </row>
    <row r="97" spans="1:9">
      <c r="A97" s="570">
        <v>46387</v>
      </c>
      <c r="B97" s="388" t="s">
        <v>674</v>
      </c>
      <c r="C97">
        <v>2</v>
      </c>
      <c r="D97" s="388" t="s">
        <v>622</v>
      </c>
      <c r="E97" s="388">
        <f>276*1</f>
        <v>276</v>
      </c>
      <c r="F97">
        <v>42</v>
      </c>
      <c r="G97">
        <f>+E97*F97</f>
        <v>11592</v>
      </c>
      <c r="H97" s="483">
        <f>+G97/F97</f>
        <v>276</v>
      </c>
      <c r="I97" s="483">
        <f>+'31'!I38</f>
        <v>55.849000000000004</v>
      </c>
    </row>
    <row r="98" spans="1:9" ht="13.5" thickBot="1">
      <c r="A98" s="566"/>
      <c r="B98" s="567"/>
      <c r="C98" s="568"/>
      <c r="D98" s="567"/>
      <c r="E98" s="567"/>
      <c r="F98" s="568"/>
      <c r="G98" s="568"/>
      <c r="H98" s="569"/>
      <c r="I98" s="569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70"/>
  <sheetViews>
    <sheetView zoomScale="90" zoomScaleNormal="90" workbookViewId="0">
      <pane xSplit="6" ySplit="6" topLeftCell="G125" activePane="bottomRight" state="frozen"/>
      <selection pane="topRight" activeCell="F1" sqref="F1"/>
      <selection pane="bottomLeft" activeCell="A7" sqref="A7"/>
      <selection pane="bottomRight" activeCell="K137" sqref="K137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6" customWidth="1"/>
    <col min="7" max="9" width="10.28515625" style="30" customWidth="1"/>
    <col min="10" max="11" width="10.28515625" style="85" customWidth="1"/>
    <col min="12" max="13" width="12.7109375" style="57" customWidth="1"/>
    <col min="14" max="15" width="10.28515625" style="30" customWidth="1"/>
    <col min="16" max="16" width="16.85546875" style="30" bestFit="1" customWidth="1"/>
    <col min="17" max="17" width="12.7109375" style="338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7.140625" style="30" customWidth="1"/>
    <col min="32" max="37" width="10.28515625" style="30" customWidth="1"/>
    <col min="38" max="39" width="11.7109375" style="30" customWidth="1"/>
    <col min="40" max="41" width="10.28515625" style="30" customWidth="1"/>
    <col min="42" max="42" width="12.42578125" style="30" customWidth="1"/>
    <col min="43" max="43" width="12.5703125" style="30" customWidth="1"/>
    <col min="44" max="44" width="29.7109375" style="30" bestFit="1" customWidth="1"/>
    <col min="45" max="51" width="10.28515625" style="30"/>
    <col min="52" max="52" width="13.42578125" style="30" customWidth="1"/>
    <col min="53" max="16384" width="10.28515625" style="30"/>
  </cols>
  <sheetData>
    <row r="1" spans="1:58" s="23" customFormat="1" ht="15.75">
      <c r="A1" s="22" t="s">
        <v>391</v>
      </c>
      <c r="G1" s="24"/>
      <c r="H1" s="24"/>
      <c r="I1" s="24"/>
      <c r="J1" s="82"/>
      <c r="K1" s="82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2"/>
      <c r="G2" s="24"/>
      <c r="H2" s="24"/>
      <c r="I2" s="24"/>
      <c r="J2" s="82"/>
      <c r="K2" s="82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39" t="s">
        <v>7</v>
      </c>
      <c r="B3" s="639" t="s">
        <v>8</v>
      </c>
      <c r="C3" s="639" t="s">
        <v>198</v>
      </c>
      <c r="D3" s="639" t="s">
        <v>94</v>
      </c>
      <c r="E3" s="639" t="s">
        <v>95</v>
      </c>
      <c r="F3" s="639" t="s">
        <v>96</v>
      </c>
      <c r="G3" s="644" t="s">
        <v>97</v>
      </c>
      <c r="H3" s="645"/>
      <c r="I3" s="645"/>
      <c r="J3" s="645"/>
      <c r="K3" s="646"/>
      <c r="L3" s="650" t="s">
        <v>98</v>
      </c>
      <c r="M3" s="651"/>
      <c r="N3" s="652"/>
      <c r="O3" s="656" t="s">
        <v>99</v>
      </c>
      <c r="P3" s="658" t="s">
        <v>111</v>
      </c>
      <c r="Q3" s="656" t="s">
        <v>100</v>
      </c>
      <c r="R3" s="661" t="s">
        <v>101</v>
      </c>
      <c r="S3" s="661" t="s">
        <v>102</v>
      </c>
      <c r="T3" s="639" t="s">
        <v>155</v>
      </c>
      <c r="U3" s="639" t="s">
        <v>154</v>
      </c>
      <c r="V3" s="639" t="s">
        <v>156</v>
      </c>
      <c r="W3" s="661" t="s">
        <v>146</v>
      </c>
      <c r="X3" s="642" t="s">
        <v>104</v>
      </c>
      <c r="Y3" s="642" t="s">
        <v>281</v>
      </c>
      <c r="Z3" s="661" t="s">
        <v>105</v>
      </c>
      <c r="AA3" s="639" t="s">
        <v>157</v>
      </c>
      <c r="AB3" s="639" t="s">
        <v>168</v>
      </c>
      <c r="AC3" s="639" t="s">
        <v>166</v>
      </c>
      <c r="AD3" s="639" t="s">
        <v>129</v>
      </c>
      <c r="AE3" s="639" t="s">
        <v>130</v>
      </c>
      <c r="AF3" s="670" t="s">
        <v>131</v>
      </c>
      <c r="AG3" s="670"/>
      <c r="AH3" s="670"/>
      <c r="AI3" s="670"/>
      <c r="AJ3" s="670"/>
      <c r="AK3" s="670"/>
      <c r="AL3" s="670"/>
      <c r="AM3" s="671" t="s">
        <v>132</v>
      </c>
      <c r="AN3" s="674" t="s">
        <v>106</v>
      </c>
      <c r="AO3" s="674"/>
      <c r="AP3" s="674"/>
      <c r="AQ3" s="674"/>
      <c r="AR3" s="674"/>
      <c r="AS3" s="675" t="s">
        <v>107</v>
      </c>
      <c r="AT3" s="663" t="s">
        <v>277</v>
      </c>
      <c r="AU3" s="664"/>
      <c r="AV3" s="688" t="s">
        <v>133</v>
      </c>
      <c r="AW3" s="689"/>
      <c r="AX3" s="690" t="s">
        <v>133</v>
      </c>
      <c r="AY3" s="691"/>
      <c r="AZ3" s="692" t="s">
        <v>292</v>
      </c>
      <c r="BA3" s="668" t="s">
        <v>108</v>
      </c>
      <c r="BB3" s="683" t="s">
        <v>109</v>
      </c>
      <c r="BC3" s="683" t="s">
        <v>110</v>
      </c>
      <c r="BD3" s="677" t="s">
        <v>393</v>
      </c>
      <c r="BE3" s="680" t="s">
        <v>394</v>
      </c>
      <c r="BF3" s="683" t="s">
        <v>395</v>
      </c>
    </row>
    <row r="4" spans="1:58" ht="12" customHeight="1">
      <c r="A4" s="640"/>
      <c r="B4" s="640"/>
      <c r="C4" s="640"/>
      <c r="D4" s="640"/>
      <c r="E4" s="640"/>
      <c r="F4" s="640"/>
      <c r="G4" s="647"/>
      <c r="H4" s="648"/>
      <c r="I4" s="648"/>
      <c r="J4" s="648"/>
      <c r="K4" s="649"/>
      <c r="L4" s="653"/>
      <c r="M4" s="654"/>
      <c r="N4" s="655"/>
      <c r="O4" s="657"/>
      <c r="P4" s="659"/>
      <c r="Q4" s="657"/>
      <c r="R4" s="662"/>
      <c r="S4" s="662"/>
      <c r="T4" s="640"/>
      <c r="U4" s="640"/>
      <c r="V4" s="640"/>
      <c r="W4" s="662"/>
      <c r="X4" s="643"/>
      <c r="Y4" s="643"/>
      <c r="Z4" s="662"/>
      <c r="AA4" s="640"/>
      <c r="AB4" s="640"/>
      <c r="AC4" s="640"/>
      <c r="AD4" s="640"/>
      <c r="AE4" s="640"/>
      <c r="AF4" s="685" t="s">
        <v>134</v>
      </c>
      <c r="AG4" s="686"/>
      <c r="AH4" s="687"/>
      <c r="AI4" s="659" t="s">
        <v>265</v>
      </c>
      <c r="AJ4" s="659" t="s">
        <v>14</v>
      </c>
      <c r="AK4" s="659" t="s">
        <v>135</v>
      </c>
      <c r="AL4" s="659" t="s">
        <v>17</v>
      </c>
      <c r="AM4" s="672"/>
      <c r="AN4" s="667" t="s">
        <v>112</v>
      </c>
      <c r="AO4" s="667" t="s">
        <v>14</v>
      </c>
      <c r="AP4" s="667" t="s">
        <v>113</v>
      </c>
      <c r="AQ4" s="667" t="s">
        <v>17</v>
      </c>
      <c r="AR4" s="668" t="s">
        <v>114</v>
      </c>
      <c r="AS4" s="675"/>
      <c r="AT4" s="665"/>
      <c r="AU4" s="666"/>
      <c r="AV4" s="486" t="s">
        <v>6</v>
      </c>
      <c r="AW4" s="486" t="s">
        <v>136</v>
      </c>
      <c r="AX4" s="487" t="s">
        <v>6</v>
      </c>
      <c r="AY4" s="488" t="s">
        <v>136</v>
      </c>
      <c r="AZ4" s="693"/>
      <c r="BA4" s="668"/>
      <c r="BB4" s="683"/>
      <c r="BC4" s="683"/>
      <c r="BD4" s="678"/>
      <c r="BE4" s="681"/>
      <c r="BF4" s="683"/>
    </row>
    <row r="5" spans="1:58" s="33" customFormat="1" ht="48">
      <c r="A5" s="640"/>
      <c r="B5" s="640"/>
      <c r="C5" s="641"/>
      <c r="D5" s="640"/>
      <c r="E5" s="640"/>
      <c r="F5" s="640"/>
      <c r="G5" s="504" t="s">
        <v>115</v>
      </c>
      <c r="H5" s="501" t="s">
        <v>116</v>
      </c>
      <c r="I5" s="31" t="s">
        <v>117</v>
      </c>
      <c r="J5" s="83" t="s">
        <v>118</v>
      </c>
      <c r="K5" s="83" t="s">
        <v>103</v>
      </c>
      <c r="L5" s="32" t="s">
        <v>119</v>
      </c>
      <c r="M5" s="32" t="s">
        <v>120</v>
      </c>
      <c r="N5" s="501" t="s">
        <v>121</v>
      </c>
      <c r="O5" s="657"/>
      <c r="P5" s="660"/>
      <c r="Q5" s="657"/>
      <c r="R5" s="662"/>
      <c r="S5" s="662"/>
      <c r="T5" s="640"/>
      <c r="U5" s="640"/>
      <c r="V5" s="640"/>
      <c r="W5" s="662"/>
      <c r="X5" s="643"/>
      <c r="Y5" s="669"/>
      <c r="Z5" s="662"/>
      <c r="AA5" s="640"/>
      <c r="AB5" s="641"/>
      <c r="AC5" s="640"/>
      <c r="AD5" s="641"/>
      <c r="AE5" s="640"/>
      <c r="AF5" s="436" t="s">
        <v>215</v>
      </c>
      <c r="AG5" s="503" t="s">
        <v>216</v>
      </c>
      <c r="AH5" s="503" t="s">
        <v>217</v>
      </c>
      <c r="AI5" s="660"/>
      <c r="AJ5" s="660"/>
      <c r="AK5" s="660"/>
      <c r="AL5" s="660"/>
      <c r="AM5" s="673"/>
      <c r="AN5" s="658"/>
      <c r="AO5" s="658"/>
      <c r="AP5" s="658"/>
      <c r="AQ5" s="658"/>
      <c r="AR5" s="661"/>
      <c r="AS5" s="676"/>
      <c r="AT5" s="502" t="s">
        <v>278</v>
      </c>
      <c r="AU5" s="502" t="s">
        <v>279</v>
      </c>
      <c r="AV5" s="489" t="s">
        <v>280</v>
      </c>
      <c r="AW5" s="489" t="s">
        <v>280</v>
      </c>
      <c r="AX5" s="487" t="s">
        <v>16</v>
      </c>
      <c r="AY5" s="487" t="s">
        <v>16</v>
      </c>
      <c r="AZ5" s="694"/>
      <c r="BA5" s="661"/>
      <c r="BB5" s="639"/>
      <c r="BC5" s="639"/>
      <c r="BD5" s="679"/>
      <c r="BE5" s="682"/>
      <c r="BF5" s="684"/>
    </row>
    <row r="6" spans="1:58" ht="12.95" customHeight="1">
      <c r="A6" s="41">
        <f>+Report1!A9</f>
        <v>45992</v>
      </c>
      <c r="B6" s="42" t="s">
        <v>417</v>
      </c>
      <c r="C6" s="424">
        <f>(M6*E6*O6*Q6)/100000000</f>
        <v>11.447025</v>
      </c>
      <c r="D6" s="42" t="s">
        <v>285</v>
      </c>
      <c r="E6" s="43">
        <v>15</v>
      </c>
      <c r="F6" s="43">
        <v>1</v>
      </c>
      <c r="G6" s="44">
        <v>1250</v>
      </c>
      <c r="H6" s="484">
        <f>+N6</f>
        <v>0.24</v>
      </c>
      <c r="I6" s="46">
        <v>0.88</v>
      </c>
      <c r="J6" s="84">
        <f>E6*G6*(1-H6)*1440/1000000*2.87</f>
        <v>58.892400000000002</v>
      </c>
      <c r="K6" s="84">
        <f>(IF(G6&lt;L6,L6,G6)*(1-IF(H6&lt;N6,H6,N6))*E6*O6*Q6)/100000000</f>
        <v>11.447025</v>
      </c>
      <c r="L6" s="36">
        <v>1250</v>
      </c>
      <c r="M6" s="36">
        <f>+L6-L6*0.24</f>
        <v>950</v>
      </c>
      <c r="N6" s="47">
        <f>1-(M6/L6)</f>
        <v>0.24</v>
      </c>
      <c r="O6" s="48">
        <f>+'Trim Rwd'!H4</f>
        <v>277</v>
      </c>
      <c r="P6" s="49">
        <f>O6*(Q6-R6-S6)</f>
        <v>79499</v>
      </c>
      <c r="Q6" s="48">
        <v>290</v>
      </c>
      <c r="R6" s="394">
        <v>0</v>
      </c>
      <c r="S6" s="394">
        <v>3</v>
      </c>
      <c r="T6" s="38">
        <f>E6*M6*O6*Q6/100000000</f>
        <v>11.447025</v>
      </c>
      <c r="U6" s="38">
        <f>E6*M6*O6*(Q6-R6-S6)/100000000</f>
        <v>11.3286075</v>
      </c>
      <c r="V6" s="38">
        <f>E6*G6*(1-N6)*O6/100*(R6+S6)/1000000</f>
        <v>0.11841749999999999</v>
      </c>
      <c r="W6" s="38">
        <f>+'1'!K7/1000</f>
        <v>12.731999999999999</v>
      </c>
      <c r="X6" s="391">
        <f>SUM(W6:W9)/SUM(K6:K9)</f>
        <v>1.020257349870421</v>
      </c>
      <c r="Y6" s="38">
        <v>0</v>
      </c>
      <c r="Z6" s="38">
        <f>+'1'!D34/1000</f>
        <v>0</v>
      </c>
      <c r="AA6" s="50">
        <f>SUM(U6:U9)-SUM(W6:W9)-SUM(Z6:Z9)-SUM(Y6:Y9)</f>
        <v>-1.9347020000000015</v>
      </c>
      <c r="AB6" s="50">
        <f>(SUM(K6:K9)-SUM(W6:W9)-SUM(Y6:Y9)-SUM(Z6:Z9)-SUM(AC6:AC9)-SUM(V6:V9))-AA6</f>
        <v>1.1576319999998752E-2</v>
      </c>
      <c r="AC6" s="38">
        <f>K6-T6</f>
        <v>0</v>
      </c>
      <c r="AD6" s="38">
        <f>+AM6+BA6</f>
        <v>0</v>
      </c>
      <c r="AE6" s="228" t="s">
        <v>392</v>
      </c>
      <c r="AF6" s="38">
        <v>0</v>
      </c>
      <c r="AG6" s="38"/>
      <c r="AH6" s="38"/>
      <c r="AI6" s="469"/>
      <c r="AJ6" s="38"/>
      <c r="AK6" s="38"/>
      <c r="AL6" s="38"/>
      <c r="AM6" s="38">
        <f>SUM(AF6:AL6)+AT6+AV6+AX6</f>
        <v>0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0</v>
      </c>
      <c r="BC6" s="52"/>
      <c r="BD6" s="52"/>
      <c r="BE6" s="34"/>
      <c r="BF6" s="52"/>
    </row>
    <row r="7" spans="1:58" ht="12.95" customHeight="1">
      <c r="A7" s="41"/>
      <c r="B7" s="42" t="s">
        <v>419</v>
      </c>
      <c r="C7" s="424">
        <f>(M7*E7*O7*Q7)/100000000</f>
        <v>15.51825</v>
      </c>
      <c r="D7" s="42" t="s">
        <v>285</v>
      </c>
      <c r="E7" s="43">
        <v>12.5</v>
      </c>
      <c r="F7" s="43">
        <v>1</v>
      </c>
      <c r="G7" s="467">
        <v>1350</v>
      </c>
      <c r="H7" s="484">
        <f>+N7</f>
        <v>0.24</v>
      </c>
      <c r="I7" s="46">
        <v>0.88</v>
      </c>
      <c r="J7" s="84">
        <f>E7*G7*(1-H7)*1440/1000000*2.87</f>
        <v>53.003160000000001</v>
      </c>
      <c r="K7" s="84">
        <f>(IF(G7&lt;L7,L7,G7)*(1-IF(H7&lt;N7,H7,N7))*E7*O7*Q7)/100000000</f>
        <v>15.51825</v>
      </c>
      <c r="L7" s="36">
        <v>1350</v>
      </c>
      <c r="M7" s="36">
        <f>+L7-L7*0.24</f>
        <v>1026</v>
      </c>
      <c r="N7" s="47">
        <f>1-(M7/L7)</f>
        <v>0.24</v>
      </c>
      <c r="O7" s="48">
        <f>+'Trim Rwd'!H6</f>
        <v>275</v>
      </c>
      <c r="P7" s="49">
        <f>O7*(Q7-R7-S7)</f>
        <v>118250</v>
      </c>
      <c r="Q7" s="48">
        <v>440</v>
      </c>
      <c r="R7" s="394">
        <v>0</v>
      </c>
      <c r="S7" s="394">
        <v>10</v>
      </c>
      <c r="T7" s="38">
        <f>E7*M7*O7*Q7/100000000</f>
        <v>15.51825</v>
      </c>
      <c r="U7" s="38">
        <f>E7*M7*O7*(Q7-R7-S7)/100000000</f>
        <v>15.1655625</v>
      </c>
      <c r="V7" s="38">
        <f>E7*G7*(1-N7)*O7/100*(R7+S7)/1000000</f>
        <v>0.35268749999999999</v>
      </c>
      <c r="W7" s="38">
        <f>+'1'!K8/1000</f>
        <v>14.342000000000001</v>
      </c>
      <c r="X7" s="39"/>
      <c r="Y7" s="211"/>
      <c r="Z7" s="38"/>
      <c r="AA7" s="38"/>
      <c r="AB7" s="38"/>
      <c r="AC7" s="38">
        <f>K7-T7</f>
        <v>0</v>
      </c>
      <c r="AD7" s="38">
        <f>+AM7+BA7</f>
        <v>0</v>
      </c>
      <c r="AE7" s="228" t="s">
        <v>415</v>
      </c>
      <c r="AF7" s="38"/>
      <c r="AG7" s="38">
        <v>0</v>
      </c>
      <c r="AH7" s="38"/>
      <c r="AI7" s="469"/>
      <c r="AJ7" s="38"/>
      <c r="AK7" s="38"/>
      <c r="AL7" s="38"/>
      <c r="AM7" s="38">
        <f>SUM(AF7:AL7)+AT7+AV7+AX7</f>
        <v>0</v>
      </c>
      <c r="AN7" s="85"/>
      <c r="AO7" s="38"/>
      <c r="AP7" s="38"/>
      <c r="AQ7" s="38"/>
      <c r="AR7" s="38">
        <f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0</v>
      </c>
      <c r="BD7" s="52"/>
      <c r="BE7" s="51"/>
      <c r="BF7" s="52"/>
    </row>
    <row r="8" spans="1:58" ht="12.95" customHeight="1">
      <c r="A8" s="41"/>
      <c r="B8" s="42" t="s">
        <v>419</v>
      </c>
      <c r="C8" s="424">
        <f>(M8*E8*O8*Q8)/100000000</f>
        <v>26.712358399999999</v>
      </c>
      <c r="D8" s="42" t="s">
        <v>285</v>
      </c>
      <c r="E8" s="43">
        <v>14</v>
      </c>
      <c r="F8" s="43">
        <v>1</v>
      </c>
      <c r="G8" s="467">
        <v>1260</v>
      </c>
      <c r="H8" s="484">
        <f>+N8</f>
        <v>0.24</v>
      </c>
      <c r="I8" s="46">
        <v>0.88</v>
      </c>
      <c r="J8" s="84">
        <f>E8*G8*(1-H8)*1440/1000000*2.87</f>
        <v>55.405969920000004</v>
      </c>
      <c r="K8" s="84">
        <f>(IF(G8&lt;L8,L8,G8)*(1-IF(H8&lt;N8,H8,N8))*E8*O8*Q8)/100000000</f>
        <v>26.712358399999999</v>
      </c>
      <c r="L8" s="36">
        <v>1300</v>
      </c>
      <c r="M8" s="36">
        <f>+L8-L8*0.24</f>
        <v>988</v>
      </c>
      <c r="N8" s="47">
        <f>1-(M8/L8)</f>
        <v>0.24</v>
      </c>
      <c r="O8" s="48">
        <f>+'Trim Rwd'!H7</f>
        <v>272</v>
      </c>
      <c r="P8" s="49">
        <f>O8*(Q8-R8-S8)</f>
        <v>190400</v>
      </c>
      <c r="Q8" s="48">
        <v>710</v>
      </c>
      <c r="R8" s="394">
        <v>0</v>
      </c>
      <c r="S8" s="394">
        <v>10</v>
      </c>
      <c r="T8" s="38">
        <f>E8*M8*O8*Q8/100000000</f>
        <v>26.712358399999999</v>
      </c>
      <c r="U8" s="38">
        <f>E8*M8*O8*(Q8-R8-S8)/100000000</f>
        <v>26.336127999999999</v>
      </c>
      <c r="V8" s="38">
        <f>E8*G8*(1-N8)*O8/100*(R8+S8)/1000000</f>
        <v>0.36465407999999994</v>
      </c>
      <c r="W8" s="38">
        <f>+'1'!K9/1000</f>
        <v>18.489000000000001</v>
      </c>
      <c r="X8" s="39"/>
      <c r="Y8" s="211"/>
      <c r="Z8" s="38"/>
      <c r="AA8" s="38"/>
      <c r="AB8" s="38"/>
      <c r="AC8" s="38">
        <f>K8-T8</f>
        <v>0</v>
      </c>
      <c r="AD8" s="38">
        <f>+AM8+BA8</f>
        <v>23</v>
      </c>
      <c r="AE8" s="228" t="s">
        <v>420</v>
      </c>
      <c r="AF8" s="34"/>
      <c r="AG8" s="34"/>
      <c r="AH8" s="34">
        <v>23</v>
      </c>
      <c r="AJ8" s="38"/>
      <c r="AK8" s="38"/>
      <c r="AL8" s="38"/>
      <c r="AM8" s="38">
        <f>SUM(AF8:AL8)+AT8+AV8+AX8</f>
        <v>23</v>
      </c>
      <c r="AN8" s="38"/>
      <c r="AO8" s="38"/>
      <c r="AP8" s="38"/>
      <c r="AQ8" s="38"/>
      <c r="AR8" s="38">
        <f>SUM(AN8:AQ8)</f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54"/>
      <c r="BD8" s="54"/>
      <c r="BE8" s="34"/>
      <c r="BF8" s="54"/>
    </row>
    <row r="9" spans="1:58" ht="12.95" customHeight="1">
      <c r="A9" s="41"/>
      <c r="B9" s="42" t="s">
        <v>417</v>
      </c>
      <c r="C9" s="424"/>
      <c r="D9" s="42"/>
      <c r="E9" s="43">
        <v>12</v>
      </c>
      <c r="F9" s="43"/>
      <c r="G9" s="44"/>
      <c r="H9" s="45"/>
      <c r="I9" s="46"/>
      <c r="J9" s="84"/>
      <c r="K9" s="84"/>
      <c r="L9" s="36"/>
      <c r="M9" s="36"/>
      <c r="N9" s="47"/>
      <c r="O9" s="48"/>
      <c r="P9" s="49"/>
      <c r="Q9" s="35"/>
      <c r="R9" s="394"/>
      <c r="S9" s="394"/>
      <c r="T9" s="38"/>
      <c r="U9" s="38"/>
      <c r="V9" s="38"/>
      <c r="W9" s="38">
        <f>+'1'!K10/1000</f>
        <v>9.202</v>
      </c>
      <c r="X9" s="39"/>
      <c r="Y9" s="211"/>
      <c r="Z9" s="38"/>
      <c r="AA9" s="38"/>
      <c r="AB9" s="38"/>
      <c r="AC9" s="38"/>
      <c r="AD9" s="38"/>
      <c r="AE9" s="231"/>
      <c r="AF9" s="38"/>
      <c r="AG9" s="38"/>
      <c r="AH9" s="38"/>
      <c r="AI9" s="469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51"/>
      <c r="BC9" s="52"/>
      <c r="BD9" s="52"/>
      <c r="BE9" s="51"/>
      <c r="BF9" s="52"/>
    </row>
    <row r="10" spans="1:58" ht="12.95" customHeight="1">
      <c r="A10" s="41"/>
      <c r="B10" s="42"/>
      <c r="C10" s="424"/>
      <c r="D10" s="42"/>
      <c r="E10" s="43"/>
      <c r="F10" s="43"/>
      <c r="G10" s="467"/>
      <c r="H10" s="45"/>
      <c r="I10" s="46"/>
      <c r="J10" s="84"/>
      <c r="K10" s="84"/>
      <c r="L10" s="36"/>
      <c r="M10" s="36"/>
      <c r="N10" s="47"/>
      <c r="O10" s="48"/>
      <c r="P10" s="49"/>
      <c r="Q10" s="48"/>
      <c r="R10" s="394"/>
      <c r="S10" s="394"/>
      <c r="T10" s="38"/>
      <c r="U10" s="38"/>
      <c r="V10" s="38"/>
      <c r="W10" s="38"/>
      <c r="X10" s="391"/>
      <c r="Y10" s="38"/>
      <c r="Z10" s="38"/>
      <c r="AA10" s="50"/>
      <c r="AB10" s="50"/>
      <c r="AC10" s="38"/>
      <c r="AD10" s="38"/>
      <c r="AE10" s="228"/>
      <c r="AF10" s="38"/>
      <c r="AG10" s="38"/>
      <c r="AH10" s="38"/>
      <c r="AI10" s="469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4"/>
      <c r="BC10" s="52"/>
      <c r="BD10" s="52"/>
      <c r="BE10" s="34"/>
      <c r="BF10" s="52"/>
    </row>
    <row r="11" spans="1:58" ht="12.95" customHeight="1">
      <c r="A11" s="41">
        <v>45993</v>
      </c>
      <c r="B11" s="42" t="s">
        <v>419</v>
      </c>
      <c r="C11" s="424">
        <f>(M11*E11*O11*Q11)/100000000</f>
        <v>54.1771776</v>
      </c>
      <c r="D11" s="42" t="s">
        <v>285</v>
      </c>
      <c r="E11" s="43">
        <v>14</v>
      </c>
      <c r="F11" s="43">
        <v>1</v>
      </c>
      <c r="G11" s="467">
        <v>1260</v>
      </c>
      <c r="H11" s="484">
        <f>+N11</f>
        <v>0.24</v>
      </c>
      <c r="I11" s="46">
        <v>0.88</v>
      </c>
      <c r="J11" s="84">
        <f>E11*G11*(1-H11)*1440/1000000*2.87</f>
        <v>55.405969920000004</v>
      </c>
      <c r="K11" s="84">
        <f>(IF(G11&lt;L11,L11,G11)*(1-IF(H11&lt;N11,H11,N11))*E11*O11*Q11)/100000000</f>
        <v>54.1771776</v>
      </c>
      <c r="L11" s="36">
        <v>1300</v>
      </c>
      <c r="M11" s="36">
        <f>+L11-L11*0.24</f>
        <v>988</v>
      </c>
      <c r="N11" s="47">
        <f>1-(M11/L11)</f>
        <v>0.24</v>
      </c>
      <c r="O11" s="48">
        <f>+'Trim Rwd'!H9</f>
        <v>272</v>
      </c>
      <c r="P11" s="49">
        <f>O11*(Q11-R11-S11)</f>
        <v>375632</v>
      </c>
      <c r="Q11" s="48">
        <v>1440</v>
      </c>
      <c r="R11" s="394">
        <v>8</v>
      </c>
      <c r="S11" s="394">
        <v>51</v>
      </c>
      <c r="T11" s="38">
        <f>E11*M11*O11*Q11/100000000</f>
        <v>54.1771776</v>
      </c>
      <c r="U11" s="38">
        <f>E11*M11*O11*(Q11-R11-S11)/100000000</f>
        <v>51.957418240000003</v>
      </c>
      <c r="V11" s="38">
        <f>E11*G11*(1-N11)*O11/100*(R11+S11)/1000000</f>
        <v>2.1514590719999998</v>
      </c>
      <c r="W11" s="38">
        <f>+'2'!K34/1000</f>
        <v>53.106000000000002</v>
      </c>
      <c r="X11" s="391">
        <f>SUM(W11:W14)/SUM(K11:K14)</f>
        <v>0.98022825020696536</v>
      </c>
      <c r="Y11" s="38">
        <v>0</v>
      </c>
      <c r="Z11" s="38">
        <f>+'1'!D39/1000</f>
        <v>0</v>
      </c>
      <c r="AA11" s="50">
        <f>SUM(U11:U14)-SUM(W11:W14)-SUM(Z11:Z14)-SUM(Y11:Y14)</f>
        <v>-1.148581759999999</v>
      </c>
      <c r="AB11" s="50">
        <f>(SUM(K11:K14)-SUM(W11:W14)-SUM(Y11:Y14)-SUM(Z11:Z14)-SUM(AC11:AC14)-SUM(V11:V14))-AA11</f>
        <v>6.8300287999997877E-2</v>
      </c>
      <c r="AC11" s="38">
        <f>K11-T11</f>
        <v>0</v>
      </c>
      <c r="AD11" s="38">
        <f>+AM11+BA11</f>
        <v>21</v>
      </c>
      <c r="AE11" s="228" t="s">
        <v>449</v>
      </c>
      <c r="AF11" s="38">
        <v>21</v>
      </c>
      <c r="AG11" s="38"/>
      <c r="AH11" s="38"/>
      <c r="AI11" s="469"/>
      <c r="AJ11" s="38"/>
      <c r="AK11" s="38"/>
      <c r="AL11" s="38"/>
      <c r="AM11" s="38">
        <f>SUM(AF11:AL11)+AT11+AV11+AX11</f>
        <v>21</v>
      </c>
      <c r="AN11" s="38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+AR11+AS11+AU11+AW11+AY11+AZ11</f>
        <v>0</v>
      </c>
      <c r="BB11" s="34">
        <v>4</v>
      </c>
      <c r="BC11" s="52"/>
      <c r="BD11" s="52"/>
      <c r="BE11" s="34"/>
      <c r="BF11" s="52"/>
    </row>
    <row r="12" spans="1:58" ht="12.95" customHeight="1">
      <c r="A12" s="41"/>
      <c r="B12" s="42"/>
      <c r="C12" s="424"/>
      <c r="D12" s="42"/>
      <c r="E12" s="43"/>
      <c r="F12" s="43"/>
      <c r="G12" s="467"/>
      <c r="H12" s="45"/>
      <c r="I12" s="46"/>
      <c r="J12" s="84"/>
      <c r="K12" s="84"/>
      <c r="L12" s="36"/>
      <c r="M12" s="36"/>
      <c r="N12" s="47"/>
      <c r="O12" s="48"/>
      <c r="P12" s="49"/>
      <c r="Q12" s="48"/>
      <c r="R12" s="394"/>
      <c r="S12" s="394"/>
      <c r="T12" s="38"/>
      <c r="U12" s="38"/>
      <c r="V12" s="38"/>
      <c r="W12" s="38"/>
      <c r="X12" s="39"/>
      <c r="Y12" s="211"/>
      <c r="Z12" s="38"/>
      <c r="AA12" s="38"/>
      <c r="AB12" s="38"/>
      <c r="AC12" s="38"/>
      <c r="AD12" s="38">
        <f>+AM12+BA12</f>
        <v>2</v>
      </c>
      <c r="AE12" s="228" t="s">
        <v>446</v>
      </c>
      <c r="AF12" s="38"/>
      <c r="AG12" s="38">
        <v>2</v>
      </c>
      <c r="AH12" s="38"/>
      <c r="AI12" s="469"/>
      <c r="AJ12" s="38"/>
      <c r="AK12" s="38"/>
      <c r="AL12" s="38"/>
      <c r="AM12" s="38">
        <f>SUM(AF12:AL12)+AT12+AV12+AX12</f>
        <v>2</v>
      </c>
      <c r="AN12" s="85"/>
      <c r="AO12" s="38"/>
      <c r="AP12" s="38"/>
      <c r="AQ12" s="38"/>
      <c r="AR12" s="38">
        <f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51"/>
      <c r="BC12" s="52">
        <v>1</v>
      </c>
      <c r="BD12" s="52"/>
      <c r="BE12" s="51"/>
      <c r="BF12" s="52"/>
    </row>
    <row r="13" spans="1:58" ht="12.95" customHeight="1">
      <c r="A13" s="41"/>
      <c r="B13" s="42"/>
      <c r="C13" s="424"/>
      <c r="D13" s="42"/>
      <c r="E13" s="43"/>
      <c r="F13" s="43"/>
      <c r="G13" s="467"/>
      <c r="H13" s="45"/>
      <c r="I13" s="46"/>
      <c r="J13" s="84"/>
      <c r="K13" s="84"/>
      <c r="L13" s="36"/>
      <c r="M13" s="36"/>
      <c r="N13" s="47"/>
      <c r="O13" s="48"/>
      <c r="P13" s="49"/>
      <c r="Q13" s="48"/>
      <c r="R13" s="394"/>
      <c r="S13" s="394"/>
      <c r="T13" s="38"/>
      <c r="U13" s="38"/>
      <c r="V13" s="38"/>
      <c r="W13" s="38"/>
      <c r="X13" s="39"/>
      <c r="Y13" s="211"/>
      <c r="Z13" s="38"/>
      <c r="AA13" s="38"/>
      <c r="AB13" s="38"/>
      <c r="AC13" s="38"/>
      <c r="AD13" s="38">
        <f>+AM13+BA13</f>
        <v>28</v>
      </c>
      <c r="AE13" s="228" t="s">
        <v>420</v>
      </c>
      <c r="AF13" s="34"/>
      <c r="AG13" s="34"/>
      <c r="AH13" s="34">
        <v>28</v>
      </c>
      <c r="AI13" s="469"/>
      <c r="AJ13" s="38"/>
      <c r="AK13" s="38"/>
      <c r="AL13" s="38"/>
      <c r="AM13" s="38">
        <f>SUM(AF13:AL13)+AT13+AV13+AX13</f>
        <v>28</v>
      </c>
      <c r="AN13" s="38"/>
      <c r="AO13" s="38"/>
      <c r="AP13" s="38"/>
      <c r="AQ13" s="38"/>
      <c r="AR13" s="38">
        <f>SUM(AN13:AQ13)</f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>+AR13+AS13+AU13+AW13+AY13+AZ13</f>
        <v>0</v>
      </c>
      <c r="BB13" s="34"/>
      <c r="BC13" s="54"/>
      <c r="BD13" s="54"/>
      <c r="BE13" s="34"/>
      <c r="BF13" s="54"/>
    </row>
    <row r="14" spans="1:58" ht="12.95" customHeight="1">
      <c r="A14" s="41"/>
      <c r="B14" s="42"/>
      <c r="C14" s="424"/>
      <c r="D14" s="42"/>
      <c r="E14" s="43"/>
      <c r="F14" s="43"/>
      <c r="G14" s="467"/>
      <c r="H14" s="45"/>
      <c r="I14" s="46"/>
      <c r="J14" s="84"/>
      <c r="K14" s="84"/>
      <c r="L14" s="36"/>
      <c r="M14" s="36"/>
      <c r="N14" s="47"/>
      <c r="O14" s="48"/>
      <c r="P14" s="49"/>
      <c r="Q14" s="48"/>
      <c r="R14" s="394"/>
      <c r="S14" s="394"/>
      <c r="T14" s="38"/>
      <c r="U14" s="38"/>
      <c r="V14" s="38"/>
      <c r="W14" s="38"/>
      <c r="X14" s="391"/>
      <c r="Y14" s="38"/>
      <c r="Z14" s="38"/>
      <c r="AA14" s="50"/>
      <c r="AB14" s="50"/>
      <c r="AC14" s="38"/>
      <c r="AD14" s="38">
        <f>+AM14+BA14</f>
        <v>8</v>
      </c>
      <c r="AE14" s="228" t="s">
        <v>450</v>
      </c>
      <c r="AF14" s="34"/>
      <c r="AG14" s="34"/>
      <c r="AH14" s="34"/>
      <c r="AJ14" s="38"/>
      <c r="AK14" s="38"/>
      <c r="AL14" s="38"/>
      <c r="AM14" s="38">
        <f>SUM(AF14:AL14)+AT14+AV14+AX14</f>
        <v>0</v>
      </c>
      <c r="AN14" s="38"/>
      <c r="AO14" s="38"/>
      <c r="AP14" s="38"/>
      <c r="AQ14" s="38"/>
      <c r="AR14" s="38">
        <f>SUM(AN14:AQ14)</f>
        <v>0</v>
      </c>
      <c r="AS14" s="38"/>
      <c r="AT14" s="38"/>
      <c r="AU14" s="38"/>
      <c r="AV14" s="38"/>
      <c r="AW14" s="38"/>
      <c r="AX14" s="38"/>
      <c r="AY14" s="38">
        <v>8</v>
      </c>
      <c r="AZ14" s="38"/>
      <c r="BA14" s="38">
        <f>+AR14+AS14+AU14+AW14+AY14+AZ14</f>
        <v>8</v>
      </c>
      <c r="BB14" s="34"/>
      <c r="BC14" s="54"/>
      <c r="BD14" s="54"/>
      <c r="BE14" s="34">
        <v>1</v>
      </c>
      <c r="BF14" s="54"/>
    </row>
    <row r="15" spans="1:58" ht="12.95" customHeight="1">
      <c r="A15" s="41"/>
      <c r="B15" s="42"/>
      <c r="C15" s="424"/>
      <c r="D15" s="42"/>
      <c r="E15" s="43"/>
      <c r="F15" s="43"/>
      <c r="G15" s="467"/>
      <c r="H15" s="45"/>
      <c r="I15" s="46"/>
      <c r="J15" s="84"/>
      <c r="K15" s="84"/>
      <c r="L15" s="36"/>
      <c r="M15" s="36"/>
      <c r="N15" s="47"/>
      <c r="O15" s="48"/>
      <c r="P15" s="49"/>
      <c r="Q15" s="48"/>
      <c r="R15" s="394"/>
      <c r="S15" s="394"/>
      <c r="T15" s="38"/>
      <c r="U15" s="38"/>
      <c r="V15" s="38"/>
      <c r="W15" s="38"/>
      <c r="X15" s="39"/>
      <c r="Y15" s="211"/>
      <c r="Z15" s="38"/>
      <c r="AA15" s="38"/>
      <c r="AB15" s="38"/>
      <c r="AC15" s="38"/>
      <c r="AD15" s="38"/>
      <c r="AE15" s="228"/>
      <c r="AF15" s="38"/>
      <c r="AG15" s="38"/>
      <c r="AH15" s="38"/>
      <c r="AI15" s="469"/>
      <c r="AJ15" s="38"/>
      <c r="AK15" s="38"/>
      <c r="AL15" s="38"/>
      <c r="AM15" s="38"/>
      <c r="AN15" s="85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1"/>
      <c r="BC15" s="52"/>
      <c r="BD15" s="52"/>
      <c r="BE15" s="51"/>
      <c r="BF15" s="52"/>
    </row>
    <row r="16" spans="1:58" ht="12.95" customHeight="1">
      <c r="A16" s="41">
        <v>45994</v>
      </c>
      <c r="B16" s="42" t="s">
        <v>419</v>
      </c>
      <c r="C16" s="424">
        <f>(M16*E16*O16*Q16)/100000000</f>
        <v>54.1771776</v>
      </c>
      <c r="D16" s="42" t="s">
        <v>285</v>
      </c>
      <c r="E16" s="43">
        <v>14</v>
      </c>
      <c r="F16" s="43">
        <v>1</v>
      </c>
      <c r="G16" s="467">
        <v>1260</v>
      </c>
      <c r="H16" s="484">
        <f>+N16</f>
        <v>0.24</v>
      </c>
      <c r="I16" s="46">
        <v>0.88</v>
      </c>
      <c r="J16" s="84">
        <f>E16*G16*(1-H16)*1440/1000000*2.87</f>
        <v>55.405969920000004</v>
      </c>
      <c r="K16" s="84">
        <f>(IF(G16&lt;L16,L16,G16)*(1-IF(H16&lt;N16,H16,N16))*E16*O16*Q16)/100000000</f>
        <v>54.1771776</v>
      </c>
      <c r="L16" s="36">
        <v>1300</v>
      </c>
      <c r="M16" s="36">
        <f>+L16-L16*0.24</f>
        <v>988</v>
      </c>
      <c r="N16" s="47">
        <f>1-(M16/L16)</f>
        <v>0.24</v>
      </c>
      <c r="O16" s="48">
        <f>+'Trim Rwd'!H11</f>
        <v>272</v>
      </c>
      <c r="P16" s="49">
        <f>O16*(Q16-R16-S16)</f>
        <v>384336</v>
      </c>
      <c r="Q16" s="48">
        <v>1440</v>
      </c>
      <c r="R16" s="394">
        <v>0</v>
      </c>
      <c r="S16" s="394">
        <v>27</v>
      </c>
      <c r="T16" s="38">
        <f>E16*M16*O16*Q16/100000000</f>
        <v>54.1771776</v>
      </c>
      <c r="U16" s="38">
        <f>E16*M16*O16*(Q16-R16-S16)/100000000</f>
        <v>53.161355520000001</v>
      </c>
      <c r="V16" s="38">
        <f>E16*G16*(1-N16)*O16/100*(R16+S16)/1000000</f>
        <v>0.98456601599999982</v>
      </c>
      <c r="W16" s="38">
        <f>+'3'!K34/1000</f>
        <v>57.095999999999997</v>
      </c>
      <c r="X16" s="391">
        <f>SUM(W16:W19)/SUM(K16:K19)</f>
        <v>1.053875497567448</v>
      </c>
      <c r="Y16" s="38">
        <v>0</v>
      </c>
      <c r="Z16" s="38">
        <v>0</v>
      </c>
      <c r="AA16" s="50">
        <f>SUM(U16:U19)-SUM(W16:W19)-SUM(Z16:Z19)-SUM(Y16:Y19)</f>
        <v>-3.9346444799999958</v>
      </c>
      <c r="AB16" s="50">
        <f>(SUM(K16:K19)-SUM(W16:W19)-SUM(Y16:Y19)-SUM(Z16:Z19)-SUM(AC16:AC19)-SUM(V16:V19))-AA16</f>
        <v>3.1256063999999917E-2</v>
      </c>
      <c r="AC16" s="38">
        <f>K16-T16</f>
        <v>0</v>
      </c>
      <c r="AD16" s="38">
        <f>+AM16+BA16</f>
        <v>0</v>
      </c>
      <c r="AE16" s="228" t="s">
        <v>392</v>
      </c>
      <c r="AF16" s="38">
        <v>0</v>
      </c>
      <c r="AG16" s="38"/>
      <c r="AH16" s="38"/>
      <c r="AI16" s="469"/>
      <c r="AJ16" s="38"/>
      <c r="AK16" s="38"/>
      <c r="AL16" s="38"/>
      <c r="AM16" s="38">
        <f>SUM(AF16:AL16)+AT16+AV16+AX16</f>
        <v>0</v>
      </c>
      <c r="AN16" s="38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>+AR16+AS16+AU16+AW16+AY16+AZ16</f>
        <v>0</v>
      </c>
      <c r="BB16" s="34">
        <v>0</v>
      </c>
      <c r="BC16" s="52"/>
      <c r="BD16" s="52"/>
      <c r="BE16" s="34"/>
      <c r="BF16" s="52"/>
    </row>
    <row r="17" spans="1:58" ht="12.95" customHeight="1">
      <c r="A17" s="41"/>
      <c r="B17" s="42"/>
      <c r="C17" s="424"/>
      <c r="D17" s="42"/>
      <c r="E17" s="43"/>
      <c r="F17" s="43"/>
      <c r="G17" s="467"/>
      <c r="H17" s="45"/>
      <c r="I17" s="46"/>
      <c r="J17" s="84"/>
      <c r="K17" s="84"/>
      <c r="L17" s="36"/>
      <c r="M17" s="36"/>
      <c r="N17" s="47"/>
      <c r="O17" s="48"/>
      <c r="P17" s="49"/>
      <c r="Q17" s="48"/>
      <c r="R17" s="394"/>
      <c r="S17" s="394"/>
      <c r="T17" s="38"/>
      <c r="U17" s="38"/>
      <c r="V17" s="38"/>
      <c r="W17" s="38"/>
      <c r="X17" s="39"/>
      <c r="Y17" s="211"/>
      <c r="Z17" s="38"/>
      <c r="AA17" s="38"/>
      <c r="AB17" s="38"/>
      <c r="AC17" s="38"/>
      <c r="AD17" s="38">
        <f>+AM17+BA17</f>
        <v>0</v>
      </c>
      <c r="AE17" s="228" t="s">
        <v>415</v>
      </c>
      <c r="AF17" s="38"/>
      <c r="AG17" s="38">
        <v>0</v>
      </c>
      <c r="AH17" s="38"/>
      <c r="AI17" s="469"/>
      <c r="AJ17" s="38"/>
      <c r="AK17" s="38"/>
      <c r="AL17" s="38"/>
      <c r="AM17" s="38">
        <f>SUM(AF17:AL17)+AT17+AV17+AX17</f>
        <v>0</v>
      </c>
      <c r="AN17" s="85"/>
      <c r="AO17" s="38"/>
      <c r="AP17" s="38"/>
      <c r="AQ17" s="38"/>
      <c r="AR17" s="38">
        <f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>+AR17+AS17+AU17+AW17+AY17+AZ17</f>
        <v>0</v>
      </c>
      <c r="BB17" s="51"/>
      <c r="BC17" s="52">
        <v>0</v>
      </c>
      <c r="BD17" s="52"/>
      <c r="BE17" s="51"/>
      <c r="BF17" s="52"/>
    </row>
    <row r="18" spans="1:58" ht="12.95" customHeight="1">
      <c r="A18" s="41"/>
      <c r="B18" s="42"/>
      <c r="C18" s="424"/>
      <c r="D18" s="42"/>
      <c r="E18" s="43"/>
      <c r="F18" s="43"/>
      <c r="G18" s="467"/>
      <c r="H18" s="45"/>
      <c r="I18" s="46"/>
      <c r="J18" s="84"/>
      <c r="K18" s="84"/>
      <c r="L18" s="36"/>
      <c r="M18" s="36"/>
      <c r="N18" s="47"/>
      <c r="O18" s="48"/>
      <c r="P18" s="49"/>
      <c r="Q18" s="48"/>
      <c r="R18" s="394"/>
      <c r="S18" s="394"/>
      <c r="T18" s="38"/>
      <c r="U18" s="38"/>
      <c r="V18" s="38"/>
      <c r="W18" s="38"/>
      <c r="X18" s="39"/>
      <c r="Y18" s="211"/>
      <c r="Z18" s="38"/>
      <c r="AA18" s="38"/>
      <c r="AB18" s="38"/>
      <c r="AC18" s="38"/>
      <c r="AD18" s="38">
        <f>+AM18+BA18</f>
        <v>27</v>
      </c>
      <c r="AE18" s="228" t="s">
        <v>458</v>
      </c>
      <c r="AF18" s="34"/>
      <c r="AG18" s="34"/>
      <c r="AH18" s="34">
        <v>27</v>
      </c>
      <c r="AI18" s="469"/>
      <c r="AJ18" s="38"/>
      <c r="AK18" s="38"/>
      <c r="AL18" s="38"/>
      <c r="AM18" s="38">
        <f>SUM(AF18:AL18)+AT18+AV18+AX18</f>
        <v>27</v>
      </c>
      <c r="AN18" s="38"/>
      <c r="AO18" s="38"/>
      <c r="AP18" s="38"/>
      <c r="AQ18" s="38"/>
      <c r="AR18" s="38">
        <f>SUM(AN18:AQ18)</f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>+AR18+AS18+AU18+AW18+AY18+AZ18</f>
        <v>0</v>
      </c>
      <c r="BB18" s="34"/>
      <c r="BC18" s="54"/>
      <c r="BD18" s="54"/>
      <c r="BE18" s="34"/>
      <c r="BF18" s="54"/>
    </row>
    <row r="19" spans="1:58" ht="12.95" customHeight="1">
      <c r="A19" s="41"/>
      <c r="B19" s="42"/>
      <c r="C19" s="424"/>
      <c r="D19" s="42"/>
      <c r="E19" s="43"/>
      <c r="F19" s="43"/>
      <c r="G19" s="467"/>
      <c r="H19" s="45"/>
      <c r="I19" s="46"/>
      <c r="J19" s="84"/>
      <c r="K19" s="84"/>
      <c r="L19" s="36"/>
      <c r="M19" s="36"/>
      <c r="N19" s="47"/>
      <c r="O19" s="48"/>
      <c r="P19" s="49"/>
      <c r="Q19" s="48"/>
      <c r="R19" s="394"/>
      <c r="S19" s="394"/>
      <c r="T19" s="38"/>
      <c r="U19" s="38"/>
      <c r="V19" s="38"/>
      <c r="W19" s="38"/>
      <c r="X19" s="391"/>
      <c r="Y19" s="38"/>
      <c r="Z19" s="38"/>
      <c r="AA19" s="50"/>
      <c r="AB19" s="50"/>
      <c r="AC19" s="38"/>
      <c r="AD19" s="38"/>
      <c r="AE19" s="228"/>
      <c r="AF19" s="34"/>
      <c r="AG19" s="34"/>
      <c r="AH19" s="34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4"/>
      <c r="BC19" s="54"/>
      <c r="BD19" s="54"/>
      <c r="BE19" s="34"/>
      <c r="BF19" s="54"/>
    </row>
    <row r="20" spans="1:58" ht="12.95" customHeight="1">
      <c r="A20" s="41">
        <v>45995</v>
      </c>
      <c r="B20" s="42" t="s">
        <v>419</v>
      </c>
      <c r="C20" s="424">
        <f>(M20*E20*O20*Q20)/100000000</f>
        <v>54.1771776</v>
      </c>
      <c r="D20" s="42" t="s">
        <v>285</v>
      </c>
      <c r="E20" s="43">
        <v>14</v>
      </c>
      <c r="F20" s="43">
        <v>1</v>
      </c>
      <c r="G20" s="467">
        <v>1260</v>
      </c>
      <c r="H20" s="484">
        <f>+N20</f>
        <v>0.24</v>
      </c>
      <c r="I20" s="46">
        <v>0.88</v>
      </c>
      <c r="J20" s="84">
        <f>E20*G20*(1-H20)*1440/1000000*2.87</f>
        <v>55.405969920000004</v>
      </c>
      <c r="K20" s="84">
        <f>(IF(G20&lt;L20,L20,G20)*(1-IF(H20&lt;N20,H20,N20))*E20*O20*Q20)/100000000</f>
        <v>54.1771776</v>
      </c>
      <c r="L20" s="36">
        <v>1300</v>
      </c>
      <c r="M20" s="36">
        <f>+L20-L20*0.24</f>
        <v>988</v>
      </c>
      <c r="N20" s="47">
        <f>1-(M20/L20)</f>
        <v>0.24</v>
      </c>
      <c r="O20" s="48">
        <f>+'Trim Rwd'!H13</f>
        <v>272</v>
      </c>
      <c r="P20" s="49">
        <f>O20*(Q20-R20-S20)</f>
        <v>356320</v>
      </c>
      <c r="Q20" s="48">
        <v>1440</v>
      </c>
      <c r="R20" s="394">
        <v>110</v>
      </c>
      <c r="S20" s="394">
        <v>20</v>
      </c>
      <c r="T20" s="38">
        <f>E20*M20*O20*Q20/100000000</f>
        <v>54.1771776</v>
      </c>
      <c r="U20" s="38">
        <f>E20*M20*O20*(Q20-R20-S20)/100000000</f>
        <v>49.286182400000001</v>
      </c>
      <c r="V20" s="38">
        <f>E20*G20*(1-N20)*O20/100*(R20+S20)/1000000</f>
        <v>4.7405030399999992</v>
      </c>
      <c r="W20" s="38">
        <f>+'4'!K34/1000</f>
        <v>41.052</v>
      </c>
      <c r="X20" s="391">
        <f>SUM(W20:W23)/SUM(K20:K23)</f>
        <v>0.75773603976003356</v>
      </c>
      <c r="Y20" s="38">
        <v>0</v>
      </c>
      <c r="Z20" s="38">
        <v>0</v>
      </c>
      <c r="AA20" s="50">
        <f>SUM(U20:U23)-SUM(W20:W23)-SUM(Z20:Z23)-SUM(Y20:Y23)</f>
        <v>8.2341824000000017</v>
      </c>
      <c r="AB20" s="50">
        <f>(SUM(K20:K23)-SUM(W20:W23)-SUM(Y20:Y23)-SUM(Z20:Z23)-SUM(AC20:AC23)-SUM(V20:V23))-AA20</f>
        <v>0.15049215999999888</v>
      </c>
      <c r="AC20" s="38">
        <f>K20-T20</f>
        <v>0</v>
      </c>
      <c r="AD20" s="38">
        <f>+AM20+BA20</f>
        <v>0</v>
      </c>
      <c r="AE20" s="228" t="s">
        <v>392</v>
      </c>
      <c r="AF20" s="38">
        <v>0</v>
      </c>
      <c r="AG20" s="38"/>
      <c r="AH20" s="38"/>
      <c r="AI20" s="469"/>
      <c r="AJ20" s="38"/>
      <c r="AK20" s="38"/>
      <c r="AL20" s="38"/>
      <c r="AM20" s="38">
        <f>SUM(AF20:AL20)+AT20+AV20+AX20</f>
        <v>0</v>
      </c>
      <c r="AN20" s="38"/>
      <c r="AO20" s="38"/>
      <c r="AP20" s="38"/>
      <c r="AQ20" s="38"/>
      <c r="AR20" s="38">
        <f>SUM(AN20:AQ20)</f>
        <v>0</v>
      </c>
      <c r="AS20" s="38"/>
      <c r="AT20" s="38"/>
      <c r="AU20" s="38"/>
      <c r="AV20" s="38"/>
      <c r="AW20" s="38"/>
      <c r="AX20" s="38"/>
      <c r="AY20" s="38"/>
      <c r="AZ20" s="38"/>
      <c r="BA20" s="38">
        <f>+AR20+AS20+AU20+AW20+AY20+AZ20</f>
        <v>0</v>
      </c>
      <c r="BB20" s="34">
        <v>0</v>
      </c>
      <c r="BC20" s="52"/>
      <c r="BD20" s="52"/>
      <c r="BE20" s="34"/>
      <c r="BF20" s="52"/>
    </row>
    <row r="21" spans="1:58" ht="12.95" customHeight="1">
      <c r="A21" s="41"/>
      <c r="B21" s="42"/>
      <c r="C21" s="424"/>
      <c r="D21" s="42"/>
      <c r="E21" s="43"/>
      <c r="F21" s="43"/>
      <c r="G21" s="467"/>
      <c r="H21" s="45"/>
      <c r="I21" s="46"/>
      <c r="J21" s="84"/>
      <c r="K21" s="84"/>
      <c r="L21" s="36"/>
      <c r="M21" s="36"/>
      <c r="N21" s="47"/>
      <c r="O21" s="48"/>
      <c r="P21" s="49"/>
      <c r="Q21" s="48"/>
      <c r="R21" s="394"/>
      <c r="S21" s="394"/>
      <c r="T21" s="38"/>
      <c r="U21" s="38"/>
      <c r="V21" s="38"/>
      <c r="W21" s="38"/>
      <c r="X21" s="39"/>
      <c r="Y21" s="211"/>
      <c r="Z21" s="38"/>
      <c r="AA21" s="38"/>
      <c r="AB21" s="38"/>
      <c r="AC21" s="38"/>
      <c r="AD21" s="38">
        <f>+AM21+BA21</f>
        <v>1</v>
      </c>
      <c r="AE21" s="228" t="s">
        <v>446</v>
      </c>
      <c r="AF21" s="38"/>
      <c r="AG21" s="38">
        <v>1</v>
      </c>
      <c r="AH21" s="38"/>
      <c r="AI21" s="469"/>
      <c r="AJ21" s="38"/>
      <c r="AK21" s="38"/>
      <c r="AL21" s="38"/>
      <c r="AM21" s="38">
        <f>SUM(AF21:AL21)+AT21+AV21+AX21</f>
        <v>1</v>
      </c>
      <c r="AN21" s="85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+AR21+AS21+AU21+AW21+AY21+AZ21</f>
        <v>0</v>
      </c>
      <c r="BB21" s="51"/>
      <c r="BC21" s="52">
        <v>1</v>
      </c>
      <c r="BD21" s="52"/>
      <c r="BE21" s="51"/>
      <c r="BF21" s="52"/>
    </row>
    <row r="22" spans="1:58" ht="12.95" customHeight="1">
      <c r="A22" s="41"/>
      <c r="B22" s="42"/>
      <c r="C22" s="424"/>
      <c r="D22" s="42"/>
      <c r="E22" s="43"/>
      <c r="F22" s="43"/>
      <c r="G22" s="467"/>
      <c r="H22" s="45"/>
      <c r="I22" s="46"/>
      <c r="J22" s="84"/>
      <c r="K22" s="84"/>
      <c r="L22" s="36"/>
      <c r="M22" s="36"/>
      <c r="N22" s="47"/>
      <c r="O22" s="48"/>
      <c r="P22" s="49"/>
      <c r="Q22" s="48"/>
      <c r="R22" s="394"/>
      <c r="S22" s="394"/>
      <c r="T22" s="38"/>
      <c r="U22" s="38"/>
      <c r="V22" s="38"/>
      <c r="W22" s="38"/>
      <c r="X22" s="39"/>
      <c r="Y22" s="211"/>
      <c r="Z22" s="38"/>
      <c r="AA22" s="38"/>
      <c r="AB22" s="38"/>
      <c r="AC22" s="38"/>
      <c r="AD22" s="38">
        <f>+AM22+BA22</f>
        <v>19</v>
      </c>
      <c r="AE22" s="228" t="s">
        <v>470</v>
      </c>
      <c r="AF22" s="34"/>
      <c r="AG22" s="34"/>
      <c r="AH22" s="34">
        <v>19</v>
      </c>
      <c r="AI22" s="469"/>
      <c r="AJ22" s="38"/>
      <c r="AK22" s="38"/>
      <c r="AL22" s="38"/>
      <c r="AM22" s="38">
        <f>SUM(AF22:AL22)+AT22+AV22+AX22</f>
        <v>19</v>
      </c>
      <c r="AN22" s="38"/>
      <c r="AO22" s="38"/>
      <c r="AP22" s="38"/>
      <c r="AQ22" s="38"/>
      <c r="AR22" s="38">
        <f>SUM(AN22:AQ22)</f>
        <v>0</v>
      </c>
      <c r="AS22" s="38"/>
      <c r="AT22" s="38"/>
      <c r="AU22" s="38"/>
      <c r="AV22" s="38"/>
      <c r="AW22" s="38"/>
      <c r="AX22" s="38"/>
      <c r="AY22" s="38"/>
      <c r="AZ22" s="38"/>
      <c r="BA22" s="38">
        <f>+AR22+AS22+AU22+AW22+AY22+AZ22</f>
        <v>0</v>
      </c>
      <c r="BB22" s="34"/>
      <c r="BC22" s="54"/>
      <c r="BD22" s="54"/>
      <c r="BE22" s="34"/>
      <c r="BF22" s="54"/>
    </row>
    <row r="23" spans="1:58" ht="12.95" customHeight="1">
      <c r="A23" s="41"/>
      <c r="B23" s="42"/>
      <c r="C23" s="424"/>
      <c r="D23" s="42"/>
      <c r="E23" s="43"/>
      <c r="F23" s="43"/>
      <c r="G23" s="467"/>
      <c r="H23" s="45"/>
      <c r="I23" s="46"/>
      <c r="J23" s="84"/>
      <c r="K23" s="84"/>
      <c r="L23" s="36"/>
      <c r="M23" s="36"/>
      <c r="N23" s="47"/>
      <c r="O23" s="48"/>
      <c r="P23" s="49"/>
      <c r="Q23" s="48"/>
      <c r="R23" s="394"/>
      <c r="S23" s="394"/>
      <c r="T23" s="38"/>
      <c r="U23" s="38"/>
      <c r="V23" s="38"/>
      <c r="W23" s="38"/>
      <c r="X23" s="391"/>
      <c r="Y23" s="38"/>
      <c r="Z23" s="38"/>
      <c r="AA23" s="50"/>
      <c r="AB23" s="50"/>
      <c r="AC23" s="38"/>
      <c r="AD23" s="38">
        <f>+AM23+BA23</f>
        <v>110</v>
      </c>
      <c r="AE23" s="228" t="s">
        <v>471</v>
      </c>
      <c r="AF23" s="34"/>
      <c r="AG23" s="34"/>
      <c r="AH23" s="34"/>
      <c r="AJ23" s="38"/>
      <c r="AK23" s="38"/>
      <c r="AL23" s="38"/>
      <c r="AM23" s="38">
        <f>SUM(AF23:AL23)+AT23+AV23+AX23</f>
        <v>0</v>
      </c>
      <c r="AN23" s="38"/>
      <c r="AO23" s="38"/>
      <c r="AP23" s="38">
        <v>110</v>
      </c>
      <c r="AQ23" s="38"/>
      <c r="AR23" s="38">
        <f>SUM(AN23:AQ23)</f>
        <v>110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110</v>
      </c>
      <c r="BB23" s="34"/>
      <c r="BC23" s="54"/>
      <c r="BD23" s="54"/>
      <c r="BE23" s="34"/>
      <c r="BF23" s="54"/>
    </row>
    <row r="24" spans="1:58" ht="12.95" customHeight="1">
      <c r="A24" s="41"/>
      <c r="B24" s="42"/>
      <c r="C24" s="424"/>
      <c r="D24" s="42"/>
      <c r="E24" s="43"/>
      <c r="F24" s="43"/>
      <c r="G24" s="467"/>
      <c r="H24" s="45"/>
      <c r="I24" s="46"/>
      <c r="J24" s="84"/>
      <c r="K24" s="84"/>
      <c r="L24" s="36"/>
      <c r="M24" s="36"/>
      <c r="N24" s="47"/>
      <c r="O24" s="48"/>
      <c r="P24" s="49"/>
      <c r="Q24" s="48"/>
      <c r="R24" s="394"/>
      <c r="S24" s="394"/>
      <c r="T24" s="38"/>
      <c r="U24" s="38"/>
      <c r="V24" s="38"/>
      <c r="W24" s="38"/>
      <c r="X24" s="39"/>
      <c r="Y24" s="211"/>
      <c r="Z24" s="38"/>
      <c r="AA24" s="38"/>
      <c r="AB24" s="38"/>
      <c r="AC24" s="38"/>
      <c r="AD24" s="38"/>
      <c r="AE24" s="228"/>
      <c r="AF24" s="38"/>
      <c r="AG24" s="38"/>
      <c r="AH24" s="38"/>
      <c r="AI24" s="469"/>
      <c r="AJ24" s="38"/>
      <c r="AK24" s="38"/>
      <c r="AL24" s="38"/>
      <c r="AM24" s="38"/>
      <c r="AN24" s="85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51"/>
      <c r="BC24" s="52"/>
      <c r="BD24" s="52"/>
      <c r="BE24" s="51"/>
      <c r="BF24" s="52"/>
    </row>
    <row r="25" spans="1:58" ht="12.75" customHeight="1">
      <c r="A25" s="41">
        <v>45996</v>
      </c>
      <c r="B25" s="42" t="s">
        <v>419</v>
      </c>
      <c r="C25" s="424">
        <f>(M25*E25*O25*Q25)/100000000</f>
        <v>9.0118246400000004</v>
      </c>
      <c r="D25" s="42" t="s">
        <v>285</v>
      </c>
      <c r="E25" s="43">
        <v>14</v>
      </c>
      <c r="F25" s="43">
        <v>1</v>
      </c>
      <c r="G25" s="467">
        <v>1260</v>
      </c>
      <c r="H25" s="484">
        <f>+N25</f>
        <v>0.24</v>
      </c>
      <c r="I25" s="46">
        <v>0.88</v>
      </c>
      <c r="J25" s="84">
        <f>E25*G25*(1-H25)*1440/1000000*2.87</f>
        <v>55.405969920000004</v>
      </c>
      <c r="K25" s="84">
        <f>(IF(G25&lt;L25,L25,G25)*(1-IF(H25&lt;N25,H25,N25))*E25*O25*Q25)/100000000</f>
        <v>9.0118246400000004</v>
      </c>
      <c r="L25" s="36">
        <v>1300</v>
      </c>
      <c r="M25" s="36">
        <f>+L25-L25*0.24</f>
        <v>988</v>
      </c>
      <c r="N25" s="47">
        <f>1-(M25/L25)</f>
        <v>0.24</v>
      </c>
      <c r="O25" s="48">
        <f>+'Trim Rwd'!H15</f>
        <v>271.46666666666664</v>
      </c>
      <c r="P25" s="49">
        <f>O25*(Q25-R25-S25)</f>
        <v>63251.73333333333</v>
      </c>
      <c r="Q25" s="48">
        <v>240</v>
      </c>
      <c r="R25" s="394">
        <v>0</v>
      </c>
      <c r="S25" s="394">
        <v>7</v>
      </c>
      <c r="T25" s="38">
        <f>E25*M25*O25*Q25/100000000</f>
        <v>9.0118246400000004</v>
      </c>
      <c r="U25" s="38">
        <f>E25*M25*O25*(Q25-R25-S25)/100000000</f>
        <v>8.7489797546666654</v>
      </c>
      <c r="V25" s="38">
        <f>E25*G25*(1-N25)*O25/100*(R25+S25)/1000000</f>
        <v>0.25475735039999997</v>
      </c>
      <c r="W25" s="38">
        <f>+'5'!K9/1000</f>
        <v>16.888999999999999</v>
      </c>
      <c r="X25" s="391">
        <f>SUM(W25:W28)/SUM(K25:K28)</f>
        <v>0.95252474036390711</v>
      </c>
      <c r="Y25" s="38">
        <v>0</v>
      </c>
      <c r="Z25" s="38">
        <v>0</v>
      </c>
      <c r="AA25" s="50">
        <f>SUM(U25:U28)-SUM(W25:W28)-SUM(Z25:Z28)-SUM(Y25:Y28)</f>
        <v>0.50774375466666866</v>
      </c>
      <c r="AB25" s="50">
        <f>(SUM(K25:K28)-SUM(W25:W28)-SUM(Y25:Y28)-SUM(Z25:Z28)-SUM(AC25:AC28)-SUM(V25:V28))-AA25</f>
        <v>4.8306734933334261E-2</v>
      </c>
      <c r="AC25" s="38">
        <f>K25-T25</f>
        <v>0</v>
      </c>
      <c r="AD25" s="38">
        <f>+AM25+BA25</f>
        <v>5</v>
      </c>
      <c r="AE25" s="228" t="s">
        <v>448</v>
      </c>
      <c r="AF25" s="38">
        <v>5</v>
      </c>
      <c r="AG25" s="38"/>
      <c r="AH25" s="38"/>
      <c r="AI25" s="469"/>
      <c r="AJ25" s="38"/>
      <c r="AK25" s="38"/>
      <c r="AL25" s="38"/>
      <c r="AM25" s="38">
        <f>SUM(AF25:AL25)+AT25+AV25+AX25</f>
        <v>5</v>
      </c>
      <c r="AN25" s="38"/>
      <c r="AO25" s="38"/>
      <c r="AP25" s="38"/>
      <c r="AQ25" s="38"/>
      <c r="AR25" s="38">
        <f>SUM(AN25:AQ25)</f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>
        <v>1</v>
      </c>
      <c r="BC25" s="52"/>
      <c r="BD25" s="52"/>
      <c r="BE25" s="34"/>
      <c r="BF25" s="52"/>
    </row>
    <row r="26" spans="1:58" ht="12.95" customHeight="1">
      <c r="A26" s="41"/>
      <c r="B26" s="42" t="s">
        <v>419</v>
      </c>
      <c r="C26" s="424">
        <f>(M26*E26*O26*Q26)/100000000</f>
        <v>24.533712000000001</v>
      </c>
      <c r="D26" s="42" t="s">
        <v>285</v>
      </c>
      <c r="E26" s="43">
        <v>18</v>
      </c>
      <c r="F26" s="43">
        <v>1</v>
      </c>
      <c r="G26" s="467">
        <v>980</v>
      </c>
      <c r="H26" s="484">
        <f>+N26</f>
        <v>0.24</v>
      </c>
      <c r="I26" s="46">
        <v>0.88</v>
      </c>
      <c r="J26" s="84">
        <f>E26*G26*(1-H26)*1440/1000000*2.87</f>
        <v>55.405969920000004</v>
      </c>
      <c r="K26" s="84">
        <f>(IF(G26&lt;L26,L26,G26)*(1-IF(H26&lt;N26,H26,N26))*E26*O26*Q26)/100000000</f>
        <v>24.533712000000001</v>
      </c>
      <c r="L26" s="36">
        <v>1050</v>
      </c>
      <c r="M26" s="36">
        <v>798</v>
      </c>
      <c r="N26" s="47">
        <f>1-(M26/L26)</f>
        <v>0.24</v>
      </c>
      <c r="O26" s="48">
        <f>+'Trim Rwd'!H17</f>
        <v>280</v>
      </c>
      <c r="P26" s="49">
        <f>O26*(Q26-R26-S26)</f>
        <v>166600</v>
      </c>
      <c r="Q26" s="48">
        <v>610</v>
      </c>
      <c r="R26" s="394">
        <v>0</v>
      </c>
      <c r="S26" s="394">
        <v>15</v>
      </c>
      <c r="T26" s="38">
        <f>E26*M26*O26*Q26/100000000</f>
        <v>24.533712000000001</v>
      </c>
      <c r="U26" s="38">
        <f>E26*M26*O26*(Q26-R26-S26)/100000000</f>
        <v>23.930423999999999</v>
      </c>
      <c r="V26" s="38">
        <f>E26*G26*(1-N26)*O26/100*(R26+S26)/1000000</f>
        <v>0.56306879999999992</v>
      </c>
      <c r="W26" s="38">
        <f>+'5'!K11/1000</f>
        <v>21.393000000000001</v>
      </c>
      <c r="X26" s="39"/>
      <c r="Y26" s="211"/>
      <c r="Z26" s="38">
        <f>+'5'!D34/1000</f>
        <v>0.65</v>
      </c>
      <c r="AA26" s="38"/>
      <c r="AB26" s="38"/>
      <c r="AC26" s="38">
        <f>K26-T26</f>
        <v>0</v>
      </c>
      <c r="AD26" s="38">
        <f>+AM26+BA26</f>
        <v>6</v>
      </c>
      <c r="AE26" s="228" t="s">
        <v>484</v>
      </c>
      <c r="AF26" s="38"/>
      <c r="AG26" s="38">
        <v>6</v>
      </c>
      <c r="AH26" s="38"/>
      <c r="AI26" s="469"/>
      <c r="AJ26" s="38"/>
      <c r="AK26" s="38"/>
      <c r="AL26" s="38"/>
      <c r="AM26" s="38">
        <f>SUM(AF26:AL26)+AT26+AV26+AX26</f>
        <v>6</v>
      </c>
      <c r="AN26" s="85"/>
      <c r="AO26" s="38"/>
      <c r="AP26" s="38"/>
      <c r="AQ26" s="38"/>
      <c r="AR26" s="38">
        <f>SUM(AN26:AQ26)</f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+AR26+AS26+AU26+AW26+AY26+AZ26</f>
        <v>0</v>
      </c>
      <c r="BB26" s="51"/>
      <c r="BC26" s="52">
        <v>4</v>
      </c>
      <c r="BD26" s="52"/>
      <c r="BE26" s="51"/>
      <c r="BF26" s="52"/>
    </row>
    <row r="27" spans="1:58" ht="12.95" customHeight="1">
      <c r="A27" s="41"/>
      <c r="B27" s="42" t="s">
        <v>419</v>
      </c>
      <c r="C27" s="424">
        <f>(M27*E27*O27*Q27)/100000000</f>
        <v>21.186900000000001</v>
      </c>
      <c r="D27" s="42" t="s">
        <v>285</v>
      </c>
      <c r="E27" s="43">
        <v>12.5</v>
      </c>
      <c r="F27" s="43">
        <v>1</v>
      </c>
      <c r="G27" s="467">
        <v>1350</v>
      </c>
      <c r="H27" s="484">
        <f>+N27</f>
        <v>0.24</v>
      </c>
      <c r="I27" s="46">
        <v>0.88</v>
      </c>
      <c r="J27" s="84">
        <f>E27*G27*(1-H27)*1440/1000000*2.87</f>
        <v>53.003160000000001</v>
      </c>
      <c r="K27" s="84">
        <f>(IF(G27&lt;L27,L27,G27)*(1-IF(H27&lt;N27,H27,N27))*E27*O27*Q27)/100000000</f>
        <v>21.186900000000001</v>
      </c>
      <c r="L27" s="36">
        <v>1350</v>
      </c>
      <c r="M27" s="36">
        <v>1026</v>
      </c>
      <c r="N27" s="47">
        <f>1-(M27/L27)</f>
        <v>0.24</v>
      </c>
      <c r="O27" s="48">
        <f>+'Trim Rwd'!H18</f>
        <v>280</v>
      </c>
      <c r="P27" s="49">
        <f>O27*(Q27-R27-S27)</f>
        <v>160720</v>
      </c>
      <c r="Q27" s="48">
        <v>590</v>
      </c>
      <c r="R27" s="394">
        <v>0</v>
      </c>
      <c r="S27" s="394">
        <v>16</v>
      </c>
      <c r="T27" s="38">
        <f>E27*M27*O27*Q27/100000000</f>
        <v>21.186900000000001</v>
      </c>
      <c r="U27" s="38">
        <f>E27*M27*O27*(Q27-R27-S27)/100000000</f>
        <v>20.61234</v>
      </c>
      <c r="V27" s="38">
        <f>E27*G27*(1-N27)*O27/100*(R27+S27)/1000000</f>
        <v>0.57455999999999996</v>
      </c>
      <c r="W27" s="38">
        <f>+'5'!K8/1000</f>
        <v>13.852</v>
      </c>
      <c r="X27" s="39"/>
      <c r="Y27" s="211"/>
      <c r="Z27" s="38"/>
      <c r="AA27" s="38"/>
      <c r="AB27" s="38"/>
      <c r="AC27" s="38">
        <f>K27-T27</f>
        <v>0</v>
      </c>
      <c r="AD27" s="38">
        <f>+AM27+BA27</f>
        <v>27</v>
      </c>
      <c r="AE27" s="228" t="s">
        <v>458</v>
      </c>
      <c r="AF27" s="34"/>
      <c r="AG27" s="34"/>
      <c r="AH27" s="34">
        <v>27</v>
      </c>
      <c r="AI27" s="469"/>
      <c r="AJ27" s="38"/>
      <c r="AK27" s="38"/>
      <c r="AL27" s="38"/>
      <c r="AM27" s="38">
        <f>SUM(AF27:AL27)+AT27+AV27+AX27</f>
        <v>27</v>
      </c>
      <c r="AN27" s="38"/>
      <c r="AO27" s="38"/>
      <c r="AP27" s="38"/>
      <c r="AQ27" s="38"/>
      <c r="AR27" s="38">
        <f>SUM(AN27:AQ27)</f>
        <v>0</v>
      </c>
      <c r="AS27" s="38"/>
      <c r="AT27" s="38"/>
      <c r="AU27" s="38"/>
      <c r="AV27" s="38"/>
      <c r="AW27" s="38"/>
      <c r="AX27" s="38"/>
      <c r="AY27" s="38"/>
      <c r="AZ27" s="38"/>
      <c r="BA27" s="38">
        <f>+AR27+AS27+AU27+AW27+AY27+AZ27</f>
        <v>0</v>
      </c>
      <c r="BB27" s="34"/>
      <c r="BC27" s="54"/>
      <c r="BD27" s="54"/>
      <c r="BE27" s="34"/>
      <c r="BF27" s="54"/>
    </row>
    <row r="28" spans="1:58" ht="12.95" customHeight="1">
      <c r="A28" s="41"/>
      <c r="B28" s="42"/>
      <c r="C28" s="424"/>
      <c r="D28" s="42"/>
      <c r="E28" s="43"/>
      <c r="F28" s="43"/>
      <c r="G28" s="467"/>
      <c r="H28" s="45"/>
      <c r="I28" s="46"/>
      <c r="J28" s="84"/>
      <c r="K28" s="84"/>
      <c r="L28" s="36"/>
      <c r="M28" s="36"/>
      <c r="N28" s="47"/>
      <c r="O28" s="48"/>
      <c r="P28" s="49"/>
      <c r="Q28" s="48"/>
      <c r="R28" s="394"/>
      <c r="S28" s="394"/>
      <c r="T28" s="38"/>
      <c r="U28" s="38"/>
      <c r="V28" s="38"/>
      <c r="W28" s="38"/>
      <c r="X28" s="391"/>
      <c r="Y28" s="38"/>
      <c r="Z28" s="38"/>
      <c r="AA28" s="50"/>
      <c r="AB28" s="50"/>
      <c r="AC28" s="38"/>
      <c r="AD28" s="38"/>
      <c r="AE28" s="228"/>
      <c r="AF28" s="34"/>
      <c r="AG28" s="34"/>
      <c r="AH28" s="34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4"/>
      <c r="BC28" s="54"/>
      <c r="BD28" s="54"/>
      <c r="BE28" s="34"/>
      <c r="BF28" s="54"/>
    </row>
    <row r="29" spans="1:58" ht="12.75" customHeight="1">
      <c r="A29" s="41">
        <v>45997</v>
      </c>
      <c r="B29" s="42" t="s">
        <v>419</v>
      </c>
      <c r="C29" s="424">
        <f>(M29*E29*O29*Q29)/100000000</f>
        <v>2.1545999999999998</v>
      </c>
      <c r="D29" s="42" t="s">
        <v>285</v>
      </c>
      <c r="E29" s="43">
        <v>12.5</v>
      </c>
      <c r="F29" s="43">
        <v>1</v>
      </c>
      <c r="G29" s="467">
        <v>1350</v>
      </c>
      <c r="H29" s="484">
        <f>+N29</f>
        <v>0.24</v>
      </c>
      <c r="I29" s="46">
        <v>0.88</v>
      </c>
      <c r="J29" s="84">
        <f>E29*G29*(1-H29)*1440/1000000*2.87</f>
        <v>53.003160000000001</v>
      </c>
      <c r="K29" s="84">
        <f>(IF(G29&lt;L29,L29,G29)*(1-IF(H29&lt;N29,H29,N29))*E29*O29*Q29)/100000000</f>
        <v>2.1545999999999998</v>
      </c>
      <c r="L29" s="36">
        <v>1350</v>
      </c>
      <c r="M29" s="36">
        <v>1026</v>
      </c>
      <c r="N29" s="47">
        <f>1-(M29/L29)</f>
        <v>0.24</v>
      </c>
      <c r="O29" s="48">
        <f>+'Trim Rwd'!H20</f>
        <v>280</v>
      </c>
      <c r="P29" s="49">
        <f>O29*(Q29-R29-S29)</f>
        <v>15400</v>
      </c>
      <c r="Q29" s="48">
        <v>60</v>
      </c>
      <c r="R29" s="394">
        <v>0</v>
      </c>
      <c r="S29" s="394">
        <v>5</v>
      </c>
      <c r="T29" s="38">
        <f>E29*M29*O29*Q29/100000000</f>
        <v>2.1545999999999998</v>
      </c>
      <c r="U29" s="38">
        <f>E29*M29*O29*(Q29-R29-S29)/100000000</f>
        <v>1.97505</v>
      </c>
      <c r="V29" s="38">
        <f>E29*G29*(1-N29)*O29/100*(R29+S29)/1000000</f>
        <v>0.17954999999999999</v>
      </c>
      <c r="W29" s="38">
        <f>+'6'!K8/1000</f>
        <v>7.4329999999999998</v>
      </c>
      <c r="X29" s="391">
        <f>SUM(W29:W32)/SUM(K29:K32)</f>
        <v>0.90094566536602549</v>
      </c>
      <c r="Y29" s="38">
        <v>0</v>
      </c>
      <c r="Z29" s="38">
        <v>0</v>
      </c>
      <c r="AA29" s="50">
        <f>SUM(U29:U32)-SUM(W29:W32)-SUM(Z29:Z32)-SUM(Y29:Y32)</f>
        <v>3.2442902920000023</v>
      </c>
      <c r="AB29" s="50">
        <f>(SUM(K29:K32)-SUM(W29:W32)-SUM(Y29:Y32)-SUM(Z29:Z32)-SUM(AC29:AC32)-SUM(V29:V32))-AA29</f>
        <v>-7.1500800000050546E-3</v>
      </c>
      <c r="AC29" s="38">
        <f>K29-T29</f>
        <v>0</v>
      </c>
      <c r="AD29" s="38">
        <f>+AM29+BA29</f>
        <v>15</v>
      </c>
      <c r="AE29" s="228" t="s">
        <v>447</v>
      </c>
      <c r="AF29" s="38">
        <v>15</v>
      </c>
      <c r="AG29" s="38"/>
      <c r="AH29" s="38"/>
      <c r="AI29" s="469"/>
      <c r="AJ29" s="38"/>
      <c r="AK29" s="38"/>
      <c r="AL29" s="38"/>
      <c r="AM29" s="38">
        <f>SUM(AF29:AL29)+AT29+AV29+AX29</f>
        <v>15</v>
      </c>
      <c r="AN29" s="38"/>
      <c r="AO29" s="38"/>
      <c r="AP29" s="38"/>
      <c r="AQ29" s="38"/>
      <c r="AR29" s="38">
        <f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34">
        <v>3</v>
      </c>
      <c r="BC29" s="52"/>
      <c r="BD29" s="52"/>
      <c r="BE29" s="34"/>
      <c r="BF29" s="52"/>
    </row>
    <row r="30" spans="1:58" ht="12.95" customHeight="1">
      <c r="A30" s="41"/>
      <c r="B30" s="42" t="s">
        <v>417</v>
      </c>
      <c r="C30" s="424">
        <f>(M30*E30*O30*Q30)/100000000</f>
        <v>29.790523035000003</v>
      </c>
      <c r="D30" s="42" t="s">
        <v>285</v>
      </c>
      <c r="E30" s="43">
        <v>13</v>
      </c>
      <c r="F30" s="43">
        <v>1</v>
      </c>
      <c r="G30" s="44">
        <v>1350</v>
      </c>
      <c r="H30" s="484">
        <f>+N30</f>
        <v>0.24</v>
      </c>
      <c r="I30" s="46">
        <v>0.88</v>
      </c>
      <c r="J30" s="84">
        <f>E30*G30*(1-H30)*1440/1000000*2.87</f>
        <v>55.123286400000005</v>
      </c>
      <c r="K30" s="84">
        <f>(IF(G30&lt;L30,L30,G30)*(1-IF(H30&lt;N30,H30,N30))*E30*O30*Q30)/100000000</f>
        <v>29.790523035000003</v>
      </c>
      <c r="L30" s="36">
        <v>1350</v>
      </c>
      <c r="M30" s="36">
        <f>+L30-L30*0.24</f>
        <v>1026</v>
      </c>
      <c r="N30" s="47">
        <f>1-(M30/L30)</f>
        <v>0.24</v>
      </c>
      <c r="O30" s="48">
        <f>+'Trim Rwd'!H21</f>
        <v>274.05</v>
      </c>
      <c r="P30" s="49">
        <f>O30*(Q30-R30-S30)</f>
        <v>215951.40000000002</v>
      </c>
      <c r="Q30" s="48">
        <v>815</v>
      </c>
      <c r="R30" s="394">
        <v>0</v>
      </c>
      <c r="S30" s="394">
        <v>27</v>
      </c>
      <c r="T30" s="38">
        <f>E30*M30*O30*Q30/100000000</f>
        <v>29.790523035000003</v>
      </c>
      <c r="U30" s="38">
        <f>E30*M30*O30*(Q30-R30-S30)/100000000</f>
        <v>28.803597732000004</v>
      </c>
      <c r="V30" s="38">
        <f>E30*G30*(1-N30)*O30/100*(R30+S30)/1000000</f>
        <v>0.98692530300000003</v>
      </c>
      <c r="W30" s="38">
        <f>+'6'!K12/1000</f>
        <v>27.738</v>
      </c>
      <c r="X30" s="39"/>
      <c r="Y30" s="211"/>
      <c r="Z30" s="38"/>
      <c r="AA30" s="38"/>
      <c r="AB30" s="38"/>
      <c r="AC30" s="38">
        <f>K30-T30</f>
        <v>0</v>
      </c>
      <c r="AD30" s="38">
        <f>+AM30+BA30</f>
        <v>0</v>
      </c>
      <c r="AE30" s="228" t="s">
        <v>415</v>
      </c>
      <c r="AF30" s="38"/>
      <c r="AG30" s="38">
        <v>0</v>
      </c>
      <c r="AH30" s="38"/>
      <c r="AI30" s="469"/>
      <c r="AJ30" s="38"/>
      <c r="AK30" s="38"/>
      <c r="AL30" s="38"/>
      <c r="AM30" s="38">
        <f>SUM(AF30:AL30)+AT30+AV30+AX30</f>
        <v>0</v>
      </c>
      <c r="AN30" s="85"/>
      <c r="AO30" s="38"/>
      <c r="AP30" s="38"/>
      <c r="AQ30" s="38"/>
      <c r="AR30" s="38">
        <f>SUM(AN30:AQ30)</f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51"/>
      <c r="BC30" s="52">
        <v>0</v>
      </c>
      <c r="BD30" s="52"/>
      <c r="BE30" s="51"/>
      <c r="BF30" s="52"/>
    </row>
    <row r="31" spans="1:58" ht="12.95" customHeight="1">
      <c r="A31" s="41"/>
      <c r="B31" s="42" t="s">
        <v>417</v>
      </c>
      <c r="C31" s="424">
        <f>(M31*E31*O31*Q31)/100000000</f>
        <v>19.794996479999998</v>
      </c>
      <c r="D31" s="42" t="s">
        <v>285</v>
      </c>
      <c r="E31" s="43">
        <v>12</v>
      </c>
      <c r="F31" s="43">
        <v>1</v>
      </c>
      <c r="G31" s="44">
        <v>1400</v>
      </c>
      <c r="H31" s="484">
        <f>+N31</f>
        <v>0.24</v>
      </c>
      <c r="I31" s="46">
        <v>0.88</v>
      </c>
      <c r="J31" s="84">
        <f>E31*G31*(1-H31)*1440/1000000*2.87</f>
        <v>52.767590399999996</v>
      </c>
      <c r="K31" s="84">
        <f>(IF(G31&lt;L31,L31,G31)*(1-IF(H31&lt;N31,H31,N31))*E31*O31*Q31)/100000000</f>
        <v>20.198975999999998</v>
      </c>
      <c r="L31" s="36">
        <v>1372</v>
      </c>
      <c r="M31" s="36">
        <f>+L31-L31*0.24</f>
        <v>1042.72</v>
      </c>
      <c r="N31" s="47">
        <f>1-(M31/L31)</f>
        <v>0.24</v>
      </c>
      <c r="O31" s="48">
        <f>+'Trim Rwd'!H23</f>
        <v>280</v>
      </c>
      <c r="P31" s="49">
        <f>O31*(Q31-R31-S31)</f>
        <v>155400</v>
      </c>
      <c r="Q31" s="48">
        <v>565</v>
      </c>
      <c r="R31" s="394">
        <v>0</v>
      </c>
      <c r="S31" s="394">
        <v>10</v>
      </c>
      <c r="T31" s="38">
        <f>E31*M31*O31*Q31/100000000</f>
        <v>19.794996479999998</v>
      </c>
      <c r="U31" s="38">
        <f>E31*M31*O31*(Q31-R31-S31)/100000000</f>
        <v>19.444642559999998</v>
      </c>
      <c r="V31" s="38">
        <f>E31*G31*(1-N31)*O31/100*(R31+S31)/1000000</f>
        <v>0.35750399999999999</v>
      </c>
      <c r="W31" s="38">
        <f>+'6'!K7/1000</f>
        <v>11.808</v>
      </c>
      <c r="X31" s="39"/>
      <c r="Y31" s="211"/>
      <c r="Z31" s="38"/>
      <c r="AA31" s="38"/>
      <c r="AB31" s="38"/>
      <c r="AC31" s="38">
        <f>K31-T31</f>
        <v>0.40397952000000004</v>
      </c>
      <c r="AD31" s="38">
        <f>+AM31+BA31</f>
        <v>27</v>
      </c>
      <c r="AE31" s="228" t="s">
        <v>513</v>
      </c>
      <c r="AF31" s="34"/>
      <c r="AG31" s="34"/>
      <c r="AH31" s="34">
        <v>27</v>
      </c>
      <c r="AI31" s="469"/>
      <c r="AJ31" s="38"/>
      <c r="AK31" s="38"/>
      <c r="AL31" s="38"/>
      <c r="AM31" s="38">
        <f>SUM(AF31:AL31)+AT31+AV31+AX31</f>
        <v>27</v>
      </c>
      <c r="AN31" s="38"/>
      <c r="AO31" s="38"/>
      <c r="AP31" s="38"/>
      <c r="AQ31" s="38"/>
      <c r="AR31" s="38">
        <f>SUM(AN31:AQ31)</f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34"/>
      <c r="BC31" s="54"/>
      <c r="BD31" s="54"/>
      <c r="BE31" s="34"/>
      <c r="BF31" s="54"/>
    </row>
    <row r="32" spans="1:58" ht="12.95" customHeight="1">
      <c r="A32" s="41"/>
      <c r="B32" s="42"/>
      <c r="C32" s="424"/>
      <c r="D32" s="42"/>
      <c r="E32" s="43"/>
      <c r="F32" s="43"/>
      <c r="G32" s="467"/>
      <c r="H32" s="45"/>
      <c r="I32" s="46"/>
      <c r="J32" s="84"/>
      <c r="K32" s="84"/>
      <c r="L32" s="36"/>
      <c r="M32" s="36"/>
      <c r="N32" s="47"/>
      <c r="O32" s="48"/>
      <c r="P32" s="49"/>
      <c r="Q32" s="48"/>
      <c r="R32" s="394"/>
      <c r="S32" s="394"/>
      <c r="T32" s="38"/>
      <c r="U32" s="38"/>
      <c r="V32" s="38"/>
      <c r="W32" s="38"/>
      <c r="X32" s="391"/>
      <c r="Y32" s="38"/>
      <c r="Z32" s="38"/>
      <c r="AA32" s="50"/>
      <c r="AB32" s="50"/>
      <c r="AC32" s="38"/>
      <c r="AD32" s="38"/>
      <c r="AE32" s="228"/>
      <c r="AF32" s="34"/>
      <c r="AG32" s="34"/>
      <c r="AH32" s="34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4"/>
      <c r="BC32" s="54"/>
      <c r="BD32" s="54"/>
      <c r="BE32" s="34"/>
      <c r="BF32" s="54"/>
    </row>
    <row r="33" spans="1:58" ht="12.75" customHeight="1">
      <c r="A33" s="41">
        <v>45998</v>
      </c>
      <c r="B33" s="42" t="s">
        <v>417</v>
      </c>
      <c r="C33" s="424">
        <f>(M33*E33*O33*Q33)/100000000</f>
        <v>51.480575999999999</v>
      </c>
      <c r="D33" s="42" t="s">
        <v>285</v>
      </c>
      <c r="E33" s="43">
        <v>12</v>
      </c>
      <c r="F33" s="43">
        <v>1</v>
      </c>
      <c r="G33" s="44">
        <v>1400</v>
      </c>
      <c r="H33" s="484">
        <f>+N33</f>
        <v>0.24</v>
      </c>
      <c r="I33" s="46">
        <v>0.88</v>
      </c>
      <c r="J33" s="84">
        <f>E33*G33*(1-H33)*1440/1000000*2.87</f>
        <v>52.767590399999996</v>
      </c>
      <c r="K33" s="84">
        <f>(IF(G33&lt;L33,L33,G33)*(1-IF(H33&lt;N33,H33,N33))*E33*O33*Q33)/100000000</f>
        <v>51.480575999999999</v>
      </c>
      <c r="L33" s="36">
        <v>1400</v>
      </c>
      <c r="M33" s="36">
        <f>+L33-L33*0.24</f>
        <v>1064</v>
      </c>
      <c r="N33" s="47">
        <f>1-(M33/L33)</f>
        <v>0.24</v>
      </c>
      <c r="O33" s="48">
        <f>+'Trim Rwd'!H25</f>
        <v>280</v>
      </c>
      <c r="P33" s="49">
        <f>O33*(Q33-R33-S33)</f>
        <v>394240</v>
      </c>
      <c r="Q33" s="48">
        <v>1440</v>
      </c>
      <c r="R33" s="394">
        <v>0</v>
      </c>
      <c r="S33" s="394">
        <v>32</v>
      </c>
      <c r="T33" s="38">
        <f>E33*M33*O33*Q33/100000000</f>
        <v>51.480575999999999</v>
      </c>
      <c r="U33" s="38">
        <f>E33*M33*O33*(Q33-R33-S33)/100000000</f>
        <v>50.336563200000001</v>
      </c>
      <c r="V33" s="38">
        <f>E33*G33*(1-N33)*O33/100*(R33+S33)/1000000</f>
        <v>1.1440128000000001</v>
      </c>
      <c r="W33" s="38">
        <f>+'7'!K34/1000</f>
        <v>44.481000000000002</v>
      </c>
      <c r="X33" s="391">
        <f>SUM(W33:W36)/SUM(K33:K36)</f>
        <v>0.86403462152404831</v>
      </c>
      <c r="Y33" s="38">
        <v>0</v>
      </c>
      <c r="Z33" s="38">
        <v>0</v>
      </c>
      <c r="AA33" s="50">
        <f>SUM(U33:U36)-SUM(W33:W36)-SUM(Z33:Z36)-SUM(Y33:Y36)</f>
        <v>5.8555631999999989</v>
      </c>
      <c r="AB33" s="50">
        <f>(SUM(K33:K36)-SUM(W33:W36)-SUM(Y33:Y36)-SUM(Z33:Z36)-SUM(AC33:AC36)-SUM(V33:V36))-AA33</f>
        <v>0</v>
      </c>
      <c r="AC33" s="38">
        <f>K33-T33</f>
        <v>0</v>
      </c>
      <c r="AD33" s="38">
        <f>+AM33+BA33</f>
        <v>5</v>
      </c>
      <c r="AE33" s="228" t="s">
        <v>448</v>
      </c>
      <c r="AF33" s="38">
        <v>5</v>
      </c>
      <c r="AG33" s="38"/>
      <c r="AH33" s="38"/>
      <c r="AI33" s="469"/>
      <c r="AJ33" s="38"/>
      <c r="AK33" s="38"/>
      <c r="AL33" s="38"/>
      <c r="AM33" s="38">
        <f>SUM(AF33:AL33)+AT33+AV33+AX33</f>
        <v>5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1</v>
      </c>
      <c r="BC33" s="52"/>
      <c r="BD33" s="52"/>
      <c r="BE33" s="34"/>
      <c r="BF33" s="52"/>
    </row>
    <row r="34" spans="1:58" ht="12.95" customHeight="1">
      <c r="A34" s="41"/>
      <c r="B34" s="42"/>
      <c r="C34" s="424"/>
      <c r="D34" s="42"/>
      <c r="E34" s="43"/>
      <c r="F34" s="43"/>
      <c r="G34" s="44"/>
      <c r="H34" s="45"/>
      <c r="I34" s="46"/>
      <c r="J34" s="84"/>
      <c r="K34" s="84"/>
      <c r="L34" s="36"/>
      <c r="M34" s="36"/>
      <c r="N34" s="47"/>
      <c r="O34" s="48"/>
      <c r="P34" s="49"/>
      <c r="Q34" s="48"/>
      <c r="R34" s="394"/>
      <c r="S34" s="394"/>
      <c r="T34" s="38"/>
      <c r="U34" s="38"/>
      <c r="V34" s="38"/>
      <c r="W34" s="38"/>
      <c r="X34" s="39"/>
      <c r="Y34" s="211"/>
      <c r="Z34" s="38"/>
      <c r="AA34" s="38"/>
      <c r="AB34" s="38"/>
      <c r="AC34" s="38"/>
      <c r="AD34" s="38">
        <f>+AM34+BA34</f>
        <v>5</v>
      </c>
      <c r="AE34" s="228" t="s">
        <v>478</v>
      </c>
      <c r="AF34" s="38"/>
      <c r="AG34" s="38">
        <v>5</v>
      </c>
      <c r="AH34" s="38"/>
      <c r="AI34" s="469"/>
      <c r="AJ34" s="38"/>
      <c r="AK34" s="38"/>
      <c r="AL34" s="38"/>
      <c r="AM34" s="38">
        <f>SUM(AF34:AL34)+AT34+AV34+AX34</f>
        <v>5</v>
      </c>
      <c r="AN34" s="85"/>
      <c r="AO34" s="38"/>
      <c r="AP34" s="38"/>
      <c r="AQ34" s="38"/>
      <c r="AR34" s="38">
        <f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2</v>
      </c>
      <c r="BD34" s="52"/>
      <c r="BE34" s="51"/>
      <c r="BF34" s="52"/>
    </row>
    <row r="35" spans="1:58" ht="12.95" customHeight="1">
      <c r="A35" s="41"/>
      <c r="B35" s="42"/>
      <c r="C35" s="424"/>
      <c r="D35" s="42"/>
      <c r="E35" s="43"/>
      <c r="F35" s="43"/>
      <c r="G35" s="44"/>
      <c r="H35" s="45"/>
      <c r="I35" s="46"/>
      <c r="J35" s="84"/>
      <c r="K35" s="84"/>
      <c r="L35" s="36"/>
      <c r="M35" s="36"/>
      <c r="N35" s="47"/>
      <c r="O35" s="48"/>
      <c r="P35" s="49"/>
      <c r="Q35" s="48"/>
      <c r="R35" s="394"/>
      <c r="S35" s="394"/>
      <c r="T35" s="38"/>
      <c r="U35" s="38"/>
      <c r="V35" s="38"/>
      <c r="W35" s="38"/>
      <c r="X35" s="39"/>
      <c r="Y35" s="211"/>
      <c r="Z35" s="38"/>
      <c r="AA35" s="38"/>
      <c r="AB35" s="38"/>
      <c r="AC35" s="38"/>
      <c r="AD35" s="38">
        <f>+AM35+BA35</f>
        <v>22</v>
      </c>
      <c r="AE35" s="228" t="s">
        <v>514</v>
      </c>
      <c r="AF35" s="34"/>
      <c r="AG35" s="34"/>
      <c r="AH35" s="34">
        <v>22</v>
      </c>
      <c r="AI35" s="469"/>
      <c r="AJ35" s="38"/>
      <c r="AK35" s="38"/>
      <c r="AL35" s="38"/>
      <c r="AM35" s="38">
        <f>SUM(AF35:AL35)+AT35+AV35+AX35</f>
        <v>22</v>
      </c>
      <c r="AN35" s="38"/>
      <c r="AO35" s="38"/>
      <c r="AP35" s="38"/>
      <c r="AQ35" s="38"/>
      <c r="AR35" s="38">
        <f>SUM(AN35:AQ35)</f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54"/>
      <c r="BD35" s="54"/>
      <c r="BE35" s="34"/>
      <c r="BF35" s="54"/>
    </row>
    <row r="36" spans="1:58" ht="12.95" customHeight="1">
      <c r="A36" s="41"/>
      <c r="B36" s="42"/>
      <c r="C36" s="424"/>
      <c r="D36" s="42"/>
      <c r="E36" s="43"/>
      <c r="F36" s="43"/>
      <c r="G36" s="44"/>
      <c r="H36" s="45"/>
      <c r="I36" s="46"/>
      <c r="J36" s="84"/>
      <c r="K36" s="84"/>
      <c r="L36" s="36"/>
      <c r="M36" s="36"/>
      <c r="N36" s="47"/>
      <c r="O36" s="48"/>
      <c r="P36" s="49"/>
      <c r="Q36" s="48"/>
      <c r="R36" s="394"/>
      <c r="S36" s="394"/>
      <c r="T36" s="38"/>
      <c r="U36" s="38"/>
      <c r="V36" s="38"/>
      <c r="W36" s="38"/>
      <c r="X36" s="39"/>
      <c r="Y36" s="211"/>
      <c r="Z36" s="38"/>
      <c r="AA36" s="38"/>
      <c r="AB36" s="38"/>
      <c r="AC36" s="38"/>
      <c r="AD36" s="38"/>
      <c r="AE36" s="228"/>
      <c r="AF36" s="34"/>
      <c r="AG36" s="34"/>
      <c r="AH36" s="34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4"/>
      <c r="BC36" s="54"/>
      <c r="BD36" s="54"/>
      <c r="BE36" s="34"/>
      <c r="BF36" s="54"/>
    </row>
    <row r="37" spans="1:58" ht="12.75" customHeight="1">
      <c r="A37" s="41">
        <v>45999</v>
      </c>
      <c r="B37" s="42" t="s">
        <v>417</v>
      </c>
      <c r="C37" s="424">
        <f>(M37*E37*O37*Q37)/100000000</f>
        <v>51.480575999999999</v>
      </c>
      <c r="D37" s="42" t="s">
        <v>285</v>
      </c>
      <c r="E37" s="43">
        <v>12</v>
      </c>
      <c r="F37" s="43">
        <v>1</v>
      </c>
      <c r="G37" s="44">
        <v>1400</v>
      </c>
      <c r="H37" s="484">
        <f>+N37</f>
        <v>0.24</v>
      </c>
      <c r="I37" s="46">
        <v>0.88</v>
      </c>
      <c r="J37" s="84">
        <f>E37*G37*(1-H37)*1440/1000000*2.87</f>
        <v>52.767590399999996</v>
      </c>
      <c r="K37" s="84">
        <f>(IF(G37&lt;L37,L37,G37)*(1-IF(H37&lt;N37,H37,N37))*E37*O37*Q37)/100000000</f>
        <v>51.480575999999999</v>
      </c>
      <c r="L37" s="36">
        <v>1400</v>
      </c>
      <c r="M37" s="36">
        <f>+L37-L37*0.24</f>
        <v>1064</v>
      </c>
      <c r="N37" s="47">
        <f>1-(M37/L37)</f>
        <v>0.24</v>
      </c>
      <c r="O37" s="48">
        <f>+'Trim Rwd'!H27</f>
        <v>280</v>
      </c>
      <c r="P37" s="49">
        <f>O37*(Q37-R37-S37)</f>
        <v>394800</v>
      </c>
      <c r="Q37" s="48">
        <v>1440</v>
      </c>
      <c r="R37" s="394">
        <v>0</v>
      </c>
      <c r="S37" s="394">
        <v>30</v>
      </c>
      <c r="T37" s="38">
        <f>E37*M37*O37*Q37/100000000</f>
        <v>51.480575999999999</v>
      </c>
      <c r="U37" s="38">
        <f>E37*M37*O37*(Q37-R37-S37)/100000000</f>
        <v>50.408064000000003</v>
      </c>
      <c r="V37" s="38">
        <f>E37*G37*(1-N37)*O37/100*(R37+S37)/1000000</f>
        <v>1.0725119999999999</v>
      </c>
      <c r="W37" s="38">
        <f>+'8'!K34/1000</f>
        <v>54.173999999999999</v>
      </c>
      <c r="X37" s="391">
        <f>SUM(W37:W40)/SUM(K37:K40)</f>
        <v>1.0523192281298483</v>
      </c>
      <c r="Y37" s="38">
        <v>0</v>
      </c>
      <c r="Z37" s="38">
        <v>0</v>
      </c>
      <c r="AA37" s="50">
        <f>SUM(U37:U40)-SUM(W37:W40)-SUM(Z37:Z40)-SUM(Y37:Y40)</f>
        <v>-3.7659359999999964</v>
      </c>
      <c r="AB37" s="50">
        <f>(SUM(K37:K40)-SUM(W37:W40)-SUM(Y37:Y40)-SUM(Z37:Z40)-SUM(AC37:AC40)-SUM(V37:V40))-AA37</f>
        <v>-3.5527136788005009E-15</v>
      </c>
      <c r="AC37" s="38">
        <f>K37-T37</f>
        <v>0</v>
      </c>
      <c r="AD37" s="38">
        <f>+AM37+BA37</f>
        <v>0</v>
      </c>
      <c r="AE37" s="228" t="s">
        <v>392</v>
      </c>
      <c r="AF37" s="38">
        <v>0</v>
      </c>
      <c r="AG37" s="38"/>
      <c r="AH37" s="38"/>
      <c r="AI37" s="469"/>
      <c r="AJ37" s="38"/>
      <c r="AK37" s="38"/>
      <c r="AL37" s="38"/>
      <c r="AM37" s="38">
        <f>SUM(AF37:AL37)+AT37+AV37+AX37</f>
        <v>0</v>
      </c>
      <c r="AN37" s="38"/>
      <c r="AO37" s="38"/>
      <c r="AP37" s="38"/>
      <c r="AQ37" s="38"/>
      <c r="AR37" s="38">
        <f>SUM(AN37:AQ37)</f>
        <v>0</v>
      </c>
      <c r="AS37" s="38"/>
      <c r="AT37" s="38"/>
      <c r="AU37" s="38"/>
      <c r="AV37" s="38"/>
      <c r="AW37" s="38"/>
      <c r="AX37" s="38"/>
      <c r="AY37" s="38"/>
      <c r="AZ37" s="38"/>
      <c r="BA37" s="38">
        <f>+AR37+AS37+AU37+AW37+AY37+AZ37</f>
        <v>0</v>
      </c>
      <c r="BB37" s="34">
        <v>1</v>
      </c>
      <c r="BC37" s="52"/>
      <c r="BD37" s="52"/>
      <c r="BE37" s="34"/>
      <c r="BF37" s="52"/>
    </row>
    <row r="38" spans="1:58" ht="12.95" customHeight="1">
      <c r="A38" s="41"/>
      <c r="B38" s="42"/>
      <c r="C38" s="424"/>
      <c r="D38" s="42"/>
      <c r="E38" s="43"/>
      <c r="F38" s="43"/>
      <c r="G38" s="44"/>
      <c r="H38" s="45"/>
      <c r="I38" s="46"/>
      <c r="J38" s="84"/>
      <c r="K38" s="84"/>
      <c r="L38" s="36"/>
      <c r="M38" s="36"/>
      <c r="N38" s="47"/>
      <c r="O38" s="48"/>
      <c r="P38" s="49"/>
      <c r="Q38" s="48"/>
      <c r="R38" s="394"/>
      <c r="S38" s="394"/>
      <c r="T38" s="38"/>
      <c r="U38" s="38"/>
      <c r="V38" s="38"/>
      <c r="W38" s="38"/>
      <c r="X38" s="39"/>
      <c r="Y38" s="211"/>
      <c r="Z38" s="38"/>
      <c r="AA38" s="38"/>
      <c r="AB38" s="38"/>
      <c r="AC38" s="38"/>
      <c r="AD38" s="38">
        <f>+AM38+BA38</f>
        <v>2</v>
      </c>
      <c r="AE38" s="228" t="s">
        <v>446</v>
      </c>
      <c r="AF38" s="38"/>
      <c r="AG38" s="38">
        <v>2</v>
      </c>
      <c r="AH38" s="38"/>
      <c r="AI38" s="469"/>
      <c r="AJ38" s="38"/>
      <c r="AK38" s="38"/>
      <c r="AL38" s="38"/>
      <c r="AM38" s="38">
        <f>SUM(AF38:AL38)+AT38+AV38+AX38</f>
        <v>2</v>
      </c>
      <c r="AN38" s="85"/>
      <c r="AO38" s="38"/>
      <c r="AP38" s="38"/>
      <c r="AQ38" s="38"/>
      <c r="AR38" s="38">
        <f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51"/>
      <c r="BC38" s="52">
        <v>1</v>
      </c>
      <c r="BD38" s="52"/>
      <c r="BE38" s="51"/>
      <c r="BF38" s="52"/>
    </row>
    <row r="39" spans="1:58" ht="12.95" customHeight="1">
      <c r="A39" s="41"/>
      <c r="B39" s="42"/>
      <c r="C39" s="424"/>
      <c r="D39" s="42"/>
      <c r="E39" s="43"/>
      <c r="F39" s="43"/>
      <c r="G39" s="44"/>
      <c r="H39" s="45"/>
      <c r="I39" s="46"/>
      <c r="J39" s="84"/>
      <c r="K39" s="84"/>
      <c r="L39" s="36"/>
      <c r="M39" s="36"/>
      <c r="N39" s="47"/>
      <c r="O39" s="48"/>
      <c r="P39" s="49"/>
      <c r="Q39" s="48"/>
      <c r="R39" s="394"/>
      <c r="S39" s="394"/>
      <c r="T39" s="38"/>
      <c r="U39" s="38"/>
      <c r="V39" s="38"/>
      <c r="W39" s="38"/>
      <c r="X39" s="39"/>
      <c r="Y39" s="211"/>
      <c r="Z39" s="38"/>
      <c r="AA39" s="38"/>
      <c r="AB39" s="38"/>
      <c r="AC39" s="38"/>
      <c r="AD39" s="38">
        <f>+AM39+BA39</f>
        <v>28</v>
      </c>
      <c r="AE39" s="228" t="s">
        <v>420</v>
      </c>
      <c r="AF39" s="34"/>
      <c r="AG39" s="34"/>
      <c r="AH39" s="34">
        <v>28</v>
      </c>
      <c r="AI39" s="469"/>
      <c r="AJ39" s="38"/>
      <c r="AK39" s="38"/>
      <c r="AL39" s="38"/>
      <c r="AM39" s="38">
        <f>SUM(AF39:AL39)+AT39+AV39+AX39</f>
        <v>28</v>
      </c>
      <c r="AN39" s="38"/>
      <c r="AO39" s="38"/>
      <c r="AP39" s="38"/>
      <c r="AQ39" s="38"/>
      <c r="AR39" s="38">
        <f>SUM(AN39:AQ39)</f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34"/>
      <c r="BC39" s="54"/>
      <c r="BD39" s="54"/>
      <c r="BE39" s="34"/>
      <c r="BF39" s="54"/>
    </row>
    <row r="40" spans="1:58" ht="12.95" customHeight="1">
      <c r="A40" s="41"/>
      <c r="B40" s="42"/>
      <c r="C40" s="424"/>
      <c r="D40" s="42"/>
      <c r="E40" s="43"/>
      <c r="F40" s="43"/>
      <c r="G40" s="44"/>
      <c r="H40" s="45"/>
      <c r="I40" s="46"/>
      <c r="J40" s="84"/>
      <c r="K40" s="84"/>
      <c r="L40" s="36"/>
      <c r="M40" s="36"/>
      <c r="N40" s="47"/>
      <c r="O40" s="48"/>
      <c r="P40" s="49"/>
      <c r="Q40" s="48"/>
      <c r="R40" s="394"/>
      <c r="S40" s="394"/>
      <c r="T40" s="38"/>
      <c r="U40" s="38"/>
      <c r="V40" s="38"/>
      <c r="W40" s="38"/>
      <c r="X40" s="39"/>
      <c r="Y40" s="211"/>
      <c r="Z40" s="38"/>
      <c r="AA40" s="38"/>
      <c r="AB40" s="38"/>
      <c r="AC40" s="38"/>
      <c r="AD40" s="38"/>
      <c r="AE40" s="228"/>
      <c r="AF40" s="34"/>
      <c r="AG40" s="34"/>
      <c r="AH40" s="34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4"/>
      <c r="BC40" s="54"/>
      <c r="BD40" s="54"/>
      <c r="BE40" s="34"/>
      <c r="BF40" s="54"/>
    </row>
    <row r="41" spans="1:58" ht="12.75" customHeight="1">
      <c r="A41" s="41">
        <v>46000</v>
      </c>
      <c r="B41" s="42" t="s">
        <v>417</v>
      </c>
      <c r="C41" s="424">
        <f>(M41*E41*O41*Q41)/100000000</f>
        <v>51.480575999999999</v>
      </c>
      <c r="D41" s="42" t="s">
        <v>285</v>
      </c>
      <c r="E41" s="43">
        <v>12</v>
      </c>
      <c r="F41" s="43">
        <v>1</v>
      </c>
      <c r="G41" s="44">
        <v>1400</v>
      </c>
      <c r="H41" s="484">
        <f>+N41</f>
        <v>0.24</v>
      </c>
      <c r="I41" s="46">
        <v>0.88</v>
      </c>
      <c r="J41" s="84">
        <f>E41*G41*(1-H41)*1440/1000000*2.87</f>
        <v>52.767590399999996</v>
      </c>
      <c r="K41" s="84">
        <f>(IF(G41&lt;L41,L41,G41)*(1-IF(H41&lt;N41,H41,N41))*E41*O41*Q41)/100000000</f>
        <v>51.480575999999999</v>
      </c>
      <c r="L41" s="36">
        <v>1400</v>
      </c>
      <c r="M41" s="36">
        <f>+L41-L41*0.24</f>
        <v>1064</v>
      </c>
      <c r="N41" s="47">
        <f>1-(M41/L41)</f>
        <v>0.24</v>
      </c>
      <c r="O41" s="48">
        <f>+'Trim Rwd'!H29</f>
        <v>280</v>
      </c>
      <c r="P41" s="49">
        <f>O41*(Q41-R41-S41)</f>
        <v>393960</v>
      </c>
      <c r="Q41" s="48">
        <v>1440</v>
      </c>
      <c r="R41" s="394">
        <v>0</v>
      </c>
      <c r="S41" s="394">
        <v>33</v>
      </c>
      <c r="T41" s="38">
        <f>E41*M41*O41*Q41/100000000</f>
        <v>51.480575999999999</v>
      </c>
      <c r="U41" s="38">
        <f>E41*M41*O41*(Q41-R41-S41)/100000000</f>
        <v>50.300812800000003</v>
      </c>
      <c r="V41" s="38">
        <f>E41*G41*(1-N41)*O41/100*(R41+S41)/1000000</f>
        <v>1.1797632</v>
      </c>
      <c r="W41" s="38">
        <f>+'9'!K34/1000</f>
        <v>49.234000000000002</v>
      </c>
      <c r="X41" s="391">
        <f>SUM(W41:W44)/SUM(K41:K44)</f>
        <v>0.95636070583204047</v>
      </c>
      <c r="Y41" s="38">
        <v>0</v>
      </c>
      <c r="Z41" s="38">
        <v>0</v>
      </c>
      <c r="AA41" s="50">
        <f>SUM(U41:U44)-SUM(W41:W44)-SUM(Z41:Z44)-SUM(Y41:Y44)</f>
        <v>1.066812800000001</v>
      </c>
      <c r="AB41" s="50">
        <f>(SUM(K41:K44)-SUM(W41:W44)-SUM(Y41:Y44)-SUM(Z41:Z44)-SUM(AC41:AC44)-SUM(V41:V44))-AA41</f>
        <v>-3.5527136788005009E-15</v>
      </c>
      <c r="AC41" s="38">
        <f>K41-T41</f>
        <v>0</v>
      </c>
      <c r="AD41" s="38">
        <f>+AM41+BA41</f>
        <v>0</v>
      </c>
      <c r="AE41" s="228" t="s">
        <v>392</v>
      </c>
      <c r="AF41" s="38">
        <v>0</v>
      </c>
      <c r="AG41" s="38"/>
      <c r="AH41" s="38"/>
      <c r="AI41" s="469"/>
      <c r="AJ41" s="38"/>
      <c r="AK41" s="38"/>
      <c r="AL41" s="38"/>
      <c r="AM41" s="38">
        <f>SUM(AF41:AL41)+AT41+AV41+AX41</f>
        <v>0</v>
      </c>
      <c r="AN41" s="38"/>
      <c r="AO41" s="38"/>
      <c r="AP41" s="38"/>
      <c r="AQ41" s="38"/>
      <c r="AR41" s="38">
        <f>SUM(AN41:AQ41)</f>
        <v>0</v>
      </c>
      <c r="AS41" s="38"/>
      <c r="AT41" s="38"/>
      <c r="AU41" s="38"/>
      <c r="AV41" s="38"/>
      <c r="AW41" s="38"/>
      <c r="AX41" s="38"/>
      <c r="AY41" s="38"/>
      <c r="AZ41" s="38"/>
      <c r="BA41" s="38">
        <f>+AR41+AS41+AU41+AW41+AY41+AZ41</f>
        <v>0</v>
      </c>
      <c r="BB41" s="34">
        <v>0</v>
      </c>
      <c r="BC41" s="52"/>
      <c r="BD41" s="52"/>
      <c r="BE41" s="34"/>
      <c r="BF41" s="52"/>
    </row>
    <row r="42" spans="1:58" ht="12.95" customHeight="1">
      <c r="A42" s="41"/>
      <c r="B42" s="42"/>
      <c r="C42" s="424"/>
      <c r="D42" s="42"/>
      <c r="E42" s="43"/>
      <c r="F42" s="43"/>
      <c r="G42" s="44"/>
      <c r="H42" s="45"/>
      <c r="I42" s="46"/>
      <c r="J42" s="84"/>
      <c r="K42" s="84"/>
      <c r="L42" s="36"/>
      <c r="M42" s="36"/>
      <c r="N42" s="47"/>
      <c r="O42" s="48"/>
      <c r="P42" s="49"/>
      <c r="Q42" s="48"/>
      <c r="R42" s="394"/>
      <c r="S42" s="394"/>
      <c r="T42" s="38"/>
      <c r="U42" s="38"/>
      <c r="V42" s="38"/>
      <c r="W42" s="38"/>
      <c r="X42" s="39"/>
      <c r="Y42" s="211"/>
      <c r="Z42" s="38"/>
      <c r="AA42" s="38"/>
      <c r="AB42" s="38"/>
      <c r="AC42" s="38"/>
      <c r="AD42" s="38">
        <f>+AM42+BA42</f>
        <v>2</v>
      </c>
      <c r="AE42" s="228" t="s">
        <v>478</v>
      </c>
      <c r="AF42" s="38"/>
      <c r="AG42" s="38">
        <v>2</v>
      </c>
      <c r="AH42" s="38"/>
      <c r="AI42" s="469"/>
      <c r="AJ42" s="38"/>
      <c r="AK42" s="38"/>
      <c r="AL42" s="38"/>
      <c r="AM42" s="38">
        <f>SUM(AF42:AL42)+AT42+AV42+AX42</f>
        <v>2</v>
      </c>
      <c r="AN42" s="85"/>
      <c r="AO42" s="38"/>
      <c r="AP42" s="38"/>
      <c r="AQ42" s="38"/>
      <c r="AR42" s="38">
        <f>SUM(AN42:AQ42)</f>
        <v>0</v>
      </c>
      <c r="AS42" s="38"/>
      <c r="AT42" s="38"/>
      <c r="AU42" s="38"/>
      <c r="AV42" s="38"/>
      <c r="AW42" s="38"/>
      <c r="AX42" s="38"/>
      <c r="AY42" s="38"/>
      <c r="AZ42" s="38"/>
      <c r="BA42" s="38">
        <f>+AR42+AS42+AU42+AW42+AY42+AZ42</f>
        <v>0</v>
      </c>
      <c r="BB42" s="51"/>
      <c r="BC42" s="52">
        <v>2</v>
      </c>
      <c r="BD42" s="52"/>
      <c r="BE42" s="51"/>
      <c r="BF42" s="52"/>
    </row>
    <row r="43" spans="1:58" ht="12.95" customHeight="1">
      <c r="A43" s="41"/>
      <c r="B43" s="42"/>
      <c r="C43" s="424"/>
      <c r="D43" s="42"/>
      <c r="E43" s="43"/>
      <c r="F43" s="43"/>
      <c r="G43" s="44"/>
      <c r="H43" s="45"/>
      <c r="I43" s="46"/>
      <c r="J43" s="84"/>
      <c r="K43" s="84"/>
      <c r="L43" s="36"/>
      <c r="M43" s="36"/>
      <c r="N43" s="47"/>
      <c r="O43" s="48"/>
      <c r="P43" s="49"/>
      <c r="Q43" s="48"/>
      <c r="R43" s="394"/>
      <c r="S43" s="394"/>
      <c r="T43" s="38"/>
      <c r="U43" s="38"/>
      <c r="V43" s="38"/>
      <c r="W43" s="38"/>
      <c r="X43" s="39"/>
      <c r="Y43" s="211"/>
      <c r="Z43" s="38"/>
      <c r="AA43" s="38"/>
      <c r="AB43" s="38"/>
      <c r="AC43" s="38"/>
      <c r="AD43" s="38">
        <f>+AM43+BA43</f>
        <v>31</v>
      </c>
      <c r="AE43" s="228" t="s">
        <v>458</v>
      </c>
      <c r="AF43" s="34"/>
      <c r="AG43" s="34"/>
      <c r="AH43" s="34">
        <v>31</v>
      </c>
      <c r="AI43" s="469"/>
      <c r="AJ43" s="38"/>
      <c r="AK43" s="38"/>
      <c r="AL43" s="38"/>
      <c r="AM43" s="38">
        <f>SUM(AF43:AL43)+AT43+AV43+AX43</f>
        <v>31</v>
      </c>
      <c r="AN43" s="38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34"/>
      <c r="BC43" s="54"/>
      <c r="BD43" s="54"/>
      <c r="BE43" s="34"/>
      <c r="BF43" s="54"/>
    </row>
    <row r="44" spans="1:58" ht="12.95" customHeight="1">
      <c r="A44" s="41"/>
      <c r="B44" s="42"/>
      <c r="C44" s="424"/>
      <c r="D44" s="42"/>
      <c r="E44" s="43"/>
      <c r="F44" s="43"/>
      <c r="G44" s="44"/>
      <c r="H44" s="45"/>
      <c r="I44" s="46"/>
      <c r="J44" s="84"/>
      <c r="K44" s="84"/>
      <c r="L44" s="36"/>
      <c r="M44" s="36"/>
      <c r="N44" s="47"/>
      <c r="O44" s="48"/>
      <c r="P44" s="49"/>
      <c r="Q44" s="48"/>
      <c r="R44" s="394"/>
      <c r="S44" s="394"/>
      <c r="T44" s="38"/>
      <c r="U44" s="38"/>
      <c r="V44" s="38"/>
      <c r="W44" s="38"/>
      <c r="X44" s="39"/>
      <c r="Y44" s="211"/>
      <c r="Z44" s="38"/>
      <c r="AA44" s="38"/>
      <c r="AB44" s="38"/>
      <c r="AC44" s="38"/>
      <c r="AD44" s="38"/>
      <c r="AE44" s="228"/>
      <c r="AF44" s="34"/>
      <c r="AG44" s="34"/>
      <c r="AH44" s="34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4"/>
      <c r="BC44" s="54"/>
      <c r="BD44" s="54"/>
      <c r="BE44" s="34"/>
      <c r="BF44" s="54"/>
    </row>
    <row r="45" spans="1:58" ht="12.75" customHeight="1">
      <c r="A45" s="41">
        <v>46001</v>
      </c>
      <c r="B45" s="42" t="s">
        <v>417</v>
      </c>
      <c r="C45" s="424">
        <f>(M45*E45*O45*Q45)/100000000</f>
        <v>51.480575999999999</v>
      </c>
      <c r="D45" s="42" t="s">
        <v>285</v>
      </c>
      <c r="E45" s="43">
        <v>12</v>
      </c>
      <c r="F45" s="43">
        <v>1</v>
      </c>
      <c r="G45" s="44">
        <v>1400</v>
      </c>
      <c r="H45" s="484">
        <f>+N45</f>
        <v>0.24</v>
      </c>
      <c r="I45" s="46">
        <v>0.88</v>
      </c>
      <c r="J45" s="84">
        <f>E45*G45*(1-H45)*1440/1000000*2.87</f>
        <v>52.767590399999996</v>
      </c>
      <c r="K45" s="84">
        <f>(IF(G45&lt;L45,L45,G45)*(1-IF(H45&lt;N45,H45,N45))*E45*O45*Q45)/100000000</f>
        <v>51.480575999999999</v>
      </c>
      <c r="L45" s="36">
        <v>1400</v>
      </c>
      <c r="M45" s="36">
        <f>+L45-L45*0.24</f>
        <v>1064</v>
      </c>
      <c r="N45" s="47">
        <f>1-(M45/L45)</f>
        <v>0.24</v>
      </c>
      <c r="O45" s="48">
        <f>+'Trim Rwd'!H31</f>
        <v>280</v>
      </c>
      <c r="P45" s="49">
        <f>O45*(Q45-R45-S45)</f>
        <v>392840</v>
      </c>
      <c r="Q45" s="48">
        <v>1440</v>
      </c>
      <c r="R45" s="394">
        <v>0</v>
      </c>
      <c r="S45" s="394">
        <v>37</v>
      </c>
      <c r="T45" s="38">
        <f>E45*M45*O45*Q45/100000000</f>
        <v>51.480575999999999</v>
      </c>
      <c r="U45" s="38">
        <f>E45*M45*O45*(Q45-R45-S45)/100000000</f>
        <v>50.157811199999998</v>
      </c>
      <c r="V45" s="38">
        <f>E45*G45*(1-N45)*O45/100*(R45+S45)/1000000</f>
        <v>1.3227648000000001</v>
      </c>
      <c r="W45" s="38">
        <f>+'10'!K34/1000</f>
        <v>49.491</v>
      </c>
      <c r="X45" s="391">
        <f>SUM(W45:W48)/SUM(K45:K48)</f>
        <v>0.96135287996777663</v>
      </c>
      <c r="Y45" s="38">
        <v>0</v>
      </c>
      <c r="Z45" s="38">
        <v>0</v>
      </c>
      <c r="AA45" s="50">
        <f>SUM(U45:U48)-SUM(W45:W48)-SUM(Z45:Z48)-SUM(Y45:Y48)</f>
        <v>0.66681119999999794</v>
      </c>
      <c r="AB45" s="50">
        <f>(SUM(K45:K48)-SUM(W45:W48)-SUM(Y45:Y48)-SUM(Z45:Z48)-SUM(AC45:AC48)-SUM(V45:V48))-AA45</f>
        <v>1.5543122344752192E-15</v>
      </c>
      <c r="AC45" s="38">
        <f>K45-T45</f>
        <v>0</v>
      </c>
      <c r="AD45" s="38">
        <f>+AM45+BA45</f>
        <v>0</v>
      </c>
      <c r="AE45" s="228" t="s">
        <v>392</v>
      </c>
      <c r="AF45" s="38">
        <v>0</v>
      </c>
      <c r="AG45" s="38"/>
      <c r="AH45" s="38"/>
      <c r="AI45" s="469"/>
      <c r="AJ45" s="38"/>
      <c r="AK45" s="38"/>
      <c r="AL45" s="38"/>
      <c r="AM45" s="38">
        <f>SUM(AF45:AL45)+AT45+AV45+AX45</f>
        <v>0</v>
      </c>
      <c r="AN45" s="38"/>
      <c r="AO45" s="38"/>
      <c r="AP45" s="38"/>
      <c r="AQ45" s="38"/>
      <c r="AR45" s="38">
        <f>SUM(AN45:AQ45)</f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>+AR45+AS45+AU45+AW45+AY45+AZ45</f>
        <v>0</v>
      </c>
      <c r="BB45" s="34">
        <v>0</v>
      </c>
      <c r="BC45" s="52"/>
      <c r="BD45" s="52"/>
      <c r="BE45" s="34"/>
      <c r="BF45" s="52"/>
    </row>
    <row r="46" spans="1:58" ht="12.95" customHeight="1">
      <c r="A46" s="41"/>
      <c r="B46" s="42"/>
      <c r="C46" s="424"/>
      <c r="D46" s="42"/>
      <c r="E46" s="43"/>
      <c r="F46" s="43"/>
      <c r="G46" s="44"/>
      <c r="H46" s="45"/>
      <c r="I46" s="46"/>
      <c r="J46" s="84"/>
      <c r="K46" s="84"/>
      <c r="L46" s="36"/>
      <c r="M46" s="36"/>
      <c r="N46" s="47"/>
      <c r="O46" s="48"/>
      <c r="P46" s="49"/>
      <c r="Q46" s="48"/>
      <c r="R46" s="394"/>
      <c r="S46" s="394"/>
      <c r="T46" s="38"/>
      <c r="U46" s="38"/>
      <c r="V46" s="38"/>
      <c r="W46" s="38"/>
      <c r="X46" s="39"/>
      <c r="Y46" s="211"/>
      <c r="Z46" s="38"/>
      <c r="AA46" s="38"/>
      <c r="AB46" s="38"/>
      <c r="AC46" s="38"/>
      <c r="AD46" s="38">
        <f>+AM46+BA46</f>
        <v>2</v>
      </c>
      <c r="AE46" s="228" t="s">
        <v>478</v>
      </c>
      <c r="AF46" s="38"/>
      <c r="AG46" s="38">
        <v>2</v>
      </c>
      <c r="AH46" s="38"/>
      <c r="AI46" s="469"/>
      <c r="AJ46" s="38"/>
      <c r="AK46" s="38"/>
      <c r="AL46" s="38"/>
      <c r="AM46" s="38">
        <f>SUM(AF46:AL46)+AT46+AV46+AX46</f>
        <v>2</v>
      </c>
      <c r="AN46" s="85"/>
      <c r="AO46" s="38"/>
      <c r="AP46" s="38"/>
      <c r="AQ46" s="38"/>
      <c r="AR46" s="38">
        <f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51"/>
      <c r="BC46" s="52">
        <v>1</v>
      </c>
      <c r="BD46" s="52"/>
      <c r="BE46" s="51"/>
      <c r="BF46" s="52"/>
    </row>
    <row r="47" spans="1:58" ht="12.95" customHeight="1">
      <c r="A47" s="41"/>
      <c r="B47" s="42"/>
      <c r="C47" s="424"/>
      <c r="D47" s="42"/>
      <c r="E47" s="43"/>
      <c r="F47" s="43"/>
      <c r="G47" s="44"/>
      <c r="H47" s="45"/>
      <c r="I47" s="46"/>
      <c r="J47" s="84"/>
      <c r="K47" s="84"/>
      <c r="L47" s="36"/>
      <c r="M47" s="36"/>
      <c r="N47" s="47"/>
      <c r="O47" s="48"/>
      <c r="P47" s="49"/>
      <c r="Q47" s="48"/>
      <c r="R47" s="394"/>
      <c r="S47" s="394"/>
      <c r="T47" s="38"/>
      <c r="U47" s="38"/>
      <c r="V47" s="38"/>
      <c r="W47" s="38"/>
      <c r="X47" s="39"/>
      <c r="Y47" s="211"/>
      <c r="Z47" s="38"/>
      <c r="AA47" s="38"/>
      <c r="AB47" s="38"/>
      <c r="AC47" s="38"/>
      <c r="AD47" s="38">
        <f>+AM47+BA47</f>
        <v>35</v>
      </c>
      <c r="AE47" s="228" t="s">
        <v>420</v>
      </c>
      <c r="AF47" s="34"/>
      <c r="AG47" s="34"/>
      <c r="AH47" s="34">
        <v>35</v>
      </c>
      <c r="AI47" s="469"/>
      <c r="AJ47" s="38"/>
      <c r="AK47" s="38"/>
      <c r="AL47" s="38"/>
      <c r="AM47" s="38">
        <f>SUM(AF47:AL47)+AT47+AV47+AX47</f>
        <v>35</v>
      </c>
      <c r="AN47" s="38"/>
      <c r="AO47" s="38"/>
      <c r="AP47" s="38"/>
      <c r="AQ47" s="38"/>
      <c r="AR47" s="38">
        <f>SUM(AN47:AQ47)</f>
        <v>0</v>
      </c>
      <c r="AS47" s="38"/>
      <c r="AT47" s="38"/>
      <c r="AU47" s="38"/>
      <c r="AV47" s="38"/>
      <c r="AW47" s="38"/>
      <c r="AX47" s="38"/>
      <c r="AY47" s="38"/>
      <c r="AZ47" s="38"/>
      <c r="BA47" s="38">
        <f>+AR47+AS47+AU47+AW47+AY47+AZ47</f>
        <v>0</v>
      </c>
      <c r="BB47" s="34"/>
      <c r="BC47" s="54"/>
      <c r="BD47" s="54"/>
      <c r="BE47" s="34"/>
      <c r="BF47" s="54"/>
    </row>
    <row r="48" spans="1:58" ht="12.95" customHeight="1">
      <c r="A48" s="41"/>
      <c r="B48" s="42"/>
      <c r="C48" s="424"/>
      <c r="D48" s="42"/>
      <c r="E48" s="43"/>
      <c r="F48" s="43"/>
      <c r="G48" s="44"/>
      <c r="H48" s="45"/>
      <c r="I48" s="46"/>
      <c r="J48" s="84"/>
      <c r="K48" s="84"/>
      <c r="L48" s="36"/>
      <c r="M48" s="36"/>
      <c r="N48" s="47"/>
      <c r="O48" s="48"/>
      <c r="P48" s="49"/>
      <c r="Q48" s="48"/>
      <c r="R48" s="394"/>
      <c r="S48" s="394"/>
      <c r="T48" s="38"/>
      <c r="U48" s="38"/>
      <c r="V48" s="38"/>
      <c r="W48" s="38"/>
      <c r="X48" s="39"/>
      <c r="Y48" s="211"/>
      <c r="Z48" s="38"/>
      <c r="AA48" s="38"/>
      <c r="AB48" s="38"/>
      <c r="AC48" s="38"/>
      <c r="AD48" s="38"/>
      <c r="AE48" s="228"/>
      <c r="AF48" s="34"/>
      <c r="AG48" s="34"/>
      <c r="AH48" s="34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4"/>
      <c r="BC48" s="54"/>
      <c r="BD48" s="54"/>
      <c r="BE48" s="34"/>
      <c r="BF48" s="54"/>
    </row>
    <row r="49" spans="1:58" ht="12.75" customHeight="1">
      <c r="A49" s="41">
        <v>46002</v>
      </c>
      <c r="B49" s="42" t="s">
        <v>417</v>
      </c>
      <c r="C49" s="424">
        <f>(M49*E49*O49*Q49)/100000000</f>
        <v>51.480575999999999</v>
      </c>
      <c r="D49" s="42" t="s">
        <v>285</v>
      </c>
      <c r="E49" s="43">
        <v>12</v>
      </c>
      <c r="F49" s="43">
        <v>1</v>
      </c>
      <c r="G49" s="44">
        <v>1400</v>
      </c>
      <c r="H49" s="484">
        <f>+N49</f>
        <v>0.24</v>
      </c>
      <c r="I49" s="46">
        <v>0.88</v>
      </c>
      <c r="J49" s="84">
        <f>E49*G49*(1-H49)*1440/1000000*2.87</f>
        <v>52.767590399999996</v>
      </c>
      <c r="K49" s="84">
        <f>(IF(G49&lt;L49,L49,G49)*(1-IF(H49&lt;N49,H49,N49))*E49*O49*Q49)/100000000</f>
        <v>51.480575999999999</v>
      </c>
      <c r="L49" s="36">
        <v>1400</v>
      </c>
      <c r="M49" s="36">
        <v>1064</v>
      </c>
      <c r="N49" s="47">
        <f>1-(M49/L49)</f>
        <v>0.24</v>
      </c>
      <c r="O49" s="48">
        <f>+'Trim Rwd'!H33</f>
        <v>280</v>
      </c>
      <c r="P49" s="49">
        <f>O49*(Q49-R49-S49)</f>
        <v>390600</v>
      </c>
      <c r="Q49" s="48">
        <v>1440</v>
      </c>
      <c r="R49" s="394">
        <v>0</v>
      </c>
      <c r="S49" s="394">
        <v>45</v>
      </c>
      <c r="T49" s="38">
        <f>E49*M49*O49*Q49/100000000</f>
        <v>51.480575999999999</v>
      </c>
      <c r="U49" s="38">
        <f>E49*M49*O49*(Q49-R49-S49)/100000000</f>
        <v>49.871808000000001</v>
      </c>
      <c r="V49" s="38">
        <f>E49*G49*(1-N49)*O49/100*(R49+S49)/1000000</f>
        <v>1.608768</v>
      </c>
      <c r="W49" s="38">
        <f>+'11'!K10/1000</f>
        <v>42.121000000000002</v>
      </c>
      <c r="X49" s="391">
        <f>SUM(W49:W52)/SUM(K49:K52)</f>
        <v>0.8181920886044477</v>
      </c>
      <c r="Y49" s="38">
        <v>0</v>
      </c>
      <c r="Z49" s="38">
        <f>+'11'!D34/1000</f>
        <v>1</v>
      </c>
      <c r="AA49" s="50">
        <f>SUM(U49:U52)-SUM(W49:W52)-SUM(Z49:Z52)-SUM(Y49:Y52)</f>
        <v>6.7508079999999993</v>
      </c>
      <c r="AB49" s="50">
        <f>(SUM(K49:K52)-SUM(W49:W52)-SUM(Y49:Y52)-SUM(Z49:Z52)-SUM(AC49:AC52)-SUM(V49:V52))-AA49</f>
        <v>0</v>
      </c>
      <c r="AC49" s="38">
        <f>K49-T49</f>
        <v>0</v>
      </c>
      <c r="AD49" s="38">
        <f>+AM49+BA49</f>
        <v>0</v>
      </c>
      <c r="AE49" s="228" t="s">
        <v>392</v>
      </c>
      <c r="AF49" s="38">
        <v>0</v>
      </c>
      <c r="AG49" s="38"/>
      <c r="AH49" s="38"/>
      <c r="AI49" s="469"/>
      <c r="AJ49" s="38"/>
      <c r="AK49" s="38"/>
      <c r="AL49" s="38"/>
      <c r="AM49" s="38">
        <f>SUM(AF49:AL49)+AT49+AV49+AX49</f>
        <v>0</v>
      </c>
      <c r="AN49" s="38"/>
      <c r="AO49" s="38"/>
      <c r="AP49" s="38"/>
      <c r="AQ49" s="38"/>
      <c r="AR49" s="38">
        <f>SUM(AN49:AQ49)</f>
        <v>0</v>
      </c>
      <c r="AS49" s="38"/>
      <c r="AT49" s="38"/>
      <c r="AU49" s="38"/>
      <c r="AV49" s="38"/>
      <c r="AW49" s="38"/>
      <c r="AX49" s="38"/>
      <c r="AY49" s="38"/>
      <c r="AZ49" s="38"/>
      <c r="BA49" s="38">
        <f>+AR49+AS49+AU49+AW49+AY49+AZ49</f>
        <v>0</v>
      </c>
      <c r="BB49" s="34">
        <v>0</v>
      </c>
      <c r="BC49" s="52"/>
      <c r="BD49" s="52"/>
      <c r="BE49" s="34"/>
      <c r="BF49" s="52"/>
    </row>
    <row r="50" spans="1:58" ht="12.95" customHeight="1">
      <c r="A50" s="41"/>
      <c r="B50" s="42"/>
      <c r="C50" s="424"/>
      <c r="D50" s="42"/>
      <c r="E50" s="43"/>
      <c r="F50" s="43"/>
      <c r="G50" s="44"/>
      <c r="H50" s="45"/>
      <c r="I50" s="46"/>
      <c r="J50" s="84"/>
      <c r="K50" s="84"/>
      <c r="L50" s="36"/>
      <c r="M50" s="36"/>
      <c r="N50" s="47"/>
      <c r="O50" s="48"/>
      <c r="P50" s="49"/>
      <c r="Q50" s="48"/>
      <c r="R50" s="394"/>
      <c r="S50" s="394"/>
      <c r="T50" s="38"/>
      <c r="U50" s="38"/>
      <c r="V50" s="38"/>
      <c r="W50" s="38"/>
      <c r="X50" s="39"/>
      <c r="Y50" s="211"/>
      <c r="Z50" s="38"/>
      <c r="AA50" s="38"/>
      <c r="AB50" s="38"/>
      <c r="AC50" s="38"/>
      <c r="AD50" s="38">
        <f>+AM50+BA50</f>
        <v>0</v>
      </c>
      <c r="AE50" s="228" t="s">
        <v>415</v>
      </c>
      <c r="AF50" s="38"/>
      <c r="AG50" s="38">
        <v>0</v>
      </c>
      <c r="AH50" s="38"/>
      <c r="AI50" s="469"/>
      <c r="AJ50" s="38"/>
      <c r="AK50" s="38"/>
      <c r="AL50" s="38"/>
      <c r="AM50" s="38">
        <f>SUM(AF50:AL50)+AT50+AV50+AX50</f>
        <v>0</v>
      </c>
      <c r="AN50" s="85"/>
      <c r="AO50" s="38"/>
      <c r="AP50" s="38"/>
      <c r="AQ50" s="38"/>
      <c r="AR50" s="38">
        <f>SUM(AN50:AQ50)</f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51"/>
      <c r="BC50" s="52">
        <v>1</v>
      </c>
      <c r="BD50" s="52"/>
      <c r="BE50" s="51"/>
      <c r="BF50" s="52"/>
    </row>
    <row r="51" spans="1:58" ht="12.95" customHeight="1">
      <c r="A51" s="41"/>
      <c r="B51" s="42"/>
      <c r="C51" s="424"/>
      <c r="D51" s="42"/>
      <c r="E51" s="43"/>
      <c r="F51" s="43"/>
      <c r="G51" s="44"/>
      <c r="H51" s="45"/>
      <c r="I51" s="46"/>
      <c r="J51" s="84"/>
      <c r="K51" s="84"/>
      <c r="L51" s="36"/>
      <c r="M51" s="36"/>
      <c r="N51" s="47"/>
      <c r="O51" s="48"/>
      <c r="P51" s="49"/>
      <c r="Q51" s="48"/>
      <c r="R51" s="394"/>
      <c r="S51" s="394"/>
      <c r="T51" s="38"/>
      <c r="U51" s="38"/>
      <c r="V51" s="38"/>
      <c r="W51" s="38"/>
      <c r="X51" s="39"/>
      <c r="Y51" s="211"/>
      <c r="Z51" s="38"/>
      <c r="AA51" s="38"/>
      <c r="AB51" s="38"/>
      <c r="AC51" s="38"/>
      <c r="AD51" s="38">
        <f>+AM51+BA51</f>
        <v>45</v>
      </c>
      <c r="AE51" s="228" t="s">
        <v>513</v>
      </c>
      <c r="AF51" s="34"/>
      <c r="AG51" s="34"/>
      <c r="AH51" s="34">
        <v>45</v>
      </c>
      <c r="AI51" s="469"/>
      <c r="AJ51" s="38"/>
      <c r="AK51" s="38"/>
      <c r="AL51" s="38"/>
      <c r="AM51" s="38">
        <f>SUM(AF51:AL51)+AT51+AV51+AX51</f>
        <v>45</v>
      </c>
      <c r="AN51" s="38"/>
      <c r="AO51" s="38"/>
      <c r="AP51" s="38"/>
      <c r="AQ51" s="38"/>
      <c r="AR51" s="38">
        <f>SUM(AN51:AQ51)</f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34"/>
      <c r="BC51" s="54"/>
      <c r="BD51" s="54"/>
      <c r="BE51" s="34"/>
      <c r="BF51" s="54"/>
    </row>
    <row r="52" spans="1:58" ht="12.95" customHeight="1">
      <c r="A52" s="41"/>
      <c r="B52" s="42"/>
      <c r="C52" s="424"/>
      <c r="D52" s="42"/>
      <c r="E52" s="43"/>
      <c r="F52" s="43"/>
      <c r="G52" s="44"/>
      <c r="H52" s="45"/>
      <c r="I52" s="46"/>
      <c r="J52" s="84"/>
      <c r="K52" s="84"/>
      <c r="L52" s="36"/>
      <c r="M52" s="36"/>
      <c r="N52" s="47"/>
      <c r="O52" s="48"/>
      <c r="P52" s="49"/>
      <c r="Q52" s="48"/>
      <c r="R52" s="394"/>
      <c r="S52" s="394"/>
      <c r="T52" s="38"/>
      <c r="U52" s="38"/>
      <c r="V52" s="38"/>
      <c r="W52" s="38"/>
      <c r="X52" s="39"/>
      <c r="Y52" s="211"/>
      <c r="Z52" s="38"/>
      <c r="AA52" s="38"/>
      <c r="AB52" s="38"/>
      <c r="AC52" s="38"/>
      <c r="AD52" s="38"/>
      <c r="AE52" s="228"/>
      <c r="AF52" s="34"/>
      <c r="AG52" s="34"/>
      <c r="AH52" s="34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4"/>
      <c r="BC52" s="54"/>
      <c r="BD52" s="54"/>
      <c r="BE52" s="34"/>
      <c r="BF52" s="54"/>
    </row>
    <row r="53" spans="1:58" ht="12.75" customHeight="1">
      <c r="A53" s="41">
        <v>46003</v>
      </c>
      <c r="B53" s="42" t="s">
        <v>417</v>
      </c>
      <c r="C53" s="424">
        <f>(M53*E53*O53*Q53)/100000000</f>
        <v>51.480575999999999</v>
      </c>
      <c r="D53" s="42" t="s">
        <v>285</v>
      </c>
      <c r="E53" s="43">
        <v>12</v>
      </c>
      <c r="F53" s="43">
        <v>1</v>
      </c>
      <c r="G53" s="44">
        <v>1400</v>
      </c>
      <c r="H53" s="484">
        <f>+N53</f>
        <v>0.24</v>
      </c>
      <c r="I53" s="46">
        <v>0.88</v>
      </c>
      <c r="J53" s="84">
        <f>E53*G53*(1-H53)*1440/1000000*2.87</f>
        <v>52.767590399999996</v>
      </c>
      <c r="K53" s="84">
        <f>(IF(G53&lt;L53,L53,G53)*(1-IF(H53&lt;N53,H53,N53))*E53*O53*Q53)/100000000</f>
        <v>51.480575999999999</v>
      </c>
      <c r="L53" s="36">
        <v>1400</v>
      </c>
      <c r="M53" s="36">
        <v>1064</v>
      </c>
      <c r="N53" s="47">
        <f>1-(M53/L53)</f>
        <v>0.24</v>
      </c>
      <c r="O53" s="48">
        <f>+'Trim Rwd'!H35</f>
        <v>280</v>
      </c>
      <c r="P53" s="49">
        <f>O53*(Q53-R53-S53)</f>
        <v>388640</v>
      </c>
      <c r="Q53" s="48">
        <v>1440</v>
      </c>
      <c r="R53" s="394">
        <v>0</v>
      </c>
      <c r="S53" s="394">
        <v>52</v>
      </c>
      <c r="T53" s="38">
        <f>E53*M53*O53*Q53/100000000</f>
        <v>51.480575999999999</v>
      </c>
      <c r="U53" s="38">
        <f>E53*M53*O53*(Q53-R53-S53)/100000000</f>
        <v>49.621555200000003</v>
      </c>
      <c r="V53" s="38">
        <f>E53*G53*(1-N53)*O53/100*(R53+S53)/1000000</f>
        <v>1.8590208000000001</v>
      </c>
      <c r="W53" s="38">
        <f>+'12'!K34/1000</f>
        <v>42.796999999999997</v>
      </c>
      <c r="X53" s="391">
        <f>SUM(W53:W56)/SUM(K53:K56)</f>
        <v>0.83132325481362135</v>
      </c>
      <c r="Y53" s="38">
        <v>0</v>
      </c>
      <c r="Z53" s="38">
        <f>+'12'!D34/1000</f>
        <v>0.52</v>
      </c>
      <c r="AA53" s="50">
        <f>SUM(U53:U56)-SUM(W53:W56)-SUM(Z53:Z56)-SUM(Y53:Y56)</f>
        <v>6.3045552000000065</v>
      </c>
      <c r="AB53" s="50">
        <f>(SUM(K53:K56)-SUM(W53:W56)-SUM(Y53:Y56)-SUM(Z53:Z56)-SUM(AC53:AC56)-SUM(V53:V56))-AA53</f>
        <v>0</v>
      </c>
      <c r="AC53" s="38">
        <f>K53-T53</f>
        <v>0</v>
      </c>
      <c r="AD53" s="38">
        <f>+AM53+BA53</f>
        <v>15</v>
      </c>
      <c r="AE53" s="228" t="s">
        <v>447</v>
      </c>
      <c r="AF53" s="38">
        <v>15</v>
      </c>
      <c r="AG53" s="38"/>
      <c r="AH53" s="38"/>
      <c r="AI53" s="469"/>
      <c r="AJ53" s="38"/>
      <c r="AK53" s="38"/>
      <c r="AL53" s="38"/>
      <c r="AM53" s="38">
        <f>SUM(AF53:AL53)+AT53+AV53+AX53</f>
        <v>15</v>
      </c>
      <c r="AN53" s="38"/>
      <c r="AO53" s="38"/>
      <c r="AP53" s="38"/>
      <c r="AQ53" s="38"/>
      <c r="AR53" s="38">
        <f>SUM(AN53:AQ53)</f>
        <v>0</v>
      </c>
      <c r="AS53" s="38"/>
      <c r="AT53" s="38"/>
      <c r="AU53" s="38"/>
      <c r="AV53" s="38"/>
      <c r="AW53" s="38"/>
      <c r="AX53" s="38"/>
      <c r="AY53" s="38"/>
      <c r="AZ53" s="38"/>
      <c r="BA53" s="38">
        <f>+AR53+AS53+AU53+AW53+AY53+AZ53</f>
        <v>0</v>
      </c>
      <c r="BB53" s="34">
        <v>3</v>
      </c>
      <c r="BC53" s="52"/>
      <c r="BD53" s="52"/>
      <c r="BE53" s="34"/>
      <c r="BF53" s="52"/>
    </row>
    <row r="54" spans="1:58" ht="12.95" customHeight="1">
      <c r="A54" s="41"/>
      <c r="B54" s="42"/>
      <c r="C54" s="424"/>
      <c r="D54" s="42"/>
      <c r="E54" s="43"/>
      <c r="F54" s="43"/>
      <c r="G54" s="44"/>
      <c r="H54" s="45"/>
      <c r="I54" s="46"/>
      <c r="J54" s="84"/>
      <c r="K54" s="84"/>
      <c r="L54" s="36"/>
      <c r="M54" s="36"/>
      <c r="N54" s="47"/>
      <c r="O54" s="48"/>
      <c r="P54" s="49"/>
      <c r="Q54" s="48"/>
      <c r="R54" s="394"/>
      <c r="S54" s="394"/>
      <c r="T54" s="38"/>
      <c r="U54" s="38"/>
      <c r="V54" s="38"/>
      <c r="W54" s="38"/>
      <c r="X54" s="39"/>
      <c r="Y54" s="211"/>
      <c r="Z54" s="38"/>
      <c r="AA54" s="38"/>
      <c r="AB54" s="38"/>
      <c r="AC54" s="38"/>
      <c r="AD54" s="38">
        <f>+AM54+BA54</f>
        <v>7</v>
      </c>
      <c r="AE54" s="228" t="s">
        <v>478</v>
      </c>
      <c r="AF54" s="38"/>
      <c r="AG54" s="38">
        <v>7</v>
      </c>
      <c r="AH54" s="38"/>
      <c r="AI54" s="469"/>
      <c r="AJ54" s="38"/>
      <c r="AK54" s="38"/>
      <c r="AL54" s="38"/>
      <c r="AM54" s="38">
        <f>SUM(AF54:AL54)+AT54+AV54+AX54</f>
        <v>7</v>
      </c>
      <c r="AN54" s="85"/>
      <c r="AO54" s="38"/>
      <c r="AP54" s="38"/>
      <c r="AQ54" s="38"/>
      <c r="AR54" s="38">
        <f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51"/>
      <c r="BC54" s="52">
        <v>2</v>
      </c>
      <c r="BD54" s="52"/>
      <c r="BE54" s="51"/>
      <c r="BF54" s="52"/>
    </row>
    <row r="55" spans="1:58" ht="12.95" customHeight="1">
      <c r="A55" s="41"/>
      <c r="B55" s="42"/>
      <c r="C55" s="424"/>
      <c r="D55" s="42"/>
      <c r="E55" s="43"/>
      <c r="F55" s="43"/>
      <c r="G55" s="44"/>
      <c r="H55" s="45"/>
      <c r="I55" s="46"/>
      <c r="J55" s="84"/>
      <c r="K55" s="84"/>
      <c r="L55" s="36"/>
      <c r="M55" s="36"/>
      <c r="N55" s="47"/>
      <c r="O55" s="48"/>
      <c r="P55" s="49"/>
      <c r="Q55" s="48"/>
      <c r="R55" s="394"/>
      <c r="S55" s="394"/>
      <c r="T55" s="38"/>
      <c r="U55" s="38"/>
      <c r="V55" s="38"/>
      <c r="W55" s="38"/>
      <c r="X55" s="39"/>
      <c r="Y55" s="211"/>
      <c r="Z55" s="38"/>
      <c r="AA55" s="38"/>
      <c r="AB55" s="38"/>
      <c r="AC55" s="38"/>
      <c r="AD55" s="38">
        <f>+AM55+BA55</f>
        <v>30</v>
      </c>
      <c r="AE55" s="228" t="s">
        <v>513</v>
      </c>
      <c r="AF55" s="34"/>
      <c r="AG55" s="34"/>
      <c r="AH55" s="34">
        <v>30</v>
      </c>
      <c r="AI55" s="469"/>
      <c r="AJ55" s="38"/>
      <c r="AK55" s="38"/>
      <c r="AL55" s="38"/>
      <c r="AM55" s="38">
        <f>SUM(AF55:AL55)+AT55+AV55+AX55</f>
        <v>30</v>
      </c>
      <c r="AN55" s="38"/>
      <c r="AO55" s="38"/>
      <c r="AP55" s="38"/>
      <c r="AQ55" s="38"/>
      <c r="AR55" s="38">
        <f>SUM(AN55:AQ55)</f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34"/>
      <c r="BC55" s="54"/>
      <c r="BD55" s="54"/>
      <c r="BE55" s="34"/>
      <c r="BF55" s="54"/>
    </row>
    <row r="56" spans="1:58" ht="12.75" customHeight="1">
      <c r="A56" s="41"/>
      <c r="B56" s="42"/>
      <c r="C56" s="424"/>
      <c r="D56" s="42"/>
      <c r="E56" s="43"/>
      <c r="F56" s="43"/>
      <c r="G56" s="44"/>
      <c r="H56" s="45"/>
      <c r="I56" s="46"/>
      <c r="J56" s="84"/>
      <c r="K56" s="84"/>
      <c r="L56" s="36"/>
      <c r="M56" s="36"/>
      <c r="N56" s="47"/>
      <c r="O56" s="48"/>
      <c r="P56" s="49"/>
      <c r="Q56" s="48"/>
      <c r="R56" s="394"/>
      <c r="S56" s="394"/>
      <c r="T56" s="38"/>
      <c r="U56" s="38"/>
      <c r="V56" s="38"/>
      <c r="W56" s="38"/>
      <c r="X56" s="39"/>
      <c r="Y56" s="211"/>
      <c r="Z56" s="38"/>
      <c r="AA56" s="38"/>
      <c r="AB56" s="38"/>
      <c r="AC56" s="38"/>
      <c r="AD56" s="38"/>
      <c r="AE56" s="228"/>
      <c r="AF56" s="34"/>
      <c r="AG56" s="34"/>
      <c r="AH56" s="34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4"/>
      <c r="BC56" s="54"/>
      <c r="BD56" s="54"/>
      <c r="BE56" s="34"/>
      <c r="BF56" s="54"/>
    </row>
    <row r="57" spans="1:58" ht="12.75" customHeight="1">
      <c r="A57" s="41">
        <v>46004</v>
      </c>
      <c r="B57" s="42" t="s">
        <v>417</v>
      </c>
      <c r="C57" s="424">
        <f>(M57*E57*O57*Q57)/100000000</f>
        <v>51.480575999999999</v>
      </c>
      <c r="D57" s="42" t="s">
        <v>285</v>
      </c>
      <c r="E57" s="43">
        <v>12</v>
      </c>
      <c r="F57" s="43">
        <v>1</v>
      </c>
      <c r="G57" s="44">
        <v>1400</v>
      </c>
      <c r="H57" s="484">
        <f>+N57</f>
        <v>0.24</v>
      </c>
      <c r="I57" s="46">
        <v>0.88</v>
      </c>
      <c r="J57" s="84">
        <f>E57*G57*(1-H57)*1440/1000000*2.87</f>
        <v>52.767590399999996</v>
      </c>
      <c r="K57" s="84">
        <f>(IF(G57&lt;L57,L57,G57)*(1-IF(H57&lt;N57,H57,N57))*E57*O57*Q57)/100000000</f>
        <v>51.480575999999999</v>
      </c>
      <c r="L57" s="36">
        <v>1400</v>
      </c>
      <c r="M57" s="36">
        <v>1064</v>
      </c>
      <c r="N57" s="47">
        <f>1-(M57/L57)</f>
        <v>0.24</v>
      </c>
      <c r="O57" s="48">
        <f>+'Trim Rwd'!H37</f>
        <v>280</v>
      </c>
      <c r="P57" s="49">
        <f>O57*(Q57-R57-S57)</f>
        <v>390880</v>
      </c>
      <c r="Q57" s="48">
        <v>1440</v>
      </c>
      <c r="R57" s="394">
        <v>0</v>
      </c>
      <c r="S57" s="394">
        <v>44</v>
      </c>
      <c r="T57" s="38">
        <f>E57*M57*O57*Q57/100000000</f>
        <v>51.480575999999999</v>
      </c>
      <c r="U57" s="38">
        <f>E57*M57*O57*(Q57-R57-S57)/100000000</f>
        <v>49.907558399999999</v>
      </c>
      <c r="V57" s="38">
        <f>E57*G57*(1-N57)*O57/100*(R57+S57)/1000000</f>
        <v>1.5730176</v>
      </c>
      <c r="W57" s="38">
        <f>+'13'!K34/1000</f>
        <v>48.720999999999997</v>
      </c>
      <c r="X57" s="391">
        <f>SUM(W57:W60)/SUM(K57:K60)</f>
        <v>0.94639578236265265</v>
      </c>
      <c r="Y57" s="38">
        <v>0</v>
      </c>
      <c r="Z57" s="38">
        <v>0</v>
      </c>
      <c r="AA57" s="50">
        <f>SUM(U57:U60)-SUM(W57:W60)-SUM(Z57:Z60)-SUM(Y57:Y60)</f>
        <v>1.1865584000000027</v>
      </c>
      <c r="AB57" s="50">
        <f>(SUM(K57:K60)-SUM(W57:W60)-SUM(Y57:Y60)-SUM(Z57:Z60)-SUM(AC57:AC60)-SUM(V57:V60))-AA57</f>
        <v>0</v>
      </c>
      <c r="AC57" s="38">
        <f>K57-T57</f>
        <v>0</v>
      </c>
      <c r="AD57" s="38">
        <f>+AM57+BA57</f>
        <v>0</v>
      </c>
      <c r="AE57" s="228" t="s">
        <v>392</v>
      </c>
      <c r="AF57" s="38">
        <v>0</v>
      </c>
      <c r="AG57" s="38"/>
      <c r="AH57" s="38"/>
      <c r="AI57" s="469"/>
      <c r="AJ57" s="38"/>
      <c r="AK57" s="38"/>
      <c r="AL57" s="38"/>
      <c r="AM57" s="38">
        <f>SUM(AF57:AL57)+AT57+AV57+AX57</f>
        <v>0</v>
      </c>
      <c r="AN57" s="38"/>
      <c r="AO57" s="38"/>
      <c r="AP57" s="38"/>
      <c r="AQ57" s="38"/>
      <c r="AR57" s="38">
        <f>SUM(AN57:AQ57)</f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>+AR57+AS57+AU57+AW57+AY57+AZ57</f>
        <v>0</v>
      </c>
      <c r="BB57" s="34">
        <v>0</v>
      </c>
      <c r="BC57" s="52"/>
      <c r="BD57" s="52"/>
      <c r="BE57" s="34"/>
      <c r="BF57" s="52"/>
    </row>
    <row r="58" spans="1:58" ht="12.95" customHeight="1">
      <c r="A58" s="41"/>
      <c r="B58" s="42"/>
      <c r="C58" s="424"/>
      <c r="D58" s="42"/>
      <c r="E58" s="43"/>
      <c r="F58" s="43"/>
      <c r="G58" s="44"/>
      <c r="H58" s="45"/>
      <c r="I58" s="46"/>
      <c r="J58" s="84"/>
      <c r="K58" s="84"/>
      <c r="L58" s="36"/>
      <c r="M58" s="36"/>
      <c r="N58" s="47"/>
      <c r="O58" s="48"/>
      <c r="P58" s="49"/>
      <c r="Q58" s="48"/>
      <c r="R58" s="394"/>
      <c r="S58" s="394"/>
      <c r="T58" s="38"/>
      <c r="U58" s="38"/>
      <c r="V58" s="38"/>
      <c r="W58" s="38"/>
      <c r="X58" s="39"/>
      <c r="Y58" s="211"/>
      <c r="Z58" s="38"/>
      <c r="AA58" s="38"/>
      <c r="AB58" s="38"/>
      <c r="AC58" s="38"/>
      <c r="AD58" s="38">
        <f>+AM58+BA58</f>
        <v>0</v>
      </c>
      <c r="AE58" s="228" t="s">
        <v>415</v>
      </c>
      <c r="AF58" s="38"/>
      <c r="AG58" s="38">
        <v>0</v>
      </c>
      <c r="AH58" s="38"/>
      <c r="AI58" s="469"/>
      <c r="AJ58" s="38"/>
      <c r="AK58" s="38"/>
      <c r="AL58" s="38"/>
      <c r="AM58" s="38">
        <f>SUM(AF58:AL58)+AT58+AV58+AX58</f>
        <v>0</v>
      </c>
      <c r="AN58" s="85"/>
      <c r="AO58" s="38"/>
      <c r="AP58" s="38"/>
      <c r="AQ58" s="38"/>
      <c r="AR58" s="38">
        <f>SUM(AN58:AQ58)</f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>+AR58+AS58+AU58+AW58+AY58+AZ58</f>
        <v>0</v>
      </c>
      <c r="BB58" s="51"/>
      <c r="BC58" s="52">
        <v>0</v>
      </c>
      <c r="BD58" s="52"/>
      <c r="BE58" s="51"/>
      <c r="BF58" s="52"/>
    </row>
    <row r="59" spans="1:58" ht="12.95" customHeight="1">
      <c r="A59" s="41"/>
      <c r="B59" s="42"/>
      <c r="C59" s="424"/>
      <c r="D59" s="42"/>
      <c r="E59" s="43"/>
      <c r="F59" s="43"/>
      <c r="G59" s="44"/>
      <c r="H59" s="45"/>
      <c r="I59" s="46"/>
      <c r="J59" s="84"/>
      <c r="K59" s="84"/>
      <c r="L59" s="36"/>
      <c r="M59" s="36"/>
      <c r="N59" s="47"/>
      <c r="O59" s="48"/>
      <c r="P59" s="49"/>
      <c r="Q59" s="48"/>
      <c r="R59" s="394"/>
      <c r="S59" s="394"/>
      <c r="T59" s="38"/>
      <c r="U59" s="38"/>
      <c r="V59" s="38"/>
      <c r="W59" s="38"/>
      <c r="X59" s="39"/>
      <c r="Y59" s="211"/>
      <c r="Z59" s="38"/>
      <c r="AA59" s="38"/>
      <c r="AB59" s="38"/>
      <c r="AC59" s="38"/>
      <c r="AD59" s="38">
        <f>+AM59+BA59</f>
        <v>44</v>
      </c>
      <c r="AE59" s="228" t="s">
        <v>513</v>
      </c>
      <c r="AF59" s="34"/>
      <c r="AG59" s="34"/>
      <c r="AH59" s="34">
        <v>44</v>
      </c>
      <c r="AI59" s="469"/>
      <c r="AJ59" s="38"/>
      <c r="AK59" s="38"/>
      <c r="AL59" s="38"/>
      <c r="AM59" s="38">
        <f>SUM(AF59:AL59)+AT59+AV59+AX59</f>
        <v>44</v>
      </c>
      <c r="AN59" s="38"/>
      <c r="AO59" s="38"/>
      <c r="AP59" s="38"/>
      <c r="AQ59" s="38"/>
      <c r="AR59" s="38">
        <f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34"/>
      <c r="BC59" s="54"/>
      <c r="BD59" s="54"/>
      <c r="BE59" s="34"/>
      <c r="BF59" s="54"/>
    </row>
    <row r="60" spans="1:58" ht="12.75" customHeight="1">
      <c r="A60" s="41"/>
      <c r="B60" s="42"/>
      <c r="C60" s="424"/>
      <c r="D60" s="42"/>
      <c r="E60" s="43"/>
      <c r="F60" s="43"/>
      <c r="G60" s="44"/>
      <c r="H60" s="45"/>
      <c r="I60" s="46"/>
      <c r="J60" s="84"/>
      <c r="K60" s="84"/>
      <c r="L60" s="36"/>
      <c r="M60" s="36"/>
      <c r="N60" s="47"/>
      <c r="O60" s="48"/>
      <c r="P60" s="49"/>
      <c r="Q60" s="48"/>
      <c r="R60" s="394"/>
      <c r="S60" s="394"/>
      <c r="T60" s="38"/>
      <c r="U60" s="38"/>
      <c r="V60" s="38"/>
      <c r="W60" s="38"/>
      <c r="X60" s="39"/>
      <c r="Y60" s="211"/>
      <c r="Z60" s="38"/>
      <c r="AA60" s="38"/>
      <c r="AB60" s="38"/>
      <c r="AC60" s="38"/>
      <c r="AD60" s="38"/>
      <c r="AE60" s="228"/>
      <c r="AF60" s="34"/>
      <c r="AG60" s="34"/>
      <c r="AH60" s="34"/>
      <c r="AI60" s="469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4"/>
      <c r="BC60" s="54"/>
      <c r="BD60" s="54"/>
      <c r="BE60" s="34"/>
      <c r="BF60" s="54"/>
    </row>
    <row r="61" spans="1:58" ht="12.75" customHeight="1">
      <c r="A61" s="41">
        <v>46005</v>
      </c>
      <c r="B61" s="42" t="s">
        <v>417</v>
      </c>
      <c r="C61" s="424">
        <f>(M61*E61*O61*Q61)/100000000</f>
        <v>21.092735999999999</v>
      </c>
      <c r="D61" s="42" t="s">
        <v>285</v>
      </c>
      <c r="E61" s="43">
        <v>12</v>
      </c>
      <c r="F61" s="43">
        <v>1</v>
      </c>
      <c r="G61" s="44">
        <v>1400</v>
      </c>
      <c r="H61" s="484">
        <f>+N61</f>
        <v>0.24</v>
      </c>
      <c r="I61" s="46">
        <v>0.88</v>
      </c>
      <c r="J61" s="84">
        <f>E61*G61*(1-H61)*1440/1000000*2.87</f>
        <v>52.767590399999996</v>
      </c>
      <c r="K61" s="84">
        <f>(IF(G61&lt;L61,L61,G61)*(1-IF(H61&lt;N61,H61,N61))*E61*O61*Q61)/100000000</f>
        <v>21.092735999999999</v>
      </c>
      <c r="L61" s="36">
        <v>1400</v>
      </c>
      <c r="M61" s="36">
        <f>+L61-L61*0.24</f>
        <v>1064</v>
      </c>
      <c r="N61" s="47">
        <f>1-(M61/L61)</f>
        <v>0.24</v>
      </c>
      <c r="O61" s="48">
        <f>+'Trim Rwd'!H39</f>
        <v>280</v>
      </c>
      <c r="P61" s="49">
        <f>O61*(Q61-R61-S61)</f>
        <v>162400</v>
      </c>
      <c r="Q61" s="48">
        <v>590</v>
      </c>
      <c r="R61" s="394">
        <v>0</v>
      </c>
      <c r="S61" s="394">
        <v>10</v>
      </c>
      <c r="T61" s="38">
        <f>E61*M61*O61*Q61/100000000</f>
        <v>21.092735999999999</v>
      </c>
      <c r="U61" s="38">
        <f>E61*M61*O61*(Q61-R61-S61)/100000000</f>
        <v>20.735232</v>
      </c>
      <c r="V61" s="38">
        <f>E61*G61*(1-N61)*O61/100*(R61+S61)/1000000</f>
        <v>0.35750399999999999</v>
      </c>
      <c r="W61" s="38">
        <f>+'14'!K10/1000</f>
        <v>23.861999999999998</v>
      </c>
      <c r="X61" s="391">
        <f>SUM(W61:W64)/SUM(K61:K64)</f>
        <v>0.89421581623734758</v>
      </c>
      <c r="Y61" s="38">
        <v>0</v>
      </c>
      <c r="Z61" s="38">
        <v>0</v>
      </c>
      <c r="AA61" s="50">
        <f>SUM(U61:U64)-SUM(W61:W64)-SUM(Z61:Z64)-SUM(Y61:Y64)</f>
        <v>3.0867511999999948</v>
      </c>
      <c r="AB61" s="50">
        <f>(SUM(K61:K64)-SUM(W61:W64)-SUM(Y61:Y64)-SUM(Z61:Z64)-SUM(AC61:AC64)-SUM(V61:V64))-AA61</f>
        <v>5.5328000000067767E-3</v>
      </c>
      <c r="AC61" s="38">
        <f>K61-T61</f>
        <v>0</v>
      </c>
      <c r="AD61" s="38">
        <f>+AM61+BA61</f>
        <v>0</v>
      </c>
      <c r="AE61" s="228" t="s">
        <v>392</v>
      </c>
      <c r="AF61" s="38">
        <v>0</v>
      </c>
      <c r="AG61" s="38"/>
      <c r="AH61" s="38"/>
      <c r="AI61" s="469"/>
      <c r="AJ61" s="38"/>
      <c r="AK61" s="38"/>
      <c r="AL61" s="38"/>
      <c r="AM61" s="38">
        <f>SUM(AF61:AL61)+AT61+AV61+AX61</f>
        <v>0</v>
      </c>
      <c r="AN61" s="38"/>
      <c r="AO61" s="38"/>
      <c r="AP61" s="38"/>
      <c r="AQ61" s="38"/>
      <c r="AR61" s="38">
        <f>SUM(AN61:AQ61)</f>
        <v>0</v>
      </c>
      <c r="AS61" s="38"/>
      <c r="AT61" s="38"/>
      <c r="AU61" s="38"/>
      <c r="AV61" s="38"/>
      <c r="AW61" s="38"/>
      <c r="AX61" s="38"/>
      <c r="AY61" s="38"/>
      <c r="AZ61" s="38"/>
      <c r="BA61" s="38">
        <f>+AR61+AS61+AU61+AW61+AY61+AZ61</f>
        <v>0</v>
      </c>
      <c r="BB61" s="34">
        <v>0</v>
      </c>
      <c r="BC61" s="52"/>
      <c r="BD61" s="52"/>
      <c r="BE61" s="34"/>
      <c r="BF61" s="52"/>
    </row>
    <row r="62" spans="1:58" ht="12.95" customHeight="1">
      <c r="A62" s="41"/>
      <c r="B62" s="42" t="s">
        <v>417</v>
      </c>
      <c r="C62" s="424">
        <f>(M62*E62*O62*Q62)/100000000</f>
        <v>21.602817600000002</v>
      </c>
      <c r="D62" s="42" t="s">
        <v>285</v>
      </c>
      <c r="E62" s="43">
        <v>13</v>
      </c>
      <c r="F62" s="43">
        <v>1</v>
      </c>
      <c r="G62" s="44">
        <v>1350</v>
      </c>
      <c r="H62" s="484">
        <f>+N62</f>
        <v>0.24</v>
      </c>
      <c r="I62" s="46">
        <v>0.88</v>
      </c>
      <c r="J62" s="84">
        <f>E62*G62*(1-H62)*1440/1000000*2.87</f>
        <v>55.123286400000005</v>
      </c>
      <c r="K62" s="84">
        <f>(IF(G62&lt;L62,L62,G62)*(1-IF(H62&lt;N62,H62,N62))*E62*O62*Q62)/100000000</f>
        <v>21.602817600000002</v>
      </c>
      <c r="L62" s="36">
        <v>1370</v>
      </c>
      <c r="M62" s="36">
        <f>+L62-L62*0.24</f>
        <v>1041.2</v>
      </c>
      <c r="N62" s="47">
        <f>1-(M62/L62)</f>
        <v>0.24</v>
      </c>
      <c r="O62" s="48">
        <f>+'Trim Rwd'!H40</f>
        <v>280</v>
      </c>
      <c r="P62" s="49">
        <f>O62*(Q62-R62-S62)</f>
        <v>156800</v>
      </c>
      <c r="Q62" s="48">
        <v>570</v>
      </c>
      <c r="R62" s="394">
        <v>0</v>
      </c>
      <c r="S62" s="394">
        <v>10</v>
      </c>
      <c r="T62" s="38">
        <f>E62*M62*O62*Q62/100000000</f>
        <v>21.602817600000002</v>
      </c>
      <c r="U62" s="38">
        <f>E62*M62*O62*(Q62-R62-S62)/100000000</f>
        <v>21.223820799999999</v>
      </c>
      <c r="V62" s="38">
        <f>E62*G62*(1-N62)*O62/100*(R62+S62)/1000000</f>
        <v>0.37346400000000002</v>
      </c>
      <c r="W62" s="38">
        <f>+'14'!K12/1000</f>
        <v>20.123000000000001</v>
      </c>
      <c r="X62" s="39"/>
      <c r="Y62" s="211"/>
      <c r="Z62" s="38"/>
      <c r="AA62" s="38"/>
      <c r="AB62" s="38"/>
      <c r="AC62" s="38">
        <f>K62-T62</f>
        <v>0</v>
      </c>
      <c r="AD62" s="38">
        <f>+AM62+BA62</f>
        <v>1</v>
      </c>
      <c r="AE62" s="228" t="s">
        <v>446</v>
      </c>
      <c r="AF62" s="38"/>
      <c r="AG62" s="38">
        <v>1</v>
      </c>
      <c r="AH62" s="38"/>
      <c r="AI62" s="469"/>
      <c r="AJ62" s="38"/>
      <c r="AK62" s="38"/>
      <c r="AL62" s="38"/>
      <c r="AM62" s="38">
        <f>SUM(AF62:AL62)+AT62+AV62+AX62</f>
        <v>1</v>
      </c>
      <c r="AN62" s="85"/>
      <c r="AO62" s="38"/>
      <c r="AP62" s="38"/>
      <c r="AQ62" s="38"/>
      <c r="AR62" s="38">
        <f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51"/>
      <c r="BC62" s="52">
        <v>1</v>
      </c>
      <c r="BD62" s="52"/>
      <c r="BE62" s="51"/>
      <c r="BF62" s="52"/>
    </row>
    <row r="63" spans="1:58" ht="12.95" customHeight="1">
      <c r="A63" s="41"/>
      <c r="B63" s="42" t="s">
        <v>417</v>
      </c>
      <c r="C63" s="424">
        <f>(M63*E63*O63*Q63)/100000000</f>
        <v>9.5245023999999994</v>
      </c>
      <c r="D63" s="42" t="s">
        <v>285</v>
      </c>
      <c r="E63" s="43">
        <v>11.5</v>
      </c>
      <c r="F63" s="43">
        <v>1</v>
      </c>
      <c r="G63" s="44">
        <v>1400</v>
      </c>
      <c r="H63" s="484">
        <f>+N63</f>
        <v>0.24</v>
      </c>
      <c r="I63" s="46">
        <v>0.88</v>
      </c>
      <c r="J63" s="84">
        <f>E63*G63*(1-H63)*1440/1000000*2.87</f>
        <v>50.5689408</v>
      </c>
      <c r="K63" s="84">
        <f>(IF(G63&lt;L63,L63,G63)*(1-IF(H63&lt;N63,H63,N63))*E63*O63*Q63)/100000000</f>
        <v>9.5245023999999994</v>
      </c>
      <c r="L63" s="36">
        <v>1400</v>
      </c>
      <c r="M63" s="36">
        <f>+L63-L63*0.24</f>
        <v>1064</v>
      </c>
      <c r="N63" s="47">
        <f>1-(M63/L63)</f>
        <v>0.24</v>
      </c>
      <c r="O63" s="48">
        <f>+'Trim Rwd'!H41</f>
        <v>278</v>
      </c>
      <c r="P63" s="49">
        <f>O63*(Q63-R63-S63)</f>
        <v>63940</v>
      </c>
      <c r="Q63" s="48">
        <v>280</v>
      </c>
      <c r="R63" s="394">
        <v>40</v>
      </c>
      <c r="S63" s="394">
        <v>10</v>
      </c>
      <c r="T63" s="38">
        <f>E63*M63*O63*Q63/100000000</f>
        <v>9.5245023999999994</v>
      </c>
      <c r="U63" s="38">
        <f>E63*M63*O63*(Q63-R63-S63)/100000000</f>
        <v>7.8236983999999996</v>
      </c>
      <c r="V63" s="38">
        <f>E63*G63*(1-N63)*O63/100*(R63+S63)/1000000</f>
        <v>1.700804</v>
      </c>
      <c r="W63" s="38">
        <f>+'14'!K13/1000</f>
        <v>2.7109999999999999</v>
      </c>
      <c r="X63" s="39"/>
      <c r="Y63" s="211"/>
      <c r="Z63" s="38"/>
      <c r="AA63" s="38"/>
      <c r="AB63" s="38"/>
      <c r="AC63" s="38">
        <f>K63-T63</f>
        <v>0</v>
      </c>
      <c r="AD63" s="38">
        <f>+AM63+BA63</f>
        <v>29</v>
      </c>
      <c r="AE63" s="228" t="s">
        <v>574</v>
      </c>
      <c r="AF63" s="34"/>
      <c r="AG63" s="34"/>
      <c r="AH63" s="34">
        <v>29</v>
      </c>
      <c r="AI63" s="469"/>
      <c r="AJ63" s="38"/>
      <c r="AK63" s="38"/>
      <c r="AL63" s="38"/>
      <c r="AM63" s="38">
        <f>SUM(AF63:AL63)+AT63+AV63+AX63</f>
        <v>29</v>
      </c>
      <c r="AN63" s="38"/>
      <c r="AO63" s="38"/>
      <c r="AP63" s="38"/>
      <c r="AQ63" s="38"/>
      <c r="AR63" s="38">
        <f>SUM(AN63:AQ63)</f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>+AR63+AS63+AU63+AW63+AY63+AZ63</f>
        <v>0</v>
      </c>
      <c r="BB63" s="34"/>
      <c r="BC63" s="54"/>
      <c r="BD63" s="54"/>
      <c r="BE63" s="34"/>
      <c r="BF63" s="54"/>
    </row>
    <row r="64" spans="1:58" ht="12.75" customHeight="1">
      <c r="A64" s="41"/>
      <c r="B64" s="42"/>
      <c r="C64" s="424"/>
      <c r="D64" s="42"/>
      <c r="E64" s="43"/>
      <c r="F64" s="43"/>
      <c r="G64" s="44"/>
      <c r="H64" s="45"/>
      <c r="I64" s="46"/>
      <c r="J64" s="84"/>
      <c r="K64" s="84"/>
      <c r="L64" s="36"/>
      <c r="M64" s="36"/>
      <c r="N64" s="47"/>
      <c r="O64" s="48"/>
      <c r="P64" s="49"/>
      <c r="Q64" s="48"/>
      <c r="R64" s="394"/>
      <c r="S64" s="394"/>
      <c r="T64" s="38"/>
      <c r="U64" s="38"/>
      <c r="V64" s="38"/>
      <c r="W64" s="38"/>
      <c r="X64" s="39"/>
      <c r="Y64" s="211"/>
      <c r="Z64" s="38"/>
      <c r="AA64" s="38"/>
      <c r="AB64" s="38"/>
      <c r="AC64" s="38"/>
      <c r="AD64" s="38">
        <f>+AM64+BA64</f>
        <v>40</v>
      </c>
      <c r="AE64" s="231" t="s">
        <v>566</v>
      </c>
      <c r="AF64" s="34"/>
      <c r="AG64" s="34"/>
      <c r="AH64" s="34"/>
      <c r="AI64" s="469"/>
      <c r="AJ64" s="38"/>
      <c r="AK64" s="38"/>
      <c r="AL64" s="38"/>
      <c r="AM64" s="38">
        <f>SUM(AF64:AL64)+AT64+AV64+AX64</f>
        <v>0</v>
      </c>
      <c r="AN64" s="38">
        <v>40</v>
      </c>
      <c r="AO64" s="38"/>
      <c r="AP64" s="38"/>
      <c r="AQ64" s="38"/>
      <c r="AR64" s="38">
        <f>SUM(AN64:AQ64)</f>
        <v>40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40</v>
      </c>
      <c r="BB64" s="34"/>
      <c r="BC64" s="54"/>
      <c r="BD64" s="54"/>
      <c r="BE64" s="34"/>
      <c r="BF64" s="54"/>
    </row>
    <row r="65" spans="1:58" ht="12.95" customHeight="1">
      <c r="A65" s="41"/>
      <c r="B65" s="42"/>
      <c r="C65" s="424"/>
      <c r="D65" s="42"/>
      <c r="E65" s="43"/>
      <c r="F65" s="43"/>
      <c r="G65" s="44"/>
      <c r="H65" s="45"/>
      <c r="I65" s="46"/>
      <c r="J65" s="84"/>
      <c r="K65" s="84"/>
      <c r="L65" s="36"/>
      <c r="M65" s="36"/>
      <c r="N65" s="47"/>
      <c r="O65" s="48"/>
      <c r="P65" s="49"/>
      <c r="Q65" s="48"/>
      <c r="R65" s="394"/>
      <c r="S65" s="394"/>
      <c r="T65" s="38"/>
      <c r="U65" s="38"/>
      <c r="V65" s="38"/>
      <c r="W65" s="38"/>
      <c r="X65" s="39"/>
      <c r="Y65" s="211"/>
      <c r="Z65" s="38"/>
      <c r="AA65" s="38"/>
      <c r="AB65" s="38"/>
      <c r="AC65" s="38"/>
      <c r="AD65" s="38"/>
      <c r="AE65" s="228"/>
      <c r="AF65" s="34"/>
      <c r="AG65" s="34"/>
      <c r="AH65" s="34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4"/>
      <c r="BC65" s="54"/>
      <c r="BD65" s="52"/>
      <c r="BE65" s="52"/>
      <c r="BF65" s="52"/>
    </row>
    <row r="66" spans="1:58" ht="12.75" customHeight="1">
      <c r="A66" s="41">
        <v>46006</v>
      </c>
      <c r="B66" s="42" t="s">
        <v>417</v>
      </c>
      <c r="C66" s="424">
        <f>(M66*E66*O66*Q66)/100000000</f>
        <v>49.097446054054053</v>
      </c>
      <c r="D66" s="42" t="s">
        <v>285</v>
      </c>
      <c r="E66" s="43">
        <v>11.5</v>
      </c>
      <c r="F66" s="43">
        <v>1</v>
      </c>
      <c r="G66" s="44">
        <v>1400</v>
      </c>
      <c r="H66" s="484">
        <f>+N66</f>
        <v>0.24</v>
      </c>
      <c r="I66" s="46">
        <v>0.88</v>
      </c>
      <c r="J66" s="84">
        <f>E66*G66*(1-H66)*1440/1000000*2.87</f>
        <v>50.5689408</v>
      </c>
      <c r="K66" s="84">
        <f>(IF(G66&lt;L66,L66,G66)*(1-IF(H66&lt;N66,H66,N66))*E66*O66*Q66)/100000000</f>
        <v>49.097446054054053</v>
      </c>
      <c r="L66" s="36">
        <v>1400</v>
      </c>
      <c r="M66" s="36">
        <v>1064</v>
      </c>
      <c r="N66" s="47">
        <f>1-(M66/L66)</f>
        <v>0.24</v>
      </c>
      <c r="O66" s="48">
        <f>+'Trim Rwd'!H43</f>
        <v>278.64864864864865</v>
      </c>
      <c r="P66" s="49">
        <f>O66*(Q66-R66-S66)</f>
        <v>377847.56756756757</v>
      </c>
      <c r="Q66" s="48">
        <v>1440</v>
      </c>
      <c r="R66" s="394">
        <v>0</v>
      </c>
      <c r="S66" s="394">
        <v>84</v>
      </c>
      <c r="T66" s="38">
        <f>E66*M66*O66*Q66/100000000</f>
        <v>49.097446054054053</v>
      </c>
      <c r="U66" s="38">
        <f>E66*M66*O66*(Q66-R66-S66)/100000000</f>
        <v>46.233428367567569</v>
      </c>
      <c r="V66" s="38">
        <f>E66*G66*(1-N66)*O66/100*(R66+S66)/1000000</f>
        <v>2.8640176864864864</v>
      </c>
      <c r="W66" s="38">
        <f>+'15'!K34/1000</f>
        <v>38.723999999999997</v>
      </c>
      <c r="X66" s="391">
        <f>SUM(W66:W69)/SUM(K66:K69)</f>
        <v>0.78871719635613302</v>
      </c>
      <c r="Y66" s="38">
        <v>0</v>
      </c>
      <c r="Z66" s="38">
        <v>0</v>
      </c>
      <c r="AA66" s="50">
        <f>SUM(U66:U69)-SUM(W66:W69)-SUM(Z66:Z69)-SUM(Y66:Y69)</f>
        <v>7.5094283675675726</v>
      </c>
      <c r="AB66" s="50">
        <f>(SUM(K66:K69)-SUM(W66:W69)-SUM(Y66:Y69)-SUM(Z66:Z69)-SUM(AC66:AC69)-SUM(V66:V69))-AA66</f>
        <v>0</v>
      </c>
      <c r="AC66" s="38">
        <f>K66-T66</f>
        <v>0</v>
      </c>
      <c r="AD66" s="38">
        <f>+AM66+BA66</f>
        <v>50</v>
      </c>
      <c r="AE66" s="228" t="s">
        <v>592</v>
      </c>
      <c r="AF66" s="38">
        <v>50</v>
      </c>
      <c r="AG66" s="38"/>
      <c r="AH66" s="38"/>
      <c r="AI66" s="469"/>
      <c r="AJ66" s="38"/>
      <c r="AK66" s="38"/>
      <c r="AL66" s="38"/>
      <c r="AM66" s="38">
        <f>SUM(AF66:AL66)+AT66+AV66+AX66</f>
        <v>50</v>
      </c>
      <c r="AN66" s="38"/>
      <c r="AO66" s="38"/>
      <c r="AP66" s="38"/>
      <c r="AQ66" s="38"/>
      <c r="AR66" s="38">
        <f>SUM(AN66:AQ66)</f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+AR66+AS66+AU66+AW66+AY66+AZ66</f>
        <v>0</v>
      </c>
      <c r="BB66" s="34">
        <v>10</v>
      </c>
      <c r="BC66" s="52"/>
      <c r="BD66" s="52"/>
      <c r="BE66" s="34"/>
      <c r="BF66" s="52"/>
    </row>
    <row r="67" spans="1:58" ht="12.95" customHeight="1">
      <c r="A67" s="41"/>
      <c r="B67" s="42"/>
      <c r="C67" s="424"/>
      <c r="D67" s="42"/>
      <c r="E67" s="43"/>
      <c r="F67" s="43"/>
      <c r="G67" s="44"/>
      <c r="H67" s="45"/>
      <c r="I67" s="46"/>
      <c r="J67" s="84"/>
      <c r="K67" s="84"/>
      <c r="L67" s="36"/>
      <c r="M67" s="36"/>
      <c r="N67" s="47"/>
      <c r="O67" s="48"/>
      <c r="P67" s="49"/>
      <c r="Q67" s="48"/>
      <c r="R67" s="394"/>
      <c r="S67" s="394"/>
      <c r="T67" s="38"/>
      <c r="U67" s="38"/>
      <c r="V67" s="38"/>
      <c r="W67" s="38"/>
      <c r="X67" s="39"/>
      <c r="Y67" s="211"/>
      <c r="Z67" s="38"/>
      <c r="AA67" s="38"/>
      <c r="AB67" s="38"/>
      <c r="AC67" s="38"/>
      <c r="AD67" s="38">
        <f>+AM67+BA67</f>
        <v>5</v>
      </c>
      <c r="AE67" s="228" t="s">
        <v>446</v>
      </c>
      <c r="AF67" s="38"/>
      <c r="AG67" s="38">
        <v>5</v>
      </c>
      <c r="AH67" s="38"/>
      <c r="AI67" s="469"/>
      <c r="AJ67" s="38"/>
      <c r="AK67" s="38"/>
      <c r="AL67" s="38"/>
      <c r="AM67" s="38">
        <f>SUM(AF67:AL67)+AT67+AV67+AX67</f>
        <v>5</v>
      </c>
      <c r="AN67" s="85"/>
      <c r="AO67" s="38"/>
      <c r="AP67" s="38"/>
      <c r="AQ67" s="38"/>
      <c r="AR67" s="38">
        <f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51"/>
      <c r="BC67" s="52">
        <v>1</v>
      </c>
      <c r="BD67" s="52"/>
      <c r="BE67" s="51"/>
      <c r="BF67" s="52"/>
    </row>
    <row r="68" spans="1:58" ht="12.95" customHeight="1">
      <c r="A68" s="41"/>
      <c r="B68" s="42"/>
      <c r="C68" s="424"/>
      <c r="D68" s="42"/>
      <c r="E68" s="43"/>
      <c r="F68" s="43"/>
      <c r="G68" s="44"/>
      <c r="H68" s="45"/>
      <c r="I68" s="46"/>
      <c r="J68" s="84"/>
      <c r="K68" s="84"/>
      <c r="L68" s="36"/>
      <c r="M68" s="36"/>
      <c r="N68" s="47"/>
      <c r="O68" s="48"/>
      <c r="P68" s="49"/>
      <c r="Q68" s="48"/>
      <c r="R68" s="394"/>
      <c r="S68" s="394"/>
      <c r="T68" s="38"/>
      <c r="U68" s="38"/>
      <c r="V68" s="38"/>
      <c r="W68" s="38"/>
      <c r="X68" s="39"/>
      <c r="Y68" s="211"/>
      <c r="Z68" s="38"/>
      <c r="AA68" s="38"/>
      <c r="AB68" s="38"/>
      <c r="AC68" s="38"/>
      <c r="AD68" s="38">
        <f>+AM68+BA68</f>
        <v>29</v>
      </c>
      <c r="AE68" s="228" t="s">
        <v>514</v>
      </c>
      <c r="AF68" s="34"/>
      <c r="AG68" s="34"/>
      <c r="AH68" s="34">
        <v>29</v>
      </c>
      <c r="AI68" s="469"/>
      <c r="AJ68" s="38"/>
      <c r="AK68" s="38"/>
      <c r="AL68" s="38"/>
      <c r="AM68" s="38">
        <f>SUM(AF68:AL68)+AT68+AV68+AX68</f>
        <v>29</v>
      </c>
      <c r="AN68" s="38"/>
      <c r="AO68" s="38"/>
      <c r="AP68" s="38"/>
      <c r="AQ68" s="38"/>
      <c r="AR68" s="38">
        <f>SUM(AN68:AQ68)</f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>+AR68+AS68+AU68+AW68+AY68+AZ68</f>
        <v>0</v>
      </c>
      <c r="BB68" s="34"/>
      <c r="BC68" s="54"/>
      <c r="BD68" s="54"/>
      <c r="BE68" s="34"/>
      <c r="BF68" s="54"/>
    </row>
    <row r="69" spans="1:58" ht="12.95" customHeight="1">
      <c r="A69" s="41"/>
      <c r="B69" s="42"/>
      <c r="C69" s="424"/>
      <c r="D69" s="42"/>
      <c r="E69" s="43"/>
      <c r="F69" s="43"/>
      <c r="G69" s="44"/>
      <c r="H69" s="45"/>
      <c r="I69" s="46"/>
      <c r="J69" s="84"/>
      <c r="K69" s="84"/>
      <c r="L69" s="36"/>
      <c r="M69" s="36"/>
      <c r="N69" s="47"/>
      <c r="O69" s="48"/>
      <c r="P69" s="49"/>
      <c r="Q69" s="48"/>
      <c r="R69" s="394"/>
      <c r="S69" s="394"/>
      <c r="T69" s="38"/>
      <c r="U69" s="38"/>
      <c r="V69" s="38"/>
      <c r="W69" s="38"/>
      <c r="X69" s="39"/>
      <c r="Y69" s="211"/>
      <c r="Z69" s="38"/>
      <c r="AA69" s="38"/>
      <c r="AB69" s="38"/>
      <c r="AC69" s="38"/>
      <c r="AD69" s="38"/>
      <c r="AE69" s="228"/>
      <c r="AF69" s="34"/>
      <c r="AG69" s="34"/>
      <c r="AH69" s="34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4"/>
      <c r="BC69" s="54"/>
      <c r="BD69" s="54"/>
      <c r="BE69" s="34"/>
      <c r="BF69" s="54"/>
    </row>
    <row r="70" spans="1:58" ht="12.75" customHeight="1">
      <c r="A70" s="41">
        <v>46007</v>
      </c>
      <c r="B70" s="42" t="s">
        <v>417</v>
      </c>
      <c r="C70" s="424">
        <f>(M70*E70*O70*Q70)/100000000</f>
        <v>20.385176000000001</v>
      </c>
      <c r="D70" s="42" t="s">
        <v>285</v>
      </c>
      <c r="E70" s="43">
        <v>11.5</v>
      </c>
      <c r="F70" s="43">
        <v>1</v>
      </c>
      <c r="G70" s="44">
        <v>1400</v>
      </c>
      <c r="H70" s="484">
        <f>+N70</f>
        <v>0.24</v>
      </c>
      <c r="I70" s="46">
        <v>0.88</v>
      </c>
      <c r="J70" s="84">
        <f>E70*G70*(1-H70)*1440/1000000*2.87</f>
        <v>50.5689408</v>
      </c>
      <c r="K70" s="84">
        <f>(IF(G70&lt;L70,L70,G70)*(1-IF(H70&lt;N70,H70,N70))*E70*O70*Q70)/100000000</f>
        <v>20.385176000000001</v>
      </c>
      <c r="L70" s="36">
        <v>1400</v>
      </c>
      <c r="M70" s="36">
        <v>1064</v>
      </c>
      <c r="N70" s="47">
        <f>1-(M70/L70)</f>
        <v>0.24</v>
      </c>
      <c r="O70" s="48">
        <f>+'Trim Rwd'!H46</f>
        <v>280</v>
      </c>
      <c r="P70" s="49">
        <f>O70*(Q70-R70-S70)</f>
        <v>160440</v>
      </c>
      <c r="Q70" s="48">
        <v>595</v>
      </c>
      <c r="R70" s="394">
        <v>0</v>
      </c>
      <c r="S70" s="394">
        <v>22</v>
      </c>
      <c r="T70" s="38">
        <f>E70*M70*O70*Q70/100000000</f>
        <v>20.385176000000001</v>
      </c>
      <c r="U70" s="38">
        <f>E70*M70*O70*(Q70-R70-S70)/100000000</f>
        <v>19.6314384</v>
      </c>
      <c r="V70" s="38">
        <f>E70*G70*(1-N70)*O70/100*(R70+S70)/1000000</f>
        <v>0.75373760000000012</v>
      </c>
      <c r="W70" s="38">
        <f>+'16'!K13/1000</f>
        <v>27.555</v>
      </c>
      <c r="X70" s="391">
        <f>SUM(W70:W73)/SUM(K70:K73)</f>
        <v>0.91847634085043084</v>
      </c>
      <c r="Y70" s="38">
        <v>0</v>
      </c>
      <c r="Z70" s="38">
        <f>+'16'!D34/1000</f>
        <v>0.27500000000000002</v>
      </c>
      <c r="AA70" s="50">
        <f>SUM(U70:U73)-SUM(W70:W73)-SUM(Z70:Z73)-SUM(Y70:Y73)</f>
        <v>2.2758154400000081</v>
      </c>
      <c r="AB70" s="50">
        <f>(SUM(K70:K73)-SUM(W70:W73)-SUM(Y70:Y73)-SUM(Z70:Z73)-SUM(AC70:AC73)-SUM(V70:V73))-AA70</f>
        <v>0</v>
      </c>
      <c r="AC70" s="38">
        <f>K70-T70</f>
        <v>0</v>
      </c>
      <c r="AD70" s="38">
        <f>+AM70+BA70</f>
        <v>0</v>
      </c>
      <c r="AE70" s="228" t="s">
        <v>392</v>
      </c>
      <c r="AF70" s="38">
        <v>0</v>
      </c>
      <c r="AG70" s="38"/>
      <c r="AH70" s="38"/>
      <c r="AI70" s="469"/>
      <c r="AJ70" s="38"/>
      <c r="AK70" s="38"/>
      <c r="AL70" s="38"/>
      <c r="AM70" s="38">
        <f>SUM(AF70:AL70)+AT70+AV70+AX70</f>
        <v>0</v>
      </c>
      <c r="AN70" s="38"/>
      <c r="AO70" s="38"/>
      <c r="AP70" s="38"/>
      <c r="AQ70" s="38"/>
      <c r="AR70" s="38">
        <f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+AR70+AS70+AU70+AW70+AY70+AZ70</f>
        <v>0</v>
      </c>
      <c r="BB70" s="34">
        <v>0</v>
      </c>
      <c r="BC70" s="52"/>
      <c r="BD70" s="52"/>
      <c r="BE70" s="34"/>
      <c r="BF70" s="52"/>
    </row>
    <row r="71" spans="1:58" ht="12.95" customHeight="1">
      <c r="A71" s="41"/>
      <c r="B71" s="42" t="s">
        <v>419</v>
      </c>
      <c r="C71" s="424">
        <f>(M71*E71*O71*Q71)/100000000</f>
        <v>29.604135600000006</v>
      </c>
      <c r="D71" s="42" t="s">
        <v>285</v>
      </c>
      <c r="E71" s="43">
        <v>12</v>
      </c>
      <c r="F71" s="43">
        <v>1</v>
      </c>
      <c r="G71" s="44">
        <v>1400</v>
      </c>
      <c r="H71" s="484">
        <f>+N71</f>
        <v>0.24</v>
      </c>
      <c r="I71" s="46">
        <v>0.88</v>
      </c>
      <c r="J71" s="84">
        <f>E71*G71*(1-H71)*1440/1000000*2.87</f>
        <v>52.767590399999996</v>
      </c>
      <c r="K71" s="84">
        <f>(IF(G71&lt;L71,L71,G71)*(1-IF(H71&lt;N71,H71,N71))*E71*O71*Q71)/100000000</f>
        <v>29.604135600000006</v>
      </c>
      <c r="L71" s="36">
        <v>1400</v>
      </c>
      <c r="M71" s="36">
        <v>1064</v>
      </c>
      <c r="N71" s="47">
        <f>1-(M71/L71)</f>
        <v>0.24</v>
      </c>
      <c r="O71" s="48">
        <f>+'Trim Rwd'!H47</f>
        <v>274.39285714285717</v>
      </c>
      <c r="P71" s="49">
        <f>O71*(Q71-R71-S71)</f>
        <v>225825.32142857145</v>
      </c>
      <c r="Q71" s="48">
        <v>845</v>
      </c>
      <c r="R71" s="394">
        <v>0</v>
      </c>
      <c r="S71" s="394">
        <v>22</v>
      </c>
      <c r="T71" s="38">
        <f>E71*M71*O71*Q71/100000000</f>
        <v>29.604135600000006</v>
      </c>
      <c r="U71" s="38">
        <f>E71*M71*O71*(Q71-R71-S71)/100000000</f>
        <v>28.833377040000006</v>
      </c>
      <c r="V71" s="38">
        <f>E71*G71*(1-N71)*O71/100*(R71+S71)/1000000</f>
        <v>0.77075856000000009</v>
      </c>
      <c r="W71" s="38">
        <f>+'16'!K14/1000</f>
        <v>18.359000000000002</v>
      </c>
      <c r="X71" s="39"/>
      <c r="Y71" s="211"/>
      <c r="Z71" s="38"/>
      <c r="AA71" s="38"/>
      <c r="AB71" s="38"/>
      <c r="AC71" s="38">
        <f>K71-T71</f>
        <v>0</v>
      </c>
      <c r="AD71" s="38">
        <f>+AM71+BA71</f>
        <v>6</v>
      </c>
      <c r="AE71" s="228" t="s">
        <v>478</v>
      </c>
      <c r="AF71" s="38"/>
      <c r="AG71" s="38">
        <v>6</v>
      </c>
      <c r="AH71" s="38"/>
      <c r="AI71" s="469"/>
      <c r="AJ71" s="38"/>
      <c r="AK71" s="38"/>
      <c r="AL71" s="38"/>
      <c r="AM71" s="38">
        <f>SUM(AF71:AL71)+AT71+AV71+AX71</f>
        <v>6</v>
      </c>
      <c r="AN71" s="85"/>
      <c r="AO71" s="38"/>
      <c r="AP71" s="38"/>
      <c r="AQ71" s="38"/>
      <c r="AR71" s="38">
        <f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51"/>
      <c r="BC71" s="52">
        <v>2</v>
      </c>
      <c r="BD71" s="52"/>
      <c r="BE71" s="51"/>
      <c r="BF71" s="52"/>
    </row>
    <row r="72" spans="1:58" ht="12.95" customHeight="1">
      <c r="A72" s="41"/>
      <c r="B72" s="42"/>
      <c r="C72" s="424"/>
      <c r="D72" s="42"/>
      <c r="E72" s="43"/>
      <c r="F72" s="43"/>
      <c r="G72" s="44"/>
      <c r="H72" s="45"/>
      <c r="I72" s="46"/>
      <c r="J72" s="84"/>
      <c r="K72" s="84"/>
      <c r="L72" s="36"/>
      <c r="M72" s="36"/>
      <c r="N72" s="47"/>
      <c r="O72" s="48"/>
      <c r="P72" s="49"/>
      <c r="Q72" s="48"/>
      <c r="R72" s="394"/>
      <c r="S72" s="394"/>
      <c r="T72" s="38"/>
      <c r="U72" s="38"/>
      <c r="V72" s="38"/>
      <c r="W72" s="38"/>
      <c r="X72" s="39"/>
      <c r="Y72" s="211"/>
      <c r="Z72" s="38"/>
      <c r="AA72" s="38"/>
      <c r="AB72" s="38"/>
      <c r="AC72" s="38"/>
      <c r="AD72" s="38">
        <f>+AM72+BA72</f>
        <v>38</v>
      </c>
      <c r="AE72" s="228" t="s">
        <v>574</v>
      </c>
      <c r="AF72" s="34"/>
      <c r="AG72" s="34"/>
      <c r="AH72" s="34">
        <v>38</v>
      </c>
      <c r="AI72" s="469"/>
      <c r="AJ72" s="38"/>
      <c r="AK72" s="38"/>
      <c r="AL72" s="38"/>
      <c r="AM72" s="38">
        <f>SUM(AF72:AL72)+AT72+AV72+AX72</f>
        <v>38</v>
      </c>
      <c r="AN72" s="38"/>
      <c r="AO72" s="38"/>
      <c r="AP72" s="38"/>
      <c r="AQ72" s="38"/>
      <c r="AR72" s="38">
        <f>SUM(AN72:AQ72)</f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34"/>
      <c r="BC72" s="54"/>
      <c r="BD72" s="54"/>
      <c r="BE72" s="34"/>
      <c r="BF72" s="54"/>
    </row>
    <row r="73" spans="1:58" ht="12.95" customHeight="1">
      <c r="A73" s="41"/>
      <c r="B73" s="42"/>
      <c r="C73" s="424"/>
      <c r="D73" s="42"/>
      <c r="E73" s="43"/>
      <c r="F73" s="43"/>
      <c r="G73" s="44"/>
      <c r="H73" s="45"/>
      <c r="I73" s="46"/>
      <c r="J73" s="84"/>
      <c r="K73" s="84"/>
      <c r="L73" s="36"/>
      <c r="M73" s="36"/>
      <c r="N73" s="47"/>
      <c r="O73" s="48"/>
      <c r="P73" s="49"/>
      <c r="Q73" s="48"/>
      <c r="R73" s="394"/>
      <c r="S73" s="394"/>
      <c r="T73" s="38"/>
      <c r="U73" s="38"/>
      <c r="V73" s="38"/>
      <c r="W73" s="38"/>
      <c r="X73" s="39"/>
      <c r="Y73" s="211"/>
      <c r="Z73" s="38"/>
      <c r="AA73" s="38"/>
      <c r="AB73" s="38"/>
      <c r="AC73" s="38"/>
      <c r="AD73" s="38"/>
      <c r="AE73" s="228"/>
      <c r="AF73" s="34"/>
      <c r="AG73" s="34"/>
      <c r="AH73" s="34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4"/>
      <c r="BD73" s="54"/>
      <c r="BE73" s="34"/>
      <c r="BF73" s="54"/>
    </row>
    <row r="74" spans="1:58" ht="12.75" customHeight="1">
      <c r="A74" s="41">
        <v>46008</v>
      </c>
      <c r="B74" s="42" t="s">
        <v>419</v>
      </c>
      <c r="C74" s="424">
        <f>(M74*E74*O74*Q74)/100000000</f>
        <v>34.908005036065575</v>
      </c>
      <c r="D74" s="42" t="s">
        <v>285</v>
      </c>
      <c r="E74" s="43">
        <v>12</v>
      </c>
      <c r="F74" s="43">
        <v>1</v>
      </c>
      <c r="G74" s="44">
        <v>1400</v>
      </c>
      <c r="H74" s="484">
        <f>+N74</f>
        <v>0.24</v>
      </c>
      <c r="I74" s="46">
        <v>0.88</v>
      </c>
      <c r="J74" s="84">
        <f>E74*G74*(1-H74)*1440/1000000*2.87</f>
        <v>52.767590399999996</v>
      </c>
      <c r="K74" s="84">
        <f>(IF(G74&lt;L74,L74,G74)*(1-IF(H74&lt;N74,H74,N74))*E74*O74*Q74)/100000000</f>
        <v>34.908005036065575</v>
      </c>
      <c r="L74" s="36">
        <v>1400</v>
      </c>
      <c r="M74" s="36">
        <v>1064</v>
      </c>
      <c r="N74" s="47">
        <f>1-(M74/L74)</f>
        <v>0.24</v>
      </c>
      <c r="O74" s="48">
        <f>+'Trim Rwd'!H50</f>
        <v>276.1639344262295</v>
      </c>
      <c r="P74" s="49">
        <f>O74*(Q74-R74-S74)</f>
        <v>266498.19672131148</v>
      </c>
      <c r="Q74" s="48">
        <v>990</v>
      </c>
      <c r="R74" s="394">
        <v>0</v>
      </c>
      <c r="S74" s="394">
        <v>25</v>
      </c>
      <c r="T74" s="38">
        <f>E74*M74*O74*Q74/100000000</f>
        <v>34.908005036065575</v>
      </c>
      <c r="U74" s="38">
        <f>E74*M74*O74*(Q74-R74-S74)/100000000</f>
        <v>34.02648975737705</v>
      </c>
      <c r="V74" s="38">
        <f>E74*G74*(1-N74)*O74/100*(R74+S74)/1000000</f>
        <v>0.88151527868852464</v>
      </c>
      <c r="W74" s="38">
        <f>+'17'!K14/1000</f>
        <v>41.503999999999998</v>
      </c>
      <c r="X74" s="391">
        <f>SUM(W74:W77)/SUM(K74:K77)</f>
        <v>1.0083279460209367</v>
      </c>
      <c r="Y74" s="38">
        <v>0</v>
      </c>
      <c r="Z74" s="38">
        <f>+'17'!D34/1000</f>
        <v>0.63200000000000001</v>
      </c>
      <c r="AA74" s="50">
        <f>SUM(U74:U77)-SUM(W74:W77)-SUM(Z74:Z77)-SUM(Y74:Y77)</f>
        <v>-2.5203777223199162</v>
      </c>
      <c r="AB74" s="50">
        <f>(SUM(K74:K77)-SUM(W74:W77)-SUM(Y74:Y77)-SUM(Z74:Z77)-SUM(AC74:AC77)-SUM(V74:V77))-AA74</f>
        <v>3.8519161128526935E-2</v>
      </c>
      <c r="AC74" s="38">
        <f>K74-T74</f>
        <v>0</v>
      </c>
      <c r="AD74" s="38">
        <f>+AM74+BA74</f>
        <v>10</v>
      </c>
      <c r="AE74" s="228" t="s">
        <v>510</v>
      </c>
      <c r="AF74" s="38">
        <v>10</v>
      </c>
      <c r="AG74" s="38"/>
      <c r="AH74" s="38"/>
      <c r="AI74" s="469"/>
      <c r="AJ74" s="38"/>
      <c r="AK74" s="38"/>
      <c r="AL74" s="38"/>
      <c r="AM74" s="38">
        <f>SUM(AF74:AL74)+AT74+AV74+AX74</f>
        <v>10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+AR74+AS74+AU74+AW74+AY74+AZ74</f>
        <v>0</v>
      </c>
      <c r="BB74" s="34">
        <v>2</v>
      </c>
      <c r="BC74" s="52"/>
      <c r="BD74" s="52"/>
      <c r="BE74" s="34"/>
      <c r="BF74" s="52"/>
    </row>
    <row r="75" spans="1:58" ht="12.95" customHeight="1">
      <c r="A75" s="41"/>
      <c r="B75" s="42" t="s">
        <v>419</v>
      </c>
      <c r="C75" s="424">
        <f>(M75*E75*O75*Q75)/100000000</f>
        <v>10.919590012121212</v>
      </c>
      <c r="D75" s="42" t="s">
        <v>285</v>
      </c>
      <c r="E75" s="43">
        <v>17</v>
      </c>
      <c r="F75" s="43">
        <v>1</v>
      </c>
      <c r="G75" s="44">
        <v>980</v>
      </c>
      <c r="H75" s="484">
        <f>+N75</f>
        <v>0.18857142857142861</v>
      </c>
      <c r="I75" s="46">
        <v>0.88</v>
      </c>
      <c r="J75" s="84">
        <f>E75*G75*(1-H75)*1440/1000000*2.87</f>
        <v>55.868843519999999</v>
      </c>
      <c r="K75" s="84">
        <f>(IF(G75&lt;L75,L75,G75)*(1-IF(H75&lt;N75,H75,N75))*E75*O75*Q75)/100000000</f>
        <v>10.919590012121212</v>
      </c>
      <c r="L75" s="36">
        <v>1009.6969696969697</v>
      </c>
      <c r="M75" s="36">
        <v>819.29696969696965</v>
      </c>
      <c r="N75" s="47">
        <f>1-(M75/L75)</f>
        <v>0.18857142857142861</v>
      </c>
      <c r="O75" s="48">
        <f>+'Trim Rwd'!H53</f>
        <v>280</v>
      </c>
      <c r="P75" s="49">
        <f>O75*(Q75-R75-S75)</f>
        <v>75880</v>
      </c>
      <c r="Q75" s="48">
        <v>280</v>
      </c>
      <c r="R75" s="394">
        <v>0</v>
      </c>
      <c r="S75" s="394">
        <v>9</v>
      </c>
      <c r="T75" s="38">
        <f>E75*M75*O75*Q75/100000000</f>
        <v>10.919590012121212</v>
      </c>
      <c r="U75" s="38">
        <f>E75*M75*O75*(Q75-R75-S75)/100000000</f>
        <v>10.56860319030303</v>
      </c>
      <c r="V75" s="38">
        <f>E75*G75*(1-N75)*O75/100*(R75+S75)/1000000</f>
        <v>0.34066367999999997</v>
      </c>
      <c r="W75" s="38">
        <f>+'17'!K15/1000</f>
        <v>10.757</v>
      </c>
      <c r="X75" s="39"/>
      <c r="Y75" s="211"/>
      <c r="Z75" s="38"/>
      <c r="AA75" s="38"/>
      <c r="AB75" s="38"/>
      <c r="AC75" s="38">
        <f>K75-T75</f>
        <v>0</v>
      </c>
      <c r="AD75" s="38">
        <f>+AM75+BA75</f>
        <v>0</v>
      </c>
      <c r="AE75" s="228" t="s">
        <v>415</v>
      </c>
      <c r="AF75" s="38"/>
      <c r="AG75" s="38">
        <v>0</v>
      </c>
      <c r="AH75" s="38"/>
      <c r="AI75" s="469"/>
      <c r="AJ75" s="38"/>
      <c r="AK75" s="38"/>
      <c r="AL75" s="38"/>
      <c r="AM75" s="38">
        <f>SUM(AF75:AL75)+AT75+AV75+AX75</f>
        <v>0</v>
      </c>
      <c r="AN75" s="85"/>
      <c r="AO75" s="38"/>
      <c r="AP75" s="38"/>
      <c r="AQ75" s="38"/>
      <c r="AR75" s="38">
        <f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51"/>
      <c r="BC75" s="52">
        <v>0</v>
      </c>
      <c r="BD75" s="52"/>
      <c r="BE75" s="51"/>
      <c r="BF75" s="52"/>
    </row>
    <row r="76" spans="1:58" ht="12.95" customHeight="1">
      <c r="A76" s="41"/>
      <c r="B76" s="42" t="s">
        <v>419</v>
      </c>
      <c r="C76" s="424">
        <f>(M76*E76*O76*Q76)/100000000</f>
        <v>7.2662423399999998</v>
      </c>
      <c r="D76" s="42" t="s">
        <v>285</v>
      </c>
      <c r="E76" s="43">
        <v>18</v>
      </c>
      <c r="F76" s="43">
        <v>1</v>
      </c>
      <c r="G76" s="44">
        <v>965</v>
      </c>
      <c r="H76" s="484">
        <f>+N76</f>
        <v>0.22606446776611699</v>
      </c>
      <c r="I76" s="46">
        <v>0.88</v>
      </c>
      <c r="J76" s="84">
        <f>E76*G76*(1-H76)*1440/1000000*2.87</f>
        <v>55.558305733493256</v>
      </c>
      <c r="K76" s="84">
        <f>(IF(G76&lt;L76,L76,G76)*(1-IF(H76&lt;N76,H76,N76))*E76*O76*Q76)/100000000</f>
        <v>7.2662423399999998</v>
      </c>
      <c r="L76" s="36">
        <v>1111.6666666666667</v>
      </c>
      <c r="M76" s="36">
        <v>860.35833333333335</v>
      </c>
      <c r="N76" s="47">
        <f>1-(M76/L76)</f>
        <v>0.22606446776611699</v>
      </c>
      <c r="O76" s="48">
        <f>+'Trim Rwd'!H54</f>
        <v>276</v>
      </c>
      <c r="P76" s="49">
        <f>O76*(Q76-R76-S76)</f>
        <v>45540</v>
      </c>
      <c r="Q76" s="48">
        <v>170</v>
      </c>
      <c r="R76" s="394">
        <v>0</v>
      </c>
      <c r="S76" s="394">
        <v>5</v>
      </c>
      <c r="T76" s="38">
        <f>E76*M76*O76*Q76/100000000</f>
        <v>7.2662423399999998</v>
      </c>
      <c r="U76" s="38">
        <f>E76*M76*O76*(Q76-R76-S76)/100000000</f>
        <v>7.0525293299999996</v>
      </c>
      <c r="V76" s="38">
        <f>E76*G76*(1-N76)*O76/100*(R76+S76)/1000000</f>
        <v>0.18551699068965519</v>
      </c>
      <c r="W76" s="38">
        <f>+'17'!K11/1000</f>
        <v>1.2749999999999999</v>
      </c>
      <c r="X76" s="39"/>
      <c r="Y76" s="211"/>
      <c r="Z76" s="38"/>
      <c r="AA76" s="38"/>
      <c r="AB76" s="38"/>
      <c r="AC76" s="38">
        <f>K76-T76</f>
        <v>0</v>
      </c>
      <c r="AD76" s="38">
        <f>+AM76+BA76</f>
        <v>29</v>
      </c>
      <c r="AE76" s="228" t="s">
        <v>513</v>
      </c>
      <c r="AF76" s="34"/>
      <c r="AG76" s="34"/>
      <c r="AH76" s="34">
        <v>29</v>
      </c>
      <c r="AI76" s="469"/>
      <c r="AJ76" s="38"/>
      <c r="AK76" s="38"/>
      <c r="AL76" s="38"/>
      <c r="AM76" s="38">
        <f>SUM(AF76:AL76)+AT76+AV76+AX76</f>
        <v>29</v>
      </c>
      <c r="AN76" s="38"/>
      <c r="AO76" s="38"/>
      <c r="AP76" s="38"/>
      <c r="AQ76" s="38"/>
      <c r="AR76" s="38">
        <f>SUM(AN76:AQ76)</f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34"/>
      <c r="BC76" s="54"/>
      <c r="BD76" s="54"/>
      <c r="BE76" s="34"/>
      <c r="BF76" s="54"/>
    </row>
    <row r="77" spans="1:58" ht="12.75" customHeight="1">
      <c r="A77" s="41"/>
      <c r="B77" s="42"/>
      <c r="C77" s="424"/>
      <c r="D77" s="42"/>
      <c r="E77" s="43"/>
      <c r="F77" s="43"/>
      <c r="G77" s="44"/>
      <c r="H77" s="45"/>
      <c r="I77" s="46"/>
      <c r="J77" s="84"/>
      <c r="K77" s="84"/>
      <c r="L77" s="36"/>
      <c r="M77" s="36"/>
      <c r="N77" s="47"/>
      <c r="O77" s="48"/>
      <c r="P77" s="49"/>
      <c r="Q77" s="48"/>
      <c r="R77" s="394"/>
      <c r="S77" s="394"/>
      <c r="T77" s="38"/>
      <c r="U77" s="38"/>
      <c r="V77" s="38"/>
      <c r="W77" s="38"/>
      <c r="X77" s="39"/>
      <c r="Y77" s="211"/>
      <c r="Z77" s="38"/>
      <c r="AA77" s="38"/>
      <c r="AB77" s="38"/>
      <c r="AC77" s="38"/>
      <c r="AD77" s="38"/>
      <c r="AE77" s="228"/>
      <c r="AF77" s="34"/>
      <c r="AG77" s="34"/>
      <c r="AH77" s="34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4"/>
      <c r="BC77" s="54"/>
      <c r="BD77" s="54"/>
      <c r="BE77" s="34"/>
      <c r="BF77" s="54"/>
    </row>
    <row r="78" spans="1:58" ht="12.75" customHeight="1">
      <c r="A78" s="41">
        <v>46009</v>
      </c>
      <c r="B78" s="42" t="s">
        <v>419</v>
      </c>
      <c r="C78" s="424">
        <f>(M78*E78*O78*Q78)/100000000</f>
        <v>60.593702399999998</v>
      </c>
      <c r="D78" s="42" t="s">
        <v>285</v>
      </c>
      <c r="E78" s="43">
        <v>18</v>
      </c>
      <c r="F78" s="43">
        <v>1</v>
      </c>
      <c r="G78" s="44">
        <v>965</v>
      </c>
      <c r="H78" s="484">
        <f>+N78</f>
        <v>0.22999999999999998</v>
      </c>
      <c r="I78" s="46">
        <v>0.88</v>
      </c>
      <c r="J78" s="84">
        <f>E78*G78*(1-H78)*1440/1000000*2.87</f>
        <v>55.275786719999999</v>
      </c>
      <c r="K78" s="84">
        <f>(IF(G78&lt;L78,L78,G78)*(1-IF(H78&lt;N78,H78,N78))*E78*O78*Q78)/100000000</f>
        <v>60.593702399999998</v>
      </c>
      <c r="L78" s="36">
        <v>1100</v>
      </c>
      <c r="M78" s="36">
        <v>847</v>
      </c>
      <c r="N78" s="47">
        <f>1-(M78/L78)</f>
        <v>0.22999999999999998</v>
      </c>
      <c r="O78" s="48">
        <f>+'Trim Rwd'!H56</f>
        <v>276</v>
      </c>
      <c r="P78" s="49">
        <f>O78*(Q78-R78-S78)</f>
        <v>388884</v>
      </c>
      <c r="Q78" s="48">
        <v>1440</v>
      </c>
      <c r="R78" s="394">
        <v>0</v>
      </c>
      <c r="S78" s="394">
        <v>31</v>
      </c>
      <c r="T78" s="38">
        <f>E78*M78*O78*Q78/100000000</f>
        <v>60.593702399999998</v>
      </c>
      <c r="U78" s="38">
        <f>E78*M78*O78*(Q78-R78-S78)/100000000</f>
        <v>59.289254640000003</v>
      </c>
      <c r="V78" s="38">
        <f>E78*G78*(1-N78)*O78/100*(R78+S78)/1000000</f>
        <v>1.144356444</v>
      </c>
      <c r="W78" s="38">
        <f>+'18'!K34/1000</f>
        <v>51.192999999999998</v>
      </c>
      <c r="X78" s="391">
        <f>SUM(W78:W81)/SUM(K78:K81)</f>
        <v>0.84485677508294987</v>
      </c>
      <c r="Y78" s="38">
        <v>0</v>
      </c>
      <c r="Z78" s="38">
        <v>0</v>
      </c>
      <c r="AA78" s="50">
        <f>SUM(U78:U81)-SUM(W78:W81)-SUM(Z78:Z81)-SUM(Y78:Y81)</f>
        <v>8.0962546400000051</v>
      </c>
      <c r="AB78" s="50">
        <f>(SUM(K78:K81)-SUM(W78:W81)-SUM(Y78:Y81)-SUM(Z78:Z81)-SUM(AC78:AC81)-SUM(V78:V81))-AA78</f>
        <v>0.16009131599999549</v>
      </c>
      <c r="AC78" s="38">
        <f>K78-T78</f>
        <v>0</v>
      </c>
      <c r="AD78" s="38">
        <f>+AM78+BA78</f>
        <v>0</v>
      </c>
      <c r="AE78" s="228" t="s">
        <v>392</v>
      </c>
      <c r="AF78" s="38">
        <v>0</v>
      </c>
      <c r="AG78" s="38"/>
      <c r="AH78" s="38"/>
      <c r="AI78" s="469"/>
      <c r="AJ78" s="38"/>
      <c r="AK78" s="38"/>
      <c r="AL78" s="38"/>
      <c r="AM78" s="38">
        <f>SUM(AF78:AL78)+AT78+AV78+AX78</f>
        <v>0</v>
      </c>
      <c r="AN78" s="38"/>
      <c r="AO78" s="38"/>
      <c r="AP78" s="38"/>
      <c r="AQ78" s="38"/>
      <c r="AR78" s="38">
        <f>SUM(AN78:AQ78)</f>
        <v>0</v>
      </c>
      <c r="AS78" s="38"/>
      <c r="AT78" s="38"/>
      <c r="AU78" s="38"/>
      <c r="AV78" s="38"/>
      <c r="AW78" s="38"/>
      <c r="AX78" s="38"/>
      <c r="AY78" s="38"/>
      <c r="AZ78" s="38"/>
      <c r="BA78" s="38">
        <f>+AR78+AS78+AU78+AW78+AY78+AZ78</f>
        <v>0</v>
      </c>
      <c r="BB78" s="34">
        <v>0</v>
      </c>
      <c r="BC78" s="52"/>
      <c r="BD78" s="52"/>
      <c r="BE78" s="34"/>
      <c r="BF78" s="52"/>
    </row>
    <row r="79" spans="1:58" ht="12.95" customHeight="1">
      <c r="A79" s="41"/>
      <c r="B79" s="42"/>
      <c r="C79" s="424"/>
      <c r="D79" s="42"/>
      <c r="E79" s="43"/>
      <c r="F79" s="43"/>
      <c r="G79" s="44"/>
      <c r="H79" s="45"/>
      <c r="I79" s="46"/>
      <c r="J79" s="84"/>
      <c r="K79" s="84"/>
      <c r="L79" s="36"/>
      <c r="M79" s="36"/>
      <c r="N79" s="47"/>
      <c r="O79" s="48"/>
      <c r="P79" s="49"/>
      <c r="Q79" s="48"/>
      <c r="R79" s="394"/>
      <c r="S79" s="394"/>
      <c r="T79" s="38"/>
      <c r="U79" s="38"/>
      <c r="V79" s="38"/>
      <c r="W79" s="38"/>
      <c r="X79" s="39"/>
      <c r="Y79" s="211"/>
      <c r="Z79" s="38"/>
      <c r="AA79" s="38"/>
      <c r="AB79" s="38"/>
      <c r="AC79" s="38"/>
      <c r="AD79" s="38">
        <f>+AM79+BA79</f>
        <v>4</v>
      </c>
      <c r="AE79" s="228" t="s">
        <v>446</v>
      </c>
      <c r="AF79" s="38"/>
      <c r="AG79" s="38">
        <v>4</v>
      </c>
      <c r="AH79" s="38"/>
      <c r="AI79" s="469"/>
      <c r="AJ79" s="38"/>
      <c r="AK79" s="38"/>
      <c r="AL79" s="38"/>
      <c r="AM79" s="38">
        <f>SUM(AF79:AL79)+AT79+AV79+AX79</f>
        <v>4</v>
      </c>
      <c r="AN79" s="85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51"/>
      <c r="BC79" s="52">
        <v>1</v>
      </c>
      <c r="BD79" s="52"/>
      <c r="BE79" s="51"/>
      <c r="BF79" s="52"/>
    </row>
    <row r="80" spans="1:58" ht="12.95" customHeight="1">
      <c r="A80" s="41"/>
      <c r="B80" s="42"/>
      <c r="C80" s="424"/>
      <c r="D80" s="42"/>
      <c r="E80" s="43"/>
      <c r="F80" s="43"/>
      <c r="G80" s="44"/>
      <c r="H80" s="45"/>
      <c r="I80" s="46"/>
      <c r="J80" s="84"/>
      <c r="K80" s="84"/>
      <c r="L80" s="36"/>
      <c r="M80" s="36"/>
      <c r="N80" s="47"/>
      <c r="O80" s="48"/>
      <c r="P80" s="49"/>
      <c r="Q80" s="48"/>
      <c r="R80" s="394"/>
      <c r="S80" s="394"/>
      <c r="T80" s="38"/>
      <c r="U80" s="38"/>
      <c r="V80" s="38"/>
      <c r="W80" s="38"/>
      <c r="X80" s="39"/>
      <c r="Y80" s="211"/>
      <c r="Z80" s="38"/>
      <c r="AA80" s="38"/>
      <c r="AB80" s="38"/>
      <c r="AC80" s="38"/>
      <c r="AD80" s="38">
        <f>+AM80+BA80</f>
        <v>27</v>
      </c>
      <c r="AE80" s="228" t="s">
        <v>631</v>
      </c>
      <c r="AF80" s="34"/>
      <c r="AG80" s="34"/>
      <c r="AH80" s="34">
        <v>27</v>
      </c>
      <c r="AI80" s="469"/>
      <c r="AJ80" s="38"/>
      <c r="AK80" s="38"/>
      <c r="AL80" s="38"/>
      <c r="AM80" s="38">
        <f>SUM(AF80:AL80)+AT80+AV80+AX80</f>
        <v>27</v>
      </c>
      <c r="AN80" s="38"/>
      <c r="AO80" s="38"/>
      <c r="AP80" s="38"/>
      <c r="AQ80" s="38"/>
      <c r="AR80" s="38">
        <f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34"/>
      <c r="BC80" s="54"/>
      <c r="BD80" s="54"/>
      <c r="BE80" s="34"/>
      <c r="BF80" s="54"/>
    </row>
    <row r="81" spans="1:58" ht="12.95" customHeight="1">
      <c r="A81" s="41"/>
      <c r="B81" s="42"/>
      <c r="C81" s="424"/>
      <c r="D81" s="42"/>
      <c r="E81" s="43"/>
      <c r="F81" s="43"/>
      <c r="G81" s="44"/>
      <c r="H81" s="45"/>
      <c r="I81" s="46"/>
      <c r="J81" s="84"/>
      <c r="K81" s="84"/>
      <c r="L81" s="36"/>
      <c r="M81" s="36"/>
      <c r="N81" s="47"/>
      <c r="O81" s="48"/>
      <c r="P81" s="49"/>
      <c r="Q81" s="48"/>
      <c r="R81" s="394"/>
      <c r="S81" s="394"/>
      <c r="T81" s="38"/>
      <c r="U81" s="38"/>
      <c r="V81" s="38"/>
      <c r="W81" s="38"/>
      <c r="X81" s="39"/>
      <c r="Y81" s="211"/>
      <c r="Z81" s="38"/>
      <c r="AA81" s="38"/>
      <c r="AB81" s="38"/>
      <c r="AC81" s="38"/>
      <c r="AD81" s="38"/>
      <c r="AE81" s="228"/>
      <c r="AF81" s="34"/>
      <c r="AG81" s="34"/>
      <c r="AH81" s="34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4"/>
      <c r="BC81" s="54"/>
      <c r="BD81" s="54"/>
      <c r="BE81" s="34"/>
      <c r="BF81" s="54"/>
    </row>
    <row r="82" spans="1:58" ht="12.75" customHeight="1">
      <c r="A82" s="41">
        <v>46010</v>
      </c>
      <c r="B82" s="42" t="s">
        <v>419</v>
      </c>
      <c r="C82" s="424">
        <f>(M82*E82*O82*Q82)/100000000</f>
        <v>48.215930399999998</v>
      </c>
      <c r="D82" s="42" t="s">
        <v>285</v>
      </c>
      <c r="E82" s="43">
        <v>18</v>
      </c>
      <c r="F82" s="43">
        <v>1</v>
      </c>
      <c r="G82" s="44">
        <v>990</v>
      </c>
      <c r="H82" s="484">
        <f>+N82</f>
        <v>0.24589743589743585</v>
      </c>
      <c r="I82" s="46">
        <v>0.88</v>
      </c>
      <c r="J82" s="84">
        <f>E82*G82*(1-H82)*1440/1000000*2.87</f>
        <v>55.537011470769222</v>
      </c>
      <c r="K82" s="84">
        <f>(IF(G82&lt;L82,L82,G82)*(1-IF(H82&lt;N82,H82,N82))*E82*O82*Q82)/100000000</f>
        <v>48.215930399999998</v>
      </c>
      <c r="L82" s="36">
        <v>1100</v>
      </c>
      <c r="M82" s="36">
        <v>829.51282051282055</v>
      </c>
      <c r="N82" s="47">
        <f>1-(M82/L82)</f>
        <v>0.24589743589743585</v>
      </c>
      <c r="O82" s="48">
        <f>+'Trim Rwd'!H58</f>
        <v>276</v>
      </c>
      <c r="P82" s="49">
        <f>O82*(Q82-R82-S82)</f>
        <v>317400</v>
      </c>
      <c r="Q82" s="48">
        <v>1170</v>
      </c>
      <c r="R82" s="394">
        <v>0</v>
      </c>
      <c r="S82" s="394">
        <v>20</v>
      </c>
      <c r="T82" s="38">
        <f>E82*M82*O82*Q82/100000000</f>
        <v>48.215930399999998</v>
      </c>
      <c r="U82" s="38">
        <f>E82*M82*O82*(Q82-R82-S82)/100000000</f>
        <v>47.391726461538468</v>
      </c>
      <c r="V82" s="38">
        <f>E82*G82*(1-N82)*O82/100*(R82+S82)/1000000</f>
        <v>0.74178354461538465</v>
      </c>
      <c r="W82" s="38">
        <f>+'19'!K11/1000</f>
        <v>55.948</v>
      </c>
      <c r="X82" s="391">
        <f>SUM(W82:W85)/SUM(K82:K85)</f>
        <v>0.95346614836609511</v>
      </c>
      <c r="Y82" s="38">
        <v>0</v>
      </c>
      <c r="Z82" s="38">
        <f>+'19'!D34/1000</f>
        <v>0.68300000000000005</v>
      </c>
      <c r="AA82" s="50">
        <f>SUM(U82:U85)-SUM(W82:W85)-SUM(Z82:Z85)-SUM(Y82:Y85)</f>
        <v>0.95208166153847151</v>
      </c>
      <c r="AB82" s="50">
        <f>(SUM(K82:K85)-SUM(W82:W85)-SUM(Y82:Y85)-SUM(Z82:Z85)-SUM(AC82:AC85)-SUM(V82:V85))-AA82</f>
        <v>9.6330793846137297E-2</v>
      </c>
      <c r="AC82" s="38">
        <f>K82-T82</f>
        <v>0</v>
      </c>
      <c r="AD82" s="38">
        <f>+AM82+BA82</f>
        <v>0</v>
      </c>
      <c r="AE82" s="228" t="s">
        <v>392</v>
      </c>
      <c r="AF82" s="38">
        <v>0</v>
      </c>
      <c r="AG82" s="38"/>
      <c r="AH82" s="38"/>
      <c r="AI82" s="469"/>
      <c r="AJ82" s="38"/>
      <c r="AK82" s="38"/>
      <c r="AL82" s="38"/>
      <c r="AM82" s="38">
        <f>SUM(AF82:AL82)+AT82+AV82+AX82</f>
        <v>0</v>
      </c>
      <c r="AN82" s="38"/>
      <c r="AO82" s="38"/>
      <c r="AP82" s="38"/>
      <c r="AQ82" s="38"/>
      <c r="AR82" s="38">
        <f>SUM(AN82:AQ82)</f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>+AR82+AS82+AU82+AW82+AY82+AZ82</f>
        <v>0</v>
      </c>
      <c r="BB82" s="34">
        <v>0</v>
      </c>
      <c r="BC82" s="52"/>
      <c r="BD82" s="52"/>
      <c r="BE82" s="34"/>
      <c r="BF82" s="52"/>
    </row>
    <row r="83" spans="1:58" ht="12.95" customHeight="1">
      <c r="A83" s="41"/>
      <c r="B83" s="42" t="s">
        <v>419</v>
      </c>
      <c r="C83" s="424">
        <f>(M83*E83*O83*Q83)/100000000</f>
        <v>10.462607999999999</v>
      </c>
      <c r="D83" s="42" t="s">
        <v>285</v>
      </c>
      <c r="E83" s="43">
        <v>16</v>
      </c>
      <c r="F83" s="43">
        <v>1</v>
      </c>
      <c r="G83" s="44">
        <v>1110</v>
      </c>
      <c r="H83" s="484">
        <f>+N83</f>
        <v>0.25</v>
      </c>
      <c r="I83" s="46">
        <v>0.88</v>
      </c>
      <c r="J83" s="84">
        <f>E83*G83*(1-H83)*1440/1000000*2.87</f>
        <v>55.048896000000006</v>
      </c>
      <c r="K83" s="84">
        <f>(IF(G83&lt;L83,L83,G83)*(1-IF(H83&lt;N83,H83,N83))*E83*O83*Q83)/100000000</f>
        <v>10.462607999999999</v>
      </c>
      <c r="L83" s="36">
        <v>1170</v>
      </c>
      <c r="M83" s="36">
        <f>+L83-L83*0.25</f>
        <v>877.5</v>
      </c>
      <c r="N83" s="47">
        <f>1-(M83/L83)</f>
        <v>0.25</v>
      </c>
      <c r="O83" s="48">
        <f>+'Trim Rwd'!H59</f>
        <v>276</v>
      </c>
      <c r="P83" s="49">
        <f>O83*(Q83-R83-S83)</f>
        <v>72588</v>
      </c>
      <c r="Q83" s="48">
        <v>270</v>
      </c>
      <c r="R83" s="394">
        <v>0</v>
      </c>
      <c r="S83" s="394">
        <v>7</v>
      </c>
      <c r="T83" s="38">
        <f>E83*M83*O83*Q83/100000000</f>
        <v>10.462607999999999</v>
      </c>
      <c r="U83" s="38">
        <f>E83*M83*O83*(Q83-R83-S83)/100000000</f>
        <v>10.1913552</v>
      </c>
      <c r="V83" s="38">
        <f>E83*G83*(1-N83)*O83/100*(R83+S83)/1000000</f>
        <v>0.25734239999999997</v>
      </c>
      <c r="W83" s="38">
        <f>+'19'!K16/1000</f>
        <v>0</v>
      </c>
      <c r="X83" s="39"/>
      <c r="Y83" s="211"/>
      <c r="Z83" s="38"/>
      <c r="AA83" s="38"/>
      <c r="AB83" s="38"/>
      <c r="AC83" s="38">
        <f>K83-T83</f>
        <v>0</v>
      </c>
      <c r="AD83" s="38">
        <f>+AM83+BA83</f>
        <v>2</v>
      </c>
      <c r="AE83" s="228" t="s">
        <v>478</v>
      </c>
      <c r="AF83" s="38"/>
      <c r="AG83" s="38">
        <v>2</v>
      </c>
      <c r="AH83" s="38"/>
      <c r="AI83" s="469"/>
      <c r="AJ83" s="38"/>
      <c r="AK83" s="38"/>
      <c r="AL83" s="38"/>
      <c r="AM83" s="38">
        <f>SUM(AF83:AL83)+AT83+AV83+AX83</f>
        <v>2</v>
      </c>
      <c r="AN83" s="85"/>
      <c r="AO83" s="38"/>
      <c r="AP83" s="38"/>
      <c r="AQ83" s="38"/>
      <c r="AR83" s="38">
        <f>SUM(AN83:AQ83)</f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>+AR83+AS83+AU83+AW83+AY83+AZ83</f>
        <v>0</v>
      </c>
      <c r="BB83" s="51"/>
      <c r="BC83" s="52">
        <v>2</v>
      </c>
      <c r="BD83" s="52"/>
      <c r="BE83" s="51"/>
      <c r="BF83" s="52"/>
    </row>
    <row r="84" spans="1:58" ht="12.95" customHeight="1">
      <c r="A84" s="41"/>
      <c r="B84" s="42"/>
      <c r="C84" s="424"/>
      <c r="D84" s="42"/>
      <c r="E84" s="43"/>
      <c r="F84" s="43"/>
      <c r="G84" s="44"/>
      <c r="H84" s="45"/>
      <c r="I84" s="46"/>
      <c r="J84" s="84"/>
      <c r="K84" s="84"/>
      <c r="L84" s="36"/>
      <c r="M84" s="36"/>
      <c r="N84" s="47"/>
      <c r="O84" s="48"/>
      <c r="P84" s="49"/>
      <c r="Q84" s="48"/>
      <c r="R84" s="394"/>
      <c r="S84" s="394"/>
      <c r="T84" s="38"/>
      <c r="U84" s="38"/>
      <c r="V84" s="38"/>
      <c r="W84" s="38"/>
      <c r="X84" s="39"/>
      <c r="Y84" s="211"/>
      <c r="Z84" s="38"/>
      <c r="AA84" s="38"/>
      <c r="AB84" s="38"/>
      <c r="AC84" s="38"/>
      <c r="AD84" s="38">
        <f>+AM84+BA84</f>
        <v>25</v>
      </c>
      <c r="AE84" s="228" t="s">
        <v>470</v>
      </c>
      <c r="AF84" s="34"/>
      <c r="AG84" s="34"/>
      <c r="AH84" s="34">
        <v>25</v>
      </c>
      <c r="AI84" s="469"/>
      <c r="AJ84" s="38"/>
      <c r="AK84" s="38"/>
      <c r="AL84" s="38"/>
      <c r="AM84" s="38">
        <f>SUM(AF84:AL84)+AT84+AV84+AX84</f>
        <v>25</v>
      </c>
      <c r="AN84" s="38"/>
      <c r="AO84" s="38"/>
      <c r="AP84" s="38"/>
      <c r="AQ84" s="38"/>
      <c r="AR84" s="38">
        <f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34"/>
      <c r="BC84" s="54"/>
      <c r="BD84" s="54"/>
      <c r="BE84" s="34"/>
      <c r="BF84" s="54"/>
    </row>
    <row r="85" spans="1:58" ht="12.95" customHeight="1">
      <c r="A85" s="41"/>
      <c r="B85" s="42"/>
      <c r="C85" s="424"/>
      <c r="D85" s="42"/>
      <c r="E85" s="43"/>
      <c r="F85" s="43"/>
      <c r="G85" s="44"/>
      <c r="H85" s="45"/>
      <c r="I85" s="46"/>
      <c r="J85" s="84"/>
      <c r="K85" s="84"/>
      <c r="L85" s="36"/>
      <c r="M85" s="36"/>
      <c r="N85" s="47"/>
      <c r="O85" s="48"/>
      <c r="P85" s="49"/>
      <c r="Q85" s="48"/>
      <c r="R85" s="394"/>
      <c r="S85" s="394"/>
      <c r="T85" s="38"/>
      <c r="U85" s="38"/>
      <c r="V85" s="38"/>
      <c r="W85" s="38"/>
      <c r="X85" s="39"/>
      <c r="Y85" s="211"/>
      <c r="Z85" s="38"/>
      <c r="AA85" s="38"/>
      <c r="AB85" s="38"/>
      <c r="AC85" s="38"/>
      <c r="AD85" s="38"/>
      <c r="AE85" s="228"/>
      <c r="AF85" s="34"/>
      <c r="AG85" s="34"/>
      <c r="AH85" s="34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4"/>
      <c r="BC85" s="54"/>
      <c r="BD85" s="54"/>
      <c r="BE85" s="34"/>
      <c r="BF85" s="54"/>
    </row>
    <row r="86" spans="1:58" ht="12.75" customHeight="1">
      <c r="A86" s="41">
        <v>46011</v>
      </c>
      <c r="B86" s="42" t="s">
        <v>419</v>
      </c>
      <c r="C86" s="424">
        <f>(M86*E86*O86*Q86)/100000000</f>
        <v>43.787951999999997</v>
      </c>
      <c r="D86" s="42" t="s">
        <v>285</v>
      </c>
      <c r="E86" s="43">
        <v>16</v>
      </c>
      <c r="F86" s="43">
        <v>1</v>
      </c>
      <c r="G86" s="44">
        <v>1110</v>
      </c>
      <c r="H86" s="484">
        <f>+N86</f>
        <v>0.25</v>
      </c>
      <c r="I86" s="46">
        <v>0.88</v>
      </c>
      <c r="J86" s="84">
        <f>E86*G86*(1-H86)*1440/1000000*2.87</f>
        <v>55.048896000000006</v>
      </c>
      <c r="K86" s="84">
        <f>(IF(G86&lt;L86,L86,G86)*(1-IF(H86&lt;N86,H86,N86))*E86*O86*Q86)/100000000</f>
        <v>43.787951999999997</v>
      </c>
      <c r="L86" s="36">
        <v>1170</v>
      </c>
      <c r="M86" s="36">
        <f>+L86-L86*0.25</f>
        <v>877.5</v>
      </c>
      <c r="N86" s="47">
        <f>1-(M86/L86)</f>
        <v>0.25</v>
      </c>
      <c r="O86" s="48">
        <f>+'Trim Rwd'!H61</f>
        <v>276</v>
      </c>
      <c r="P86" s="49">
        <f>O86*(Q86-R86-S86)</f>
        <v>306084</v>
      </c>
      <c r="Q86" s="48">
        <v>1130</v>
      </c>
      <c r="R86" s="394">
        <v>0</v>
      </c>
      <c r="S86" s="394">
        <v>21</v>
      </c>
      <c r="T86" s="38">
        <f>E86*M86*O86*Q86/100000000</f>
        <v>43.787951999999997</v>
      </c>
      <c r="U86" s="38">
        <f>E86*M86*O86*(Q86-R86-S86)/100000000</f>
        <v>42.9741936</v>
      </c>
      <c r="V86" s="38">
        <f>E86*G86*(1-N86)*O86/100*(R86+S86)/1000000</f>
        <v>0.77202719999999991</v>
      </c>
      <c r="W86" s="38">
        <f>+'20'!K16/1000</f>
        <v>52.404000000000003</v>
      </c>
      <c r="X86" s="391">
        <f>SUM(W86:W89)/SUM(K86:K89)</f>
        <v>1.0968476462605017</v>
      </c>
      <c r="Y86" s="38">
        <v>0</v>
      </c>
      <c r="Z86" s="38">
        <v>0</v>
      </c>
      <c r="AA86" s="50">
        <f>SUM(U86:U89)-SUM(W86:W89)-SUM(Z86:Z89)-SUM(Y86:Y89)</f>
        <v>-6.4750224000000074</v>
      </c>
      <c r="AB86" s="50">
        <f>(SUM(K86:K89)-SUM(W86:W89)-SUM(Y86:Y89)-SUM(Z86:Z89)-SUM(AC86:AC89)-SUM(V86:V89))-AA86</f>
        <v>5.6635199999997887E-2</v>
      </c>
      <c r="AC86" s="38">
        <f>K86-T86</f>
        <v>0</v>
      </c>
      <c r="AD86" s="38">
        <f>+AM86+BA86</f>
        <v>0</v>
      </c>
      <c r="AE86" s="228" t="s">
        <v>392</v>
      </c>
      <c r="AF86" s="38">
        <v>0</v>
      </c>
      <c r="AG86" s="38"/>
      <c r="AH86" s="38"/>
      <c r="AI86" s="469"/>
      <c r="AJ86" s="38"/>
      <c r="AK86" s="38"/>
      <c r="AL86" s="38"/>
      <c r="AM86" s="38">
        <f>SUM(AF86:AL86)+AT86+AV86+AX86</f>
        <v>0</v>
      </c>
      <c r="AN86" s="38"/>
      <c r="AO86" s="38"/>
      <c r="AP86" s="38"/>
      <c r="AQ86" s="38"/>
      <c r="AR86" s="38">
        <f>SUM(AN86:AQ86)</f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+AR86+AS86+AU86+AW86+AY86+AZ86</f>
        <v>0</v>
      </c>
      <c r="BB86" s="34">
        <v>0</v>
      </c>
      <c r="BC86" s="52"/>
      <c r="BD86" s="52"/>
      <c r="BE86" s="34"/>
      <c r="BF86" s="52"/>
    </row>
    <row r="87" spans="1:58" ht="12.95" customHeight="1">
      <c r="A87" s="41"/>
      <c r="B87" s="42" t="s">
        <v>419</v>
      </c>
      <c r="C87" s="424">
        <f>(M87*E87*O87*Q87)/100000000</f>
        <v>12.224385</v>
      </c>
      <c r="D87" s="42" t="s">
        <v>285</v>
      </c>
      <c r="E87" s="43">
        <v>15</v>
      </c>
      <c r="F87" s="43">
        <v>1</v>
      </c>
      <c r="G87" s="44">
        <v>1190</v>
      </c>
      <c r="H87" s="484">
        <f>+N87</f>
        <v>0.25</v>
      </c>
      <c r="I87" s="46">
        <v>0.88</v>
      </c>
      <c r="J87" s="84">
        <f>E87*G87*(1-H87)*1440/1000000*2.87</f>
        <v>55.327860000000001</v>
      </c>
      <c r="K87" s="84">
        <f>(IF(G87&lt;L87,L87,G87)*(1-IF(H87&lt;N87,H87,N87))*E87*O87*Q87)/100000000</f>
        <v>12.224385</v>
      </c>
      <c r="L87" s="36">
        <v>1270</v>
      </c>
      <c r="M87" s="36">
        <f>+L87-L87*0.25</f>
        <v>952.5</v>
      </c>
      <c r="N87" s="47">
        <f>1-(M87/L87)</f>
        <v>0.25</v>
      </c>
      <c r="O87" s="48">
        <f>+'Trim Rwd'!H62</f>
        <v>276</v>
      </c>
      <c r="P87" s="49">
        <f>O87*(Q87-R87-S87)</f>
        <v>83904</v>
      </c>
      <c r="Q87" s="48">
        <v>310</v>
      </c>
      <c r="R87" s="394">
        <v>0</v>
      </c>
      <c r="S87" s="394">
        <v>6</v>
      </c>
      <c r="T87" s="38">
        <f>E87*M87*O87*Q87/100000000</f>
        <v>12.224385</v>
      </c>
      <c r="U87" s="38">
        <f>E87*M87*O87*(Q87-R87-S87)/100000000</f>
        <v>11.987784</v>
      </c>
      <c r="V87" s="38">
        <f>E87*G87*(1-N87)*O87/100*(R87+S87)/1000000</f>
        <v>0.22169700000000001</v>
      </c>
      <c r="W87" s="38">
        <f>+'20'!K17/1000</f>
        <v>7.6769999999999996</v>
      </c>
      <c r="X87" s="39"/>
      <c r="Y87" s="211"/>
      <c r="Z87" s="38"/>
      <c r="AA87" s="38"/>
      <c r="AB87" s="38"/>
      <c r="AC87" s="38">
        <f>K87-T87</f>
        <v>0</v>
      </c>
      <c r="AD87" s="38">
        <f>+AM87+BA87</f>
        <v>6</v>
      </c>
      <c r="AE87" s="228" t="s">
        <v>478</v>
      </c>
      <c r="AF87" s="38"/>
      <c r="AG87" s="38">
        <v>6</v>
      </c>
      <c r="AH87" s="38"/>
      <c r="AI87" s="469"/>
      <c r="AJ87" s="38"/>
      <c r="AK87" s="38"/>
      <c r="AL87" s="38"/>
      <c r="AM87" s="38">
        <f>SUM(AF87:AL87)+AT87+AV87+AX87</f>
        <v>6</v>
      </c>
      <c r="AN87" s="85"/>
      <c r="AO87" s="38"/>
      <c r="AP87" s="38"/>
      <c r="AQ87" s="38"/>
      <c r="AR87" s="38">
        <f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51"/>
      <c r="BC87" s="52">
        <v>2</v>
      </c>
      <c r="BD87" s="52"/>
      <c r="BE87" s="51"/>
      <c r="BF87" s="52"/>
    </row>
    <row r="88" spans="1:58" ht="12.95" customHeight="1">
      <c r="A88" s="41"/>
      <c r="B88" s="42" t="s">
        <v>419</v>
      </c>
      <c r="C88" s="424"/>
      <c r="D88" s="42"/>
      <c r="E88" s="43">
        <v>18</v>
      </c>
      <c r="F88" s="43"/>
      <c r="G88" s="44"/>
      <c r="H88" s="45"/>
      <c r="I88" s="46"/>
      <c r="J88" s="84"/>
      <c r="K88" s="84"/>
      <c r="L88" s="36"/>
      <c r="M88" s="36"/>
      <c r="N88" s="47"/>
      <c r="O88" s="48"/>
      <c r="P88" s="49"/>
      <c r="Q88" s="48"/>
      <c r="R88" s="394"/>
      <c r="S88" s="394"/>
      <c r="T88" s="38"/>
      <c r="U88" s="38"/>
      <c r="V88" s="38"/>
      <c r="W88" s="38">
        <f>+'20'!K11/1000</f>
        <v>1.3560000000000001</v>
      </c>
      <c r="X88" s="39"/>
      <c r="Y88" s="211"/>
      <c r="Z88" s="38"/>
      <c r="AA88" s="38"/>
      <c r="AB88" s="38"/>
      <c r="AC88" s="38"/>
      <c r="AD88" s="38">
        <f>+AM88+BA88</f>
        <v>21</v>
      </c>
      <c r="AE88" s="228" t="s">
        <v>671</v>
      </c>
      <c r="AF88" s="34"/>
      <c r="AG88" s="34"/>
      <c r="AH88" s="34">
        <v>21</v>
      </c>
      <c r="AI88" s="469"/>
      <c r="AJ88" s="38"/>
      <c r="AK88" s="38"/>
      <c r="AL88" s="38"/>
      <c r="AM88" s="38">
        <f>SUM(AF88:AL88)+AT88+AV88+AX88</f>
        <v>21</v>
      </c>
      <c r="AN88" s="38"/>
      <c r="AO88" s="38"/>
      <c r="AP88" s="38"/>
      <c r="AQ88" s="38"/>
      <c r="AR88" s="38">
        <f>SUM(AN88:AQ88)</f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>+AR88+AS88+AU88+AW88+AY88+AZ88</f>
        <v>0</v>
      </c>
      <c r="BB88" s="34"/>
      <c r="BC88" s="54"/>
      <c r="BD88" s="54"/>
      <c r="BE88" s="34"/>
      <c r="BF88" s="54"/>
    </row>
    <row r="89" spans="1:58" ht="12.95" customHeight="1">
      <c r="A89" s="41"/>
      <c r="B89" s="42"/>
      <c r="C89" s="424"/>
      <c r="D89" s="42"/>
      <c r="E89" s="43"/>
      <c r="F89" s="43"/>
      <c r="G89" s="467"/>
      <c r="H89" s="45"/>
      <c r="I89" s="46"/>
      <c r="J89" s="84"/>
      <c r="K89" s="84"/>
      <c r="L89" s="36"/>
      <c r="M89" s="36"/>
      <c r="N89" s="47"/>
      <c r="O89" s="48"/>
      <c r="P89" s="49"/>
      <c r="Q89" s="48"/>
      <c r="R89" s="394"/>
      <c r="S89" s="394"/>
      <c r="T89" s="38"/>
      <c r="U89" s="38"/>
      <c r="V89" s="38"/>
      <c r="W89" s="38"/>
      <c r="X89" s="391"/>
      <c r="Y89" s="38"/>
      <c r="Z89" s="38"/>
      <c r="AA89" s="50"/>
      <c r="AB89" s="50"/>
      <c r="AC89" s="38"/>
      <c r="AD89" s="38"/>
      <c r="AE89" s="228"/>
      <c r="AF89" s="38"/>
      <c r="AG89" s="38"/>
      <c r="AH89" s="38"/>
      <c r="AI89" s="469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4"/>
      <c r="BC89" s="52"/>
      <c r="BD89" s="52"/>
      <c r="BE89" s="52"/>
      <c r="BF89" s="52"/>
    </row>
    <row r="90" spans="1:58" ht="12.75" customHeight="1">
      <c r="A90" s="41">
        <v>46012</v>
      </c>
      <c r="B90" s="42" t="s">
        <v>419</v>
      </c>
      <c r="C90" s="424">
        <f>(M90*E90*O90*Q90)/100000000</f>
        <v>56.784239999999997</v>
      </c>
      <c r="D90" s="42" t="s">
        <v>285</v>
      </c>
      <c r="E90" s="43">
        <v>15</v>
      </c>
      <c r="F90" s="43">
        <v>1</v>
      </c>
      <c r="G90" s="44">
        <v>1190</v>
      </c>
      <c r="H90" s="484">
        <f>+N90</f>
        <v>0.25</v>
      </c>
      <c r="I90" s="46">
        <v>0.88</v>
      </c>
      <c r="J90" s="84">
        <f>E90*G90*(1-H90)*1440/1000000*2.87</f>
        <v>55.327860000000001</v>
      </c>
      <c r="K90" s="84">
        <f>(IF(G90&lt;L90,L90,G90)*(1-IF(H90&lt;N90,H90,N90))*E90*O90*Q90)/100000000</f>
        <v>56.784239999999997</v>
      </c>
      <c r="L90" s="36">
        <v>1270</v>
      </c>
      <c r="M90" s="36">
        <f>+L90-L90*0.25</f>
        <v>952.5</v>
      </c>
      <c r="N90" s="47">
        <f>1-(M90/L90)</f>
        <v>0.25</v>
      </c>
      <c r="O90" s="48">
        <f>+'Trim Rwd'!H65</f>
        <v>276</v>
      </c>
      <c r="P90" s="49">
        <f>O90*(Q90-R90-S90)</f>
        <v>391092</v>
      </c>
      <c r="Q90" s="48">
        <v>1440</v>
      </c>
      <c r="R90" s="394">
        <v>0</v>
      </c>
      <c r="S90" s="394">
        <v>23</v>
      </c>
      <c r="T90" s="38">
        <f>E90*M90*O90*Q90/100000000</f>
        <v>56.784239999999997</v>
      </c>
      <c r="U90" s="38">
        <f>E90*M90*O90*(Q90-R90-S90)/100000000</f>
        <v>55.877269499999997</v>
      </c>
      <c r="V90" s="38">
        <f>E90*G90*(1-N90)*O90/100*(R90+S90)/1000000</f>
        <v>0.84983850000000005</v>
      </c>
      <c r="W90" s="38">
        <f>+'21'!K34/1000</f>
        <v>49.655999999999999</v>
      </c>
      <c r="X90" s="391">
        <f>SUM(W90:W93)/SUM(K90:K93)</f>
        <v>0.87446798618771693</v>
      </c>
      <c r="Y90" s="38">
        <v>0</v>
      </c>
      <c r="Z90" s="38">
        <v>0</v>
      </c>
      <c r="AA90" s="50">
        <f>SUM(U90:U93)-SUM(W90:W93)-SUM(Z90:Z93)-SUM(Y90:Y93)</f>
        <v>6.2212694999999982</v>
      </c>
      <c r="AB90" s="50">
        <f>(SUM(K90:K93)-SUM(W90:W93)-SUM(Y90:Y93)-SUM(Z90:Z93)-SUM(AC90:AC93)-SUM(V90:V93))-AA90</f>
        <v>5.7132000000000183E-2</v>
      </c>
      <c r="AC90" s="38">
        <f>K90-T90</f>
        <v>0</v>
      </c>
      <c r="AD90" s="38">
        <f>+AM90+BA90</f>
        <v>0</v>
      </c>
      <c r="AE90" s="228" t="s">
        <v>392</v>
      </c>
      <c r="AF90" s="38">
        <v>0</v>
      </c>
      <c r="AG90" s="38"/>
      <c r="AH90" s="38"/>
      <c r="AI90" s="469"/>
      <c r="AJ90" s="38"/>
      <c r="AK90" s="38"/>
      <c r="AL90" s="38"/>
      <c r="AM90" s="38">
        <f>SUM(AF90:AL90)+AT90+AV90+AX90</f>
        <v>0</v>
      </c>
      <c r="AN90" s="38"/>
      <c r="AO90" s="38"/>
      <c r="AP90" s="38"/>
      <c r="AQ90" s="38"/>
      <c r="AR90" s="38">
        <f>SUM(AN90:AQ90)</f>
        <v>0</v>
      </c>
      <c r="AS90" s="38"/>
      <c r="AT90" s="38"/>
      <c r="AU90" s="38"/>
      <c r="AV90" s="38"/>
      <c r="AW90" s="38"/>
      <c r="AX90" s="38"/>
      <c r="AY90" s="38"/>
      <c r="AZ90" s="38"/>
      <c r="BA90" s="38">
        <f>+AR90+AS90+AU90+AW90+AY90+AZ90</f>
        <v>0</v>
      </c>
      <c r="BB90" s="34">
        <v>0</v>
      </c>
      <c r="BC90" s="52"/>
      <c r="BD90" s="52"/>
      <c r="BE90" s="34"/>
      <c r="BF90" s="52"/>
    </row>
    <row r="91" spans="1:58" ht="12.95" customHeight="1">
      <c r="A91" s="41"/>
      <c r="B91" s="42"/>
      <c r="C91" s="424"/>
      <c r="D91" s="42"/>
      <c r="E91" s="43"/>
      <c r="F91" s="43"/>
      <c r="G91" s="44"/>
      <c r="H91" s="45"/>
      <c r="I91" s="46"/>
      <c r="J91" s="84"/>
      <c r="K91" s="84"/>
      <c r="L91" s="36"/>
      <c r="M91" s="36"/>
      <c r="N91" s="47"/>
      <c r="O91" s="48"/>
      <c r="P91" s="49"/>
      <c r="Q91" s="48"/>
      <c r="R91" s="394"/>
      <c r="S91" s="394"/>
      <c r="T91" s="38"/>
      <c r="U91" s="38"/>
      <c r="V91" s="38"/>
      <c r="W91" s="38"/>
      <c r="X91" s="39"/>
      <c r="Y91" s="211"/>
      <c r="Z91" s="38"/>
      <c r="AA91" s="38"/>
      <c r="AB91" s="38"/>
      <c r="AC91" s="38"/>
      <c r="AD91" s="38">
        <f>+AM91+BA91</f>
        <v>1</v>
      </c>
      <c r="AE91" s="228" t="s">
        <v>446</v>
      </c>
      <c r="AF91" s="38"/>
      <c r="AG91" s="38">
        <v>1</v>
      </c>
      <c r="AH91" s="38"/>
      <c r="AI91" s="469"/>
      <c r="AJ91" s="38"/>
      <c r="AK91" s="38"/>
      <c r="AL91" s="38"/>
      <c r="AM91" s="38">
        <f>SUM(AF91:AL91)+AT91+AV91+AX91</f>
        <v>1</v>
      </c>
      <c r="AN91" s="85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51"/>
      <c r="BC91" s="52">
        <v>1</v>
      </c>
      <c r="BD91" s="52"/>
      <c r="BE91" s="51"/>
      <c r="BF91" s="52"/>
    </row>
    <row r="92" spans="1:58" ht="12.95" customHeight="1">
      <c r="A92" s="41"/>
      <c r="B92" s="42"/>
      <c r="C92" s="424"/>
      <c r="D92" s="42"/>
      <c r="E92" s="43"/>
      <c r="F92" s="43"/>
      <c r="G92" s="44"/>
      <c r="H92" s="45"/>
      <c r="I92" s="46"/>
      <c r="J92" s="84"/>
      <c r="K92" s="84"/>
      <c r="L92" s="36"/>
      <c r="M92" s="36"/>
      <c r="N92" s="47"/>
      <c r="O92" s="48"/>
      <c r="P92" s="49"/>
      <c r="Q92" s="48"/>
      <c r="R92" s="394"/>
      <c r="S92" s="394"/>
      <c r="T92" s="38"/>
      <c r="U92" s="38"/>
      <c r="V92" s="38"/>
      <c r="W92" s="38"/>
      <c r="X92" s="39"/>
      <c r="Y92" s="211"/>
      <c r="Z92" s="38"/>
      <c r="AA92" s="38"/>
      <c r="AB92" s="38"/>
      <c r="AC92" s="38"/>
      <c r="AD92" s="38">
        <f>+AM92+BA92</f>
        <v>22</v>
      </c>
      <c r="AE92" s="228" t="s">
        <v>514</v>
      </c>
      <c r="AF92" s="34"/>
      <c r="AG92" s="34"/>
      <c r="AH92" s="34">
        <v>22</v>
      </c>
      <c r="AI92" s="469"/>
      <c r="AJ92" s="38"/>
      <c r="AK92" s="38"/>
      <c r="AL92" s="38"/>
      <c r="AM92" s="38">
        <f>SUM(AF92:AL92)+AT92+AV92+AX92</f>
        <v>22</v>
      </c>
      <c r="AN92" s="38"/>
      <c r="AO92" s="38"/>
      <c r="AP92" s="38"/>
      <c r="AQ92" s="38"/>
      <c r="AR92" s="38">
        <f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34"/>
      <c r="BC92" s="54"/>
      <c r="BD92" s="54"/>
      <c r="BE92" s="34"/>
      <c r="BF92" s="54"/>
    </row>
    <row r="93" spans="1:58" ht="12.95" customHeight="1">
      <c r="A93" s="41"/>
      <c r="B93" s="42"/>
      <c r="C93" s="424"/>
      <c r="D93" s="42"/>
      <c r="E93" s="43"/>
      <c r="F93" s="43"/>
      <c r="G93" s="467"/>
      <c r="H93" s="45"/>
      <c r="I93" s="46"/>
      <c r="J93" s="84"/>
      <c r="K93" s="84"/>
      <c r="L93" s="36"/>
      <c r="M93" s="36"/>
      <c r="N93" s="47"/>
      <c r="O93" s="48"/>
      <c r="P93" s="49"/>
      <c r="Q93" s="48"/>
      <c r="R93" s="394"/>
      <c r="S93" s="394"/>
      <c r="T93" s="38"/>
      <c r="U93" s="38"/>
      <c r="V93" s="38"/>
      <c r="W93" s="38"/>
      <c r="X93" s="391"/>
      <c r="Y93" s="38"/>
      <c r="Z93" s="38"/>
      <c r="AA93" s="50"/>
      <c r="AB93" s="50"/>
      <c r="AC93" s="38"/>
      <c r="AD93" s="38"/>
      <c r="AE93" s="228"/>
      <c r="AF93" s="38"/>
      <c r="AG93" s="38"/>
      <c r="AH93" s="38"/>
      <c r="AI93" s="469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4"/>
      <c r="BC93" s="52"/>
      <c r="BD93" s="52"/>
      <c r="BE93" s="52"/>
      <c r="BF93" s="52"/>
    </row>
    <row r="94" spans="1:58" ht="12.75" customHeight="1">
      <c r="A94" s="41">
        <v>46013</v>
      </c>
      <c r="B94" s="42" t="s">
        <v>419</v>
      </c>
      <c r="C94" s="424">
        <f>(M94*E94*O94*Q94)/100000000</f>
        <v>48.306037500000002</v>
      </c>
      <c r="D94" s="42" t="s">
        <v>285</v>
      </c>
      <c r="E94" s="43">
        <v>15</v>
      </c>
      <c r="F94" s="43">
        <v>1</v>
      </c>
      <c r="G94" s="44">
        <v>1190</v>
      </c>
      <c r="H94" s="484">
        <f>+N94</f>
        <v>0.25</v>
      </c>
      <c r="I94" s="46">
        <v>0.88</v>
      </c>
      <c r="J94" s="84">
        <f>E94*G94*(1-H94)*1440/1000000*2.87</f>
        <v>55.327860000000001</v>
      </c>
      <c r="K94" s="84">
        <f>(IF(G94&lt;L94,L94,G94)*(1-IF(H94&lt;N94,H94,N94))*E94*O94*Q94)/100000000</f>
        <v>48.306037500000002</v>
      </c>
      <c r="L94" s="36">
        <v>1270</v>
      </c>
      <c r="M94" s="36">
        <f>+L94-L94*0.25</f>
        <v>952.5</v>
      </c>
      <c r="N94" s="47">
        <f>1-(M94/L94)</f>
        <v>0.25</v>
      </c>
      <c r="O94" s="48">
        <f>+'Trim Rwd'!H67</f>
        <v>276</v>
      </c>
      <c r="P94" s="49">
        <f>O94*(Q94-R94-S94)</f>
        <v>332028</v>
      </c>
      <c r="Q94" s="48">
        <v>1225</v>
      </c>
      <c r="R94" s="394">
        <v>0</v>
      </c>
      <c r="S94" s="394">
        <v>22</v>
      </c>
      <c r="T94" s="38">
        <f>E94*M94*O94*Q94/100000000</f>
        <v>48.306037500000002</v>
      </c>
      <c r="U94" s="38">
        <f>E94*M94*O94*(Q94-R94-S94)/100000000</f>
        <v>47.438500500000004</v>
      </c>
      <c r="V94" s="38">
        <f>E94*G94*(1-N94)*O94/100*(R94+S94)/1000000</f>
        <v>0.81288899999999997</v>
      </c>
      <c r="W94" s="38">
        <f>+'22'!K17/1000</f>
        <v>52.56</v>
      </c>
      <c r="X94" s="391">
        <f>SUM(W94:W97)/SUM(K94:K97)</f>
        <v>0.98380912574033375</v>
      </c>
      <c r="Y94" s="38">
        <v>0</v>
      </c>
      <c r="Z94" s="38">
        <v>0</v>
      </c>
      <c r="AA94" s="50">
        <f>SUM(U94:U97)-SUM(W94:W97)-SUM(Z94:Z97)-SUM(Y94:Y97)</f>
        <v>-2.9243093750004334E-2</v>
      </c>
      <c r="AB94" s="50">
        <f>(SUM(K94:K97)-SUM(W94:W97)-SUM(Y94:Y97)-SUM(Z94:Z97)-SUM(AC94:AC97)-SUM(V94:V97))-AA94</f>
        <v>5.633381250000058E-2</v>
      </c>
      <c r="AC94" s="38">
        <f>K94-T94</f>
        <v>0</v>
      </c>
      <c r="AD94" s="38">
        <f>+AM94+BA94</f>
        <v>0</v>
      </c>
      <c r="AE94" s="228" t="s">
        <v>392</v>
      </c>
      <c r="AF94" s="38">
        <v>0</v>
      </c>
      <c r="AG94" s="38"/>
      <c r="AH94" s="38"/>
      <c r="AI94" s="469"/>
      <c r="AJ94" s="38"/>
      <c r="AK94" s="38"/>
      <c r="AL94" s="38"/>
      <c r="AM94" s="38">
        <f>SUM(AF94:AL94)+AT94+AV94+AX94</f>
        <v>0</v>
      </c>
      <c r="AN94" s="38"/>
      <c r="AO94" s="38"/>
      <c r="AP94" s="38"/>
      <c r="AQ94" s="38"/>
      <c r="AR94" s="38">
        <f>SUM(AN94:AQ94)</f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>+AR94+AS94+AU94+AW94+AY94+AZ94</f>
        <v>0</v>
      </c>
      <c r="BB94" s="34">
        <v>0</v>
      </c>
      <c r="BC94" s="52"/>
      <c r="BD94" s="52"/>
      <c r="BE94" s="34"/>
      <c r="BF94" s="52"/>
    </row>
    <row r="95" spans="1:58" ht="12.95" customHeight="1">
      <c r="A95" s="41"/>
      <c r="B95" s="42" t="s">
        <v>419</v>
      </c>
      <c r="C95" s="424">
        <f>(M95*E95*O95*Q95)/100000000</f>
        <v>8.1551179687499999</v>
      </c>
      <c r="D95" s="42" t="s">
        <v>285</v>
      </c>
      <c r="E95" s="43">
        <v>13.5</v>
      </c>
      <c r="F95" s="43">
        <v>1</v>
      </c>
      <c r="G95" s="44">
        <v>1320</v>
      </c>
      <c r="H95" s="484">
        <f>+N95</f>
        <v>0.25</v>
      </c>
      <c r="I95" s="46">
        <v>0.88</v>
      </c>
      <c r="J95" s="84">
        <f>E95*G95*(1-H95)*1440/1000000*2.87</f>
        <v>55.234872000000003</v>
      </c>
      <c r="K95" s="84">
        <f>(IF(G95&lt;L95,L95,G95)*(1-IF(H95&lt;N95,H95,N95))*E95*O95*Q95)/100000000</f>
        <v>8.1551179687499999</v>
      </c>
      <c r="L95" s="36">
        <v>1350</v>
      </c>
      <c r="M95" s="36">
        <f>+L95-L95*0.25</f>
        <v>1012.5</v>
      </c>
      <c r="N95" s="47">
        <f>1-(M95/L95)</f>
        <v>0.25</v>
      </c>
      <c r="O95" s="48">
        <f>+'Trim Rwd'!H68</f>
        <v>277.5</v>
      </c>
      <c r="P95" s="49">
        <f>O95*(Q95-R95-S95)</f>
        <v>59107.5</v>
      </c>
      <c r="Q95" s="48">
        <v>215</v>
      </c>
      <c r="R95" s="394">
        <v>0</v>
      </c>
      <c r="S95" s="394">
        <v>2</v>
      </c>
      <c r="T95" s="38">
        <f>E95*M95*O95*Q95/100000000</f>
        <v>8.1551179687499999</v>
      </c>
      <c r="U95" s="38">
        <f>E95*M95*O95*(Q95-R95-S95)/100000000</f>
        <v>8.0792564062499999</v>
      </c>
      <c r="V95" s="38">
        <f>E95*G95*(1-N95)*O95/100*(R95+S95)/1000000</f>
        <v>7.4175749999999999E-2</v>
      </c>
      <c r="W95" s="38">
        <f>+'22'!K18/1000</f>
        <v>2.9870000000000001</v>
      </c>
      <c r="X95" s="39"/>
      <c r="Y95" s="211"/>
      <c r="Z95" s="38"/>
      <c r="AA95" s="38"/>
      <c r="AB95" s="38"/>
      <c r="AC95" s="38">
        <f>K95-T95</f>
        <v>0</v>
      </c>
      <c r="AD95" s="38">
        <f>+AM95+BA95</f>
        <v>2</v>
      </c>
      <c r="AE95" s="228" t="s">
        <v>446</v>
      </c>
      <c r="AF95" s="38"/>
      <c r="AG95" s="38">
        <v>2</v>
      </c>
      <c r="AH95" s="38"/>
      <c r="AI95" s="469"/>
      <c r="AJ95" s="38"/>
      <c r="AK95" s="38"/>
      <c r="AL95" s="38"/>
      <c r="AM95" s="38">
        <f>SUM(AF95:AL95)+AT95+AV95+AX95</f>
        <v>2</v>
      </c>
      <c r="AN95" s="85"/>
      <c r="AO95" s="38"/>
      <c r="AP95" s="38"/>
      <c r="AQ95" s="38"/>
      <c r="AR95" s="38">
        <f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51"/>
      <c r="BC95" s="52">
        <v>1</v>
      </c>
      <c r="BD95" s="52"/>
      <c r="BE95" s="51"/>
      <c r="BF95" s="52"/>
    </row>
    <row r="96" spans="1:58" ht="12.95" customHeight="1">
      <c r="A96" s="41"/>
      <c r="B96" s="42"/>
      <c r="C96" s="424"/>
      <c r="D96" s="42"/>
      <c r="E96" s="43"/>
      <c r="F96" s="43"/>
      <c r="G96" s="44"/>
      <c r="H96" s="45"/>
      <c r="I96" s="46"/>
      <c r="J96" s="84"/>
      <c r="K96" s="84"/>
      <c r="L96" s="36"/>
      <c r="M96" s="36"/>
      <c r="N96" s="47"/>
      <c r="O96" s="48"/>
      <c r="P96" s="49"/>
      <c r="Q96" s="48"/>
      <c r="R96" s="394"/>
      <c r="S96" s="394"/>
      <c r="T96" s="38"/>
      <c r="U96" s="38"/>
      <c r="V96" s="38"/>
      <c r="W96" s="38"/>
      <c r="X96" s="39"/>
      <c r="Y96" s="211"/>
      <c r="Z96" s="38"/>
      <c r="AA96" s="38"/>
      <c r="AB96" s="38"/>
      <c r="AC96" s="38"/>
      <c r="AD96" s="38">
        <f>+AM96+BA96</f>
        <v>22</v>
      </c>
      <c r="AE96" s="228" t="s">
        <v>420</v>
      </c>
      <c r="AF96" s="34"/>
      <c r="AG96" s="34"/>
      <c r="AH96" s="34">
        <v>22</v>
      </c>
      <c r="AI96" s="469"/>
      <c r="AJ96" s="38"/>
      <c r="AK96" s="38"/>
      <c r="AL96" s="38"/>
      <c r="AM96" s="38">
        <f>SUM(AF96:AL96)+AT96+AV96+AX96</f>
        <v>22</v>
      </c>
      <c r="AN96" s="38"/>
      <c r="AO96" s="38"/>
      <c r="AP96" s="38"/>
      <c r="AQ96" s="38"/>
      <c r="AR96" s="38">
        <f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34"/>
      <c r="BC96" s="54"/>
      <c r="BD96" s="54"/>
      <c r="BE96" s="34"/>
      <c r="BF96" s="54"/>
    </row>
    <row r="97" spans="1:58" ht="12.95" customHeight="1">
      <c r="A97" s="41"/>
      <c r="B97" s="42"/>
      <c r="C97" s="424"/>
      <c r="D97" s="42"/>
      <c r="E97" s="43"/>
      <c r="F97" s="43"/>
      <c r="G97" s="467"/>
      <c r="H97" s="45"/>
      <c r="I97" s="46"/>
      <c r="J97" s="84"/>
      <c r="K97" s="84"/>
      <c r="L97" s="36"/>
      <c r="M97" s="36"/>
      <c r="N97" s="47"/>
      <c r="O97" s="48"/>
      <c r="P97" s="49"/>
      <c r="Q97" s="48"/>
      <c r="R97" s="394"/>
      <c r="S97" s="394"/>
      <c r="T97" s="38"/>
      <c r="U97" s="38"/>
      <c r="V97" s="38"/>
      <c r="W97" s="38"/>
      <c r="X97" s="391"/>
      <c r="Y97" s="38"/>
      <c r="Z97" s="38"/>
      <c r="AA97" s="50"/>
      <c r="AB97" s="50"/>
      <c r="AC97" s="38"/>
      <c r="AD97" s="38"/>
      <c r="AE97" s="228"/>
      <c r="AF97" s="38"/>
      <c r="AG97" s="38"/>
      <c r="AH97" s="38"/>
      <c r="AI97" s="469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4"/>
      <c r="BC97" s="52"/>
      <c r="BD97" s="52"/>
      <c r="BE97" s="52"/>
      <c r="BF97" s="52"/>
    </row>
    <row r="98" spans="1:58" ht="12.75" customHeight="1">
      <c r="A98" s="41">
        <v>46014</v>
      </c>
      <c r="B98" s="42" t="s">
        <v>419</v>
      </c>
      <c r="C98" s="424">
        <f>(M98*E98*O98*Q98)/100000000</f>
        <v>13.65508125</v>
      </c>
      <c r="D98" s="42" t="s">
        <v>285</v>
      </c>
      <c r="E98" s="43">
        <v>13.5</v>
      </c>
      <c r="F98" s="43">
        <v>1</v>
      </c>
      <c r="G98" s="44">
        <v>1320</v>
      </c>
      <c r="H98" s="484">
        <f>+N98</f>
        <v>0.25</v>
      </c>
      <c r="I98" s="46">
        <v>0.88</v>
      </c>
      <c r="J98" s="84">
        <f>E98*G98*(1-H98)*1440/1000000*2.87</f>
        <v>55.234872000000003</v>
      </c>
      <c r="K98" s="84">
        <f>(IF(G98&lt;L98,L98,G98)*(1-IF(H98&lt;N98,H98,N98))*E98*O98*Q98)/100000000</f>
        <v>13.65508125</v>
      </c>
      <c r="L98" s="36">
        <v>1350</v>
      </c>
      <c r="M98" s="36">
        <v>1012.5</v>
      </c>
      <c r="N98" s="47">
        <f>1-(M98/L98)</f>
        <v>0.25</v>
      </c>
      <c r="O98" s="48">
        <f>+'Trim Rwd'!H70</f>
        <v>277.5</v>
      </c>
      <c r="P98" s="49">
        <f>O98*(Q98-R98-S98)</f>
        <v>98235</v>
      </c>
      <c r="Q98" s="48">
        <v>360</v>
      </c>
      <c r="R98" s="394">
        <v>0</v>
      </c>
      <c r="S98" s="394">
        <v>6</v>
      </c>
      <c r="T98" s="38">
        <f>E98*M98*O98*Q98/100000000</f>
        <v>13.65508125</v>
      </c>
      <c r="U98" s="38">
        <f>E98*M98*O98*(Q98-R98-S98)/100000000</f>
        <v>13.4274965625</v>
      </c>
      <c r="V98" s="38">
        <f>E98*G98*(1-N98)*O98/100*(R98+S98)/1000000</f>
        <v>0.22252725000000001</v>
      </c>
      <c r="W98" s="38">
        <f>+'23'!K18/1000</f>
        <v>17.661000000000001</v>
      </c>
      <c r="X98" s="391">
        <f>SUM(W98:W101)/SUM(K98:K101)</f>
        <v>0.91998201433801985</v>
      </c>
      <c r="Y98" s="38">
        <v>0</v>
      </c>
      <c r="Z98" s="38">
        <v>0</v>
      </c>
      <c r="AA98" s="50">
        <f>SUM(U98:U101)-SUM(W98:W101)-SUM(Z98:Z101)-SUM(Y98:Y101)</f>
        <v>3.4936869625000071</v>
      </c>
      <c r="AB98" s="50">
        <f>(SUM(K98:K101)-SUM(W98:W101)-SUM(Y98:Y101)-SUM(Z98:Z101)-SUM(AC98:AC101)-SUM(V98:V101))-AA98</f>
        <v>3.4772287499996501E-2</v>
      </c>
      <c r="AC98" s="38">
        <f>K98-T98</f>
        <v>0</v>
      </c>
      <c r="AD98" s="38">
        <f>+AM98+BA98</f>
        <v>0</v>
      </c>
      <c r="AE98" s="228" t="s">
        <v>392</v>
      </c>
      <c r="AF98" s="38">
        <v>0</v>
      </c>
      <c r="AG98" s="38"/>
      <c r="AH98" s="38"/>
      <c r="AI98" s="469"/>
      <c r="AJ98" s="38"/>
      <c r="AK98" s="38"/>
      <c r="AL98" s="38"/>
      <c r="AM98" s="38">
        <f>SUM(AF98:AL98)+AT98+AV98+AX98</f>
        <v>0</v>
      </c>
      <c r="AN98" s="38"/>
      <c r="AO98" s="38"/>
      <c r="AP98" s="38"/>
      <c r="AQ98" s="38"/>
      <c r="AR98" s="38">
        <f>SUM(AN98:AQ98)</f>
        <v>0</v>
      </c>
      <c r="AS98" s="38"/>
      <c r="AT98" s="38"/>
      <c r="AU98" s="38"/>
      <c r="AV98" s="38"/>
      <c r="AW98" s="38"/>
      <c r="AX98" s="38"/>
      <c r="AY98" s="38"/>
      <c r="AZ98" s="38"/>
      <c r="BA98" s="38">
        <f>+AR98+AS98+AU98+AW98+AY98+AZ98</f>
        <v>0</v>
      </c>
      <c r="BB98" s="34">
        <v>0</v>
      </c>
      <c r="BC98" s="52"/>
      <c r="BD98" s="52"/>
      <c r="BE98" s="34"/>
      <c r="BF98" s="52"/>
    </row>
    <row r="99" spans="1:58" ht="12.95" customHeight="1">
      <c r="A99" s="41"/>
      <c r="B99" s="42" t="s">
        <v>419</v>
      </c>
      <c r="C99" s="424">
        <f>(M99*E99*O99*Q99)/100000000</f>
        <v>41.492736000000001</v>
      </c>
      <c r="D99" s="42" t="s">
        <v>285</v>
      </c>
      <c r="E99" s="43">
        <v>14.5</v>
      </c>
      <c r="F99" s="43">
        <v>1</v>
      </c>
      <c r="G99" s="44">
        <v>1225</v>
      </c>
      <c r="H99" s="484">
        <f>+N99</f>
        <v>0.25</v>
      </c>
      <c r="I99" s="46">
        <v>0.88</v>
      </c>
      <c r="J99" s="84">
        <f>E99*G99*(1-H99)*1440/1000000*2.87</f>
        <v>55.056644999999996</v>
      </c>
      <c r="K99" s="84">
        <f>(IF(G99&lt;L99,L99,G99)*(1-IF(H99&lt;N99,H99,N99))*E99*O99*Q99)/100000000</f>
        <v>41.492736000000001</v>
      </c>
      <c r="L99" s="36">
        <v>1280</v>
      </c>
      <c r="M99" s="36">
        <v>960</v>
      </c>
      <c r="N99" s="47">
        <f>1-(M99/L99)</f>
        <v>0.25</v>
      </c>
      <c r="O99" s="48">
        <f>+'Trim Rwd'!H72</f>
        <v>276</v>
      </c>
      <c r="P99" s="49">
        <f>O99*(Q99-R99-S99)</f>
        <v>293112</v>
      </c>
      <c r="Q99" s="48">
        <v>1080</v>
      </c>
      <c r="R99" s="394">
        <v>0</v>
      </c>
      <c r="S99" s="394">
        <v>18</v>
      </c>
      <c r="T99" s="38">
        <f>E99*M99*O99*Q99/100000000</f>
        <v>41.492736000000001</v>
      </c>
      <c r="U99" s="38">
        <f>E99*M99*O99*(Q99-R99-S99)/100000000</f>
        <v>40.801190400000003</v>
      </c>
      <c r="V99" s="38">
        <f>E99*G99*(1-N99)*O99/100*(R99+S99)/1000000</f>
        <v>0.66183075000000002</v>
      </c>
      <c r="W99" s="38">
        <f>+'23'!K19/1000</f>
        <v>32.442999999999998</v>
      </c>
      <c r="X99" s="39"/>
      <c r="Y99" s="211"/>
      <c r="Z99" s="38"/>
      <c r="AA99" s="38"/>
      <c r="AB99" s="38"/>
      <c r="AC99" s="38">
        <f>K99-T99</f>
        <v>0</v>
      </c>
      <c r="AD99" s="38">
        <f>+AM99+BA99</f>
        <v>2</v>
      </c>
      <c r="AE99" s="228" t="s">
        <v>446</v>
      </c>
      <c r="AF99" s="38"/>
      <c r="AG99" s="38">
        <v>2</v>
      </c>
      <c r="AH99" s="38"/>
      <c r="AI99" s="469"/>
      <c r="AJ99" s="38"/>
      <c r="AK99" s="38"/>
      <c r="AL99" s="38"/>
      <c r="AM99" s="38">
        <f>SUM(AF99:AL99)+AT99+AV99+AX99</f>
        <v>2</v>
      </c>
      <c r="AN99" s="85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51"/>
      <c r="BC99" s="52">
        <v>1</v>
      </c>
      <c r="BD99" s="52"/>
      <c r="BE99" s="51"/>
      <c r="BF99" s="52"/>
    </row>
    <row r="100" spans="1:58" ht="12.95" customHeight="1">
      <c r="A100" s="41"/>
      <c r="B100" s="42" t="s">
        <v>419</v>
      </c>
      <c r="C100" s="424"/>
      <c r="D100" s="42"/>
      <c r="E100" s="43">
        <v>15</v>
      </c>
      <c r="F100" s="43"/>
      <c r="G100" s="44"/>
      <c r="H100" s="45"/>
      <c r="I100" s="46"/>
      <c r="J100" s="84"/>
      <c r="K100" s="84"/>
      <c r="L100" s="36"/>
      <c r="M100" s="36"/>
      <c r="N100" s="47"/>
      <c r="O100" s="48"/>
      <c r="P100" s="49"/>
      <c r="Q100" s="48"/>
      <c r="R100" s="394"/>
      <c r="S100" s="394"/>
      <c r="T100" s="38"/>
      <c r="U100" s="38"/>
      <c r="V100" s="38"/>
      <c r="W100" s="38">
        <f>+'23'!K17/1000</f>
        <v>0.63100000000000001</v>
      </c>
      <c r="X100" s="39"/>
      <c r="Y100" s="211"/>
      <c r="Z100" s="38"/>
      <c r="AA100" s="38"/>
      <c r="AB100" s="38"/>
      <c r="AC100" s="38"/>
      <c r="AD100" s="38">
        <f>+AM100+BA100</f>
        <v>22</v>
      </c>
      <c r="AE100" s="228" t="s">
        <v>420</v>
      </c>
      <c r="AF100" s="34"/>
      <c r="AG100" s="34"/>
      <c r="AH100" s="34">
        <v>22</v>
      </c>
      <c r="AI100" s="469"/>
      <c r="AJ100" s="38"/>
      <c r="AK100" s="38"/>
      <c r="AL100" s="38"/>
      <c r="AM100" s="38">
        <f>SUM(AF100:AL100)+AT100+AV100+AX100</f>
        <v>22</v>
      </c>
      <c r="AN100" s="38"/>
      <c r="AO100" s="38"/>
      <c r="AP100" s="38"/>
      <c r="AQ100" s="38"/>
      <c r="AR100" s="38">
        <f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34"/>
      <c r="BC100" s="54"/>
      <c r="BD100" s="54"/>
      <c r="BE100" s="34"/>
      <c r="BF100" s="54"/>
    </row>
    <row r="101" spans="1:58" ht="12.95" customHeight="1">
      <c r="A101" s="41"/>
      <c r="B101" s="42"/>
      <c r="C101" s="424"/>
      <c r="D101" s="42"/>
      <c r="E101" s="43"/>
      <c r="F101" s="43"/>
      <c r="G101" s="467"/>
      <c r="H101" s="45"/>
      <c r="I101" s="46"/>
      <c r="J101" s="84"/>
      <c r="K101" s="84"/>
      <c r="L101" s="36"/>
      <c r="M101" s="36"/>
      <c r="N101" s="47"/>
      <c r="O101" s="48"/>
      <c r="P101" s="49"/>
      <c r="Q101" s="48"/>
      <c r="R101" s="394"/>
      <c r="S101" s="394"/>
      <c r="T101" s="38"/>
      <c r="U101" s="38"/>
      <c r="V101" s="38"/>
      <c r="W101" s="38"/>
      <c r="X101" s="391"/>
      <c r="Y101" s="38"/>
      <c r="Z101" s="38"/>
      <c r="AA101" s="50"/>
      <c r="AB101" s="50"/>
      <c r="AC101" s="38"/>
      <c r="AD101" s="38"/>
      <c r="AE101" s="228"/>
      <c r="AF101" s="38"/>
      <c r="AG101" s="38"/>
      <c r="AH101" s="38"/>
      <c r="AI101" s="469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4"/>
      <c r="BC101" s="52"/>
      <c r="BD101" s="52"/>
      <c r="BE101" s="52"/>
      <c r="BF101" s="52"/>
    </row>
    <row r="102" spans="1:58" ht="12.75" customHeight="1">
      <c r="A102" s="41">
        <v>46015</v>
      </c>
      <c r="B102" s="42" t="s">
        <v>419</v>
      </c>
      <c r="C102" s="424">
        <f>(M102*E102*O102*Q102)/100000000</f>
        <v>3.9019499999999998</v>
      </c>
      <c r="D102" s="42" t="s">
        <v>285</v>
      </c>
      <c r="E102" s="43">
        <v>14.5</v>
      </c>
      <c r="F102" s="43">
        <v>1</v>
      </c>
      <c r="G102" s="44">
        <v>1225</v>
      </c>
      <c r="H102" s="484">
        <f>+N102</f>
        <v>0.25</v>
      </c>
      <c r="I102" s="46">
        <v>0.88</v>
      </c>
      <c r="J102" s="84">
        <f>E102*G102*(1-H102)*1440/1000000*2.87</f>
        <v>55.056644999999996</v>
      </c>
      <c r="K102" s="84">
        <f>(IF(G102&lt;L102,L102,G102)*(1-IF(H102&lt;N102,H102,N102))*E102*O102*Q102)/100000000</f>
        <v>3.9019499999999998</v>
      </c>
      <c r="L102" s="36">
        <v>1300</v>
      </c>
      <c r="M102" s="36">
        <v>975</v>
      </c>
      <c r="N102" s="47">
        <f>1-(M102/L102)</f>
        <v>0.25</v>
      </c>
      <c r="O102" s="48">
        <f>+'Trim Rwd'!H74</f>
        <v>276</v>
      </c>
      <c r="P102" s="49">
        <f>O102*(Q102-R102-S102)</f>
        <v>27048</v>
      </c>
      <c r="Q102" s="48">
        <v>100</v>
      </c>
      <c r="R102" s="394">
        <v>0</v>
      </c>
      <c r="S102" s="394">
        <v>2</v>
      </c>
      <c r="T102" s="38">
        <f>E102*M102*O102*Q102/100000000</f>
        <v>3.9019499999999998</v>
      </c>
      <c r="U102" s="38">
        <f>E102*M102*O102*(Q102-R102-S102)/100000000</f>
        <v>3.8239109999999998</v>
      </c>
      <c r="V102" s="38">
        <f>E102*G102*(1-N102)*O102/100*(R102+S102)/1000000</f>
        <v>7.3536749999999998E-2</v>
      </c>
      <c r="W102" s="38">
        <f>+'24'!K19/1000</f>
        <v>9.4420000000000002</v>
      </c>
      <c r="X102" s="391">
        <f>SUM(W102:W105)/SUM(K102:K105)</f>
        <v>0.99410496777728441</v>
      </c>
      <c r="Y102" s="38">
        <v>0</v>
      </c>
      <c r="Z102" s="38">
        <v>0</v>
      </c>
      <c r="AA102" s="50">
        <f>SUM(U102:U105)-SUM(W102:W105)-SUM(Z102:Z105)-SUM(Y102:Y105)</f>
        <v>-0.90734882889289992</v>
      </c>
      <c r="AB102" s="50">
        <f>(SUM(K102:K105)-SUM(W102:W105)-SUM(Y102:Y105)-SUM(Z102:Z105)-SUM(AC102:AC105)-SUM(V102:V105))-AA102</f>
        <v>2.1186450000002077E-2</v>
      </c>
      <c r="AC102" s="38">
        <f>K102-T102</f>
        <v>0</v>
      </c>
      <c r="AD102" s="38">
        <f>+AM102+BA102</f>
        <v>0</v>
      </c>
      <c r="AE102" s="228" t="s">
        <v>392</v>
      </c>
      <c r="AF102" s="38">
        <v>0</v>
      </c>
      <c r="AG102" s="38"/>
      <c r="AH102" s="38"/>
      <c r="AI102" s="469"/>
      <c r="AJ102" s="38"/>
      <c r="AK102" s="38"/>
      <c r="AL102" s="38"/>
      <c r="AM102" s="38">
        <f>SUM(AF102:AL102)+AT102+AV102+AX102</f>
        <v>0</v>
      </c>
      <c r="AN102" s="38"/>
      <c r="AO102" s="38"/>
      <c r="AP102" s="38"/>
      <c r="AQ102" s="38"/>
      <c r="AR102" s="38">
        <f>SUM(AN102:AQ102)</f>
        <v>0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0</v>
      </c>
      <c r="BB102" s="34">
        <v>0</v>
      </c>
      <c r="BC102" s="52"/>
      <c r="BD102" s="52"/>
      <c r="BE102" s="34"/>
      <c r="BF102" s="52"/>
    </row>
    <row r="103" spans="1:58" ht="12.95" customHeight="1">
      <c r="A103" s="41"/>
      <c r="B103" s="42" t="s">
        <v>417</v>
      </c>
      <c r="C103" s="424">
        <f>(M103*E103*O103*Q103)/100000000</f>
        <v>11.4696</v>
      </c>
      <c r="D103" s="42" t="s">
        <v>285</v>
      </c>
      <c r="E103" s="43">
        <v>16</v>
      </c>
      <c r="F103" s="43">
        <v>1</v>
      </c>
      <c r="G103" s="44">
        <v>1110</v>
      </c>
      <c r="H103" s="484">
        <f>+N103</f>
        <v>0.25</v>
      </c>
      <c r="I103" s="46">
        <v>0.88</v>
      </c>
      <c r="J103" s="84">
        <f>E103*G103*(1-H103)*1440/1000000*2.87</f>
        <v>55.048896000000006</v>
      </c>
      <c r="K103" s="84">
        <f>(IF(G103&lt;L103,L103,G103)*(1-IF(H103&lt;N103,H103,N103))*E103*O103*Q103)/100000000</f>
        <v>11.4696</v>
      </c>
      <c r="L103" s="36">
        <v>1180</v>
      </c>
      <c r="M103" s="36">
        <v>885</v>
      </c>
      <c r="N103" s="47">
        <f>1-(M103/L103)</f>
        <v>0.25</v>
      </c>
      <c r="O103" s="48">
        <f>+'Trim Rwd'!H75</f>
        <v>270</v>
      </c>
      <c r="P103" s="49">
        <f>O103*(Q103-R103-S103)</f>
        <v>78570</v>
      </c>
      <c r="Q103" s="48">
        <v>300</v>
      </c>
      <c r="R103" s="394">
        <v>0</v>
      </c>
      <c r="S103" s="394">
        <v>9</v>
      </c>
      <c r="T103" s="38">
        <f>E103*M103*O103*Q103/100000000</f>
        <v>11.4696</v>
      </c>
      <c r="U103" s="38">
        <f>E103*M103*O103*(Q103-R103-S103)/100000000</f>
        <v>11.125512000000001</v>
      </c>
      <c r="V103" s="38">
        <f>E103*G103*(1-N103)*O103/100*(R103+S103)/1000000</f>
        <v>0.32367600000000002</v>
      </c>
      <c r="W103" s="38">
        <f>+'24'!K20/1000</f>
        <v>10.981999999999999</v>
      </c>
      <c r="X103" s="39"/>
      <c r="Y103" s="211"/>
      <c r="Z103" s="38"/>
      <c r="AA103" s="38"/>
      <c r="AB103" s="38"/>
      <c r="AC103" s="38">
        <f>K103-T103</f>
        <v>0</v>
      </c>
      <c r="AD103" s="38">
        <f>+AM103+BA103</f>
        <v>3</v>
      </c>
      <c r="AE103" s="228" t="s">
        <v>478</v>
      </c>
      <c r="AF103" s="38"/>
      <c r="AG103" s="38">
        <v>3</v>
      </c>
      <c r="AH103" s="38"/>
      <c r="AI103" s="469"/>
      <c r="AJ103" s="38"/>
      <c r="AK103" s="38"/>
      <c r="AL103" s="38"/>
      <c r="AM103" s="38">
        <f>SUM(AF103:AL103)+AT103+AV103+AX103</f>
        <v>3</v>
      </c>
      <c r="AN103" s="85"/>
      <c r="AO103" s="38"/>
      <c r="AP103" s="38"/>
      <c r="AQ103" s="38"/>
      <c r="AR103" s="38">
        <f>SUM(AN103:AQ103)</f>
        <v>0</v>
      </c>
      <c r="AS103" s="38"/>
      <c r="AT103" s="38"/>
      <c r="AU103" s="38"/>
      <c r="AV103" s="38"/>
      <c r="AW103" s="38"/>
      <c r="AX103" s="38"/>
      <c r="AY103" s="38"/>
      <c r="AZ103" s="38"/>
      <c r="BA103" s="38">
        <f>+AR103+AS103+AU103+AW103+AY103+AZ103</f>
        <v>0</v>
      </c>
      <c r="BB103" s="51"/>
      <c r="BC103" s="52">
        <v>1</v>
      </c>
      <c r="BD103" s="52"/>
      <c r="BE103" s="51"/>
      <c r="BF103" s="52"/>
    </row>
    <row r="104" spans="1:58" ht="12.95" customHeight="1">
      <c r="A104" s="41"/>
      <c r="B104" s="42" t="s">
        <v>417</v>
      </c>
      <c r="C104" s="424">
        <f>(M104*E104*O104*Q104)/100000000</f>
        <v>31.677714153191491</v>
      </c>
      <c r="D104" s="42" t="s">
        <v>285</v>
      </c>
      <c r="E104" s="43">
        <v>13</v>
      </c>
      <c r="F104" s="43">
        <v>1</v>
      </c>
      <c r="G104" s="44">
        <v>1350</v>
      </c>
      <c r="H104" s="484">
        <f>+N104</f>
        <v>0.2409039548022599</v>
      </c>
      <c r="I104" s="46">
        <v>0.88</v>
      </c>
      <c r="J104" s="84">
        <f>E104*G104*(1-H104)*1440/1000000*2.87</f>
        <v>55.057721979661011</v>
      </c>
      <c r="K104" s="84">
        <f>(IF(G104&lt;L104,L104,G104)*(1-IF(H104&lt;N104,H104,N104))*E104*O104*Q104)/100000000</f>
        <v>31.677714153191491</v>
      </c>
      <c r="L104" s="36">
        <v>1350</v>
      </c>
      <c r="M104" s="36">
        <v>1024.7796610169491</v>
      </c>
      <c r="N104" s="47">
        <f>1-(M104/L104)</f>
        <v>0.2409039548022599</v>
      </c>
      <c r="O104" s="48">
        <f>+'Trim Rwd'!H76</f>
        <v>268.68085106382978</v>
      </c>
      <c r="P104" s="49">
        <f>O104*(Q104-R104-S104)</f>
        <v>234021.02127659574</v>
      </c>
      <c r="Q104" s="48">
        <v>885</v>
      </c>
      <c r="R104" s="394">
        <v>0</v>
      </c>
      <c r="S104" s="394">
        <f>28-S102-S103-S105</f>
        <v>14</v>
      </c>
      <c r="T104" s="38">
        <f>E104*M104*O104*Q104/100000000</f>
        <v>31.677714153191491</v>
      </c>
      <c r="U104" s="38">
        <f>E104*M104*O104*(Q104-R104-S104)/100000000</f>
        <v>31.176597771107101</v>
      </c>
      <c r="V104" s="38">
        <f>E104*G104*(1-N104)*O104/100*(R104+S104)/1000000</f>
        <v>0.50111638208438514</v>
      </c>
      <c r="W104" s="38">
        <f>+'24'!K12/1000</f>
        <v>29.641999999999999</v>
      </c>
      <c r="X104" s="39"/>
      <c r="Y104" s="211"/>
      <c r="Z104" s="38"/>
      <c r="AA104" s="38"/>
      <c r="AB104" s="38"/>
      <c r="AC104" s="38">
        <f>K104-T104</f>
        <v>0</v>
      </c>
      <c r="AD104" s="38">
        <f>+AM104+BA104</f>
        <v>25</v>
      </c>
      <c r="AE104" s="228" t="s">
        <v>513</v>
      </c>
      <c r="AF104" s="34"/>
      <c r="AG104" s="34"/>
      <c r="AH104" s="34">
        <v>25</v>
      </c>
      <c r="AI104" s="469"/>
      <c r="AJ104" s="38"/>
      <c r="AK104" s="38"/>
      <c r="AL104" s="38"/>
      <c r="AM104" s="38">
        <f>SUM(AF104:AL104)+AT104+AV104+AX104</f>
        <v>25</v>
      </c>
      <c r="AN104" s="38"/>
      <c r="AO104" s="38"/>
      <c r="AP104" s="38"/>
      <c r="AQ104" s="38"/>
      <c r="AR104" s="38">
        <f>SUM(AN104:AQ104)</f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>+AR104+AS104+AU104+AW104+AY104+AZ104</f>
        <v>0</v>
      </c>
      <c r="BB104" s="34"/>
      <c r="BC104" s="54"/>
      <c r="BD104" s="54"/>
      <c r="BE104" s="34"/>
      <c r="BF104" s="54"/>
    </row>
    <row r="105" spans="1:58" ht="12.95" customHeight="1">
      <c r="A105" s="41"/>
      <c r="B105" s="42" t="s">
        <v>417</v>
      </c>
      <c r="C105" s="424">
        <f>(M105*E105*O105*Q105)/100000000</f>
        <v>5.2002810000000004</v>
      </c>
      <c r="D105" s="42" t="s">
        <v>285</v>
      </c>
      <c r="E105" s="43">
        <v>12</v>
      </c>
      <c r="F105" s="43">
        <v>1</v>
      </c>
      <c r="G105" s="44">
        <v>1400</v>
      </c>
      <c r="H105" s="484">
        <f>+N105</f>
        <v>0.24</v>
      </c>
      <c r="I105" s="46">
        <v>0.88</v>
      </c>
      <c r="J105" s="84">
        <f>E105*G105*(1-H105)*1440/1000000*2.87</f>
        <v>52.767590399999996</v>
      </c>
      <c r="K105" s="84">
        <f>(IF(G105&lt;L105,L105,G105)*(1-IF(H105&lt;N105,H105,N105))*E105*O105*Q105)/100000000</f>
        <v>5.3928839999999996</v>
      </c>
      <c r="L105" s="36">
        <v>1350</v>
      </c>
      <c r="M105" s="36">
        <v>1026</v>
      </c>
      <c r="N105" s="47">
        <f>1-(M105/L105)</f>
        <v>0.24</v>
      </c>
      <c r="O105" s="48">
        <f>+'Trim Rwd'!H78</f>
        <v>272.5</v>
      </c>
      <c r="P105" s="49">
        <f>O105*(Q105-R105-S105)</f>
        <v>41420</v>
      </c>
      <c r="Q105" s="48">
        <v>155</v>
      </c>
      <c r="R105" s="394">
        <v>0</v>
      </c>
      <c r="S105" s="394">
        <v>3</v>
      </c>
      <c r="T105" s="38">
        <f>E105*M105*O105*Q105/100000000</f>
        <v>5.2002810000000004</v>
      </c>
      <c r="U105" s="38">
        <f>E105*M105*O105*(Q105-R105-S105)/100000000</f>
        <v>5.0996303999999997</v>
      </c>
      <c r="V105" s="38">
        <f>E105*G105*(1-N105)*O105/100*(R105+S105)/1000000</f>
        <v>0.10437840000000001</v>
      </c>
      <c r="W105" s="38">
        <f>+'24'!K10/1000</f>
        <v>2.0670000000000002</v>
      </c>
      <c r="X105" s="391"/>
      <c r="Y105" s="38"/>
      <c r="Z105" s="38"/>
      <c r="AA105" s="50"/>
      <c r="AB105" s="50"/>
      <c r="AC105" s="38">
        <f>K105-T105</f>
        <v>0.19260299999999919</v>
      </c>
      <c r="AD105" s="38"/>
      <c r="AE105" s="228"/>
      <c r="AF105" s="38"/>
      <c r="AG105" s="38"/>
      <c r="AH105" s="38"/>
      <c r="AI105" s="469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4"/>
      <c r="BC105" s="52"/>
      <c r="BD105" s="52"/>
      <c r="BE105" s="52"/>
      <c r="BF105" s="52"/>
    </row>
    <row r="106" spans="1:58" ht="12.95" customHeight="1">
      <c r="A106" s="41"/>
      <c r="B106" s="42"/>
      <c r="C106" s="424"/>
      <c r="D106" s="42"/>
      <c r="E106" s="43"/>
      <c r="F106" s="43"/>
      <c r="G106" s="467"/>
      <c r="H106" s="45"/>
      <c r="I106" s="46"/>
      <c r="J106" s="84"/>
      <c r="K106" s="84"/>
      <c r="L106" s="36"/>
      <c r="M106" s="36"/>
      <c r="N106" s="47"/>
      <c r="O106" s="48"/>
      <c r="P106" s="49"/>
      <c r="Q106" s="48"/>
      <c r="R106" s="394"/>
      <c r="S106" s="394"/>
      <c r="T106" s="38"/>
      <c r="U106" s="38"/>
      <c r="V106" s="38"/>
      <c r="W106" s="38"/>
      <c r="X106" s="39"/>
      <c r="Y106" s="211"/>
      <c r="Z106" s="38"/>
      <c r="AA106" s="38"/>
      <c r="AB106" s="38"/>
      <c r="AC106" s="38"/>
      <c r="AD106" s="38"/>
      <c r="AE106" s="228"/>
      <c r="AF106" s="38"/>
      <c r="AG106" s="38"/>
      <c r="AH106" s="38"/>
      <c r="AI106" s="469"/>
      <c r="AJ106" s="38"/>
      <c r="AK106" s="38"/>
      <c r="AL106" s="38"/>
      <c r="AM106" s="38"/>
      <c r="AN106" s="85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51"/>
      <c r="BC106" s="52"/>
      <c r="BD106" s="52"/>
      <c r="BE106" s="52"/>
      <c r="BF106" s="52"/>
    </row>
    <row r="107" spans="1:58" ht="12.75" customHeight="1">
      <c r="A107" s="41">
        <v>46016</v>
      </c>
      <c r="B107" s="42" t="s">
        <v>417</v>
      </c>
      <c r="C107" s="424">
        <f>(M107*E107*O107*Q107)/100000000</f>
        <v>25.572707999999999</v>
      </c>
      <c r="D107" s="42" t="s">
        <v>285</v>
      </c>
      <c r="E107" s="43">
        <v>12</v>
      </c>
      <c r="F107" s="43">
        <v>1</v>
      </c>
      <c r="G107" s="44">
        <v>1400</v>
      </c>
      <c r="H107" s="484">
        <f>+N107</f>
        <v>0.24</v>
      </c>
      <c r="I107" s="46">
        <v>0.88</v>
      </c>
      <c r="J107" s="84">
        <f>E107*G107*(1-H107)*1440/1000000*2.87</f>
        <v>52.767590399999996</v>
      </c>
      <c r="K107" s="84">
        <f>(IF(G107&lt;L107,L107,G107)*(1-IF(H107&lt;N107,H107,N107))*E107*O107*Q107)/100000000</f>
        <v>25.572707999999999</v>
      </c>
      <c r="L107" s="36">
        <v>1400</v>
      </c>
      <c r="M107" s="36">
        <v>1064</v>
      </c>
      <c r="N107" s="47">
        <f>1-(M107/L107)</f>
        <v>0.24</v>
      </c>
      <c r="O107" s="48">
        <f>+'Trim Rwd'!H80</f>
        <v>272.5</v>
      </c>
      <c r="P107" s="49">
        <f>O107*(Q107-R107-S107)</f>
        <v>195110</v>
      </c>
      <c r="Q107" s="48">
        <v>735</v>
      </c>
      <c r="R107" s="394">
        <v>0</v>
      </c>
      <c r="S107" s="394">
        <v>19</v>
      </c>
      <c r="T107" s="38">
        <f>E107*M107*O107*Q107/100000000</f>
        <v>25.572707999999999</v>
      </c>
      <c r="U107" s="38">
        <f>E107*M107*O107*(Q107-R107-S107)/100000000</f>
        <v>24.911644800000001</v>
      </c>
      <c r="V107" s="38">
        <f>E107*G107*(1-N107)*O107/100*(R107+S107)/1000000</f>
        <v>0.66106320000000007</v>
      </c>
      <c r="W107" s="38">
        <f>+'25'!K10/1000</f>
        <v>26.245999999999999</v>
      </c>
      <c r="X107" s="391">
        <f>SUM(W107:W110)/SUM(K107:K110)</f>
        <v>0.90277428859927344</v>
      </c>
      <c r="Y107" s="38">
        <v>0</v>
      </c>
      <c r="Z107" s="38">
        <f>+'25'!D7/1000</f>
        <v>1.04</v>
      </c>
      <c r="AA107" s="50">
        <f>SUM(U107:U110)-SUM(W107:W110)-SUM(Z107:Z110)-SUM(Y107:Y110)</f>
        <v>2.7047648000000057</v>
      </c>
      <c r="AB107" s="50">
        <f>(SUM(K107:K110)-SUM(W107:W110)-SUM(Y107:Y110)-SUM(Z107:Z110)-SUM(AC107:AC110)-SUM(V107:V110))-AA107</f>
        <v>2.2610000000000685E-2</v>
      </c>
      <c r="AC107" s="38">
        <f>K107-T107</f>
        <v>0</v>
      </c>
      <c r="AD107" s="38">
        <f>+AM107+BA107</f>
        <v>0</v>
      </c>
      <c r="AE107" s="228" t="s">
        <v>392</v>
      </c>
      <c r="AF107" s="38">
        <v>0</v>
      </c>
      <c r="AG107" s="38"/>
      <c r="AH107" s="38"/>
      <c r="AI107" s="469"/>
      <c r="AJ107" s="38"/>
      <c r="AK107" s="38"/>
      <c r="AL107" s="38"/>
      <c r="AM107" s="38">
        <f>SUM(AF107:AL107)+AT107+AV107+AX107</f>
        <v>0</v>
      </c>
      <c r="AN107" s="38"/>
      <c r="AO107" s="38"/>
      <c r="AP107" s="38"/>
      <c r="AQ107" s="38"/>
      <c r="AR107" s="38">
        <f>SUM(AN107:AQ107)</f>
        <v>0</v>
      </c>
      <c r="AS107" s="38"/>
      <c r="AT107" s="38"/>
      <c r="AU107" s="38"/>
      <c r="AV107" s="38"/>
      <c r="AW107" s="38"/>
      <c r="AX107" s="38"/>
      <c r="AY107" s="38"/>
      <c r="AZ107" s="38"/>
      <c r="BA107" s="38">
        <f>+AR107+AS107+AU107+AW107+AY107+AZ107</f>
        <v>0</v>
      </c>
      <c r="BB107" s="34">
        <v>0</v>
      </c>
      <c r="BC107" s="52"/>
      <c r="BD107" s="52"/>
      <c r="BE107" s="34"/>
      <c r="BF107" s="52"/>
    </row>
    <row r="108" spans="1:58" ht="12.95" customHeight="1">
      <c r="A108" s="41"/>
      <c r="B108" s="42" t="s">
        <v>417</v>
      </c>
      <c r="C108" s="424">
        <f>(M108*E108*O108*Q108)/100000000</f>
        <v>26.254200000000001</v>
      </c>
      <c r="D108" s="42" t="s">
        <v>285</v>
      </c>
      <c r="E108" s="43">
        <v>12.5</v>
      </c>
      <c r="F108" s="43">
        <v>1</v>
      </c>
      <c r="G108" s="44">
        <v>1350</v>
      </c>
      <c r="H108" s="484">
        <f>+N108</f>
        <v>0.24</v>
      </c>
      <c r="I108" s="46">
        <v>0.88</v>
      </c>
      <c r="J108" s="84">
        <f>E108*G108*(1-H108)*1440/1000000*2.87</f>
        <v>53.003160000000001</v>
      </c>
      <c r="K108" s="84">
        <f>(IF(G108&lt;L108,L108,G108)*(1-IF(H108&lt;N108,H108,N108))*E108*O108*Q108)/100000000</f>
        <v>26.254200000000001</v>
      </c>
      <c r="L108" s="36">
        <v>1400</v>
      </c>
      <c r="M108" s="36">
        <v>1064</v>
      </c>
      <c r="N108" s="47">
        <f>1-(M108/L108)</f>
        <v>0.24</v>
      </c>
      <c r="O108" s="48">
        <f>+'Trim Rwd'!H81</f>
        <v>280</v>
      </c>
      <c r="P108" s="49">
        <f>O108*(Q108-R108-S108)</f>
        <v>192640</v>
      </c>
      <c r="Q108" s="48">
        <v>705</v>
      </c>
      <c r="R108" s="394">
        <v>0</v>
      </c>
      <c r="S108" s="394">
        <v>17</v>
      </c>
      <c r="T108" s="38">
        <f>E108*M108*O108*Q108/100000000</f>
        <v>26.254200000000001</v>
      </c>
      <c r="U108" s="38">
        <f>E108*M108*O108*(Q108-R108-S108)/100000000</f>
        <v>25.621120000000001</v>
      </c>
      <c r="V108" s="38">
        <f>E108*G108*(1-N108)*O108/100*(R108+S108)/1000000</f>
        <v>0.61046999999999996</v>
      </c>
      <c r="W108" s="38">
        <f>+'25'!K21/1000</f>
        <v>20.542000000000002</v>
      </c>
      <c r="X108" s="39"/>
      <c r="Y108" s="211"/>
      <c r="Z108" s="38"/>
      <c r="AA108" s="38"/>
      <c r="AB108" s="38"/>
      <c r="AC108" s="38">
        <f>K108-T108</f>
        <v>0</v>
      </c>
      <c r="AD108" s="38">
        <f>+AM108+BA108</f>
        <v>2</v>
      </c>
      <c r="AE108" s="228" t="s">
        <v>446</v>
      </c>
      <c r="AF108" s="38"/>
      <c r="AG108" s="38">
        <v>2</v>
      </c>
      <c r="AH108" s="38"/>
      <c r="AI108" s="469"/>
      <c r="AJ108" s="38"/>
      <c r="AK108" s="38"/>
      <c r="AL108" s="38"/>
      <c r="AM108" s="38">
        <f>SUM(AF108:AL108)+AT108+AV108+AX108</f>
        <v>2</v>
      </c>
      <c r="AN108" s="85"/>
      <c r="AO108" s="38"/>
      <c r="AP108" s="38"/>
      <c r="AQ108" s="38"/>
      <c r="AR108" s="38">
        <f>SUM(AN108:AQ108)</f>
        <v>0</v>
      </c>
      <c r="AS108" s="38"/>
      <c r="AT108" s="38"/>
      <c r="AU108" s="38"/>
      <c r="AV108" s="38"/>
      <c r="AW108" s="38"/>
      <c r="AX108" s="38"/>
      <c r="AY108" s="38"/>
      <c r="AZ108" s="38"/>
      <c r="BA108" s="38">
        <f>+AR108+AS108+AU108+AW108+AY108+AZ108</f>
        <v>0</v>
      </c>
      <c r="BB108" s="51"/>
      <c r="BC108" s="52">
        <v>1</v>
      </c>
      <c r="BD108" s="52"/>
      <c r="BE108" s="51"/>
      <c r="BF108" s="52"/>
    </row>
    <row r="109" spans="1:58" ht="12.95" customHeight="1">
      <c r="A109" s="41"/>
      <c r="B109" s="42"/>
      <c r="C109" s="424"/>
      <c r="D109" s="42"/>
      <c r="E109" s="43"/>
      <c r="F109" s="43"/>
      <c r="G109" s="44"/>
      <c r="H109" s="45"/>
      <c r="I109" s="46"/>
      <c r="J109" s="84"/>
      <c r="K109" s="84"/>
      <c r="L109" s="36"/>
      <c r="M109" s="36"/>
      <c r="N109" s="47"/>
      <c r="O109" s="48"/>
      <c r="P109" s="49"/>
      <c r="Q109" s="48"/>
      <c r="R109" s="394"/>
      <c r="S109" s="394"/>
      <c r="T109" s="38"/>
      <c r="U109" s="38"/>
      <c r="V109" s="38"/>
      <c r="W109" s="38"/>
      <c r="X109" s="39"/>
      <c r="Y109" s="211"/>
      <c r="Z109" s="38"/>
      <c r="AA109" s="38"/>
      <c r="AB109" s="38"/>
      <c r="AC109" s="38"/>
      <c r="AD109" s="38">
        <f>+AM109+BA109</f>
        <v>34</v>
      </c>
      <c r="AE109" s="228" t="s">
        <v>671</v>
      </c>
      <c r="AF109" s="34"/>
      <c r="AG109" s="34"/>
      <c r="AH109" s="34">
        <v>34</v>
      </c>
      <c r="AI109" s="469"/>
      <c r="AJ109" s="38"/>
      <c r="AK109" s="38"/>
      <c r="AL109" s="38"/>
      <c r="AM109" s="38">
        <f>SUM(AF109:AL109)+AT109+AV109+AX109</f>
        <v>34</v>
      </c>
      <c r="AN109" s="38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34"/>
      <c r="BC109" s="54"/>
      <c r="BD109" s="54"/>
      <c r="BE109" s="34"/>
      <c r="BF109" s="54"/>
    </row>
    <row r="110" spans="1:58" ht="12.95" customHeight="1">
      <c r="A110" s="41"/>
      <c r="B110" s="42"/>
      <c r="C110" s="424"/>
      <c r="D110" s="42"/>
      <c r="E110" s="43"/>
      <c r="F110" s="43"/>
      <c r="G110" s="467"/>
      <c r="H110" s="45"/>
      <c r="I110" s="46"/>
      <c r="J110" s="84"/>
      <c r="K110" s="84"/>
      <c r="L110" s="36"/>
      <c r="M110" s="36"/>
      <c r="N110" s="47"/>
      <c r="O110" s="48"/>
      <c r="P110" s="49"/>
      <c r="Q110" s="48"/>
      <c r="R110" s="394"/>
      <c r="S110" s="394"/>
      <c r="T110" s="38"/>
      <c r="U110" s="38"/>
      <c r="V110" s="38"/>
      <c r="W110" s="38"/>
      <c r="X110" s="391"/>
      <c r="Y110" s="38"/>
      <c r="Z110" s="38"/>
      <c r="AA110" s="50"/>
      <c r="AB110" s="50"/>
      <c r="AC110" s="38"/>
      <c r="AD110" s="38"/>
      <c r="AE110" s="228"/>
      <c r="AF110" s="38"/>
      <c r="AG110" s="38"/>
      <c r="AH110" s="38"/>
      <c r="AI110" s="469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4"/>
      <c r="BC110" s="52"/>
      <c r="BD110" s="52"/>
      <c r="BE110" s="52"/>
      <c r="BF110" s="52"/>
    </row>
    <row r="111" spans="1:58" ht="12.75" customHeight="1">
      <c r="A111" s="41">
        <v>46017</v>
      </c>
      <c r="B111" s="42" t="s">
        <v>417</v>
      </c>
      <c r="C111" s="424">
        <f>(M111*E111*O111*Q111)/100000000</f>
        <v>53.625599999999999</v>
      </c>
      <c r="D111" s="42" t="s">
        <v>285</v>
      </c>
      <c r="E111" s="43">
        <v>12.5</v>
      </c>
      <c r="F111" s="43">
        <v>1</v>
      </c>
      <c r="G111" s="44">
        <v>1350</v>
      </c>
      <c r="H111" s="484">
        <f>+N111</f>
        <v>0.24</v>
      </c>
      <c r="I111" s="46">
        <v>0.88</v>
      </c>
      <c r="J111" s="84">
        <f>E111*G111*(1-H111)*1440/1000000*2.87</f>
        <v>53.003160000000001</v>
      </c>
      <c r="K111" s="84">
        <f>(IF(G111&lt;L111,L111,G111)*(1-IF(H111&lt;N111,H111,N111))*E111*O111*Q111)/100000000</f>
        <v>53.625599999999999</v>
      </c>
      <c r="L111" s="36">
        <v>1400</v>
      </c>
      <c r="M111" s="36">
        <v>1064</v>
      </c>
      <c r="N111" s="47">
        <f>1-(M111/L111)</f>
        <v>0.24</v>
      </c>
      <c r="O111" s="48">
        <f>+'Trim Rwd'!H83</f>
        <v>280</v>
      </c>
      <c r="P111" s="49">
        <f>O111*(Q111-R111-S111)</f>
        <v>393680</v>
      </c>
      <c r="Q111" s="48">
        <v>1440</v>
      </c>
      <c r="R111" s="394">
        <v>0</v>
      </c>
      <c r="S111" s="394">
        <v>34</v>
      </c>
      <c r="T111" s="38">
        <f>E111*M111*O111*Q111/100000000</f>
        <v>53.625599999999999</v>
      </c>
      <c r="U111" s="38">
        <f>E111*M111*O111*(Q111-R111-S111)/100000000</f>
        <v>52.359439999999999</v>
      </c>
      <c r="V111" s="38">
        <f>E111*G111*(1-N111)*O111/100*(R111+S111)/1000000</f>
        <v>1.2209399999999999</v>
      </c>
      <c r="W111" s="38">
        <f>+'26'!K34/1000</f>
        <v>47.401000000000003</v>
      </c>
      <c r="X111" s="391">
        <f>SUM(W111:W114)/SUM(K111:K114)</f>
        <v>0.88392484186657128</v>
      </c>
      <c r="Y111" s="38">
        <v>0</v>
      </c>
      <c r="Z111" s="38">
        <v>0</v>
      </c>
      <c r="AA111" s="50">
        <f>SUM(U111:U114)-SUM(W111:W114)-SUM(Z111:Z114)-SUM(Y111:Y114)</f>
        <v>4.958439999999996</v>
      </c>
      <c r="AB111" s="50">
        <f>(SUM(K111:K114)-SUM(W111:W114)-SUM(Y111:Y114)-SUM(Z111:Z114)-SUM(AC111:AC114)-SUM(V111:V114))-AA111</f>
        <v>4.5219999999999594E-2</v>
      </c>
      <c r="AC111" s="38">
        <f>K111-T111</f>
        <v>0</v>
      </c>
      <c r="AD111" s="38">
        <f>+AM111+BA111</f>
        <v>5</v>
      </c>
      <c r="AE111" s="228" t="s">
        <v>448</v>
      </c>
      <c r="AF111" s="38">
        <v>5</v>
      </c>
      <c r="AG111" s="38"/>
      <c r="AH111" s="38"/>
      <c r="AI111" s="469"/>
      <c r="AJ111" s="38"/>
      <c r="AK111" s="38"/>
      <c r="AL111" s="38"/>
      <c r="AM111" s="38">
        <f>SUM(AF111:AL111)+AT111+AV111+AX111</f>
        <v>5</v>
      </c>
      <c r="AN111" s="38"/>
      <c r="AO111" s="38"/>
      <c r="AP111" s="38"/>
      <c r="AQ111" s="38"/>
      <c r="AR111" s="38">
        <f>SUM(AN111:AQ111)</f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+AR111+AS111+AU111+AW111+AY111+AZ111</f>
        <v>0</v>
      </c>
      <c r="BB111" s="34">
        <v>1</v>
      </c>
      <c r="BC111" s="52"/>
      <c r="BD111" s="52"/>
      <c r="BE111" s="34"/>
      <c r="BF111" s="52"/>
    </row>
    <row r="112" spans="1:58" ht="12.95" customHeight="1">
      <c r="A112" s="41"/>
      <c r="B112" s="42"/>
      <c r="C112" s="424"/>
      <c r="D112" s="42"/>
      <c r="E112" s="43"/>
      <c r="F112" s="43"/>
      <c r="G112" s="44"/>
      <c r="H112" s="45"/>
      <c r="I112" s="46"/>
      <c r="J112" s="84"/>
      <c r="K112" s="84"/>
      <c r="L112" s="36"/>
      <c r="M112" s="36"/>
      <c r="N112" s="47"/>
      <c r="O112" s="48"/>
      <c r="P112" s="49"/>
      <c r="Q112" s="48"/>
      <c r="R112" s="394"/>
      <c r="S112" s="394"/>
      <c r="T112" s="38"/>
      <c r="U112" s="38"/>
      <c r="V112" s="38"/>
      <c r="W112" s="38"/>
      <c r="X112" s="39"/>
      <c r="Y112" s="211"/>
      <c r="Z112" s="38"/>
      <c r="AA112" s="38"/>
      <c r="AB112" s="38"/>
      <c r="AC112" s="38"/>
      <c r="AD112" s="38">
        <f>+AM112+BA112</f>
        <v>2</v>
      </c>
      <c r="AE112" s="228" t="s">
        <v>446</v>
      </c>
      <c r="AF112" s="38"/>
      <c r="AG112" s="38">
        <v>2</v>
      </c>
      <c r="AH112" s="38"/>
      <c r="AI112" s="469"/>
      <c r="AJ112" s="38"/>
      <c r="AK112" s="38"/>
      <c r="AL112" s="38"/>
      <c r="AM112" s="38">
        <f>SUM(AF112:AL112)+AT112+AV112+AX112</f>
        <v>2</v>
      </c>
      <c r="AN112" s="85"/>
      <c r="AO112" s="38"/>
      <c r="AP112" s="38"/>
      <c r="AQ112" s="38"/>
      <c r="AR112" s="38">
        <f>SUM(AN112:AQ112)</f>
        <v>0</v>
      </c>
      <c r="AS112" s="38"/>
      <c r="AT112" s="38"/>
      <c r="AU112" s="38"/>
      <c r="AV112" s="38"/>
      <c r="AW112" s="38"/>
      <c r="AX112" s="38"/>
      <c r="AY112" s="38"/>
      <c r="AZ112" s="38"/>
      <c r="BA112" s="38">
        <f>+AR112+AS112+AU112+AW112+AY112+AZ112</f>
        <v>0</v>
      </c>
      <c r="BB112" s="51"/>
      <c r="BC112" s="52">
        <v>1</v>
      </c>
      <c r="BD112" s="52"/>
      <c r="BE112" s="51"/>
      <c r="BF112" s="52"/>
    </row>
    <row r="113" spans="1:58" ht="12.95" customHeight="1">
      <c r="A113" s="41"/>
      <c r="B113" s="42"/>
      <c r="C113" s="424"/>
      <c r="D113" s="42"/>
      <c r="E113" s="43"/>
      <c r="F113" s="43"/>
      <c r="G113" s="44"/>
      <c r="H113" s="45"/>
      <c r="I113" s="46"/>
      <c r="J113" s="84"/>
      <c r="K113" s="84"/>
      <c r="L113" s="36"/>
      <c r="M113" s="36"/>
      <c r="N113" s="47"/>
      <c r="O113" s="48"/>
      <c r="P113" s="49"/>
      <c r="Q113" s="48"/>
      <c r="R113" s="394"/>
      <c r="S113" s="394"/>
      <c r="T113" s="38"/>
      <c r="U113" s="38"/>
      <c r="V113" s="38"/>
      <c r="W113" s="38"/>
      <c r="X113" s="39"/>
      <c r="Y113" s="211"/>
      <c r="Z113" s="38"/>
      <c r="AA113" s="38"/>
      <c r="AB113" s="38"/>
      <c r="AC113" s="38"/>
      <c r="AD113" s="38">
        <f>+AM113+BA113</f>
        <v>27</v>
      </c>
      <c r="AE113" s="228" t="s">
        <v>671</v>
      </c>
      <c r="AF113" s="34"/>
      <c r="AG113" s="34"/>
      <c r="AH113" s="34">
        <v>27</v>
      </c>
      <c r="AI113" s="469"/>
      <c r="AJ113" s="38"/>
      <c r="AK113" s="38"/>
      <c r="AL113" s="38"/>
      <c r="AM113" s="38">
        <f>SUM(AF113:AL113)+AT113+AV113+AX113</f>
        <v>27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/>
      <c r="BC113" s="54"/>
      <c r="BD113" s="54"/>
      <c r="BE113" s="34"/>
      <c r="BF113" s="54"/>
    </row>
    <row r="114" spans="1:58" ht="12.95" customHeight="1">
      <c r="A114" s="41"/>
      <c r="B114" s="42"/>
      <c r="C114" s="424"/>
      <c r="D114" s="42"/>
      <c r="E114" s="43"/>
      <c r="F114" s="43"/>
      <c r="G114" s="467"/>
      <c r="H114" s="45"/>
      <c r="I114" s="46"/>
      <c r="J114" s="84"/>
      <c r="K114" s="84"/>
      <c r="L114" s="36"/>
      <c r="M114" s="36"/>
      <c r="N114" s="47"/>
      <c r="O114" s="48"/>
      <c r="P114" s="49"/>
      <c r="Q114" s="48"/>
      <c r="R114" s="394"/>
      <c r="S114" s="394"/>
      <c r="T114" s="38"/>
      <c r="U114" s="38"/>
      <c r="V114" s="38"/>
      <c r="W114" s="38"/>
      <c r="X114" s="391"/>
      <c r="Y114" s="38"/>
      <c r="Z114" s="38"/>
      <c r="AA114" s="50"/>
      <c r="AB114" s="50"/>
      <c r="AC114" s="38"/>
      <c r="AD114" s="38"/>
      <c r="AE114" s="228"/>
      <c r="AF114" s="38"/>
      <c r="AG114" s="38"/>
      <c r="AH114" s="38"/>
      <c r="AI114" s="469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4"/>
      <c r="BC114" s="52"/>
      <c r="BD114" s="52"/>
      <c r="BE114" s="52"/>
      <c r="BF114" s="52"/>
    </row>
    <row r="115" spans="1:58" ht="12.75" customHeight="1">
      <c r="A115" s="41">
        <v>46018</v>
      </c>
      <c r="B115" s="42" t="s">
        <v>417</v>
      </c>
      <c r="C115" s="424">
        <f>(M115*E115*O115*Q115)/100000000</f>
        <v>29.0472</v>
      </c>
      <c r="D115" s="42" t="s">
        <v>285</v>
      </c>
      <c r="E115" s="43">
        <v>12.5</v>
      </c>
      <c r="F115" s="43">
        <v>1</v>
      </c>
      <c r="G115" s="44">
        <v>1350</v>
      </c>
      <c r="H115" s="484">
        <f>+N115</f>
        <v>0.24</v>
      </c>
      <c r="I115" s="46">
        <v>0.88</v>
      </c>
      <c r="J115" s="84">
        <f>E115*G115*(1-H115)*1440/1000000*2.87</f>
        <v>53.003160000000001</v>
      </c>
      <c r="K115" s="84">
        <f>(IF(G115&lt;L115,L115,G115)*(1-IF(H115&lt;N115,H115,N115))*E115*O115*Q115)/100000000</f>
        <v>29.0472</v>
      </c>
      <c r="L115" s="36">
        <v>1400</v>
      </c>
      <c r="M115" s="36">
        <v>1064</v>
      </c>
      <c r="N115" s="47">
        <f>1-(M115/L115)</f>
        <v>0.24</v>
      </c>
      <c r="O115" s="48">
        <f>+'Trim Rwd'!H86</f>
        <v>280</v>
      </c>
      <c r="P115" s="49">
        <f>O115*(Q115-R115-S115)</f>
        <v>211680</v>
      </c>
      <c r="Q115" s="48">
        <v>780</v>
      </c>
      <c r="R115" s="394">
        <v>0</v>
      </c>
      <c r="S115" s="394">
        <v>24</v>
      </c>
      <c r="T115" s="38">
        <f>E115*M115*O115*Q115/100000000</f>
        <v>29.0472</v>
      </c>
      <c r="U115" s="38">
        <f>E115*M115*O115*(Q115-R115-S115)/100000000</f>
        <v>28.15344</v>
      </c>
      <c r="V115" s="38">
        <f>E115*G115*(1-N115)*O115/100*(R115+S115)/1000000</f>
        <v>0.86184000000000005</v>
      </c>
      <c r="W115" s="38">
        <f>+'27'!K21/1000</f>
        <v>33.106000000000002</v>
      </c>
      <c r="X115" s="391">
        <f>SUM(W115:W118)/SUM(K115:K118)</f>
        <v>0.95056340827815355</v>
      </c>
      <c r="Y115" s="38">
        <v>0</v>
      </c>
      <c r="Z115" s="38">
        <v>0</v>
      </c>
      <c r="AA115" s="50">
        <f>SUM(U115:U118)-SUM(W115:W118)-SUM(Z115:Z118)-SUM(Y115:Y118)</f>
        <v>1.3511999999999915</v>
      </c>
      <c r="AB115" s="50">
        <f>(SUM(K115:K118)-SUM(W115:W118)-SUM(Y115:Y118)-SUM(Z115:Z118)-SUM(AC115:AC118)-SUM(V115:V118))-AA115</f>
        <v>3.1920000000006166E-2</v>
      </c>
      <c r="AC115" s="38">
        <f>K115-T115</f>
        <v>0</v>
      </c>
      <c r="AD115" s="38">
        <f>+AM115+BA115</f>
        <v>10</v>
      </c>
      <c r="AE115" s="228" t="s">
        <v>510</v>
      </c>
      <c r="AF115" s="38">
        <v>10</v>
      </c>
      <c r="AG115" s="38"/>
      <c r="AH115" s="38"/>
      <c r="AI115" s="469"/>
      <c r="AJ115" s="38"/>
      <c r="AK115" s="38"/>
      <c r="AL115" s="38"/>
      <c r="AM115" s="38">
        <f>SUM(AF115:AL115)+AT115+AV115+AX115</f>
        <v>10</v>
      </c>
      <c r="AN115" s="38"/>
      <c r="AO115" s="38"/>
      <c r="AP115" s="38"/>
      <c r="AQ115" s="38"/>
      <c r="AR115" s="38">
        <f>SUM(AN115:AQ115)</f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>
        <v>2</v>
      </c>
      <c r="BC115" s="52"/>
      <c r="BD115" s="52"/>
      <c r="BE115" s="34"/>
      <c r="BF115" s="52"/>
    </row>
    <row r="116" spans="1:58" ht="12.95" customHeight="1">
      <c r="A116" s="41"/>
      <c r="B116" s="42" t="s">
        <v>417</v>
      </c>
      <c r="C116" s="424">
        <f>(M116*E116*O116*Q116)/100000000</f>
        <v>23.595264</v>
      </c>
      <c r="D116" s="42" t="s">
        <v>285</v>
      </c>
      <c r="E116" s="43">
        <v>12</v>
      </c>
      <c r="F116" s="43">
        <v>1</v>
      </c>
      <c r="G116" s="44">
        <v>1400</v>
      </c>
      <c r="H116" s="484">
        <f>+N116</f>
        <v>0.24</v>
      </c>
      <c r="I116" s="46">
        <v>0.88</v>
      </c>
      <c r="J116" s="84">
        <f>E116*G116*(1-H116)*1440/1000000*2.87</f>
        <v>52.767590399999996</v>
      </c>
      <c r="K116" s="84">
        <f>(IF(G116&lt;L116,L116,G116)*(1-IF(H116&lt;N116,H116,N116))*E116*O116*Q116)/100000000</f>
        <v>23.595264</v>
      </c>
      <c r="L116" s="36">
        <v>1400</v>
      </c>
      <c r="M116" s="36">
        <v>1064</v>
      </c>
      <c r="N116" s="47">
        <f>1-(M116/L116)</f>
        <v>0.24</v>
      </c>
      <c r="O116" s="48">
        <f>+'Trim Rwd'!H87</f>
        <v>280</v>
      </c>
      <c r="P116" s="49">
        <f>O116*(Q116-R116-S116)</f>
        <v>182000</v>
      </c>
      <c r="Q116" s="48">
        <v>660</v>
      </c>
      <c r="R116" s="394">
        <v>0</v>
      </c>
      <c r="S116" s="394">
        <v>10</v>
      </c>
      <c r="T116" s="38">
        <f>E116*M116*O116*Q116/100000000</f>
        <v>23.595264</v>
      </c>
      <c r="U116" s="38">
        <f>E116*M116*O116*(Q116-R116-S116)/100000000</f>
        <v>23.237760000000002</v>
      </c>
      <c r="V116" s="38">
        <f>E116*G116*(1-N116)*O116/100*(R116+S116)/1000000</f>
        <v>0.35750399999999999</v>
      </c>
      <c r="W116" s="38">
        <f>+'27'!K10/1000</f>
        <v>16.934000000000001</v>
      </c>
      <c r="X116" s="39"/>
      <c r="Y116" s="211"/>
      <c r="Z116" s="38"/>
      <c r="AA116" s="38"/>
      <c r="AB116" s="38"/>
      <c r="AC116" s="38">
        <f>K116-T116</f>
        <v>0</v>
      </c>
      <c r="AD116" s="38">
        <f>+AM116+BA116</f>
        <v>0</v>
      </c>
      <c r="AE116" s="228" t="s">
        <v>415</v>
      </c>
      <c r="AF116" s="38"/>
      <c r="AG116" s="38">
        <v>0</v>
      </c>
      <c r="AH116" s="38"/>
      <c r="AI116" s="469"/>
      <c r="AJ116" s="38"/>
      <c r="AK116" s="38"/>
      <c r="AL116" s="38"/>
      <c r="AM116" s="38">
        <f>SUM(AF116:AL116)+AT116+AV116+AX116</f>
        <v>0</v>
      </c>
      <c r="AN116" s="85"/>
      <c r="AO116" s="38"/>
      <c r="AP116" s="38"/>
      <c r="AQ116" s="38"/>
      <c r="AR116" s="38">
        <f>SUM(AN116:AQ116)</f>
        <v>0</v>
      </c>
      <c r="AS116" s="38"/>
      <c r="AT116" s="38"/>
      <c r="AU116" s="38"/>
      <c r="AV116" s="38"/>
      <c r="AW116" s="38"/>
      <c r="AX116" s="38"/>
      <c r="AY116" s="38"/>
      <c r="AZ116" s="38"/>
      <c r="BA116" s="38">
        <f>+AR116+AS116+AU116+AW116+AY116+AZ116</f>
        <v>0</v>
      </c>
      <c r="BB116" s="51"/>
      <c r="BC116" s="52">
        <v>0</v>
      </c>
      <c r="BD116" s="52"/>
      <c r="BE116" s="51"/>
      <c r="BF116" s="52"/>
    </row>
    <row r="117" spans="1:58" ht="12.95" customHeight="1">
      <c r="A117" s="41"/>
      <c r="B117" s="42"/>
      <c r="C117" s="424"/>
      <c r="D117" s="42"/>
      <c r="E117" s="43"/>
      <c r="F117" s="43"/>
      <c r="G117" s="44"/>
      <c r="H117" s="45"/>
      <c r="I117" s="46"/>
      <c r="J117" s="84"/>
      <c r="K117" s="84"/>
      <c r="L117" s="36"/>
      <c r="M117" s="36"/>
      <c r="N117" s="47"/>
      <c r="O117" s="48"/>
      <c r="P117" s="49"/>
      <c r="Q117" s="48"/>
      <c r="R117" s="394"/>
      <c r="S117" s="394"/>
      <c r="T117" s="38"/>
      <c r="U117" s="38"/>
      <c r="V117" s="38"/>
      <c r="W117" s="38"/>
      <c r="X117" s="39"/>
      <c r="Y117" s="211"/>
      <c r="Z117" s="38"/>
      <c r="AA117" s="38"/>
      <c r="AB117" s="38"/>
      <c r="AC117" s="38"/>
      <c r="AD117" s="38">
        <f>+AM117+BA117</f>
        <v>24</v>
      </c>
      <c r="AE117" s="228" t="s">
        <v>514</v>
      </c>
      <c r="AF117" s="34"/>
      <c r="AG117" s="34"/>
      <c r="AH117" s="34">
        <v>24</v>
      </c>
      <c r="AI117" s="469"/>
      <c r="AJ117" s="38"/>
      <c r="AK117" s="38"/>
      <c r="AL117" s="38"/>
      <c r="AM117" s="38">
        <f>SUM(AF117:AL117)+AT117+AV117+AX117</f>
        <v>24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/>
      <c r="BC117" s="54"/>
      <c r="BD117" s="54"/>
      <c r="BE117" s="34"/>
      <c r="BF117" s="54"/>
    </row>
    <row r="118" spans="1:58" ht="12.95" customHeight="1">
      <c r="A118" s="41"/>
      <c r="B118" s="42"/>
      <c r="C118" s="424"/>
      <c r="D118" s="42"/>
      <c r="E118" s="43"/>
      <c r="F118" s="43"/>
      <c r="G118" s="467"/>
      <c r="H118" s="45"/>
      <c r="I118" s="46"/>
      <c r="J118" s="84"/>
      <c r="K118" s="84"/>
      <c r="L118" s="36"/>
      <c r="M118" s="36"/>
      <c r="N118" s="47"/>
      <c r="O118" s="48"/>
      <c r="P118" s="49"/>
      <c r="Q118" s="48"/>
      <c r="R118" s="394"/>
      <c r="S118" s="394"/>
      <c r="T118" s="38"/>
      <c r="U118" s="38"/>
      <c r="V118" s="38"/>
      <c r="W118" s="38"/>
      <c r="X118" s="391"/>
      <c r="Y118" s="38"/>
      <c r="Z118" s="38"/>
      <c r="AA118" s="50"/>
      <c r="AB118" s="50"/>
      <c r="AC118" s="38"/>
      <c r="AD118" s="38"/>
      <c r="AE118" s="228"/>
      <c r="AF118" s="38"/>
      <c r="AG118" s="38"/>
      <c r="AH118" s="38"/>
      <c r="AI118" s="469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4"/>
      <c r="BC118" s="52"/>
      <c r="BD118" s="52"/>
      <c r="BE118" s="52"/>
      <c r="BF118" s="52"/>
    </row>
    <row r="119" spans="1:58" ht="12.75" customHeight="1">
      <c r="A119" s="41">
        <v>46019</v>
      </c>
      <c r="B119" s="42" t="s">
        <v>417</v>
      </c>
      <c r="C119" s="424">
        <f>(M119*E119*O119*Q119)/100000000</f>
        <v>50.729817600000011</v>
      </c>
      <c r="D119" s="42" t="s">
        <v>285</v>
      </c>
      <c r="E119" s="43">
        <v>12</v>
      </c>
      <c r="F119" s="43">
        <v>1</v>
      </c>
      <c r="G119" s="44">
        <v>1400</v>
      </c>
      <c r="H119" s="484">
        <f>+N119</f>
        <v>0.24</v>
      </c>
      <c r="I119" s="46">
        <v>0.88</v>
      </c>
      <c r="J119" s="84">
        <f>E119*G119*(1-H119)*1440/1000000*2.87</f>
        <v>52.767590399999996</v>
      </c>
      <c r="K119" s="84">
        <f>(IF(G119&lt;L119,L119,G119)*(1-IF(H119&lt;N119,H119,N119))*E119*O119*Q119)/100000000</f>
        <v>50.729817600000011</v>
      </c>
      <c r="L119" s="36">
        <v>1400</v>
      </c>
      <c r="M119" s="36">
        <v>1064</v>
      </c>
      <c r="N119" s="47">
        <f>1-(M119/L119)</f>
        <v>0.24</v>
      </c>
      <c r="O119" s="48">
        <f>+'Trim Rwd'!H89</f>
        <v>275.91666666666669</v>
      </c>
      <c r="P119" s="49">
        <f>O119*(Q119-R119-S119)</f>
        <v>388490.66666666669</v>
      </c>
      <c r="Q119" s="48">
        <v>1440</v>
      </c>
      <c r="R119" s="394">
        <v>0</v>
      </c>
      <c r="S119" s="394">
        <v>32</v>
      </c>
      <c r="T119" s="38">
        <f>E119*M119*O119*Q119/100000000</f>
        <v>50.729817600000011</v>
      </c>
      <c r="U119" s="38">
        <f>E119*M119*O119*(Q119-R119-S119)/100000000</f>
        <v>49.602488320000006</v>
      </c>
      <c r="V119" s="38">
        <f>E119*G119*(1-N119)*O119/100*(R119+S119)/1000000</f>
        <v>1.1273292800000003</v>
      </c>
      <c r="W119" s="38">
        <f>+'28'!K34/1000</f>
        <v>47.351999999999997</v>
      </c>
      <c r="X119" s="391">
        <f>SUM(W119:W122)/SUM(K119:K122)</f>
        <v>0.93341553824155654</v>
      </c>
      <c r="Y119" s="38">
        <v>0</v>
      </c>
      <c r="Z119" s="38">
        <v>0</v>
      </c>
      <c r="AA119" s="50">
        <f>SUM(U119:U122)-SUM(W119:W122)-SUM(Z119:Z122)-SUM(Y119:Y122)</f>
        <v>2.2504883200000094</v>
      </c>
      <c r="AB119" s="50">
        <f>(SUM(K119:K122)-SUM(W119:W122)-SUM(Y119:Y122)-SUM(Z119:Z122)-SUM(AC119:AC122)-SUM(V119:V122))-AA119</f>
        <v>4.4408920985006262E-15</v>
      </c>
      <c r="AC119" s="38">
        <f>K119-T119</f>
        <v>0</v>
      </c>
      <c r="AD119" s="38">
        <f>+AM119+BA119</f>
        <v>5</v>
      </c>
      <c r="AE119" s="228" t="s">
        <v>448</v>
      </c>
      <c r="AF119" s="38">
        <v>5</v>
      </c>
      <c r="AG119" s="38"/>
      <c r="AH119" s="38"/>
      <c r="AI119" s="469"/>
      <c r="AJ119" s="38"/>
      <c r="AK119" s="38"/>
      <c r="AL119" s="38"/>
      <c r="AM119" s="38">
        <f>SUM(AF119:AL119)+AT119+AV119+AX119</f>
        <v>5</v>
      </c>
      <c r="AN119" s="38"/>
      <c r="AO119" s="38"/>
      <c r="AP119" s="38"/>
      <c r="AQ119" s="38"/>
      <c r="AR119" s="38">
        <f>SUM(AN119:AQ119)</f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>
        <v>1</v>
      </c>
      <c r="BC119" s="52"/>
      <c r="BD119" s="52"/>
      <c r="BE119" s="34"/>
      <c r="BF119" s="52"/>
    </row>
    <row r="120" spans="1:58" ht="12.95" customHeight="1">
      <c r="A120" s="41"/>
      <c r="B120" s="42"/>
      <c r="C120" s="424"/>
      <c r="D120" s="42"/>
      <c r="E120" s="43"/>
      <c r="F120" s="43"/>
      <c r="G120" s="44"/>
      <c r="H120" s="45"/>
      <c r="I120" s="46"/>
      <c r="J120" s="84"/>
      <c r="K120" s="84"/>
      <c r="L120" s="36"/>
      <c r="M120" s="36"/>
      <c r="N120" s="47"/>
      <c r="O120" s="48"/>
      <c r="P120" s="49"/>
      <c r="Q120" s="48"/>
      <c r="R120" s="394"/>
      <c r="S120" s="394"/>
      <c r="T120" s="38"/>
      <c r="U120" s="38"/>
      <c r="V120" s="38"/>
      <c r="W120" s="38"/>
      <c r="X120" s="39"/>
      <c r="Y120" s="211"/>
      <c r="Z120" s="38"/>
      <c r="AA120" s="38"/>
      <c r="AB120" s="38"/>
      <c r="AC120" s="38"/>
      <c r="AD120" s="38">
        <f>+AM120+BA120</f>
        <v>1</v>
      </c>
      <c r="AE120" s="228" t="s">
        <v>446</v>
      </c>
      <c r="AF120" s="38"/>
      <c r="AG120" s="38">
        <v>1</v>
      </c>
      <c r="AH120" s="38"/>
      <c r="AI120" s="469"/>
      <c r="AJ120" s="38"/>
      <c r="AK120" s="38"/>
      <c r="AL120" s="38"/>
      <c r="AM120" s="38">
        <f>SUM(AF120:AL120)+AT120+AV120+AX120</f>
        <v>1</v>
      </c>
      <c r="AN120" s="85"/>
      <c r="AO120" s="38"/>
      <c r="AP120" s="38"/>
      <c r="AQ120" s="38"/>
      <c r="AR120" s="38">
        <f>SUM(AN120:AQ120)</f>
        <v>0</v>
      </c>
      <c r="AS120" s="38"/>
      <c r="AT120" s="38"/>
      <c r="AU120" s="38"/>
      <c r="AV120" s="38"/>
      <c r="AW120" s="38"/>
      <c r="AX120" s="38"/>
      <c r="AY120" s="38"/>
      <c r="AZ120" s="38"/>
      <c r="BA120" s="38">
        <f>+AR120+AS120+AU120+AW120+AY120+AZ120</f>
        <v>0</v>
      </c>
      <c r="BB120" s="51"/>
      <c r="BC120" s="52">
        <v>1</v>
      </c>
      <c r="BD120" s="52"/>
      <c r="BE120" s="51"/>
      <c r="BF120" s="52"/>
    </row>
    <row r="121" spans="1:58" ht="12.95" customHeight="1">
      <c r="A121" s="41"/>
      <c r="B121" s="42"/>
      <c r="C121" s="424"/>
      <c r="D121" s="42"/>
      <c r="E121" s="43"/>
      <c r="F121" s="43"/>
      <c r="G121" s="44"/>
      <c r="H121" s="45"/>
      <c r="I121" s="46"/>
      <c r="J121" s="84"/>
      <c r="K121" s="84"/>
      <c r="L121" s="36"/>
      <c r="M121" s="36"/>
      <c r="N121" s="47"/>
      <c r="O121" s="48"/>
      <c r="P121" s="49"/>
      <c r="Q121" s="48"/>
      <c r="R121" s="394"/>
      <c r="S121" s="394"/>
      <c r="T121" s="38"/>
      <c r="U121" s="38"/>
      <c r="V121" s="38"/>
      <c r="W121" s="38"/>
      <c r="X121" s="39"/>
      <c r="Y121" s="211"/>
      <c r="Z121" s="38"/>
      <c r="AA121" s="38"/>
      <c r="AB121" s="38"/>
      <c r="AC121" s="38"/>
      <c r="AD121" s="38">
        <f>+AM121+BA121</f>
        <v>26</v>
      </c>
      <c r="AE121" s="228" t="s">
        <v>458</v>
      </c>
      <c r="AF121" s="34"/>
      <c r="AG121" s="34"/>
      <c r="AH121" s="34">
        <v>26</v>
      </c>
      <c r="AI121" s="469"/>
      <c r="AJ121" s="38"/>
      <c r="AK121" s="38"/>
      <c r="AL121" s="38"/>
      <c r="AM121" s="38">
        <f>SUM(AF121:AL121)+AT121+AV121+AX121</f>
        <v>26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+AR121+AS121+AU121+AW121+AY121+AZ121</f>
        <v>0</v>
      </c>
      <c r="BB121" s="34"/>
      <c r="BC121" s="54"/>
      <c r="BD121" s="54"/>
      <c r="BE121" s="34"/>
      <c r="BF121" s="54"/>
    </row>
    <row r="122" spans="1:58" ht="12.95" customHeight="1">
      <c r="A122" s="41"/>
      <c r="B122" s="42"/>
      <c r="C122" s="424"/>
      <c r="D122" s="42"/>
      <c r="E122" s="43"/>
      <c r="F122" s="43"/>
      <c r="G122" s="467"/>
      <c r="H122" s="45"/>
      <c r="I122" s="46"/>
      <c r="J122" s="84"/>
      <c r="K122" s="84"/>
      <c r="L122" s="36"/>
      <c r="M122" s="36"/>
      <c r="N122" s="47"/>
      <c r="O122" s="48"/>
      <c r="P122" s="49"/>
      <c r="Q122" s="48"/>
      <c r="R122" s="394"/>
      <c r="S122" s="394"/>
      <c r="T122" s="38"/>
      <c r="U122" s="38"/>
      <c r="V122" s="38"/>
      <c r="W122" s="38"/>
      <c r="X122" s="39"/>
      <c r="Y122" s="211"/>
      <c r="Z122" s="38"/>
      <c r="AA122" s="38"/>
      <c r="AB122" s="38"/>
      <c r="AC122" s="38"/>
      <c r="AD122" s="38"/>
      <c r="AE122" s="228"/>
      <c r="AF122" s="38"/>
      <c r="AG122" s="38"/>
      <c r="AH122" s="38"/>
      <c r="AI122" s="469"/>
      <c r="AJ122" s="38"/>
      <c r="AK122" s="38"/>
      <c r="AL122" s="38"/>
      <c r="AM122" s="38"/>
      <c r="AN122" s="85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51"/>
      <c r="BC122" s="52"/>
      <c r="BD122" s="52"/>
      <c r="BE122" s="52"/>
      <c r="BF122" s="52"/>
    </row>
    <row r="123" spans="1:58" ht="12.75" customHeight="1">
      <c r="A123" s="41">
        <v>46020</v>
      </c>
      <c r="B123" s="42" t="s">
        <v>417</v>
      </c>
      <c r="C123" s="424">
        <f>(M123*E123*O123*Q123)/100000000</f>
        <v>48.906547199999999</v>
      </c>
      <c r="D123" s="42" t="s">
        <v>285</v>
      </c>
      <c r="E123" s="43">
        <v>12</v>
      </c>
      <c r="F123" s="43">
        <v>1</v>
      </c>
      <c r="G123" s="44">
        <v>1400</v>
      </c>
      <c r="H123" s="484">
        <f>+N123</f>
        <v>0.24</v>
      </c>
      <c r="I123" s="46">
        <v>0.88</v>
      </c>
      <c r="J123" s="84">
        <f>E123*G123*(1-H123)*1440/1000000*2.87</f>
        <v>52.767590399999996</v>
      </c>
      <c r="K123" s="84">
        <f>(IF(G123&lt;L123,L123,G123)*(1-IF(H123&lt;N123,H123,N123))*E123*O123*Q123)/100000000</f>
        <v>48.906547199999999</v>
      </c>
      <c r="L123" s="36">
        <v>1400</v>
      </c>
      <c r="M123" s="36">
        <v>1064</v>
      </c>
      <c r="N123" s="47">
        <f>1-(M123/L123)</f>
        <v>0.24</v>
      </c>
      <c r="O123" s="48">
        <f>+'Trim Rwd'!H92</f>
        <v>266</v>
      </c>
      <c r="P123" s="49">
        <f>O123*(Q123-R123-S123)</f>
        <v>369474</v>
      </c>
      <c r="Q123" s="48">
        <v>1440</v>
      </c>
      <c r="R123" s="394">
        <v>15</v>
      </c>
      <c r="S123" s="394">
        <v>36</v>
      </c>
      <c r="T123" s="38">
        <f>E123*M123*O123*Q123/100000000</f>
        <v>48.906547199999999</v>
      </c>
      <c r="U123" s="38">
        <f>E123*M123*O123*(Q123-R123-S123)/100000000</f>
        <v>47.174440320000002</v>
      </c>
      <c r="V123" s="38">
        <f>E123*G123*(1-N123)*O123/100*(R123+S123)/1000000</f>
        <v>1.7321068799999999</v>
      </c>
      <c r="W123" s="38">
        <f>+'29'!K34/1000</f>
        <v>45.203000000000003</v>
      </c>
      <c r="X123" s="391">
        <f>SUM(W123:W126)/SUM(K123:K126)</f>
        <v>0.92427297750432902</v>
      </c>
      <c r="Y123" s="38">
        <v>0</v>
      </c>
      <c r="Z123" s="38">
        <f>+'29'!D34/1000</f>
        <v>0.65200000000000002</v>
      </c>
      <c r="AA123" s="50">
        <f>SUM(U123:U126)-SUM(W123:W126)-SUM(Z123:Z126)-SUM(Y123:Y126)</f>
        <v>1.3194403199999991</v>
      </c>
      <c r="AB123" s="50">
        <f>(SUM(K123:K126)-SUM(W123:W126)-SUM(Y123:Y126)-SUM(Z123:Z126)-SUM(AC123:AC126)-SUM(V123:V126))-AA123</f>
        <v>-3.5527136788005009E-15</v>
      </c>
      <c r="AC123" s="38">
        <f>K123-T123</f>
        <v>0</v>
      </c>
      <c r="AD123" s="38">
        <f>+AM123+BA123</f>
        <v>5</v>
      </c>
      <c r="AE123" s="228" t="s">
        <v>448</v>
      </c>
      <c r="AF123" s="38">
        <v>5</v>
      </c>
      <c r="AG123" s="38"/>
      <c r="AH123" s="38"/>
      <c r="AI123" s="469"/>
      <c r="AJ123" s="38"/>
      <c r="AK123" s="38"/>
      <c r="AL123" s="38"/>
      <c r="AM123" s="38">
        <f>SUM(AF123:AL123)+AT123+AV123+AX123</f>
        <v>5</v>
      </c>
      <c r="AN123" s="38"/>
      <c r="AO123" s="38"/>
      <c r="AP123" s="38"/>
      <c r="AQ123" s="38"/>
      <c r="AR123" s="38">
        <f>SUM(AN123:AQ123)</f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34">
        <v>1</v>
      </c>
      <c r="BC123" s="52"/>
      <c r="BD123" s="52"/>
      <c r="BE123" s="34"/>
      <c r="BF123" s="52"/>
    </row>
    <row r="124" spans="1:58" ht="12.95" customHeight="1">
      <c r="A124" s="41"/>
      <c r="B124" s="42"/>
      <c r="C124" s="424"/>
      <c r="D124" s="42"/>
      <c r="E124" s="43"/>
      <c r="F124" s="43"/>
      <c r="G124" s="44"/>
      <c r="H124" s="45"/>
      <c r="I124" s="46"/>
      <c r="J124" s="84"/>
      <c r="K124" s="84"/>
      <c r="L124" s="36"/>
      <c r="M124" s="36"/>
      <c r="N124" s="47"/>
      <c r="O124" s="48"/>
      <c r="P124" s="49"/>
      <c r="Q124" s="48"/>
      <c r="R124" s="394"/>
      <c r="S124" s="394"/>
      <c r="T124" s="38"/>
      <c r="U124" s="38"/>
      <c r="V124" s="38"/>
      <c r="W124" s="38"/>
      <c r="X124" s="39"/>
      <c r="Y124" s="211"/>
      <c r="Z124" s="38"/>
      <c r="AA124" s="38"/>
      <c r="AB124" s="38"/>
      <c r="AC124" s="38"/>
      <c r="AD124" s="38">
        <f>+AM124+BA124</f>
        <v>5</v>
      </c>
      <c r="AE124" s="228" t="s">
        <v>478</v>
      </c>
      <c r="AF124" s="38"/>
      <c r="AG124" s="38">
        <v>5</v>
      </c>
      <c r="AH124" s="38"/>
      <c r="AI124" s="469"/>
      <c r="AJ124" s="38"/>
      <c r="AK124" s="38"/>
      <c r="AL124" s="38"/>
      <c r="AM124" s="38">
        <f>SUM(AF124:AL124)+AT124+AV124+AX124</f>
        <v>5</v>
      </c>
      <c r="AN124" s="85"/>
      <c r="AO124" s="38"/>
      <c r="AP124" s="38"/>
      <c r="AQ124" s="38"/>
      <c r="AR124" s="38">
        <f>SUM(AN124:AQ124)</f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>+AR124+AS124+AU124+AW124+AY124+AZ124</f>
        <v>0</v>
      </c>
      <c r="BB124" s="51"/>
      <c r="BC124" s="52">
        <v>2</v>
      </c>
      <c r="BD124" s="52"/>
      <c r="BE124" s="51"/>
      <c r="BF124" s="52"/>
    </row>
    <row r="125" spans="1:58" ht="12.95" customHeight="1">
      <c r="A125" s="41"/>
      <c r="B125" s="42"/>
      <c r="C125" s="424"/>
      <c r="D125" s="42"/>
      <c r="E125" s="43"/>
      <c r="F125" s="43"/>
      <c r="G125" s="44"/>
      <c r="H125" s="45"/>
      <c r="I125" s="46"/>
      <c r="J125" s="84"/>
      <c r="K125" s="84"/>
      <c r="L125" s="36"/>
      <c r="M125" s="36"/>
      <c r="N125" s="47"/>
      <c r="O125" s="48"/>
      <c r="P125" s="49"/>
      <c r="Q125" s="48"/>
      <c r="R125" s="394"/>
      <c r="S125" s="394"/>
      <c r="T125" s="38"/>
      <c r="U125" s="38"/>
      <c r="V125" s="38"/>
      <c r="W125" s="38"/>
      <c r="X125" s="39"/>
      <c r="Y125" s="211"/>
      <c r="Z125" s="38"/>
      <c r="AA125" s="38"/>
      <c r="AB125" s="38"/>
      <c r="AC125" s="38"/>
      <c r="AD125" s="38">
        <f>+AM125+BA125</f>
        <v>26</v>
      </c>
      <c r="AE125" s="228" t="s">
        <v>458</v>
      </c>
      <c r="AF125" s="34"/>
      <c r="AG125" s="34"/>
      <c r="AH125" s="34">
        <v>26</v>
      </c>
      <c r="AI125" s="469"/>
      <c r="AJ125" s="38"/>
      <c r="AK125" s="38"/>
      <c r="AL125" s="38"/>
      <c r="AM125" s="38">
        <f>SUM(AF125:AL125)+AT125+AV125+AX125</f>
        <v>26</v>
      </c>
      <c r="AN125" s="38"/>
      <c r="AO125" s="38"/>
      <c r="AP125" s="38"/>
      <c r="AQ125" s="38"/>
      <c r="AR125" s="38">
        <f>SUM(AN125:AQ125)</f>
        <v>0</v>
      </c>
      <c r="AS125" s="38"/>
      <c r="AT125" s="38"/>
      <c r="AU125" s="38"/>
      <c r="AV125" s="38"/>
      <c r="AW125" s="38"/>
      <c r="AX125" s="38"/>
      <c r="AY125" s="38"/>
      <c r="AZ125" s="38"/>
      <c r="BA125" s="38">
        <f>+AR125+AS125+AU125+AW125+AY125+AZ125</f>
        <v>0</v>
      </c>
      <c r="BB125" s="34"/>
      <c r="BC125" s="54"/>
      <c r="BD125" s="54"/>
      <c r="BE125" s="34"/>
      <c r="BF125" s="54"/>
    </row>
    <row r="126" spans="1:58" ht="12.95" customHeight="1">
      <c r="A126" s="41"/>
      <c r="B126" s="42"/>
      <c r="C126" s="424"/>
      <c r="D126" s="42"/>
      <c r="E126" s="43"/>
      <c r="F126" s="43"/>
      <c r="G126" s="467"/>
      <c r="H126" s="45"/>
      <c r="I126" s="46"/>
      <c r="J126" s="84"/>
      <c r="K126" s="84"/>
      <c r="L126" s="36"/>
      <c r="M126" s="36"/>
      <c r="N126" s="47"/>
      <c r="O126" s="48"/>
      <c r="P126" s="49"/>
      <c r="Q126" s="48"/>
      <c r="R126" s="394"/>
      <c r="S126" s="394"/>
      <c r="T126" s="38"/>
      <c r="U126" s="38"/>
      <c r="V126" s="38"/>
      <c r="W126" s="38"/>
      <c r="X126" s="39"/>
      <c r="Y126" s="211"/>
      <c r="Z126" s="38"/>
      <c r="AA126" s="38"/>
      <c r="AB126" s="38"/>
      <c r="AC126" s="38"/>
      <c r="AD126" s="38">
        <f>+AM126+BA126</f>
        <v>15</v>
      </c>
      <c r="AE126" s="231" t="s">
        <v>752</v>
      </c>
      <c r="AF126" s="38"/>
      <c r="AG126" s="38"/>
      <c r="AH126" s="38"/>
      <c r="AI126" s="469"/>
      <c r="AJ126" s="38"/>
      <c r="AK126" s="38"/>
      <c r="AL126" s="38"/>
      <c r="AM126" s="38">
        <f>SUM(AF126:AL126)+AT126+AV126+AX126</f>
        <v>0</v>
      </c>
      <c r="AN126" s="38">
        <v>15</v>
      </c>
      <c r="AO126" s="38"/>
      <c r="AP126" s="38"/>
      <c r="AQ126" s="38"/>
      <c r="AR126" s="38">
        <f>SUM(AN126:AQ126)</f>
        <v>15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+AR126+AS126+AU126+AW126+AY126+AZ126</f>
        <v>15</v>
      </c>
      <c r="BB126" s="34"/>
      <c r="BC126" s="54"/>
      <c r="BD126" s="54"/>
      <c r="BE126" s="34"/>
      <c r="BF126" s="54"/>
    </row>
    <row r="127" spans="1:58" ht="12.95" customHeight="1">
      <c r="A127" s="41"/>
      <c r="B127" s="42"/>
      <c r="C127" s="424"/>
      <c r="D127" s="42"/>
      <c r="E127" s="43"/>
      <c r="F127" s="43"/>
      <c r="G127" s="44"/>
      <c r="H127" s="45"/>
      <c r="I127" s="46"/>
      <c r="J127" s="84"/>
      <c r="K127" s="84"/>
      <c r="L127" s="36"/>
      <c r="M127" s="36"/>
      <c r="N127" s="47"/>
      <c r="O127" s="48"/>
      <c r="P127" s="49"/>
      <c r="Q127" s="48"/>
      <c r="R127" s="394"/>
      <c r="S127" s="394"/>
      <c r="T127" s="38"/>
      <c r="U127" s="38"/>
      <c r="V127" s="38"/>
      <c r="W127" s="38"/>
      <c r="X127" s="39"/>
      <c r="Y127" s="211"/>
      <c r="Z127" s="38"/>
      <c r="AA127" s="38"/>
      <c r="AB127" s="38"/>
      <c r="AC127" s="38"/>
      <c r="AD127" s="38"/>
      <c r="AE127" s="228"/>
      <c r="AF127" s="34"/>
      <c r="AG127" s="34"/>
      <c r="AH127" s="34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4"/>
      <c r="BC127" s="54"/>
      <c r="BD127" s="52"/>
      <c r="BE127" s="52"/>
      <c r="BF127" s="52"/>
    </row>
    <row r="128" spans="1:58" ht="12.75" customHeight="1">
      <c r="A128" s="41">
        <v>46021</v>
      </c>
      <c r="B128" s="42" t="s">
        <v>417</v>
      </c>
      <c r="C128" s="424">
        <f>(M128*E128*O128*Q128)/100000000</f>
        <v>28.220472000000001</v>
      </c>
      <c r="D128" s="42" t="s">
        <v>285</v>
      </c>
      <c r="E128" s="43">
        <v>12</v>
      </c>
      <c r="F128" s="43">
        <v>1</v>
      </c>
      <c r="G128" s="44">
        <v>1400</v>
      </c>
      <c r="H128" s="484">
        <f>+N128</f>
        <v>0.25</v>
      </c>
      <c r="I128" s="46">
        <v>0.88</v>
      </c>
      <c r="J128" s="84">
        <f>E128*G128*(1-H128)*1440/1000000*2.87</f>
        <v>52.073279999999997</v>
      </c>
      <c r="K128" s="84">
        <f>(IF(G128&lt;L128,L128,G128)*(1-IF(H128&lt;N128,H128,N128))*E128*O128*Q128)/100000000</f>
        <v>28.220472000000001</v>
      </c>
      <c r="L128" s="36">
        <v>1400</v>
      </c>
      <c r="M128" s="36">
        <v>1050</v>
      </c>
      <c r="N128" s="47">
        <f>1-(M128/L128)</f>
        <v>0.25</v>
      </c>
      <c r="O128" s="48">
        <f>+'Trim Rwd'!H94</f>
        <v>266</v>
      </c>
      <c r="P128" s="49">
        <f>O128*(Q128-R128-S128)</f>
        <v>218652</v>
      </c>
      <c r="Q128" s="48">
        <v>842</v>
      </c>
      <c r="R128" s="394">
        <v>0</v>
      </c>
      <c r="S128" s="394">
        <v>20</v>
      </c>
      <c r="T128" s="38">
        <f>E128*M128*O128*Q128/100000000</f>
        <v>28.220472000000001</v>
      </c>
      <c r="U128" s="38">
        <f>E128*M128*O128*(Q128-R128-S128)/100000000</f>
        <v>27.550152000000001</v>
      </c>
      <c r="V128" s="38">
        <f>E128*G128*(1-N128)*O128/100*(R128+S128)/1000000</f>
        <v>0.67032000000000003</v>
      </c>
      <c r="W128" s="38">
        <f>+'30'!K10/1000</f>
        <v>31.960999999999999</v>
      </c>
      <c r="X128" s="391">
        <f>SUM(W128:W131)/SUM(K128:K131)</f>
        <v>0.92063882874565606</v>
      </c>
      <c r="Y128" s="38">
        <v>0</v>
      </c>
      <c r="Z128" s="38">
        <v>0</v>
      </c>
      <c r="AA128" s="50">
        <f>SUM(U128:U131)-SUM(W128:W131)-SUM(Z128:Z131)-SUM(Y128:Y131)</f>
        <v>2.8433998461538579</v>
      </c>
      <c r="AB128" s="50">
        <f>(SUM(K128:K131)-SUM(W128:W131)-SUM(Y128:Y131)-SUM(Z128:Z131)-SUM(AC128:AC131)-SUM(V128:V131))-AA128</f>
        <v>1.8013153846141883E-2</v>
      </c>
      <c r="AC128" s="38">
        <f>K128-T128</f>
        <v>0</v>
      </c>
      <c r="AD128" s="38">
        <f>+AM128+BA128</f>
        <v>2</v>
      </c>
      <c r="AE128" s="228" t="s">
        <v>448</v>
      </c>
      <c r="AF128" s="38">
        <v>2</v>
      </c>
      <c r="AG128" s="38"/>
      <c r="AH128" s="38"/>
      <c r="AI128" s="469"/>
      <c r="AJ128" s="38"/>
      <c r="AK128" s="38"/>
      <c r="AL128" s="38"/>
      <c r="AM128" s="38">
        <f>SUM(AF128:AL128)+AT128+AV128+AX128</f>
        <v>2</v>
      </c>
      <c r="AN128" s="38"/>
      <c r="AO128" s="38"/>
      <c r="AP128" s="38"/>
      <c r="AQ128" s="38"/>
      <c r="AR128" s="38">
        <f>SUM(AN128:AQ128)</f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>+AR128+AS128+AU128+AW128+AY128+AZ128</f>
        <v>0</v>
      </c>
      <c r="BB128" s="34">
        <v>1</v>
      </c>
      <c r="BC128" s="52"/>
      <c r="BD128" s="52"/>
      <c r="BE128" s="34"/>
      <c r="BF128" s="52"/>
    </row>
    <row r="129" spans="1:58" ht="12.95" customHeight="1">
      <c r="A129" s="41"/>
      <c r="B129" s="42" t="s">
        <v>419</v>
      </c>
      <c r="C129" s="424">
        <f>(M129*E129*O129*Q129)/100000000</f>
        <v>22.772380500000001</v>
      </c>
      <c r="D129" s="42" t="s">
        <v>285</v>
      </c>
      <c r="E129" s="43">
        <v>15</v>
      </c>
      <c r="F129" s="43">
        <v>1</v>
      </c>
      <c r="G129" s="44">
        <v>1185</v>
      </c>
      <c r="H129" s="484">
        <f>+N129</f>
        <v>0.24999999999999989</v>
      </c>
      <c r="I129" s="46">
        <v>0.88</v>
      </c>
      <c r="J129" s="84">
        <f>E129*G129*(1-H129)*1440/1000000*2.87</f>
        <v>55.095390000000009</v>
      </c>
      <c r="K129" s="84">
        <f>(IF(G129&lt;L129,L129,G129)*(1-IF(H129&lt;N129,H129,N129))*E129*O129*Q129)/100000000</f>
        <v>22.772380500000001</v>
      </c>
      <c r="L129" s="36">
        <v>1226.4381270903009</v>
      </c>
      <c r="M129" s="36">
        <v>919.82859531772579</v>
      </c>
      <c r="N129" s="47">
        <f>1-(M129/L129)</f>
        <v>0.24999999999999989</v>
      </c>
      <c r="O129" s="48">
        <f>+'Trim Rwd'!H95</f>
        <v>276</v>
      </c>
      <c r="P129" s="49">
        <f>O129*(Q129-R129-S129)</f>
        <v>161184</v>
      </c>
      <c r="Q129" s="48">
        <v>598</v>
      </c>
      <c r="R129" s="394">
        <v>0</v>
      </c>
      <c r="S129" s="394">
        <v>14</v>
      </c>
      <c r="T129" s="38">
        <f>E129*M129*O129*Q129/100000000</f>
        <v>22.772380500000001</v>
      </c>
      <c r="U129" s="38">
        <f>E129*M129*O129*(Q129-R129-S129)/100000000</f>
        <v>22.239247846153852</v>
      </c>
      <c r="V129" s="38">
        <f>E129*G129*(1-N129)*O129/100*(R129+S129)/1000000</f>
        <v>0.51511950000000006</v>
      </c>
      <c r="W129" s="38">
        <f>+'30'!K17/1000</f>
        <v>14.984999999999999</v>
      </c>
      <c r="X129" s="39"/>
      <c r="Y129" s="211"/>
      <c r="Z129" s="38"/>
      <c r="AA129" s="38"/>
      <c r="AB129" s="38"/>
      <c r="AC129" s="38">
        <f>K129-T129</f>
        <v>0</v>
      </c>
      <c r="AD129" s="38">
        <f>+AM129+BA129</f>
        <v>0</v>
      </c>
      <c r="AE129" s="228" t="s">
        <v>415</v>
      </c>
      <c r="AF129" s="38"/>
      <c r="AG129" s="38">
        <v>0</v>
      </c>
      <c r="AH129" s="38"/>
      <c r="AI129" s="469"/>
      <c r="AJ129" s="38"/>
      <c r="AK129" s="38"/>
      <c r="AL129" s="38"/>
      <c r="AM129" s="38">
        <f>SUM(AF129:AL129)+AT129+AV129+AX129</f>
        <v>0</v>
      </c>
      <c r="AN129" s="85"/>
      <c r="AO129" s="38"/>
      <c r="AP129" s="38"/>
      <c r="AQ129" s="38"/>
      <c r="AR129" s="38">
        <f>SUM(AN129:AQ129)</f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0</v>
      </c>
      <c r="BB129" s="51"/>
      <c r="BC129" s="52">
        <v>2</v>
      </c>
      <c r="BD129" s="52"/>
      <c r="BE129" s="51"/>
      <c r="BF129" s="52"/>
    </row>
    <row r="130" spans="1:58" ht="12.95" customHeight="1">
      <c r="A130" s="41"/>
      <c r="B130" s="42"/>
      <c r="C130" s="424"/>
      <c r="D130" s="42"/>
      <c r="E130" s="43"/>
      <c r="F130" s="43"/>
      <c r="G130" s="44"/>
      <c r="H130" s="45"/>
      <c r="I130" s="46"/>
      <c r="J130" s="84"/>
      <c r="K130" s="84"/>
      <c r="L130" s="36"/>
      <c r="M130" s="36"/>
      <c r="N130" s="47"/>
      <c r="O130" s="48"/>
      <c r="P130" s="49"/>
      <c r="Q130" s="48"/>
      <c r="R130" s="394"/>
      <c r="S130" s="394"/>
      <c r="T130" s="38"/>
      <c r="U130" s="38"/>
      <c r="V130" s="38"/>
      <c r="W130" s="38"/>
      <c r="X130" s="39"/>
      <c r="Y130" s="211"/>
      <c r="Z130" s="38"/>
      <c r="AA130" s="38"/>
      <c r="AB130" s="38"/>
      <c r="AC130" s="38"/>
      <c r="AD130" s="38">
        <f>+AM130+BA130</f>
        <v>32</v>
      </c>
      <c r="AE130" s="228" t="s">
        <v>420</v>
      </c>
      <c r="AF130" s="34"/>
      <c r="AG130" s="34"/>
      <c r="AH130" s="34">
        <v>32</v>
      </c>
      <c r="AI130" s="469"/>
      <c r="AJ130" s="38"/>
      <c r="AK130" s="38"/>
      <c r="AL130" s="38"/>
      <c r="AM130" s="38">
        <f>SUM(AF130:AL130)+AT130+AV130+AX130</f>
        <v>32</v>
      </c>
      <c r="AN130" s="38"/>
      <c r="AO130" s="38"/>
      <c r="AP130" s="38"/>
      <c r="AQ130" s="38"/>
      <c r="AR130" s="38">
        <f>SUM(AN130:AQ130)</f>
        <v>0</v>
      </c>
      <c r="AS130" s="38"/>
      <c r="AT130" s="38"/>
      <c r="AU130" s="38"/>
      <c r="AV130" s="38"/>
      <c r="AW130" s="38"/>
      <c r="AX130" s="38"/>
      <c r="AY130" s="38"/>
      <c r="AZ130" s="38"/>
      <c r="BA130" s="38">
        <f>+AR130+AS130+AU130+AW130+AY130+AZ130</f>
        <v>0</v>
      </c>
      <c r="BB130" s="34"/>
      <c r="BC130" s="54"/>
      <c r="BD130" s="54"/>
      <c r="BE130" s="34"/>
      <c r="BF130" s="54"/>
    </row>
    <row r="131" spans="1:58" ht="12.95" customHeight="1">
      <c r="A131" s="41"/>
      <c r="B131" s="42"/>
      <c r="C131" s="424"/>
      <c r="D131" s="42"/>
      <c r="E131" s="43"/>
      <c r="F131" s="43"/>
      <c r="G131" s="467"/>
      <c r="H131" s="45"/>
      <c r="I131" s="46"/>
      <c r="J131" s="84"/>
      <c r="K131" s="84"/>
      <c r="L131" s="36"/>
      <c r="M131" s="36"/>
      <c r="N131" s="47"/>
      <c r="O131" s="48"/>
      <c r="P131" s="49"/>
      <c r="Q131" s="48"/>
      <c r="R131" s="394"/>
      <c r="S131" s="394"/>
      <c r="T131" s="38"/>
      <c r="U131" s="38"/>
      <c r="V131" s="38"/>
      <c r="W131" s="38"/>
      <c r="X131" s="39"/>
      <c r="Y131" s="211"/>
      <c r="Z131" s="38"/>
      <c r="AA131" s="38"/>
      <c r="AB131" s="38"/>
      <c r="AC131" s="38"/>
      <c r="AD131" s="38"/>
      <c r="AE131" s="228"/>
      <c r="AF131" s="38"/>
      <c r="AG131" s="38"/>
      <c r="AH131" s="38"/>
      <c r="AI131" s="469"/>
      <c r="AJ131" s="38"/>
      <c r="AK131" s="38"/>
      <c r="AL131" s="38"/>
      <c r="AM131" s="38"/>
      <c r="AN131" s="85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51"/>
      <c r="BC131" s="52"/>
      <c r="BD131" s="52"/>
      <c r="BE131" s="52"/>
      <c r="BF131" s="52"/>
    </row>
    <row r="132" spans="1:58" ht="12.75" customHeight="1">
      <c r="A132" s="41">
        <v>46387</v>
      </c>
      <c r="B132" s="42" t="s">
        <v>419</v>
      </c>
      <c r="C132" s="424">
        <f>(M132*E132*O132*Q132)/100000000</f>
        <v>54.83650153846154</v>
      </c>
      <c r="D132" s="42" t="s">
        <v>285</v>
      </c>
      <c r="E132" s="43">
        <v>15</v>
      </c>
      <c r="F132" s="43">
        <v>1</v>
      </c>
      <c r="G132" s="44">
        <v>1185</v>
      </c>
      <c r="H132" s="484">
        <f>+N132</f>
        <v>0.24999999999999989</v>
      </c>
      <c r="I132" s="46">
        <v>0.88</v>
      </c>
      <c r="J132" s="84">
        <f>E132*G132*(1-H132)*1440/1000000*2.87</f>
        <v>55.095390000000009</v>
      </c>
      <c r="K132" s="84">
        <f>(IF(G132&lt;L132,L132,G132)*(1-IF(H132&lt;N132,H132,N132))*E132*O132*Q132)/100000000</f>
        <v>54.83650153846154</v>
      </c>
      <c r="L132" s="36">
        <v>1226.4381270903009</v>
      </c>
      <c r="M132" s="36">
        <v>919.82859531772579</v>
      </c>
      <c r="N132" s="47">
        <f>1-(M132/L132)</f>
        <v>0.24999999999999989</v>
      </c>
      <c r="O132" s="48">
        <f>+'Trim Rwd'!H97</f>
        <v>276</v>
      </c>
      <c r="P132" s="49">
        <f>O132*(Q132-R132-S132)</f>
        <v>391920</v>
      </c>
      <c r="Q132" s="48">
        <v>1440</v>
      </c>
      <c r="R132" s="394">
        <v>0</v>
      </c>
      <c r="S132" s="394">
        <v>20</v>
      </c>
      <c r="T132" s="38">
        <f>E132*M132*O132*Q132/100000000</f>
        <v>54.83650153846154</v>
      </c>
      <c r="U132" s="38">
        <f>E132*M132*O132*(Q132-R132-S132)/100000000</f>
        <v>54.074883461538469</v>
      </c>
      <c r="V132" s="38">
        <f>E132*G132*(1-N132)*O132/100*(R132+S132)/1000000</f>
        <v>0.73588500000000012</v>
      </c>
      <c r="W132" s="38">
        <f>+'31'!K34/1000</f>
        <v>53.325000000000003</v>
      </c>
      <c r="X132" s="391">
        <f>SUM(W132:W135)/SUM(K132:K135)</f>
        <v>0.97243621500176503</v>
      </c>
      <c r="Y132" s="38">
        <f>+SUM(RBP!$AG$3:$AG$4)</f>
        <v>5.4060000000000006</v>
      </c>
      <c r="Z132" s="38">
        <f>+'31'!D34/1000</f>
        <v>0.6</v>
      </c>
      <c r="AA132" s="50">
        <f>SUM(U132:U135)-SUM(W132:W135)-SUM(Z132:Z135)-SUM(Y132:Y135)</f>
        <v>-5.2561165384615336</v>
      </c>
      <c r="AB132" s="50">
        <f>(SUM(K132:K135)-SUM(W132:W135)-SUM(Y132:Y135)-SUM(Z132:Z135)-SUM(AC132:AC135)-SUM(V132:V135))-AA132</f>
        <v>2.5733076923071252E-2</v>
      </c>
      <c r="AC132" s="38">
        <f>K132-T132</f>
        <v>0</v>
      </c>
      <c r="AD132" s="38">
        <f>+AM132+BA132</f>
        <v>0</v>
      </c>
      <c r="AE132" s="228" t="s">
        <v>392</v>
      </c>
      <c r="AF132" s="38">
        <v>0</v>
      </c>
      <c r="AG132" s="38"/>
      <c r="AH132" s="38"/>
      <c r="AI132" s="469"/>
      <c r="AJ132" s="38"/>
      <c r="AK132" s="38"/>
      <c r="AL132" s="38"/>
      <c r="AM132" s="38">
        <f>SUM(AF132:AL132)+AT132+AV132+AX132</f>
        <v>0</v>
      </c>
      <c r="AN132" s="38"/>
      <c r="AO132" s="38"/>
      <c r="AP132" s="38"/>
      <c r="AQ132" s="38"/>
      <c r="AR132" s="38">
        <f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>+AR132+AS132+AU132+AW132+AY132+AZ132</f>
        <v>0</v>
      </c>
      <c r="BB132" s="34">
        <v>0</v>
      </c>
      <c r="BC132" s="52"/>
      <c r="BD132" s="52"/>
      <c r="BE132" s="34"/>
      <c r="BF132" s="52"/>
    </row>
    <row r="133" spans="1:58" ht="12.95" customHeight="1">
      <c r="A133" s="41"/>
      <c r="B133" s="42"/>
      <c r="C133" s="424"/>
      <c r="D133" s="42"/>
      <c r="E133" s="43"/>
      <c r="F133" s="43"/>
      <c r="G133" s="44"/>
      <c r="H133" s="484"/>
      <c r="I133" s="46"/>
      <c r="J133" s="84"/>
      <c r="K133" s="84"/>
      <c r="L133" s="36"/>
      <c r="M133" s="36"/>
      <c r="N133" s="47"/>
      <c r="O133" s="48"/>
      <c r="P133" s="49"/>
      <c r="Q133" s="48"/>
      <c r="R133" s="394"/>
      <c r="S133" s="394"/>
      <c r="T133" s="38"/>
      <c r="U133" s="38"/>
      <c r="V133" s="38"/>
      <c r="W133" s="38"/>
      <c r="X133" s="39"/>
      <c r="Y133" s="211"/>
      <c r="Z133" s="38"/>
      <c r="AA133" s="38"/>
      <c r="AB133" s="38"/>
      <c r="AC133" s="38"/>
      <c r="AD133" s="38">
        <f>+AM133+BA133</f>
        <v>3</v>
      </c>
      <c r="AE133" s="228" t="s">
        <v>478</v>
      </c>
      <c r="AF133" s="38"/>
      <c r="AG133" s="38">
        <v>3</v>
      </c>
      <c r="AH133" s="38"/>
      <c r="AI133" s="469"/>
      <c r="AJ133" s="38"/>
      <c r="AK133" s="38"/>
      <c r="AL133" s="38"/>
      <c r="AM133" s="38">
        <f>SUM(AF133:AL133)+AT133+AV133+AX133</f>
        <v>3</v>
      </c>
      <c r="AN133" s="85"/>
      <c r="AO133" s="38"/>
      <c r="AP133" s="38"/>
      <c r="AQ133" s="38"/>
      <c r="AR133" s="38">
        <f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51"/>
      <c r="BC133" s="52">
        <v>2</v>
      </c>
      <c r="BD133" s="52"/>
      <c r="BE133" s="51"/>
      <c r="BF133" s="52"/>
    </row>
    <row r="134" spans="1:58" ht="12.95" customHeight="1">
      <c r="A134" s="41"/>
      <c r="B134" s="42"/>
      <c r="C134" s="424"/>
      <c r="D134" s="42"/>
      <c r="E134" s="43"/>
      <c r="F134" s="43"/>
      <c r="G134" s="44"/>
      <c r="H134" s="45"/>
      <c r="I134" s="46"/>
      <c r="J134" s="84"/>
      <c r="K134" s="84"/>
      <c r="L134" s="36"/>
      <c r="M134" s="36"/>
      <c r="N134" s="47"/>
      <c r="O134" s="48"/>
      <c r="P134" s="49"/>
      <c r="Q134" s="48"/>
      <c r="R134" s="394"/>
      <c r="S134" s="394"/>
      <c r="T134" s="38"/>
      <c r="U134" s="38"/>
      <c r="V134" s="38"/>
      <c r="W134" s="38"/>
      <c r="X134" s="39"/>
      <c r="Y134" s="211"/>
      <c r="Z134" s="38"/>
      <c r="AA134" s="38"/>
      <c r="AB134" s="38"/>
      <c r="AC134" s="38"/>
      <c r="AD134" s="38">
        <f>+AM134+BA134</f>
        <v>17</v>
      </c>
      <c r="AE134" s="228" t="s">
        <v>514</v>
      </c>
      <c r="AF134" s="34"/>
      <c r="AG134" s="34"/>
      <c r="AH134" s="34">
        <v>17</v>
      </c>
      <c r="AI134" s="469"/>
      <c r="AJ134" s="38"/>
      <c r="AK134" s="38"/>
      <c r="AL134" s="38"/>
      <c r="AM134" s="38">
        <f>SUM(AF134:AL134)+AT134+AV134+AX134</f>
        <v>17</v>
      </c>
      <c r="AN134" s="38"/>
      <c r="AO134" s="38"/>
      <c r="AP134" s="38"/>
      <c r="AQ134" s="38"/>
      <c r="AR134" s="38">
        <f>SUM(AN134:AQ134)</f>
        <v>0</v>
      </c>
      <c r="AS134" s="38"/>
      <c r="AT134" s="38"/>
      <c r="AU134" s="38"/>
      <c r="AV134" s="38"/>
      <c r="AW134" s="38"/>
      <c r="AX134" s="38"/>
      <c r="AY134" s="38"/>
      <c r="AZ134" s="38"/>
      <c r="BA134" s="38">
        <f>+AR134+AS134+AU134+AW134+AY134+AZ134</f>
        <v>0</v>
      </c>
      <c r="BB134" s="34"/>
      <c r="BC134" s="54"/>
      <c r="BD134" s="54"/>
      <c r="BE134" s="34"/>
      <c r="BF134" s="54"/>
    </row>
    <row r="135" spans="1:58" ht="12.95" customHeight="1">
      <c r="A135" s="41"/>
      <c r="B135" s="505"/>
      <c r="C135" s="424"/>
      <c r="D135" s="42"/>
      <c r="E135" s="245"/>
      <c r="F135" s="43"/>
      <c r="G135" s="44"/>
      <c r="H135" s="45"/>
      <c r="I135" s="46"/>
      <c r="J135" s="84"/>
      <c r="K135" s="84"/>
      <c r="L135" s="36"/>
      <c r="M135" s="36"/>
      <c r="N135" s="47"/>
      <c r="O135" s="48"/>
      <c r="P135" s="49"/>
      <c r="Q135" s="337"/>
      <c r="R135" s="51"/>
      <c r="S135" s="51"/>
      <c r="T135" s="38"/>
      <c r="U135" s="38"/>
      <c r="V135" s="38"/>
      <c r="W135" s="34"/>
      <c r="X135" s="39"/>
      <c r="Y135" s="39"/>
      <c r="Z135" s="34"/>
      <c r="AA135" s="50"/>
      <c r="AB135" s="50"/>
      <c r="AC135" s="38"/>
      <c r="AD135" s="38"/>
      <c r="AE135" s="21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4"/>
      <c r="BC135" s="52"/>
      <c r="BD135" s="52"/>
      <c r="BE135" s="52"/>
      <c r="BF135" s="52"/>
    </row>
    <row r="136" spans="1:58" s="28" customFormat="1" ht="12.95" customHeight="1">
      <c r="A136" s="30"/>
      <c r="B136" s="30"/>
      <c r="C136" s="30"/>
      <c r="D136" s="30"/>
      <c r="E136" s="30"/>
      <c r="F136" s="56"/>
      <c r="G136" s="30"/>
      <c r="H136" s="30"/>
      <c r="I136" s="30"/>
      <c r="J136" s="85"/>
      <c r="K136" s="85"/>
      <c r="L136" s="57"/>
      <c r="M136" s="57"/>
      <c r="N136" s="30"/>
      <c r="O136" s="30"/>
      <c r="P136" s="30"/>
      <c r="Q136" s="338"/>
      <c r="R136" s="395"/>
      <c r="S136" s="395"/>
      <c r="T136" s="30"/>
      <c r="U136" s="30"/>
      <c r="V136" s="30"/>
      <c r="W136" s="30"/>
      <c r="X136" s="30"/>
      <c r="Y136" s="30"/>
      <c r="Z136" s="30"/>
      <c r="AA136" s="246">
        <f>U136-W136-Z136</f>
        <v>0</v>
      </c>
      <c r="AB136" s="246"/>
      <c r="AC136" s="247">
        <f>K136-T136</f>
        <v>0</v>
      </c>
      <c r="AD136" s="38"/>
      <c r="AE136" s="30"/>
      <c r="AF136" s="53"/>
      <c r="AG136" s="53"/>
      <c r="AH136" s="53"/>
      <c r="AI136" s="53"/>
      <c r="AJ136" s="53"/>
      <c r="AK136" s="53"/>
      <c r="AL136" s="53"/>
      <c r="AM136" s="38"/>
      <c r="AN136" s="53"/>
      <c r="AO136" s="53"/>
      <c r="AP136" s="53"/>
      <c r="AQ136" s="53"/>
      <c r="AR136" s="38"/>
      <c r="AS136" s="53"/>
      <c r="AT136" s="53"/>
      <c r="AU136" s="53"/>
      <c r="AV136" s="53"/>
      <c r="AW136" s="53"/>
      <c r="AX136" s="53"/>
      <c r="AY136" s="53"/>
      <c r="AZ136" s="53"/>
      <c r="BA136" s="38"/>
      <c r="BB136" s="65"/>
      <c r="BC136" s="65"/>
      <c r="BD136" s="54"/>
      <c r="BE136" s="34"/>
      <c r="BF136" s="54"/>
    </row>
    <row r="137" spans="1:58" ht="12.95" customHeight="1">
      <c r="A137" s="58"/>
      <c r="B137" s="59"/>
      <c r="C137" s="425">
        <f>SUM(C6:C135)</f>
        <v>1646.9344319076436</v>
      </c>
      <c r="D137" s="59"/>
      <c r="E137" s="60"/>
      <c r="F137" s="60"/>
      <c r="G137" s="61"/>
      <c r="H137" s="61"/>
      <c r="I137" s="62">
        <v>0.85</v>
      </c>
      <c r="J137" s="84"/>
      <c r="K137" s="86">
        <f>SUM(K6:K135)</f>
        <v>1647.5310144276439</v>
      </c>
      <c r="L137" s="64"/>
      <c r="M137" s="64"/>
      <c r="N137" s="65"/>
      <c r="O137" s="66">
        <f>P137/(Q137-R137-S137)</f>
        <v>276.38444214709915</v>
      </c>
      <c r="P137" s="63">
        <f>SUM(P6:P135)</f>
        <v>11991215.406994045</v>
      </c>
      <c r="Q137" s="339">
        <f>SUM(Q6:Q136)</f>
        <v>44640</v>
      </c>
      <c r="R137" s="63">
        <f t="shared" ref="R137:W137" si="0">SUM(R6:R135)</f>
        <v>173</v>
      </c>
      <c r="S137" s="63">
        <f t="shared" si="0"/>
        <v>1081</v>
      </c>
      <c r="T137" s="63">
        <f t="shared" si="0"/>
        <v>1646.9344319076436</v>
      </c>
      <c r="U137" s="63">
        <f t="shared" si="0"/>
        <v>1601.0913734810019</v>
      </c>
      <c r="V137" s="364">
        <f t="shared" si="0"/>
        <v>44.870246887964427</v>
      </c>
      <c r="W137" s="470">
        <f t="shared" si="0"/>
        <v>1534.7250000000001</v>
      </c>
      <c r="X137" s="471">
        <f>W137/K137</f>
        <v>0.9315302635035172</v>
      </c>
      <c r="Y137" s="365">
        <f>SUM(Y6:Y135)</f>
        <v>5.4060000000000006</v>
      </c>
      <c r="Z137" s="470">
        <f>SUM(Z6:Z135)</f>
        <v>6.0519999999999996</v>
      </c>
      <c r="AA137" s="63">
        <f>SUM(AA6:AA135)</f>
        <v>54.908373481002243</v>
      </c>
      <c r="AB137" s="63">
        <f>SUM(AB6:AB135)</f>
        <v>0.97281153867720327</v>
      </c>
      <c r="AC137" s="63">
        <f>SUM(AC6:AC135)</f>
        <v>0.59658251999999923</v>
      </c>
      <c r="AD137" s="38">
        <f>SUM(AD6:AD136)</f>
        <v>1254</v>
      </c>
      <c r="AE137" s="67"/>
      <c r="AF137" s="63">
        <f t="shared" ref="AF137:BF137" si="1">SUM(AF6:AF136)</f>
        <v>148</v>
      </c>
      <c r="AG137" s="63">
        <f t="shared" si="1"/>
        <v>72</v>
      </c>
      <c r="AH137" s="63">
        <f t="shared" si="1"/>
        <v>861</v>
      </c>
      <c r="AI137" s="63">
        <f t="shared" si="1"/>
        <v>0</v>
      </c>
      <c r="AJ137" s="63">
        <f t="shared" si="1"/>
        <v>0</v>
      </c>
      <c r="AK137" s="63">
        <f t="shared" si="1"/>
        <v>0</v>
      </c>
      <c r="AL137" s="63">
        <f t="shared" si="1"/>
        <v>0</v>
      </c>
      <c r="AM137" s="63">
        <f t="shared" si="1"/>
        <v>1081</v>
      </c>
      <c r="AN137" s="53">
        <f t="shared" si="1"/>
        <v>55</v>
      </c>
      <c r="AO137" s="53">
        <f t="shared" si="1"/>
        <v>0</v>
      </c>
      <c r="AP137" s="53">
        <f t="shared" si="1"/>
        <v>110</v>
      </c>
      <c r="AQ137" s="53">
        <f t="shared" si="1"/>
        <v>0</v>
      </c>
      <c r="AR137" s="63">
        <f t="shared" si="1"/>
        <v>165</v>
      </c>
      <c r="AS137" s="63">
        <f t="shared" si="1"/>
        <v>0</v>
      </c>
      <c r="AT137" s="63">
        <f t="shared" si="1"/>
        <v>0</v>
      </c>
      <c r="AU137" s="63">
        <f t="shared" si="1"/>
        <v>0</v>
      </c>
      <c r="AV137" s="63">
        <f t="shared" si="1"/>
        <v>0</v>
      </c>
      <c r="AW137" s="63">
        <f t="shared" si="1"/>
        <v>0</v>
      </c>
      <c r="AX137" s="63">
        <f t="shared" si="1"/>
        <v>0</v>
      </c>
      <c r="AY137" s="63">
        <f t="shared" si="1"/>
        <v>8</v>
      </c>
      <c r="AZ137" s="63">
        <f t="shared" si="1"/>
        <v>0</v>
      </c>
      <c r="BA137" s="63">
        <f t="shared" si="1"/>
        <v>173</v>
      </c>
      <c r="BB137" s="53">
        <f t="shared" si="1"/>
        <v>31</v>
      </c>
      <c r="BC137" s="53">
        <f t="shared" si="1"/>
        <v>37</v>
      </c>
      <c r="BD137" s="53">
        <f t="shared" si="1"/>
        <v>0</v>
      </c>
      <c r="BE137" s="53">
        <f t="shared" si="1"/>
        <v>1</v>
      </c>
      <c r="BF137" s="53">
        <f t="shared" si="1"/>
        <v>0</v>
      </c>
    </row>
    <row r="138" spans="1:58">
      <c r="A138" s="58"/>
      <c r="B138" s="59"/>
      <c r="C138" s="59"/>
      <c r="D138" s="59"/>
      <c r="E138" s="60"/>
      <c r="F138" s="60"/>
      <c r="G138" s="61"/>
      <c r="H138" s="61"/>
      <c r="I138" s="61"/>
      <c r="J138" s="87"/>
      <c r="K138" s="87"/>
      <c r="L138" s="64"/>
      <c r="M138" s="64"/>
      <c r="N138" s="65"/>
      <c r="O138" s="557"/>
      <c r="P138" s="558"/>
      <c r="Q138" s="61">
        <f>31*1440-Q137</f>
        <v>0</v>
      </c>
      <c r="R138" s="68">
        <f>R137/Q137</f>
        <v>3.8754480286738351E-3</v>
      </c>
      <c r="S138" s="68">
        <f>S137/Q137</f>
        <v>2.4215949820788531E-2</v>
      </c>
      <c r="T138" s="350"/>
      <c r="U138" s="350"/>
      <c r="V138" s="352">
        <f>V137/K137</f>
        <v>2.723484201209557E-2</v>
      </c>
      <c r="W138" s="369" t="s">
        <v>170</v>
      </c>
      <c r="X138" s="472">
        <v>0.85</v>
      </c>
      <c r="Y138" s="366">
        <f>Y137/K137</f>
        <v>3.2812735861473645E-3</v>
      </c>
      <c r="Z138" s="69">
        <f>Z137/K137</f>
        <v>3.6733754612215774E-3</v>
      </c>
      <c r="AA138" s="69">
        <f>AA137/K137</f>
        <v>3.3327672134947667E-2</v>
      </c>
      <c r="AB138" s="69">
        <f>AB137/K137</f>
        <v>5.9046629784699999E-4</v>
      </c>
      <c r="AC138" s="473">
        <f>AC137/K137</f>
        <v>3.6210700422368279E-4</v>
      </c>
      <c r="AD138" s="353"/>
      <c r="AE138" s="40"/>
      <c r="AF138" s="69">
        <f>AF137/$AD$137*$V$138</f>
        <v>3.2143194719219653E-3</v>
      </c>
      <c r="AG138" s="69">
        <f>AG137/$AD$137*$V$138</f>
        <v>1.5637229863404156E-3</v>
      </c>
      <c r="AH138" s="69">
        <f>AH137/$AD$137*$V$138</f>
        <v>1.8699520711654136E-2</v>
      </c>
      <c r="AI138" s="69">
        <f>AI137/$AD$137*$V$138</f>
        <v>0</v>
      </c>
      <c r="AJ138" s="69">
        <f t="shared" ref="AJ138:BA138" si="2">AJ137/$AD$137*$V$138</f>
        <v>0</v>
      </c>
      <c r="AK138" s="69">
        <f t="shared" si="2"/>
        <v>0</v>
      </c>
      <c r="AL138" s="69">
        <f t="shared" si="2"/>
        <v>0</v>
      </c>
      <c r="AM138" s="69">
        <f t="shared" si="2"/>
        <v>2.3477563169916515E-2</v>
      </c>
      <c r="AN138" s="69">
        <f t="shared" si="2"/>
        <v>1.194510614565595E-3</v>
      </c>
      <c r="AO138" s="69">
        <f t="shared" si="2"/>
        <v>0</v>
      </c>
      <c r="AP138" s="69">
        <f t="shared" si="2"/>
        <v>2.38902122913119E-3</v>
      </c>
      <c r="AQ138" s="69">
        <f t="shared" si="2"/>
        <v>0</v>
      </c>
      <c r="AR138" s="69">
        <f t="shared" si="2"/>
        <v>3.5835318436967852E-3</v>
      </c>
      <c r="AS138" s="69">
        <f t="shared" si="2"/>
        <v>0</v>
      </c>
      <c r="AT138" s="69">
        <f t="shared" si="2"/>
        <v>0</v>
      </c>
      <c r="AU138" s="69">
        <f t="shared" si="2"/>
        <v>0</v>
      </c>
      <c r="AV138" s="69">
        <f t="shared" si="2"/>
        <v>0</v>
      </c>
      <c r="AW138" s="69">
        <f t="shared" si="2"/>
        <v>0</v>
      </c>
      <c r="AX138" s="69">
        <f t="shared" si="2"/>
        <v>0</v>
      </c>
      <c r="AY138" s="69">
        <f t="shared" si="2"/>
        <v>1.737469984822684E-4</v>
      </c>
      <c r="AZ138" s="69">
        <f t="shared" si="2"/>
        <v>0</v>
      </c>
      <c r="BA138" s="69">
        <f t="shared" si="2"/>
        <v>3.7572788421790541E-3</v>
      </c>
      <c r="BB138" s="35" t="s">
        <v>169</v>
      </c>
      <c r="BC138" s="35" t="s">
        <v>169</v>
      </c>
      <c r="BD138" s="35" t="s">
        <v>396</v>
      </c>
      <c r="BE138" s="35" t="s">
        <v>396</v>
      </c>
      <c r="BF138" s="35" t="s">
        <v>396</v>
      </c>
    </row>
    <row r="139" spans="1:58">
      <c r="A139" s="58"/>
      <c r="B139" s="59"/>
      <c r="C139" s="59"/>
      <c r="D139" s="59"/>
      <c r="E139" s="60"/>
      <c r="F139" s="60"/>
      <c r="G139" s="35"/>
      <c r="H139" s="35"/>
      <c r="I139" s="35"/>
      <c r="J139" s="84"/>
      <c r="K139" s="84"/>
      <c r="L139" s="36"/>
      <c r="M139" s="36"/>
      <c r="N139" s="34"/>
      <c r="O139" s="37"/>
      <c r="P139" s="29"/>
      <c r="Q139" s="35"/>
      <c r="R139" s="38">
        <f>R137-(BA137)</f>
        <v>0</v>
      </c>
      <c r="S139" s="38">
        <f>+S137-AM137</f>
        <v>0</v>
      </c>
      <c r="T139" s="34"/>
      <c r="U139" s="34"/>
      <c r="V139" s="34"/>
      <c r="W139" s="367">
        <f>+W137-'31'!M34/1000</f>
        <v>0</v>
      </c>
      <c r="X139" s="368"/>
      <c r="Y139" s="70">
        <f>+Y137-(SUM(RBP!$AG$3:$AG$4))</f>
        <v>0</v>
      </c>
      <c r="Z139" s="38">
        <f>+Z137-'31'!J56/1000</f>
        <v>0</v>
      </c>
      <c r="AA139" s="34"/>
      <c r="AB139" s="34"/>
      <c r="AC139" s="34"/>
      <c r="AD139" s="34"/>
      <c r="AE139" s="40"/>
      <c r="AF139" s="340"/>
      <c r="AG139" s="340"/>
      <c r="AH139" s="340"/>
      <c r="AI139" s="340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474">
        <f>BB137/($Q$137/1440)/2</f>
        <v>0.5</v>
      </c>
      <c r="BC139" s="474">
        <f>BC137/($Q$137/1440)/2</f>
        <v>0.59677419354838712</v>
      </c>
      <c r="BD139" s="474">
        <f>BD137/($Q$137/1440)</f>
        <v>0</v>
      </c>
      <c r="BE139" s="474">
        <f>BE137/($Q$137/1440)</f>
        <v>3.2258064516129031E-2</v>
      </c>
      <c r="BF139" s="474">
        <f>BF137/($Q$137/1440)</f>
        <v>0</v>
      </c>
    </row>
    <row r="140" spans="1:58">
      <c r="A140" s="71"/>
      <c r="B140" s="72"/>
      <c r="C140" s="72"/>
      <c r="D140" s="72"/>
      <c r="E140" s="73"/>
      <c r="F140" s="73"/>
      <c r="G140" s="74"/>
      <c r="H140" s="74"/>
      <c r="I140" s="74"/>
      <c r="J140" s="88"/>
      <c r="K140" s="88"/>
      <c r="O140" s="75"/>
      <c r="P140" s="76"/>
      <c r="Q140" s="74"/>
      <c r="R140" s="55"/>
      <c r="S140" s="55"/>
      <c r="U140" s="77"/>
      <c r="V140" s="77"/>
      <c r="W140" s="78" t="s">
        <v>122</v>
      </c>
      <c r="X140" s="475">
        <f>W137/U137</f>
        <v>0.95854929045260429</v>
      </c>
      <c r="Y140" s="475"/>
      <c r="Z140" s="55"/>
      <c r="AD140" s="85"/>
      <c r="AE140" s="80"/>
      <c r="AF140" s="81"/>
      <c r="AG140" s="81"/>
      <c r="AH140" s="81"/>
      <c r="AI140" s="81"/>
      <c r="AJ140" s="81"/>
      <c r="AK140" s="81"/>
      <c r="AL140" s="81"/>
      <c r="AM140" s="81"/>
      <c r="AN140" s="79"/>
      <c r="AO140" s="79"/>
      <c r="AP140" s="79"/>
      <c r="AQ140" s="79"/>
      <c r="AR140" s="79"/>
      <c r="AS140" s="81"/>
      <c r="AT140" s="81"/>
      <c r="AU140" s="81"/>
      <c r="AV140" s="81"/>
      <c r="AW140" s="81"/>
      <c r="AX140" s="81"/>
      <c r="AY140" s="81"/>
      <c r="AZ140" s="81"/>
      <c r="BA140" s="79"/>
      <c r="BB140" s="28"/>
      <c r="BC140" s="79"/>
      <c r="BD140" s="79"/>
      <c r="BE140" s="28"/>
      <c r="BF140" s="79"/>
    </row>
    <row r="141" spans="1:58">
      <c r="A141" s="71"/>
      <c r="B141" s="72"/>
      <c r="C141" s="72"/>
      <c r="D141" s="72"/>
      <c r="E141" s="73"/>
      <c r="F141" s="73"/>
      <c r="G141" s="74"/>
      <c r="H141" s="74"/>
      <c r="I141" s="74"/>
      <c r="J141" s="88"/>
      <c r="K141" s="88"/>
      <c r="O141" s="75"/>
      <c r="P141" s="76"/>
      <c r="Q141" s="74"/>
      <c r="R141" s="55"/>
      <c r="S141" s="55"/>
      <c r="U141" s="77"/>
      <c r="V141" s="77"/>
      <c r="W141" s="78"/>
      <c r="X141" s="79"/>
      <c r="Y141" s="79"/>
      <c r="Z141" s="55"/>
      <c r="AA141" s="91"/>
      <c r="AB141" s="91"/>
      <c r="AD141" s="85"/>
      <c r="AE141" s="80"/>
      <c r="AF141" s="81"/>
      <c r="AG141" s="81"/>
      <c r="AH141" s="81"/>
      <c r="AI141" s="81"/>
      <c r="AJ141" s="81"/>
      <c r="AK141" s="81"/>
      <c r="AL141" s="81"/>
      <c r="AM141" s="81"/>
      <c r="AN141" s="81"/>
      <c r="AO141" s="79"/>
      <c r="AP141" s="79"/>
      <c r="AQ141" s="79"/>
      <c r="AR141" s="81"/>
      <c r="AS141" s="79"/>
      <c r="AT141" s="79"/>
      <c r="AU141" s="79"/>
      <c r="AV141" s="79"/>
      <c r="AW141" s="79"/>
      <c r="AX141" s="79"/>
      <c r="AY141" s="79"/>
      <c r="AZ141" s="79"/>
      <c r="BA141" s="79"/>
      <c r="BB141" s="28"/>
      <c r="BC141" s="79"/>
      <c r="BD141" s="79"/>
      <c r="BE141" s="28"/>
      <c r="BF141" s="79"/>
    </row>
    <row r="142" spans="1:58">
      <c r="A142" s="71"/>
      <c r="B142" s="72"/>
      <c r="C142" s="72"/>
      <c r="D142" s="72"/>
      <c r="E142" s="73"/>
      <c r="F142" s="73"/>
      <c r="G142" s="74"/>
      <c r="H142" s="74"/>
      <c r="I142" s="74"/>
      <c r="J142" s="88"/>
      <c r="K142" s="88"/>
      <c r="O142" s="75"/>
      <c r="P142" s="76"/>
      <c r="Q142" s="74"/>
      <c r="R142" s="351"/>
      <c r="S142" s="55"/>
      <c r="U142" s="77"/>
      <c r="V142" s="77"/>
      <c r="W142" s="78" t="s">
        <v>145</v>
      </c>
      <c r="X142" s="340">
        <f>+W137+Y137</f>
        <v>1540.1310000000001</v>
      </c>
      <c r="Y142" s="79"/>
      <c r="Z142" s="55"/>
      <c r="AD142" s="85"/>
      <c r="AE142" s="80"/>
      <c r="AF142" s="85"/>
      <c r="AG142" s="85"/>
      <c r="AH142" s="85"/>
      <c r="AI142" s="85"/>
      <c r="AJ142" s="79"/>
      <c r="AK142" s="79"/>
      <c r="AL142" s="79"/>
      <c r="AM142" s="81"/>
      <c r="AN142" s="79"/>
      <c r="AO142" s="79"/>
      <c r="AP142" s="79"/>
      <c r="AQ142" s="79"/>
      <c r="AR142" s="81"/>
      <c r="AS142" s="79"/>
      <c r="AT142" s="79"/>
      <c r="AU142" s="79"/>
      <c r="AV142" s="79"/>
      <c r="AW142" s="79"/>
      <c r="AX142" s="79"/>
      <c r="AY142" s="79"/>
      <c r="AZ142" s="79"/>
      <c r="BA142" s="79"/>
      <c r="BB142" s="28"/>
      <c r="BC142" s="79"/>
      <c r="BD142" s="79"/>
      <c r="BE142" s="28"/>
      <c r="BF142" s="79"/>
    </row>
    <row r="143" spans="1:58">
      <c r="A143" s="71"/>
      <c r="C143" s="72" t="s">
        <v>282</v>
      </c>
      <c r="D143" s="72"/>
      <c r="E143" s="73"/>
      <c r="F143" s="73"/>
      <c r="G143" s="74"/>
      <c r="H143" s="74"/>
      <c r="I143" s="74"/>
      <c r="J143" s="88"/>
      <c r="K143" s="88"/>
      <c r="O143" s="75"/>
      <c r="P143" s="76"/>
      <c r="Q143" s="74"/>
      <c r="R143" s="351"/>
      <c r="S143" s="55"/>
      <c r="U143" s="77"/>
      <c r="V143" s="362"/>
      <c r="W143" s="363"/>
      <c r="X143" s="356"/>
      <c r="Y143" s="363"/>
      <c r="Z143" s="356"/>
      <c r="AD143" s="349"/>
      <c r="AE143" s="80"/>
      <c r="AF143" s="349"/>
      <c r="AG143" s="349"/>
      <c r="AH143" s="349"/>
      <c r="AI143" s="34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28"/>
      <c r="BC143" s="79"/>
      <c r="BD143" s="79"/>
      <c r="BE143" s="28"/>
      <c r="BF143" s="79"/>
    </row>
    <row r="144" spans="1:58">
      <c r="A144" s="71"/>
      <c r="B144" s="72"/>
      <c r="C144" s="72" t="s">
        <v>283</v>
      </c>
      <c r="D144" s="72"/>
      <c r="E144" s="73"/>
      <c r="F144" s="73"/>
      <c r="G144" s="74"/>
      <c r="H144" s="74"/>
      <c r="I144" s="74"/>
      <c r="J144" s="88"/>
      <c r="K144" s="88"/>
      <c r="O144" s="75"/>
      <c r="P144" s="76"/>
      <c r="Q144" s="74"/>
      <c r="R144" s="351"/>
      <c r="S144" s="55"/>
      <c r="V144" s="354"/>
      <c r="W144" s="355" t="s">
        <v>291</v>
      </c>
      <c r="X144" s="354"/>
      <c r="Y144" s="354"/>
      <c r="Z144" s="356"/>
      <c r="AE144" s="80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28"/>
      <c r="BE144" s="28"/>
    </row>
    <row r="145" spans="1:57">
      <c r="A145" s="71"/>
      <c r="B145" s="72"/>
      <c r="C145" s="72"/>
      <c r="D145" s="72"/>
      <c r="E145" s="73"/>
      <c r="F145" s="73"/>
      <c r="G145" s="74"/>
      <c r="H145" s="74"/>
      <c r="I145" s="74"/>
      <c r="J145" s="88"/>
      <c r="K145" s="88"/>
      <c r="O145" s="75"/>
      <c r="P145" s="76"/>
      <c r="Q145" s="74"/>
      <c r="R145" s="351"/>
      <c r="S145" s="55"/>
      <c r="V145" s="354"/>
      <c r="W145" s="357" t="s">
        <v>281</v>
      </c>
      <c r="X145" s="361">
        <f>Y138</f>
        <v>3.2812735861473645E-3</v>
      </c>
      <c r="Y145" s="358"/>
      <c r="Z145" s="356"/>
      <c r="AE145" s="80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28"/>
      <c r="BE145" s="28"/>
    </row>
    <row r="146" spans="1:57">
      <c r="R146" s="91"/>
      <c r="V146" s="354"/>
      <c r="W146" s="357" t="s">
        <v>149</v>
      </c>
      <c r="X146" s="360">
        <f>Z138</f>
        <v>3.6733754612215774E-3</v>
      </c>
      <c r="Y146" s="359"/>
      <c r="Z146" s="354"/>
    </row>
    <row r="147" spans="1:57">
      <c r="R147" s="91"/>
      <c r="V147" s="354"/>
      <c r="W147" s="357" t="s">
        <v>150</v>
      </c>
      <c r="X147" s="360">
        <f>AC138</f>
        <v>3.6210700422368279E-4</v>
      </c>
      <c r="Y147" s="360"/>
      <c r="Z147" s="354"/>
    </row>
    <row r="148" spans="1:57">
      <c r="R148" s="91"/>
      <c r="V148" s="354"/>
      <c r="W148" s="357" t="s">
        <v>151</v>
      </c>
      <c r="X148" s="360">
        <f>AA138</f>
        <v>3.3327672134947667E-2</v>
      </c>
      <c r="Y148" s="359"/>
      <c r="Z148" s="354"/>
    </row>
    <row r="149" spans="1:57">
      <c r="V149" s="354"/>
      <c r="W149" s="357" t="s">
        <v>167</v>
      </c>
      <c r="X149" s="360">
        <f>AB138</f>
        <v>5.9046629784699999E-4</v>
      </c>
      <c r="Y149" s="359" t="s">
        <v>165</v>
      </c>
      <c r="Z149" s="354"/>
    </row>
    <row r="150" spans="1:57">
      <c r="V150" s="354"/>
      <c r="W150" s="357" t="s">
        <v>218</v>
      </c>
      <c r="X150" s="360">
        <f>AF138</f>
        <v>3.2143194719219653E-3</v>
      </c>
      <c r="Y150" s="359"/>
      <c r="Z150" s="354"/>
    </row>
    <row r="151" spans="1:57">
      <c r="V151" s="354"/>
      <c r="W151" s="357" t="s">
        <v>219</v>
      </c>
      <c r="X151" s="360">
        <f>+AG138</f>
        <v>1.5637229863404156E-3</v>
      </c>
      <c r="Y151" s="359"/>
      <c r="Z151" s="354"/>
    </row>
    <row r="152" spans="1:57">
      <c r="V152" s="354"/>
      <c r="W152" s="357" t="s">
        <v>220</v>
      </c>
      <c r="X152" s="360">
        <f>+AH138</f>
        <v>1.8699520711654136E-2</v>
      </c>
      <c r="Y152" s="359"/>
      <c r="Z152" s="354"/>
    </row>
    <row r="153" spans="1:57">
      <c r="V153" s="354"/>
      <c r="W153" s="357" t="s">
        <v>221</v>
      </c>
      <c r="X153" s="360">
        <f>+AI138</f>
        <v>0</v>
      </c>
      <c r="Y153" s="359"/>
      <c r="Z153" s="354"/>
    </row>
    <row r="154" spans="1:57">
      <c r="V154" s="354"/>
      <c r="W154" s="357" t="s">
        <v>158</v>
      </c>
      <c r="X154" s="360">
        <f>+AJ138</f>
        <v>0</v>
      </c>
      <c r="Y154" s="359"/>
      <c r="Z154" s="354"/>
    </row>
    <row r="155" spans="1:57">
      <c r="V155" s="354"/>
      <c r="W155" s="357" t="s">
        <v>160</v>
      </c>
      <c r="X155" s="360">
        <f>+AK138</f>
        <v>0</v>
      </c>
      <c r="Y155" s="359"/>
      <c r="Z155" s="354"/>
    </row>
    <row r="156" spans="1:57">
      <c r="V156" s="354"/>
      <c r="W156" s="357" t="s">
        <v>159</v>
      </c>
      <c r="X156" s="360">
        <f>+AL138</f>
        <v>0</v>
      </c>
      <c r="Y156" s="359"/>
      <c r="Z156" s="354"/>
    </row>
    <row r="157" spans="1:57">
      <c r="V157" s="354"/>
      <c r="W157" s="357" t="s">
        <v>152</v>
      </c>
      <c r="X157" s="360">
        <f>+AN138</f>
        <v>1.194510614565595E-3</v>
      </c>
      <c r="Y157" s="359"/>
      <c r="Z157" s="354"/>
    </row>
    <row r="158" spans="1:57">
      <c r="V158" s="354"/>
      <c r="W158" s="357" t="s">
        <v>162</v>
      </c>
      <c r="X158" s="360">
        <f>+AO138</f>
        <v>0</v>
      </c>
      <c r="Y158" s="359"/>
      <c r="Z158" s="354"/>
    </row>
    <row r="159" spans="1:57">
      <c r="V159" s="354"/>
      <c r="W159" s="357" t="s">
        <v>153</v>
      </c>
      <c r="X159" s="360">
        <f>+AP138</f>
        <v>2.38902122913119E-3</v>
      </c>
      <c r="Y159" s="359"/>
      <c r="Z159" s="354"/>
    </row>
    <row r="160" spans="1:57">
      <c r="V160" s="354"/>
      <c r="W160" s="357" t="s">
        <v>161</v>
      </c>
      <c r="X160" s="360">
        <f>+AQ138</f>
        <v>0</v>
      </c>
      <c r="Y160" s="359"/>
      <c r="Z160" s="354"/>
    </row>
    <row r="161" spans="22:26" s="30" customFormat="1">
      <c r="V161" s="354"/>
      <c r="W161" s="357" t="s">
        <v>164</v>
      </c>
      <c r="X161" s="360">
        <f>+AS138</f>
        <v>0</v>
      </c>
      <c r="Y161" s="359"/>
      <c r="Z161" s="354"/>
    </row>
    <row r="162" spans="22:26" s="30" customFormat="1">
      <c r="V162" s="354"/>
      <c r="W162" s="357" t="s">
        <v>284</v>
      </c>
      <c r="X162" s="360">
        <f>+AT138</f>
        <v>0</v>
      </c>
      <c r="Y162" s="359"/>
      <c r="Z162" s="354"/>
    </row>
    <row r="163" spans="22:26" s="30" customFormat="1">
      <c r="V163" s="354"/>
      <c r="W163" s="357" t="s">
        <v>260</v>
      </c>
      <c r="X163" s="360">
        <f>+AU138</f>
        <v>0</v>
      </c>
      <c r="Y163" s="359"/>
      <c r="Z163" s="354"/>
    </row>
    <row r="164" spans="22:26" s="30" customFormat="1">
      <c r="V164" s="354"/>
      <c r="W164" s="357" t="s">
        <v>293</v>
      </c>
      <c r="X164" s="360">
        <f>+AW138</f>
        <v>0</v>
      </c>
      <c r="Y164" s="359"/>
      <c r="Z164" s="354"/>
    </row>
    <row r="165" spans="22:26" s="30" customFormat="1">
      <c r="V165" s="354"/>
      <c r="W165" s="357" t="s">
        <v>294</v>
      </c>
      <c r="X165" s="360">
        <f>+AV138</f>
        <v>0</v>
      </c>
      <c r="Y165" s="359"/>
      <c r="Z165" s="354"/>
    </row>
    <row r="166" spans="22:26" s="30" customFormat="1">
      <c r="V166" s="354"/>
      <c r="W166" s="354" t="s">
        <v>163</v>
      </c>
      <c r="X166" s="360">
        <f>+AX138+AY138</f>
        <v>1.737469984822684E-4</v>
      </c>
      <c r="Y166" s="360"/>
      <c r="Z166" s="354"/>
    </row>
    <row r="167" spans="22:26" s="30" customFormat="1">
      <c r="V167" s="354"/>
      <c r="W167" s="354" t="s">
        <v>292</v>
      </c>
      <c r="X167" s="360">
        <f>+AZ138</f>
        <v>0</v>
      </c>
      <c r="Y167" s="354"/>
      <c r="Z167" s="354"/>
    </row>
    <row r="168" spans="22:26" s="30" customFormat="1">
      <c r="V168" s="354"/>
      <c r="W168" s="354"/>
      <c r="X168" s="490">
        <f>SUM(X145:X167)</f>
        <v>6.8469736496482858E-2</v>
      </c>
      <c r="Y168" s="354"/>
      <c r="Z168" s="354"/>
    </row>
    <row r="170" spans="22:26" s="30" customFormat="1">
      <c r="X170" s="91">
        <f>+X168+X137</f>
        <v>1</v>
      </c>
    </row>
  </sheetData>
  <mergeCells count="49"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F3:F5"/>
    <mergeCell ref="A3:A5"/>
    <mergeCell ref="B3:B5"/>
    <mergeCell ref="C3:C5"/>
    <mergeCell ref="D3:D5"/>
    <mergeCell ref="E3:E5"/>
  </mergeCells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70"/>
  <sheetViews>
    <sheetView tabSelected="1" zoomScale="90" zoomScaleNormal="90" workbookViewId="0">
      <pane xSplit="6" ySplit="6" topLeftCell="V135" activePane="bottomRight" state="frozen"/>
      <selection pane="topRight" activeCell="F1" sqref="F1"/>
      <selection pane="bottomLeft" activeCell="A7" sqref="A7"/>
      <selection pane="bottomRight" activeCell="Z129" sqref="Z129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6" customWidth="1"/>
    <col min="7" max="9" width="10.28515625" style="30" customWidth="1"/>
    <col min="10" max="11" width="10.28515625" style="85" customWidth="1"/>
    <col min="12" max="13" width="12.7109375" style="57" customWidth="1"/>
    <col min="14" max="15" width="10.28515625" style="30" customWidth="1"/>
    <col min="16" max="16" width="16.85546875" style="30" bestFit="1" customWidth="1"/>
    <col min="17" max="17" width="12.7109375" style="338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7.140625" style="30" customWidth="1"/>
    <col min="32" max="37" width="10.28515625" style="30" customWidth="1"/>
    <col min="38" max="39" width="11.7109375" style="30" customWidth="1"/>
    <col min="40" max="41" width="10.28515625" style="30" customWidth="1"/>
    <col min="42" max="42" width="12.42578125" style="30" customWidth="1"/>
    <col min="43" max="43" width="12.5703125" style="30" customWidth="1"/>
    <col min="44" max="44" width="29.7109375" style="30" bestFit="1" customWidth="1"/>
    <col min="45" max="51" width="10.28515625" style="30"/>
    <col min="52" max="52" width="13.42578125" style="30" customWidth="1"/>
    <col min="53" max="16384" width="10.28515625" style="30"/>
  </cols>
  <sheetData>
    <row r="1" spans="1:58" s="23" customFormat="1" ht="15.75">
      <c r="A1" s="22" t="s">
        <v>391</v>
      </c>
      <c r="G1" s="24"/>
      <c r="H1" s="24"/>
      <c r="I1" s="24"/>
      <c r="J1" s="82"/>
      <c r="K1" s="82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2"/>
      <c r="G2" s="24"/>
      <c r="H2" s="24"/>
      <c r="I2" s="24"/>
      <c r="J2" s="82"/>
      <c r="K2" s="82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39" t="s">
        <v>7</v>
      </c>
      <c r="B3" s="639" t="s">
        <v>8</v>
      </c>
      <c r="C3" s="639" t="s">
        <v>198</v>
      </c>
      <c r="D3" s="639" t="s">
        <v>94</v>
      </c>
      <c r="E3" s="639" t="s">
        <v>95</v>
      </c>
      <c r="F3" s="639" t="s">
        <v>96</v>
      </c>
      <c r="G3" s="644" t="s">
        <v>97</v>
      </c>
      <c r="H3" s="645"/>
      <c r="I3" s="645"/>
      <c r="J3" s="645"/>
      <c r="K3" s="646"/>
      <c r="L3" s="650" t="s">
        <v>98</v>
      </c>
      <c r="M3" s="651"/>
      <c r="N3" s="652"/>
      <c r="O3" s="656" t="s">
        <v>99</v>
      </c>
      <c r="P3" s="658" t="s">
        <v>111</v>
      </c>
      <c r="Q3" s="656" t="s">
        <v>100</v>
      </c>
      <c r="R3" s="661" t="s">
        <v>101</v>
      </c>
      <c r="S3" s="661" t="s">
        <v>102</v>
      </c>
      <c r="T3" s="639" t="s">
        <v>155</v>
      </c>
      <c r="U3" s="639" t="s">
        <v>154</v>
      </c>
      <c r="V3" s="639" t="s">
        <v>156</v>
      </c>
      <c r="W3" s="661" t="s">
        <v>146</v>
      </c>
      <c r="X3" s="642" t="s">
        <v>104</v>
      </c>
      <c r="Y3" s="642" t="s">
        <v>281</v>
      </c>
      <c r="Z3" s="661" t="s">
        <v>105</v>
      </c>
      <c r="AA3" s="639" t="s">
        <v>157</v>
      </c>
      <c r="AB3" s="639" t="s">
        <v>168</v>
      </c>
      <c r="AC3" s="639" t="s">
        <v>166</v>
      </c>
      <c r="AD3" s="639" t="s">
        <v>129</v>
      </c>
      <c r="AE3" s="639" t="s">
        <v>130</v>
      </c>
      <c r="AF3" s="670" t="s">
        <v>131</v>
      </c>
      <c r="AG3" s="670"/>
      <c r="AH3" s="670"/>
      <c r="AI3" s="670"/>
      <c r="AJ3" s="670"/>
      <c r="AK3" s="670"/>
      <c r="AL3" s="670"/>
      <c r="AM3" s="671" t="s">
        <v>132</v>
      </c>
      <c r="AN3" s="674" t="s">
        <v>106</v>
      </c>
      <c r="AO3" s="674"/>
      <c r="AP3" s="674"/>
      <c r="AQ3" s="674"/>
      <c r="AR3" s="674"/>
      <c r="AS3" s="675" t="s">
        <v>107</v>
      </c>
      <c r="AT3" s="663" t="s">
        <v>277</v>
      </c>
      <c r="AU3" s="664"/>
      <c r="AV3" s="688" t="s">
        <v>133</v>
      </c>
      <c r="AW3" s="689"/>
      <c r="AX3" s="690" t="s">
        <v>133</v>
      </c>
      <c r="AY3" s="691"/>
      <c r="AZ3" s="692" t="s">
        <v>292</v>
      </c>
      <c r="BA3" s="668" t="s">
        <v>108</v>
      </c>
      <c r="BB3" s="683" t="s">
        <v>109</v>
      </c>
      <c r="BC3" s="683" t="s">
        <v>110</v>
      </c>
      <c r="BD3" s="677" t="s">
        <v>393</v>
      </c>
      <c r="BE3" s="680" t="s">
        <v>394</v>
      </c>
      <c r="BF3" s="683" t="s">
        <v>395</v>
      </c>
    </row>
    <row r="4" spans="1:58" ht="12" customHeight="1">
      <c r="A4" s="640"/>
      <c r="B4" s="640"/>
      <c r="C4" s="640"/>
      <c r="D4" s="640"/>
      <c r="E4" s="640"/>
      <c r="F4" s="640"/>
      <c r="G4" s="647"/>
      <c r="H4" s="648"/>
      <c r="I4" s="648"/>
      <c r="J4" s="648"/>
      <c r="K4" s="649"/>
      <c r="L4" s="653"/>
      <c r="M4" s="654"/>
      <c r="N4" s="655"/>
      <c r="O4" s="657"/>
      <c r="P4" s="659"/>
      <c r="Q4" s="657"/>
      <c r="R4" s="662"/>
      <c r="S4" s="662"/>
      <c r="T4" s="640"/>
      <c r="U4" s="640"/>
      <c r="V4" s="640"/>
      <c r="W4" s="662"/>
      <c r="X4" s="643"/>
      <c r="Y4" s="643"/>
      <c r="Z4" s="662"/>
      <c r="AA4" s="640"/>
      <c r="AB4" s="640"/>
      <c r="AC4" s="640"/>
      <c r="AD4" s="640"/>
      <c r="AE4" s="640"/>
      <c r="AF4" s="685" t="s">
        <v>134</v>
      </c>
      <c r="AG4" s="686"/>
      <c r="AH4" s="687"/>
      <c r="AI4" s="659" t="s">
        <v>265</v>
      </c>
      <c r="AJ4" s="659" t="s">
        <v>14</v>
      </c>
      <c r="AK4" s="659" t="s">
        <v>135</v>
      </c>
      <c r="AL4" s="659" t="s">
        <v>17</v>
      </c>
      <c r="AM4" s="672"/>
      <c r="AN4" s="667" t="s">
        <v>112</v>
      </c>
      <c r="AO4" s="667" t="s">
        <v>14</v>
      </c>
      <c r="AP4" s="667" t="s">
        <v>113</v>
      </c>
      <c r="AQ4" s="667" t="s">
        <v>17</v>
      </c>
      <c r="AR4" s="668" t="s">
        <v>114</v>
      </c>
      <c r="AS4" s="675"/>
      <c r="AT4" s="665"/>
      <c r="AU4" s="666"/>
      <c r="AV4" s="486" t="s">
        <v>6</v>
      </c>
      <c r="AW4" s="486" t="s">
        <v>136</v>
      </c>
      <c r="AX4" s="487" t="s">
        <v>6</v>
      </c>
      <c r="AY4" s="488" t="s">
        <v>136</v>
      </c>
      <c r="AZ4" s="693"/>
      <c r="BA4" s="668"/>
      <c r="BB4" s="683"/>
      <c r="BC4" s="683"/>
      <c r="BD4" s="678"/>
      <c r="BE4" s="681"/>
      <c r="BF4" s="683"/>
    </row>
    <row r="5" spans="1:58" s="33" customFormat="1" ht="48">
      <c r="A5" s="640"/>
      <c r="B5" s="640"/>
      <c r="C5" s="641"/>
      <c r="D5" s="640"/>
      <c r="E5" s="640"/>
      <c r="F5" s="640"/>
      <c r="G5" s="581" t="s">
        <v>115</v>
      </c>
      <c r="H5" s="580" t="s">
        <v>116</v>
      </c>
      <c r="I5" s="31" t="s">
        <v>117</v>
      </c>
      <c r="J5" s="83" t="s">
        <v>118</v>
      </c>
      <c r="K5" s="83" t="s">
        <v>103</v>
      </c>
      <c r="L5" s="32" t="s">
        <v>119</v>
      </c>
      <c r="M5" s="32" t="s">
        <v>120</v>
      </c>
      <c r="N5" s="580" t="s">
        <v>121</v>
      </c>
      <c r="O5" s="657"/>
      <c r="P5" s="660"/>
      <c r="Q5" s="657"/>
      <c r="R5" s="662"/>
      <c r="S5" s="662"/>
      <c r="T5" s="640"/>
      <c r="U5" s="640"/>
      <c r="V5" s="640"/>
      <c r="W5" s="662"/>
      <c r="X5" s="643"/>
      <c r="Y5" s="669"/>
      <c r="Z5" s="662"/>
      <c r="AA5" s="640"/>
      <c r="AB5" s="641"/>
      <c r="AC5" s="640"/>
      <c r="AD5" s="641"/>
      <c r="AE5" s="640"/>
      <c r="AF5" s="436" t="s">
        <v>215</v>
      </c>
      <c r="AG5" s="582" t="s">
        <v>216</v>
      </c>
      <c r="AH5" s="582" t="s">
        <v>217</v>
      </c>
      <c r="AI5" s="660"/>
      <c r="AJ5" s="660"/>
      <c r="AK5" s="660"/>
      <c r="AL5" s="660"/>
      <c r="AM5" s="673"/>
      <c r="AN5" s="658"/>
      <c r="AO5" s="658"/>
      <c r="AP5" s="658"/>
      <c r="AQ5" s="658"/>
      <c r="AR5" s="661"/>
      <c r="AS5" s="676"/>
      <c r="AT5" s="583" t="s">
        <v>278</v>
      </c>
      <c r="AU5" s="583" t="s">
        <v>279</v>
      </c>
      <c r="AV5" s="489" t="s">
        <v>280</v>
      </c>
      <c r="AW5" s="489" t="s">
        <v>280</v>
      </c>
      <c r="AX5" s="487" t="s">
        <v>16</v>
      </c>
      <c r="AY5" s="487" t="s">
        <v>16</v>
      </c>
      <c r="AZ5" s="694"/>
      <c r="BA5" s="661"/>
      <c r="BB5" s="639"/>
      <c r="BC5" s="639"/>
      <c r="BD5" s="679"/>
      <c r="BE5" s="682"/>
      <c r="BF5" s="684"/>
    </row>
    <row r="6" spans="1:58" ht="12.95" customHeight="1">
      <c r="A6" s="41">
        <f>+Report1!A9</f>
        <v>45992</v>
      </c>
      <c r="B6" s="42" t="s">
        <v>417</v>
      </c>
      <c r="C6" s="424">
        <f>(M6*E6*O6*Q6)/100000000</f>
        <v>11.447025</v>
      </c>
      <c r="D6" s="42" t="s">
        <v>285</v>
      </c>
      <c r="E6" s="43">
        <v>15</v>
      </c>
      <c r="F6" s="43">
        <v>1</v>
      </c>
      <c r="G6" s="44">
        <v>1250</v>
      </c>
      <c r="H6" s="484">
        <f>+N6</f>
        <v>0.24</v>
      </c>
      <c r="I6" s="46">
        <v>0.88</v>
      </c>
      <c r="J6" s="84">
        <f>E6*G6*(1-H6)*1440/1000000*2.87</f>
        <v>58.892400000000002</v>
      </c>
      <c r="K6" s="84">
        <f>(IF(G6&lt;L6,L6,G6)*(1-IF(H6&lt;N6,H6,N6))*E6*O6*Q6)/100000000</f>
        <v>11.447025</v>
      </c>
      <c r="L6" s="36">
        <v>1250</v>
      </c>
      <c r="M6" s="36">
        <f>+L6-L6*0.24</f>
        <v>950</v>
      </c>
      <c r="N6" s="47">
        <f>1-(M6/L6)</f>
        <v>0.24</v>
      </c>
      <c r="O6" s="48">
        <f>+'Trim Rwd'!H4</f>
        <v>277</v>
      </c>
      <c r="P6" s="49">
        <f>O6*(Q6-R6-S6)</f>
        <v>79499</v>
      </c>
      <c r="Q6" s="48">
        <v>290</v>
      </c>
      <c r="R6" s="394">
        <v>0</v>
      </c>
      <c r="S6" s="394">
        <v>3</v>
      </c>
      <c r="T6" s="38">
        <f>E6*M6*O6*Q6/100000000</f>
        <v>11.447025</v>
      </c>
      <c r="U6" s="38">
        <f>E6*M6*O6*(Q6-R6-S6)/100000000</f>
        <v>11.3286075</v>
      </c>
      <c r="V6" s="38">
        <f>E6*G6*(1-N6)*O6/100*(R6+S6)/1000000</f>
        <v>0.11841749999999999</v>
      </c>
      <c r="W6" s="38">
        <f>+'1'!K7/1000</f>
        <v>12.731999999999999</v>
      </c>
      <c r="X6" s="391">
        <f>SUM(W6:W9)/SUM(K6:K9)</f>
        <v>1.020257349870421</v>
      </c>
      <c r="Y6" s="38">
        <v>0</v>
      </c>
      <c r="Z6" s="38">
        <f>+'1'!D34/1000</f>
        <v>0</v>
      </c>
      <c r="AA6" s="50">
        <f>SUM(U6:U9)-SUM(W6:W9)-SUM(Z6:Z9)-SUM(Y6:Y9)</f>
        <v>-1.9347020000000015</v>
      </c>
      <c r="AB6" s="50">
        <f>(SUM(K6:K9)-SUM(W6:W9)-SUM(Y6:Y9)-SUM(Z6:Z9)-SUM(AC6:AC9)-SUM(V6:V9))-AA6</f>
        <v>1.1576319999998752E-2</v>
      </c>
      <c r="AC6" s="38">
        <f>K6-T6</f>
        <v>0</v>
      </c>
      <c r="AD6" s="38">
        <f>+AM6+BA6</f>
        <v>0</v>
      </c>
      <c r="AE6" s="228" t="s">
        <v>392</v>
      </c>
      <c r="AF6" s="38">
        <v>0</v>
      </c>
      <c r="AG6" s="38"/>
      <c r="AH6" s="38"/>
      <c r="AI6" s="469"/>
      <c r="AJ6" s="38"/>
      <c r="AK6" s="38"/>
      <c r="AL6" s="38"/>
      <c r="AM6" s="38">
        <f>SUM(AF6:AL6)+AT6+AV6+AX6</f>
        <v>0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0</v>
      </c>
      <c r="BC6" s="52"/>
      <c r="BD6" s="52"/>
      <c r="BE6" s="34"/>
      <c r="BF6" s="52"/>
    </row>
    <row r="7" spans="1:58" ht="12.95" customHeight="1">
      <c r="A7" s="41"/>
      <c r="B7" s="42" t="s">
        <v>419</v>
      </c>
      <c r="C7" s="424">
        <f>(M7*E7*O7*Q7)/100000000</f>
        <v>15.51825</v>
      </c>
      <c r="D7" s="42" t="s">
        <v>285</v>
      </c>
      <c r="E7" s="43">
        <v>12.5</v>
      </c>
      <c r="F7" s="43">
        <v>1</v>
      </c>
      <c r="G7" s="467">
        <v>1350</v>
      </c>
      <c r="H7" s="484">
        <f>+N7</f>
        <v>0.24</v>
      </c>
      <c r="I7" s="46">
        <v>0.88</v>
      </c>
      <c r="J7" s="84">
        <f>E7*G7*(1-H7)*1440/1000000*2.87</f>
        <v>53.003160000000001</v>
      </c>
      <c r="K7" s="84">
        <f>(IF(G7&lt;L7,L7,G7)*(1-IF(H7&lt;N7,H7,N7))*E7*O7*Q7)/100000000</f>
        <v>15.51825</v>
      </c>
      <c r="L7" s="36">
        <v>1350</v>
      </c>
      <c r="M7" s="36">
        <f>+L7-L7*0.24</f>
        <v>1026</v>
      </c>
      <c r="N7" s="47">
        <f>1-(M7/L7)</f>
        <v>0.24</v>
      </c>
      <c r="O7" s="48">
        <f>+'Trim Rwd'!H6</f>
        <v>275</v>
      </c>
      <c r="P7" s="49">
        <f>O7*(Q7-R7-S7)</f>
        <v>118250</v>
      </c>
      <c r="Q7" s="48">
        <v>440</v>
      </c>
      <c r="R7" s="394">
        <v>0</v>
      </c>
      <c r="S7" s="394">
        <v>10</v>
      </c>
      <c r="T7" s="38">
        <f>E7*M7*O7*Q7/100000000</f>
        <v>15.51825</v>
      </c>
      <c r="U7" s="38">
        <f>E7*M7*O7*(Q7-R7-S7)/100000000</f>
        <v>15.1655625</v>
      </c>
      <c r="V7" s="38">
        <f>E7*G7*(1-N7)*O7/100*(R7+S7)/1000000</f>
        <v>0.35268749999999999</v>
      </c>
      <c r="W7" s="38">
        <f>+'1'!K8/1000</f>
        <v>14.342000000000001</v>
      </c>
      <c r="X7" s="39"/>
      <c r="Y7" s="211"/>
      <c r="Z7" s="38"/>
      <c r="AA7" s="38"/>
      <c r="AB7" s="38"/>
      <c r="AC7" s="38">
        <f>K7-T7</f>
        <v>0</v>
      </c>
      <c r="AD7" s="38">
        <f>+AM7+BA7</f>
        <v>0</v>
      </c>
      <c r="AE7" s="228" t="s">
        <v>415</v>
      </c>
      <c r="AF7" s="38"/>
      <c r="AG7" s="38">
        <v>0</v>
      </c>
      <c r="AH7" s="38"/>
      <c r="AI7" s="469"/>
      <c r="AJ7" s="38"/>
      <c r="AK7" s="38"/>
      <c r="AL7" s="38"/>
      <c r="AM7" s="38">
        <f>SUM(AF7:AL7)+AT7+AV7+AX7</f>
        <v>0</v>
      </c>
      <c r="AN7" s="85"/>
      <c r="AO7" s="38"/>
      <c r="AP7" s="38"/>
      <c r="AQ7" s="38"/>
      <c r="AR7" s="38">
        <f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0</v>
      </c>
      <c r="BD7" s="52"/>
      <c r="BE7" s="51"/>
      <c r="BF7" s="52"/>
    </row>
    <row r="8" spans="1:58" ht="12.95" customHeight="1">
      <c r="A8" s="41"/>
      <c r="B8" s="42" t="s">
        <v>419</v>
      </c>
      <c r="C8" s="424">
        <f>(M8*E8*O8*Q8)/100000000</f>
        <v>26.712358399999999</v>
      </c>
      <c r="D8" s="42" t="s">
        <v>285</v>
      </c>
      <c r="E8" s="43">
        <v>14</v>
      </c>
      <c r="F8" s="43">
        <v>1</v>
      </c>
      <c r="G8" s="467">
        <v>1260</v>
      </c>
      <c r="H8" s="484">
        <f>+N8</f>
        <v>0.24</v>
      </c>
      <c r="I8" s="46">
        <v>0.88</v>
      </c>
      <c r="J8" s="84">
        <f>E8*G8*(1-H8)*1440/1000000*2.87</f>
        <v>55.405969920000004</v>
      </c>
      <c r="K8" s="84">
        <f>(IF(G8&lt;L8,L8,G8)*(1-IF(H8&lt;N8,H8,N8))*E8*O8*Q8)/100000000</f>
        <v>26.712358399999999</v>
      </c>
      <c r="L8" s="36">
        <v>1300</v>
      </c>
      <c r="M8" s="36">
        <f>+L8-L8*0.24</f>
        <v>988</v>
      </c>
      <c r="N8" s="47">
        <f>1-(M8/L8)</f>
        <v>0.24</v>
      </c>
      <c r="O8" s="48">
        <f>+'Trim Rwd'!H7</f>
        <v>272</v>
      </c>
      <c r="P8" s="49">
        <f>O8*(Q8-R8-S8)</f>
        <v>190400</v>
      </c>
      <c r="Q8" s="48">
        <v>710</v>
      </c>
      <c r="R8" s="394">
        <v>0</v>
      </c>
      <c r="S8" s="394">
        <v>10</v>
      </c>
      <c r="T8" s="38">
        <f>E8*M8*O8*Q8/100000000</f>
        <v>26.712358399999999</v>
      </c>
      <c r="U8" s="38">
        <f>E8*M8*O8*(Q8-R8-S8)/100000000</f>
        <v>26.336127999999999</v>
      </c>
      <c r="V8" s="38">
        <f>E8*G8*(1-N8)*O8/100*(R8+S8)/1000000</f>
        <v>0.36465407999999994</v>
      </c>
      <c r="W8" s="38">
        <f>+'1'!K9/1000</f>
        <v>18.489000000000001</v>
      </c>
      <c r="X8" s="39"/>
      <c r="Y8" s="211"/>
      <c r="Z8" s="38"/>
      <c r="AA8" s="38"/>
      <c r="AB8" s="38"/>
      <c r="AC8" s="38">
        <f>K8-T8</f>
        <v>0</v>
      </c>
      <c r="AD8" s="38">
        <f>+AM8+BA8</f>
        <v>23</v>
      </c>
      <c r="AE8" s="228" t="s">
        <v>420</v>
      </c>
      <c r="AF8" s="34"/>
      <c r="AG8" s="34"/>
      <c r="AH8" s="34">
        <v>23</v>
      </c>
      <c r="AJ8" s="38"/>
      <c r="AK8" s="38"/>
      <c r="AL8" s="38"/>
      <c r="AM8" s="38">
        <f>SUM(AF8:AL8)+AT8+AV8+AX8</f>
        <v>23</v>
      </c>
      <c r="AN8" s="38"/>
      <c r="AO8" s="38"/>
      <c r="AP8" s="38"/>
      <c r="AQ8" s="38"/>
      <c r="AR8" s="38">
        <f>SUM(AN8:AQ8)</f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54"/>
      <c r="BD8" s="54"/>
      <c r="BE8" s="34"/>
      <c r="BF8" s="54"/>
    </row>
    <row r="9" spans="1:58" ht="12.95" customHeight="1">
      <c r="A9" s="41"/>
      <c r="B9" s="42" t="s">
        <v>417</v>
      </c>
      <c r="C9" s="424"/>
      <c r="D9" s="42"/>
      <c r="E9" s="43">
        <v>12</v>
      </c>
      <c r="F9" s="43"/>
      <c r="G9" s="44"/>
      <c r="H9" s="45"/>
      <c r="I9" s="46"/>
      <c r="J9" s="84"/>
      <c r="K9" s="84"/>
      <c r="L9" s="36"/>
      <c r="M9" s="36"/>
      <c r="N9" s="47"/>
      <c r="O9" s="48"/>
      <c r="P9" s="49"/>
      <c r="Q9" s="35"/>
      <c r="R9" s="394"/>
      <c r="S9" s="394"/>
      <c r="T9" s="38"/>
      <c r="U9" s="38"/>
      <c r="V9" s="38"/>
      <c r="W9" s="38">
        <f>+'1'!K10/1000</f>
        <v>9.202</v>
      </c>
      <c r="X9" s="39"/>
      <c r="Y9" s="211"/>
      <c r="Z9" s="38"/>
      <c r="AA9" s="38"/>
      <c r="AB9" s="38"/>
      <c r="AC9" s="38"/>
      <c r="AD9" s="38"/>
      <c r="AE9" s="231"/>
      <c r="AF9" s="38"/>
      <c r="AG9" s="38"/>
      <c r="AH9" s="38"/>
      <c r="AI9" s="469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51"/>
      <c r="BC9" s="52"/>
      <c r="BD9" s="52"/>
      <c r="BE9" s="51"/>
      <c r="BF9" s="52"/>
    </row>
    <row r="10" spans="1:58" ht="12.95" customHeight="1">
      <c r="A10" s="41"/>
      <c r="B10" s="42"/>
      <c r="C10" s="424"/>
      <c r="D10" s="42"/>
      <c r="E10" s="43"/>
      <c r="F10" s="43"/>
      <c r="G10" s="467"/>
      <c r="H10" s="45"/>
      <c r="I10" s="46"/>
      <c r="J10" s="84"/>
      <c r="K10" s="84"/>
      <c r="L10" s="36"/>
      <c r="M10" s="36"/>
      <c r="N10" s="47"/>
      <c r="O10" s="48"/>
      <c r="P10" s="49"/>
      <c r="Q10" s="48"/>
      <c r="R10" s="394"/>
      <c r="S10" s="394"/>
      <c r="T10" s="38"/>
      <c r="U10" s="38"/>
      <c r="V10" s="38"/>
      <c r="W10" s="38"/>
      <c r="X10" s="391"/>
      <c r="Y10" s="38"/>
      <c r="Z10" s="38"/>
      <c r="AA10" s="50"/>
      <c r="AB10" s="50"/>
      <c r="AC10" s="38"/>
      <c r="AD10" s="38"/>
      <c r="AE10" s="228"/>
      <c r="AF10" s="38"/>
      <c r="AG10" s="38"/>
      <c r="AH10" s="38"/>
      <c r="AI10" s="469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4"/>
      <c r="BC10" s="52"/>
      <c r="BD10" s="52"/>
      <c r="BE10" s="34"/>
      <c r="BF10" s="52"/>
    </row>
    <row r="11" spans="1:58" ht="12.95" customHeight="1">
      <c r="A11" s="41">
        <v>45993</v>
      </c>
      <c r="B11" s="42" t="s">
        <v>419</v>
      </c>
      <c r="C11" s="424">
        <f>(M11*E11*O11*Q11)/100000000</f>
        <v>54.1771776</v>
      </c>
      <c r="D11" s="42" t="s">
        <v>285</v>
      </c>
      <c r="E11" s="43">
        <v>14</v>
      </c>
      <c r="F11" s="43">
        <v>1</v>
      </c>
      <c r="G11" s="467">
        <v>1260</v>
      </c>
      <c r="H11" s="484">
        <f>+N11</f>
        <v>0.24</v>
      </c>
      <c r="I11" s="46">
        <v>0.88</v>
      </c>
      <c r="J11" s="84">
        <f>E11*G11*(1-H11)*1440/1000000*2.87</f>
        <v>55.405969920000004</v>
      </c>
      <c r="K11" s="84">
        <f>(IF(G11&lt;L11,L11,G11)*(1-IF(H11&lt;N11,H11,N11))*E11*O11*Q11)/100000000</f>
        <v>54.1771776</v>
      </c>
      <c r="L11" s="36">
        <v>1300</v>
      </c>
      <c r="M11" s="36">
        <f>+L11-L11*0.24</f>
        <v>988</v>
      </c>
      <c r="N11" s="47">
        <f>1-(M11/L11)</f>
        <v>0.24</v>
      </c>
      <c r="O11" s="48">
        <f>+'Trim Rwd'!H9</f>
        <v>272</v>
      </c>
      <c r="P11" s="49">
        <f>O11*(Q11-R11-S11)</f>
        <v>375632</v>
      </c>
      <c r="Q11" s="48">
        <v>1440</v>
      </c>
      <c r="R11" s="394">
        <v>8</v>
      </c>
      <c r="S11" s="394">
        <v>51</v>
      </c>
      <c r="T11" s="38">
        <f>E11*M11*O11*Q11/100000000</f>
        <v>54.1771776</v>
      </c>
      <c r="U11" s="38">
        <f>E11*M11*O11*(Q11-R11-S11)/100000000</f>
        <v>51.957418240000003</v>
      </c>
      <c r="V11" s="38">
        <f>E11*G11*(1-N11)*O11/100*(R11+S11)/1000000</f>
        <v>2.1514590719999998</v>
      </c>
      <c r="W11" s="38">
        <f>+'2'!K34/1000</f>
        <v>53.106000000000002</v>
      </c>
      <c r="X11" s="391">
        <f>SUM(W11:W14)/SUM(K11:K14)</f>
        <v>0.98022825020696536</v>
      </c>
      <c r="Y11" s="38">
        <v>0</v>
      </c>
      <c r="Z11" s="38">
        <f>+'1'!D39/1000</f>
        <v>0</v>
      </c>
      <c r="AA11" s="50">
        <f>SUM(U11:U14)-SUM(W11:W14)-SUM(Z11:Z14)-SUM(Y11:Y14)</f>
        <v>-1.148581759999999</v>
      </c>
      <c r="AB11" s="50">
        <f>(SUM(K11:K14)-SUM(W11:W14)-SUM(Y11:Y14)-SUM(Z11:Z14)-SUM(AC11:AC14)-SUM(V11:V14))-AA11</f>
        <v>6.8300287999997877E-2</v>
      </c>
      <c r="AC11" s="38">
        <f>K11-T11</f>
        <v>0</v>
      </c>
      <c r="AD11" s="38">
        <f>+AM11+BA11</f>
        <v>21</v>
      </c>
      <c r="AE11" s="228" t="s">
        <v>449</v>
      </c>
      <c r="AF11" s="38">
        <v>21</v>
      </c>
      <c r="AG11" s="38"/>
      <c r="AH11" s="38"/>
      <c r="AI11" s="469"/>
      <c r="AJ11" s="38"/>
      <c r="AK11" s="38"/>
      <c r="AL11" s="38"/>
      <c r="AM11" s="38">
        <f>SUM(AF11:AL11)+AT11+AV11+AX11</f>
        <v>21</v>
      </c>
      <c r="AN11" s="38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+AR11+AS11+AU11+AW11+AY11+AZ11</f>
        <v>0</v>
      </c>
      <c r="BB11" s="34">
        <v>4</v>
      </c>
      <c r="BC11" s="52"/>
      <c r="BD11" s="52"/>
      <c r="BE11" s="34"/>
      <c r="BF11" s="52"/>
    </row>
    <row r="12" spans="1:58" ht="12.95" customHeight="1">
      <c r="A12" s="41"/>
      <c r="B12" s="42"/>
      <c r="C12" s="424"/>
      <c r="D12" s="42"/>
      <c r="E12" s="43"/>
      <c r="F12" s="43"/>
      <c r="G12" s="467"/>
      <c r="H12" s="45"/>
      <c r="I12" s="46"/>
      <c r="J12" s="84"/>
      <c r="K12" s="84"/>
      <c r="L12" s="36"/>
      <c r="M12" s="36"/>
      <c r="N12" s="47"/>
      <c r="O12" s="48"/>
      <c r="P12" s="49"/>
      <c r="Q12" s="48"/>
      <c r="R12" s="394"/>
      <c r="S12" s="394"/>
      <c r="T12" s="38"/>
      <c r="U12" s="38"/>
      <c r="V12" s="38"/>
      <c r="W12" s="38"/>
      <c r="X12" s="39"/>
      <c r="Y12" s="211"/>
      <c r="Z12" s="38"/>
      <c r="AA12" s="38"/>
      <c r="AB12" s="38"/>
      <c r="AC12" s="38"/>
      <c r="AD12" s="38">
        <f>+AM12+BA12</f>
        <v>2</v>
      </c>
      <c r="AE12" s="228" t="s">
        <v>446</v>
      </c>
      <c r="AF12" s="38"/>
      <c r="AG12" s="38">
        <v>2</v>
      </c>
      <c r="AH12" s="38"/>
      <c r="AI12" s="469"/>
      <c r="AJ12" s="38"/>
      <c r="AK12" s="38"/>
      <c r="AL12" s="38"/>
      <c r="AM12" s="38">
        <f>SUM(AF12:AL12)+AT12+AV12+AX12</f>
        <v>2</v>
      </c>
      <c r="AN12" s="85"/>
      <c r="AO12" s="38"/>
      <c r="AP12" s="38"/>
      <c r="AQ12" s="38"/>
      <c r="AR12" s="38">
        <f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51"/>
      <c r="BC12" s="52">
        <v>1</v>
      </c>
      <c r="BD12" s="52"/>
      <c r="BE12" s="51"/>
      <c r="BF12" s="52"/>
    </row>
    <row r="13" spans="1:58" ht="12.95" customHeight="1">
      <c r="A13" s="41"/>
      <c r="B13" s="42"/>
      <c r="C13" s="424"/>
      <c r="D13" s="42"/>
      <c r="E13" s="43"/>
      <c r="F13" s="43"/>
      <c r="G13" s="467"/>
      <c r="H13" s="45"/>
      <c r="I13" s="46"/>
      <c r="J13" s="84"/>
      <c r="K13" s="84"/>
      <c r="L13" s="36"/>
      <c r="M13" s="36"/>
      <c r="N13" s="47"/>
      <c r="O13" s="48"/>
      <c r="P13" s="49"/>
      <c r="Q13" s="48"/>
      <c r="R13" s="394"/>
      <c r="S13" s="394"/>
      <c r="T13" s="38"/>
      <c r="U13" s="38"/>
      <c r="V13" s="38"/>
      <c r="W13" s="38"/>
      <c r="X13" s="39"/>
      <c r="Y13" s="211"/>
      <c r="Z13" s="38"/>
      <c r="AA13" s="38"/>
      <c r="AB13" s="38"/>
      <c r="AC13" s="38"/>
      <c r="AD13" s="38">
        <f>+AM13+BA13</f>
        <v>28</v>
      </c>
      <c r="AE13" s="228" t="s">
        <v>420</v>
      </c>
      <c r="AF13" s="34"/>
      <c r="AG13" s="34"/>
      <c r="AH13" s="34">
        <v>28</v>
      </c>
      <c r="AI13" s="469"/>
      <c r="AJ13" s="38"/>
      <c r="AK13" s="38"/>
      <c r="AL13" s="38"/>
      <c r="AM13" s="38">
        <f>SUM(AF13:AL13)+AT13+AV13+AX13</f>
        <v>28</v>
      </c>
      <c r="AN13" s="38"/>
      <c r="AO13" s="38"/>
      <c r="AP13" s="38"/>
      <c r="AQ13" s="38"/>
      <c r="AR13" s="38">
        <f>SUM(AN13:AQ13)</f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>+AR13+AS13+AU13+AW13+AY13+AZ13</f>
        <v>0</v>
      </c>
      <c r="BB13" s="34"/>
      <c r="BC13" s="54"/>
      <c r="BD13" s="54"/>
      <c r="BE13" s="34"/>
      <c r="BF13" s="54"/>
    </row>
    <row r="14" spans="1:58" ht="12.95" customHeight="1">
      <c r="A14" s="41"/>
      <c r="B14" s="42"/>
      <c r="C14" s="424"/>
      <c r="D14" s="42"/>
      <c r="E14" s="43"/>
      <c r="F14" s="43"/>
      <c r="G14" s="467"/>
      <c r="H14" s="45"/>
      <c r="I14" s="46"/>
      <c r="J14" s="84"/>
      <c r="K14" s="84"/>
      <c r="L14" s="36"/>
      <c r="M14" s="36"/>
      <c r="N14" s="47"/>
      <c r="O14" s="48"/>
      <c r="P14" s="49"/>
      <c r="Q14" s="48"/>
      <c r="R14" s="394"/>
      <c r="S14" s="394"/>
      <c r="T14" s="38"/>
      <c r="U14" s="38"/>
      <c r="V14" s="38"/>
      <c r="W14" s="38"/>
      <c r="X14" s="391"/>
      <c r="Y14" s="38"/>
      <c r="Z14" s="38"/>
      <c r="AA14" s="50"/>
      <c r="AB14" s="50"/>
      <c r="AC14" s="38"/>
      <c r="AD14" s="38">
        <f>+AM14+BA14</f>
        <v>8</v>
      </c>
      <c r="AE14" s="228" t="s">
        <v>450</v>
      </c>
      <c r="AF14" s="34"/>
      <c r="AG14" s="34"/>
      <c r="AH14" s="34"/>
      <c r="AJ14" s="38"/>
      <c r="AK14" s="38"/>
      <c r="AL14" s="38"/>
      <c r="AM14" s="38">
        <f>SUM(AF14:AL14)+AT14+AV14+AX14</f>
        <v>0</v>
      </c>
      <c r="AN14" s="38"/>
      <c r="AO14" s="38"/>
      <c r="AP14" s="38"/>
      <c r="AQ14" s="38"/>
      <c r="AR14" s="38">
        <f>SUM(AN14:AQ14)</f>
        <v>0</v>
      </c>
      <c r="AS14" s="38"/>
      <c r="AT14" s="38"/>
      <c r="AU14" s="38"/>
      <c r="AV14" s="38"/>
      <c r="AW14" s="38"/>
      <c r="AX14" s="38"/>
      <c r="AY14" s="38">
        <v>8</v>
      </c>
      <c r="AZ14" s="38"/>
      <c r="BA14" s="38">
        <f>+AR14+AS14+AU14+AW14+AY14+AZ14</f>
        <v>8</v>
      </c>
      <c r="BB14" s="34"/>
      <c r="BC14" s="54"/>
      <c r="BD14" s="54"/>
      <c r="BE14" s="34">
        <v>1</v>
      </c>
      <c r="BF14" s="54"/>
    </row>
    <row r="15" spans="1:58" ht="12.95" customHeight="1">
      <c r="A15" s="41"/>
      <c r="B15" s="42"/>
      <c r="C15" s="424"/>
      <c r="D15" s="42"/>
      <c r="E15" s="43"/>
      <c r="F15" s="43"/>
      <c r="G15" s="467"/>
      <c r="H15" s="45"/>
      <c r="I15" s="46"/>
      <c r="J15" s="84"/>
      <c r="K15" s="84"/>
      <c r="L15" s="36"/>
      <c r="M15" s="36"/>
      <c r="N15" s="47"/>
      <c r="O15" s="48"/>
      <c r="P15" s="49"/>
      <c r="Q15" s="48"/>
      <c r="R15" s="394"/>
      <c r="S15" s="394"/>
      <c r="T15" s="38"/>
      <c r="U15" s="38"/>
      <c r="V15" s="38"/>
      <c r="W15" s="38"/>
      <c r="X15" s="39"/>
      <c r="Y15" s="211"/>
      <c r="Z15" s="38"/>
      <c r="AA15" s="38"/>
      <c r="AB15" s="38"/>
      <c r="AC15" s="38"/>
      <c r="AD15" s="38"/>
      <c r="AE15" s="228"/>
      <c r="AF15" s="38"/>
      <c r="AG15" s="38"/>
      <c r="AH15" s="38"/>
      <c r="AI15" s="469"/>
      <c r="AJ15" s="38"/>
      <c r="AK15" s="38"/>
      <c r="AL15" s="38"/>
      <c r="AM15" s="38"/>
      <c r="AN15" s="85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1"/>
      <c r="BC15" s="52"/>
      <c r="BD15" s="52"/>
      <c r="BE15" s="51"/>
      <c r="BF15" s="52"/>
    </row>
    <row r="16" spans="1:58" ht="12.95" customHeight="1">
      <c r="A16" s="41">
        <v>45994</v>
      </c>
      <c r="B16" s="42" t="s">
        <v>419</v>
      </c>
      <c r="C16" s="424">
        <f>(M16*E16*O16*Q16)/100000000</f>
        <v>54.1771776</v>
      </c>
      <c r="D16" s="42" t="s">
        <v>285</v>
      </c>
      <c r="E16" s="43">
        <v>14</v>
      </c>
      <c r="F16" s="43">
        <v>1</v>
      </c>
      <c r="G16" s="467">
        <v>1260</v>
      </c>
      <c r="H16" s="484">
        <f>+N16</f>
        <v>0.24</v>
      </c>
      <c r="I16" s="46">
        <v>0.88</v>
      </c>
      <c r="J16" s="84">
        <f>E16*G16*(1-H16)*1440/1000000*2.87</f>
        <v>55.405969920000004</v>
      </c>
      <c r="K16" s="84">
        <f>(IF(G16&lt;L16,L16,G16)*(1-IF(H16&lt;N16,H16,N16))*E16*O16*Q16)/100000000</f>
        <v>54.1771776</v>
      </c>
      <c r="L16" s="36">
        <v>1300</v>
      </c>
      <c r="M16" s="36">
        <f>+L16-L16*0.24</f>
        <v>988</v>
      </c>
      <c r="N16" s="47">
        <f>1-(M16/L16)</f>
        <v>0.24</v>
      </c>
      <c r="O16" s="48">
        <f>+'Trim Rwd'!H11</f>
        <v>272</v>
      </c>
      <c r="P16" s="49">
        <f>O16*(Q16-R16-S16)</f>
        <v>384336</v>
      </c>
      <c r="Q16" s="48">
        <v>1440</v>
      </c>
      <c r="R16" s="394">
        <v>0</v>
      </c>
      <c r="S16" s="394">
        <v>27</v>
      </c>
      <c r="T16" s="38">
        <f>E16*M16*O16*Q16/100000000</f>
        <v>54.1771776</v>
      </c>
      <c r="U16" s="38">
        <f>E16*M16*O16*(Q16-R16-S16)/100000000</f>
        <v>53.161355520000001</v>
      </c>
      <c r="V16" s="38">
        <f>E16*G16*(1-N16)*O16/100*(R16+S16)/1000000</f>
        <v>0.98456601599999982</v>
      </c>
      <c r="W16" s="38">
        <f>+'3'!K34/1000</f>
        <v>57.095999999999997</v>
      </c>
      <c r="X16" s="391">
        <f>SUM(W16:W19)/SUM(K16:K19)</f>
        <v>1.053875497567448</v>
      </c>
      <c r="Y16" s="38">
        <v>0</v>
      </c>
      <c r="Z16" s="38">
        <v>0</v>
      </c>
      <c r="AA16" s="50">
        <f>SUM(U16:U19)-SUM(W16:W19)-SUM(Z16:Z19)-SUM(Y16:Y19)</f>
        <v>-3.9346444799999958</v>
      </c>
      <c r="AB16" s="50">
        <f>(SUM(K16:K19)-SUM(W16:W19)-SUM(Y16:Y19)-SUM(Z16:Z19)-SUM(AC16:AC19)-SUM(V16:V19))-AA16</f>
        <v>3.1256063999999917E-2</v>
      </c>
      <c r="AC16" s="38">
        <f>K16-T16</f>
        <v>0</v>
      </c>
      <c r="AD16" s="38">
        <f>+AM16+BA16</f>
        <v>0</v>
      </c>
      <c r="AE16" s="228" t="s">
        <v>392</v>
      </c>
      <c r="AF16" s="38">
        <v>0</v>
      </c>
      <c r="AG16" s="38"/>
      <c r="AH16" s="38"/>
      <c r="AI16" s="469"/>
      <c r="AJ16" s="38"/>
      <c r="AK16" s="38"/>
      <c r="AL16" s="38"/>
      <c r="AM16" s="38">
        <f>SUM(AF16:AL16)+AT16+AV16+AX16</f>
        <v>0</v>
      </c>
      <c r="AN16" s="38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>+AR16+AS16+AU16+AW16+AY16+AZ16</f>
        <v>0</v>
      </c>
      <c r="BB16" s="34">
        <v>0</v>
      </c>
      <c r="BC16" s="52"/>
      <c r="BD16" s="52"/>
      <c r="BE16" s="34"/>
      <c r="BF16" s="52"/>
    </row>
    <row r="17" spans="1:58" ht="12.95" customHeight="1">
      <c r="A17" s="41"/>
      <c r="B17" s="42"/>
      <c r="C17" s="424"/>
      <c r="D17" s="42"/>
      <c r="E17" s="43"/>
      <c r="F17" s="43"/>
      <c r="G17" s="467"/>
      <c r="H17" s="45"/>
      <c r="I17" s="46"/>
      <c r="J17" s="84"/>
      <c r="K17" s="84"/>
      <c r="L17" s="36"/>
      <c r="M17" s="36"/>
      <c r="N17" s="47"/>
      <c r="O17" s="48"/>
      <c r="P17" s="49"/>
      <c r="Q17" s="48"/>
      <c r="R17" s="394"/>
      <c r="S17" s="394"/>
      <c r="T17" s="38"/>
      <c r="U17" s="38"/>
      <c r="V17" s="38"/>
      <c r="W17" s="38"/>
      <c r="X17" s="39"/>
      <c r="Y17" s="211"/>
      <c r="Z17" s="38"/>
      <c r="AA17" s="38"/>
      <c r="AB17" s="38"/>
      <c r="AC17" s="38"/>
      <c r="AD17" s="38">
        <f>+AM17+BA17</f>
        <v>0</v>
      </c>
      <c r="AE17" s="228" t="s">
        <v>415</v>
      </c>
      <c r="AF17" s="38"/>
      <c r="AG17" s="38">
        <v>0</v>
      </c>
      <c r="AH17" s="38"/>
      <c r="AI17" s="469"/>
      <c r="AJ17" s="38"/>
      <c r="AK17" s="38"/>
      <c r="AL17" s="38"/>
      <c r="AM17" s="38">
        <f>SUM(AF17:AL17)+AT17+AV17+AX17</f>
        <v>0</v>
      </c>
      <c r="AN17" s="85"/>
      <c r="AO17" s="38"/>
      <c r="AP17" s="38"/>
      <c r="AQ17" s="38"/>
      <c r="AR17" s="38">
        <f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>+AR17+AS17+AU17+AW17+AY17+AZ17</f>
        <v>0</v>
      </c>
      <c r="BB17" s="51"/>
      <c r="BC17" s="52">
        <v>0</v>
      </c>
      <c r="BD17" s="52"/>
      <c r="BE17" s="51"/>
      <c r="BF17" s="52"/>
    </row>
    <row r="18" spans="1:58" ht="12.95" customHeight="1">
      <c r="A18" s="41"/>
      <c r="B18" s="42"/>
      <c r="C18" s="424"/>
      <c r="D18" s="42"/>
      <c r="E18" s="43"/>
      <c r="F18" s="43"/>
      <c r="G18" s="467"/>
      <c r="H18" s="45"/>
      <c r="I18" s="46"/>
      <c r="J18" s="84"/>
      <c r="K18" s="84"/>
      <c r="L18" s="36"/>
      <c r="M18" s="36"/>
      <c r="N18" s="47"/>
      <c r="O18" s="48"/>
      <c r="P18" s="49"/>
      <c r="Q18" s="48"/>
      <c r="R18" s="394"/>
      <c r="S18" s="394"/>
      <c r="T18" s="38"/>
      <c r="U18" s="38"/>
      <c r="V18" s="38"/>
      <c r="W18" s="38"/>
      <c r="X18" s="39"/>
      <c r="Y18" s="211"/>
      <c r="Z18" s="38"/>
      <c r="AA18" s="38"/>
      <c r="AB18" s="38"/>
      <c r="AC18" s="38"/>
      <c r="AD18" s="38">
        <f>+AM18+BA18</f>
        <v>27</v>
      </c>
      <c r="AE18" s="228" t="s">
        <v>458</v>
      </c>
      <c r="AF18" s="34"/>
      <c r="AG18" s="34"/>
      <c r="AH18" s="34">
        <v>27</v>
      </c>
      <c r="AI18" s="469"/>
      <c r="AJ18" s="38"/>
      <c r="AK18" s="38"/>
      <c r="AL18" s="38"/>
      <c r="AM18" s="38">
        <f>SUM(AF18:AL18)+AT18+AV18+AX18</f>
        <v>27</v>
      </c>
      <c r="AN18" s="38"/>
      <c r="AO18" s="38"/>
      <c r="AP18" s="38"/>
      <c r="AQ18" s="38"/>
      <c r="AR18" s="38">
        <f>SUM(AN18:AQ18)</f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>+AR18+AS18+AU18+AW18+AY18+AZ18</f>
        <v>0</v>
      </c>
      <c r="BB18" s="34"/>
      <c r="BC18" s="54"/>
      <c r="BD18" s="54"/>
      <c r="BE18" s="34"/>
      <c r="BF18" s="54"/>
    </row>
    <row r="19" spans="1:58" ht="12.95" customHeight="1">
      <c r="A19" s="41"/>
      <c r="B19" s="42"/>
      <c r="C19" s="424"/>
      <c r="D19" s="42"/>
      <c r="E19" s="43"/>
      <c r="F19" s="43"/>
      <c r="G19" s="467"/>
      <c r="H19" s="45"/>
      <c r="I19" s="46"/>
      <c r="J19" s="84"/>
      <c r="K19" s="84"/>
      <c r="L19" s="36"/>
      <c r="M19" s="36"/>
      <c r="N19" s="47"/>
      <c r="O19" s="48"/>
      <c r="P19" s="49"/>
      <c r="Q19" s="48"/>
      <c r="R19" s="394"/>
      <c r="S19" s="394"/>
      <c r="T19" s="38"/>
      <c r="U19" s="38"/>
      <c r="V19" s="38"/>
      <c r="W19" s="38"/>
      <c r="X19" s="391"/>
      <c r="Y19" s="38"/>
      <c r="Z19" s="38"/>
      <c r="AA19" s="50"/>
      <c r="AB19" s="50"/>
      <c r="AC19" s="38"/>
      <c r="AD19" s="38"/>
      <c r="AE19" s="228"/>
      <c r="AF19" s="34"/>
      <c r="AG19" s="34"/>
      <c r="AH19" s="34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4"/>
      <c r="BC19" s="54"/>
      <c r="BD19" s="54"/>
      <c r="BE19" s="34"/>
      <c r="BF19" s="54"/>
    </row>
    <row r="20" spans="1:58" ht="12.95" customHeight="1">
      <c r="A20" s="41">
        <v>45995</v>
      </c>
      <c r="B20" s="42" t="s">
        <v>419</v>
      </c>
      <c r="C20" s="424">
        <f>(M20*E20*O20*Q20)/100000000</f>
        <v>54.1771776</v>
      </c>
      <c r="D20" s="42" t="s">
        <v>285</v>
      </c>
      <c r="E20" s="43">
        <v>14</v>
      </c>
      <c r="F20" s="43">
        <v>1</v>
      </c>
      <c r="G20" s="467">
        <v>1260</v>
      </c>
      <c r="H20" s="484">
        <f>+N20</f>
        <v>0.24</v>
      </c>
      <c r="I20" s="46">
        <v>0.88</v>
      </c>
      <c r="J20" s="84">
        <f>E20*G20*(1-H20)*1440/1000000*2.87</f>
        <v>55.405969920000004</v>
      </c>
      <c r="K20" s="84">
        <f>(IF(G20&lt;L20,L20,G20)*(1-IF(H20&lt;N20,H20,N20))*E20*O20*Q20)/100000000</f>
        <v>54.1771776</v>
      </c>
      <c r="L20" s="36">
        <v>1300</v>
      </c>
      <c r="M20" s="36">
        <f>+L20-L20*0.24</f>
        <v>988</v>
      </c>
      <c r="N20" s="47">
        <f>1-(M20/L20)</f>
        <v>0.24</v>
      </c>
      <c r="O20" s="48">
        <f>+'Trim Rwd'!H13</f>
        <v>272</v>
      </c>
      <c r="P20" s="49">
        <f>O20*(Q20-R20-S20)</f>
        <v>356320</v>
      </c>
      <c r="Q20" s="48">
        <v>1440</v>
      </c>
      <c r="R20" s="394">
        <v>110</v>
      </c>
      <c r="S20" s="394">
        <v>20</v>
      </c>
      <c r="T20" s="38">
        <f>E20*M20*O20*Q20/100000000</f>
        <v>54.1771776</v>
      </c>
      <c r="U20" s="38">
        <f>E20*M20*O20*(Q20-R20-S20)/100000000</f>
        <v>49.286182400000001</v>
      </c>
      <c r="V20" s="38">
        <f>E20*G20*(1-N20)*O20/100*(R20+S20)/1000000</f>
        <v>4.7405030399999992</v>
      </c>
      <c r="W20" s="38">
        <f>+'4'!K34/1000</f>
        <v>41.052</v>
      </c>
      <c r="X20" s="391">
        <f>SUM(W20:W23)/SUM(K20:K23)</f>
        <v>0.75773603976003356</v>
      </c>
      <c r="Y20" s="38">
        <v>0</v>
      </c>
      <c r="Z20" s="38">
        <v>0</v>
      </c>
      <c r="AA20" s="50">
        <f>SUM(U20:U23)-SUM(W20:W23)-SUM(Z20:Z23)-SUM(Y20:Y23)</f>
        <v>8.2341824000000017</v>
      </c>
      <c r="AB20" s="50">
        <f>(SUM(K20:K23)-SUM(W20:W23)-SUM(Y20:Y23)-SUM(Z20:Z23)-SUM(AC20:AC23)-SUM(V20:V23))-AA20</f>
        <v>0.15049215999999888</v>
      </c>
      <c r="AC20" s="38">
        <f>K20-T20</f>
        <v>0</v>
      </c>
      <c r="AD20" s="38">
        <f>+AM20+BA20</f>
        <v>0</v>
      </c>
      <c r="AE20" s="228" t="s">
        <v>392</v>
      </c>
      <c r="AF20" s="38">
        <v>0</v>
      </c>
      <c r="AG20" s="38"/>
      <c r="AH20" s="38"/>
      <c r="AI20" s="469"/>
      <c r="AJ20" s="38"/>
      <c r="AK20" s="38"/>
      <c r="AL20" s="38"/>
      <c r="AM20" s="38">
        <f>SUM(AF20:AL20)+AT20+AV20+AX20</f>
        <v>0</v>
      </c>
      <c r="AN20" s="38"/>
      <c r="AO20" s="38"/>
      <c r="AP20" s="38"/>
      <c r="AQ20" s="38"/>
      <c r="AR20" s="38">
        <f>SUM(AN20:AQ20)</f>
        <v>0</v>
      </c>
      <c r="AS20" s="38"/>
      <c r="AT20" s="38"/>
      <c r="AU20" s="38"/>
      <c r="AV20" s="38"/>
      <c r="AW20" s="38"/>
      <c r="AX20" s="38"/>
      <c r="AY20" s="38"/>
      <c r="AZ20" s="38"/>
      <c r="BA20" s="38">
        <f>+AR20+AS20+AU20+AW20+AY20+AZ20</f>
        <v>0</v>
      </c>
      <c r="BB20" s="34">
        <v>0</v>
      </c>
      <c r="BC20" s="52"/>
      <c r="BD20" s="52"/>
      <c r="BE20" s="34"/>
      <c r="BF20" s="52"/>
    </row>
    <row r="21" spans="1:58" ht="12.95" customHeight="1">
      <c r="A21" s="41"/>
      <c r="B21" s="42"/>
      <c r="C21" s="424"/>
      <c r="D21" s="42"/>
      <c r="E21" s="43"/>
      <c r="F21" s="43"/>
      <c r="G21" s="467"/>
      <c r="H21" s="45"/>
      <c r="I21" s="46"/>
      <c r="J21" s="84"/>
      <c r="K21" s="84"/>
      <c r="L21" s="36"/>
      <c r="M21" s="36"/>
      <c r="N21" s="47"/>
      <c r="O21" s="48"/>
      <c r="P21" s="49"/>
      <c r="Q21" s="48"/>
      <c r="R21" s="394"/>
      <c r="S21" s="394"/>
      <c r="T21" s="38"/>
      <c r="U21" s="38"/>
      <c r="V21" s="38"/>
      <c r="W21" s="38"/>
      <c r="X21" s="39"/>
      <c r="Y21" s="211"/>
      <c r="Z21" s="38"/>
      <c r="AA21" s="38"/>
      <c r="AB21" s="38"/>
      <c r="AC21" s="38"/>
      <c r="AD21" s="38">
        <f>+AM21+BA21</f>
        <v>1</v>
      </c>
      <c r="AE21" s="228" t="s">
        <v>446</v>
      </c>
      <c r="AF21" s="38"/>
      <c r="AG21" s="38">
        <v>1</v>
      </c>
      <c r="AH21" s="38"/>
      <c r="AI21" s="469"/>
      <c r="AJ21" s="38"/>
      <c r="AK21" s="38"/>
      <c r="AL21" s="38"/>
      <c r="AM21" s="38">
        <f>SUM(AF21:AL21)+AT21+AV21+AX21</f>
        <v>1</v>
      </c>
      <c r="AN21" s="85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+AR21+AS21+AU21+AW21+AY21+AZ21</f>
        <v>0</v>
      </c>
      <c r="BB21" s="51"/>
      <c r="BC21" s="52">
        <v>1</v>
      </c>
      <c r="BD21" s="52"/>
      <c r="BE21" s="51"/>
      <c r="BF21" s="52"/>
    </row>
    <row r="22" spans="1:58" ht="12.95" customHeight="1">
      <c r="A22" s="41"/>
      <c r="B22" s="42"/>
      <c r="C22" s="424"/>
      <c r="D22" s="42"/>
      <c r="E22" s="43"/>
      <c r="F22" s="43"/>
      <c r="G22" s="467"/>
      <c r="H22" s="45"/>
      <c r="I22" s="46"/>
      <c r="J22" s="84"/>
      <c r="K22" s="84"/>
      <c r="L22" s="36"/>
      <c r="M22" s="36"/>
      <c r="N22" s="47"/>
      <c r="O22" s="48"/>
      <c r="P22" s="49"/>
      <c r="Q22" s="48"/>
      <c r="R22" s="394"/>
      <c r="S22" s="394"/>
      <c r="T22" s="38"/>
      <c r="U22" s="38"/>
      <c r="V22" s="38"/>
      <c r="W22" s="38"/>
      <c r="X22" s="39"/>
      <c r="Y22" s="211"/>
      <c r="Z22" s="38"/>
      <c r="AA22" s="38"/>
      <c r="AB22" s="38"/>
      <c r="AC22" s="38"/>
      <c r="AD22" s="38">
        <f>+AM22+BA22</f>
        <v>19</v>
      </c>
      <c r="AE22" s="228" t="s">
        <v>470</v>
      </c>
      <c r="AF22" s="34"/>
      <c r="AG22" s="34"/>
      <c r="AH22" s="34">
        <v>19</v>
      </c>
      <c r="AI22" s="469"/>
      <c r="AJ22" s="38"/>
      <c r="AK22" s="38"/>
      <c r="AL22" s="38"/>
      <c r="AM22" s="38">
        <f>SUM(AF22:AL22)+AT22+AV22+AX22</f>
        <v>19</v>
      </c>
      <c r="AN22" s="38"/>
      <c r="AO22" s="38"/>
      <c r="AP22" s="38"/>
      <c r="AQ22" s="38"/>
      <c r="AR22" s="38">
        <f>SUM(AN22:AQ22)</f>
        <v>0</v>
      </c>
      <c r="AS22" s="38"/>
      <c r="AT22" s="38"/>
      <c r="AU22" s="38"/>
      <c r="AV22" s="38"/>
      <c r="AW22" s="38"/>
      <c r="AX22" s="38"/>
      <c r="AY22" s="38"/>
      <c r="AZ22" s="38"/>
      <c r="BA22" s="38">
        <f>+AR22+AS22+AU22+AW22+AY22+AZ22</f>
        <v>0</v>
      </c>
      <c r="BB22" s="34"/>
      <c r="BC22" s="54"/>
      <c r="BD22" s="54"/>
      <c r="BE22" s="34"/>
      <c r="BF22" s="54"/>
    </row>
    <row r="23" spans="1:58" ht="12.95" customHeight="1">
      <c r="A23" s="41"/>
      <c r="B23" s="42"/>
      <c r="C23" s="424"/>
      <c r="D23" s="42"/>
      <c r="E23" s="43"/>
      <c r="F23" s="43"/>
      <c r="G23" s="467"/>
      <c r="H23" s="45"/>
      <c r="I23" s="46"/>
      <c r="J23" s="84"/>
      <c r="K23" s="84"/>
      <c r="L23" s="36"/>
      <c r="M23" s="36"/>
      <c r="N23" s="47"/>
      <c r="O23" s="48"/>
      <c r="P23" s="49"/>
      <c r="Q23" s="48"/>
      <c r="R23" s="394"/>
      <c r="S23" s="394"/>
      <c r="T23" s="38"/>
      <c r="U23" s="38"/>
      <c r="V23" s="38"/>
      <c r="W23" s="38"/>
      <c r="X23" s="391"/>
      <c r="Y23" s="38"/>
      <c r="Z23" s="38"/>
      <c r="AA23" s="50"/>
      <c r="AB23" s="50"/>
      <c r="AC23" s="38"/>
      <c r="AD23" s="38">
        <f>+AM23+BA23</f>
        <v>110</v>
      </c>
      <c r="AE23" s="228" t="s">
        <v>471</v>
      </c>
      <c r="AF23" s="34"/>
      <c r="AG23" s="34"/>
      <c r="AH23" s="34"/>
      <c r="AJ23" s="38"/>
      <c r="AK23" s="38"/>
      <c r="AL23" s="38"/>
      <c r="AM23" s="38">
        <f>SUM(AF23:AL23)+AT23+AV23+AX23</f>
        <v>0</v>
      </c>
      <c r="AN23" s="38"/>
      <c r="AO23" s="38"/>
      <c r="AP23" s="38">
        <v>110</v>
      </c>
      <c r="AQ23" s="38"/>
      <c r="AR23" s="38">
        <f>SUM(AN23:AQ23)</f>
        <v>110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110</v>
      </c>
      <c r="BB23" s="34"/>
      <c r="BC23" s="54"/>
      <c r="BD23" s="54"/>
      <c r="BE23" s="34"/>
      <c r="BF23" s="54"/>
    </row>
    <row r="24" spans="1:58" ht="12.95" customHeight="1">
      <c r="A24" s="41"/>
      <c r="B24" s="42"/>
      <c r="C24" s="424"/>
      <c r="D24" s="42"/>
      <c r="E24" s="43"/>
      <c r="F24" s="43"/>
      <c r="G24" s="467"/>
      <c r="H24" s="45"/>
      <c r="I24" s="46"/>
      <c r="J24" s="84"/>
      <c r="K24" s="84"/>
      <c r="L24" s="36"/>
      <c r="M24" s="36"/>
      <c r="N24" s="47"/>
      <c r="O24" s="48"/>
      <c r="P24" s="49"/>
      <c r="Q24" s="48"/>
      <c r="R24" s="394"/>
      <c r="S24" s="394"/>
      <c r="T24" s="38"/>
      <c r="U24" s="38"/>
      <c r="V24" s="38"/>
      <c r="W24" s="38"/>
      <c r="X24" s="39"/>
      <c r="Y24" s="211"/>
      <c r="Z24" s="38"/>
      <c r="AA24" s="38"/>
      <c r="AB24" s="38"/>
      <c r="AC24" s="38"/>
      <c r="AD24" s="38"/>
      <c r="AE24" s="228"/>
      <c r="AF24" s="38"/>
      <c r="AG24" s="38"/>
      <c r="AH24" s="38"/>
      <c r="AI24" s="469"/>
      <c r="AJ24" s="38"/>
      <c r="AK24" s="38"/>
      <c r="AL24" s="38"/>
      <c r="AM24" s="38"/>
      <c r="AN24" s="85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51"/>
      <c r="BC24" s="52"/>
      <c r="BD24" s="52"/>
      <c r="BE24" s="51"/>
      <c r="BF24" s="52"/>
    </row>
    <row r="25" spans="1:58" ht="12.75" customHeight="1">
      <c r="A25" s="41">
        <v>45996</v>
      </c>
      <c r="B25" s="42" t="s">
        <v>419</v>
      </c>
      <c r="C25" s="424">
        <f>(M25*E25*O25*Q25)/100000000</f>
        <v>9.0118246400000004</v>
      </c>
      <c r="D25" s="42" t="s">
        <v>285</v>
      </c>
      <c r="E25" s="43">
        <v>14</v>
      </c>
      <c r="F25" s="43">
        <v>1</v>
      </c>
      <c r="G25" s="467">
        <v>1260</v>
      </c>
      <c r="H25" s="484">
        <f>+N25</f>
        <v>0.24</v>
      </c>
      <c r="I25" s="46">
        <v>0.88</v>
      </c>
      <c r="J25" s="84">
        <f>E25*G25*(1-H25)*1440/1000000*2.87</f>
        <v>55.405969920000004</v>
      </c>
      <c r="K25" s="84">
        <f>(IF(G25&lt;L25,L25,G25)*(1-IF(H25&lt;N25,H25,N25))*E25*O25*Q25)/100000000</f>
        <v>9.0118246400000004</v>
      </c>
      <c r="L25" s="36">
        <v>1300</v>
      </c>
      <c r="M25" s="36">
        <f>+L25-L25*0.24</f>
        <v>988</v>
      </c>
      <c r="N25" s="47">
        <f>1-(M25/L25)</f>
        <v>0.24</v>
      </c>
      <c r="O25" s="48">
        <f>+'Trim Rwd'!H15</f>
        <v>271.46666666666664</v>
      </c>
      <c r="P25" s="49">
        <f>O25*(Q25-R25-S25)</f>
        <v>63251.73333333333</v>
      </c>
      <c r="Q25" s="48">
        <v>240</v>
      </c>
      <c r="R25" s="394">
        <v>0</v>
      </c>
      <c r="S25" s="394">
        <v>7</v>
      </c>
      <c r="T25" s="38">
        <f>E25*M25*O25*Q25/100000000</f>
        <v>9.0118246400000004</v>
      </c>
      <c r="U25" s="38">
        <f>E25*M25*O25*(Q25-R25-S25)/100000000</f>
        <v>8.7489797546666654</v>
      </c>
      <c r="V25" s="38">
        <f>E25*G25*(1-N25)*O25/100*(R25+S25)/1000000</f>
        <v>0.25475735039999997</v>
      </c>
      <c r="W25" s="38">
        <f>+'5'!K9/1000</f>
        <v>16.888999999999999</v>
      </c>
      <c r="X25" s="391">
        <f>SUM(W25:W28)/SUM(K25:K28)</f>
        <v>0.95252474036390711</v>
      </c>
      <c r="Y25" s="38">
        <v>0</v>
      </c>
      <c r="Z25" s="38">
        <v>0</v>
      </c>
      <c r="AA25" s="50">
        <f>SUM(U25:U28)-SUM(W25:W28)-SUM(Z25:Z28)-SUM(Y25:Y28)</f>
        <v>0.50774375466666866</v>
      </c>
      <c r="AB25" s="50">
        <f>(SUM(K25:K28)-SUM(W25:W28)-SUM(Y25:Y28)-SUM(Z25:Z28)-SUM(AC25:AC28)-SUM(V25:V28))-AA25</f>
        <v>4.8306734933334261E-2</v>
      </c>
      <c r="AC25" s="38">
        <f>K25-T25</f>
        <v>0</v>
      </c>
      <c r="AD25" s="38">
        <f>+AM25+BA25</f>
        <v>5</v>
      </c>
      <c r="AE25" s="228" t="s">
        <v>448</v>
      </c>
      <c r="AF25" s="38">
        <v>5</v>
      </c>
      <c r="AG25" s="38"/>
      <c r="AH25" s="38"/>
      <c r="AI25" s="469"/>
      <c r="AJ25" s="38"/>
      <c r="AK25" s="38"/>
      <c r="AL25" s="38"/>
      <c r="AM25" s="38">
        <f>SUM(AF25:AL25)+AT25+AV25+AX25</f>
        <v>5</v>
      </c>
      <c r="AN25" s="38"/>
      <c r="AO25" s="38"/>
      <c r="AP25" s="38"/>
      <c r="AQ25" s="38"/>
      <c r="AR25" s="38">
        <f>SUM(AN25:AQ25)</f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>
        <v>1</v>
      </c>
      <c r="BC25" s="52"/>
      <c r="BD25" s="52"/>
      <c r="BE25" s="34"/>
      <c r="BF25" s="52"/>
    </row>
    <row r="26" spans="1:58" ht="12.95" customHeight="1">
      <c r="A26" s="41"/>
      <c r="B26" s="42" t="s">
        <v>419</v>
      </c>
      <c r="C26" s="424">
        <f>(M26*E26*O26*Q26)/100000000</f>
        <v>24.533712000000001</v>
      </c>
      <c r="D26" s="42" t="s">
        <v>285</v>
      </c>
      <c r="E26" s="43">
        <v>18</v>
      </c>
      <c r="F26" s="43">
        <v>1</v>
      </c>
      <c r="G26" s="467">
        <v>980</v>
      </c>
      <c r="H26" s="484">
        <f>+N26</f>
        <v>0.24</v>
      </c>
      <c r="I26" s="46">
        <v>0.88</v>
      </c>
      <c r="J26" s="84">
        <f>E26*G26*(1-H26)*1440/1000000*2.87</f>
        <v>55.405969920000004</v>
      </c>
      <c r="K26" s="84">
        <f>(IF(G26&lt;L26,L26,G26)*(1-IF(H26&lt;N26,H26,N26))*E26*O26*Q26)/100000000</f>
        <v>24.533712000000001</v>
      </c>
      <c r="L26" s="36">
        <v>1050</v>
      </c>
      <c r="M26" s="36">
        <v>798</v>
      </c>
      <c r="N26" s="47">
        <f>1-(M26/L26)</f>
        <v>0.24</v>
      </c>
      <c r="O26" s="48">
        <f>+'Trim Rwd'!H17</f>
        <v>280</v>
      </c>
      <c r="P26" s="49">
        <f>O26*(Q26-R26-S26)</f>
        <v>166600</v>
      </c>
      <c r="Q26" s="48">
        <v>610</v>
      </c>
      <c r="R26" s="394">
        <v>0</v>
      </c>
      <c r="S26" s="394">
        <v>15</v>
      </c>
      <c r="T26" s="38">
        <f>E26*M26*O26*Q26/100000000</f>
        <v>24.533712000000001</v>
      </c>
      <c r="U26" s="38">
        <f>E26*M26*O26*(Q26-R26-S26)/100000000</f>
        <v>23.930423999999999</v>
      </c>
      <c r="V26" s="38">
        <f>E26*G26*(1-N26)*O26/100*(R26+S26)/1000000</f>
        <v>0.56306879999999992</v>
      </c>
      <c r="W26" s="38">
        <f>+'5'!K11/1000</f>
        <v>21.393000000000001</v>
      </c>
      <c r="X26" s="39"/>
      <c r="Y26" s="211"/>
      <c r="Z26" s="38">
        <f>+'5'!D34/1000</f>
        <v>0.65</v>
      </c>
      <c r="AA26" s="38"/>
      <c r="AB26" s="38"/>
      <c r="AC26" s="38">
        <f>K26-T26</f>
        <v>0</v>
      </c>
      <c r="AD26" s="38">
        <f>+AM26+BA26</f>
        <v>6</v>
      </c>
      <c r="AE26" s="228" t="s">
        <v>484</v>
      </c>
      <c r="AF26" s="38"/>
      <c r="AG26" s="38">
        <v>6</v>
      </c>
      <c r="AH26" s="38"/>
      <c r="AI26" s="469"/>
      <c r="AJ26" s="38"/>
      <c r="AK26" s="38"/>
      <c r="AL26" s="38"/>
      <c r="AM26" s="38">
        <f>SUM(AF26:AL26)+AT26+AV26+AX26</f>
        <v>6</v>
      </c>
      <c r="AN26" s="85"/>
      <c r="AO26" s="38"/>
      <c r="AP26" s="38"/>
      <c r="AQ26" s="38"/>
      <c r="AR26" s="38">
        <f>SUM(AN26:AQ26)</f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+AR26+AS26+AU26+AW26+AY26+AZ26</f>
        <v>0</v>
      </c>
      <c r="BB26" s="51"/>
      <c r="BC26" s="52">
        <v>4</v>
      </c>
      <c r="BD26" s="52"/>
      <c r="BE26" s="51"/>
      <c r="BF26" s="52"/>
    </row>
    <row r="27" spans="1:58" ht="12.95" customHeight="1">
      <c r="A27" s="41"/>
      <c r="B27" s="42" t="s">
        <v>419</v>
      </c>
      <c r="C27" s="424">
        <f>(M27*E27*O27*Q27)/100000000</f>
        <v>21.186900000000001</v>
      </c>
      <c r="D27" s="42" t="s">
        <v>285</v>
      </c>
      <c r="E27" s="43">
        <v>12.5</v>
      </c>
      <c r="F27" s="43">
        <v>1</v>
      </c>
      <c r="G27" s="467">
        <v>1350</v>
      </c>
      <c r="H27" s="484">
        <f>+N27</f>
        <v>0.24</v>
      </c>
      <c r="I27" s="46">
        <v>0.88</v>
      </c>
      <c r="J27" s="84">
        <f>E27*G27*(1-H27)*1440/1000000*2.87</f>
        <v>53.003160000000001</v>
      </c>
      <c r="K27" s="84">
        <f>(IF(G27&lt;L27,L27,G27)*(1-IF(H27&lt;N27,H27,N27))*E27*O27*Q27)/100000000</f>
        <v>21.186900000000001</v>
      </c>
      <c r="L27" s="36">
        <v>1350</v>
      </c>
      <c r="M27" s="36">
        <v>1026</v>
      </c>
      <c r="N27" s="47">
        <f>1-(M27/L27)</f>
        <v>0.24</v>
      </c>
      <c r="O27" s="48">
        <f>+'Trim Rwd'!H18</f>
        <v>280</v>
      </c>
      <c r="P27" s="49">
        <f>O27*(Q27-R27-S27)</f>
        <v>160720</v>
      </c>
      <c r="Q27" s="48">
        <v>590</v>
      </c>
      <c r="R27" s="394">
        <v>0</v>
      </c>
      <c r="S27" s="394">
        <v>16</v>
      </c>
      <c r="T27" s="38">
        <f>E27*M27*O27*Q27/100000000</f>
        <v>21.186900000000001</v>
      </c>
      <c r="U27" s="38">
        <f>E27*M27*O27*(Q27-R27-S27)/100000000</f>
        <v>20.61234</v>
      </c>
      <c r="V27" s="38">
        <f>E27*G27*(1-N27)*O27/100*(R27+S27)/1000000</f>
        <v>0.57455999999999996</v>
      </c>
      <c r="W27" s="38">
        <f>+'5'!K8/1000</f>
        <v>13.852</v>
      </c>
      <c r="X27" s="39"/>
      <c r="Y27" s="211"/>
      <c r="Z27" s="38"/>
      <c r="AA27" s="38"/>
      <c r="AB27" s="38"/>
      <c r="AC27" s="38">
        <f>K27-T27</f>
        <v>0</v>
      </c>
      <c r="AD27" s="38">
        <f>+AM27+BA27</f>
        <v>27</v>
      </c>
      <c r="AE27" s="228" t="s">
        <v>458</v>
      </c>
      <c r="AF27" s="34"/>
      <c r="AG27" s="34"/>
      <c r="AH27" s="34">
        <v>27</v>
      </c>
      <c r="AI27" s="469"/>
      <c r="AJ27" s="38"/>
      <c r="AK27" s="38"/>
      <c r="AL27" s="38"/>
      <c r="AM27" s="38">
        <f>SUM(AF27:AL27)+AT27+AV27+AX27</f>
        <v>27</v>
      </c>
      <c r="AN27" s="38"/>
      <c r="AO27" s="38"/>
      <c r="AP27" s="38"/>
      <c r="AQ27" s="38"/>
      <c r="AR27" s="38">
        <f>SUM(AN27:AQ27)</f>
        <v>0</v>
      </c>
      <c r="AS27" s="38"/>
      <c r="AT27" s="38"/>
      <c r="AU27" s="38"/>
      <c r="AV27" s="38"/>
      <c r="AW27" s="38"/>
      <c r="AX27" s="38"/>
      <c r="AY27" s="38"/>
      <c r="AZ27" s="38"/>
      <c r="BA27" s="38">
        <f>+AR27+AS27+AU27+AW27+AY27+AZ27</f>
        <v>0</v>
      </c>
      <c r="BB27" s="34"/>
      <c r="BC27" s="54"/>
      <c r="BD27" s="54"/>
      <c r="BE27" s="34"/>
      <c r="BF27" s="54"/>
    </row>
    <row r="28" spans="1:58" ht="12.95" customHeight="1">
      <c r="A28" s="41"/>
      <c r="B28" s="42"/>
      <c r="C28" s="424"/>
      <c r="D28" s="42"/>
      <c r="E28" s="43"/>
      <c r="F28" s="43"/>
      <c r="G28" s="467"/>
      <c r="H28" s="45"/>
      <c r="I28" s="46"/>
      <c r="J28" s="84"/>
      <c r="K28" s="84"/>
      <c r="L28" s="36"/>
      <c r="M28" s="36"/>
      <c r="N28" s="47"/>
      <c r="O28" s="48"/>
      <c r="P28" s="49"/>
      <c r="Q28" s="48"/>
      <c r="R28" s="394"/>
      <c r="S28" s="394"/>
      <c r="T28" s="38"/>
      <c r="U28" s="38"/>
      <c r="V28" s="38"/>
      <c r="W28" s="38"/>
      <c r="X28" s="391"/>
      <c r="Y28" s="38"/>
      <c r="Z28" s="38"/>
      <c r="AA28" s="50"/>
      <c r="AB28" s="50"/>
      <c r="AC28" s="38"/>
      <c r="AD28" s="38"/>
      <c r="AE28" s="228"/>
      <c r="AF28" s="34"/>
      <c r="AG28" s="34"/>
      <c r="AH28" s="34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4"/>
      <c r="BC28" s="54"/>
      <c r="BD28" s="54"/>
      <c r="BE28" s="34"/>
      <c r="BF28" s="54"/>
    </row>
    <row r="29" spans="1:58" ht="12.75" customHeight="1">
      <c r="A29" s="41">
        <v>45997</v>
      </c>
      <c r="B29" s="42" t="s">
        <v>419</v>
      </c>
      <c r="C29" s="424">
        <f>(M29*E29*O29*Q29)/100000000</f>
        <v>2.1545999999999998</v>
      </c>
      <c r="D29" s="42" t="s">
        <v>285</v>
      </c>
      <c r="E29" s="43">
        <v>12.5</v>
      </c>
      <c r="F29" s="43">
        <v>1</v>
      </c>
      <c r="G29" s="467">
        <v>1350</v>
      </c>
      <c r="H29" s="484">
        <f>+N29</f>
        <v>0.24</v>
      </c>
      <c r="I29" s="46">
        <v>0.88</v>
      </c>
      <c r="J29" s="84">
        <f>E29*G29*(1-H29)*1440/1000000*2.87</f>
        <v>53.003160000000001</v>
      </c>
      <c r="K29" s="84">
        <f>(IF(G29&lt;L29,L29,G29)*(1-IF(H29&lt;N29,H29,N29))*E29*O29*Q29)/100000000</f>
        <v>2.1545999999999998</v>
      </c>
      <c r="L29" s="36">
        <v>1350</v>
      </c>
      <c r="M29" s="36">
        <v>1026</v>
      </c>
      <c r="N29" s="47">
        <f>1-(M29/L29)</f>
        <v>0.24</v>
      </c>
      <c r="O29" s="48">
        <f>+'Trim Rwd'!H20</f>
        <v>280</v>
      </c>
      <c r="P29" s="49">
        <f>O29*(Q29-R29-S29)</f>
        <v>15400</v>
      </c>
      <c r="Q29" s="48">
        <v>60</v>
      </c>
      <c r="R29" s="394">
        <v>0</v>
      </c>
      <c r="S29" s="394">
        <v>5</v>
      </c>
      <c r="T29" s="38">
        <f>E29*M29*O29*Q29/100000000</f>
        <v>2.1545999999999998</v>
      </c>
      <c r="U29" s="38">
        <f>E29*M29*O29*(Q29-R29-S29)/100000000</f>
        <v>1.97505</v>
      </c>
      <c r="V29" s="38">
        <f>E29*G29*(1-N29)*O29/100*(R29+S29)/1000000</f>
        <v>0.17954999999999999</v>
      </c>
      <c r="W29" s="38">
        <f>+'6'!K8/1000</f>
        <v>7.4329999999999998</v>
      </c>
      <c r="X29" s="391">
        <f>SUM(W29:W32)/SUM(K29:K32)</f>
        <v>0.90094566536602549</v>
      </c>
      <c r="Y29" s="38">
        <v>0</v>
      </c>
      <c r="Z29" s="38">
        <v>0</v>
      </c>
      <c r="AA29" s="50">
        <f>SUM(U29:U32)-SUM(W29:W32)-SUM(Z29:Z32)-SUM(Y29:Y32)</f>
        <v>3.2442902920000023</v>
      </c>
      <c r="AB29" s="50">
        <f>(SUM(K29:K32)-SUM(W29:W32)-SUM(Y29:Y32)-SUM(Z29:Z32)-SUM(AC29:AC32)-SUM(V29:V32))-AA29</f>
        <v>-7.1500800000050546E-3</v>
      </c>
      <c r="AC29" s="38">
        <f>K29-T29</f>
        <v>0</v>
      </c>
      <c r="AD29" s="38">
        <f>+AM29+BA29</f>
        <v>15</v>
      </c>
      <c r="AE29" s="228" t="s">
        <v>447</v>
      </c>
      <c r="AF29" s="38">
        <v>15</v>
      </c>
      <c r="AG29" s="38"/>
      <c r="AH29" s="38"/>
      <c r="AI29" s="469"/>
      <c r="AJ29" s="38"/>
      <c r="AK29" s="38"/>
      <c r="AL29" s="38"/>
      <c r="AM29" s="38">
        <f>SUM(AF29:AL29)+AT29+AV29+AX29</f>
        <v>15</v>
      </c>
      <c r="AN29" s="38"/>
      <c r="AO29" s="38"/>
      <c r="AP29" s="38"/>
      <c r="AQ29" s="38"/>
      <c r="AR29" s="38">
        <f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34">
        <v>3</v>
      </c>
      <c r="BC29" s="52"/>
      <c r="BD29" s="52"/>
      <c r="BE29" s="34"/>
      <c r="BF29" s="52"/>
    </row>
    <row r="30" spans="1:58" ht="12.95" customHeight="1">
      <c r="A30" s="41"/>
      <c r="B30" s="42" t="s">
        <v>417</v>
      </c>
      <c r="C30" s="424">
        <f>(M30*E30*O30*Q30)/100000000</f>
        <v>29.790523035000003</v>
      </c>
      <c r="D30" s="42" t="s">
        <v>285</v>
      </c>
      <c r="E30" s="43">
        <v>13</v>
      </c>
      <c r="F30" s="43">
        <v>1</v>
      </c>
      <c r="G30" s="44">
        <v>1350</v>
      </c>
      <c r="H30" s="484">
        <f>+N30</f>
        <v>0.24</v>
      </c>
      <c r="I30" s="46">
        <v>0.88</v>
      </c>
      <c r="J30" s="84">
        <f>E30*G30*(1-H30)*1440/1000000*2.87</f>
        <v>55.123286400000005</v>
      </c>
      <c r="K30" s="84">
        <f>(IF(G30&lt;L30,L30,G30)*(1-IF(H30&lt;N30,H30,N30))*E30*O30*Q30)/100000000</f>
        <v>29.790523035000003</v>
      </c>
      <c r="L30" s="36">
        <v>1350</v>
      </c>
      <c r="M30" s="36">
        <f>+L30-L30*0.24</f>
        <v>1026</v>
      </c>
      <c r="N30" s="47">
        <f>1-(M30/L30)</f>
        <v>0.24</v>
      </c>
      <c r="O30" s="48">
        <f>+'Trim Rwd'!H21</f>
        <v>274.05</v>
      </c>
      <c r="P30" s="49">
        <f>O30*(Q30-R30-S30)</f>
        <v>215951.40000000002</v>
      </c>
      <c r="Q30" s="48">
        <v>815</v>
      </c>
      <c r="R30" s="394">
        <v>0</v>
      </c>
      <c r="S30" s="394">
        <v>27</v>
      </c>
      <c r="T30" s="38">
        <f>E30*M30*O30*Q30/100000000</f>
        <v>29.790523035000003</v>
      </c>
      <c r="U30" s="38">
        <f>E30*M30*O30*(Q30-R30-S30)/100000000</f>
        <v>28.803597732000004</v>
      </c>
      <c r="V30" s="38">
        <f>E30*G30*(1-N30)*O30/100*(R30+S30)/1000000</f>
        <v>0.98692530300000003</v>
      </c>
      <c r="W30" s="38">
        <f>+'6'!K12/1000</f>
        <v>27.738</v>
      </c>
      <c r="X30" s="39"/>
      <c r="Y30" s="211"/>
      <c r="Z30" s="38"/>
      <c r="AA30" s="38"/>
      <c r="AB30" s="38"/>
      <c r="AC30" s="38">
        <f>K30-T30</f>
        <v>0</v>
      </c>
      <c r="AD30" s="38">
        <f>+AM30+BA30</f>
        <v>0</v>
      </c>
      <c r="AE30" s="228" t="s">
        <v>415</v>
      </c>
      <c r="AF30" s="38"/>
      <c r="AG30" s="38">
        <v>0</v>
      </c>
      <c r="AH30" s="38"/>
      <c r="AI30" s="469"/>
      <c r="AJ30" s="38"/>
      <c r="AK30" s="38"/>
      <c r="AL30" s="38"/>
      <c r="AM30" s="38">
        <f>SUM(AF30:AL30)+AT30+AV30+AX30</f>
        <v>0</v>
      </c>
      <c r="AN30" s="85"/>
      <c r="AO30" s="38"/>
      <c r="AP30" s="38"/>
      <c r="AQ30" s="38"/>
      <c r="AR30" s="38">
        <f>SUM(AN30:AQ30)</f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51"/>
      <c r="BC30" s="52">
        <v>0</v>
      </c>
      <c r="BD30" s="52"/>
      <c r="BE30" s="51"/>
      <c r="BF30" s="52"/>
    </row>
    <row r="31" spans="1:58" ht="12.95" customHeight="1">
      <c r="A31" s="41"/>
      <c r="B31" s="42" t="s">
        <v>417</v>
      </c>
      <c r="C31" s="424">
        <f>(M31*E31*O31*Q31)/100000000</f>
        <v>19.794996479999998</v>
      </c>
      <c r="D31" s="42" t="s">
        <v>285</v>
      </c>
      <c r="E31" s="43">
        <v>12</v>
      </c>
      <c r="F31" s="43">
        <v>1</v>
      </c>
      <c r="G31" s="44">
        <v>1400</v>
      </c>
      <c r="H31" s="484">
        <f>+N31</f>
        <v>0.24</v>
      </c>
      <c r="I31" s="46">
        <v>0.88</v>
      </c>
      <c r="J31" s="84">
        <f>E31*G31*(1-H31)*1440/1000000*2.87</f>
        <v>52.767590399999996</v>
      </c>
      <c r="K31" s="84">
        <f>(IF(G31&lt;L31,L31,G31)*(1-IF(H31&lt;N31,H31,N31))*E31*O31*Q31)/100000000</f>
        <v>20.198975999999998</v>
      </c>
      <c r="L31" s="36">
        <v>1372</v>
      </c>
      <c r="M31" s="36">
        <f>+L31-L31*0.24</f>
        <v>1042.72</v>
      </c>
      <c r="N31" s="47">
        <f>1-(M31/L31)</f>
        <v>0.24</v>
      </c>
      <c r="O31" s="48">
        <f>+'Trim Rwd'!H23</f>
        <v>280</v>
      </c>
      <c r="P31" s="49">
        <f>O31*(Q31-R31-S31)</f>
        <v>155400</v>
      </c>
      <c r="Q31" s="48">
        <v>565</v>
      </c>
      <c r="R31" s="394">
        <v>0</v>
      </c>
      <c r="S31" s="394">
        <v>10</v>
      </c>
      <c r="T31" s="38">
        <f>E31*M31*O31*Q31/100000000</f>
        <v>19.794996479999998</v>
      </c>
      <c r="U31" s="38">
        <f>E31*M31*O31*(Q31-R31-S31)/100000000</f>
        <v>19.444642559999998</v>
      </c>
      <c r="V31" s="38">
        <f>E31*G31*(1-N31)*O31/100*(R31+S31)/1000000</f>
        <v>0.35750399999999999</v>
      </c>
      <c r="W31" s="38">
        <f>+'6'!K7/1000</f>
        <v>11.808</v>
      </c>
      <c r="X31" s="39"/>
      <c r="Y31" s="211"/>
      <c r="Z31" s="38"/>
      <c r="AA31" s="38"/>
      <c r="AB31" s="38"/>
      <c r="AC31" s="38">
        <f>K31-T31</f>
        <v>0.40397952000000004</v>
      </c>
      <c r="AD31" s="38">
        <f>+AM31+BA31</f>
        <v>27</v>
      </c>
      <c r="AE31" s="228" t="s">
        <v>513</v>
      </c>
      <c r="AF31" s="34"/>
      <c r="AG31" s="34"/>
      <c r="AH31" s="34">
        <v>27</v>
      </c>
      <c r="AI31" s="469"/>
      <c r="AJ31" s="38"/>
      <c r="AK31" s="38"/>
      <c r="AL31" s="38"/>
      <c r="AM31" s="38">
        <f>SUM(AF31:AL31)+AT31+AV31+AX31</f>
        <v>27</v>
      </c>
      <c r="AN31" s="38"/>
      <c r="AO31" s="38"/>
      <c r="AP31" s="38"/>
      <c r="AQ31" s="38"/>
      <c r="AR31" s="38">
        <f>SUM(AN31:AQ31)</f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34"/>
      <c r="BC31" s="54"/>
      <c r="BD31" s="54"/>
      <c r="BE31" s="34"/>
      <c r="BF31" s="54"/>
    </row>
    <row r="32" spans="1:58" ht="12.95" customHeight="1">
      <c r="A32" s="41"/>
      <c r="B32" s="42"/>
      <c r="C32" s="424"/>
      <c r="D32" s="42"/>
      <c r="E32" s="43"/>
      <c r="F32" s="43"/>
      <c r="G32" s="467"/>
      <c r="H32" s="45"/>
      <c r="I32" s="46"/>
      <c r="J32" s="84"/>
      <c r="K32" s="84"/>
      <c r="L32" s="36"/>
      <c r="M32" s="36"/>
      <c r="N32" s="47"/>
      <c r="O32" s="48"/>
      <c r="P32" s="49"/>
      <c r="Q32" s="48"/>
      <c r="R32" s="394"/>
      <c r="S32" s="394"/>
      <c r="T32" s="38"/>
      <c r="U32" s="38"/>
      <c r="V32" s="38"/>
      <c r="W32" s="38"/>
      <c r="X32" s="391"/>
      <c r="Y32" s="38"/>
      <c r="Z32" s="38"/>
      <c r="AA32" s="50"/>
      <c r="AB32" s="50"/>
      <c r="AC32" s="38"/>
      <c r="AD32" s="38"/>
      <c r="AE32" s="228"/>
      <c r="AF32" s="34"/>
      <c r="AG32" s="34"/>
      <c r="AH32" s="34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4"/>
      <c r="BC32" s="54"/>
      <c r="BD32" s="54"/>
      <c r="BE32" s="34"/>
      <c r="BF32" s="54"/>
    </row>
    <row r="33" spans="1:58" ht="12.75" customHeight="1">
      <c r="A33" s="41">
        <v>45998</v>
      </c>
      <c r="B33" s="42" t="s">
        <v>417</v>
      </c>
      <c r="C33" s="424">
        <f>(M33*E33*O33*Q33)/100000000</f>
        <v>51.480575999999999</v>
      </c>
      <c r="D33" s="42" t="s">
        <v>285</v>
      </c>
      <c r="E33" s="43">
        <v>12</v>
      </c>
      <c r="F33" s="43">
        <v>1</v>
      </c>
      <c r="G33" s="44">
        <v>1400</v>
      </c>
      <c r="H33" s="484">
        <f>+N33</f>
        <v>0.24</v>
      </c>
      <c r="I33" s="46">
        <v>0.88</v>
      </c>
      <c r="J33" s="84">
        <f>E33*G33*(1-H33)*1440/1000000*2.87</f>
        <v>52.767590399999996</v>
      </c>
      <c r="K33" s="84">
        <f>(IF(G33&lt;L33,L33,G33)*(1-IF(H33&lt;N33,H33,N33))*E33*O33*Q33)/100000000</f>
        <v>51.480575999999999</v>
      </c>
      <c r="L33" s="36">
        <v>1400</v>
      </c>
      <c r="M33" s="36">
        <f>+L33-L33*0.24</f>
        <v>1064</v>
      </c>
      <c r="N33" s="47">
        <f>1-(M33/L33)</f>
        <v>0.24</v>
      </c>
      <c r="O33" s="48">
        <f>+'Trim Rwd'!H25</f>
        <v>280</v>
      </c>
      <c r="P33" s="49">
        <f>O33*(Q33-R33-S33)</f>
        <v>394240</v>
      </c>
      <c r="Q33" s="48">
        <v>1440</v>
      </c>
      <c r="R33" s="394">
        <v>0</v>
      </c>
      <c r="S33" s="394">
        <v>32</v>
      </c>
      <c r="T33" s="38">
        <f>E33*M33*O33*Q33/100000000</f>
        <v>51.480575999999999</v>
      </c>
      <c r="U33" s="38">
        <f>E33*M33*O33*(Q33-R33-S33)/100000000</f>
        <v>50.336563200000001</v>
      </c>
      <c r="V33" s="38">
        <f>E33*G33*(1-N33)*O33/100*(R33+S33)/1000000</f>
        <v>1.1440128000000001</v>
      </c>
      <c r="W33" s="38">
        <f>+'7'!K34/1000</f>
        <v>44.481000000000002</v>
      </c>
      <c r="X33" s="391">
        <f>SUM(W33:W36)/SUM(K33:K36)</f>
        <v>0.86403462152404831</v>
      </c>
      <c r="Y33" s="38">
        <v>0</v>
      </c>
      <c r="Z33" s="38">
        <v>0</v>
      </c>
      <c r="AA33" s="50">
        <f>SUM(U33:U36)-SUM(W33:W36)-SUM(Z33:Z36)-SUM(Y33:Y36)</f>
        <v>5.8555631999999989</v>
      </c>
      <c r="AB33" s="50">
        <f>(SUM(K33:K36)-SUM(W33:W36)-SUM(Y33:Y36)-SUM(Z33:Z36)-SUM(AC33:AC36)-SUM(V33:V36))-AA33</f>
        <v>0</v>
      </c>
      <c r="AC33" s="38">
        <f>K33-T33</f>
        <v>0</v>
      </c>
      <c r="AD33" s="38">
        <f>+AM33+BA33</f>
        <v>5</v>
      </c>
      <c r="AE33" s="228" t="s">
        <v>448</v>
      </c>
      <c r="AF33" s="38">
        <v>5</v>
      </c>
      <c r="AG33" s="38"/>
      <c r="AH33" s="38"/>
      <c r="AI33" s="469"/>
      <c r="AJ33" s="38"/>
      <c r="AK33" s="38"/>
      <c r="AL33" s="38"/>
      <c r="AM33" s="38">
        <f>SUM(AF33:AL33)+AT33+AV33+AX33</f>
        <v>5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1</v>
      </c>
      <c r="BC33" s="52"/>
      <c r="BD33" s="52"/>
      <c r="BE33" s="34"/>
      <c r="BF33" s="52"/>
    </row>
    <row r="34" spans="1:58" ht="12.95" customHeight="1">
      <c r="A34" s="41"/>
      <c r="B34" s="42"/>
      <c r="C34" s="424"/>
      <c r="D34" s="42"/>
      <c r="E34" s="43"/>
      <c r="F34" s="43"/>
      <c r="G34" s="44"/>
      <c r="H34" s="45"/>
      <c r="I34" s="46"/>
      <c r="J34" s="84"/>
      <c r="K34" s="84"/>
      <c r="L34" s="36"/>
      <c r="M34" s="36"/>
      <c r="N34" s="47"/>
      <c r="O34" s="48"/>
      <c r="P34" s="49"/>
      <c r="Q34" s="48"/>
      <c r="R34" s="394"/>
      <c r="S34" s="394"/>
      <c r="T34" s="38"/>
      <c r="U34" s="38"/>
      <c r="V34" s="38"/>
      <c r="W34" s="38"/>
      <c r="X34" s="39"/>
      <c r="Y34" s="211"/>
      <c r="Z34" s="38"/>
      <c r="AA34" s="38"/>
      <c r="AB34" s="38"/>
      <c r="AC34" s="38"/>
      <c r="AD34" s="38">
        <f>+AM34+BA34</f>
        <v>5</v>
      </c>
      <c r="AE34" s="228" t="s">
        <v>478</v>
      </c>
      <c r="AF34" s="38"/>
      <c r="AG34" s="38">
        <v>5</v>
      </c>
      <c r="AH34" s="38"/>
      <c r="AI34" s="469"/>
      <c r="AJ34" s="38"/>
      <c r="AK34" s="38"/>
      <c r="AL34" s="38"/>
      <c r="AM34" s="38">
        <f>SUM(AF34:AL34)+AT34+AV34+AX34</f>
        <v>5</v>
      </c>
      <c r="AN34" s="85"/>
      <c r="AO34" s="38"/>
      <c r="AP34" s="38"/>
      <c r="AQ34" s="38"/>
      <c r="AR34" s="38">
        <f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2</v>
      </c>
      <c r="BD34" s="52"/>
      <c r="BE34" s="51"/>
      <c r="BF34" s="52"/>
    </row>
    <row r="35" spans="1:58" ht="12.95" customHeight="1">
      <c r="A35" s="41"/>
      <c r="B35" s="42"/>
      <c r="C35" s="424"/>
      <c r="D35" s="42"/>
      <c r="E35" s="43"/>
      <c r="F35" s="43"/>
      <c r="G35" s="44"/>
      <c r="H35" s="45"/>
      <c r="I35" s="46"/>
      <c r="J35" s="84"/>
      <c r="K35" s="84"/>
      <c r="L35" s="36"/>
      <c r="M35" s="36"/>
      <c r="N35" s="47"/>
      <c r="O35" s="48"/>
      <c r="P35" s="49"/>
      <c r="Q35" s="48"/>
      <c r="R35" s="394"/>
      <c r="S35" s="394"/>
      <c r="T35" s="38"/>
      <c r="U35" s="38"/>
      <c r="V35" s="38"/>
      <c r="W35" s="38"/>
      <c r="X35" s="39"/>
      <c r="Y35" s="211"/>
      <c r="Z35" s="38"/>
      <c r="AA35" s="38"/>
      <c r="AB35" s="38"/>
      <c r="AC35" s="38"/>
      <c r="AD35" s="38">
        <f>+AM35+BA35</f>
        <v>22</v>
      </c>
      <c r="AE35" s="228" t="s">
        <v>514</v>
      </c>
      <c r="AF35" s="34"/>
      <c r="AG35" s="34"/>
      <c r="AH35" s="34">
        <v>22</v>
      </c>
      <c r="AI35" s="469"/>
      <c r="AJ35" s="38"/>
      <c r="AK35" s="38"/>
      <c r="AL35" s="38"/>
      <c r="AM35" s="38">
        <f>SUM(AF35:AL35)+AT35+AV35+AX35</f>
        <v>22</v>
      </c>
      <c r="AN35" s="38"/>
      <c r="AO35" s="38"/>
      <c r="AP35" s="38"/>
      <c r="AQ35" s="38"/>
      <c r="AR35" s="38">
        <f>SUM(AN35:AQ35)</f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54"/>
      <c r="BD35" s="54"/>
      <c r="BE35" s="34"/>
      <c r="BF35" s="54"/>
    </row>
    <row r="36" spans="1:58" ht="12.95" customHeight="1">
      <c r="A36" s="41"/>
      <c r="B36" s="42"/>
      <c r="C36" s="424"/>
      <c r="D36" s="42"/>
      <c r="E36" s="43"/>
      <c r="F36" s="43"/>
      <c r="G36" s="44"/>
      <c r="H36" s="45"/>
      <c r="I36" s="46"/>
      <c r="J36" s="84"/>
      <c r="K36" s="84"/>
      <c r="L36" s="36"/>
      <c r="M36" s="36"/>
      <c r="N36" s="47"/>
      <c r="O36" s="48"/>
      <c r="P36" s="49"/>
      <c r="Q36" s="48"/>
      <c r="R36" s="394"/>
      <c r="S36" s="394"/>
      <c r="T36" s="38"/>
      <c r="U36" s="38"/>
      <c r="V36" s="38"/>
      <c r="W36" s="38"/>
      <c r="X36" s="39"/>
      <c r="Y36" s="211"/>
      <c r="Z36" s="38"/>
      <c r="AA36" s="38"/>
      <c r="AB36" s="38"/>
      <c r="AC36" s="38"/>
      <c r="AD36" s="38"/>
      <c r="AE36" s="228"/>
      <c r="AF36" s="34"/>
      <c r="AG36" s="34"/>
      <c r="AH36" s="34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4"/>
      <c r="BC36" s="54"/>
      <c r="BD36" s="54"/>
      <c r="BE36" s="34"/>
      <c r="BF36" s="54"/>
    </row>
    <row r="37" spans="1:58" ht="12.75" customHeight="1">
      <c r="A37" s="41">
        <v>45999</v>
      </c>
      <c r="B37" s="42" t="s">
        <v>417</v>
      </c>
      <c r="C37" s="424">
        <f>(M37*E37*O37*Q37)/100000000</f>
        <v>51.480575999999999</v>
      </c>
      <c r="D37" s="42" t="s">
        <v>285</v>
      </c>
      <c r="E37" s="43">
        <v>12</v>
      </c>
      <c r="F37" s="43">
        <v>1</v>
      </c>
      <c r="G37" s="44">
        <v>1400</v>
      </c>
      <c r="H37" s="484">
        <f>+N37</f>
        <v>0.24</v>
      </c>
      <c r="I37" s="46">
        <v>0.88</v>
      </c>
      <c r="J37" s="84">
        <f>E37*G37*(1-H37)*1440/1000000*2.87</f>
        <v>52.767590399999996</v>
      </c>
      <c r="K37" s="84">
        <f>(IF(G37&lt;L37,L37,G37)*(1-IF(H37&lt;N37,H37,N37))*E37*O37*Q37)/100000000</f>
        <v>51.480575999999999</v>
      </c>
      <c r="L37" s="36">
        <v>1400</v>
      </c>
      <c r="M37" s="36">
        <f>+L37-L37*0.24</f>
        <v>1064</v>
      </c>
      <c r="N37" s="47">
        <f>1-(M37/L37)</f>
        <v>0.24</v>
      </c>
      <c r="O37" s="48">
        <f>+'Trim Rwd'!H27</f>
        <v>280</v>
      </c>
      <c r="P37" s="49">
        <f>O37*(Q37-R37-S37)</f>
        <v>394800</v>
      </c>
      <c r="Q37" s="48">
        <v>1440</v>
      </c>
      <c r="R37" s="394">
        <v>0</v>
      </c>
      <c r="S37" s="394">
        <v>30</v>
      </c>
      <c r="T37" s="38">
        <f>E37*M37*O37*Q37/100000000</f>
        <v>51.480575999999999</v>
      </c>
      <c r="U37" s="38">
        <f>E37*M37*O37*(Q37-R37-S37)/100000000</f>
        <v>50.408064000000003</v>
      </c>
      <c r="V37" s="38">
        <f>E37*G37*(1-N37)*O37/100*(R37+S37)/1000000</f>
        <v>1.0725119999999999</v>
      </c>
      <c r="W37" s="38">
        <f>+'8'!K34/1000</f>
        <v>54.173999999999999</v>
      </c>
      <c r="X37" s="391">
        <f>SUM(W37:W40)/SUM(K37:K40)</f>
        <v>1.0523192281298483</v>
      </c>
      <c r="Y37" s="38">
        <v>0</v>
      </c>
      <c r="Z37" s="38">
        <v>0</v>
      </c>
      <c r="AA37" s="50">
        <f>SUM(U37:U40)-SUM(W37:W40)-SUM(Z37:Z40)-SUM(Y37:Y40)</f>
        <v>-3.7659359999999964</v>
      </c>
      <c r="AB37" s="50">
        <f>(SUM(K37:K40)-SUM(W37:W40)-SUM(Y37:Y40)-SUM(Z37:Z40)-SUM(AC37:AC40)-SUM(V37:V40))-AA37</f>
        <v>-3.5527136788005009E-15</v>
      </c>
      <c r="AC37" s="38">
        <f>K37-T37</f>
        <v>0</v>
      </c>
      <c r="AD37" s="38">
        <f>+AM37+BA37</f>
        <v>0</v>
      </c>
      <c r="AE37" s="228" t="s">
        <v>392</v>
      </c>
      <c r="AF37" s="38">
        <v>0</v>
      </c>
      <c r="AG37" s="38"/>
      <c r="AH37" s="38"/>
      <c r="AI37" s="469"/>
      <c r="AJ37" s="38"/>
      <c r="AK37" s="38"/>
      <c r="AL37" s="38"/>
      <c r="AM37" s="38">
        <f>SUM(AF37:AL37)+AT37+AV37+AX37</f>
        <v>0</v>
      </c>
      <c r="AN37" s="38"/>
      <c r="AO37" s="38"/>
      <c r="AP37" s="38"/>
      <c r="AQ37" s="38"/>
      <c r="AR37" s="38">
        <f>SUM(AN37:AQ37)</f>
        <v>0</v>
      </c>
      <c r="AS37" s="38"/>
      <c r="AT37" s="38"/>
      <c r="AU37" s="38"/>
      <c r="AV37" s="38"/>
      <c r="AW37" s="38"/>
      <c r="AX37" s="38"/>
      <c r="AY37" s="38"/>
      <c r="AZ37" s="38"/>
      <c r="BA37" s="38">
        <f>+AR37+AS37+AU37+AW37+AY37+AZ37</f>
        <v>0</v>
      </c>
      <c r="BB37" s="34">
        <v>1</v>
      </c>
      <c r="BC37" s="52"/>
      <c r="BD37" s="52"/>
      <c r="BE37" s="34"/>
      <c r="BF37" s="52"/>
    </row>
    <row r="38" spans="1:58" ht="12.95" customHeight="1">
      <c r="A38" s="41"/>
      <c r="B38" s="42"/>
      <c r="C38" s="424"/>
      <c r="D38" s="42"/>
      <c r="E38" s="43"/>
      <c r="F38" s="43"/>
      <c r="G38" s="44"/>
      <c r="H38" s="45"/>
      <c r="I38" s="46"/>
      <c r="J38" s="84"/>
      <c r="K38" s="84"/>
      <c r="L38" s="36"/>
      <c r="M38" s="36"/>
      <c r="N38" s="47"/>
      <c r="O38" s="48"/>
      <c r="P38" s="49"/>
      <c r="Q38" s="48"/>
      <c r="R38" s="394"/>
      <c r="S38" s="394"/>
      <c r="T38" s="38"/>
      <c r="U38" s="38"/>
      <c r="V38" s="38"/>
      <c r="W38" s="38"/>
      <c r="X38" s="39"/>
      <c r="Y38" s="211"/>
      <c r="Z38" s="38"/>
      <c r="AA38" s="38"/>
      <c r="AB38" s="38"/>
      <c r="AC38" s="38"/>
      <c r="AD38" s="38">
        <f>+AM38+BA38</f>
        <v>2</v>
      </c>
      <c r="AE38" s="228" t="s">
        <v>446</v>
      </c>
      <c r="AF38" s="38"/>
      <c r="AG38" s="38">
        <v>2</v>
      </c>
      <c r="AH38" s="38"/>
      <c r="AI38" s="469"/>
      <c r="AJ38" s="38"/>
      <c r="AK38" s="38"/>
      <c r="AL38" s="38"/>
      <c r="AM38" s="38">
        <f>SUM(AF38:AL38)+AT38+AV38+AX38</f>
        <v>2</v>
      </c>
      <c r="AN38" s="85"/>
      <c r="AO38" s="38"/>
      <c r="AP38" s="38"/>
      <c r="AQ38" s="38"/>
      <c r="AR38" s="38">
        <f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51"/>
      <c r="BC38" s="52">
        <v>1</v>
      </c>
      <c r="BD38" s="52"/>
      <c r="BE38" s="51"/>
      <c r="BF38" s="52"/>
    </row>
    <row r="39" spans="1:58" ht="12.95" customHeight="1">
      <c r="A39" s="41"/>
      <c r="B39" s="42"/>
      <c r="C39" s="424"/>
      <c r="D39" s="42"/>
      <c r="E39" s="43"/>
      <c r="F39" s="43"/>
      <c r="G39" s="44"/>
      <c r="H39" s="45"/>
      <c r="I39" s="46"/>
      <c r="J39" s="84"/>
      <c r="K39" s="84"/>
      <c r="L39" s="36"/>
      <c r="M39" s="36"/>
      <c r="N39" s="47"/>
      <c r="O39" s="48"/>
      <c r="P39" s="49"/>
      <c r="Q39" s="48"/>
      <c r="R39" s="394"/>
      <c r="S39" s="394"/>
      <c r="T39" s="38"/>
      <c r="U39" s="38"/>
      <c r="V39" s="38"/>
      <c r="W39" s="38"/>
      <c r="X39" s="39"/>
      <c r="Y39" s="211"/>
      <c r="Z39" s="38"/>
      <c r="AA39" s="38"/>
      <c r="AB39" s="38"/>
      <c r="AC39" s="38"/>
      <c r="AD39" s="38">
        <f>+AM39+BA39</f>
        <v>28</v>
      </c>
      <c r="AE39" s="228" t="s">
        <v>420</v>
      </c>
      <c r="AF39" s="34"/>
      <c r="AG39" s="34"/>
      <c r="AH39" s="34">
        <v>28</v>
      </c>
      <c r="AI39" s="469"/>
      <c r="AJ39" s="38"/>
      <c r="AK39" s="38"/>
      <c r="AL39" s="38"/>
      <c r="AM39" s="38">
        <f>SUM(AF39:AL39)+AT39+AV39+AX39</f>
        <v>28</v>
      </c>
      <c r="AN39" s="38"/>
      <c r="AO39" s="38"/>
      <c r="AP39" s="38"/>
      <c r="AQ39" s="38"/>
      <c r="AR39" s="38">
        <f>SUM(AN39:AQ39)</f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34"/>
      <c r="BC39" s="54"/>
      <c r="BD39" s="54"/>
      <c r="BE39" s="34"/>
      <c r="BF39" s="54"/>
    </row>
    <row r="40" spans="1:58" ht="12.95" customHeight="1">
      <c r="A40" s="41"/>
      <c r="B40" s="42"/>
      <c r="C40" s="424"/>
      <c r="D40" s="42"/>
      <c r="E40" s="43"/>
      <c r="F40" s="43"/>
      <c r="G40" s="44"/>
      <c r="H40" s="45"/>
      <c r="I40" s="46"/>
      <c r="J40" s="84"/>
      <c r="K40" s="84"/>
      <c r="L40" s="36"/>
      <c r="M40" s="36"/>
      <c r="N40" s="47"/>
      <c r="O40" s="48"/>
      <c r="P40" s="49"/>
      <c r="Q40" s="48"/>
      <c r="R40" s="394"/>
      <c r="S40" s="394"/>
      <c r="T40" s="38"/>
      <c r="U40" s="38"/>
      <c r="V40" s="38"/>
      <c r="W40" s="38"/>
      <c r="X40" s="39"/>
      <c r="Y40" s="211"/>
      <c r="Z40" s="38"/>
      <c r="AA40" s="38"/>
      <c r="AB40" s="38"/>
      <c r="AC40" s="38"/>
      <c r="AD40" s="38"/>
      <c r="AE40" s="228"/>
      <c r="AF40" s="34"/>
      <c r="AG40" s="34"/>
      <c r="AH40" s="34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4"/>
      <c r="BC40" s="54"/>
      <c r="BD40" s="54"/>
      <c r="BE40" s="34"/>
      <c r="BF40" s="54"/>
    </row>
    <row r="41" spans="1:58" ht="12.75" customHeight="1">
      <c r="A41" s="41">
        <v>46000</v>
      </c>
      <c r="B41" s="42" t="s">
        <v>417</v>
      </c>
      <c r="C41" s="424">
        <f>(M41*E41*O41*Q41)/100000000</f>
        <v>51.480575999999999</v>
      </c>
      <c r="D41" s="42" t="s">
        <v>285</v>
      </c>
      <c r="E41" s="43">
        <v>12</v>
      </c>
      <c r="F41" s="43">
        <v>1</v>
      </c>
      <c r="G41" s="44">
        <v>1400</v>
      </c>
      <c r="H41" s="484">
        <f>+N41</f>
        <v>0.24</v>
      </c>
      <c r="I41" s="46">
        <v>0.88</v>
      </c>
      <c r="J41" s="84">
        <f>E41*G41*(1-H41)*1440/1000000*2.87</f>
        <v>52.767590399999996</v>
      </c>
      <c r="K41" s="84">
        <f>(IF(G41&lt;L41,L41,G41)*(1-IF(H41&lt;N41,H41,N41))*E41*O41*Q41)/100000000</f>
        <v>51.480575999999999</v>
      </c>
      <c r="L41" s="36">
        <v>1400</v>
      </c>
      <c r="M41" s="36">
        <f>+L41-L41*0.24</f>
        <v>1064</v>
      </c>
      <c r="N41" s="47">
        <f>1-(M41/L41)</f>
        <v>0.24</v>
      </c>
      <c r="O41" s="48">
        <f>+'Trim Rwd'!H29</f>
        <v>280</v>
      </c>
      <c r="P41" s="49">
        <f>O41*(Q41-R41-S41)</f>
        <v>393960</v>
      </c>
      <c r="Q41" s="48">
        <v>1440</v>
      </c>
      <c r="R41" s="394">
        <v>0</v>
      </c>
      <c r="S41" s="394">
        <v>33</v>
      </c>
      <c r="T41" s="38">
        <f>E41*M41*O41*Q41/100000000</f>
        <v>51.480575999999999</v>
      </c>
      <c r="U41" s="38">
        <f>E41*M41*O41*(Q41-R41-S41)/100000000</f>
        <v>50.300812800000003</v>
      </c>
      <c r="V41" s="38">
        <f>E41*G41*(1-N41)*O41/100*(R41+S41)/1000000</f>
        <v>1.1797632</v>
      </c>
      <c r="W41" s="38">
        <f>+'9'!K34/1000</f>
        <v>49.234000000000002</v>
      </c>
      <c r="X41" s="391">
        <f>SUM(W41:W44)/SUM(K41:K44)</f>
        <v>0.95636070583204047</v>
      </c>
      <c r="Y41" s="38">
        <v>0</v>
      </c>
      <c r="Z41" s="38">
        <v>0</v>
      </c>
      <c r="AA41" s="50">
        <f>SUM(U41:U44)-SUM(W41:W44)-SUM(Z41:Z44)-SUM(Y41:Y44)</f>
        <v>1.066812800000001</v>
      </c>
      <c r="AB41" s="50">
        <f>(SUM(K41:K44)-SUM(W41:W44)-SUM(Y41:Y44)-SUM(Z41:Z44)-SUM(AC41:AC44)-SUM(V41:V44))-AA41</f>
        <v>-3.5527136788005009E-15</v>
      </c>
      <c r="AC41" s="38">
        <f>K41-T41</f>
        <v>0</v>
      </c>
      <c r="AD41" s="38">
        <f>+AM41+BA41</f>
        <v>0</v>
      </c>
      <c r="AE41" s="228" t="s">
        <v>392</v>
      </c>
      <c r="AF41" s="38">
        <v>0</v>
      </c>
      <c r="AG41" s="38"/>
      <c r="AH41" s="38"/>
      <c r="AI41" s="469"/>
      <c r="AJ41" s="38"/>
      <c r="AK41" s="38"/>
      <c r="AL41" s="38"/>
      <c r="AM41" s="38">
        <f>SUM(AF41:AL41)+AT41+AV41+AX41</f>
        <v>0</v>
      </c>
      <c r="AN41" s="38"/>
      <c r="AO41" s="38"/>
      <c r="AP41" s="38"/>
      <c r="AQ41" s="38"/>
      <c r="AR41" s="38">
        <f>SUM(AN41:AQ41)</f>
        <v>0</v>
      </c>
      <c r="AS41" s="38"/>
      <c r="AT41" s="38"/>
      <c r="AU41" s="38"/>
      <c r="AV41" s="38"/>
      <c r="AW41" s="38"/>
      <c r="AX41" s="38"/>
      <c r="AY41" s="38"/>
      <c r="AZ41" s="38"/>
      <c r="BA41" s="38">
        <f>+AR41+AS41+AU41+AW41+AY41+AZ41</f>
        <v>0</v>
      </c>
      <c r="BB41" s="34">
        <v>0</v>
      </c>
      <c r="BC41" s="52"/>
      <c r="BD41" s="52"/>
      <c r="BE41" s="34"/>
      <c r="BF41" s="52"/>
    </row>
    <row r="42" spans="1:58" ht="12.95" customHeight="1">
      <c r="A42" s="41"/>
      <c r="B42" s="42"/>
      <c r="C42" s="424"/>
      <c r="D42" s="42"/>
      <c r="E42" s="43"/>
      <c r="F42" s="43"/>
      <c r="G42" s="44"/>
      <c r="H42" s="45"/>
      <c r="I42" s="46"/>
      <c r="J42" s="84"/>
      <c r="K42" s="84"/>
      <c r="L42" s="36"/>
      <c r="M42" s="36"/>
      <c r="N42" s="47"/>
      <c r="O42" s="48"/>
      <c r="P42" s="49"/>
      <c r="Q42" s="48"/>
      <c r="R42" s="394"/>
      <c r="S42" s="394"/>
      <c r="T42" s="38"/>
      <c r="U42" s="38"/>
      <c r="V42" s="38"/>
      <c r="W42" s="38"/>
      <c r="X42" s="39"/>
      <c r="Y42" s="211"/>
      <c r="Z42" s="38"/>
      <c r="AA42" s="38"/>
      <c r="AB42" s="38"/>
      <c r="AC42" s="38"/>
      <c r="AD42" s="38">
        <f>+AM42+BA42</f>
        <v>2</v>
      </c>
      <c r="AE42" s="228" t="s">
        <v>478</v>
      </c>
      <c r="AF42" s="38"/>
      <c r="AG42" s="38">
        <v>2</v>
      </c>
      <c r="AH42" s="38"/>
      <c r="AI42" s="469"/>
      <c r="AJ42" s="38"/>
      <c r="AK42" s="38"/>
      <c r="AL42" s="38"/>
      <c r="AM42" s="38">
        <f>SUM(AF42:AL42)+AT42+AV42+AX42</f>
        <v>2</v>
      </c>
      <c r="AN42" s="85"/>
      <c r="AO42" s="38"/>
      <c r="AP42" s="38"/>
      <c r="AQ42" s="38"/>
      <c r="AR42" s="38">
        <f>SUM(AN42:AQ42)</f>
        <v>0</v>
      </c>
      <c r="AS42" s="38"/>
      <c r="AT42" s="38"/>
      <c r="AU42" s="38"/>
      <c r="AV42" s="38"/>
      <c r="AW42" s="38"/>
      <c r="AX42" s="38"/>
      <c r="AY42" s="38"/>
      <c r="AZ42" s="38"/>
      <c r="BA42" s="38">
        <f>+AR42+AS42+AU42+AW42+AY42+AZ42</f>
        <v>0</v>
      </c>
      <c r="BB42" s="51"/>
      <c r="BC42" s="52">
        <v>2</v>
      </c>
      <c r="BD42" s="52"/>
      <c r="BE42" s="51"/>
      <c r="BF42" s="52"/>
    </row>
    <row r="43" spans="1:58" ht="12.95" customHeight="1">
      <c r="A43" s="41"/>
      <c r="B43" s="42"/>
      <c r="C43" s="424"/>
      <c r="D43" s="42"/>
      <c r="E43" s="43"/>
      <c r="F43" s="43"/>
      <c r="G43" s="44"/>
      <c r="H43" s="45"/>
      <c r="I43" s="46"/>
      <c r="J43" s="84"/>
      <c r="K43" s="84"/>
      <c r="L43" s="36"/>
      <c r="M43" s="36"/>
      <c r="N43" s="47"/>
      <c r="O43" s="48"/>
      <c r="P43" s="49"/>
      <c r="Q43" s="48"/>
      <c r="R43" s="394"/>
      <c r="S43" s="394"/>
      <c r="T43" s="38"/>
      <c r="U43" s="38"/>
      <c r="V43" s="38"/>
      <c r="W43" s="38"/>
      <c r="X43" s="39"/>
      <c r="Y43" s="211"/>
      <c r="Z43" s="38"/>
      <c r="AA43" s="38"/>
      <c r="AB43" s="38"/>
      <c r="AC43" s="38"/>
      <c r="AD43" s="38">
        <f>+AM43+BA43</f>
        <v>31</v>
      </c>
      <c r="AE43" s="228" t="s">
        <v>458</v>
      </c>
      <c r="AF43" s="34"/>
      <c r="AG43" s="34"/>
      <c r="AH43" s="34">
        <v>31</v>
      </c>
      <c r="AI43" s="469"/>
      <c r="AJ43" s="38"/>
      <c r="AK43" s="38"/>
      <c r="AL43" s="38"/>
      <c r="AM43" s="38">
        <f>SUM(AF43:AL43)+AT43+AV43+AX43</f>
        <v>31</v>
      </c>
      <c r="AN43" s="38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34"/>
      <c r="BC43" s="54"/>
      <c r="BD43" s="54"/>
      <c r="BE43" s="34"/>
      <c r="BF43" s="54"/>
    </row>
    <row r="44" spans="1:58" ht="12.95" customHeight="1">
      <c r="A44" s="41"/>
      <c r="B44" s="42"/>
      <c r="C44" s="424"/>
      <c r="D44" s="42"/>
      <c r="E44" s="43"/>
      <c r="F44" s="43"/>
      <c r="G44" s="44"/>
      <c r="H44" s="45"/>
      <c r="I44" s="46"/>
      <c r="J44" s="84"/>
      <c r="K44" s="84"/>
      <c r="L44" s="36"/>
      <c r="M44" s="36"/>
      <c r="N44" s="47"/>
      <c r="O44" s="48"/>
      <c r="P44" s="49"/>
      <c r="Q44" s="48"/>
      <c r="R44" s="394"/>
      <c r="S44" s="394"/>
      <c r="T44" s="38"/>
      <c r="U44" s="38"/>
      <c r="V44" s="38"/>
      <c r="W44" s="38"/>
      <c r="X44" s="39"/>
      <c r="Y44" s="211"/>
      <c r="Z44" s="38"/>
      <c r="AA44" s="38"/>
      <c r="AB44" s="38"/>
      <c r="AC44" s="38"/>
      <c r="AD44" s="38"/>
      <c r="AE44" s="228"/>
      <c r="AF44" s="34"/>
      <c r="AG44" s="34"/>
      <c r="AH44" s="34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4"/>
      <c r="BC44" s="54"/>
      <c r="BD44" s="54"/>
      <c r="BE44" s="34"/>
      <c r="BF44" s="54"/>
    </row>
    <row r="45" spans="1:58" ht="12.75" customHeight="1">
      <c r="A45" s="41">
        <v>46001</v>
      </c>
      <c r="B45" s="42" t="s">
        <v>417</v>
      </c>
      <c r="C45" s="424">
        <f>(M45*E45*O45*Q45)/100000000</f>
        <v>51.480575999999999</v>
      </c>
      <c r="D45" s="42" t="s">
        <v>285</v>
      </c>
      <c r="E45" s="43">
        <v>12</v>
      </c>
      <c r="F45" s="43">
        <v>1</v>
      </c>
      <c r="G45" s="44">
        <v>1400</v>
      </c>
      <c r="H45" s="484">
        <f>+N45</f>
        <v>0.24</v>
      </c>
      <c r="I45" s="46">
        <v>0.88</v>
      </c>
      <c r="J45" s="84">
        <f>E45*G45*(1-H45)*1440/1000000*2.87</f>
        <v>52.767590399999996</v>
      </c>
      <c r="K45" s="84">
        <f>(IF(G45&lt;L45,L45,G45)*(1-IF(H45&lt;N45,H45,N45))*E45*O45*Q45)/100000000</f>
        <v>51.480575999999999</v>
      </c>
      <c r="L45" s="36">
        <v>1400</v>
      </c>
      <c r="M45" s="36">
        <f>+L45-L45*0.24</f>
        <v>1064</v>
      </c>
      <c r="N45" s="47">
        <f>1-(M45/L45)</f>
        <v>0.24</v>
      </c>
      <c r="O45" s="48">
        <f>+'Trim Rwd'!H31</f>
        <v>280</v>
      </c>
      <c r="P45" s="49">
        <f>O45*(Q45-R45-S45)</f>
        <v>392840</v>
      </c>
      <c r="Q45" s="48">
        <v>1440</v>
      </c>
      <c r="R45" s="394">
        <v>0</v>
      </c>
      <c r="S45" s="394">
        <v>37</v>
      </c>
      <c r="T45" s="38">
        <f>E45*M45*O45*Q45/100000000</f>
        <v>51.480575999999999</v>
      </c>
      <c r="U45" s="38">
        <f>E45*M45*O45*(Q45-R45-S45)/100000000</f>
        <v>50.157811199999998</v>
      </c>
      <c r="V45" s="38">
        <f>E45*G45*(1-N45)*O45/100*(R45+S45)/1000000</f>
        <v>1.3227648000000001</v>
      </c>
      <c r="W45" s="38">
        <f>+'10'!K34/1000</f>
        <v>49.491</v>
      </c>
      <c r="X45" s="391">
        <f>SUM(W45:W48)/SUM(K45:K48)</f>
        <v>0.96135287996777663</v>
      </c>
      <c r="Y45" s="38">
        <v>0</v>
      </c>
      <c r="Z45" s="38">
        <v>0</v>
      </c>
      <c r="AA45" s="50">
        <f>SUM(U45:U48)-SUM(W45:W48)-SUM(Z45:Z48)-SUM(Y45:Y48)</f>
        <v>0.66681119999999794</v>
      </c>
      <c r="AB45" s="50">
        <f>(SUM(K45:K48)-SUM(W45:W48)-SUM(Y45:Y48)-SUM(Z45:Z48)-SUM(AC45:AC48)-SUM(V45:V48))-AA45</f>
        <v>1.5543122344752192E-15</v>
      </c>
      <c r="AC45" s="38">
        <f>K45-T45</f>
        <v>0</v>
      </c>
      <c r="AD45" s="38">
        <f>+AM45+BA45</f>
        <v>0</v>
      </c>
      <c r="AE45" s="228" t="s">
        <v>392</v>
      </c>
      <c r="AF45" s="38">
        <v>0</v>
      </c>
      <c r="AG45" s="38"/>
      <c r="AH45" s="38"/>
      <c r="AI45" s="469"/>
      <c r="AJ45" s="38"/>
      <c r="AK45" s="38"/>
      <c r="AL45" s="38"/>
      <c r="AM45" s="38">
        <f>SUM(AF45:AL45)+AT45+AV45+AX45</f>
        <v>0</v>
      </c>
      <c r="AN45" s="38"/>
      <c r="AO45" s="38"/>
      <c r="AP45" s="38"/>
      <c r="AQ45" s="38"/>
      <c r="AR45" s="38">
        <f>SUM(AN45:AQ45)</f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>+AR45+AS45+AU45+AW45+AY45+AZ45</f>
        <v>0</v>
      </c>
      <c r="BB45" s="34">
        <v>0</v>
      </c>
      <c r="BC45" s="52"/>
      <c r="BD45" s="52"/>
      <c r="BE45" s="34"/>
      <c r="BF45" s="52"/>
    </row>
    <row r="46" spans="1:58" ht="12.95" customHeight="1">
      <c r="A46" s="41"/>
      <c r="B46" s="42"/>
      <c r="C46" s="424"/>
      <c r="D46" s="42"/>
      <c r="E46" s="43"/>
      <c r="F46" s="43"/>
      <c r="G46" s="44"/>
      <c r="H46" s="45"/>
      <c r="I46" s="46"/>
      <c r="J46" s="84"/>
      <c r="K46" s="84"/>
      <c r="L46" s="36"/>
      <c r="M46" s="36"/>
      <c r="N46" s="47"/>
      <c r="O46" s="48"/>
      <c r="P46" s="49"/>
      <c r="Q46" s="48"/>
      <c r="R46" s="394"/>
      <c r="S46" s="394"/>
      <c r="T46" s="38"/>
      <c r="U46" s="38"/>
      <c r="V46" s="38"/>
      <c r="W46" s="38"/>
      <c r="X46" s="39"/>
      <c r="Y46" s="211"/>
      <c r="Z46" s="38"/>
      <c r="AA46" s="38"/>
      <c r="AB46" s="38"/>
      <c r="AC46" s="38"/>
      <c r="AD46" s="38">
        <f>+AM46+BA46</f>
        <v>2</v>
      </c>
      <c r="AE46" s="228" t="s">
        <v>478</v>
      </c>
      <c r="AF46" s="38"/>
      <c r="AG46" s="38">
        <v>2</v>
      </c>
      <c r="AH46" s="38"/>
      <c r="AI46" s="469"/>
      <c r="AJ46" s="38"/>
      <c r="AK46" s="38"/>
      <c r="AL46" s="38"/>
      <c r="AM46" s="38">
        <f>SUM(AF46:AL46)+AT46+AV46+AX46</f>
        <v>2</v>
      </c>
      <c r="AN46" s="85"/>
      <c r="AO46" s="38"/>
      <c r="AP46" s="38"/>
      <c r="AQ46" s="38"/>
      <c r="AR46" s="38">
        <f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51"/>
      <c r="BC46" s="52">
        <v>1</v>
      </c>
      <c r="BD46" s="52"/>
      <c r="BE46" s="51"/>
      <c r="BF46" s="52"/>
    </row>
    <row r="47" spans="1:58" ht="12.95" customHeight="1">
      <c r="A47" s="41"/>
      <c r="B47" s="42"/>
      <c r="C47" s="424"/>
      <c r="D47" s="42"/>
      <c r="E47" s="43"/>
      <c r="F47" s="43"/>
      <c r="G47" s="44"/>
      <c r="H47" s="45"/>
      <c r="I47" s="46"/>
      <c r="J47" s="84"/>
      <c r="K47" s="84"/>
      <c r="L47" s="36"/>
      <c r="M47" s="36"/>
      <c r="N47" s="47"/>
      <c r="O47" s="48"/>
      <c r="P47" s="49"/>
      <c r="Q47" s="48"/>
      <c r="R47" s="394"/>
      <c r="S47" s="394"/>
      <c r="T47" s="38"/>
      <c r="U47" s="38"/>
      <c r="V47" s="38"/>
      <c r="W47" s="38"/>
      <c r="X47" s="39"/>
      <c r="Y47" s="211"/>
      <c r="Z47" s="38"/>
      <c r="AA47" s="38"/>
      <c r="AB47" s="38"/>
      <c r="AC47" s="38"/>
      <c r="AD47" s="38">
        <f>+AM47+BA47</f>
        <v>35</v>
      </c>
      <c r="AE47" s="228" t="s">
        <v>420</v>
      </c>
      <c r="AF47" s="34"/>
      <c r="AG47" s="34"/>
      <c r="AH47" s="34">
        <v>35</v>
      </c>
      <c r="AI47" s="469"/>
      <c r="AJ47" s="38"/>
      <c r="AK47" s="38"/>
      <c r="AL47" s="38"/>
      <c r="AM47" s="38">
        <f>SUM(AF47:AL47)+AT47+AV47+AX47</f>
        <v>35</v>
      </c>
      <c r="AN47" s="38"/>
      <c r="AO47" s="38"/>
      <c r="AP47" s="38"/>
      <c r="AQ47" s="38"/>
      <c r="AR47" s="38">
        <f>SUM(AN47:AQ47)</f>
        <v>0</v>
      </c>
      <c r="AS47" s="38"/>
      <c r="AT47" s="38"/>
      <c r="AU47" s="38"/>
      <c r="AV47" s="38"/>
      <c r="AW47" s="38"/>
      <c r="AX47" s="38"/>
      <c r="AY47" s="38"/>
      <c r="AZ47" s="38"/>
      <c r="BA47" s="38">
        <f>+AR47+AS47+AU47+AW47+AY47+AZ47</f>
        <v>0</v>
      </c>
      <c r="BB47" s="34"/>
      <c r="BC47" s="54"/>
      <c r="BD47" s="54"/>
      <c r="BE47" s="34"/>
      <c r="BF47" s="54"/>
    </row>
    <row r="48" spans="1:58" ht="12.95" customHeight="1">
      <c r="A48" s="41"/>
      <c r="B48" s="42"/>
      <c r="C48" s="424"/>
      <c r="D48" s="42"/>
      <c r="E48" s="43"/>
      <c r="F48" s="43"/>
      <c r="G48" s="44"/>
      <c r="H48" s="45"/>
      <c r="I48" s="46"/>
      <c r="J48" s="84"/>
      <c r="K48" s="84"/>
      <c r="L48" s="36"/>
      <c r="M48" s="36"/>
      <c r="N48" s="47"/>
      <c r="O48" s="48"/>
      <c r="P48" s="49"/>
      <c r="Q48" s="48"/>
      <c r="R48" s="394"/>
      <c r="S48" s="394"/>
      <c r="T48" s="38"/>
      <c r="U48" s="38"/>
      <c r="V48" s="38"/>
      <c r="W48" s="38"/>
      <c r="X48" s="39"/>
      <c r="Y48" s="211"/>
      <c r="Z48" s="38"/>
      <c r="AA48" s="38"/>
      <c r="AB48" s="38"/>
      <c r="AC48" s="38"/>
      <c r="AD48" s="38"/>
      <c r="AE48" s="228"/>
      <c r="AF48" s="34"/>
      <c r="AG48" s="34"/>
      <c r="AH48" s="34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4"/>
      <c r="BC48" s="54"/>
      <c r="BD48" s="54"/>
      <c r="BE48" s="34"/>
      <c r="BF48" s="54"/>
    </row>
    <row r="49" spans="1:58" ht="12.75" customHeight="1">
      <c r="A49" s="41">
        <v>46002</v>
      </c>
      <c r="B49" s="42" t="s">
        <v>417</v>
      </c>
      <c r="C49" s="424">
        <f>(M49*E49*O49*Q49)/100000000</f>
        <v>51.480575999999999</v>
      </c>
      <c r="D49" s="42" t="s">
        <v>285</v>
      </c>
      <c r="E49" s="43">
        <v>12</v>
      </c>
      <c r="F49" s="43">
        <v>1</v>
      </c>
      <c r="G49" s="44">
        <v>1400</v>
      </c>
      <c r="H49" s="484">
        <f>+N49</f>
        <v>0.24</v>
      </c>
      <c r="I49" s="46">
        <v>0.88</v>
      </c>
      <c r="J49" s="84">
        <f>E49*G49*(1-H49)*1440/1000000*2.87</f>
        <v>52.767590399999996</v>
      </c>
      <c r="K49" s="84">
        <f>(IF(G49&lt;L49,L49,G49)*(1-IF(H49&lt;N49,H49,N49))*E49*O49*Q49)/100000000</f>
        <v>51.480575999999999</v>
      </c>
      <c r="L49" s="36">
        <v>1400</v>
      </c>
      <c r="M49" s="36">
        <v>1064</v>
      </c>
      <c r="N49" s="47">
        <f>1-(M49/L49)</f>
        <v>0.24</v>
      </c>
      <c r="O49" s="48">
        <f>+'Trim Rwd'!H33</f>
        <v>280</v>
      </c>
      <c r="P49" s="49">
        <f>O49*(Q49-R49-S49)</f>
        <v>390600</v>
      </c>
      <c r="Q49" s="48">
        <v>1440</v>
      </c>
      <c r="R49" s="394">
        <v>0</v>
      </c>
      <c r="S49" s="394">
        <v>45</v>
      </c>
      <c r="T49" s="38">
        <f>E49*M49*O49*Q49/100000000</f>
        <v>51.480575999999999</v>
      </c>
      <c r="U49" s="38">
        <f>E49*M49*O49*(Q49-R49-S49)/100000000</f>
        <v>49.871808000000001</v>
      </c>
      <c r="V49" s="38">
        <f>E49*G49*(1-N49)*O49/100*(R49+S49)/1000000</f>
        <v>1.608768</v>
      </c>
      <c r="W49" s="38">
        <f>+'11'!K10/1000</f>
        <v>42.121000000000002</v>
      </c>
      <c r="X49" s="391">
        <f>SUM(W49:W52)/SUM(K49:K52)</f>
        <v>0.8181920886044477</v>
      </c>
      <c r="Y49" s="38">
        <v>0</v>
      </c>
      <c r="Z49" s="38">
        <f>+'11'!D34/1000</f>
        <v>1</v>
      </c>
      <c r="AA49" s="50">
        <f>SUM(U49:U52)-SUM(W49:W52)-SUM(Z49:Z52)-SUM(Y49:Y52)</f>
        <v>6.7508079999999993</v>
      </c>
      <c r="AB49" s="50">
        <f>(SUM(K49:K52)-SUM(W49:W52)-SUM(Y49:Y52)-SUM(Z49:Z52)-SUM(AC49:AC52)-SUM(V49:V52))-AA49</f>
        <v>0</v>
      </c>
      <c r="AC49" s="38">
        <f>K49-T49</f>
        <v>0</v>
      </c>
      <c r="AD49" s="38">
        <f>+AM49+BA49</f>
        <v>0</v>
      </c>
      <c r="AE49" s="228" t="s">
        <v>392</v>
      </c>
      <c r="AF49" s="38">
        <v>0</v>
      </c>
      <c r="AG49" s="38"/>
      <c r="AH49" s="38"/>
      <c r="AI49" s="469"/>
      <c r="AJ49" s="38"/>
      <c r="AK49" s="38"/>
      <c r="AL49" s="38"/>
      <c r="AM49" s="38">
        <f>SUM(AF49:AL49)+AT49+AV49+AX49</f>
        <v>0</v>
      </c>
      <c r="AN49" s="38"/>
      <c r="AO49" s="38"/>
      <c r="AP49" s="38"/>
      <c r="AQ49" s="38"/>
      <c r="AR49" s="38">
        <f>SUM(AN49:AQ49)</f>
        <v>0</v>
      </c>
      <c r="AS49" s="38"/>
      <c r="AT49" s="38"/>
      <c r="AU49" s="38"/>
      <c r="AV49" s="38"/>
      <c r="AW49" s="38"/>
      <c r="AX49" s="38"/>
      <c r="AY49" s="38"/>
      <c r="AZ49" s="38"/>
      <c r="BA49" s="38">
        <f>+AR49+AS49+AU49+AW49+AY49+AZ49</f>
        <v>0</v>
      </c>
      <c r="BB49" s="34">
        <v>0</v>
      </c>
      <c r="BC49" s="52"/>
      <c r="BD49" s="52"/>
      <c r="BE49" s="34"/>
      <c r="BF49" s="52"/>
    </row>
    <row r="50" spans="1:58" ht="12.95" customHeight="1">
      <c r="A50" s="41"/>
      <c r="B50" s="42"/>
      <c r="C50" s="424"/>
      <c r="D50" s="42"/>
      <c r="E50" s="43"/>
      <c r="F50" s="43"/>
      <c r="G50" s="44"/>
      <c r="H50" s="45"/>
      <c r="I50" s="46"/>
      <c r="J50" s="84"/>
      <c r="K50" s="84"/>
      <c r="L50" s="36"/>
      <c r="M50" s="36"/>
      <c r="N50" s="47"/>
      <c r="O50" s="48"/>
      <c r="P50" s="49"/>
      <c r="Q50" s="48"/>
      <c r="R50" s="394"/>
      <c r="S50" s="394"/>
      <c r="T50" s="38"/>
      <c r="U50" s="38"/>
      <c r="V50" s="38"/>
      <c r="W50" s="38"/>
      <c r="X50" s="39"/>
      <c r="Y50" s="211"/>
      <c r="Z50" s="38"/>
      <c r="AA50" s="38"/>
      <c r="AB50" s="38"/>
      <c r="AC50" s="38"/>
      <c r="AD50" s="38">
        <f>+AM50+BA50</f>
        <v>0</v>
      </c>
      <c r="AE50" s="228" t="s">
        <v>415</v>
      </c>
      <c r="AF50" s="38"/>
      <c r="AG50" s="38">
        <v>0</v>
      </c>
      <c r="AH50" s="38"/>
      <c r="AI50" s="469"/>
      <c r="AJ50" s="38"/>
      <c r="AK50" s="38"/>
      <c r="AL50" s="38"/>
      <c r="AM50" s="38">
        <f>SUM(AF50:AL50)+AT50+AV50+AX50</f>
        <v>0</v>
      </c>
      <c r="AN50" s="85"/>
      <c r="AO50" s="38"/>
      <c r="AP50" s="38"/>
      <c r="AQ50" s="38"/>
      <c r="AR50" s="38">
        <f>SUM(AN50:AQ50)</f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51"/>
      <c r="BC50" s="52">
        <v>1</v>
      </c>
      <c r="BD50" s="52"/>
      <c r="BE50" s="51"/>
      <c r="BF50" s="52"/>
    </row>
    <row r="51" spans="1:58" ht="12.95" customHeight="1">
      <c r="A51" s="41"/>
      <c r="B51" s="42"/>
      <c r="C51" s="424"/>
      <c r="D51" s="42"/>
      <c r="E51" s="43"/>
      <c r="F51" s="43"/>
      <c r="G51" s="44"/>
      <c r="H51" s="45"/>
      <c r="I51" s="46"/>
      <c r="J51" s="84"/>
      <c r="K51" s="84"/>
      <c r="L51" s="36"/>
      <c r="M51" s="36"/>
      <c r="N51" s="47"/>
      <c r="O51" s="48"/>
      <c r="P51" s="49"/>
      <c r="Q51" s="48"/>
      <c r="R51" s="394"/>
      <c r="S51" s="394"/>
      <c r="T51" s="38"/>
      <c r="U51" s="38"/>
      <c r="V51" s="38"/>
      <c r="W51" s="38"/>
      <c r="X51" s="39"/>
      <c r="Y51" s="211"/>
      <c r="Z51" s="38"/>
      <c r="AA51" s="38"/>
      <c r="AB51" s="38"/>
      <c r="AC51" s="38"/>
      <c r="AD51" s="38">
        <f>+AM51+BA51</f>
        <v>45</v>
      </c>
      <c r="AE51" s="228" t="s">
        <v>513</v>
      </c>
      <c r="AF51" s="34"/>
      <c r="AG51" s="34"/>
      <c r="AH51" s="34">
        <v>45</v>
      </c>
      <c r="AI51" s="469"/>
      <c r="AJ51" s="38"/>
      <c r="AK51" s="38"/>
      <c r="AL51" s="38"/>
      <c r="AM51" s="38">
        <f>SUM(AF51:AL51)+AT51+AV51+AX51</f>
        <v>45</v>
      </c>
      <c r="AN51" s="38"/>
      <c r="AO51" s="38"/>
      <c r="AP51" s="38"/>
      <c r="AQ51" s="38"/>
      <c r="AR51" s="38">
        <f>SUM(AN51:AQ51)</f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34"/>
      <c r="BC51" s="54"/>
      <c r="BD51" s="54"/>
      <c r="BE51" s="34"/>
      <c r="BF51" s="54"/>
    </row>
    <row r="52" spans="1:58" ht="12.95" customHeight="1">
      <c r="A52" s="41"/>
      <c r="B52" s="42"/>
      <c r="C52" s="424"/>
      <c r="D52" s="42"/>
      <c r="E52" s="43"/>
      <c r="F52" s="43"/>
      <c r="G52" s="44"/>
      <c r="H52" s="45"/>
      <c r="I52" s="46"/>
      <c r="J52" s="84"/>
      <c r="K52" s="84"/>
      <c r="L52" s="36"/>
      <c r="M52" s="36"/>
      <c r="N52" s="47"/>
      <c r="O52" s="48"/>
      <c r="P52" s="49"/>
      <c r="Q52" s="48"/>
      <c r="R52" s="394"/>
      <c r="S52" s="394"/>
      <c r="T52" s="38"/>
      <c r="U52" s="38"/>
      <c r="V52" s="38"/>
      <c r="W52" s="38"/>
      <c r="X52" s="39"/>
      <c r="Y52" s="211"/>
      <c r="Z52" s="38"/>
      <c r="AA52" s="38"/>
      <c r="AB52" s="38"/>
      <c r="AC52" s="38"/>
      <c r="AD52" s="38"/>
      <c r="AE52" s="228"/>
      <c r="AF52" s="34"/>
      <c r="AG52" s="34"/>
      <c r="AH52" s="34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4"/>
      <c r="BC52" s="54"/>
      <c r="BD52" s="54"/>
      <c r="BE52" s="34"/>
      <c r="BF52" s="54"/>
    </row>
    <row r="53" spans="1:58" ht="12.75" customHeight="1">
      <c r="A53" s="41">
        <v>46003</v>
      </c>
      <c r="B53" s="42" t="s">
        <v>417</v>
      </c>
      <c r="C53" s="424">
        <f>(M53*E53*O53*Q53)/100000000</f>
        <v>51.480575999999999</v>
      </c>
      <c r="D53" s="42" t="s">
        <v>285</v>
      </c>
      <c r="E53" s="43">
        <v>12</v>
      </c>
      <c r="F53" s="43">
        <v>1</v>
      </c>
      <c r="G53" s="44">
        <v>1400</v>
      </c>
      <c r="H53" s="484">
        <f>+N53</f>
        <v>0.24</v>
      </c>
      <c r="I53" s="46">
        <v>0.88</v>
      </c>
      <c r="J53" s="84">
        <f>E53*G53*(1-H53)*1440/1000000*2.87</f>
        <v>52.767590399999996</v>
      </c>
      <c r="K53" s="84">
        <f>(IF(G53&lt;L53,L53,G53)*(1-IF(H53&lt;N53,H53,N53))*E53*O53*Q53)/100000000</f>
        <v>51.480575999999999</v>
      </c>
      <c r="L53" s="36">
        <v>1400</v>
      </c>
      <c r="M53" s="36">
        <v>1064</v>
      </c>
      <c r="N53" s="47">
        <f>1-(M53/L53)</f>
        <v>0.24</v>
      </c>
      <c r="O53" s="48">
        <f>+'Trim Rwd'!H35</f>
        <v>280</v>
      </c>
      <c r="P53" s="49">
        <f>O53*(Q53-R53-S53)</f>
        <v>388640</v>
      </c>
      <c r="Q53" s="48">
        <v>1440</v>
      </c>
      <c r="R53" s="394">
        <v>0</v>
      </c>
      <c r="S53" s="394">
        <v>52</v>
      </c>
      <c r="T53" s="38">
        <f>E53*M53*O53*Q53/100000000</f>
        <v>51.480575999999999</v>
      </c>
      <c r="U53" s="38">
        <f>E53*M53*O53*(Q53-R53-S53)/100000000</f>
        <v>49.621555200000003</v>
      </c>
      <c r="V53" s="38">
        <f>E53*G53*(1-N53)*O53/100*(R53+S53)/1000000</f>
        <v>1.8590208000000001</v>
      </c>
      <c r="W53" s="38">
        <f>+'12'!K34/1000</f>
        <v>42.796999999999997</v>
      </c>
      <c r="X53" s="391">
        <f>SUM(W53:W56)/SUM(K53:K56)</f>
        <v>0.83132325481362135</v>
      </c>
      <c r="Y53" s="38">
        <v>0</v>
      </c>
      <c r="Z53" s="38">
        <f>+'12'!D34/1000</f>
        <v>0.52</v>
      </c>
      <c r="AA53" s="50">
        <f>SUM(U53:U56)-SUM(W53:W56)-SUM(Z53:Z56)-SUM(Y53:Y56)</f>
        <v>6.3045552000000065</v>
      </c>
      <c r="AB53" s="50">
        <f>(SUM(K53:K56)-SUM(W53:W56)-SUM(Y53:Y56)-SUM(Z53:Z56)-SUM(AC53:AC56)-SUM(V53:V56))-AA53</f>
        <v>0</v>
      </c>
      <c r="AC53" s="38">
        <f>K53-T53</f>
        <v>0</v>
      </c>
      <c r="AD53" s="38">
        <f>+AM53+BA53</f>
        <v>15</v>
      </c>
      <c r="AE53" s="228" t="s">
        <v>447</v>
      </c>
      <c r="AF53" s="38">
        <v>15</v>
      </c>
      <c r="AG53" s="38"/>
      <c r="AH53" s="38"/>
      <c r="AI53" s="469"/>
      <c r="AJ53" s="38"/>
      <c r="AK53" s="38"/>
      <c r="AL53" s="38"/>
      <c r="AM53" s="38">
        <f>SUM(AF53:AL53)+AT53+AV53+AX53</f>
        <v>15</v>
      </c>
      <c r="AN53" s="38"/>
      <c r="AO53" s="38"/>
      <c r="AP53" s="38"/>
      <c r="AQ53" s="38"/>
      <c r="AR53" s="38">
        <f>SUM(AN53:AQ53)</f>
        <v>0</v>
      </c>
      <c r="AS53" s="38"/>
      <c r="AT53" s="38"/>
      <c r="AU53" s="38"/>
      <c r="AV53" s="38"/>
      <c r="AW53" s="38"/>
      <c r="AX53" s="38"/>
      <c r="AY53" s="38"/>
      <c r="AZ53" s="38"/>
      <c r="BA53" s="38">
        <f>+AR53+AS53+AU53+AW53+AY53+AZ53</f>
        <v>0</v>
      </c>
      <c r="BB53" s="34">
        <v>3</v>
      </c>
      <c r="BC53" s="52"/>
      <c r="BD53" s="52"/>
      <c r="BE53" s="34"/>
      <c r="BF53" s="52"/>
    </row>
    <row r="54" spans="1:58" ht="12.95" customHeight="1">
      <c r="A54" s="41"/>
      <c r="B54" s="42"/>
      <c r="C54" s="424"/>
      <c r="D54" s="42"/>
      <c r="E54" s="43"/>
      <c r="F54" s="43"/>
      <c r="G54" s="44"/>
      <c r="H54" s="45"/>
      <c r="I54" s="46"/>
      <c r="J54" s="84"/>
      <c r="K54" s="84"/>
      <c r="L54" s="36"/>
      <c r="M54" s="36"/>
      <c r="N54" s="47"/>
      <c r="O54" s="48"/>
      <c r="P54" s="49"/>
      <c r="Q54" s="48"/>
      <c r="R54" s="394"/>
      <c r="S54" s="394"/>
      <c r="T54" s="38"/>
      <c r="U54" s="38"/>
      <c r="V54" s="38"/>
      <c r="W54" s="38"/>
      <c r="X54" s="39"/>
      <c r="Y54" s="211"/>
      <c r="Z54" s="38"/>
      <c r="AA54" s="38"/>
      <c r="AB54" s="38"/>
      <c r="AC54" s="38"/>
      <c r="AD54" s="38">
        <f>+AM54+BA54</f>
        <v>7</v>
      </c>
      <c r="AE54" s="228" t="s">
        <v>478</v>
      </c>
      <c r="AF54" s="38"/>
      <c r="AG54" s="38">
        <v>7</v>
      </c>
      <c r="AH54" s="38"/>
      <c r="AI54" s="469"/>
      <c r="AJ54" s="38"/>
      <c r="AK54" s="38"/>
      <c r="AL54" s="38"/>
      <c r="AM54" s="38">
        <f>SUM(AF54:AL54)+AT54+AV54+AX54</f>
        <v>7</v>
      </c>
      <c r="AN54" s="85"/>
      <c r="AO54" s="38"/>
      <c r="AP54" s="38"/>
      <c r="AQ54" s="38"/>
      <c r="AR54" s="38">
        <f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51"/>
      <c r="BC54" s="52">
        <v>2</v>
      </c>
      <c r="BD54" s="52"/>
      <c r="BE54" s="51"/>
      <c r="BF54" s="52"/>
    </row>
    <row r="55" spans="1:58" ht="12.95" customHeight="1">
      <c r="A55" s="41"/>
      <c r="B55" s="42"/>
      <c r="C55" s="424"/>
      <c r="D55" s="42"/>
      <c r="E55" s="43"/>
      <c r="F55" s="43"/>
      <c r="G55" s="44"/>
      <c r="H55" s="45"/>
      <c r="I55" s="46"/>
      <c r="J55" s="84"/>
      <c r="K55" s="84"/>
      <c r="L55" s="36"/>
      <c r="M55" s="36"/>
      <c r="N55" s="47"/>
      <c r="O55" s="48"/>
      <c r="P55" s="49"/>
      <c r="Q55" s="48"/>
      <c r="R55" s="394"/>
      <c r="S55" s="394"/>
      <c r="T55" s="38"/>
      <c r="U55" s="38"/>
      <c r="V55" s="38"/>
      <c r="W55" s="38"/>
      <c r="X55" s="39"/>
      <c r="Y55" s="211"/>
      <c r="Z55" s="38"/>
      <c r="AA55" s="38"/>
      <c r="AB55" s="38"/>
      <c r="AC55" s="38"/>
      <c r="AD55" s="38">
        <f>+AM55+BA55</f>
        <v>30</v>
      </c>
      <c r="AE55" s="228" t="s">
        <v>513</v>
      </c>
      <c r="AF55" s="34"/>
      <c r="AG55" s="34"/>
      <c r="AH55" s="34">
        <v>30</v>
      </c>
      <c r="AI55" s="469"/>
      <c r="AJ55" s="38"/>
      <c r="AK55" s="38"/>
      <c r="AL55" s="38"/>
      <c r="AM55" s="38">
        <f>SUM(AF55:AL55)+AT55+AV55+AX55</f>
        <v>30</v>
      </c>
      <c r="AN55" s="38"/>
      <c r="AO55" s="38"/>
      <c r="AP55" s="38"/>
      <c r="AQ55" s="38"/>
      <c r="AR55" s="38">
        <f>SUM(AN55:AQ55)</f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34"/>
      <c r="BC55" s="54"/>
      <c r="BD55" s="54"/>
      <c r="BE55" s="34"/>
      <c r="BF55" s="54"/>
    </row>
    <row r="56" spans="1:58" ht="12.75" customHeight="1">
      <c r="A56" s="41"/>
      <c r="B56" s="42"/>
      <c r="C56" s="424"/>
      <c r="D56" s="42"/>
      <c r="E56" s="43"/>
      <c r="F56" s="43"/>
      <c r="G56" s="44"/>
      <c r="H56" s="45"/>
      <c r="I56" s="46"/>
      <c r="J56" s="84"/>
      <c r="K56" s="84"/>
      <c r="L56" s="36"/>
      <c r="M56" s="36"/>
      <c r="N56" s="47"/>
      <c r="O56" s="48"/>
      <c r="P56" s="49"/>
      <c r="Q56" s="48"/>
      <c r="R56" s="394"/>
      <c r="S56" s="394"/>
      <c r="T56" s="38"/>
      <c r="U56" s="38"/>
      <c r="V56" s="38"/>
      <c r="W56" s="38"/>
      <c r="X56" s="39"/>
      <c r="Y56" s="211"/>
      <c r="Z56" s="38"/>
      <c r="AA56" s="38"/>
      <c r="AB56" s="38"/>
      <c r="AC56" s="38"/>
      <c r="AD56" s="38"/>
      <c r="AE56" s="228"/>
      <c r="AF56" s="34"/>
      <c r="AG56" s="34"/>
      <c r="AH56" s="34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4"/>
      <c r="BC56" s="54"/>
      <c r="BD56" s="54"/>
      <c r="BE56" s="34"/>
      <c r="BF56" s="54"/>
    </row>
    <row r="57" spans="1:58" ht="12.75" customHeight="1">
      <c r="A57" s="41">
        <v>46004</v>
      </c>
      <c r="B57" s="42" t="s">
        <v>417</v>
      </c>
      <c r="C57" s="424">
        <f>(M57*E57*O57*Q57)/100000000</f>
        <v>51.480575999999999</v>
      </c>
      <c r="D57" s="42" t="s">
        <v>285</v>
      </c>
      <c r="E57" s="43">
        <v>12</v>
      </c>
      <c r="F57" s="43">
        <v>1</v>
      </c>
      <c r="G57" s="44">
        <v>1400</v>
      </c>
      <c r="H57" s="484">
        <f>+N57</f>
        <v>0.24</v>
      </c>
      <c r="I57" s="46">
        <v>0.88</v>
      </c>
      <c r="J57" s="84">
        <f>E57*G57*(1-H57)*1440/1000000*2.87</f>
        <v>52.767590399999996</v>
      </c>
      <c r="K57" s="84">
        <f>(IF(G57&lt;L57,L57,G57)*(1-IF(H57&lt;N57,H57,N57))*E57*O57*Q57)/100000000</f>
        <v>51.480575999999999</v>
      </c>
      <c r="L57" s="36">
        <v>1400</v>
      </c>
      <c r="M57" s="36">
        <v>1064</v>
      </c>
      <c r="N57" s="47">
        <f>1-(M57/L57)</f>
        <v>0.24</v>
      </c>
      <c r="O57" s="48">
        <f>+'Trim Rwd'!H37</f>
        <v>280</v>
      </c>
      <c r="P57" s="49">
        <f>O57*(Q57-R57-S57)</f>
        <v>390880</v>
      </c>
      <c r="Q57" s="48">
        <v>1440</v>
      </c>
      <c r="R57" s="394">
        <v>0</v>
      </c>
      <c r="S57" s="394">
        <v>44</v>
      </c>
      <c r="T57" s="38">
        <f>E57*M57*O57*Q57/100000000</f>
        <v>51.480575999999999</v>
      </c>
      <c r="U57" s="38">
        <f>E57*M57*O57*(Q57-R57-S57)/100000000</f>
        <v>49.907558399999999</v>
      </c>
      <c r="V57" s="38">
        <f>E57*G57*(1-N57)*O57/100*(R57+S57)/1000000</f>
        <v>1.5730176</v>
      </c>
      <c r="W57" s="38">
        <f>+'13'!K34/1000</f>
        <v>48.720999999999997</v>
      </c>
      <c r="X57" s="391">
        <f>SUM(W57:W60)/SUM(K57:K60)</f>
        <v>0.94639578236265265</v>
      </c>
      <c r="Y57" s="38">
        <v>0</v>
      </c>
      <c r="Z57" s="38">
        <v>0</v>
      </c>
      <c r="AA57" s="50">
        <f>SUM(U57:U60)-SUM(W57:W60)-SUM(Z57:Z60)-SUM(Y57:Y60)</f>
        <v>1.1865584000000027</v>
      </c>
      <c r="AB57" s="50">
        <f>(SUM(K57:K60)-SUM(W57:W60)-SUM(Y57:Y60)-SUM(Z57:Z60)-SUM(AC57:AC60)-SUM(V57:V60))-AA57</f>
        <v>0</v>
      </c>
      <c r="AC57" s="38">
        <f>K57-T57</f>
        <v>0</v>
      </c>
      <c r="AD57" s="38">
        <f>+AM57+BA57</f>
        <v>0</v>
      </c>
      <c r="AE57" s="228" t="s">
        <v>392</v>
      </c>
      <c r="AF57" s="38">
        <v>0</v>
      </c>
      <c r="AG57" s="38"/>
      <c r="AH57" s="38"/>
      <c r="AI57" s="469"/>
      <c r="AJ57" s="38"/>
      <c r="AK57" s="38"/>
      <c r="AL57" s="38"/>
      <c r="AM57" s="38">
        <f>SUM(AF57:AL57)+AT57+AV57+AX57</f>
        <v>0</v>
      </c>
      <c r="AN57" s="38"/>
      <c r="AO57" s="38"/>
      <c r="AP57" s="38"/>
      <c r="AQ57" s="38"/>
      <c r="AR57" s="38">
        <f>SUM(AN57:AQ57)</f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>+AR57+AS57+AU57+AW57+AY57+AZ57</f>
        <v>0</v>
      </c>
      <c r="BB57" s="34">
        <v>0</v>
      </c>
      <c r="BC57" s="52"/>
      <c r="BD57" s="52"/>
      <c r="BE57" s="34"/>
      <c r="BF57" s="52"/>
    </row>
    <row r="58" spans="1:58" ht="12.95" customHeight="1">
      <c r="A58" s="41"/>
      <c r="B58" s="42"/>
      <c r="C58" s="424"/>
      <c r="D58" s="42"/>
      <c r="E58" s="43"/>
      <c r="F58" s="43"/>
      <c r="G58" s="44"/>
      <c r="H58" s="45"/>
      <c r="I58" s="46"/>
      <c r="J58" s="84"/>
      <c r="K58" s="84"/>
      <c r="L58" s="36"/>
      <c r="M58" s="36"/>
      <c r="N58" s="47"/>
      <c r="O58" s="48"/>
      <c r="P58" s="49"/>
      <c r="Q58" s="48"/>
      <c r="R58" s="394"/>
      <c r="S58" s="394"/>
      <c r="T58" s="38"/>
      <c r="U58" s="38"/>
      <c r="V58" s="38"/>
      <c r="W58" s="38"/>
      <c r="X58" s="39"/>
      <c r="Y58" s="211"/>
      <c r="Z58" s="38"/>
      <c r="AA58" s="38"/>
      <c r="AB58" s="38"/>
      <c r="AC58" s="38"/>
      <c r="AD58" s="38">
        <f>+AM58+BA58</f>
        <v>0</v>
      </c>
      <c r="AE58" s="228" t="s">
        <v>415</v>
      </c>
      <c r="AF58" s="38"/>
      <c r="AG58" s="38">
        <v>0</v>
      </c>
      <c r="AH58" s="38"/>
      <c r="AI58" s="469"/>
      <c r="AJ58" s="38"/>
      <c r="AK58" s="38"/>
      <c r="AL58" s="38"/>
      <c r="AM58" s="38">
        <f>SUM(AF58:AL58)+AT58+AV58+AX58</f>
        <v>0</v>
      </c>
      <c r="AN58" s="85"/>
      <c r="AO58" s="38"/>
      <c r="AP58" s="38"/>
      <c r="AQ58" s="38"/>
      <c r="AR58" s="38">
        <f>SUM(AN58:AQ58)</f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>+AR58+AS58+AU58+AW58+AY58+AZ58</f>
        <v>0</v>
      </c>
      <c r="BB58" s="51"/>
      <c r="BC58" s="52">
        <v>0</v>
      </c>
      <c r="BD58" s="52"/>
      <c r="BE58" s="51"/>
      <c r="BF58" s="52"/>
    </row>
    <row r="59" spans="1:58" ht="12.95" customHeight="1">
      <c r="A59" s="41"/>
      <c r="B59" s="42"/>
      <c r="C59" s="424"/>
      <c r="D59" s="42"/>
      <c r="E59" s="43"/>
      <c r="F59" s="43"/>
      <c r="G59" s="44"/>
      <c r="H59" s="45"/>
      <c r="I59" s="46"/>
      <c r="J59" s="84"/>
      <c r="K59" s="84"/>
      <c r="L59" s="36"/>
      <c r="M59" s="36"/>
      <c r="N59" s="47"/>
      <c r="O59" s="48"/>
      <c r="P59" s="49"/>
      <c r="Q59" s="48"/>
      <c r="R59" s="394"/>
      <c r="S59" s="394"/>
      <c r="T59" s="38"/>
      <c r="U59" s="38"/>
      <c r="V59" s="38"/>
      <c r="W59" s="38"/>
      <c r="X59" s="39"/>
      <c r="Y59" s="211"/>
      <c r="Z59" s="38"/>
      <c r="AA59" s="38"/>
      <c r="AB59" s="38"/>
      <c r="AC59" s="38"/>
      <c r="AD59" s="38">
        <f>+AM59+BA59</f>
        <v>44</v>
      </c>
      <c r="AE59" s="228" t="s">
        <v>513</v>
      </c>
      <c r="AF59" s="34"/>
      <c r="AG59" s="34"/>
      <c r="AH59" s="34">
        <v>44</v>
      </c>
      <c r="AI59" s="469"/>
      <c r="AJ59" s="38"/>
      <c r="AK59" s="38"/>
      <c r="AL59" s="38"/>
      <c r="AM59" s="38">
        <f>SUM(AF59:AL59)+AT59+AV59+AX59</f>
        <v>44</v>
      </c>
      <c r="AN59" s="38"/>
      <c r="AO59" s="38"/>
      <c r="AP59" s="38"/>
      <c r="AQ59" s="38"/>
      <c r="AR59" s="38">
        <f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34"/>
      <c r="BC59" s="54"/>
      <c r="BD59" s="54"/>
      <c r="BE59" s="34"/>
      <c r="BF59" s="54"/>
    </row>
    <row r="60" spans="1:58" ht="12.75" customHeight="1">
      <c r="A60" s="41"/>
      <c r="B60" s="42"/>
      <c r="C60" s="424"/>
      <c r="D60" s="42"/>
      <c r="E60" s="43"/>
      <c r="F60" s="43"/>
      <c r="G60" s="44"/>
      <c r="H60" s="45"/>
      <c r="I60" s="46"/>
      <c r="J60" s="84"/>
      <c r="K60" s="84"/>
      <c r="L60" s="36"/>
      <c r="M60" s="36"/>
      <c r="N60" s="47"/>
      <c r="O60" s="48"/>
      <c r="P60" s="49"/>
      <c r="Q60" s="48"/>
      <c r="R60" s="394"/>
      <c r="S60" s="394"/>
      <c r="T60" s="38"/>
      <c r="U60" s="38"/>
      <c r="V60" s="38"/>
      <c r="W60" s="38"/>
      <c r="X60" s="39"/>
      <c r="Y60" s="211"/>
      <c r="Z60" s="38"/>
      <c r="AA60" s="38"/>
      <c r="AB60" s="38"/>
      <c r="AC60" s="38"/>
      <c r="AD60" s="38"/>
      <c r="AE60" s="228"/>
      <c r="AF60" s="34"/>
      <c r="AG60" s="34"/>
      <c r="AH60" s="34"/>
      <c r="AI60" s="469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4"/>
      <c r="BC60" s="54"/>
      <c r="BD60" s="54"/>
      <c r="BE60" s="34"/>
      <c r="BF60" s="54"/>
    </row>
    <row r="61" spans="1:58" ht="12.75" customHeight="1">
      <c r="A61" s="41">
        <v>46005</v>
      </c>
      <c r="B61" s="42" t="s">
        <v>417</v>
      </c>
      <c r="C61" s="424">
        <f>(M61*E61*O61*Q61)/100000000</f>
        <v>21.092735999999999</v>
      </c>
      <c r="D61" s="42" t="s">
        <v>285</v>
      </c>
      <c r="E61" s="43">
        <v>12</v>
      </c>
      <c r="F61" s="43">
        <v>1</v>
      </c>
      <c r="G61" s="44">
        <v>1400</v>
      </c>
      <c r="H61" s="484">
        <f>+N61</f>
        <v>0.24</v>
      </c>
      <c r="I61" s="46">
        <v>0.88</v>
      </c>
      <c r="J61" s="84">
        <f>E61*G61*(1-H61)*1440/1000000*2.87</f>
        <v>52.767590399999996</v>
      </c>
      <c r="K61" s="84">
        <f>(IF(G61&lt;L61,L61,G61)*(1-IF(H61&lt;N61,H61,N61))*E61*O61*Q61)/100000000</f>
        <v>21.092735999999999</v>
      </c>
      <c r="L61" s="36">
        <v>1400</v>
      </c>
      <c r="M61" s="36">
        <f>+L61-L61*0.24</f>
        <v>1064</v>
      </c>
      <c r="N61" s="47">
        <f>1-(M61/L61)</f>
        <v>0.24</v>
      </c>
      <c r="O61" s="48">
        <f>+'Trim Rwd'!H39</f>
        <v>280</v>
      </c>
      <c r="P61" s="49">
        <f>O61*(Q61-R61-S61)</f>
        <v>162400</v>
      </c>
      <c r="Q61" s="48">
        <v>590</v>
      </c>
      <c r="R61" s="394">
        <v>0</v>
      </c>
      <c r="S61" s="394">
        <v>10</v>
      </c>
      <c r="T61" s="38">
        <f>E61*M61*O61*Q61/100000000</f>
        <v>21.092735999999999</v>
      </c>
      <c r="U61" s="38">
        <f>E61*M61*O61*(Q61-R61-S61)/100000000</f>
        <v>20.735232</v>
      </c>
      <c r="V61" s="38">
        <f>E61*G61*(1-N61)*O61/100*(R61+S61)/1000000</f>
        <v>0.35750399999999999</v>
      </c>
      <c r="W61" s="38">
        <f>+'14'!K10/1000</f>
        <v>23.861999999999998</v>
      </c>
      <c r="X61" s="391">
        <f>SUM(W61:W64)/SUM(K61:K64)</f>
        <v>0.89421581623734758</v>
      </c>
      <c r="Y61" s="38">
        <v>0</v>
      </c>
      <c r="Z61" s="38">
        <v>0</v>
      </c>
      <c r="AA61" s="50">
        <f>SUM(U61:U64)-SUM(W61:W64)-SUM(Z61:Z64)-SUM(Y61:Y64)</f>
        <v>3.0867511999999948</v>
      </c>
      <c r="AB61" s="50">
        <f>(SUM(K61:K64)-SUM(W61:W64)-SUM(Y61:Y64)-SUM(Z61:Z64)-SUM(AC61:AC64)-SUM(V61:V64))-AA61</f>
        <v>5.5328000000067767E-3</v>
      </c>
      <c r="AC61" s="38">
        <f>K61-T61</f>
        <v>0</v>
      </c>
      <c r="AD61" s="38">
        <f>+AM61+BA61</f>
        <v>0</v>
      </c>
      <c r="AE61" s="228" t="s">
        <v>392</v>
      </c>
      <c r="AF61" s="38">
        <v>0</v>
      </c>
      <c r="AG61" s="38"/>
      <c r="AH61" s="38"/>
      <c r="AI61" s="469"/>
      <c r="AJ61" s="38"/>
      <c r="AK61" s="38"/>
      <c r="AL61" s="38"/>
      <c r="AM61" s="38">
        <f>SUM(AF61:AL61)+AT61+AV61+AX61</f>
        <v>0</v>
      </c>
      <c r="AN61" s="38"/>
      <c r="AO61" s="38"/>
      <c r="AP61" s="38"/>
      <c r="AQ61" s="38"/>
      <c r="AR61" s="38">
        <f>SUM(AN61:AQ61)</f>
        <v>0</v>
      </c>
      <c r="AS61" s="38"/>
      <c r="AT61" s="38"/>
      <c r="AU61" s="38"/>
      <c r="AV61" s="38"/>
      <c r="AW61" s="38"/>
      <c r="AX61" s="38"/>
      <c r="AY61" s="38"/>
      <c r="AZ61" s="38"/>
      <c r="BA61" s="38">
        <f>+AR61+AS61+AU61+AW61+AY61+AZ61</f>
        <v>0</v>
      </c>
      <c r="BB61" s="34">
        <v>0</v>
      </c>
      <c r="BC61" s="52"/>
      <c r="BD61" s="52"/>
      <c r="BE61" s="34"/>
      <c r="BF61" s="52"/>
    </row>
    <row r="62" spans="1:58" ht="12.95" customHeight="1">
      <c r="A62" s="41"/>
      <c r="B62" s="42" t="s">
        <v>417</v>
      </c>
      <c r="C62" s="424">
        <f>(M62*E62*O62*Q62)/100000000</f>
        <v>21.602817600000002</v>
      </c>
      <c r="D62" s="42" t="s">
        <v>285</v>
      </c>
      <c r="E62" s="43">
        <v>13</v>
      </c>
      <c r="F62" s="43">
        <v>1</v>
      </c>
      <c r="G62" s="44">
        <v>1350</v>
      </c>
      <c r="H62" s="484">
        <f>+N62</f>
        <v>0.24</v>
      </c>
      <c r="I62" s="46">
        <v>0.88</v>
      </c>
      <c r="J62" s="84">
        <f>E62*G62*(1-H62)*1440/1000000*2.87</f>
        <v>55.123286400000005</v>
      </c>
      <c r="K62" s="84">
        <f>(IF(G62&lt;L62,L62,G62)*(1-IF(H62&lt;N62,H62,N62))*E62*O62*Q62)/100000000</f>
        <v>21.602817600000002</v>
      </c>
      <c r="L62" s="36">
        <v>1370</v>
      </c>
      <c r="M62" s="36">
        <f>+L62-L62*0.24</f>
        <v>1041.2</v>
      </c>
      <c r="N62" s="47">
        <f>1-(M62/L62)</f>
        <v>0.24</v>
      </c>
      <c r="O62" s="48">
        <f>+'Trim Rwd'!H40</f>
        <v>280</v>
      </c>
      <c r="P62" s="49">
        <f>O62*(Q62-R62-S62)</f>
        <v>156800</v>
      </c>
      <c r="Q62" s="48">
        <v>570</v>
      </c>
      <c r="R62" s="394">
        <v>0</v>
      </c>
      <c r="S62" s="394">
        <v>10</v>
      </c>
      <c r="T62" s="38">
        <f>E62*M62*O62*Q62/100000000</f>
        <v>21.602817600000002</v>
      </c>
      <c r="U62" s="38">
        <f>E62*M62*O62*(Q62-R62-S62)/100000000</f>
        <v>21.223820799999999</v>
      </c>
      <c r="V62" s="38">
        <f>E62*G62*(1-N62)*O62/100*(R62+S62)/1000000</f>
        <v>0.37346400000000002</v>
      </c>
      <c r="W62" s="38">
        <f>+'14'!K12/1000</f>
        <v>20.123000000000001</v>
      </c>
      <c r="X62" s="39"/>
      <c r="Y62" s="211"/>
      <c r="Z62" s="38"/>
      <c r="AA62" s="38"/>
      <c r="AB62" s="38"/>
      <c r="AC62" s="38">
        <f>K62-T62</f>
        <v>0</v>
      </c>
      <c r="AD62" s="38">
        <f>+AM62+BA62</f>
        <v>1</v>
      </c>
      <c r="AE62" s="228" t="s">
        <v>446</v>
      </c>
      <c r="AF62" s="38"/>
      <c r="AG62" s="38">
        <v>1</v>
      </c>
      <c r="AH62" s="38"/>
      <c r="AI62" s="469"/>
      <c r="AJ62" s="38"/>
      <c r="AK62" s="38"/>
      <c r="AL62" s="38"/>
      <c r="AM62" s="38">
        <f>SUM(AF62:AL62)+AT62+AV62+AX62</f>
        <v>1</v>
      </c>
      <c r="AN62" s="85"/>
      <c r="AO62" s="38"/>
      <c r="AP62" s="38"/>
      <c r="AQ62" s="38"/>
      <c r="AR62" s="38">
        <f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51"/>
      <c r="BC62" s="52">
        <v>1</v>
      </c>
      <c r="BD62" s="52"/>
      <c r="BE62" s="51"/>
      <c r="BF62" s="52"/>
    </row>
    <row r="63" spans="1:58" ht="12.95" customHeight="1">
      <c r="A63" s="41"/>
      <c r="B63" s="42" t="s">
        <v>417</v>
      </c>
      <c r="C63" s="424">
        <f>(M63*E63*O63*Q63)/100000000</f>
        <v>9.5245023999999994</v>
      </c>
      <c r="D63" s="42" t="s">
        <v>285</v>
      </c>
      <c r="E63" s="43">
        <v>11.5</v>
      </c>
      <c r="F63" s="43">
        <v>1</v>
      </c>
      <c r="G63" s="44">
        <v>1400</v>
      </c>
      <c r="H63" s="484">
        <f>+N63</f>
        <v>0.24</v>
      </c>
      <c r="I63" s="46">
        <v>0.88</v>
      </c>
      <c r="J63" s="84">
        <f>E63*G63*(1-H63)*1440/1000000*2.87</f>
        <v>50.5689408</v>
      </c>
      <c r="K63" s="84">
        <f>(IF(G63&lt;L63,L63,G63)*(1-IF(H63&lt;N63,H63,N63))*E63*O63*Q63)/100000000</f>
        <v>9.5245023999999994</v>
      </c>
      <c r="L63" s="36">
        <v>1400</v>
      </c>
      <c r="M63" s="36">
        <f>+L63-L63*0.24</f>
        <v>1064</v>
      </c>
      <c r="N63" s="47">
        <f>1-(M63/L63)</f>
        <v>0.24</v>
      </c>
      <c r="O63" s="48">
        <f>+'Trim Rwd'!H41</f>
        <v>278</v>
      </c>
      <c r="P63" s="49">
        <f>O63*(Q63-R63-S63)</f>
        <v>63940</v>
      </c>
      <c r="Q63" s="48">
        <v>280</v>
      </c>
      <c r="R63" s="394">
        <v>40</v>
      </c>
      <c r="S63" s="394">
        <v>10</v>
      </c>
      <c r="T63" s="38">
        <f>E63*M63*O63*Q63/100000000</f>
        <v>9.5245023999999994</v>
      </c>
      <c r="U63" s="38">
        <f>E63*M63*O63*(Q63-R63-S63)/100000000</f>
        <v>7.8236983999999996</v>
      </c>
      <c r="V63" s="38">
        <f>E63*G63*(1-N63)*O63/100*(R63+S63)/1000000</f>
        <v>1.700804</v>
      </c>
      <c r="W63" s="38">
        <f>+'14'!K13/1000</f>
        <v>2.7109999999999999</v>
      </c>
      <c r="X63" s="39"/>
      <c r="Y63" s="211"/>
      <c r="Z63" s="38"/>
      <c r="AA63" s="38"/>
      <c r="AB63" s="38"/>
      <c r="AC63" s="38">
        <f>K63-T63</f>
        <v>0</v>
      </c>
      <c r="AD63" s="38">
        <f>+AM63+BA63</f>
        <v>29</v>
      </c>
      <c r="AE63" s="228" t="s">
        <v>574</v>
      </c>
      <c r="AF63" s="34"/>
      <c r="AG63" s="34"/>
      <c r="AH63" s="34">
        <v>29</v>
      </c>
      <c r="AI63" s="469"/>
      <c r="AJ63" s="38"/>
      <c r="AK63" s="38"/>
      <c r="AL63" s="38"/>
      <c r="AM63" s="38">
        <f>SUM(AF63:AL63)+AT63+AV63+AX63</f>
        <v>29</v>
      </c>
      <c r="AN63" s="38"/>
      <c r="AO63" s="38"/>
      <c r="AP63" s="38"/>
      <c r="AQ63" s="38"/>
      <c r="AR63" s="38">
        <f>SUM(AN63:AQ63)</f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>+AR63+AS63+AU63+AW63+AY63+AZ63</f>
        <v>0</v>
      </c>
      <c r="BB63" s="34"/>
      <c r="BC63" s="54"/>
      <c r="BD63" s="54"/>
      <c r="BE63" s="34"/>
      <c r="BF63" s="54"/>
    </row>
    <row r="64" spans="1:58" ht="12.75" customHeight="1">
      <c r="A64" s="41"/>
      <c r="B64" s="42"/>
      <c r="C64" s="424"/>
      <c r="D64" s="42"/>
      <c r="E64" s="43"/>
      <c r="F64" s="43"/>
      <c r="G64" s="44"/>
      <c r="H64" s="45"/>
      <c r="I64" s="46"/>
      <c r="J64" s="84"/>
      <c r="K64" s="84"/>
      <c r="L64" s="36"/>
      <c r="M64" s="36"/>
      <c r="N64" s="47"/>
      <c r="O64" s="48"/>
      <c r="P64" s="49"/>
      <c r="Q64" s="48"/>
      <c r="R64" s="394"/>
      <c r="S64" s="394"/>
      <c r="T64" s="38"/>
      <c r="U64" s="38"/>
      <c r="V64" s="38"/>
      <c r="W64" s="38"/>
      <c r="X64" s="39"/>
      <c r="Y64" s="211"/>
      <c r="Z64" s="38"/>
      <c r="AA64" s="38"/>
      <c r="AB64" s="38"/>
      <c r="AC64" s="38"/>
      <c r="AD64" s="38">
        <f>+AM64+BA64</f>
        <v>40</v>
      </c>
      <c r="AE64" s="231" t="s">
        <v>566</v>
      </c>
      <c r="AF64" s="34"/>
      <c r="AG64" s="34"/>
      <c r="AH64" s="34"/>
      <c r="AI64" s="469"/>
      <c r="AJ64" s="38"/>
      <c r="AK64" s="38"/>
      <c r="AL64" s="38"/>
      <c r="AM64" s="38">
        <f>SUM(AF64:AL64)+AT64+AV64+AX64</f>
        <v>0</v>
      </c>
      <c r="AN64" s="38">
        <v>40</v>
      </c>
      <c r="AO64" s="38"/>
      <c r="AP64" s="38"/>
      <c r="AQ64" s="38"/>
      <c r="AR64" s="38">
        <f>SUM(AN64:AQ64)</f>
        <v>40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40</v>
      </c>
      <c r="BB64" s="34"/>
      <c r="BC64" s="54"/>
      <c r="BD64" s="54"/>
      <c r="BE64" s="34"/>
      <c r="BF64" s="54"/>
    </row>
    <row r="65" spans="1:58" ht="12.95" customHeight="1">
      <c r="A65" s="41"/>
      <c r="B65" s="42"/>
      <c r="C65" s="424"/>
      <c r="D65" s="42"/>
      <c r="E65" s="43"/>
      <c r="F65" s="43"/>
      <c r="G65" s="44"/>
      <c r="H65" s="45"/>
      <c r="I65" s="46"/>
      <c r="J65" s="84"/>
      <c r="K65" s="84"/>
      <c r="L65" s="36"/>
      <c r="M65" s="36"/>
      <c r="N65" s="47"/>
      <c r="O65" s="48"/>
      <c r="P65" s="49"/>
      <c r="Q65" s="48"/>
      <c r="R65" s="394"/>
      <c r="S65" s="394"/>
      <c r="T65" s="38"/>
      <c r="U65" s="38"/>
      <c r="V65" s="38"/>
      <c r="W65" s="38"/>
      <c r="X65" s="39"/>
      <c r="Y65" s="211"/>
      <c r="Z65" s="38"/>
      <c r="AA65" s="38"/>
      <c r="AB65" s="38"/>
      <c r="AC65" s="38"/>
      <c r="AD65" s="38"/>
      <c r="AE65" s="228"/>
      <c r="AF65" s="34"/>
      <c r="AG65" s="34"/>
      <c r="AH65" s="34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4"/>
      <c r="BC65" s="54"/>
      <c r="BD65" s="52"/>
      <c r="BE65" s="52"/>
      <c r="BF65" s="52"/>
    </row>
    <row r="66" spans="1:58" ht="12.75" customHeight="1">
      <c r="A66" s="41">
        <v>46006</v>
      </c>
      <c r="B66" s="42" t="s">
        <v>417</v>
      </c>
      <c r="C66" s="424">
        <f>(M66*E66*O66*Q66)/100000000</f>
        <v>49.097446054054053</v>
      </c>
      <c r="D66" s="42" t="s">
        <v>285</v>
      </c>
      <c r="E66" s="43">
        <v>11.5</v>
      </c>
      <c r="F66" s="43">
        <v>1</v>
      </c>
      <c r="G66" s="44">
        <v>1400</v>
      </c>
      <c r="H66" s="484">
        <f>+N66</f>
        <v>0.24</v>
      </c>
      <c r="I66" s="46">
        <v>0.88</v>
      </c>
      <c r="J66" s="84">
        <f>E66*G66*(1-H66)*1440/1000000*2.87</f>
        <v>50.5689408</v>
      </c>
      <c r="K66" s="84">
        <f>(IF(G66&lt;L66,L66,G66)*(1-IF(H66&lt;N66,H66,N66))*E66*O66*Q66)/100000000</f>
        <v>49.097446054054053</v>
      </c>
      <c r="L66" s="36">
        <v>1400</v>
      </c>
      <c r="M66" s="36">
        <v>1064</v>
      </c>
      <c r="N66" s="47">
        <f>1-(M66/L66)</f>
        <v>0.24</v>
      </c>
      <c r="O66" s="48">
        <f>+'Trim Rwd'!H43</f>
        <v>278.64864864864865</v>
      </c>
      <c r="P66" s="49">
        <f>O66*(Q66-R66-S66)</f>
        <v>377847.56756756757</v>
      </c>
      <c r="Q66" s="48">
        <v>1440</v>
      </c>
      <c r="R66" s="394">
        <v>0</v>
      </c>
      <c r="S66" s="394">
        <v>84</v>
      </c>
      <c r="T66" s="38">
        <f>E66*M66*O66*Q66/100000000</f>
        <v>49.097446054054053</v>
      </c>
      <c r="U66" s="38">
        <f>E66*M66*O66*(Q66-R66-S66)/100000000</f>
        <v>46.233428367567569</v>
      </c>
      <c r="V66" s="38">
        <f>E66*G66*(1-N66)*O66/100*(R66+S66)/1000000</f>
        <v>2.8640176864864864</v>
      </c>
      <c r="W66" s="38">
        <f>+'15'!K34/1000</f>
        <v>38.723999999999997</v>
      </c>
      <c r="X66" s="391">
        <f>SUM(W66:W69)/SUM(K66:K69)</f>
        <v>0.78871719635613302</v>
      </c>
      <c r="Y66" s="38">
        <v>0</v>
      </c>
      <c r="Z66" s="38">
        <v>0</v>
      </c>
      <c r="AA66" s="50">
        <f>SUM(U66:U69)-SUM(W66:W69)-SUM(Z66:Z69)-SUM(Y66:Y69)</f>
        <v>7.5094283675675726</v>
      </c>
      <c r="AB66" s="50">
        <f>(SUM(K66:K69)-SUM(W66:W69)-SUM(Y66:Y69)-SUM(Z66:Z69)-SUM(AC66:AC69)-SUM(V66:V69))-AA66</f>
        <v>0</v>
      </c>
      <c r="AC66" s="38">
        <f>K66-T66</f>
        <v>0</v>
      </c>
      <c r="AD66" s="38">
        <f>+AM66+BA66</f>
        <v>50</v>
      </c>
      <c r="AE66" s="228" t="s">
        <v>592</v>
      </c>
      <c r="AF66" s="38">
        <v>50</v>
      </c>
      <c r="AG66" s="38"/>
      <c r="AH66" s="38"/>
      <c r="AI66" s="469"/>
      <c r="AJ66" s="38"/>
      <c r="AK66" s="38"/>
      <c r="AL66" s="38"/>
      <c r="AM66" s="38">
        <f>SUM(AF66:AL66)+AT66+AV66+AX66</f>
        <v>50</v>
      </c>
      <c r="AN66" s="38"/>
      <c r="AO66" s="38"/>
      <c r="AP66" s="38"/>
      <c r="AQ66" s="38"/>
      <c r="AR66" s="38">
        <f>SUM(AN66:AQ66)</f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+AR66+AS66+AU66+AW66+AY66+AZ66</f>
        <v>0</v>
      </c>
      <c r="BB66" s="34">
        <v>10</v>
      </c>
      <c r="BC66" s="52"/>
      <c r="BD66" s="52"/>
      <c r="BE66" s="34"/>
      <c r="BF66" s="52"/>
    </row>
    <row r="67" spans="1:58" ht="12.95" customHeight="1">
      <c r="A67" s="41"/>
      <c r="B67" s="42"/>
      <c r="C67" s="424"/>
      <c r="D67" s="42"/>
      <c r="E67" s="43"/>
      <c r="F67" s="43"/>
      <c r="G67" s="44"/>
      <c r="H67" s="45"/>
      <c r="I67" s="46"/>
      <c r="J67" s="84"/>
      <c r="K67" s="84"/>
      <c r="L67" s="36"/>
      <c r="M67" s="36"/>
      <c r="N67" s="47"/>
      <c r="O67" s="48"/>
      <c r="P67" s="49"/>
      <c r="Q67" s="48"/>
      <c r="R67" s="394"/>
      <c r="S67" s="394"/>
      <c r="T67" s="38"/>
      <c r="U67" s="38"/>
      <c r="V67" s="38"/>
      <c r="W67" s="38"/>
      <c r="X67" s="39"/>
      <c r="Y67" s="211"/>
      <c r="Z67" s="38"/>
      <c r="AA67" s="38"/>
      <c r="AB67" s="38"/>
      <c r="AC67" s="38"/>
      <c r="AD67" s="38">
        <f>+AM67+BA67</f>
        <v>5</v>
      </c>
      <c r="AE67" s="228" t="s">
        <v>446</v>
      </c>
      <c r="AF67" s="38"/>
      <c r="AG67" s="38">
        <v>5</v>
      </c>
      <c r="AH67" s="38"/>
      <c r="AI67" s="469"/>
      <c r="AJ67" s="38"/>
      <c r="AK67" s="38"/>
      <c r="AL67" s="38"/>
      <c r="AM67" s="38">
        <f>SUM(AF67:AL67)+AT67+AV67+AX67</f>
        <v>5</v>
      </c>
      <c r="AN67" s="85"/>
      <c r="AO67" s="38"/>
      <c r="AP67" s="38"/>
      <c r="AQ67" s="38"/>
      <c r="AR67" s="38">
        <f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51"/>
      <c r="BC67" s="52">
        <v>1</v>
      </c>
      <c r="BD67" s="52"/>
      <c r="BE67" s="51"/>
      <c r="BF67" s="52"/>
    </row>
    <row r="68" spans="1:58" ht="12.95" customHeight="1">
      <c r="A68" s="41"/>
      <c r="B68" s="42"/>
      <c r="C68" s="424"/>
      <c r="D68" s="42"/>
      <c r="E68" s="43"/>
      <c r="F68" s="43"/>
      <c r="G68" s="44"/>
      <c r="H68" s="45"/>
      <c r="I68" s="46"/>
      <c r="J68" s="84"/>
      <c r="K68" s="84"/>
      <c r="L68" s="36"/>
      <c r="M68" s="36"/>
      <c r="N68" s="47"/>
      <c r="O68" s="48"/>
      <c r="P68" s="49"/>
      <c r="Q68" s="48"/>
      <c r="R68" s="394"/>
      <c r="S68" s="394"/>
      <c r="T68" s="38"/>
      <c r="U68" s="38"/>
      <c r="V68" s="38"/>
      <c r="W68" s="38"/>
      <c r="X68" s="39"/>
      <c r="Y68" s="211"/>
      <c r="Z68" s="38"/>
      <c r="AA68" s="38"/>
      <c r="AB68" s="38"/>
      <c r="AC68" s="38"/>
      <c r="AD68" s="38">
        <f>+AM68+BA68</f>
        <v>29</v>
      </c>
      <c r="AE68" s="228" t="s">
        <v>514</v>
      </c>
      <c r="AF68" s="34"/>
      <c r="AG68" s="34"/>
      <c r="AH68" s="34">
        <v>29</v>
      </c>
      <c r="AI68" s="469"/>
      <c r="AJ68" s="38"/>
      <c r="AK68" s="38"/>
      <c r="AL68" s="38"/>
      <c r="AM68" s="38">
        <f>SUM(AF68:AL68)+AT68+AV68+AX68</f>
        <v>29</v>
      </c>
      <c r="AN68" s="38"/>
      <c r="AO68" s="38"/>
      <c r="AP68" s="38"/>
      <c r="AQ68" s="38"/>
      <c r="AR68" s="38">
        <f>SUM(AN68:AQ68)</f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>+AR68+AS68+AU68+AW68+AY68+AZ68</f>
        <v>0</v>
      </c>
      <c r="BB68" s="34"/>
      <c r="BC68" s="54"/>
      <c r="BD68" s="54"/>
      <c r="BE68" s="34"/>
      <c r="BF68" s="54"/>
    </row>
    <row r="69" spans="1:58" ht="12.95" customHeight="1">
      <c r="A69" s="41"/>
      <c r="B69" s="42"/>
      <c r="C69" s="424"/>
      <c r="D69" s="42"/>
      <c r="E69" s="43"/>
      <c r="F69" s="43"/>
      <c r="G69" s="44"/>
      <c r="H69" s="45"/>
      <c r="I69" s="46"/>
      <c r="J69" s="84"/>
      <c r="K69" s="84"/>
      <c r="L69" s="36"/>
      <c r="M69" s="36"/>
      <c r="N69" s="47"/>
      <c r="O69" s="48"/>
      <c r="P69" s="49"/>
      <c r="Q69" s="48"/>
      <c r="R69" s="394"/>
      <c r="S69" s="394"/>
      <c r="T69" s="38"/>
      <c r="U69" s="38"/>
      <c r="V69" s="38"/>
      <c r="W69" s="38"/>
      <c r="X69" s="39"/>
      <c r="Y69" s="211"/>
      <c r="Z69" s="38"/>
      <c r="AA69" s="38"/>
      <c r="AB69" s="38"/>
      <c r="AC69" s="38"/>
      <c r="AD69" s="38"/>
      <c r="AE69" s="228"/>
      <c r="AF69" s="34"/>
      <c r="AG69" s="34"/>
      <c r="AH69" s="34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4"/>
      <c r="BC69" s="54"/>
      <c r="BD69" s="54"/>
      <c r="BE69" s="34"/>
      <c r="BF69" s="54"/>
    </row>
    <row r="70" spans="1:58" ht="12.75" customHeight="1">
      <c r="A70" s="41">
        <v>46007</v>
      </c>
      <c r="B70" s="42" t="s">
        <v>417</v>
      </c>
      <c r="C70" s="424">
        <f>(M70*E70*O70*Q70)/100000000</f>
        <v>20.385176000000001</v>
      </c>
      <c r="D70" s="42" t="s">
        <v>285</v>
      </c>
      <c r="E70" s="43">
        <v>11.5</v>
      </c>
      <c r="F70" s="43">
        <v>1</v>
      </c>
      <c r="G70" s="44">
        <v>1400</v>
      </c>
      <c r="H70" s="484">
        <f>+N70</f>
        <v>0.24</v>
      </c>
      <c r="I70" s="46">
        <v>0.88</v>
      </c>
      <c r="J70" s="84">
        <f>E70*G70*(1-H70)*1440/1000000*2.87</f>
        <v>50.5689408</v>
      </c>
      <c r="K70" s="84">
        <f>(IF(G70&lt;L70,L70,G70)*(1-IF(H70&lt;N70,H70,N70))*E70*O70*Q70)/100000000</f>
        <v>20.385176000000001</v>
      </c>
      <c r="L70" s="36">
        <v>1400</v>
      </c>
      <c r="M70" s="36">
        <v>1064</v>
      </c>
      <c r="N70" s="47">
        <f>1-(M70/L70)</f>
        <v>0.24</v>
      </c>
      <c r="O70" s="48">
        <f>+'Trim Rwd'!H46</f>
        <v>280</v>
      </c>
      <c r="P70" s="49">
        <f>O70*(Q70-R70-S70)</f>
        <v>160440</v>
      </c>
      <c r="Q70" s="48">
        <v>595</v>
      </c>
      <c r="R70" s="394">
        <v>0</v>
      </c>
      <c r="S70" s="394">
        <v>22</v>
      </c>
      <c r="T70" s="38">
        <f>E70*M70*O70*Q70/100000000</f>
        <v>20.385176000000001</v>
      </c>
      <c r="U70" s="38">
        <f>E70*M70*O70*(Q70-R70-S70)/100000000</f>
        <v>19.6314384</v>
      </c>
      <c r="V70" s="38">
        <f>E70*G70*(1-N70)*O70/100*(R70+S70)/1000000</f>
        <v>0.75373760000000012</v>
      </c>
      <c r="W70" s="38">
        <f>+'16'!K13/1000</f>
        <v>27.555</v>
      </c>
      <c r="X70" s="391">
        <f>SUM(W70:W73)/SUM(K70:K73)</f>
        <v>0.91847634085043084</v>
      </c>
      <c r="Y70" s="38">
        <v>0</v>
      </c>
      <c r="Z70" s="38">
        <f>+'16'!D34/1000</f>
        <v>0.27500000000000002</v>
      </c>
      <c r="AA70" s="50">
        <f>SUM(U70:U73)-SUM(W70:W73)-SUM(Z70:Z73)-SUM(Y70:Y73)</f>
        <v>2.2758154400000081</v>
      </c>
      <c r="AB70" s="50">
        <f>(SUM(K70:K73)-SUM(W70:W73)-SUM(Y70:Y73)-SUM(Z70:Z73)-SUM(AC70:AC73)-SUM(V70:V73))-AA70</f>
        <v>0</v>
      </c>
      <c r="AC70" s="38">
        <f>K70-T70</f>
        <v>0</v>
      </c>
      <c r="AD70" s="38">
        <f>+AM70+BA70</f>
        <v>0</v>
      </c>
      <c r="AE70" s="228" t="s">
        <v>392</v>
      </c>
      <c r="AF70" s="38">
        <v>0</v>
      </c>
      <c r="AG70" s="38"/>
      <c r="AH70" s="38"/>
      <c r="AI70" s="469"/>
      <c r="AJ70" s="38"/>
      <c r="AK70" s="38"/>
      <c r="AL70" s="38"/>
      <c r="AM70" s="38">
        <f>SUM(AF70:AL70)+AT70+AV70+AX70</f>
        <v>0</v>
      </c>
      <c r="AN70" s="38"/>
      <c r="AO70" s="38"/>
      <c r="AP70" s="38"/>
      <c r="AQ70" s="38"/>
      <c r="AR70" s="38">
        <f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+AR70+AS70+AU70+AW70+AY70+AZ70</f>
        <v>0</v>
      </c>
      <c r="BB70" s="34">
        <v>0</v>
      </c>
      <c r="BC70" s="52"/>
      <c r="BD70" s="52"/>
      <c r="BE70" s="34"/>
      <c r="BF70" s="52"/>
    </row>
    <row r="71" spans="1:58" ht="12.95" customHeight="1">
      <c r="A71" s="41"/>
      <c r="B71" s="42" t="s">
        <v>419</v>
      </c>
      <c r="C71" s="424">
        <f>(M71*E71*O71*Q71)/100000000</f>
        <v>29.604135600000006</v>
      </c>
      <c r="D71" s="42" t="s">
        <v>285</v>
      </c>
      <c r="E71" s="43">
        <v>12</v>
      </c>
      <c r="F71" s="43">
        <v>1</v>
      </c>
      <c r="G71" s="44">
        <v>1400</v>
      </c>
      <c r="H71" s="484">
        <f>+N71</f>
        <v>0.24</v>
      </c>
      <c r="I71" s="46">
        <v>0.88</v>
      </c>
      <c r="J71" s="84">
        <f>E71*G71*(1-H71)*1440/1000000*2.87</f>
        <v>52.767590399999996</v>
      </c>
      <c r="K71" s="84">
        <f>(IF(G71&lt;L71,L71,G71)*(1-IF(H71&lt;N71,H71,N71))*E71*O71*Q71)/100000000</f>
        <v>29.604135600000006</v>
      </c>
      <c r="L71" s="36">
        <v>1400</v>
      </c>
      <c r="M71" s="36">
        <v>1064</v>
      </c>
      <c r="N71" s="47">
        <f>1-(M71/L71)</f>
        <v>0.24</v>
      </c>
      <c r="O71" s="48">
        <f>+'Trim Rwd'!H47</f>
        <v>274.39285714285717</v>
      </c>
      <c r="P71" s="49">
        <f>O71*(Q71-R71-S71)</f>
        <v>225825.32142857145</v>
      </c>
      <c r="Q71" s="48">
        <v>845</v>
      </c>
      <c r="R71" s="394">
        <v>0</v>
      </c>
      <c r="S71" s="394">
        <v>22</v>
      </c>
      <c r="T71" s="38">
        <f>E71*M71*O71*Q71/100000000</f>
        <v>29.604135600000006</v>
      </c>
      <c r="U71" s="38">
        <f>E71*M71*O71*(Q71-R71-S71)/100000000</f>
        <v>28.833377040000006</v>
      </c>
      <c r="V71" s="38">
        <f>E71*G71*(1-N71)*O71/100*(R71+S71)/1000000</f>
        <v>0.77075856000000009</v>
      </c>
      <c r="W71" s="38">
        <f>+'16'!K14/1000</f>
        <v>18.359000000000002</v>
      </c>
      <c r="X71" s="39"/>
      <c r="Y71" s="211"/>
      <c r="Z71" s="38"/>
      <c r="AA71" s="38"/>
      <c r="AB71" s="38"/>
      <c r="AC71" s="38">
        <f>K71-T71</f>
        <v>0</v>
      </c>
      <c r="AD71" s="38">
        <f>+AM71+BA71</f>
        <v>6</v>
      </c>
      <c r="AE71" s="228" t="s">
        <v>478</v>
      </c>
      <c r="AF71" s="38"/>
      <c r="AG71" s="38">
        <v>6</v>
      </c>
      <c r="AH71" s="38"/>
      <c r="AI71" s="469"/>
      <c r="AJ71" s="38"/>
      <c r="AK71" s="38"/>
      <c r="AL71" s="38"/>
      <c r="AM71" s="38">
        <f>SUM(AF71:AL71)+AT71+AV71+AX71</f>
        <v>6</v>
      </c>
      <c r="AN71" s="85"/>
      <c r="AO71" s="38"/>
      <c r="AP71" s="38"/>
      <c r="AQ71" s="38"/>
      <c r="AR71" s="38">
        <f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51"/>
      <c r="BC71" s="52">
        <v>2</v>
      </c>
      <c r="BD71" s="52"/>
      <c r="BE71" s="51"/>
      <c r="BF71" s="52"/>
    </row>
    <row r="72" spans="1:58" ht="12.95" customHeight="1">
      <c r="A72" s="41"/>
      <c r="B72" s="42"/>
      <c r="C72" s="424"/>
      <c r="D72" s="42"/>
      <c r="E72" s="43"/>
      <c r="F72" s="43"/>
      <c r="G72" s="44"/>
      <c r="H72" s="45"/>
      <c r="I72" s="46"/>
      <c r="J72" s="84"/>
      <c r="K72" s="84"/>
      <c r="L72" s="36"/>
      <c r="M72" s="36"/>
      <c r="N72" s="47"/>
      <c r="O72" s="48"/>
      <c r="P72" s="49"/>
      <c r="Q72" s="48"/>
      <c r="R72" s="394"/>
      <c r="S72" s="394"/>
      <c r="T72" s="38"/>
      <c r="U72" s="38"/>
      <c r="V72" s="38"/>
      <c r="W72" s="38"/>
      <c r="X72" s="39"/>
      <c r="Y72" s="211"/>
      <c r="Z72" s="38"/>
      <c r="AA72" s="38"/>
      <c r="AB72" s="38"/>
      <c r="AC72" s="38"/>
      <c r="AD72" s="38">
        <f>+AM72+BA72</f>
        <v>38</v>
      </c>
      <c r="AE72" s="228" t="s">
        <v>574</v>
      </c>
      <c r="AF72" s="34"/>
      <c r="AG72" s="34"/>
      <c r="AH72" s="34">
        <v>38</v>
      </c>
      <c r="AI72" s="469"/>
      <c r="AJ72" s="38"/>
      <c r="AK72" s="38"/>
      <c r="AL72" s="38"/>
      <c r="AM72" s="38">
        <f>SUM(AF72:AL72)+AT72+AV72+AX72</f>
        <v>38</v>
      </c>
      <c r="AN72" s="38"/>
      <c r="AO72" s="38"/>
      <c r="AP72" s="38"/>
      <c r="AQ72" s="38"/>
      <c r="AR72" s="38">
        <f>SUM(AN72:AQ72)</f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34"/>
      <c r="BC72" s="54"/>
      <c r="BD72" s="54"/>
      <c r="BE72" s="34"/>
      <c r="BF72" s="54"/>
    </row>
    <row r="73" spans="1:58" ht="12.95" customHeight="1">
      <c r="A73" s="41"/>
      <c r="B73" s="42"/>
      <c r="C73" s="424"/>
      <c r="D73" s="42"/>
      <c r="E73" s="43"/>
      <c r="F73" s="43"/>
      <c r="G73" s="44"/>
      <c r="H73" s="45"/>
      <c r="I73" s="46"/>
      <c r="J73" s="84"/>
      <c r="K73" s="84"/>
      <c r="L73" s="36"/>
      <c r="M73" s="36"/>
      <c r="N73" s="47"/>
      <c r="O73" s="48"/>
      <c r="P73" s="49"/>
      <c r="Q73" s="48"/>
      <c r="R73" s="394"/>
      <c r="S73" s="394"/>
      <c r="T73" s="38"/>
      <c r="U73" s="38"/>
      <c r="V73" s="38"/>
      <c r="W73" s="38"/>
      <c r="X73" s="39"/>
      <c r="Y73" s="211"/>
      <c r="Z73" s="38"/>
      <c r="AA73" s="38"/>
      <c r="AB73" s="38"/>
      <c r="AC73" s="38"/>
      <c r="AD73" s="38"/>
      <c r="AE73" s="228"/>
      <c r="AF73" s="34"/>
      <c r="AG73" s="34"/>
      <c r="AH73" s="34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4"/>
      <c r="BD73" s="54"/>
      <c r="BE73" s="34"/>
      <c r="BF73" s="54"/>
    </row>
    <row r="74" spans="1:58" ht="12.75" customHeight="1">
      <c r="A74" s="41">
        <v>46008</v>
      </c>
      <c r="B74" s="42" t="s">
        <v>419</v>
      </c>
      <c r="C74" s="424">
        <f>(M74*E74*O74*Q74)/100000000</f>
        <v>34.908005036065575</v>
      </c>
      <c r="D74" s="42" t="s">
        <v>285</v>
      </c>
      <c r="E74" s="43">
        <v>12</v>
      </c>
      <c r="F74" s="43">
        <v>1</v>
      </c>
      <c r="G74" s="44">
        <v>1400</v>
      </c>
      <c r="H74" s="484">
        <f>+N74</f>
        <v>0.24</v>
      </c>
      <c r="I74" s="46">
        <v>0.88</v>
      </c>
      <c r="J74" s="84">
        <f>E74*G74*(1-H74)*1440/1000000*2.87</f>
        <v>52.767590399999996</v>
      </c>
      <c r="K74" s="84">
        <f>(IF(G74&lt;L74,L74,G74)*(1-IF(H74&lt;N74,H74,N74))*E74*O74*Q74)/100000000</f>
        <v>34.908005036065575</v>
      </c>
      <c r="L74" s="36">
        <v>1400</v>
      </c>
      <c r="M74" s="36">
        <v>1064</v>
      </c>
      <c r="N74" s="47">
        <f>1-(M74/L74)</f>
        <v>0.24</v>
      </c>
      <c r="O74" s="48">
        <f>+'Trim Rwd'!H50</f>
        <v>276.1639344262295</v>
      </c>
      <c r="P74" s="49">
        <f>O74*(Q74-R74-S74)</f>
        <v>266498.19672131148</v>
      </c>
      <c r="Q74" s="48">
        <v>990</v>
      </c>
      <c r="R74" s="394">
        <v>0</v>
      </c>
      <c r="S74" s="394">
        <v>25</v>
      </c>
      <c r="T74" s="38">
        <f>E74*M74*O74*Q74/100000000</f>
        <v>34.908005036065575</v>
      </c>
      <c r="U74" s="38">
        <f>E74*M74*O74*(Q74-R74-S74)/100000000</f>
        <v>34.02648975737705</v>
      </c>
      <c r="V74" s="38">
        <f>E74*G74*(1-N74)*O74/100*(R74+S74)/1000000</f>
        <v>0.88151527868852464</v>
      </c>
      <c r="W74" s="38">
        <f>+'17'!K14/1000</f>
        <v>41.503999999999998</v>
      </c>
      <c r="X74" s="391">
        <f>SUM(W74:W77)/SUM(K74:K77)</f>
        <v>1.0083279460209367</v>
      </c>
      <c r="Y74" s="38">
        <v>0</v>
      </c>
      <c r="Z74" s="38">
        <f>+'17'!D34/1000</f>
        <v>0.63200000000000001</v>
      </c>
      <c r="AA74" s="50">
        <f>SUM(U74:U77)-SUM(W74:W77)-SUM(Z74:Z77)-SUM(Y74:Y77)</f>
        <v>-2.5203777223199162</v>
      </c>
      <c r="AB74" s="50">
        <f>(SUM(K74:K77)-SUM(W74:W77)-SUM(Y74:Y77)-SUM(Z74:Z77)-SUM(AC74:AC77)-SUM(V74:V77))-AA74</f>
        <v>3.8519161128526935E-2</v>
      </c>
      <c r="AC74" s="38">
        <f>K74-T74</f>
        <v>0</v>
      </c>
      <c r="AD74" s="38">
        <f>+AM74+BA74</f>
        <v>10</v>
      </c>
      <c r="AE74" s="228" t="s">
        <v>510</v>
      </c>
      <c r="AF74" s="38">
        <v>10</v>
      </c>
      <c r="AG74" s="38"/>
      <c r="AH74" s="38"/>
      <c r="AI74" s="469"/>
      <c r="AJ74" s="38"/>
      <c r="AK74" s="38"/>
      <c r="AL74" s="38"/>
      <c r="AM74" s="38">
        <f>SUM(AF74:AL74)+AT74+AV74+AX74</f>
        <v>10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+AR74+AS74+AU74+AW74+AY74+AZ74</f>
        <v>0</v>
      </c>
      <c r="BB74" s="34">
        <v>2</v>
      </c>
      <c r="BC74" s="52"/>
      <c r="BD74" s="52"/>
      <c r="BE74" s="34"/>
      <c r="BF74" s="52"/>
    </row>
    <row r="75" spans="1:58" ht="12.95" customHeight="1">
      <c r="A75" s="41"/>
      <c r="B75" s="42" t="s">
        <v>419</v>
      </c>
      <c r="C75" s="424">
        <f>(M75*E75*O75*Q75)/100000000</f>
        <v>10.919590012121212</v>
      </c>
      <c r="D75" s="42" t="s">
        <v>285</v>
      </c>
      <c r="E75" s="43">
        <v>17</v>
      </c>
      <c r="F75" s="43">
        <v>1</v>
      </c>
      <c r="G75" s="44">
        <v>980</v>
      </c>
      <c r="H75" s="484">
        <f>+N75</f>
        <v>0.18857142857142861</v>
      </c>
      <c r="I75" s="46">
        <v>0.88</v>
      </c>
      <c r="J75" s="84">
        <f>E75*G75*(1-H75)*1440/1000000*2.87</f>
        <v>55.868843519999999</v>
      </c>
      <c r="K75" s="84">
        <f>(IF(G75&lt;L75,L75,G75)*(1-IF(H75&lt;N75,H75,N75))*E75*O75*Q75)/100000000</f>
        <v>10.919590012121212</v>
      </c>
      <c r="L75" s="36">
        <v>1009.6969696969697</v>
      </c>
      <c r="M75" s="36">
        <v>819.29696969696965</v>
      </c>
      <c r="N75" s="47">
        <f>1-(M75/L75)</f>
        <v>0.18857142857142861</v>
      </c>
      <c r="O75" s="48">
        <f>+'Trim Rwd'!H53</f>
        <v>280</v>
      </c>
      <c r="P75" s="49">
        <f>O75*(Q75-R75-S75)</f>
        <v>75880</v>
      </c>
      <c r="Q75" s="48">
        <v>280</v>
      </c>
      <c r="R75" s="394">
        <v>0</v>
      </c>
      <c r="S75" s="394">
        <v>9</v>
      </c>
      <c r="T75" s="38">
        <f>E75*M75*O75*Q75/100000000</f>
        <v>10.919590012121212</v>
      </c>
      <c r="U75" s="38">
        <f>E75*M75*O75*(Q75-R75-S75)/100000000</f>
        <v>10.56860319030303</v>
      </c>
      <c r="V75" s="38">
        <f>E75*G75*(1-N75)*O75/100*(R75+S75)/1000000</f>
        <v>0.34066367999999997</v>
      </c>
      <c r="W75" s="38">
        <f>+'17'!K15/1000</f>
        <v>10.757</v>
      </c>
      <c r="X75" s="39"/>
      <c r="Y75" s="211"/>
      <c r="Z75" s="38"/>
      <c r="AA75" s="38"/>
      <c r="AB75" s="38"/>
      <c r="AC75" s="38">
        <f>K75-T75</f>
        <v>0</v>
      </c>
      <c r="AD75" s="38">
        <f>+AM75+BA75</f>
        <v>0</v>
      </c>
      <c r="AE75" s="228" t="s">
        <v>415</v>
      </c>
      <c r="AF75" s="38"/>
      <c r="AG75" s="38">
        <v>0</v>
      </c>
      <c r="AH75" s="38"/>
      <c r="AI75" s="469"/>
      <c r="AJ75" s="38"/>
      <c r="AK75" s="38"/>
      <c r="AL75" s="38"/>
      <c r="AM75" s="38">
        <f>SUM(AF75:AL75)+AT75+AV75+AX75</f>
        <v>0</v>
      </c>
      <c r="AN75" s="85"/>
      <c r="AO75" s="38"/>
      <c r="AP75" s="38"/>
      <c r="AQ75" s="38"/>
      <c r="AR75" s="38">
        <f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51"/>
      <c r="BC75" s="52">
        <v>0</v>
      </c>
      <c r="BD75" s="52"/>
      <c r="BE75" s="51"/>
      <c r="BF75" s="52"/>
    </row>
    <row r="76" spans="1:58" ht="12.95" customHeight="1">
      <c r="A76" s="41"/>
      <c r="B76" s="42" t="s">
        <v>419</v>
      </c>
      <c r="C76" s="424">
        <f>(M76*E76*O76*Q76)/100000000</f>
        <v>7.2662423399999998</v>
      </c>
      <c r="D76" s="42" t="s">
        <v>285</v>
      </c>
      <c r="E76" s="43">
        <v>18</v>
      </c>
      <c r="F76" s="43">
        <v>1</v>
      </c>
      <c r="G76" s="44">
        <v>965</v>
      </c>
      <c r="H76" s="484">
        <f>+N76</f>
        <v>0.22606446776611699</v>
      </c>
      <c r="I76" s="46">
        <v>0.88</v>
      </c>
      <c r="J76" s="84">
        <f>E76*G76*(1-H76)*1440/1000000*2.87</f>
        <v>55.558305733493256</v>
      </c>
      <c r="K76" s="84">
        <f>(IF(G76&lt;L76,L76,G76)*(1-IF(H76&lt;N76,H76,N76))*E76*O76*Q76)/100000000</f>
        <v>7.2662423399999998</v>
      </c>
      <c r="L76" s="36">
        <v>1111.6666666666667</v>
      </c>
      <c r="M76" s="36">
        <v>860.35833333333335</v>
      </c>
      <c r="N76" s="47">
        <f>1-(M76/L76)</f>
        <v>0.22606446776611699</v>
      </c>
      <c r="O76" s="48">
        <f>+'Trim Rwd'!H54</f>
        <v>276</v>
      </c>
      <c r="P76" s="49">
        <f>O76*(Q76-R76-S76)</f>
        <v>45540</v>
      </c>
      <c r="Q76" s="48">
        <v>170</v>
      </c>
      <c r="R76" s="394">
        <v>0</v>
      </c>
      <c r="S76" s="394">
        <v>5</v>
      </c>
      <c r="T76" s="38">
        <f>E76*M76*O76*Q76/100000000</f>
        <v>7.2662423399999998</v>
      </c>
      <c r="U76" s="38">
        <f>E76*M76*O76*(Q76-R76-S76)/100000000</f>
        <v>7.0525293299999996</v>
      </c>
      <c r="V76" s="38">
        <f>E76*G76*(1-N76)*O76/100*(R76+S76)/1000000</f>
        <v>0.18551699068965519</v>
      </c>
      <c r="W76" s="38">
        <f>+'17'!K11/1000</f>
        <v>1.2749999999999999</v>
      </c>
      <c r="X76" s="39"/>
      <c r="Y76" s="211"/>
      <c r="Z76" s="38"/>
      <c r="AA76" s="38"/>
      <c r="AB76" s="38"/>
      <c r="AC76" s="38">
        <f>K76-T76</f>
        <v>0</v>
      </c>
      <c r="AD76" s="38">
        <f>+AM76+BA76</f>
        <v>29</v>
      </c>
      <c r="AE76" s="228" t="s">
        <v>513</v>
      </c>
      <c r="AF76" s="34"/>
      <c r="AG76" s="34"/>
      <c r="AH76" s="34">
        <v>29</v>
      </c>
      <c r="AI76" s="469"/>
      <c r="AJ76" s="38"/>
      <c r="AK76" s="38"/>
      <c r="AL76" s="38"/>
      <c r="AM76" s="38">
        <f>SUM(AF76:AL76)+AT76+AV76+AX76</f>
        <v>29</v>
      </c>
      <c r="AN76" s="38"/>
      <c r="AO76" s="38"/>
      <c r="AP76" s="38"/>
      <c r="AQ76" s="38"/>
      <c r="AR76" s="38">
        <f>SUM(AN76:AQ76)</f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34"/>
      <c r="BC76" s="54"/>
      <c r="BD76" s="54"/>
      <c r="BE76" s="34"/>
      <c r="BF76" s="54"/>
    </row>
    <row r="77" spans="1:58" ht="12.75" customHeight="1">
      <c r="A77" s="41"/>
      <c r="B77" s="42"/>
      <c r="C77" s="424"/>
      <c r="D77" s="42"/>
      <c r="E77" s="43"/>
      <c r="F77" s="43"/>
      <c r="G77" s="44"/>
      <c r="H77" s="45"/>
      <c r="I77" s="46"/>
      <c r="J77" s="84"/>
      <c r="K77" s="84"/>
      <c r="L77" s="36"/>
      <c r="M77" s="36"/>
      <c r="N77" s="47"/>
      <c r="O77" s="48"/>
      <c r="P77" s="49"/>
      <c r="Q77" s="48"/>
      <c r="R77" s="394"/>
      <c r="S77" s="394"/>
      <c r="T77" s="38"/>
      <c r="U77" s="38"/>
      <c r="V77" s="38"/>
      <c r="W77" s="38"/>
      <c r="X77" s="39"/>
      <c r="Y77" s="211"/>
      <c r="Z77" s="38"/>
      <c r="AA77" s="38"/>
      <c r="AB77" s="38"/>
      <c r="AC77" s="38"/>
      <c r="AD77" s="38"/>
      <c r="AE77" s="228"/>
      <c r="AF77" s="34"/>
      <c r="AG77" s="34"/>
      <c r="AH77" s="34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4"/>
      <c r="BC77" s="54"/>
      <c r="BD77" s="54"/>
      <c r="BE77" s="34"/>
      <c r="BF77" s="54"/>
    </row>
    <row r="78" spans="1:58" ht="12.75" customHeight="1">
      <c r="A78" s="41">
        <v>46009</v>
      </c>
      <c r="B78" s="42" t="s">
        <v>419</v>
      </c>
      <c r="C78" s="424">
        <f>(M78*E78*O78*Q78)/100000000</f>
        <v>60.593702399999998</v>
      </c>
      <c r="D78" s="42" t="s">
        <v>285</v>
      </c>
      <c r="E78" s="43">
        <v>18</v>
      </c>
      <c r="F78" s="43">
        <v>1</v>
      </c>
      <c r="G78" s="44">
        <v>965</v>
      </c>
      <c r="H78" s="484">
        <f>+N78</f>
        <v>0.22999999999999998</v>
      </c>
      <c r="I78" s="46">
        <v>0.88</v>
      </c>
      <c r="J78" s="84">
        <f>E78*G78*(1-H78)*1440/1000000*2.87</f>
        <v>55.275786719999999</v>
      </c>
      <c r="K78" s="84">
        <f>(IF(G78&lt;L78,L78,G78)*(1-IF(H78&lt;N78,H78,N78))*E78*O78*Q78)/100000000</f>
        <v>60.593702399999998</v>
      </c>
      <c r="L78" s="36">
        <v>1100</v>
      </c>
      <c r="M78" s="36">
        <v>847</v>
      </c>
      <c r="N78" s="47">
        <f>1-(M78/L78)</f>
        <v>0.22999999999999998</v>
      </c>
      <c r="O78" s="48">
        <f>+'Trim Rwd'!H56</f>
        <v>276</v>
      </c>
      <c r="P78" s="49">
        <f>O78*(Q78-R78-S78)</f>
        <v>388884</v>
      </c>
      <c r="Q78" s="48">
        <v>1440</v>
      </c>
      <c r="R78" s="394">
        <v>0</v>
      </c>
      <c r="S78" s="394">
        <v>31</v>
      </c>
      <c r="T78" s="38">
        <f>E78*M78*O78*Q78/100000000</f>
        <v>60.593702399999998</v>
      </c>
      <c r="U78" s="38">
        <f>E78*M78*O78*(Q78-R78-S78)/100000000</f>
        <v>59.289254640000003</v>
      </c>
      <c r="V78" s="38">
        <f>E78*G78*(1-N78)*O78/100*(R78+S78)/1000000</f>
        <v>1.144356444</v>
      </c>
      <c r="W78" s="38">
        <f>+'18'!K34/1000</f>
        <v>51.192999999999998</v>
      </c>
      <c r="X78" s="391">
        <f>SUM(W78:W81)/SUM(K78:K81)</f>
        <v>0.84485677508294987</v>
      </c>
      <c r="Y78" s="38">
        <v>0</v>
      </c>
      <c r="Z78" s="38">
        <v>0</v>
      </c>
      <c r="AA78" s="50">
        <f>SUM(U78:U81)-SUM(W78:W81)-SUM(Z78:Z81)-SUM(Y78:Y81)</f>
        <v>8.0962546400000051</v>
      </c>
      <c r="AB78" s="50">
        <f>(SUM(K78:K81)-SUM(W78:W81)-SUM(Y78:Y81)-SUM(Z78:Z81)-SUM(AC78:AC81)-SUM(V78:V81))-AA78</f>
        <v>0.16009131599999549</v>
      </c>
      <c r="AC78" s="38">
        <f>K78-T78</f>
        <v>0</v>
      </c>
      <c r="AD78" s="38">
        <f>+AM78+BA78</f>
        <v>0</v>
      </c>
      <c r="AE78" s="228" t="s">
        <v>392</v>
      </c>
      <c r="AF78" s="38">
        <v>0</v>
      </c>
      <c r="AG78" s="38"/>
      <c r="AH78" s="38"/>
      <c r="AI78" s="469"/>
      <c r="AJ78" s="38"/>
      <c r="AK78" s="38"/>
      <c r="AL78" s="38"/>
      <c r="AM78" s="38">
        <f>SUM(AF78:AL78)+AT78+AV78+AX78</f>
        <v>0</v>
      </c>
      <c r="AN78" s="38"/>
      <c r="AO78" s="38"/>
      <c r="AP78" s="38"/>
      <c r="AQ78" s="38"/>
      <c r="AR78" s="38">
        <f>SUM(AN78:AQ78)</f>
        <v>0</v>
      </c>
      <c r="AS78" s="38"/>
      <c r="AT78" s="38"/>
      <c r="AU78" s="38"/>
      <c r="AV78" s="38"/>
      <c r="AW78" s="38"/>
      <c r="AX78" s="38"/>
      <c r="AY78" s="38"/>
      <c r="AZ78" s="38"/>
      <c r="BA78" s="38">
        <f>+AR78+AS78+AU78+AW78+AY78+AZ78</f>
        <v>0</v>
      </c>
      <c r="BB78" s="34">
        <v>0</v>
      </c>
      <c r="BC78" s="52"/>
      <c r="BD78" s="52"/>
      <c r="BE78" s="34"/>
      <c r="BF78" s="52"/>
    </row>
    <row r="79" spans="1:58" ht="12.95" customHeight="1">
      <c r="A79" s="41"/>
      <c r="B79" s="42"/>
      <c r="C79" s="424"/>
      <c r="D79" s="42"/>
      <c r="E79" s="43"/>
      <c r="F79" s="43"/>
      <c r="G79" s="44"/>
      <c r="H79" s="45"/>
      <c r="I79" s="46"/>
      <c r="J79" s="84"/>
      <c r="K79" s="84"/>
      <c r="L79" s="36"/>
      <c r="M79" s="36"/>
      <c r="N79" s="47"/>
      <c r="O79" s="48"/>
      <c r="P79" s="49"/>
      <c r="Q79" s="48"/>
      <c r="R79" s="394"/>
      <c r="S79" s="394"/>
      <c r="T79" s="38"/>
      <c r="U79" s="38"/>
      <c r="V79" s="38"/>
      <c r="W79" s="38"/>
      <c r="X79" s="39"/>
      <c r="Y79" s="211"/>
      <c r="Z79" s="38"/>
      <c r="AA79" s="38"/>
      <c r="AB79" s="38"/>
      <c r="AC79" s="38"/>
      <c r="AD79" s="38">
        <f>+AM79+BA79</f>
        <v>4</v>
      </c>
      <c r="AE79" s="228" t="s">
        <v>446</v>
      </c>
      <c r="AF79" s="38"/>
      <c r="AG79" s="38">
        <v>4</v>
      </c>
      <c r="AH79" s="38"/>
      <c r="AI79" s="469"/>
      <c r="AJ79" s="38"/>
      <c r="AK79" s="38"/>
      <c r="AL79" s="38"/>
      <c r="AM79" s="38">
        <f>SUM(AF79:AL79)+AT79+AV79+AX79</f>
        <v>4</v>
      </c>
      <c r="AN79" s="85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51"/>
      <c r="BC79" s="52">
        <v>1</v>
      </c>
      <c r="BD79" s="52"/>
      <c r="BE79" s="51"/>
      <c r="BF79" s="52"/>
    </row>
    <row r="80" spans="1:58" ht="12.95" customHeight="1">
      <c r="A80" s="41"/>
      <c r="B80" s="42"/>
      <c r="C80" s="424"/>
      <c r="D80" s="42"/>
      <c r="E80" s="43"/>
      <c r="F80" s="43"/>
      <c r="G80" s="44"/>
      <c r="H80" s="45"/>
      <c r="I80" s="46"/>
      <c r="J80" s="84"/>
      <c r="K80" s="84"/>
      <c r="L80" s="36"/>
      <c r="M80" s="36"/>
      <c r="N80" s="47"/>
      <c r="O80" s="48"/>
      <c r="P80" s="49"/>
      <c r="Q80" s="48"/>
      <c r="R80" s="394"/>
      <c r="S80" s="394"/>
      <c r="T80" s="38"/>
      <c r="U80" s="38"/>
      <c r="V80" s="38"/>
      <c r="W80" s="38"/>
      <c r="X80" s="39"/>
      <c r="Y80" s="211"/>
      <c r="Z80" s="38"/>
      <c r="AA80" s="38"/>
      <c r="AB80" s="38"/>
      <c r="AC80" s="38"/>
      <c r="AD80" s="38">
        <f>+AM80+BA80</f>
        <v>27</v>
      </c>
      <c r="AE80" s="228" t="s">
        <v>631</v>
      </c>
      <c r="AF80" s="34"/>
      <c r="AG80" s="34"/>
      <c r="AH80" s="34">
        <v>27</v>
      </c>
      <c r="AI80" s="469"/>
      <c r="AJ80" s="38"/>
      <c r="AK80" s="38"/>
      <c r="AL80" s="38"/>
      <c r="AM80" s="38">
        <f>SUM(AF80:AL80)+AT80+AV80+AX80</f>
        <v>27</v>
      </c>
      <c r="AN80" s="38"/>
      <c r="AO80" s="38"/>
      <c r="AP80" s="38"/>
      <c r="AQ80" s="38"/>
      <c r="AR80" s="38">
        <f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34"/>
      <c r="BC80" s="54"/>
      <c r="BD80" s="54"/>
      <c r="BE80" s="34"/>
      <c r="BF80" s="54"/>
    </row>
    <row r="81" spans="1:58" ht="12.95" customHeight="1">
      <c r="A81" s="41"/>
      <c r="B81" s="42"/>
      <c r="C81" s="424"/>
      <c r="D81" s="42"/>
      <c r="E81" s="43"/>
      <c r="F81" s="43"/>
      <c r="G81" s="44"/>
      <c r="H81" s="45"/>
      <c r="I81" s="46"/>
      <c r="J81" s="84"/>
      <c r="K81" s="84"/>
      <c r="L81" s="36"/>
      <c r="M81" s="36"/>
      <c r="N81" s="47"/>
      <c r="O81" s="48"/>
      <c r="P81" s="49"/>
      <c r="Q81" s="48"/>
      <c r="R81" s="394"/>
      <c r="S81" s="394"/>
      <c r="T81" s="38"/>
      <c r="U81" s="38"/>
      <c r="V81" s="38"/>
      <c r="W81" s="38"/>
      <c r="X81" s="39"/>
      <c r="Y81" s="211"/>
      <c r="Z81" s="38"/>
      <c r="AA81" s="38"/>
      <c r="AB81" s="38"/>
      <c r="AC81" s="38"/>
      <c r="AD81" s="38"/>
      <c r="AE81" s="228"/>
      <c r="AF81" s="34"/>
      <c r="AG81" s="34"/>
      <c r="AH81" s="34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4"/>
      <c r="BC81" s="54"/>
      <c r="BD81" s="54"/>
      <c r="BE81" s="34"/>
      <c r="BF81" s="54"/>
    </row>
    <row r="82" spans="1:58" ht="12.75" customHeight="1">
      <c r="A82" s="41">
        <v>46010</v>
      </c>
      <c r="B82" s="42" t="s">
        <v>419</v>
      </c>
      <c r="C82" s="424">
        <f>(M82*E82*O82*Q82)/100000000</f>
        <v>48.215930399999998</v>
      </c>
      <c r="D82" s="42" t="s">
        <v>285</v>
      </c>
      <c r="E82" s="43">
        <v>18</v>
      </c>
      <c r="F82" s="43">
        <v>1</v>
      </c>
      <c r="G82" s="44">
        <v>990</v>
      </c>
      <c r="H82" s="484">
        <f>+N82</f>
        <v>0.24589743589743585</v>
      </c>
      <c r="I82" s="46">
        <v>0.88</v>
      </c>
      <c r="J82" s="84">
        <f>E82*G82*(1-H82)*1440/1000000*2.87</f>
        <v>55.537011470769222</v>
      </c>
      <c r="K82" s="84">
        <f>(IF(G82&lt;L82,L82,G82)*(1-IF(H82&lt;N82,H82,N82))*E82*O82*Q82)/100000000</f>
        <v>48.215930399999998</v>
      </c>
      <c r="L82" s="36">
        <v>1100</v>
      </c>
      <c r="M82" s="36">
        <v>829.51282051282055</v>
      </c>
      <c r="N82" s="47">
        <f>1-(M82/L82)</f>
        <v>0.24589743589743585</v>
      </c>
      <c r="O82" s="48">
        <f>+'Trim Rwd'!H58</f>
        <v>276</v>
      </c>
      <c r="P82" s="49">
        <f>O82*(Q82-R82-S82)</f>
        <v>317400</v>
      </c>
      <c r="Q82" s="48">
        <v>1170</v>
      </c>
      <c r="R82" s="394">
        <v>0</v>
      </c>
      <c r="S82" s="394">
        <v>20</v>
      </c>
      <c r="T82" s="38">
        <f>E82*M82*O82*Q82/100000000</f>
        <v>48.215930399999998</v>
      </c>
      <c r="U82" s="38">
        <f>E82*M82*O82*(Q82-R82-S82)/100000000</f>
        <v>47.391726461538468</v>
      </c>
      <c r="V82" s="38">
        <f>E82*G82*(1-N82)*O82/100*(R82+S82)/1000000</f>
        <v>0.74178354461538465</v>
      </c>
      <c r="W82" s="38">
        <f>+'19'!K11/1000</f>
        <v>55.948</v>
      </c>
      <c r="X82" s="391">
        <f>SUM(W82:W85)/SUM(K82:K85)</f>
        <v>0.95346614836609511</v>
      </c>
      <c r="Y82" s="38">
        <v>0</v>
      </c>
      <c r="Z82" s="38">
        <f>+'19'!D34/1000</f>
        <v>0.68300000000000005</v>
      </c>
      <c r="AA82" s="50">
        <f>SUM(U82:U85)-SUM(W82:W85)-SUM(Z82:Z85)-SUM(Y82:Y85)</f>
        <v>0.95208166153847151</v>
      </c>
      <c r="AB82" s="50">
        <f>(SUM(K82:K85)-SUM(W82:W85)-SUM(Y82:Y85)-SUM(Z82:Z85)-SUM(AC82:AC85)-SUM(V82:V85))-AA82</f>
        <v>9.6330793846137297E-2</v>
      </c>
      <c r="AC82" s="38">
        <f>K82-T82</f>
        <v>0</v>
      </c>
      <c r="AD82" s="38">
        <f>+AM82+BA82</f>
        <v>0</v>
      </c>
      <c r="AE82" s="228" t="s">
        <v>392</v>
      </c>
      <c r="AF82" s="38">
        <v>0</v>
      </c>
      <c r="AG82" s="38"/>
      <c r="AH82" s="38"/>
      <c r="AI82" s="469"/>
      <c r="AJ82" s="38"/>
      <c r="AK82" s="38"/>
      <c r="AL82" s="38"/>
      <c r="AM82" s="38">
        <f>SUM(AF82:AL82)+AT82+AV82+AX82</f>
        <v>0</v>
      </c>
      <c r="AN82" s="38"/>
      <c r="AO82" s="38"/>
      <c r="AP82" s="38"/>
      <c r="AQ82" s="38"/>
      <c r="AR82" s="38">
        <f>SUM(AN82:AQ82)</f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>+AR82+AS82+AU82+AW82+AY82+AZ82</f>
        <v>0</v>
      </c>
      <c r="BB82" s="34">
        <v>0</v>
      </c>
      <c r="BC82" s="52"/>
      <c r="BD82" s="52"/>
      <c r="BE82" s="34"/>
      <c r="BF82" s="52"/>
    </row>
    <row r="83" spans="1:58" ht="12.95" customHeight="1">
      <c r="A83" s="41"/>
      <c r="B83" s="42" t="s">
        <v>419</v>
      </c>
      <c r="C83" s="424">
        <f>(M83*E83*O83*Q83)/100000000</f>
        <v>10.462607999999999</v>
      </c>
      <c r="D83" s="42" t="s">
        <v>285</v>
      </c>
      <c r="E83" s="43">
        <v>16</v>
      </c>
      <c r="F83" s="43">
        <v>1</v>
      </c>
      <c r="G83" s="44">
        <v>1110</v>
      </c>
      <c r="H83" s="484">
        <f>+N83</f>
        <v>0.25</v>
      </c>
      <c r="I83" s="46">
        <v>0.88</v>
      </c>
      <c r="J83" s="84">
        <f>E83*G83*(1-H83)*1440/1000000*2.87</f>
        <v>55.048896000000006</v>
      </c>
      <c r="K83" s="84">
        <f>(IF(G83&lt;L83,L83,G83)*(1-IF(H83&lt;N83,H83,N83))*E83*O83*Q83)/100000000</f>
        <v>10.462607999999999</v>
      </c>
      <c r="L83" s="36">
        <v>1170</v>
      </c>
      <c r="M83" s="36">
        <f>+L83-L83*0.25</f>
        <v>877.5</v>
      </c>
      <c r="N83" s="47">
        <f>1-(M83/L83)</f>
        <v>0.25</v>
      </c>
      <c r="O83" s="48">
        <f>+'Trim Rwd'!H59</f>
        <v>276</v>
      </c>
      <c r="P83" s="49">
        <f>O83*(Q83-R83-S83)</f>
        <v>72588</v>
      </c>
      <c r="Q83" s="48">
        <v>270</v>
      </c>
      <c r="R83" s="394">
        <v>0</v>
      </c>
      <c r="S83" s="394">
        <v>7</v>
      </c>
      <c r="T83" s="38">
        <f>E83*M83*O83*Q83/100000000</f>
        <v>10.462607999999999</v>
      </c>
      <c r="U83" s="38">
        <f>E83*M83*O83*(Q83-R83-S83)/100000000</f>
        <v>10.1913552</v>
      </c>
      <c r="V83" s="38">
        <f>E83*G83*(1-N83)*O83/100*(R83+S83)/1000000</f>
        <v>0.25734239999999997</v>
      </c>
      <c r="W83" s="38">
        <f>+'19'!K16/1000</f>
        <v>0</v>
      </c>
      <c r="X83" s="39"/>
      <c r="Y83" s="211"/>
      <c r="Z83" s="38"/>
      <c r="AA83" s="38"/>
      <c r="AB83" s="38"/>
      <c r="AC83" s="38">
        <f>K83-T83</f>
        <v>0</v>
      </c>
      <c r="AD83" s="38">
        <f>+AM83+BA83</f>
        <v>2</v>
      </c>
      <c r="AE83" s="228" t="s">
        <v>478</v>
      </c>
      <c r="AF83" s="38"/>
      <c r="AG83" s="38">
        <v>2</v>
      </c>
      <c r="AH83" s="38"/>
      <c r="AI83" s="469"/>
      <c r="AJ83" s="38"/>
      <c r="AK83" s="38"/>
      <c r="AL83" s="38"/>
      <c r="AM83" s="38">
        <f>SUM(AF83:AL83)+AT83+AV83+AX83</f>
        <v>2</v>
      </c>
      <c r="AN83" s="85"/>
      <c r="AO83" s="38"/>
      <c r="AP83" s="38"/>
      <c r="AQ83" s="38"/>
      <c r="AR83" s="38">
        <f>SUM(AN83:AQ83)</f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>+AR83+AS83+AU83+AW83+AY83+AZ83</f>
        <v>0</v>
      </c>
      <c r="BB83" s="51"/>
      <c r="BC83" s="52">
        <v>2</v>
      </c>
      <c r="BD83" s="52"/>
      <c r="BE83" s="51"/>
      <c r="BF83" s="52"/>
    </row>
    <row r="84" spans="1:58" ht="12.95" customHeight="1">
      <c r="A84" s="41"/>
      <c r="B84" s="42"/>
      <c r="C84" s="424"/>
      <c r="D84" s="42"/>
      <c r="E84" s="43"/>
      <c r="F84" s="43"/>
      <c r="G84" s="44"/>
      <c r="H84" s="45"/>
      <c r="I84" s="46"/>
      <c r="J84" s="84"/>
      <c r="K84" s="84"/>
      <c r="L84" s="36"/>
      <c r="M84" s="36"/>
      <c r="N84" s="47"/>
      <c r="O84" s="48"/>
      <c r="P84" s="49"/>
      <c r="Q84" s="48"/>
      <c r="R84" s="394"/>
      <c r="S84" s="394"/>
      <c r="T84" s="38"/>
      <c r="U84" s="38"/>
      <c r="V84" s="38"/>
      <c r="W84" s="38"/>
      <c r="X84" s="39"/>
      <c r="Y84" s="211"/>
      <c r="Z84" s="38"/>
      <c r="AA84" s="38"/>
      <c r="AB84" s="38"/>
      <c r="AC84" s="38"/>
      <c r="AD84" s="38">
        <f>+AM84+BA84</f>
        <v>25</v>
      </c>
      <c r="AE84" s="228" t="s">
        <v>470</v>
      </c>
      <c r="AF84" s="34"/>
      <c r="AG84" s="34"/>
      <c r="AH84" s="34">
        <v>25</v>
      </c>
      <c r="AI84" s="469"/>
      <c r="AJ84" s="38"/>
      <c r="AK84" s="38"/>
      <c r="AL84" s="38"/>
      <c r="AM84" s="38">
        <f>SUM(AF84:AL84)+AT84+AV84+AX84</f>
        <v>25</v>
      </c>
      <c r="AN84" s="38"/>
      <c r="AO84" s="38"/>
      <c r="AP84" s="38"/>
      <c r="AQ84" s="38"/>
      <c r="AR84" s="38">
        <f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34"/>
      <c r="BC84" s="54"/>
      <c r="BD84" s="54"/>
      <c r="BE84" s="34"/>
      <c r="BF84" s="54"/>
    </row>
    <row r="85" spans="1:58" ht="12.95" customHeight="1">
      <c r="A85" s="41"/>
      <c r="B85" s="42"/>
      <c r="C85" s="424"/>
      <c r="D85" s="42"/>
      <c r="E85" s="43"/>
      <c r="F85" s="43"/>
      <c r="G85" s="44"/>
      <c r="H85" s="45"/>
      <c r="I85" s="46"/>
      <c r="J85" s="84"/>
      <c r="K85" s="84"/>
      <c r="L85" s="36"/>
      <c r="M85" s="36"/>
      <c r="N85" s="47"/>
      <c r="O85" s="48"/>
      <c r="P85" s="49"/>
      <c r="Q85" s="48"/>
      <c r="R85" s="394"/>
      <c r="S85" s="394"/>
      <c r="T85" s="38"/>
      <c r="U85" s="38"/>
      <c r="V85" s="38"/>
      <c r="W85" s="38"/>
      <c r="X85" s="39"/>
      <c r="Y85" s="211"/>
      <c r="Z85" s="38"/>
      <c r="AA85" s="38"/>
      <c r="AB85" s="38"/>
      <c r="AC85" s="38"/>
      <c r="AD85" s="38"/>
      <c r="AE85" s="228"/>
      <c r="AF85" s="34"/>
      <c r="AG85" s="34"/>
      <c r="AH85" s="34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4"/>
      <c r="BC85" s="54"/>
      <c r="BD85" s="54"/>
      <c r="BE85" s="34"/>
      <c r="BF85" s="54"/>
    </row>
    <row r="86" spans="1:58" ht="12.75" customHeight="1">
      <c r="A86" s="41">
        <v>46011</v>
      </c>
      <c r="B86" s="42" t="s">
        <v>419</v>
      </c>
      <c r="C86" s="424">
        <f>(M86*E86*O86*Q86)/100000000</f>
        <v>43.787951999999997</v>
      </c>
      <c r="D86" s="42" t="s">
        <v>285</v>
      </c>
      <c r="E86" s="43">
        <v>16</v>
      </c>
      <c r="F86" s="43">
        <v>1</v>
      </c>
      <c r="G86" s="44">
        <v>1110</v>
      </c>
      <c r="H86" s="484">
        <f>+N86</f>
        <v>0.25</v>
      </c>
      <c r="I86" s="46">
        <v>0.88</v>
      </c>
      <c r="J86" s="84">
        <f>E86*G86*(1-H86)*1440/1000000*2.87</f>
        <v>55.048896000000006</v>
      </c>
      <c r="K86" s="84">
        <f>(IF(G86&lt;L86,L86,G86)*(1-IF(H86&lt;N86,H86,N86))*E86*O86*Q86)/100000000</f>
        <v>43.787951999999997</v>
      </c>
      <c r="L86" s="36">
        <v>1170</v>
      </c>
      <c r="M86" s="36">
        <f>+L86-L86*0.25</f>
        <v>877.5</v>
      </c>
      <c r="N86" s="47">
        <f>1-(M86/L86)</f>
        <v>0.25</v>
      </c>
      <c r="O86" s="48">
        <f>+'Trim Rwd'!H61</f>
        <v>276</v>
      </c>
      <c r="P86" s="49">
        <f>O86*(Q86-R86-S86)</f>
        <v>306084</v>
      </c>
      <c r="Q86" s="48">
        <v>1130</v>
      </c>
      <c r="R86" s="394">
        <v>0</v>
      </c>
      <c r="S86" s="394">
        <v>21</v>
      </c>
      <c r="T86" s="38">
        <f>E86*M86*O86*Q86/100000000</f>
        <v>43.787951999999997</v>
      </c>
      <c r="U86" s="38">
        <f>E86*M86*O86*(Q86-R86-S86)/100000000</f>
        <v>42.9741936</v>
      </c>
      <c r="V86" s="38">
        <f>E86*G86*(1-N86)*O86/100*(R86+S86)/1000000</f>
        <v>0.77202719999999991</v>
      </c>
      <c r="W86" s="38">
        <f>+'20'!K16/1000</f>
        <v>52.404000000000003</v>
      </c>
      <c r="X86" s="391">
        <f>SUM(W86:W89)/SUM(K86:K89)</f>
        <v>1.0968476462605017</v>
      </c>
      <c r="Y86" s="38">
        <v>0</v>
      </c>
      <c r="Z86" s="38">
        <v>0</v>
      </c>
      <c r="AA86" s="50">
        <f>SUM(U86:U89)-SUM(W86:W89)-SUM(Z86:Z89)-SUM(Y86:Y89)</f>
        <v>-6.4750224000000074</v>
      </c>
      <c r="AB86" s="50">
        <f>(SUM(K86:K89)-SUM(W86:W89)-SUM(Y86:Y89)-SUM(Z86:Z89)-SUM(AC86:AC89)-SUM(V86:V89))-AA86</f>
        <v>5.6635199999997887E-2</v>
      </c>
      <c r="AC86" s="38">
        <f>K86-T86</f>
        <v>0</v>
      </c>
      <c r="AD86" s="38">
        <f>+AM86+BA86</f>
        <v>0</v>
      </c>
      <c r="AE86" s="228" t="s">
        <v>392</v>
      </c>
      <c r="AF86" s="38">
        <v>0</v>
      </c>
      <c r="AG86" s="38"/>
      <c r="AH86" s="38"/>
      <c r="AI86" s="469"/>
      <c r="AJ86" s="38"/>
      <c r="AK86" s="38"/>
      <c r="AL86" s="38"/>
      <c r="AM86" s="38">
        <f>SUM(AF86:AL86)+AT86+AV86+AX86</f>
        <v>0</v>
      </c>
      <c r="AN86" s="38"/>
      <c r="AO86" s="38"/>
      <c r="AP86" s="38"/>
      <c r="AQ86" s="38"/>
      <c r="AR86" s="38">
        <f>SUM(AN86:AQ86)</f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+AR86+AS86+AU86+AW86+AY86+AZ86</f>
        <v>0</v>
      </c>
      <c r="BB86" s="34">
        <v>0</v>
      </c>
      <c r="BC86" s="52"/>
      <c r="BD86" s="52"/>
      <c r="BE86" s="34"/>
      <c r="BF86" s="52"/>
    </row>
    <row r="87" spans="1:58" ht="12.95" customHeight="1">
      <c r="A87" s="41"/>
      <c r="B87" s="42" t="s">
        <v>419</v>
      </c>
      <c r="C87" s="424">
        <f>(M87*E87*O87*Q87)/100000000</f>
        <v>12.224385</v>
      </c>
      <c r="D87" s="42" t="s">
        <v>285</v>
      </c>
      <c r="E87" s="43">
        <v>15</v>
      </c>
      <c r="F87" s="43">
        <v>1</v>
      </c>
      <c r="G87" s="44">
        <v>1190</v>
      </c>
      <c r="H87" s="484">
        <f>+N87</f>
        <v>0.25</v>
      </c>
      <c r="I87" s="46">
        <v>0.88</v>
      </c>
      <c r="J87" s="84">
        <f>E87*G87*(1-H87)*1440/1000000*2.87</f>
        <v>55.327860000000001</v>
      </c>
      <c r="K87" s="84">
        <f>(IF(G87&lt;L87,L87,G87)*(1-IF(H87&lt;N87,H87,N87))*E87*O87*Q87)/100000000</f>
        <v>12.224385</v>
      </c>
      <c r="L87" s="36">
        <v>1270</v>
      </c>
      <c r="M87" s="36">
        <f>+L87-L87*0.25</f>
        <v>952.5</v>
      </c>
      <c r="N87" s="47">
        <f>1-(M87/L87)</f>
        <v>0.25</v>
      </c>
      <c r="O87" s="48">
        <f>+'Trim Rwd'!H62</f>
        <v>276</v>
      </c>
      <c r="P87" s="49">
        <f>O87*(Q87-R87-S87)</f>
        <v>83904</v>
      </c>
      <c r="Q87" s="48">
        <v>310</v>
      </c>
      <c r="R87" s="394">
        <v>0</v>
      </c>
      <c r="S87" s="394">
        <v>6</v>
      </c>
      <c r="T87" s="38">
        <f>E87*M87*O87*Q87/100000000</f>
        <v>12.224385</v>
      </c>
      <c r="U87" s="38">
        <f>E87*M87*O87*(Q87-R87-S87)/100000000</f>
        <v>11.987784</v>
      </c>
      <c r="V87" s="38">
        <f>E87*G87*(1-N87)*O87/100*(R87+S87)/1000000</f>
        <v>0.22169700000000001</v>
      </c>
      <c r="W87" s="38">
        <f>+'20'!K17/1000</f>
        <v>7.6769999999999996</v>
      </c>
      <c r="X87" s="39"/>
      <c r="Y87" s="211"/>
      <c r="Z87" s="38"/>
      <c r="AA87" s="38"/>
      <c r="AB87" s="38"/>
      <c r="AC87" s="38">
        <f>K87-T87</f>
        <v>0</v>
      </c>
      <c r="AD87" s="38">
        <f>+AM87+BA87</f>
        <v>6</v>
      </c>
      <c r="AE87" s="228" t="s">
        <v>478</v>
      </c>
      <c r="AF87" s="38"/>
      <c r="AG87" s="38">
        <v>6</v>
      </c>
      <c r="AH87" s="38"/>
      <c r="AI87" s="469"/>
      <c r="AJ87" s="38"/>
      <c r="AK87" s="38"/>
      <c r="AL87" s="38"/>
      <c r="AM87" s="38">
        <f>SUM(AF87:AL87)+AT87+AV87+AX87</f>
        <v>6</v>
      </c>
      <c r="AN87" s="85"/>
      <c r="AO87" s="38"/>
      <c r="AP87" s="38"/>
      <c r="AQ87" s="38"/>
      <c r="AR87" s="38">
        <f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51"/>
      <c r="BC87" s="52">
        <v>2</v>
      </c>
      <c r="BD87" s="52"/>
      <c r="BE87" s="51"/>
      <c r="BF87" s="52"/>
    </row>
    <row r="88" spans="1:58" ht="12.95" customHeight="1">
      <c r="A88" s="41"/>
      <c r="B88" s="42" t="s">
        <v>419</v>
      </c>
      <c r="C88" s="424"/>
      <c r="D88" s="42"/>
      <c r="E88" s="43">
        <v>18</v>
      </c>
      <c r="F88" s="43"/>
      <c r="G88" s="44"/>
      <c r="H88" s="45"/>
      <c r="I88" s="46"/>
      <c r="J88" s="84"/>
      <c r="K88" s="84"/>
      <c r="L88" s="36"/>
      <c r="M88" s="36"/>
      <c r="N88" s="47"/>
      <c r="O88" s="48"/>
      <c r="P88" s="49"/>
      <c r="Q88" s="48"/>
      <c r="R88" s="394"/>
      <c r="S88" s="394"/>
      <c r="T88" s="38"/>
      <c r="U88" s="38"/>
      <c r="V88" s="38"/>
      <c r="W88" s="38">
        <f>+'20'!K11/1000</f>
        <v>1.3560000000000001</v>
      </c>
      <c r="X88" s="39"/>
      <c r="Y88" s="211"/>
      <c r="Z88" s="38"/>
      <c r="AA88" s="38"/>
      <c r="AB88" s="38"/>
      <c r="AC88" s="38"/>
      <c r="AD88" s="38">
        <f>+AM88+BA88</f>
        <v>21</v>
      </c>
      <c r="AE88" s="228" t="s">
        <v>671</v>
      </c>
      <c r="AF88" s="34"/>
      <c r="AG88" s="34"/>
      <c r="AH88" s="34">
        <v>21</v>
      </c>
      <c r="AI88" s="469"/>
      <c r="AJ88" s="38"/>
      <c r="AK88" s="38"/>
      <c r="AL88" s="38"/>
      <c r="AM88" s="38">
        <f>SUM(AF88:AL88)+AT88+AV88+AX88</f>
        <v>21</v>
      </c>
      <c r="AN88" s="38"/>
      <c r="AO88" s="38"/>
      <c r="AP88" s="38"/>
      <c r="AQ88" s="38"/>
      <c r="AR88" s="38">
        <f>SUM(AN88:AQ88)</f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>+AR88+AS88+AU88+AW88+AY88+AZ88</f>
        <v>0</v>
      </c>
      <c r="BB88" s="34"/>
      <c r="BC88" s="54"/>
      <c r="BD88" s="54"/>
      <c r="BE88" s="34"/>
      <c r="BF88" s="54"/>
    </row>
    <row r="89" spans="1:58" ht="12.95" customHeight="1">
      <c r="A89" s="41"/>
      <c r="B89" s="42"/>
      <c r="C89" s="424"/>
      <c r="D89" s="42"/>
      <c r="E89" s="43"/>
      <c r="F89" s="43"/>
      <c r="G89" s="467"/>
      <c r="H89" s="45"/>
      <c r="I89" s="46"/>
      <c r="J89" s="84"/>
      <c r="K89" s="84"/>
      <c r="L89" s="36"/>
      <c r="M89" s="36"/>
      <c r="N89" s="47"/>
      <c r="O89" s="48"/>
      <c r="P89" s="49"/>
      <c r="Q89" s="48"/>
      <c r="R89" s="394"/>
      <c r="S89" s="394"/>
      <c r="T89" s="38"/>
      <c r="U89" s="38"/>
      <c r="V89" s="38"/>
      <c r="W89" s="38"/>
      <c r="X89" s="391"/>
      <c r="Y89" s="38"/>
      <c r="Z89" s="38"/>
      <c r="AA89" s="50"/>
      <c r="AB89" s="50"/>
      <c r="AC89" s="38"/>
      <c r="AD89" s="38"/>
      <c r="AE89" s="228"/>
      <c r="AF89" s="38"/>
      <c r="AG89" s="38"/>
      <c r="AH89" s="38"/>
      <c r="AI89" s="469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4"/>
      <c r="BC89" s="52"/>
      <c r="BD89" s="52"/>
      <c r="BE89" s="52"/>
      <c r="BF89" s="52"/>
    </row>
    <row r="90" spans="1:58" ht="12.75" customHeight="1">
      <c r="A90" s="41">
        <v>46012</v>
      </c>
      <c r="B90" s="42" t="s">
        <v>419</v>
      </c>
      <c r="C90" s="424">
        <f>(M90*E90*O90*Q90)/100000000</f>
        <v>56.784239999999997</v>
      </c>
      <c r="D90" s="42" t="s">
        <v>285</v>
      </c>
      <c r="E90" s="43">
        <v>15</v>
      </c>
      <c r="F90" s="43">
        <v>1</v>
      </c>
      <c r="G90" s="44">
        <v>1190</v>
      </c>
      <c r="H90" s="484">
        <f>+N90</f>
        <v>0.25</v>
      </c>
      <c r="I90" s="46">
        <v>0.88</v>
      </c>
      <c r="J90" s="84">
        <f>E90*G90*(1-H90)*1440/1000000*2.87</f>
        <v>55.327860000000001</v>
      </c>
      <c r="K90" s="84">
        <f>(IF(G90&lt;L90,L90,G90)*(1-IF(H90&lt;N90,H90,N90))*E90*O90*Q90)/100000000</f>
        <v>56.784239999999997</v>
      </c>
      <c r="L90" s="36">
        <v>1270</v>
      </c>
      <c r="M90" s="36">
        <f>+L90-L90*0.25</f>
        <v>952.5</v>
      </c>
      <c r="N90" s="47">
        <f>1-(M90/L90)</f>
        <v>0.25</v>
      </c>
      <c r="O90" s="48">
        <f>+'Trim Rwd'!H65</f>
        <v>276</v>
      </c>
      <c r="P90" s="49">
        <f>O90*(Q90-R90-S90)</f>
        <v>391092</v>
      </c>
      <c r="Q90" s="48">
        <v>1440</v>
      </c>
      <c r="R90" s="394">
        <v>0</v>
      </c>
      <c r="S90" s="394">
        <v>23</v>
      </c>
      <c r="T90" s="38">
        <f>E90*M90*O90*Q90/100000000</f>
        <v>56.784239999999997</v>
      </c>
      <c r="U90" s="38">
        <f>E90*M90*O90*(Q90-R90-S90)/100000000</f>
        <v>55.877269499999997</v>
      </c>
      <c r="V90" s="38">
        <f>E90*G90*(1-N90)*O90/100*(R90+S90)/1000000</f>
        <v>0.84983850000000005</v>
      </c>
      <c r="W90" s="38">
        <f>+'21'!K34/1000</f>
        <v>49.655999999999999</v>
      </c>
      <c r="X90" s="391">
        <f>SUM(W90:W93)/SUM(K90:K93)</f>
        <v>0.87446798618771693</v>
      </c>
      <c r="Y90" s="38">
        <v>0</v>
      </c>
      <c r="Z90" s="38">
        <v>0</v>
      </c>
      <c r="AA90" s="50">
        <f>SUM(U90:U93)-SUM(W90:W93)-SUM(Z90:Z93)-SUM(Y90:Y93)</f>
        <v>6.2212694999999982</v>
      </c>
      <c r="AB90" s="50">
        <f>(SUM(K90:K93)-SUM(W90:W93)-SUM(Y90:Y93)-SUM(Z90:Z93)-SUM(AC90:AC93)-SUM(V90:V93))-AA90</f>
        <v>5.7132000000000183E-2</v>
      </c>
      <c r="AC90" s="38">
        <f>K90-T90</f>
        <v>0</v>
      </c>
      <c r="AD90" s="38">
        <f>+AM90+BA90</f>
        <v>0</v>
      </c>
      <c r="AE90" s="228" t="s">
        <v>392</v>
      </c>
      <c r="AF90" s="38">
        <v>0</v>
      </c>
      <c r="AG90" s="38"/>
      <c r="AH90" s="38"/>
      <c r="AI90" s="469"/>
      <c r="AJ90" s="38"/>
      <c r="AK90" s="38"/>
      <c r="AL90" s="38"/>
      <c r="AM90" s="38">
        <f>SUM(AF90:AL90)+AT90+AV90+AX90</f>
        <v>0</v>
      </c>
      <c r="AN90" s="38"/>
      <c r="AO90" s="38"/>
      <c r="AP90" s="38"/>
      <c r="AQ90" s="38"/>
      <c r="AR90" s="38">
        <f>SUM(AN90:AQ90)</f>
        <v>0</v>
      </c>
      <c r="AS90" s="38"/>
      <c r="AT90" s="38"/>
      <c r="AU90" s="38"/>
      <c r="AV90" s="38"/>
      <c r="AW90" s="38"/>
      <c r="AX90" s="38"/>
      <c r="AY90" s="38"/>
      <c r="AZ90" s="38"/>
      <c r="BA90" s="38">
        <f>+AR90+AS90+AU90+AW90+AY90+AZ90</f>
        <v>0</v>
      </c>
      <c r="BB90" s="34">
        <v>0</v>
      </c>
      <c r="BC90" s="52"/>
      <c r="BD90" s="52"/>
      <c r="BE90" s="34"/>
      <c r="BF90" s="52"/>
    </row>
    <row r="91" spans="1:58" ht="12.95" customHeight="1">
      <c r="A91" s="41"/>
      <c r="B91" s="42"/>
      <c r="C91" s="424"/>
      <c r="D91" s="42"/>
      <c r="E91" s="43"/>
      <c r="F91" s="43"/>
      <c r="G91" s="44"/>
      <c r="H91" s="45"/>
      <c r="I91" s="46"/>
      <c r="J91" s="84"/>
      <c r="K91" s="84"/>
      <c r="L91" s="36"/>
      <c r="M91" s="36"/>
      <c r="N91" s="47"/>
      <c r="O91" s="48"/>
      <c r="P91" s="49"/>
      <c r="Q91" s="48"/>
      <c r="R91" s="394"/>
      <c r="S91" s="394"/>
      <c r="T91" s="38"/>
      <c r="U91" s="38"/>
      <c r="V91" s="38"/>
      <c r="W91" s="38"/>
      <c r="X91" s="39"/>
      <c r="Y91" s="211"/>
      <c r="Z91" s="38"/>
      <c r="AA91" s="38"/>
      <c r="AB91" s="38"/>
      <c r="AC91" s="38"/>
      <c r="AD91" s="38">
        <f>+AM91+BA91</f>
        <v>1</v>
      </c>
      <c r="AE91" s="228" t="s">
        <v>446</v>
      </c>
      <c r="AF91" s="38"/>
      <c r="AG91" s="38">
        <v>1</v>
      </c>
      <c r="AH91" s="38"/>
      <c r="AI91" s="469"/>
      <c r="AJ91" s="38"/>
      <c r="AK91" s="38"/>
      <c r="AL91" s="38"/>
      <c r="AM91" s="38">
        <f>SUM(AF91:AL91)+AT91+AV91+AX91</f>
        <v>1</v>
      </c>
      <c r="AN91" s="85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51"/>
      <c r="BC91" s="52">
        <v>1</v>
      </c>
      <c r="BD91" s="52"/>
      <c r="BE91" s="51"/>
      <c r="BF91" s="52"/>
    </row>
    <row r="92" spans="1:58" ht="12.95" customHeight="1">
      <c r="A92" s="41"/>
      <c r="B92" s="42"/>
      <c r="C92" s="424"/>
      <c r="D92" s="42"/>
      <c r="E92" s="43"/>
      <c r="F92" s="43"/>
      <c r="G92" s="44"/>
      <c r="H92" s="45"/>
      <c r="I92" s="46"/>
      <c r="J92" s="84"/>
      <c r="K92" s="84"/>
      <c r="L92" s="36"/>
      <c r="M92" s="36"/>
      <c r="N92" s="47"/>
      <c r="O92" s="48"/>
      <c r="P92" s="49"/>
      <c r="Q92" s="48"/>
      <c r="R92" s="394"/>
      <c r="S92" s="394"/>
      <c r="T92" s="38"/>
      <c r="U92" s="38"/>
      <c r="V92" s="38"/>
      <c r="W92" s="38"/>
      <c r="X92" s="39"/>
      <c r="Y92" s="211"/>
      <c r="Z92" s="38"/>
      <c r="AA92" s="38"/>
      <c r="AB92" s="38"/>
      <c r="AC92" s="38"/>
      <c r="AD92" s="38">
        <f>+AM92+BA92</f>
        <v>22</v>
      </c>
      <c r="AE92" s="228" t="s">
        <v>514</v>
      </c>
      <c r="AF92" s="34"/>
      <c r="AG92" s="34"/>
      <c r="AH92" s="34">
        <v>22</v>
      </c>
      <c r="AI92" s="469"/>
      <c r="AJ92" s="38"/>
      <c r="AK92" s="38"/>
      <c r="AL92" s="38"/>
      <c r="AM92" s="38">
        <f>SUM(AF92:AL92)+AT92+AV92+AX92</f>
        <v>22</v>
      </c>
      <c r="AN92" s="38"/>
      <c r="AO92" s="38"/>
      <c r="AP92" s="38"/>
      <c r="AQ92" s="38"/>
      <c r="AR92" s="38">
        <f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34"/>
      <c r="BC92" s="54"/>
      <c r="BD92" s="54"/>
      <c r="BE92" s="34"/>
      <c r="BF92" s="54"/>
    </row>
    <row r="93" spans="1:58" ht="12.95" customHeight="1">
      <c r="A93" s="41"/>
      <c r="B93" s="42"/>
      <c r="C93" s="424"/>
      <c r="D93" s="42"/>
      <c r="E93" s="43"/>
      <c r="F93" s="43"/>
      <c r="G93" s="467"/>
      <c r="H93" s="45"/>
      <c r="I93" s="46"/>
      <c r="J93" s="84"/>
      <c r="K93" s="84"/>
      <c r="L93" s="36"/>
      <c r="M93" s="36"/>
      <c r="N93" s="47"/>
      <c r="O93" s="48"/>
      <c r="P93" s="49"/>
      <c r="Q93" s="48"/>
      <c r="R93" s="394"/>
      <c r="S93" s="394"/>
      <c r="T93" s="38"/>
      <c r="U93" s="38"/>
      <c r="V93" s="38"/>
      <c r="W93" s="38"/>
      <c r="X93" s="391"/>
      <c r="Y93" s="38"/>
      <c r="Z93" s="38"/>
      <c r="AA93" s="50"/>
      <c r="AB93" s="50"/>
      <c r="AC93" s="38"/>
      <c r="AD93" s="38"/>
      <c r="AE93" s="228"/>
      <c r="AF93" s="38"/>
      <c r="AG93" s="38"/>
      <c r="AH93" s="38"/>
      <c r="AI93" s="469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4"/>
      <c r="BC93" s="52"/>
      <c r="BD93" s="52"/>
      <c r="BE93" s="52"/>
      <c r="BF93" s="52"/>
    </row>
    <row r="94" spans="1:58" ht="12.75" customHeight="1">
      <c r="A94" s="41">
        <v>46013</v>
      </c>
      <c r="B94" s="42" t="s">
        <v>419</v>
      </c>
      <c r="C94" s="424">
        <f>(M94*E94*O94*Q94)/100000000</f>
        <v>48.306037500000002</v>
      </c>
      <c r="D94" s="42" t="s">
        <v>285</v>
      </c>
      <c r="E94" s="43">
        <v>15</v>
      </c>
      <c r="F94" s="43">
        <v>1</v>
      </c>
      <c r="G94" s="44">
        <v>1190</v>
      </c>
      <c r="H94" s="484">
        <f>+N94</f>
        <v>0.25</v>
      </c>
      <c r="I94" s="46">
        <v>0.88</v>
      </c>
      <c r="J94" s="84">
        <f>E94*G94*(1-H94)*1440/1000000*2.87</f>
        <v>55.327860000000001</v>
      </c>
      <c r="K94" s="84">
        <f>(IF(G94&lt;L94,L94,G94)*(1-IF(H94&lt;N94,H94,N94))*E94*O94*Q94)/100000000</f>
        <v>48.306037500000002</v>
      </c>
      <c r="L94" s="36">
        <v>1270</v>
      </c>
      <c r="M94" s="36">
        <f>+L94-L94*0.25</f>
        <v>952.5</v>
      </c>
      <c r="N94" s="47">
        <f>1-(M94/L94)</f>
        <v>0.25</v>
      </c>
      <c r="O94" s="48">
        <f>+'Trim Rwd'!H67</f>
        <v>276</v>
      </c>
      <c r="P94" s="49">
        <f>O94*(Q94-R94-S94)</f>
        <v>332028</v>
      </c>
      <c r="Q94" s="48">
        <v>1225</v>
      </c>
      <c r="R94" s="394">
        <v>0</v>
      </c>
      <c r="S94" s="394">
        <v>22</v>
      </c>
      <c r="T94" s="38">
        <f>E94*M94*O94*Q94/100000000</f>
        <v>48.306037500000002</v>
      </c>
      <c r="U94" s="38">
        <f>E94*M94*O94*(Q94-R94-S94)/100000000</f>
        <v>47.438500500000004</v>
      </c>
      <c r="V94" s="38">
        <f>E94*G94*(1-N94)*O94/100*(R94+S94)/1000000</f>
        <v>0.81288899999999997</v>
      </c>
      <c r="W94" s="38">
        <f>+'22'!K17/1000</f>
        <v>52.56</v>
      </c>
      <c r="X94" s="391">
        <f>SUM(W94:W97)/SUM(K94:K97)</f>
        <v>0.98380912574033375</v>
      </c>
      <c r="Y94" s="38">
        <v>0</v>
      </c>
      <c r="Z94" s="38">
        <v>0</v>
      </c>
      <c r="AA94" s="50">
        <f>SUM(U94:U97)-SUM(W94:W97)-SUM(Z94:Z97)-SUM(Y94:Y97)</f>
        <v>-2.9243093750004334E-2</v>
      </c>
      <c r="AB94" s="50">
        <f>(SUM(K94:K97)-SUM(W94:W97)-SUM(Y94:Y97)-SUM(Z94:Z97)-SUM(AC94:AC97)-SUM(V94:V97))-AA94</f>
        <v>5.633381250000058E-2</v>
      </c>
      <c r="AC94" s="38">
        <f>K94-T94</f>
        <v>0</v>
      </c>
      <c r="AD94" s="38">
        <f>+AM94+BA94</f>
        <v>0</v>
      </c>
      <c r="AE94" s="228" t="s">
        <v>392</v>
      </c>
      <c r="AF94" s="38">
        <v>0</v>
      </c>
      <c r="AG94" s="38"/>
      <c r="AH94" s="38"/>
      <c r="AI94" s="469"/>
      <c r="AJ94" s="38"/>
      <c r="AK94" s="38"/>
      <c r="AL94" s="38"/>
      <c r="AM94" s="38">
        <f>SUM(AF94:AL94)+AT94+AV94+AX94</f>
        <v>0</v>
      </c>
      <c r="AN94" s="38"/>
      <c r="AO94" s="38"/>
      <c r="AP94" s="38"/>
      <c r="AQ94" s="38"/>
      <c r="AR94" s="38">
        <f>SUM(AN94:AQ94)</f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>+AR94+AS94+AU94+AW94+AY94+AZ94</f>
        <v>0</v>
      </c>
      <c r="BB94" s="34">
        <v>0</v>
      </c>
      <c r="BC94" s="52"/>
      <c r="BD94" s="52"/>
      <c r="BE94" s="34"/>
      <c r="BF94" s="52"/>
    </row>
    <row r="95" spans="1:58" ht="12.95" customHeight="1">
      <c r="A95" s="41"/>
      <c r="B95" s="42" t="s">
        <v>419</v>
      </c>
      <c r="C95" s="424">
        <f>(M95*E95*O95*Q95)/100000000</f>
        <v>8.1551179687499999</v>
      </c>
      <c r="D95" s="42" t="s">
        <v>285</v>
      </c>
      <c r="E95" s="43">
        <v>13.5</v>
      </c>
      <c r="F95" s="43">
        <v>1</v>
      </c>
      <c r="G95" s="44">
        <v>1320</v>
      </c>
      <c r="H95" s="484">
        <f>+N95</f>
        <v>0.25</v>
      </c>
      <c r="I95" s="46">
        <v>0.88</v>
      </c>
      <c r="J95" s="84">
        <f>E95*G95*(1-H95)*1440/1000000*2.87</f>
        <v>55.234872000000003</v>
      </c>
      <c r="K95" s="84">
        <f>(IF(G95&lt;L95,L95,G95)*(1-IF(H95&lt;N95,H95,N95))*E95*O95*Q95)/100000000</f>
        <v>8.1551179687499999</v>
      </c>
      <c r="L95" s="36">
        <v>1350</v>
      </c>
      <c r="M95" s="36">
        <f>+L95-L95*0.25</f>
        <v>1012.5</v>
      </c>
      <c r="N95" s="47">
        <f>1-(M95/L95)</f>
        <v>0.25</v>
      </c>
      <c r="O95" s="48">
        <f>+'Trim Rwd'!H68</f>
        <v>277.5</v>
      </c>
      <c r="P95" s="49">
        <f>O95*(Q95-R95-S95)</f>
        <v>59107.5</v>
      </c>
      <c r="Q95" s="48">
        <v>215</v>
      </c>
      <c r="R95" s="394">
        <v>0</v>
      </c>
      <c r="S95" s="394">
        <v>2</v>
      </c>
      <c r="T95" s="38">
        <f>E95*M95*O95*Q95/100000000</f>
        <v>8.1551179687499999</v>
      </c>
      <c r="U95" s="38">
        <f>E95*M95*O95*(Q95-R95-S95)/100000000</f>
        <v>8.0792564062499999</v>
      </c>
      <c r="V95" s="38">
        <f>E95*G95*(1-N95)*O95/100*(R95+S95)/1000000</f>
        <v>7.4175749999999999E-2</v>
      </c>
      <c r="W95" s="38">
        <f>+'22'!K18/1000</f>
        <v>2.9870000000000001</v>
      </c>
      <c r="X95" s="39"/>
      <c r="Y95" s="211"/>
      <c r="Z95" s="38"/>
      <c r="AA95" s="38"/>
      <c r="AB95" s="38"/>
      <c r="AC95" s="38">
        <f>K95-T95</f>
        <v>0</v>
      </c>
      <c r="AD95" s="38">
        <f>+AM95+BA95</f>
        <v>2</v>
      </c>
      <c r="AE95" s="228" t="s">
        <v>446</v>
      </c>
      <c r="AF95" s="38"/>
      <c r="AG95" s="38">
        <v>2</v>
      </c>
      <c r="AH95" s="38"/>
      <c r="AI95" s="469"/>
      <c r="AJ95" s="38"/>
      <c r="AK95" s="38"/>
      <c r="AL95" s="38"/>
      <c r="AM95" s="38">
        <f>SUM(AF95:AL95)+AT95+AV95+AX95</f>
        <v>2</v>
      </c>
      <c r="AN95" s="85"/>
      <c r="AO95" s="38"/>
      <c r="AP95" s="38"/>
      <c r="AQ95" s="38"/>
      <c r="AR95" s="38">
        <f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51"/>
      <c r="BC95" s="52">
        <v>1</v>
      </c>
      <c r="BD95" s="52"/>
      <c r="BE95" s="51"/>
      <c r="BF95" s="52"/>
    </row>
    <row r="96" spans="1:58" ht="12.95" customHeight="1">
      <c r="A96" s="41"/>
      <c r="B96" s="42"/>
      <c r="C96" s="424"/>
      <c r="D96" s="42"/>
      <c r="E96" s="43"/>
      <c r="F96" s="43"/>
      <c r="G96" s="44"/>
      <c r="H96" s="45"/>
      <c r="I96" s="46"/>
      <c r="J96" s="84"/>
      <c r="K96" s="84"/>
      <c r="L96" s="36"/>
      <c r="M96" s="36"/>
      <c r="N96" s="47"/>
      <c r="O96" s="48"/>
      <c r="P96" s="49"/>
      <c r="Q96" s="48"/>
      <c r="R96" s="394"/>
      <c r="S96" s="394"/>
      <c r="T96" s="38"/>
      <c r="U96" s="38"/>
      <c r="V96" s="38"/>
      <c r="W96" s="38"/>
      <c r="X96" s="39"/>
      <c r="Y96" s="211"/>
      <c r="Z96" s="38"/>
      <c r="AA96" s="38"/>
      <c r="AB96" s="38"/>
      <c r="AC96" s="38"/>
      <c r="AD96" s="38">
        <f>+AM96+BA96</f>
        <v>22</v>
      </c>
      <c r="AE96" s="228" t="s">
        <v>420</v>
      </c>
      <c r="AF96" s="34"/>
      <c r="AG96" s="34"/>
      <c r="AH96" s="34">
        <v>22</v>
      </c>
      <c r="AI96" s="469"/>
      <c r="AJ96" s="38"/>
      <c r="AK96" s="38"/>
      <c r="AL96" s="38"/>
      <c r="AM96" s="38">
        <f>SUM(AF96:AL96)+AT96+AV96+AX96</f>
        <v>22</v>
      </c>
      <c r="AN96" s="38"/>
      <c r="AO96" s="38"/>
      <c r="AP96" s="38"/>
      <c r="AQ96" s="38"/>
      <c r="AR96" s="38">
        <f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34"/>
      <c r="BC96" s="54"/>
      <c r="BD96" s="54"/>
      <c r="BE96" s="34"/>
      <c r="BF96" s="54"/>
    </row>
    <row r="97" spans="1:58" ht="12.95" customHeight="1">
      <c r="A97" s="41"/>
      <c r="B97" s="42"/>
      <c r="C97" s="424"/>
      <c r="D97" s="42"/>
      <c r="E97" s="43"/>
      <c r="F97" s="43"/>
      <c r="G97" s="467"/>
      <c r="H97" s="45"/>
      <c r="I97" s="46"/>
      <c r="J97" s="84"/>
      <c r="K97" s="84"/>
      <c r="L97" s="36"/>
      <c r="M97" s="36"/>
      <c r="N97" s="47"/>
      <c r="O97" s="48"/>
      <c r="P97" s="49"/>
      <c r="Q97" s="48"/>
      <c r="R97" s="394"/>
      <c r="S97" s="394"/>
      <c r="T97" s="38"/>
      <c r="U97" s="38"/>
      <c r="V97" s="38"/>
      <c r="W97" s="38"/>
      <c r="X97" s="391"/>
      <c r="Y97" s="38"/>
      <c r="Z97" s="38"/>
      <c r="AA97" s="50"/>
      <c r="AB97" s="50"/>
      <c r="AC97" s="38"/>
      <c r="AD97" s="38"/>
      <c r="AE97" s="228"/>
      <c r="AF97" s="38"/>
      <c r="AG97" s="38"/>
      <c r="AH97" s="38"/>
      <c r="AI97" s="469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4"/>
      <c r="BC97" s="52"/>
      <c r="BD97" s="52"/>
      <c r="BE97" s="52"/>
      <c r="BF97" s="52"/>
    </row>
    <row r="98" spans="1:58" ht="12.75" customHeight="1">
      <c r="A98" s="41">
        <v>46014</v>
      </c>
      <c r="B98" s="42" t="s">
        <v>419</v>
      </c>
      <c r="C98" s="424">
        <f>(M98*E98*O98*Q98)/100000000</f>
        <v>13.65508125</v>
      </c>
      <c r="D98" s="42" t="s">
        <v>285</v>
      </c>
      <c r="E98" s="43">
        <v>13.5</v>
      </c>
      <c r="F98" s="43">
        <v>1</v>
      </c>
      <c r="G98" s="44">
        <v>1320</v>
      </c>
      <c r="H98" s="484">
        <f>+N98</f>
        <v>0.25</v>
      </c>
      <c r="I98" s="46">
        <v>0.88</v>
      </c>
      <c r="J98" s="84">
        <f>E98*G98*(1-H98)*1440/1000000*2.87</f>
        <v>55.234872000000003</v>
      </c>
      <c r="K98" s="84">
        <f>(IF(G98&lt;L98,L98,G98)*(1-IF(H98&lt;N98,H98,N98))*E98*O98*Q98)/100000000</f>
        <v>13.65508125</v>
      </c>
      <c r="L98" s="36">
        <v>1350</v>
      </c>
      <c r="M98" s="36">
        <v>1012.5</v>
      </c>
      <c r="N98" s="47">
        <f>1-(M98/L98)</f>
        <v>0.25</v>
      </c>
      <c r="O98" s="48">
        <f>+'Trim Rwd'!H70</f>
        <v>277.5</v>
      </c>
      <c r="P98" s="49">
        <f>O98*(Q98-R98-S98)</f>
        <v>98235</v>
      </c>
      <c r="Q98" s="48">
        <v>360</v>
      </c>
      <c r="R98" s="394">
        <v>0</v>
      </c>
      <c r="S98" s="394">
        <v>6</v>
      </c>
      <c r="T98" s="38">
        <f>E98*M98*O98*Q98/100000000</f>
        <v>13.65508125</v>
      </c>
      <c r="U98" s="38">
        <f>E98*M98*O98*(Q98-R98-S98)/100000000</f>
        <v>13.4274965625</v>
      </c>
      <c r="V98" s="38">
        <f>E98*G98*(1-N98)*O98/100*(R98+S98)/1000000</f>
        <v>0.22252725000000001</v>
      </c>
      <c r="W98" s="38">
        <f>+'23'!K18/1000</f>
        <v>17.661000000000001</v>
      </c>
      <c r="X98" s="391">
        <f>SUM(W98:W101)/SUM(K98:K101)</f>
        <v>0.91998201433801985</v>
      </c>
      <c r="Y98" s="38">
        <v>0</v>
      </c>
      <c r="Z98" s="38">
        <v>0</v>
      </c>
      <c r="AA98" s="50">
        <f>SUM(U98:U101)-SUM(W98:W101)-SUM(Z98:Z101)-SUM(Y98:Y101)</f>
        <v>3.4936869625000071</v>
      </c>
      <c r="AB98" s="50">
        <f>(SUM(K98:K101)-SUM(W98:W101)-SUM(Y98:Y101)-SUM(Z98:Z101)-SUM(AC98:AC101)-SUM(V98:V101))-AA98</f>
        <v>3.4772287499996501E-2</v>
      </c>
      <c r="AC98" s="38">
        <f>K98-T98</f>
        <v>0</v>
      </c>
      <c r="AD98" s="38">
        <f>+AM98+BA98</f>
        <v>0</v>
      </c>
      <c r="AE98" s="228" t="s">
        <v>392</v>
      </c>
      <c r="AF98" s="38">
        <v>0</v>
      </c>
      <c r="AG98" s="38"/>
      <c r="AH98" s="38"/>
      <c r="AI98" s="469"/>
      <c r="AJ98" s="38"/>
      <c r="AK98" s="38"/>
      <c r="AL98" s="38"/>
      <c r="AM98" s="38">
        <f>SUM(AF98:AL98)+AT98+AV98+AX98</f>
        <v>0</v>
      </c>
      <c r="AN98" s="38"/>
      <c r="AO98" s="38"/>
      <c r="AP98" s="38"/>
      <c r="AQ98" s="38"/>
      <c r="AR98" s="38">
        <f>SUM(AN98:AQ98)</f>
        <v>0</v>
      </c>
      <c r="AS98" s="38"/>
      <c r="AT98" s="38"/>
      <c r="AU98" s="38"/>
      <c r="AV98" s="38"/>
      <c r="AW98" s="38"/>
      <c r="AX98" s="38"/>
      <c r="AY98" s="38"/>
      <c r="AZ98" s="38"/>
      <c r="BA98" s="38">
        <f>+AR98+AS98+AU98+AW98+AY98+AZ98</f>
        <v>0</v>
      </c>
      <c r="BB98" s="34">
        <v>0</v>
      </c>
      <c r="BC98" s="52"/>
      <c r="BD98" s="52"/>
      <c r="BE98" s="34"/>
      <c r="BF98" s="52"/>
    </row>
    <row r="99" spans="1:58" ht="12.95" customHeight="1">
      <c r="A99" s="41"/>
      <c r="B99" s="42" t="s">
        <v>419</v>
      </c>
      <c r="C99" s="424">
        <f>(M99*E99*O99*Q99)/100000000</f>
        <v>41.492736000000001</v>
      </c>
      <c r="D99" s="42" t="s">
        <v>285</v>
      </c>
      <c r="E99" s="43">
        <v>14.5</v>
      </c>
      <c r="F99" s="43">
        <v>1</v>
      </c>
      <c r="G99" s="44">
        <v>1225</v>
      </c>
      <c r="H99" s="484">
        <f>+N99</f>
        <v>0.25</v>
      </c>
      <c r="I99" s="46">
        <v>0.88</v>
      </c>
      <c r="J99" s="84">
        <f>E99*G99*(1-H99)*1440/1000000*2.87</f>
        <v>55.056644999999996</v>
      </c>
      <c r="K99" s="84">
        <f>(IF(G99&lt;L99,L99,G99)*(1-IF(H99&lt;N99,H99,N99))*E99*O99*Q99)/100000000</f>
        <v>41.492736000000001</v>
      </c>
      <c r="L99" s="36">
        <v>1280</v>
      </c>
      <c r="M99" s="36">
        <v>960</v>
      </c>
      <c r="N99" s="47">
        <f>1-(M99/L99)</f>
        <v>0.25</v>
      </c>
      <c r="O99" s="48">
        <f>+'Trim Rwd'!H72</f>
        <v>276</v>
      </c>
      <c r="P99" s="49">
        <f>O99*(Q99-R99-S99)</f>
        <v>293112</v>
      </c>
      <c r="Q99" s="48">
        <v>1080</v>
      </c>
      <c r="R99" s="394">
        <v>0</v>
      </c>
      <c r="S99" s="394">
        <v>18</v>
      </c>
      <c r="T99" s="38">
        <f>E99*M99*O99*Q99/100000000</f>
        <v>41.492736000000001</v>
      </c>
      <c r="U99" s="38">
        <f>E99*M99*O99*(Q99-R99-S99)/100000000</f>
        <v>40.801190400000003</v>
      </c>
      <c r="V99" s="38">
        <f>E99*G99*(1-N99)*O99/100*(R99+S99)/1000000</f>
        <v>0.66183075000000002</v>
      </c>
      <c r="W99" s="38">
        <f>+'23'!K19/1000</f>
        <v>32.442999999999998</v>
      </c>
      <c r="X99" s="39"/>
      <c r="Y99" s="211"/>
      <c r="Z99" s="38"/>
      <c r="AA99" s="38"/>
      <c r="AB99" s="38"/>
      <c r="AC99" s="38">
        <f>K99-T99</f>
        <v>0</v>
      </c>
      <c r="AD99" s="38">
        <f>+AM99+BA99</f>
        <v>2</v>
      </c>
      <c r="AE99" s="228" t="s">
        <v>446</v>
      </c>
      <c r="AF99" s="38"/>
      <c r="AG99" s="38">
        <v>2</v>
      </c>
      <c r="AH99" s="38"/>
      <c r="AI99" s="469"/>
      <c r="AJ99" s="38"/>
      <c r="AK99" s="38"/>
      <c r="AL99" s="38"/>
      <c r="AM99" s="38">
        <f>SUM(AF99:AL99)+AT99+AV99+AX99</f>
        <v>2</v>
      </c>
      <c r="AN99" s="85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51"/>
      <c r="BC99" s="52">
        <v>1</v>
      </c>
      <c r="BD99" s="52"/>
      <c r="BE99" s="51"/>
      <c r="BF99" s="52"/>
    </row>
    <row r="100" spans="1:58" ht="12.95" customHeight="1">
      <c r="A100" s="41"/>
      <c r="B100" s="42" t="s">
        <v>419</v>
      </c>
      <c r="C100" s="424"/>
      <c r="D100" s="42"/>
      <c r="E100" s="43">
        <v>15</v>
      </c>
      <c r="F100" s="43"/>
      <c r="G100" s="44"/>
      <c r="H100" s="45"/>
      <c r="I100" s="46"/>
      <c r="J100" s="84"/>
      <c r="K100" s="84"/>
      <c r="L100" s="36"/>
      <c r="M100" s="36"/>
      <c r="N100" s="47"/>
      <c r="O100" s="48"/>
      <c r="P100" s="49"/>
      <c r="Q100" s="48"/>
      <c r="R100" s="394"/>
      <c r="S100" s="394"/>
      <c r="T100" s="38"/>
      <c r="U100" s="38"/>
      <c r="V100" s="38"/>
      <c r="W100" s="38">
        <f>+'23'!K17/1000</f>
        <v>0.63100000000000001</v>
      </c>
      <c r="X100" s="39"/>
      <c r="Y100" s="211"/>
      <c r="Z100" s="38"/>
      <c r="AA100" s="38"/>
      <c r="AB100" s="38"/>
      <c r="AC100" s="38"/>
      <c r="AD100" s="38">
        <f>+AM100+BA100</f>
        <v>22</v>
      </c>
      <c r="AE100" s="228" t="s">
        <v>420</v>
      </c>
      <c r="AF100" s="34"/>
      <c r="AG100" s="34"/>
      <c r="AH100" s="34">
        <v>22</v>
      </c>
      <c r="AI100" s="469"/>
      <c r="AJ100" s="38"/>
      <c r="AK100" s="38"/>
      <c r="AL100" s="38"/>
      <c r="AM100" s="38">
        <f>SUM(AF100:AL100)+AT100+AV100+AX100</f>
        <v>22</v>
      </c>
      <c r="AN100" s="38"/>
      <c r="AO100" s="38"/>
      <c r="AP100" s="38"/>
      <c r="AQ100" s="38"/>
      <c r="AR100" s="38">
        <f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34"/>
      <c r="BC100" s="54"/>
      <c r="BD100" s="54"/>
      <c r="BE100" s="34"/>
      <c r="BF100" s="54"/>
    </row>
    <row r="101" spans="1:58" ht="12.95" customHeight="1">
      <c r="A101" s="41"/>
      <c r="B101" s="42"/>
      <c r="C101" s="424"/>
      <c r="D101" s="42"/>
      <c r="E101" s="43"/>
      <c r="F101" s="43"/>
      <c r="G101" s="467"/>
      <c r="H101" s="45"/>
      <c r="I101" s="46"/>
      <c r="J101" s="84"/>
      <c r="K101" s="84"/>
      <c r="L101" s="36"/>
      <c r="M101" s="36"/>
      <c r="N101" s="47"/>
      <c r="O101" s="48"/>
      <c r="P101" s="49"/>
      <c r="Q101" s="48"/>
      <c r="R101" s="394"/>
      <c r="S101" s="394"/>
      <c r="T101" s="38"/>
      <c r="U101" s="38"/>
      <c r="V101" s="38"/>
      <c r="W101" s="38"/>
      <c r="X101" s="391"/>
      <c r="Y101" s="38"/>
      <c r="Z101" s="38"/>
      <c r="AA101" s="50"/>
      <c r="AB101" s="50"/>
      <c r="AC101" s="38"/>
      <c r="AD101" s="38"/>
      <c r="AE101" s="228"/>
      <c r="AF101" s="38"/>
      <c r="AG101" s="38"/>
      <c r="AH101" s="38"/>
      <c r="AI101" s="469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4"/>
      <c r="BC101" s="52"/>
      <c r="BD101" s="52"/>
      <c r="BE101" s="52"/>
      <c r="BF101" s="52"/>
    </row>
    <row r="102" spans="1:58" ht="12.75" customHeight="1">
      <c r="A102" s="41">
        <v>46015</v>
      </c>
      <c r="B102" s="42" t="s">
        <v>419</v>
      </c>
      <c r="C102" s="424">
        <f>(M102*E102*O102*Q102)/100000000</f>
        <v>3.9019499999999998</v>
      </c>
      <c r="D102" s="42" t="s">
        <v>285</v>
      </c>
      <c r="E102" s="43">
        <v>14.5</v>
      </c>
      <c r="F102" s="43">
        <v>1</v>
      </c>
      <c r="G102" s="44">
        <v>1225</v>
      </c>
      <c r="H102" s="484">
        <f>+N102</f>
        <v>0.25</v>
      </c>
      <c r="I102" s="46">
        <v>0.88</v>
      </c>
      <c r="J102" s="84">
        <f>E102*G102*(1-H102)*1440/1000000*2.87</f>
        <v>55.056644999999996</v>
      </c>
      <c r="K102" s="84">
        <f>(IF(G102&lt;L102,L102,G102)*(1-IF(H102&lt;N102,H102,N102))*E102*O102*Q102)/100000000</f>
        <v>3.9019499999999998</v>
      </c>
      <c r="L102" s="36">
        <v>1300</v>
      </c>
      <c r="M102" s="36">
        <v>975</v>
      </c>
      <c r="N102" s="47">
        <f>1-(M102/L102)</f>
        <v>0.25</v>
      </c>
      <c r="O102" s="48">
        <f>+'Trim Rwd'!H74</f>
        <v>276</v>
      </c>
      <c r="P102" s="49">
        <f>O102*(Q102-R102-S102)</f>
        <v>27048</v>
      </c>
      <c r="Q102" s="48">
        <v>100</v>
      </c>
      <c r="R102" s="394">
        <v>0</v>
      </c>
      <c r="S102" s="394">
        <v>2</v>
      </c>
      <c r="T102" s="38">
        <f>E102*M102*O102*Q102/100000000</f>
        <v>3.9019499999999998</v>
      </c>
      <c r="U102" s="38">
        <f>E102*M102*O102*(Q102-R102-S102)/100000000</f>
        <v>3.8239109999999998</v>
      </c>
      <c r="V102" s="38">
        <f>E102*G102*(1-N102)*O102/100*(R102+S102)/1000000</f>
        <v>7.3536749999999998E-2</v>
      </c>
      <c r="W102" s="38">
        <f>+'24'!K19/1000</f>
        <v>9.4420000000000002</v>
      </c>
      <c r="X102" s="391">
        <f>SUM(W102:W105)/SUM(K102:K105)</f>
        <v>0.99410496777728441</v>
      </c>
      <c r="Y102" s="38">
        <v>0</v>
      </c>
      <c r="Z102" s="38">
        <v>0</v>
      </c>
      <c r="AA102" s="50">
        <f>SUM(U102:U105)-SUM(W102:W105)-SUM(Z102:Z105)-SUM(Y102:Y105)</f>
        <v>-0.90734882889289992</v>
      </c>
      <c r="AB102" s="50">
        <f>(SUM(K102:K105)-SUM(W102:W105)-SUM(Y102:Y105)-SUM(Z102:Z105)-SUM(AC102:AC105)-SUM(V102:V105))-AA102</f>
        <v>2.1186450000002077E-2</v>
      </c>
      <c r="AC102" s="38">
        <f>K102-T102</f>
        <v>0</v>
      </c>
      <c r="AD102" s="38">
        <f>+AM102+BA102</f>
        <v>0</v>
      </c>
      <c r="AE102" s="228" t="s">
        <v>392</v>
      </c>
      <c r="AF102" s="38">
        <v>0</v>
      </c>
      <c r="AG102" s="38"/>
      <c r="AH102" s="38"/>
      <c r="AI102" s="469"/>
      <c r="AJ102" s="38"/>
      <c r="AK102" s="38"/>
      <c r="AL102" s="38"/>
      <c r="AM102" s="38">
        <f>SUM(AF102:AL102)+AT102+AV102+AX102</f>
        <v>0</v>
      </c>
      <c r="AN102" s="38"/>
      <c r="AO102" s="38"/>
      <c r="AP102" s="38"/>
      <c r="AQ102" s="38"/>
      <c r="AR102" s="38">
        <f>SUM(AN102:AQ102)</f>
        <v>0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0</v>
      </c>
      <c r="BB102" s="34">
        <v>0</v>
      </c>
      <c r="BC102" s="52"/>
      <c r="BD102" s="52"/>
      <c r="BE102" s="34"/>
      <c r="BF102" s="52"/>
    </row>
    <row r="103" spans="1:58" ht="12.95" customHeight="1">
      <c r="A103" s="41"/>
      <c r="B103" s="42" t="s">
        <v>417</v>
      </c>
      <c r="C103" s="424">
        <f>(M103*E103*O103*Q103)/100000000</f>
        <v>11.4696</v>
      </c>
      <c r="D103" s="42" t="s">
        <v>285</v>
      </c>
      <c r="E103" s="43">
        <v>16</v>
      </c>
      <c r="F103" s="43">
        <v>1</v>
      </c>
      <c r="G103" s="44">
        <v>1110</v>
      </c>
      <c r="H103" s="484">
        <f>+N103</f>
        <v>0.25</v>
      </c>
      <c r="I103" s="46">
        <v>0.88</v>
      </c>
      <c r="J103" s="84">
        <f>E103*G103*(1-H103)*1440/1000000*2.87</f>
        <v>55.048896000000006</v>
      </c>
      <c r="K103" s="84">
        <f>(IF(G103&lt;L103,L103,G103)*(1-IF(H103&lt;N103,H103,N103))*E103*O103*Q103)/100000000</f>
        <v>11.4696</v>
      </c>
      <c r="L103" s="36">
        <v>1180</v>
      </c>
      <c r="M103" s="36">
        <v>885</v>
      </c>
      <c r="N103" s="47">
        <f>1-(M103/L103)</f>
        <v>0.25</v>
      </c>
      <c r="O103" s="48">
        <f>+'Trim Rwd'!H75</f>
        <v>270</v>
      </c>
      <c r="P103" s="49">
        <f>O103*(Q103-R103-S103)</f>
        <v>78570</v>
      </c>
      <c r="Q103" s="48">
        <v>300</v>
      </c>
      <c r="R103" s="394">
        <v>0</v>
      </c>
      <c r="S103" s="394">
        <v>9</v>
      </c>
      <c r="T103" s="38">
        <f>E103*M103*O103*Q103/100000000</f>
        <v>11.4696</v>
      </c>
      <c r="U103" s="38">
        <f>E103*M103*O103*(Q103-R103-S103)/100000000</f>
        <v>11.125512000000001</v>
      </c>
      <c r="V103" s="38">
        <f>E103*G103*(1-N103)*O103/100*(R103+S103)/1000000</f>
        <v>0.32367600000000002</v>
      </c>
      <c r="W103" s="38">
        <f>+'24'!K20/1000</f>
        <v>10.981999999999999</v>
      </c>
      <c r="X103" s="39"/>
      <c r="Y103" s="211"/>
      <c r="Z103" s="38"/>
      <c r="AA103" s="38"/>
      <c r="AB103" s="38"/>
      <c r="AC103" s="38">
        <f>K103-T103</f>
        <v>0</v>
      </c>
      <c r="AD103" s="38">
        <f>+AM103+BA103</f>
        <v>3</v>
      </c>
      <c r="AE103" s="228" t="s">
        <v>478</v>
      </c>
      <c r="AF103" s="38"/>
      <c r="AG103" s="38">
        <v>3</v>
      </c>
      <c r="AH103" s="38"/>
      <c r="AI103" s="469"/>
      <c r="AJ103" s="38"/>
      <c r="AK103" s="38"/>
      <c r="AL103" s="38"/>
      <c r="AM103" s="38">
        <f>SUM(AF103:AL103)+AT103+AV103+AX103</f>
        <v>3</v>
      </c>
      <c r="AN103" s="85"/>
      <c r="AO103" s="38"/>
      <c r="AP103" s="38"/>
      <c r="AQ103" s="38"/>
      <c r="AR103" s="38">
        <f>SUM(AN103:AQ103)</f>
        <v>0</v>
      </c>
      <c r="AS103" s="38"/>
      <c r="AT103" s="38"/>
      <c r="AU103" s="38"/>
      <c r="AV103" s="38"/>
      <c r="AW103" s="38"/>
      <c r="AX103" s="38"/>
      <c r="AY103" s="38"/>
      <c r="AZ103" s="38"/>
      <c r="BA103" s="38">
        <f>+AR103+AS103+AU103+AW103+AY103+AZ103</f>
        <v>0</v>
      </c>
      <c r="BB103" s="51"/>
      <c r="BC103" s="52">
        <v>1</v>
      </c>
      <c r="BD103" s="52"/>
      <c r="BE103" s="51"/>
      <c r="BF103" s="52"/>
    </row>
    <row r="104" spans="1:58" ht="12.95" customHeight="1">
      <c r="A104" s="41"/>
      <c r="B104" s="42" t="s">
        <v>417</v>
      </c>
      <c r="C104" s="424">
        <f>(M104*E104*O104*Q104)/100000000</f>
        <v>31.677714153191491</v>
      </c>
      <c r="D104" s="42" t="s">
        <v>285</v>
      </c>
      <c r="E104" s="43">
        <v>13</v>
      </c>
      <c r="F104" s="43">
        <v>1</v>
      </c>
      <c r="G104" s="44">
        <v>1350</v>
      </c>
      <c r="H104" s="484">
        <f>+N104</f>
        <v>0.2409039548022599</v>
      </c>
      <c r="I104" s="46">
        <v>0.88</v>
      </c>
      <c r="J104" s="84">
        <f>E104*G104*(1-H104)*1440/1000000*2.87</f>
        <v>55.057721979661011</v>
      </c>
      <c r="K104" s="84">
        <f>(IF(G104&lt;L104,L104,G104)*(1-IF(H104&lt;N104,H104,N104))*E104*O104*Q104)/100000000</f>
        <v>31.677714153191491</v>
      </c>
      <c r="L104" s="36">
        <v>1350</v>
      </c>
      <c r="M104" s="36">
        <v>1024.7796610169491</v>
      </c>
      <c r="N104" s="47">
        <f>1-(M104/L104)</f>
        <v>0.2409039548022599</v>
      </c>
      <c r="O104" s="48">
        <f>+'Trim Rwd'!H76</f>
        <v>268.68085106382978</v>
      </c>
      <c r="P104" s="49">
        <f>O104*(Q104-R104-S104)</f>
        <v>234021.02127659574</v>
      </c>
      <c r="Q104" s="48">
        <v>885</v>
      </c>
      <c r="R104" s="394">
        <v>0</v>
      </c>
      <c r="S104" s="394">
        <f>28-S102-S103-S105</f>
        <v>14</v>
      </c>
      <c r="T104" s="38">
        <f>E104*M104*O104*Q104/100000000</f>
        <v>31.677714153191491</v>
      </c>
      <c r="U104" s="38">
        <f>E104*M104*O104*(Q104-R104-S104)/100000000</f>
        <v>31.176597771107101</v>
      </c>
      <c r="V104" s="38">
        <f>E104*G104*(1-N104)*O104/100*(R104+S104)/1000000</f>
        <v>0.50111638208438514</v>
      </c>
      <c r="W104" s="38">
        <f>+'24'!K12/1000</f>
        <v>29.641999999999999</v>
      </c>
      <c r="X104" s="39"/>
      <c r="Y104" s="211"/>
      <c r="Z104" s="38"/>
      <c r="AA104" s="38"/>
      <c r="AB104" s="38"/>
      <c r="AC104" s="38">
        <f>K104-T104</f>
        <v>0</v>
      </c>
      <c r="AD104" s="38">
        <f>+AM104+BA104</f>
        <v>25</v>
      </c>
      <c r="AE104" s="228" t="s">
        <v>513</v>
      </c>
      <c r="AF104" s="34"/>
      <c r="AG104" s="34"/>
      <c r="AH104" s="34">
        <v>25</v>
      </c>
      <c r="AI104" s="469"/>
      <c r="AJ104" s="38"/>
      <c r="AK104" s="38"/>
      <c r="AL104" s="38"/>
      <c r="AM104" s="38">
        <f>SUM(AF104:AL104)+AT104+AV104+AX104</f>
        <v>25</v>
      </c>
      <c r="AN104" s="38"/>
      <c r="AO104" s="38"/>
      <c r="AP104" s="38"/>
      <c r="AQ104" s="38"/>
      <c r="AR104" s="38">
        <f>SUM(AN104:AQ104)</f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>+AR104+AS104+AU104+AW104+AY104+AZ104</f>
        <v>0</v>
      </c>
      <c r="BB104" s="34"/>
      <c r="BC104" s="54"/>
      <c r="BD104" s="54"/>
      <c r="BE104" s="34"/>
      <c r="BF104" s="54"/>
    </row>
    <row r="105" spans="1:58" ht="12.95" customHeight="1">
      <c r="A105" s="41"/>
      <c r="B105" s="42" t="s">
        <v>417</v>
      </c>
      <c r="C105" s="424">
        <f>(M105*E105*O105*Q105)/100000000</f>
        <v>5.2002810000000004</v>
      </c>
      <c r="D105" s="42" t="s">
        <v>285</v>
      </c>
      <c r="E105" s="43">
        <v>12</v>
      </c>
      <c r="F105" s="43">
        <v>1</v>
      </c>
      <c r="G105" s="44">
        <v>1400</v>
      </c>
      <c r="H105" s="484">
        <f>+N105</f>
        <v>0.24</v>
      </c>
      <c r="I105" s="46">
        <v>0.88</v>
      </c>
      <c r="J105" s="84">
        <f>E105*G105*(1-H105)*1440/1000000*2.87</f>
        <v>52.767590399999996</v>
      </c>
      <c r="K105" s="84">
        <f>(IF(G105&lt;L105,L105,G105)*(1-IF(H105&lt;N105,H105,N105))*E105*O105*Q105)/100000000</f>
        <v>5.3928839999999996</v>
      </c>
      <c r="L105" s="36">
        <v>1350</v>
      </c>
      <c r="M105" s="36">
        <v>1026</v>
      </c>
      <c r="N105" s="47">
        <f>1-(M105/L105)</f>
        <v>0.24</v>
      </c>
      <c r="O105" s="48">
        <f>+'Trim Rwd'!H78</f>
        <v>272.5</v>
      </c>
      <c r="P105" s="49">
        <f>O105*(Q105-R105-S105)</f>
        <v>41420</v>
      </c>
      <c r="Q105" s="48">
        <v>155</v>
      </c>
      <c r="R105" s="394">
        <v>0</v>
      </c>
      <c r="S105" s="394">
        <v>3</v>
      </c>
      <c r="T105" s="38">
        <f>E105*M105*O105*Q105/100000000</f>
        <v>5.2002810000000004</v>
      </c>
      <c r="U105" s="38">
        <f>E105*M105*O105*(Q105-R105-S105)/100000000</f>
        <v>5.0996303999999997</v>
      </c>
      <c r="V105" s="38">
        <f>E105*G105*(1-N105)*O105/100*(R105+S105)/1000000</f>
        <v>0.10437840000000001</v>
      </c>
      <c r="W105" s="38">
        <f>+'24'!K10/1000</f>
        <v>2.0670000000000002</v>
      </c>
      <c r="X105" s="391"/>
      <c r="Y105" s="38"/>
      <c r="Z105" s="38"/>
      <c r="AA105" s="50"/>
      <c r="AB105" s="50"/>
      <c r="AC105" s="38">
        <f>K105-T105</f>
        <v>0.19260299999999919</v>
      </c>
      <c r="AD105" s="38"/>
      <c r="AE105" s="228"/>
      <c r="AF105" s="38"/>
      <c r="AG105" s="38"/>
      <c r="AH105" s="38"/>
      <c r="AI105" s="469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4"/>
      <c r="BC105" s="52"/>
      <c r="BD105" s="52"/>
      <c r="BE105" s="52"/>
      <c r="BF105" s="52"/>
    </row>
    <row r="106" spans="1:58" ht="12.95" customHeight="1">
      <c r="A106" s="41"/>
      <c r="B106" s="42"/>
      <c r="C106" s="424"/>
      <c r="D106" s="42"/>
      <c r="E106" s="43"/>
      <c r="F106" s="43"/>
      <c r="G106" s="467"/>
      <c r="H106" s="45"/>
      <c r="I106" s="46"/>
      <c r="J106" s="84"/>
      <c r="K106" s="84"/>
      <c r="L106" s="36"/>
      <c r="M106" s="36"/>
      <c r="N106" s="47"/>
      <c r="O106" s="48"/>
      <c r="P106" s="49"/>
      <c r="Q106" s="48"/>
      <c r="R106" s="394"/>
      <c r="S106" s="394"/>
      <c r="T106" s="38"/>
      <c r="U106" s="38"/>
      <c r="V106" s="38"/>
      <c r="W106" s="38"/>
      <c r="X106" s="39"/>
      <c r="Y106" s="211"/>
      <c r="Z106" s="38"/>
      <c r="AA106" s="38"/>
      <c r="AB106" s="38"/>
      <c r="AC106" s="38"/>
      <c r="AD106" s="38"/>
      <c r="AE106" s="228"/>
      <c r="AF106" s="38"/>
      <c r="AG106" s="38"/>
      <c r="AH106" s="38"/>
      <c r="AI106" s="469"/>
      <c r="AJ106" s="38"/>
      <c r="AK106" s="38"/>
      <c r="AL106" s="38"/>
      <c r="AM106" s="38"/>
      <c r="AN106" s="85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51"/>
      <c r="BC106" s="52"/>
      <c r="BD106" s="52"/>
      <c r="BE106" s="52"/>
      <c r="BF106" s="52"/>
    </row>
    <row r="107" spans="1:58" ht="12.75" customHeight="1">
      <c r="A107" s="41">
        <v>46016</v>
      </c>
      <c r="B107" s="42" t="s">
        <v>417</v>
      </c>
      <c r="C107" s="424">
        <f>(M107*E107*O107*Q107)/100000000</f>
        <v>25.572707999999999</v>
      </c>
      <c r="D107" s="42" t="s">
        <v>285</v>
      </c>
      <c r="E107" s="43">
        <v>12</v>
      </c>
      <c r="F107" s="43">
        <v>1</v>
      </c>
      <c r="G107" s="44">
        <v>1400</v>
      </c>
      <c r="H107" s="484">
        <f>+N107</f>
        <v>0.24</v>
      </c>
      <c r="I107" s="46">
        <v>0.88</v>
      </c>
      <c r="J107" s="84">
        <f>E107*G107*(1-H107)*1440/1000000*2.87</f>
        <v>52.767590399999996</v>
      </c>
      <c r="K107" s="84">
        <f>(IF(G107&lt;L107,L107,G107)*(1-IF(H107&lt;N107,H107,N107))*E107*O107*Q107)/100000000</f>
        <v>25.572707999999999</v>
      </c>
      <c r="L107" s="36">
        <v>1400</v>
      </c>
      <c r="M107" s="36">
        <v>1064</v>
      </c>
      <c r="N107" s="47">
        <f>1-(M107/L107)</f>
        <v>0.24</v>
      </c>
      <c r="O107" s="48">
        <f>+'Trim Rwd'!H80</f>
        <v>272.5</v>
      </c>
      <c r="P107" s="49">
        <f>O107*(Q107-R107-S107)</f>
        <v>195110</v>
      </c>
      <c r="Q107" s="48">
        <v>735</v>
      </c>
      <c r="R107" s="394">
        <v>0</v>
      </c>
      <c r="S107" s="394">
        <v>19</v>
      </c>
      <c r="T107" s="38">
        <f>E107*M107*O107*Q107/100000000</f>
        <v>25.572707999999999</v>
      </c>
      <c r="U107" s="38">
        <f>E107*M107*O107*(Q107-R107-S107)/100000000</f>
        <v>24.911644800000001</v>
      </c>
      <c r="V107" s="38">
        <f>E107*G107*(1-N107)*O107/100*(R107+S107)/1000000</f>
        <v>0.66106320000000007</v>
      </c>
      <c r="W107" s="38">
        <f>+'25'!K10/1000</f>
        <v>26.245999999999999</v>
      </c>
      <c r="X107" s="391">
        <f>SUM(W107:W110)/SUM(K107:K110)</f>
        <v>0.90277428859927344</v>
      </c>
      <c r="Y107" s="38">
        <v>0</v>
      </c>
      <c r="Z107" s="38">
        <f>+'25'!D7/1000</f>
        <v>1.04</v>
      </c>
      <c r="AA107" s="50">
        <f>SUM(U107:U110)-SUM(W107:W110)-SUM(Z107:Z110)-SUM(Y107:Y110)</f>
        <v>2.7047648000000057</v>
      </c>
      <c r="AB107" s="50">
        <f>(SUM(K107:K110)-SUM(W107:W110)-SUM(Y107:Y110)-SUM(Z107:Z110)-SUM(AC107:AC110)-SUM(V107:V110))-AA107</f>
        <v>2.2610000000000685E-2</v>
      </c>
      <c r="AC107" s="38">
        <f>K107-T107</f>
        <v>0</v>
      </c>
      <c r="AD107" s="38">
        <f>+AM107+BA107</f>
        <v>0</v>
      </c>
      <c r="AE107" s="228" t="s">
        <v>392</v>
      </c>
      <c r="AF107" s="38">
        <v>0</v>
      </c>
      <c r="AG107" s="38"/>
      <c r="AH107" s="38"/>
      <c r="AI107" s="469"/>
      <c r="AJ107" s="38"/>
      <c r="AK107" s="38"/>
      <c r="AL107" s="38"/>
      <c r="AM107" s="38">
        <f>SUM(AF107:AL107)+AT107+AV107+AX107</f>
        <v>0</v>
      </c>
      <c r="AN107" s="38"/>
      <c r="AO107" s="38"/>
      <c r="AP107" s="38"/>
      <c r="AQ107" s="38"/>
      <c r="AR107" s="38">
        <f>SUM(AN107:AQ107)</f>
        <v>0</v>
      </c>
      <c r="AS107" s="38"/>
      <c r="AT107" s="38"/>
      <c r="AU107" s="38"/>
      <c r="AV107" s="38"/>
      <c r="AW107" s="38"/>
      <c r="AX107" s="38"/>
      <c r="AY107" s="38"/>
      <c r="AZ107" s="38"/>
      <c r="BA107" s="38">
        <f>+AR107+AS107+AU107+AW107+AY107+AZ107</f>
        <v>0</v>
      </c>
      <c r="BB107" s="34">
        <v>0</v>
      </c>
      <c r="BC107" s="52"/>
      <c r="BD107" s="52"/>
      <c r="BE107" s="34"/>
      <c r="BF107" s="52"/>
    </row>
    <row r="108" spans="1:58" ht="12.95" customHeight="1">
      <c r="A108" s="41"/>
      <c r="B108" s="42" t="s">
        <v>417</v>
      </c>
      <c r="C108" s="424">
        <f>(M108*E108*O108*Q108)/100000000</f>
        <v>26.254200000000001</v>
      </c>
      <c r="D108" s="42" t="s">
        <v>285</v>
      </c>
      <c r="E108" s="43">
        <v>12.5</v>
      </c>
      <c r="F108" s="43">
        <v>1</v>
      </c>
      <c r="G108" s="44">
        <v>1350</v>
      </c>
      <c r="H108" s="484">
        <f>+N108</f>
        <v>0.24</v>
      </c>
      <c r="I108" s="46">
        <v>0.88</v>
      </c>
      <c r="J108" s="84">
        <f>E108*G108*(1-H108)*1440/1000000*2.87</f>
        <v>53.003160000000001</v>
      </c>
      <c r="K108" s="84">
        <f>(IF(G108&lt;L108,L108,G108)*(1-IF(H108&lt;N108,H108,N108))*E108*O108*Q108)/100000000</f>
        <v>26.254200000000001</v>
      </c>
      <c r="L108" s="36">
        <v>1400</v>
      </c>
      <c r="M108" s="36">
        <v>1064</v>
      </c>
      <c r="N108" s="47">
        <f>1-(M108/L108)</f>
        <v>0.24</v>
      </c>
      <c r="O108" s="48">
        <f>+'Trim Rwd'!H81</f>
        <v>280</v>
      </c>
      <c r="P108" s="49">
        <f>O108*(Q108-R108-S108)</f>
        <v>192640</v>
      </c>
      <c r="Q108" s="48">
        <v>705</v>
      </c>
      <c r="R108" s="394">
        <v>0</v>
      </c>
      <c r="S108" s="394">
        <v>17</v>
      </c>
      <c r="T108" s="38">
        <f>E108*M108*O108*Q108/100000000</f>
        <v>26.254200000000001</v>
      </c>
      <c r="U108" s="38">
        <f>E108*M108*O108*(Q108-R108-S108)/100000000</f>
        <v>25.621120000000001</v>
      </c>
      <c r="V108" s="38">
        <f>E108*G108*(1-N108)*O108/100*(R108+S108)/1000000</f>
        <v>0.61046999999999996</v>
      </c>
      <c r="W108" s="38">
        <f>+'25'!K21/1000</f>
        <v>20.542000000000002</v>
      </c>
      <c r="X108" s="39"/>
      <c r="Y108" s="211"/>
      <c r="Z108" s="38"/>
      <c r="AA108" s="38"/>
      <c r="AB108" s="38"/>
      <c r="AC108" s="38">
        <f>K108-T108</f>
        <v>0</v>
      </c>
      <c r="AD108" s="38">
        <f>+AM108+BA108</f>
        <v>2</v>
      </c>
      <c r="AE108" s="228" t="s">
        <v>446</v>
      </c>
      <c r="AF108" s="38"/>
      <c r="AG108" s="38">
        <v>2</v>
      </c>
      <c r="AH108" s="38"/>
      <c r="AI108" s="469"/>
      <c r="AJ108" s="38"/>
      <c r="AK108" s="38"/>
      <c r="AL108" s="38"/>
      <c r="AM108" s="38">
        <f>SUM(AF108:AL108)+AT108+AV108+AX108</f>
        <v>2</v>
      </c>
      <c r="AN108" s="85"/>
      <c r="AO108" s="38"/>
      <c r="AP108" s="38"/>
      <c r="AQ108" s="38"/>
      <c r="AR108" s="38">
        <f>SUM(AN108:AQ108)</f>
        <v>0</v>
      </c>
      <c r="AS108" s="38"/>
      <c r="AT108" s="38"/>
      <c r="AU108" s="38"/>
      <c r="AV108" s="38"/>
      <c r="AW108" s="38"/>
      <c r="AX108" s="38"/>
      <c r="AY108" s="38"/>
      <c r="AZ108" s="38"/>
      <c r="BA108" s="38">
        <f>+AR108+AS108+AU108+AW108+AY108+AZ108</f>
        <v>0</v>
      </c>
      <c r="BB108" s="51"/>
      <c r="BC108" s="52">
        <v>1</v>
      </c>
      <c r="BD108" s="52"/>
      <c r="BE108" s="51"/>
      <c r="BF108" s="52"/>
    </row>
    <row r="109" spans="1:58" ht="12.95" customHeight="1">
      <c r="A109" s="41"/>
      <c r="B109" s="42"/>
      <c r="C109" s="424"/>
      <c r="D109" s="42"/>
      <c r="E109" s="43"/>
      <c r="F109" s="43"/>
      <c r="G109" s="44"/>
      <c r="H109" s="45"/>
      <c r="I109" s="46"/>
      <c r="J109" s="84"/>
      <c r="K109" s="84"/>
      <c r="L109" s="36"/>
      <c r="M109" s="36"/>
      <c r="N109" s="47"/>
      <c r="O109" s="48"/>
      <c r="P109" s="49"/>
      <c r="Q109" s="48"/>
      <c r="R109" s="394"/>
      <c r="S109" s="394"/>
      <c r="T109" s="38"/>
      <c r="U109" s="38"/>
      <c r="V109" s="38"/>
      <c r="W109" s="38"/>
      <c r="X109" s="39"/>
      <c r="Y109" s="211"/>
      <c r="Z109" s="38"/>
      <c r="AA109" s="38"/>
      <c r="AB109" s="38"/>
      <c r="AC109" s="38"/>
      <c r="AD109" s="38">
        <f>+AM109+BA109</f>
        <v>34</v>
      </c>
      <c r="AE109" s="228" t="s">
        <v>671</v>
      </c>
      <c r="AF109" s="34"/>
      <c r="AG109" s="34"/>
      <c r="AH109" s="34">
        <v>34</v>
      </c>
      <c r="AI109" s="469"/>
      <c r="AJ109" s="38"/>
      <c r="AK109" s="38"/>
      <c r="AL109" s="38"/>
      <c r="AM109" s="38">
        <f>SUM(AF109:AL109)+AT109+AV109+AX109</f>
        <v>34</v>
      </c>
      <c r="AN109" s="38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34"/>
      <c r="BC109" s="54"/>
      <c r="BD109" s="54"/>
      <c r="BE109" s="34"/>
      <c r="BF109" s="54"/>
    </row>
    <row r="110" spans="1:58" ht="12.95" customHeight="1">
      <c r="A110" s="41"/>
      <c r="B110" s="42"/>
      <c r="C110" s="424"/>
      <c r="D110" s="42"/>
      <c r="E110" s="43"/>
      <c r="F110" s="43"/>
      <c r="G110" s="467"/>
      <c r="H110" s="45"/>
      <c r="I110" s="46"/>
      <c r="J110" s="84"/>
      <c r="K110" s="84"/>
      <c r="L110" s="36"/>
      <c r="M110" s="36"/>
      <c r="N110" s="47"/>
      <c r="O110" s="48"/>
      <c r="P110" s="49"/>
      <c r="Q110" s="48"/>
      <c r="R110" s="394"/>
      <c r="S110" s="394"/>
      <c r="T110" s="38"/>
      <c r="U110" s="38"/>
      <c r="V110" s="38"/>
      <c r="W110" s="38"/>
      <c r="X110" s="391"/>
      <c r="Y110" s="38"/>
      <c r="Z110" s="38"/>
      <c r="AA110" s="50"/>
      <c r="AB110" s="50"/>
      <c r="AC110" s="38"/>
      <c r="AD110" s="38"/>
      <c r="AE110" s="228"/>
      <c r="AF110" s="38"/>
      <c r="AG110" s="38"/>
      <c r="AH110" s="38"/>
      <c r="AI110" s="469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4"/>
      <c r="BC110" s="52"/>
      <c r="BD110" s="52"/>
      <c r="BE110" s="52"/>
      <c r="BF110" s="52"/>
    </row>
    <row r="111" spans="1:58" ht="12.75" customHeight="1">
      <c r="A111" s="41">
        <v>46017</v>
      </c>
      <c r="B111" s="42" t="s">
        <v>417</v>
      </c>
      <c r="C111" s="424">
        <f>(M111*E111*O111*Q111)/100000000</f>
        <v>53.625599999999999</v>
      </c>
      <c r="D111" s="42" t="s">
        <v>285</v>
      </c>
      <c r="E111" s="43">
        <v>12.5</v>
      </c>
      <c r="F111" s="43">
        <v>1</v>
      </c>
      <c r="G111" s="44">
        <v>1350</v>
      </c>
      <c r="H111" s="484">
        <f>+N111</f>
        <v>0.24</v>
      </c>
      <c r="I111" s="46">
        <v>0.88</v>
      </c>
      <c r="J111" s="84">
        <f>E111*G111*(1-H111)*1440/1000000*2.87</f>
        <v>53.003160000000001</v>
      </c>
      <c r="K111" s="84">
        <f>(IF(G111&lt;L111,L111,G111)*(1-IF(H111&lt;N111,H111,N111))*E111*O111*Q111)/100000000</f>
        <v>53.625599999999999</v>
      </c>
      <c r="L111" s="36">
        <v>1400</v>
      </c>
      <c r="M111" s="36">
        <v>1064</v>
      </c>
      <c r="N111" s="47">
        <f>1-(M111/L111)</f>
        <v>0.24</v>
      </c>
      <c r="O111" s="48">
        <f>+'Trim Rwd'!H83</f>
        <v>280</v>
      </c>
      <c r="P111" s="49">
        <f>O111*(Q111-R111-S111)</f>
        <v>393680</v>
      </c>
      <c r="Q111" s="48">
        <v>1440</v>
      </c>
      <c r="R111" s="394">
        <v>0</v>
      </c>
      <c r="S111" s="394">
        <v>34</v>
      </c>
      <c r="T111" s="38">
        <f>E111*M111*O111*Q111/100000000</f>
        <v>53.625599999999999</v>
      </c>
      <c r="U111" s="38">
        <f>E111*M111*O111*(Q111-R111-S111)/100000000</f>
        <v>52.359439999999999</v>
      </c>
      <c r="V111" s="38">
        <f>E111*G111*(1-N111)*O111/100*(R111+S111)/1000000</f>
        <v>1.2209399999999999</v>
      </c>
      <c r="W111" s="38">
        <f>+'26'!K34/1000</f>
        <v>47.401000000000003</v>
      </c>
      <c r="X111" s="391">
        <f>SUM(W111:W114)/SUM(K111:K114)</f>
        <v>0.88392484186657128</v>
      </c>
      <c r="Y111" s="38">
        <v>0</v>
      </c>
      <c r="Z111" s="38">
        <v>0</v>
      </c>
      <c r="AA111" s="50">
        <f>SUM(U111:U114)-SUM(W111:W114)-SUM(Z111:Z114)-SUM(Y111:Y114)</f>
        <v>4.958439999999996</v>
      </c>
      <c r="AB111" s="50">
        <f>(SUM(K111:K114)-SUM(W111:W114)-SUM(Y111:Y114)-SUM(Z111:Z114)-SUM(AC111:AC114)-SUM(V111:V114))-AA111</f>
        <v>4.5219999999999594E-2</v>
      </c>
      <c r="AC111" s="38">
        <f>K111-T111</f>
        <v>0</v>
      </c>
      <c r="AD111" s="38">
        <f>+AM111+BA111</f>
        <v>5</v>
      </c>
      <c r="AE111" s="228" t="s">
        <v>448</v>
      </c>
      <c r="AF111" s="38">
        <v>5</v>
      </c>
      <c r="AG111" s="38"/>
      <c r="AH111" s="38"/>
      <c r="AI111" s="469"/>
      <c r="AJ111" s="38"/>
      <c r="AK111" s="38"/>
      <c r="AL111" s="38"/>
      <c r="AM111" s="38">
        <f>SUM(AF111:AL111)+AT111+AV111+AX111</f>
        <v>5</v>
      </c>
      <c r="AN111" s="38"/>
      <c r="AO111" s="38"/>
      <c r="AP111" s="38"/>
      <c r="AQ111" s="38"/>
      <c r="AR111" s="38">
        <f>SUM(AN111:AQ111)</f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+AR111+AS111+AU111+AW111+AY111+AZ111</f>
        <v>0</v>
      </c>
      <c r="BB111" s="34">
        <v>1</v>
      </c>
      <c r="BC111" s="52"/>
      <c r="BD111" s="52"/>
      <c r="BE111" s="34"/>
      <c r="BF111" s="52"/>
    </row>
    <row r="112" spans="1:58" ht="12.95" customHeight="1">
      <c r="A112" s="41"/>
      <c r="B112" s="42"/>
      <c r="C112" s="424"/>
      <c r="D112" s="42"/>
      <c r="E112" s="43"/>
      <c r="F112" s="43"/>
      <c r="G112" s="44"/>
      <c r="H112" s="45"/>
      <c r="I112" s="46"/>
      <c r="J112" s="84"/>
      <c r="K112" s="84"/>
      <c r="L112" s="36"/>
      <c r="M112" s="36"/>
      <c r="N112" s="47"/>
      <c r="O112" s="48"/>
      <c r="P112" s="49"/>
      <c r="Q112" s="48"/>
      <c r="R112" s="394"/>
      <c r="S112" s="394"/>
      <c r="T112" s="38"/>
      <c r="U112" s="38"/>
      <c r="V112" s="38"/>
      <c r="W112" s="38"/>
      <c r="X112" s="39"/>
      <c r="Y112" s="211"/>
      <c r="Z112" s="38"/>
      <c r="AA112" s="38"/>
      <c r="AB112" s="38"/>
      <c r="AC112" s="38"/>
      <c r="AD112" s="38">
        <f>+AM112+BA112</f>
        <v>2</v>
      </c>
      <c r="AE112" s="228" t="s">
        <v>446</v>
      </c>
      <c r="AF112" s="38"/>
      <c r="AG112" s="38">
        <v>2</v>
      </c>
      <c r="AH112" s="38"/>
      <c r="AI112" s="469"/>
      <c r="AJ112" s="38"/>
      <c r="AK112" s="38"/>
      <c r="AL112" s="38"/>
      <c r="AM112" s="38">
        <f>SUM(AF112:AL112)+AT112+AV112+AX112</f>
        <v>2</v>
      </c>
      <c r="AN112" s="85"/>
      <c r="AO112" s="38"/>
      <c r="AP112" s="38"/>
      <c r="AQ112" s="38"/>
      <c r="AR112" s="38">
        <f>SUM(AN112:AQ112)</f>
        <v>0</v>
      </c>
      <c r="AS112" s="38"/>
      <c r="AT112" s="38"/>
      <c r="AU112" s="38"/>
      <c r="AV112" s="38"/>
      <c r="AW112" s="38"/>
      <c r="AX112" s="38"/>
      <c r="AY112" s="38"/>
      <c r="AZ112" s="38"/>
      <c r="BA112" s="38">
        <f>+AR112+AS112+AU112+AW112+AY112+AZ112</f>
        <v>0</v>
      </c>
      <c r="BB112" s="51"/>
      <c r="BC112" s="52">
        <v>1</v>
      </c>
      <c r="BD112" s="52"/>
      <c r="BE112" s="51"/>
      <c r="BF112" s="52"/>
    </row>
    <row r="113" spans="1:58" ht="12.95" customHeight="1">
      <c r="A113" s="41"/>
      <c r="B113" s="42"/>
      <c r="C113" s="424"/>
      <c r="D113" s="42"/>
      <c r="E113" s="43"/>
      <c r="F113" s="43"/>
      <c r="G113" s="44"/>
      <c r="H113" s="45"/>
      <c r="I113" s="46"/>
      <c r="J113" s="84"/>
      <c r="K113" s="84"/>
      <c r="L113" s="36"/>
      <c r="M113" s="36"/>
      <c r="N113" s="47"/>
      <c r="O113" s="48"/>
      <c r="P113" s="49"/>
      <c r="Q113" s="48"/>
      <c r="R113" s="394"/>
      <c r="S113" s="394"/>
      <c r="T113" s="38"/>
      <c r="U113" s="38"/>
      <c r="V113" s="38"/>
      <c r="W113" s="38"/>
      <c r="X113" s="39"/>
      <c r="Y113" s="211"/>
      <c r="Z113" s="38"/>
      <c r="AA113" s="38"/>
      <c r="AB113" s="38"/>
      <c r="AC113" s="38"/>
      <c r="AD113" s="38">
        <f>+AM113+BA113</f>
        <v>27</v>
      </c>
      <c r="AE113" s="228" t="s">
        <v>671</v>
      </c>
      <c r="AF113" s="34"/>
      <c r="AG113" s="34"/>
      <c r="AH113" s="34">
        <v>27</v>
      </c>
      <c r="AI113" s="469"/>
      <c r="AJ113" s="38"/>
      <c r="AK113" s="38"/>
      <c r="AL113" s="38"/>
      <c r="AM113" s="38">
        <f>SUM(AF113:AL113)+AT113+AV113+AX113</f>
        <v>27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/>
      <c r="BC113" s="54"/>
      <c r="BD113" s="54"/>
      <c r="BE113" s="34"/>
      <c r="BF113" s="54"/>
    </row>
    <row r="114" spans="1:58" ht="12.95" customHeight="1">
      <c r="A114" s="41"/>
      <c r="B114" s="42"/>
      <c r="C114" s="424"/>
      <c r="D114" s="42"/>
      <c r="E114" s="43"/>
      <c r="F114" s="43"/>
      <c r="G114" s="467"/>
      <c r="H114" s="45"/>
      <c r="I114" s="46"/>
      <c r="J114" s="84"/>
      <c r="K114" s="84"/>
      <c r="L114" s="36"/>
      <c r="M114" s="36"/>
      <c r="N114" s="47"/>
      <c r="O114" s="48"/>
      <c r="P114" s="49"/>
      <c r="Q114" s="48"/>
      <c r="R114" s="394"/>
      <c r="S114" s="394"/>
      <c r="T114" s="38"/>
      <c r="U114" s="38"/>
      <c r="V114" s="38"/>
      <c r="W114" s="38"/>
      <c r="X114" s="391"/>
      <c r="Y114" s="38"/>
      <c r="Z114" s="38"/>
      <c r="AA114" s="50"/>
      <c r="AB114" s="50"/>
      <c r="AC114" s="38"/>
      <c r="AD114" s="38"/>
      <c r="AE114" s="228"/>
      <c r="AF114" s="38"/>
      <c r="AG114" s="38"/>
      <c r="AH114" s="38"/>
      <c r="AI114" s="469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4"/>
      <c r="BC114" s="52"/>
      <c r="BD114" s="52"/>
      <c r="BE114" s="52"/>
      <c r="BF114" s="52"/>
    </row>
    <row r="115" spans="1:58" ht="12.75" customHeight="1">
      <c r="A115" s="41">
        <v>46018</v>
      </c>
      <c r="B115" s="42" t="s">
        <v>417</v>
      </c>
      <c r="C115" s="424">
        <f>(M115*E115*O115*Q115)/100000000</f>
        <v>29.0472</v>
      </c>
      <c r="D115" s="42" t="s">
        <v>285</v>
      </c>
      <c r="E115" s="43">
        <v>12.5</v>
      </c>
      <c r="F115" s="43">
        <v>1</v>
      </c>
      <c r="G115" s="44">
        <v>1350</v>
      </c>
      <c r="H115" s="484">
        <f>+N115</f>
        <v>0.24</v>
      </c>
      <c r="I115" s="46">
        <v>0.88</v>
      </c>
      <c r="J115" s="84">
        <f>E115*G115*(1-H115)*1440/1000000*2.87</f>
        <v>53.003160000000001</v>
      </c>
      <c r="K115" s="84">
        <f>(IF(G115&lt;L115,L115,G115)*(1-IF(H115&lt;N115,H115,N115))*E115*O115*Q115)/100000000</f>
        <v>29.0472</v>
      </c>
      <c r="L115" s="36">
        <v>1400</v>
      </c>
      <c r="M115" s="36">
        <v>1064</v>
      </c>
      <c r="N115" s="47">
        <f>1-(M115/L115)</f>
        <v>0.24</v>
      </c>
      <c r="O115" s="48">
        <f>+'Trim Rwd'!H86</f>
        <v>280</v>
      </c>
      <c r="P115" s="49">
        <f>O115*(Q115-R115-S115)</f>
        <v>211680</v>
      </c>
      <c r="Q115" s="48">
        <v>780</v>
      </c>
      <c r="R115" s="394">
        <v>0</v>
      </c>
      <c r="S115" s="394">
        <v>24</v>
      </c>
      <c r="T115" s="38">
        <f>E115*M115*O115*Q115/100000000</f>
        <v>29.0472</v>
      </c>
      <c r="U115" s="38">
        <f>E115*M115*O115*(Q115-R115-S115)/100000000</f>
        <v>28.15344</v>
      </c>
      <c r="V115" s="38">
        <f>E115*G115*(1-N115)*O115/100*(R115+S115)/1000000</f>
        <v>0.86184000000000005</v>
      </c>
      <c r="W115" s="38">
        <f>+'27'!K21/1000</f>
        <v>33.106000000000002</v>
      </c>
      <c r="X115" s="391">
        <f>SUM(W115:W118)/SUM(K115:K118)</f>
        <v>0.95056340827815355</v>
      </c>
      <c r="Y115" s="38">
        <v>0</v>
      </c>
      <c r="Z115" s="38">
        <v>0</v>
      </c>
      <c r="AA115" s="50">
        <f>SUM(U115:U118)-SUM(W115:W118)-SUM(Z115:Z118)-SUM(Y115:Y118)</f>
        <v>1.3511999999999915</v>
      </c>
      <c r="AB115" s="50">
        <f>(SUM(K115:K118)-SUM(W115:W118)-SUM(Y115:Y118)-SUM(Z115:Z118)-SUM(AC115:AC118)-SUM(V115:V118))-AA115</f>
        <v>3.1920000000006166E-2</v>
      </c>
      <c r="AC115" s="38">
        <f>K115-T115</f>
        <v>0</v>
      </c>
      <c r="AD115" s="38">
        <f>+AM115+BA115</f>
        <v>10</v>
      </c>
      <c r="AE115" s="228" t="s">
        <v>510</v>
      </c>
      <c r="AF115" s="38">
        <v>10</v>
      </c>
      <c r="AG115" s="38"/>
      <c r="AH115" s="38"/>
      <c r="AI115" s="469"/>
      <c r="AJ115" s="38"/>
      <c r="AK115" s="38"/>
      <c r="AL115" s="38"/>
      <c r="AM115" s="38">
        <f>SUM(AF115:AL115)+AT115+AV115+AX115</f>
        <v>10</v>
      </c>
      <c r="AN115" s="38"/>
      <c r="AO115" s="38"/>
      <c r="AP115" s="38"/>
      <c r="AQ115" s="38"/>
      <c r="AR115" s="38">
        <f>SUM(AN115:AQ115)</f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>
        <v>2</v>
      </c>
      <c r="BC115" s="52"/>
      <c r="BD115" s="52"/>
      <c r="BE115" s="34"/>
      <c r="BF115" s="52"/>
    </row>
    <row r="116" spans="1:58" ht="12.95" customHeight="1">
      <c r="A116" s="41"/>
      <c r="B116" s="42" t="s">
        <v>417</v>
      </c>
      <c r="C116" s="424">
        <f>(M116*E116*O116*Q116)/100000000</f>
        <v>23.595264</v>
      </c>
      <c r="D116" s="42" t="s">
        <v>285</v>
      </c>
      <c r="E116" s="43">
        <v>12</v>
      </c>
      <c r="F116" s="43">
        <v>1</v>
      </c>
      <c r="G116" s="44">
        <v>1400</v>
      </c>
      <c r="H116" s="484">
        <f>+N116</f>
        <v>0.24</v>
      </c>
      <c r="I116" s="46">
        <v>0.88</v>
      </c>
      <c r="J116" s="84">
        <f>E116*G116*(1-H116)*1440/1000000*2.87</f>
        <v>52.767590399999996</v>
      </c>
      <c r="K116" s="84">
        <f>(IF(G116&lt;L116,L116,G116)*(1-IF(H116&lt;N116,H116,N116))*E116*O116*Q116)/100000000</f>
        <v>23.595264</v>
      </c>
      <c r="L116" s="36">
        <v>1400</v>
      </c>
      <c r="M116" s="36">
        <v>1064</v>
      </c>
      <c r="N116" s="47">
        <f>1-(M116/L116)</f>
        <v>0.24</v>
      </c>
      <c r="O116" s="48">
        <f>+'Trim Rwd'!H87</f>
        <v>280</v>
      </c>
      <c r="P116" s="49">
        <f>O116*(Q116-R116-S116)</f>
        <v>182000</v>
      </c>
      <c r="Q116" s="48">
        <v>660</v>
      </c>
      <c r="R116" s="394">
        <v>0</v>
      </c>
      <c r="S116" s="394">
        <v>10</v>
      </c>
      <c r="T116" s="38">
        <f>E116*M116*O116*Q116/100000000</f>
        <v>23.595264</v>
      </c>
      <c r="U116" s="38">
        <f>E116*M116*O116*(Q116-R116-S116)/100000000</f>
        <v>23.237760000000002</v>
      </c>
      <c r="V116" s="38">
        <f>E116*G116*(1-N116)*O116/100*(R116+S116)/1000000</f>
        <v>0.35750399999999999</v>
      </c>
      <c r="W116" s="38">
        <f>+'27'!K10/1000</f>
        <v>16.934000000000001</v>
      </c>
      <c r="X116" s="39"/>
      <c r="Y116" s="211"/>
      <c r="Z116" s="38"/>
      <c r="AA116" s="38"/>
      <c r="AB116" s="38"/>
      <c r="AC116" s="38">
        <f>K116-T116</f>
        <v>0</v>
      </c>
      <c r="AD116" s="38">
        <f>+AM116+BA116</f>
        <v>0</v>
      </c>
      <c r="AE116" s="228" t="s">
        <v>415</v>
      </c>
      <c r="AF116" s="38"/>
      <c r="AG116" s="38">
        <v>0</v>
      </c>
      <c r="AH116" s="38"/>
      <c r="AI116" s="469"/>
      <c r="AJ116" s="38"/>
      <c r="AK116" s="38"/>
      <c r="AL116" s="38"/>
      <c r="AM116" s="38">
        <f>SUM(AF116:AL116)+AT116+AV116+AX116</f>
        <v>0</v>
      </c>
      <c r="AN116" s="85"/>
      <c r="AO116" s="38"/>
      <c r="AP116" s="38"/>
      <c r="AQ116" s="38"/>
      <c r="AR116" s="38">
        <f>SUM(AN116:AQ116)</f>
        <v>0</v>
      </c>
      <c r="AS116" s="38"/>
      <c r="AT116" s="38"/>
      <c r="AU116" s="38"/>
      <c r="AV116" s="38"/>
      <c r="AW116" s="38"/>
      <c r="AX116" s="38"/>
      <c r="AY116" s="38"/>
      <c r="AZ116" s="38"/>
      <c r="BA116" s="38">
        <f>+AR116+AS116+AU116+AW116+AY116+AZ116</f>
        <v>0</v>
      </c>
      <c r="BB116" s="51"/>
      <c r="BC116" s="52">
        <v>0</v>
      </c>
      <c r="BD116" s="52"/>
      <c r="BE116" s="51"/>
      <c r="BF116" s="52"/>
    </row>
    <row r="117" spans="1:58" ht="12.95" customHeight="1">
      <c r="A117" s="41"/>
      <c r="B117" s="42"/>
      <c r="C117" s="424"/>
      <c r="D117" s="42"/>
      <c r="E117" s="43"/>
      <c r="F117" s="43"/>
      <c r="G117" s="44"/>
      <c r="H117" s="45"/>
      <c r="I117" s="46"/>
      <c r="J117" s="84"/>
      <c r="K117" s="84"/>
      <c r="L117" s="36"/>
      <c r="M117" s="36"/>
      <c r="N117" s="47"/>
      <c r="O117" s="48"/>
      <c r="P117" s="49"/>
      <c r="Q117" s="48"/>
      <c r="R117" s="394"/>
      <c r="S117" s="394"/>
      <c r="T117" s="38"/>
      <c r="U117" s="38"/>
      <c r="V117" s="38"/>
      <c r="W117" s="38"/>
      <c r="X117" s="39"/>
      <c r="Y117" s="211"/>
      <c r="Z117" s="38"/>
      <c r="AA117" s="38"/>
      <c r="AB117" s="38"/>
      <c r="AC117" s="38"/>
      <c r="AD117" s="38">
        <f>+AM117+BA117</f>
        <v>24</v>
      </c>
      <c r="AE117" s="228" t="s">
        <v>514</v>
      </c>
      <c r="AF117" s="34"/>
      <c r="AG117" s="34"/>
      <c r="AH117" s="34">
        <v>24</v>
      </c>
      <c r="AI117" s="469"/>
      <c r="AJ117" s="38"/>
      <c r="AK117" s="38"/>
      <c r="AL117" s="38"/>
      <c r="AM117" s="38">
        <f>SUM(AF117:AL117)+AT117+AV117+AX117</f>
        <v>24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/>
      <c r="BC117" s="54"/>
      <c r="BD117" s="54"/>
      <c r="BE117" s="34"/>
      <c r="BF117" s="54"/>
    </row>
    <row r="118" spans="1:58" ht="12.95" customHeight="1">
      <c r="A118" s="41"/>
      <c r="B118" s="42"/>
      <c r="C118" s="424"/>
      <c r="D118" s="42"/>
      <c r="E118" s="43"/>
      <c r="F118" s="43"/>
      <c r="G118" s="467"/>
      <c r="H118" s="45"/>
      <c r="I118" s="46"/>
      <c r="J118" s="84"/>
      <c r="K118" s="84"/>
      <c r="L118" s="36"/>
      <c r="M118" s="36"/>
      <c r="N118" s="47"/>
      <c r="O118" s="48"/>
      <c r="P118" s="49"/>
      <c r="Q118" s="48"/>
      <c r="R118" s="394"/>
      <c r="S118" s="394"/>
      <c r="T118" s="38"/>
      <c r="U118" s="38"/>
      <c r="V118" s="38"/>
      <c r="W118" s="38"/>
      <c r="X118" s="391"/>
      <c r="Y118" s="38"/>
      <c r="Z118" s="38"/>
      <c r="AA118" s="50"/>
      <c r="AB118" s="50"/>
      <c r="AC118" s="38"/>
      <c r="AD118" s="38"/>
      <c r="AE118" s="228"/>
      <c r="AF118" s="38"/>
      <c r="AG118" s="38"/>
      <c r="AH118" s="38"/>
      <c r="AI118" s="469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4"/>
      <c r="BC118" s="52"/>
      <c r="BD118" s="52"/>
      <c r="BE118" s="52"/>
      <c r="BF118" s="52"/>
    </row>
    <row r="119" spans="1:58" ht="12.75" customHeight="1">
      <c r="A119" s="41">
        <v>46019</v>
      </c>
      <c r="B119" s="42" t="s">
        <v>417</v>
      </c>
      <c r="C119" s="424">
        <f>(M119*E119*O119*Q119)/100000000</f>
        <v>50.729817600000011</v>
      </c>
      <c r="D119" s="42" t="s">
        <v>285</v>
      </c>
      <c r="E119" s="43">
        <v>12</v>
      </c>
      <c r="F119" s="43">
        <v>1</v>
      </c>
      <c r="G119" s="44">
        <v>1400</v>
      </c>
      <c r="H119" s="484">
        <f>+N119</f>
        <v>0.24</v>
      </c>
      <c r="I119" s="46">
        <v>0.88</v>
      </c>
      <c r="J119" s="84">
        <f>E119*G119*(1-H119)*1440/1000000*2.87</f>
        <v>52.767590399999996</v>
      </c>
      <c r="K119" s="84">
        <f>(IF(G119&lt;L119,L119,G119)*(1-IF(H119&lt;N119,H119,N119))*E119*O119*Q119)/100000000</f>
        <v>50.729817600000011</v>
      </c>
      <c r="L119" s="36">
        <v>1400</v>
      </c>
      <c r="M119" s="36">
        <v>1064</v>
      </c>
      <c r="N119" s="47">
        <f>1-(M119/L119)</f>
        <v>0.24</v>
      </c>
      <c r="O119" s="48">
        <f>+'Trim Rwd'!H89</f>
        <v>275.91666666666669</v>
      </c>
      <c r="P119" s="49">
        <f>O119*(Q119-R119-S119)</f>
        <v>388490.66666666669</v>
      </c>
      <c r="Q119" s="48">
        <v>1440</v>
      </c>
      <c r="R119" s="394">
        <v>0</v>
      </c>
      <c r="S119" s="394">
        <v>32</v>
      </c>
      <c r="T119" s="38">
        <f>E119*M119*O119*Q119/100000000</f>
        <v>50.729817600000011</v>
      </c>
      <c r="U119" s="38">
        <f>E119*M119*O119*(Q119-R119-S119)/100000000</f>
        <v>49.602488320000006</v>
      </c>
      <c r="V119" s="38">
        <f>E119*G119*(1-N119)*O119/100*(R119+S119)/1000000</f>
        <v>1.1273292800000003</v>
      </c>
      <c r="W119" s="38">
        <f>+'28'!K34/1000</f>
        <v>47.351999999999997</v>
      </c>
      <c r="X119" s="391">
        <f>SUM(W119:W122)/SUM(K119:K122)</f>
        <v>0.93341553824155654</v>
      </c>
      <c r="Y119" s="38">
        <v>0</v>
      </c>
      <c r="Z119" s="38">
        <v>0</v>
      </c>
      <c r="AA119" s="50">
        <f>SUM(U119:U122)-SUM(W119:W122)-SUM(Z119:Z122)-SUM(Y119:Y122)</f>
        <v>2.2504883200000094</v>
      </c>
      <c r="AB119" s="50">
        <f>(SUM(K119:K122)-SUM(W119:W122)-SUM(Y119:Y122)-SUM(Z119:Z122)-SUM(AC119:AC122)-SUM(V119:V122))-AA119</f>
        <v>4.4408920985006262E-15</v>
      </c>
      <c r="AC119" s="38">
        <f>K119-T119</f>
        <v>0</v>
      </c>
      <c r="AD119" s="38">
        <f>+AM119+BA119</f>
        <v>5</v>
      </c>
      <c r="AE119" s="228" t="s">
        <v>448</v>
      </c>
      <c r="AF119" s="38">
        <v>5</v>
      </c>
      <c r="AG119" s="38"/>
      <c r="AH119" s="38"/>
      <c r="AI119" s="469"/>
      <c r="AJ119" s="38"/>
      <c r="AK119" s="38"/>
      <c r="AL119" s="38"/>
      <c r="AM119" s="38">
        <f>SUM(AF119:AL119)+AT119+AV119+AX119</f>
        <v>5</v>
      </c>
      <c r="AN119" s="38"/>
      <c r="AO119" s="38"/>
      <c r="AP119" s="38"/>
      <c r="AQ119" s="38"/>
      <c r="AR119" s="38">
        <f>SUM(AN119:AQ119)</f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>
        <v>1</v>
      </c>
      <c r="BC119" s="52"/>
      <c r="BD119" s="52"/>
      <c r="BE119" s="34"/>
      <c r="BF119" s="52"/>
    </row>
    <row r="120" spans="1:58" ht="12.95" customHeight="1">
      <c r="A120" s="41"/>
      <c r="B120" s="42"/>
      <c r="C120" s="424"/>
      <c r="D120" s="42"/>
      <c r="E120" s="43"/>
      <c r="F120" s="43"/>
      <c r="G120" s="44"/>
      <c r="H120" s="45"/>
      <c r="I120" s="46"/>
      <c r="J120" s="84"/>
      <c r="K120" s="84"/>
      <c r="L120" s="36"/>
      <c r="M120" s="36"/>
      <c r="N120" s="47"/>
      <c r="O120" s="48"/>
      <c r="P120" s="49"/>
      <c r="Q120" s="48"/>
      <c r="R120" s="394"/>
      <c r="S120" s="394"/>
      <c r="T120" s="38"/>
      <c r="U120" s="38"/>
      <c r="V120" s="38"/>
      <c r="W120" s="38"/>
      <c r="X120" s="39"/>
      <c r="Y120" s="211"/>
      <c r="Z120" s="38"/>
      <c r="AA120" s="38"/>
      <c r="AB120" s="38"/>
      <c r="AC120" s="38"/>
      <c r="AD120" s="38">
        <f>+AM120+BA120</f>
        <v>1</v>
      </c>
      <c r="AE120" s="228" t="s">
        <v>446</v>
      </c>
      <c r="AF120" s="38"/>
      <c r="AG120" s="38">
        <v>1</v>
      </c>
      <c r="AH120" s="38"/>
      <c r="AI120" s="469"/>
      <c r="AJ120" s="38"/>
      <c r="AK120" s="38"/>
      <c r="AL120" s="38"/>
      <c r="AM120" s="38">
        <f>SUM(AF120:AL120)+AT120+AV120+AX120</f>
        <v>1</v>
      </c>
      <c r="AN120" s="85"/>
      <c r="AO120" s="38"/>
      <c r="AP120" s="38"/>
      <c r="AQ120" s="38"/>
      <c r="AR120" s="38">
        <f>SUM(AN120:AQ120)</f>
        <v>0</v>
      </c>
      <c r="AS120" s="38"/>
      <c r="AT120" s="38"/>
      <c r="AU120" s="38"/>
      <c r="AV120" s="38"/>
      <c r="AW120" s="38"/>
      <c r="AX120" s="38"/>
      <c r="AY120" s="38"/>
      <c r="AZ120" s="38"/>
      <c r="BA120" s="38">
        <f>+AR120+AS120+AU120+AW120+AY120+AZ120</f>
        <v>0</v>
      </c>
      <c r="BB120" s="51"/>
      <c r="BC120" s="52">
        <v>1</v>
      </c>
      <c r="BD120" s="52"/>
      <c r="BE120" s="51"/>
      <c r="BF120" s="52"/>
    </row>
    <row r="121" spans="1:58" ht="12.95" customHeight="1">
      <c r="A121" s="41"/>
      <c r="B121" s="42"/>
      <c r="C121" s="424"/>
      <c r="D121" s="42"/>
      <c r="E121" s="43"/>
      <c r="F121" s="43"/>
      <c r="G121" s="44"/>
      <c r="H121" s="45"/>
      <c r="I121" s="46"/>
      <c r="J121" s="84"/>
      <c r="K121" s="84"/>
      <c r="L121" s="36"/>
      <c r="M121" s="36"/>
      <c r="N121" s="47"/>
      <c r="O121" s="48"/>
      <c r="P121" s="49"/>
      <c r="Q121" s="48"/>
      <c r="R121" s="394"/>
      <c r="S121" s="394"/>
      <c r="T121" s="38"/>
      <c r="U121" s="38"/>
      <c r="V121" s="38"/>
      <c r="W121" s="38"/>
      <c r="X121" s="39"/>
      <c r="Y121" s="211"/>
      <c r="Z121" s="38"/>
      <c r="AA121" s="38"/>
      <c r="AB121" s="38"/>
      <c r="AC121" s="38"/>
      <c r="AD121" s="38">
        <f>+AM121+BA121</f>
        <v>26</v>
      </c>
      <c r="AE121" s="228" t="s">
        <v>458</v>
      </c>
      <c r="AF121" s="34"/>
      <c r="AG121" s="34"/>
      <c r="AH121" s="34">
        <v>26</v>
      </c>
      <c r="AI121" s="469"/>
      <c r="AJ121" s="38"/>
      <c r="AK121" s="38"/>
      <c r="AL121" s="38"/>
      <c r="AM121" s="38">
        <f>SUM(AF121:AL121)+AT121+AV121+AX121</f>
        <v>26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+AR121+AS121+AU121+AW121+AY121+AZ121</f>
        <v>0</v>
      </c>
      <c r="BB121" s="34"/>
      <c r="BC121" s="54"/>
      <c r="BD121" s="54"/>
      <c r="BE121" s="34"/>
      <c r="BF121" s="54"/>
    </row>
    <row r="122" spans="1:58" ht="12.95" customHeight="1">
      <c r="A122" s="41"/>
      <c r="B122" s="42"/>
      <c r="C122" s="424"/>
      <c r="D122" s="42"/>
      <c r="E122" s="43"/>
      <c r="F122" s="43"/>
      <c r="G122" s="467"/>
      <c r="H122" s="45"/>
      <c r="I122" s="46"/>
      <c r="J122" s="84"/>
      <c r="K122" s="84"/>
      <c r="L122" s="36"/>
      <c r="M122" s="36"/>
      <c r="N122" s="47"/>
      <c r="O122" s="48"/>
      <c r="P122" s="49"/>
      <c r="Q122" s="48"/>
      <c r="R122" s="394"/>
      <c r="S122" s="394"/>
      <c r="T122" s="38"/>
      <c r="U122" s="38"/>
      <c r="V122" s="38"/>
      <c r="W122" s="38"/>
      <c r="X122" s="39"/>
      <c r="Y122" s="211"/>
      <c r="Z122" s="38"/>
      <c r="AA122" s="38"/>
      <c r="AB122" s="38"/>
      <c r="AC122" s="38"/>
      <c r="AD122" s="38"/>
      <c r="AE122" s="228"/>
      <c r="AF122" s="38"/>
      <c r="AG122" s="38"/>
      <c r="AH122" s="38"/>
      <c r="AI122" s="469"/>
      <c r="AJ122" s="38"/>
      <c r="AK122" s="38"/>
      <c r="AL122" s="38"/>
      <c r="AM122" s="38"/>
      <c r="AN122" s="85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51"/>
      <c r="BC122" s="52"/>
      <c r="BD122" s="52"/>
      <c r="BE122" s="52"/>
      <c r="BF122" s="52"/>
    </row>
    <row r="123" spans="1:58" ht="12.75" customHeight="1">
      <c r="A123" s="41">
        <v>46020</v>
      </c>
      <c r="B123" s="42" t="s">
        <v>417</v>
      </c>
      <c r="C123" s="424">
        <f>(M123*E123*O123*Q123)/100000000</f>
        <v>48.906547199999999</v>
      </c>
      <c r="D123" s="42" t="s">
        <v>285</v>
      </c>
      <c r="E123" s="43">
        <v>12</v>
      </c>
      <c r="F123" s="43">
        <v>1</v>
      </c>
      <c r="G123" s="44">
        <v>1400</v>
      </c>
      <c r="H123" s="484">
        <f>+N123</f>
        <v>0.24</v>
      </c>
      <c r="I123" s="46">
        <v>0.88</v>
      </c>
      <c r="J123" s="84">
        <f>E123*G123*(1-H123)*1440/1000000*2.87</f>
        <v>52.767590399999996</v>
      </c>
      <c r="K123" s="84">
        <f>(IF(G123&lt;L123,L123,G123)*(1-IF(H123&lt;N123,H123,N123))*E123*O123*Q123)/100000000</f>
        <v>48.906547199999999</v>
      </c>
      <c r="L123" s="36">
        <v>1400</v>
      </c>
      <c r="M123" s="36">
        <v>1064</v>
      </c>
      <c r="N123" s="47">
        <f>1-(M123/L123)</f>
        <v>0.24</v>
      </c>
      <c r="O123" s="48">
        <f>+'Trim Rwd'!H92</f>
        <v>266</v>
      </c>
      <c r="P123" s="49">
        <f>O123*(Q123-R123-S123)</f>
        <v>369474</v>
      </c>
      <c r="Q123" s="48">
        <v>1440</v>
      </c>
      <c r="R123" s="394">
        <v>15</v>
      </c>
      <c r="S123" s="394">
        <v>36</v>
      </c>
      <c r="T123" s="38">
        <f>E123*M123*O123*Q123/100000000</f>
        <v>48.906547199999999</v>
      </c>
      <c r="U123" s="38">
        <f>E123*M123*O123*(Q123-R123-S123)/100000000</f>
        <v>47.174440320000002</v>
      </c>
      <c r="V123" s="38">
        <f>E123*G123*(1-N123)*O123/100*(R123+S123)/1000000</f>
        <v>1.7321068799999999</v>
      </c>
      <c r="W123" s="38">
        <f>+'29'!K34/1000</f>
        <v>45.203000000000003</v>
      </c>
      <c r="X123" s="391">
        <f>SUM(W123:W126)/SUM(K123:K126)</f>
        <v>0.92427297750432902</v>
      </c>
      <c r="Y123" s="38">
        <v>0</v>
      </c>
      <c r="Z123" s="38">
        <f>+'29'!D34/1000</f>
        <v>0.65200000000000002</v>
      </c>
      <c r="AA123" s="50">
        <f>SUM(U123:U126)-SUM(W123:W126)-SUM(Z123:Z126)-SUM(Y123:Y126)</f>
        <v>1.3194403199999991</v>
      </c>
      <c r="AB123" s="50">
        <f>(SUM(K123:K126)-SUM(W123:W126)-SUM(Y123:Y126)-SUM(Z123:Z126)-SUM(AC123:AC126)-SUM(V123:V126))-AA123</f>
        <v>-3.5527136788005009E-15</v>
      </c>
      <c r="AC123" s="38">
        <f>K123-T123</f>
        <v>0</v>
      </c>
      <c r="AD123" s="38">
        <f>+AM123+BA123</f>
        <v>5</v>
      </c>
      <c r="AE123" s="228" t="s">
        <v>448</v>
      </c>
      <c r="AF123" s="38">
        <v>5</v>
      </c>
      <c r="AG123" s="38"/>
      <c r="AH123" s="38"/>
      <c r="AI123" s="469"/>
      <c r="AJ123" s="38"/>
      <c r="AK123" s="38"/>
      <c r="AL123" s="38"/>
      <c r="AM123" s="38">
        <f>SUM(AF123:AL123)+AT123+AV123+AX123</f>
        <v>5</v>
      </c>
      <c r="AN123" s="38"/>
      <c r="AO123" s="38"/>
      <c r="AP123" s="38"/>
      <c r="AQ123" s="38"/>
      <c r="AR123" s="38">
        <f>SUM(AN123:AQ123)</f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34">
        <v>1</v>
      </c>
      <c r="BC123" s="52"/>
      <c r="BD123" s="52"/>
      <c r="BE123" s="34"/>
      <c r="BF123" s="52"/>
    </row>
    <row r="124" spans="1:58" ht="12.95" customHeight="1">
      <c r="A124" s="41"/>
      <c r="B124" s="42"/>
      <c r="C124" s="424"/>
      <c r="D124" s="42"/>
      <c r="E124" s="43"/>
      <c r="F124" s="43"/>
      <c r="G124" s="44"/>
      <c r="H124" s="45"/>
      <c r="I124" s="46"/>
      <c r="J124" s="84"/>
      <c r="K124" s="84"/>
      <c r="L124" s="36"/>
      <c r="M124" s="36"/>
      <c r="N124" s="47"/>
      <c r="O124" s="48"/>
      <c r="P124" s="49"/>
      <c r="Q124" s="48"/>
      <c r="R124" s="394"/>
      <c r="S124" s="394"/>
      <c r="T124" s="38"/>
      <c r="U124" s="38"/>
      <c r="V124" s="38"/>
      <c r="W124" s="38"/>
      <c r="X124" s="39"/>
      <c r="Y124" s="211"/>
      <c r="Z124" s="38"/>
      <c r="AA124" s="38"/>
      <c r="AB124" s="38"/>
      <c r="AC124" s="38"/>
      <c r="AD124" s="38">
        <f>+AM124+BA124</f>
        <v>5</v>
      </c>
      <c r="AE124" s="228" t="s">
        <v>478</v>
      </c>
      <c r="AF124" s="38"/>
      <c r="AG124" s="38">
        <v>5</v>
      </c>
      <c r="AH124" s="38"/>
      <c r="AI124" s="469"/>
      <c r="AJ124" s="38"/>
      <c r="AK124" s="38"/>
      <c r="AL124" s="38"/>
      <c r="AM124" s="38">
        <f>SUM(AF124:AL124)+AT124+AV124+AX124</f>
        <v>5</v>
      </c>
      <c r="AN124" s="85"/>
      <c r="AO124" s="38"/>
      <c r="AP124" s="38"/>
      <c r="AQ124" s="38"/>
      <c r="AR124" s="38">
        <f>SUM(AN124:AQ124)</f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>+AR124+AS124+AU124+AW124+AY124+AZ124</f>
        <v>0</v>
      </c>
      <c r="BB124" s="51"/>
      <c r="BC124" s="52">
        <v>2</v>
      </c>
      <c r="BD124" s="52"/>
      <c r="BE124" s="51"/>
      <c r="BF124" s="52"/>
    </row>
    <row r="125" spans="1:58" ht="12.95" customHeight="1">
      <c r="A125" s="41"/>
      <c r="B125" s="42"/>
      <c r="C125" s="424"/>
      <c r="D125" s="42"/>
      <c r="E125" s="43"/>
      <c r="F125" s="43"/>
      <c r="G125" s="44"/>
      <c r="H125" s="45"/>
      <c r="I125" s="46"/>
      <c r="J125" s="84"/>
      <c r="K125" s="84"/>
      <c r="L125" s="36"/>
      <c r="M125" s="36"/>
      <c r="N125" s="47"/>
      <c r="O125" s="48"/>
      <c r="P125" s="49"/>
      <c r="Q125" s="48"/>
      <c r="R125" s="394"/>
      <c r="S125" s="394"/>
      <c r="T125" s="38"/>
      <c r="U125" s="38"/>
      <c r="V125" s="38"/>
      <c r="W125" s="38"/>
      <c r="X125" s="39"/>
      <c r="Y125" s="211"/>
      <c r="Z125" s="38"/>
      <c r="AA125" s="38"/>
      <c r="AB125" s="38"/>
      <c r="AC125" s="38"/>
      <c r="AD125" s="38">
        <f>+AM125+BA125</f>
        <v>26</v>
      </c>
      <c r="AE125" s="228" t="s">
        <v>458</v>
      </c>
      <c r="AF125" s="34"/>
      <c r="AG125" s="34"/>
      <c r="AH125" s="34">
        <v>26</v>
      </c>
      <c r="AI125" s="469"/>
      <c r="AJ125" s="38"/>
      <c r="AK125" s="38"/>
      <c r="AL125" s="38"/>
      <c r="AM125" s="38">
        <f>SUM(AF125:AL125)+AT125+AV125+AX125</f>
        <v>26</v>
      </c>
      <c r="AN125" s="38"/>
      <c r="AO125" s="38"/>
      <c r="AP125" s="38"/>
      <c r="AQ125" s="38"/>
      <c r="AR125" s="38">
        <f>SUM(AN125:AQ125)</f>
        <v>0</v>
      </c>
      <c r="AS125" s="38"/>
      <c r="AT125" s="38"/>
      <c r="AU125" s="38"/>
      <c r="AV125" s="38"/>
      <c r="AW125" s="38"/>
      <c r="AX125" s="38"/>
      <c r="AY125" s="38"/>
      <c r="AZ125" s="38"/>
      <c r="BA125" s="38">
        <f>+AR125+AS125+AU125+AW125+AY125+AZ125</f>
        <v>0</v>
      </c>
      <c r="BB125" s="34"/>
      <c r="BC125" s="54"/>
      <c r="BD125" s="54"/>
      <c r="BE125" s="34"/>
      <c r="BF125" s="54"/>
    </row>
    <row r="126" spans="1:58" ht="12.95" customHeight="1">
      <c r="A126" s="41"/>
      <c r="B126" s="42"/>
      <c r="C126" s="424"/>
      <c r="D126" s="42"/>
      <c r="E126" s="43"/>
      <c r="F126" s="43"/>
      <c r="G126" s="467"/>
      <c r="H126" s="45"/>
      <c r="I126" s="46"/>
      <c r="J126" s="84"/>
      <c r="K126" s="84"/>
      <c r="L126" s="36"/>
      <c r="M126" s="36"/>
      <c r="N126" s="47"/>
      <c r="O126" s="48"/>
      <c r="P126" s="49"/>
      <c r="Q126" s="48"/>
      <c r="R126" s="394"/>
      <c r="S126" s="394"/>
      <c r="T126" s="38"/>
      <c r="U126" s="38"/>
      <c r="V126" s="38"/>
      <c r="W126" s="38"/>
      <c r="X126" s="39"/>
      <c r="Y126" s="211"/>
      <c r="Z126" s="38"/>
      <c r="AA126" s="38"/>
      <c r="AB126" s="38"/>
      <c r="AC126" s="38"/>
      <c r="AD126" s="38">
        <f>+AM126+BA126</f>
        <v>15</v>
      </c>
      <c r="AE126" s="231" t="s">
        <v>752</v>
      </c>
      <c r="AF126" s="38"/>
      <c r="AG126" s="38"/>
      <c r="AH126" s="38"/>
      <c r="AI126" s="469"/>
      <c r="AJ126" s="38"/>
      <c r="AK126" s="38"/>
      <c r="AL126" s="38"/>
      <c r="AM126" s="38">
        <f>SUM(AF126:AL126)+AT126+AV126+AX126</f>
        <v>0</v>
      </c>
      <c r="AN126" s="38">
        <v>15</v>
      </c>
      <c r="AO126" s="38"/>
      <c r="AP126" s="38"/>
      <c r="AQ126" s="38"/>
      <c r="AR126" s="38">
        <f>SUM(AN126:AQ126)</f>
        <v>15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+AR126+AS126+AU126+AW126+AY126+AZ126</f>
        <v>15</v>
      </c>
      <c r="BB126" s="34"/>
      <c r="BC126" s="54"/>
      <c r="BD126" s="54"/>
      <c r="BE126" s="34"/>
      <c r="BF126" s="54"/>
    </row>
    <row r="127" spans="1:58" ht="12.95" customHeight="1">
      <c r="A127" s="41"/>
      <c r="B127" s="42"/>
      <c r="C127" s="424"/>
      <c r="D127" s="42"/>
      <c r="E127" s="43"/>
      <c r="F127" s="43"/>
      <c r="G127" s="44"/>
      <c r="H127" s="45"/>
      <c r="I127" s="46"/>
      <c r="J127" s="84"/>
      <c r="K127" s="84"/>
      <c r="L127" s="36"/>
      <c r="M127" s="36"/>
      <c r="N127" s="47"/>
      <c r="O127" s="48"/>
      <c r="P127" s="49"/>
      <c r="Q127" s="48"/>
      <c r="R127" s="394"/>
      <c r="S127" s="394"/>
      <c r="T127" s="38"/>
      <c r="U127" s="38"/>
      <c r="V127" s="38"/>
      <c r="W127" s="38"/>
      <c r="X127" s="39"/>
      <c r="Y127" s="211"/>
      <c r="Z127" s="38"/>
      <c r="AA127" s="38"/>
      <c r="AB127" s="38"/>
      <c r="AC127" s="38"/>
      <c r="AD127" s="38"/>
      <c r="AE127" s="228"/>
      <c r="AF127" s="34"/>
      <c r="AG127" s="34"/>
      <c r="AH127" s="34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4"/>
      <c r="BC127" s="54"/>
      <c r="BD127" s="52"/>
      <c r="BE127" s="52"/>
      <c r="BF127" s="52"/>
    </row>
    <row r="128" spans="1:58" ht="12.75" customHeight="1">
      <c r="A128" s="41">
        <v>46021</v>
      </c>
      <c r="B128" s="42" t="s">
        <v>417</v>
      </c>
      <c r="C128" s="424">
        <f>(M128*E128*O128*Q128)/100000000</f>
        <v>28.220472000000001</v>
      </c>
      <c r="D128" s="42" t="s">
        <v>285</v>
      </c>
      <c r="E128" s="43">
        <v>12</v>
      </c>
      <c r="F128" s="43">
        <v>1</v>
      </c>
      <c r="G128" s="44">
        <v>1400</v>
      </c>
      <c r="H128" s="484">
        <f>+N128</f>
        <v>0.25</v>
      </c>
      <c r="I128" s="46">
        <v>0.88</v>
      </c>
      <c r="J128" s="84">
        <f>E128*G128*(1-H128)*1440/1000000*2.87</f>
        <v>52.073279999999997</v>
      </c>
      <c r="K128" s="84">
        <f>(IF(G128&lt;L128,L128,G128)*(1-IF(H128&lt;N128,H128,N128))*E128*O128*Q128)/100000000</f>
        <v>28.220472000000001</v>
      </c>
      <c r="L128" s="36">
        <v>1400</v>
      </c>
      <c r="M128" s="36">
        <v>1050</v>
      </c>
      <c r="N128" s="47">
        <f>1-(M128/L128)</f>
        <v>0.25</v>
      </c>
      <c r="O128" s="48">
        <f>+'Trim Rwd'!H94</f>
        <v>266</v>
      </c>
      <c r="P128" s="49">
        <f>O128*(Q128-R128-S128)</f>
        <v>218652</v>
      </c>
      <c r="Q128" s="48">
        <v>842</v>
      </c>
      <c r="R128" s="394">
        <v>0</v>
      </c>
      <c r="S128" s="394">
        <v>20</v>
      </c>
      <c r="T128" s="38">
        <f>E128*M128*O128*Q128/100000000</f>
        <v>28.220472000000001</v>
      </c>
      <c r="U128" s="38">
        <f>E128*M128*O128*(Q128-R128-S128)/100000000</f>
        <v>27.550152000000001</v>
      </c>
      <c r="V128" s="38">
        <f>E128*G128*(1-N128)*O128/100*(R128+S128)/1000000</f>
        <v>0.67032000000000003</v>
      </c>
      <c r="W128" s="38">
        <f>+'30'!K10/1000</f>
        <v>31.960999999999999</v>
      </c>
      <c r="X128" s="391">
        <f>SUM(W128:W131)/SUM(K128:K131)</f>
        <v>0.92063882874565606</v>
      </c>
      <c r="Y128" s="38">
        <v>0</v>
      </c>
      <c r="Z128" s="38">
        <v>0</v>
      </c>
      <c r="AA128" s="50">
        <f>SUM(U128:U131)-SUM(W128:W131)-SUM(Z128:Z131)-SUM(Y128:Y131)</f>
        <v>2.8433998461538579</v>
      </c>
      <c r="AB128" s="50">
        <f>(SUM(K128:K131)-SUM(W128:W131)-SUM(Y128:Y131)-SUM(Z128:Z131)-SUM(AC128:AC131)-SUM(V128:V131))-AA128</f>
        <v>1.8013153846141883E-2</v>
      </c>
      <c r="AC128" s="38">
        <f>K128-T128</f>
        <v>0</v>
      </c>
      <c r="AD128" s="38">
        <f>+AM128+BA128</f>
        <v>2</v>
      </c>
      <c r="AE128" s="228" t="s">
        <v>448</v>
      </c>
      <c r="AF128" s="38">
        <v>2</v>
      </c>
      <c r="AG128" s="38"/>
      <c r="AH128" s="38"/>
      <c r="AI128" s="469"/>
      <c r="AJ128" s="38"/>
      <c r="AK128" s="38"/>
      <c r="AL128" s="38"/>
      <c r="AM128" s="38">
        <f>SUM(AF128:AL128)+AT128+AV128+AX128</f>
        <v>2</v>
      </c>
      <c r="AN128" s="38"/>
      <c r="AO128" s="38"/>
      <c r="AP128" s="38"/>
      <c r="AQ128" s="38"/>
      <c r="AR128" s="38">
        <f>SUM(AN128:AQ128)</f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>+AR128+AS128+AU128+AW128+AY128+AZ128</f>
        <v>0</v>
      </c>
      <c r="BB128" s="34">
        <v>1</v>
      </c>
      <c r="BC128" s="52"/>
      <c r="BD128" s="52"/>
      <c r="BE128" s="34"/>
      <c r="BF128" s="52"/>
    </row>
    <row r="129" spans="1:58" ht="12.95" customHeight="1">
      <c r="A129" s="41"/>
      <c r="B129" s="42" t="s">
        <v>419</v>
      </c>
      <c r="C129" s="424">
        <f>(M129*E129*O129*Q129)/100000000</f>
        <v>22.772380500000001</v>
      </c>
      <c r="D129" s="42" t="s">
        <v>285</v>
      </c>
      <c r="E129" s="43">
        <v>15</v>
      </c>
      <c r="F129" s="43">
        <v>1</v>
      </c>
      <c r="G129" s="44">
        <v>1185</v>
      </c>
      <c r="H129" s="484">
        <f>+N129</f>
        <v>0.24999999999999989</v>
      </c>
      <c r="I129" s="46">
        <v>0.88</v>
      </c>
      <c r="J129" s="84">
        <f>E129*G129*(1-H129)*1440/1000000*2.87</f>
        <v>55.095390000000009</v>
      </c>
      <c r="K129" s="84">
        <f>(IF(G129&lt;L129,L129,G129)*(1-IF(H129&lt;N129,H129,N129))*E129*O129*Q129)/100000000</f>
        <v>22.772380500000001</v>
      </c>
      <c r="L129" s="36">
        <v>1226.4381270903009</v>
      </c>
      <c r="M129" s="36">
        <v>919.82859531772579</v>
      </c>
      <c r="N129" s="47">
        <f>1-(M129/L129)</f>
        <v>0.24999999999999989</v>
      </c>
      <c r="O129" s="48">
        <f>+'Trim Rwd'!H95</f>
        <v>276</v>
      </c>
      <c r="P129" s="49">
        <f>O129*(Q129-R129-S129)</f>
        <v>161184</v>
      </c>
      <c r="Q129" s="48">
        <v>598</v>
      </c>
      <c r="R129" s="394">
        <v>0</v>
      </c>
      <c r="S129" s="394">
        <v>14</v>
      </c>
      <c r="T129" s="38">
        <f>E129*M129*O129*Q129/100000000</f>
        <v>22.772380500000001</v>
      </c>
      <c r="U129" s="38">
        <f>E129*M129*O129*(Q129-R129-S129)/100000000</f>
        <v>22.239247846153852</v>
      </c>
      <c r="V129" s="38">
        <f>E129*G129*(1-N129)*O129/100*(R129+S129)/1000000</f>
        <v>0.51511950000000006</v>
      </c>
      <c r="W129" s="38">
        <f>+'30'!K17/1000</f>
        <v>14.984999999999999</v>
      </c>
      <c r="X129" s="39"/>
      <c r="Y129" s="211"/>
      <c r="Z129" s="38"/>
      <c r="AA129" s="38"/>
      <c r="AB129" s="38"/>
      <c r="AC129" s="38">
        <f>K129-T129</f>
        <v>0</v>
      </c>
      <c r="AD129" s="38">
        <f>+AM129+BA129</f>
        <v>0</v>
      </c>
      <c r="AE129" s="228" t="s">
        <v>415</v>
      </c>
      <c r="AF129" s="38"/>
      <c r="AG129" s="38">
        <v>0</v>
      </c>
      <c r="AH129" s="38"/>
      <c r="AI129" s="469"/>
      <c r="AJ129" s="38"/>
      <c r="AK129" s="38"/>
      <c r="AL129" s="38"/>
      <c r="AM129" s="38">
        <f>SUM(AF129:AL129)+AT129+AV129+AX129</f>
        <v>0</v>
      </c>
      <c r="AN129" s="85"/>
      <c r="AO129" s="38"/>
      <c r="AP129" s="38"/>
      <c r="AQ129" s="38"/>
      <c r="AR129" s="38">
        <f>SUM(AN129:AQ129)</f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0</v>
      </c>
      <c r="BB129" s="51"/>
      <c r="BC129" s="52">
        <v>2</v>
      </c>
      <c r="BD129" s="52"/>
      <c r="BE129" s="51"/>
      <c r="BF129" s="52"/>
    </row>
    <row r="130" spans="1:58" ht="12.95" customHeight="1">
      <c r="A130" s="41"/>
      <c r="B130" s="42"/>
      <c r="C130" s="424"/>
      <c r="D130" s="42"/>
      <c r="E130" s="43"/>
      <c r="F130" s="43"/>
      <c r="G130" s="44"/>
      <c r="H130" s="45"/>
      <c r="I130" s="46"/>
      <c r="J130" s="84"/>
      <c r="K130" s="84"/>
      <c r="L130" s="36"/>
      <c r="M130" s="36"/>
      <c r="N130" s="47"/>
      <c r="O130" s="48"/>
      <c r="P130" s="49"/>
      <c r="Q130" s="48"/>
      <c r="R130" s="394"/>
      <c r="S130" s="394"/>
      <c r="T130" s="38"/>
      <c r="U130" s="38"/>
      <c r="V130" s="38"/>
      <c r="W130" s="38"/>
      <c r="X130" s="39"/>
      <c r="Y130" s="211"/>
      <c r="Z130" s="38"/>
      <c r="AA130" s="38"/>
      <c r="AB130" s="38"/>
      <c r="AC130" s="38"/>
      <c r="AD130" s="38">
        <f>+AM130+BA130</f>
        <v>32</v>
      </c>
      <c r="AE130" s="228" t="s">
        <v>420</v>
      </c>
      <c r="AF130" s="34"/>
      <c r="AG130" s="34"/>
      <c r="AH130" s="34">
        <v>32</v>
      </c>
      <c r="AI130" s="469"/>
      <c r="AJ130" s="38"/>
      <c r="AK130" s="38"/>
      <c r="AL130" s="38"/>
      <c r="AM130" s="38">
        <f>SUM(AF130:AL130)+AT130+AV130+AX130</f>
        <v>32</v>
      </c>
      <c r="AN130" s="38"/>
      <c r="AO130" s="38"/>
      <c r="AP130" s="38"/>
      <c r="AQ130" s="38"/>
      <c r="AR130" s="38">
        <f>SUM(AN130:AQ130)</f>
        <v>0</v>
      </c>
      <c r="AS130" s="38"/>
      <c r="AT130" s="38"/>
      <c r="AU130" s="38"/>
      <c r="AV130" s="38"/>
      <c r="AW130" s="38"/>
      <c r="AX130" s="38"/>
      <c r="AY130" s="38"/>
      <c r="AZ130" s="38"/>
      <c r="BA130" s="38">
        <f>+AR130+AS130+AU130+AW130+AY130+AZ130</f>
        <v>0</v>
      </c>
      <c r="BB130" s="34"/>
      <c r="BC130" s="54"/>
      <c r="BD130" s="54"/>
      <c r="BE130" s="34"/>
      <c r="BF130" s="54"/>
    </row>
    <row r="131" spans="1:58" ht="12.95" customHeight="1">
      <c r="A131" s="41"/>
      <c r="B131" s="42"/>
      <c r="C131" s="424"/>
      <c r="D131" s="42"/>
      <c r="E131" s="43"/>
      <c r="F131" s="43"/>
      <c r="G131" s="467"/>
      <c r="H131" s="45"/>
      <c r="I131" s="46"/>
      <c r="J131" s="84"/>
      <c r="K131" s="84"/>
      <c r="L131" s="36"/>
      <c r="M131" s="36"/>
      <c r="N131" s="47"/>
      <c r="O131" s="48"/>
      <c r="P131" s="49"/>
      <c r="Q131" s="48"/>
      <c r="R131" s="394"/>
      <c r="S131" s="394"/>
      <c r="T131" s="38"/>
      <c r="U131" s="38"/>
      <c r="V131" s="38"/>
      <c r="W131" s="38"/>
      <c r="X131" s="39"/>
      <c r="Y131" s="211"/>
      <c r="Z131" s="38"/>
      <c r="AA131" s="38"/>
      <c r="AB131" s="38"/>
      <c r="AC131" s="38"/>
      <c r="AD131" s="38"/>
      <c r="AE131" s="228"/>
      <c r="AF131" s="38"/>
      <c r="AG131" s="38"/>
      <c r="AH131" s="38"/>
      <c r="AI131" s="469"/>
      <c r="AJ131" s="38"/>
      <c r="AK131" s="38"/>
      <c r="AL131" s="38"/>
      <c r="AM131" s="38"/>
      <c r="AN131" s="85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51"/>
      <c r="BC131" s="52"/>
      <c r="BD131" s="52"/>
      <c r="BE131" s="52"/>
      <c r="BF131" s="52"/>
    </row>
    <row r="132" spans="1:58" ht="12.75" customHeight="1">
      <c r="A132" s="41">
        <v>46387</v>
      </c>
      <c r="B132" s="42" t="s">
        <v>419</v>
      </c>
      <c r="C132" s="424">
        <f>(M132*E132*O132*Q132)/100000000</f>
        <v>54.83650153846154</v>
      </c>
      <c r="D132" s="42" t="s">
        <v>285</v>
      </c>
      <c r="E132" s="43">
        <v>15</v>
      </c>
      <c r="F132" s="43">
        <v>1</v>
      </c>
      <c r="G132" s="44">
        <v>1185</v>
      </c>
      <c r="H132" s="484">
        <f>+N132</f>
        <v>0.24999999999999989</v>
      </c>
      <c r="I132" s="46">
        <v>0.88</v>
      </c>
      <c r="J132" s="84">
        <f>E132*G132*(1-H132)*1440/1000000*2.87</f>
        <v>55.095390000000009</v>
      </c>
      <c r="K132" s="84">
        <f>(IF(G132&lt;L132,L132,G132)*(1-IF(H132&lt;N132,H132,N132))*E132*O132*Q132)/100000000</f>
        <v>54.83650153846154</v>
      </c>
      <c r="L132" s="36">
        <v>1226.4381270903009</v>
      </c>
      <c r="M132" s="36">
        <v>919.82859531772579</v>
      </c>
      <c r="N132" s="47">
        <f>1-(M132/L132)</f>
        <v>0.24999999999999989</v>
      </c>
      <c r="O132" s="48">
        <f>+'Trim Rwd'!H97</f>
        <v>276</v>
      </c>
      <c r="P132" s="49">
        <f>O132*(Q132-R132-S132)</f>
        <v>391920</v>
      </c>
      <c r="Q132" s="48">
        <v>1440</v>
      </c>
      <c r="R132" s="394">
        <v>0</v>
      </c>
      <c r="S132" s="394">
        <v>20</v>
      </c>
      <c r="T132" s="38">
        <f>E132*M132*O132*Q132/100000000</f>
        <v>54.83650153846154</v>
      </c>
      <c r="U132" s="38">
        <f>E132*M132*O132*(Q132-R132-S132)/100000000</f>
        <v>54.074883461538469</v>
      </c>
      <c r="V132" s="38">
        <f>E132*G132*(1-N132)*O132/100*(R132+S132)/1000000</f>
        <v>0.73588500000000012</v>
      </c>
      <c r="W132" s="38">
        <f>+'31'!K34/1000</f>
        <v>53.325000000000003</v>
      </c>
      <c r="X132" s="391">
        <f>SUM(W132:W135)/SUM(K132:K135)</f>
        <v>0.97243621500176503</v>
      </c>
      <c r="Y132" s="38">
        <f>+SUM(RBP!$AG$3:$AG$4)</f>
        <v>5.4060000000000006</v>
      </c>
      <c r="Z132" s="38">
        <f>+'31'!D34/1000</f>
        <v>0.6</v>
      </c>
      <c r="AA132" s="50">
        <f>SUM(U132:U135)-SUM(W132:W135)-SUM(Z132:Z135)-SUM(Y132:Y135)</f>
        <v>-5.2561165384615336</v>
      </c>
      <c r="AB132" s="50">
        <f>(SUM(K132:K135)-SUM(W132:W135)-SUM(Y132:Y135)-SUM(Z132:Z135)-SUM(AC132:AC135)-SUM(V132:V135))-AA132</f>
        <v>2.5733076923071252E-2</v>
      </c>
      <c r="AC132" s="38">
        <f>K132-T132</f>
        <v>0</v>
      </c>
      <c r="AD132" s="38">
        <f>+AM132+BA132</f>
        <v>0</v>
      </c>
      <c r="AE132" s="228" t="s">
        <v>392</v>
      </c>
      <c r="AF132" s="38">
        <v>0</v>
      </c>
      <c r="AG132" s="38"/>
      <c r="AH132" s="38"/>
      <c r="AI132" s="469"/>
      <c r="AJ132" s="38"/>
      <c r="AK132" s="38"/>
      <c r="AL132" s="38"/>
      <c r="AM132" s="38">
        <f>SUM(AF132:AL132)+AT132+AV132+AX132</f>
        <v>0</v>
      </c>
      <c r="AN132" s="38"/>
      <c r="AO132" s="38"/>
      <c r="AP132" s="38"/>
      <c r="AQ132" s="38"/>
      <c r="AR132" s="38">
        <f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>+AR132+AS132+AU132+AW132+AY132+AZ132</f>
        <v>0</v>
      </c>
      <c r="BB132" s="34">
        <v>0</v>
      </c>
      <c r="BC132" s="52"/>
      <c r="BD132" s="52"/>
      <c r="BE132" s="34"/>
      <c r="BF132" s="52"/>
    </row>
    <row r="133" spans="1:58" ht="12.95" customHeight="1">
      <c r="A133" s="41"/>
      <c r="B133" s="42"/>
      <c r="C133" s="424"/>
      <c r="D133" s="42"/>
      <c r="E133" s="43"/>
      <c r="F133" s="43"/>
      <c r="G133" s="44"/>
      <c r="H133" s="484"/>
      <c r="I133" s="46"/>
      <c r="J133" s="84"/>
      <c r="K133" s="84"/>
      <c r="L133" s="36"/>
      <c r="M133" s="36"/>
      <c r="N133" s="47"/>
      <c r="O133" s="48"/>
      <c r="P133" s="49"/>
      <c r="Q133" s="48"/>
      <c r="R133" s="394"/>
      <c r="S133" s="394"/>
      <c r="T133" s="38"/>
      <c r="U133" s="38"/>
      <c r="V133" s="38"/>
      <c r="W133" s="38"/>
      <c r="X133" s="39"/>
      <c r="Y133" s="211"/>
      <c r="Z133" s="38"/>
      <c r="AA133" s="38"/>
      <c r="AB133" s="38"/>
      <c r="AC133" s="38"/>
      <c r="AD133" s="38">
        <f>+AM133+BA133</f>
        <v>3</v>
      </c>
      <c r="AE133" s="228" t="s">
        <v>478</v>
      </c>
      <c r="AF133" s="38"/>
      <c r="AG133" s="38">
        <v>3</v>
      </c>
      <c r="AH133" s="38"/>
      <c r="AI133" s="469"/>
      <c r="AJ133" s="38"/>
      <c r="AK133" s="38"/>
      <c r="AL133" s="38"/>
      <c r="AM133" s="38">
        <f>SUM(AF133:AL133)+AT133+AV133+AX133</f>
        <v>3</v>
      </c>
      <c r="AN133" s="85"/>
      <c r="AO133" s="38"/>
      <c r="AP133" s="38"/>
      <c r="AQ133" s="38"/>
      <c r="AR133" s="38">
        <f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51"/>
      <c r="BC133" s="52">
        <v>2</v>
      </c>
      <c r="BD133" s="52"/>
      <c r="BE133" s="51"/>
      <c r="BF133" s="52"/>
    </row>
    <row r="134" spans="1:58" ht="12.95" customHeight="1">
      <c r="A134" s="41"/>
      <c r="B134" s="42"/>
      <c r="C134" s="424"/>
      <c r="D134" s="42"/>
      <c r="E134" s="43"/>
      <c r="F134" s="43"/>
      <c r="G134" s="44"/>
      <c r="H134" s="45"/>
      <c r="I134" s="46"/>
      <c r="J134" s="84"/>
      <c r="K134" s="84"/>
      <c r="L134" s="36"/>
      <c r="M134" s="36"/>
      <c r="N134" s="47"/>
      <c r="O134" s="48"/>
      <c r="P134" s="49"/>
      <c r="Q134" s="48"/>
      <c r="R134" s="394"/>
      <c r="S134" s="394"/>
      <c r="T134" s="38"/>
      <c r="U134" s="38"/>
      <c r="V134" s="38"/>
      <c r="W134" s="38"/>
      <c r="X134" s="39"/>
      <c r="Y134" s="211"/>
      <c r="Z134" s="38"/>
      <c r="AA134" s="38"/>
      <c r="AB134" s="38"/>
      <c r="AC134" s="38"/>
      <c r="AD134" s="38">
        <f>+AM134+BA134</f>
        <v>17</v>
      </c>
      <c r="AE134" s="228" t="s">
        <v>514</v>
      </c>
      <c r="AF134" s="34"/>
      <c r="AG134" s="34"/>
      <c r="AH134" s="34">
        <v>17</v>
      </c>
      <c r="AI134" s="469"/>
      <c r="AJ134" s="38"/>
      <c r="AK134" s="38"/>
      <c r="AL134" s="38"/>
      <c r="AM134" s="38">
        <f>SUM(AF134:AL134)+AT134+AV134+AX134</f>
        <v>17</v>
      </c>
      <c r="AN134" s="38"/>
      <c r="AO134" s="38"/>
      <c r="AP134" s="38"/>
      <c r="AQ134" s="38"/>
      <c r="AR134" s="38">
        <f>SUM(AN134:AQ134)</f>
        <v>0</v>
      </c>
      <c r="AS134" s="38"/>
      <c r="AT134" s="38"/>
      <c r="AU134" s="38"/>
      <c r="AV134" s="38"/>
      <c r="AW134" s="38"/>
      <c r="AX134" s="38"/>
      <c r="AY134" s="38"/>
      <c r="AZ134" s="38"/>
      <c r="BA134" s="38">
        <f>+AR134+AS134+AU134+AW134+AY134+AZ134</f>
        <v>0</v>
      </c>
      <c r="BB134" s="34"/>
      <c r="BC134" s="54"/>
      <c r="BD134" s="54"/>
      <c r="BE134" s="34"/>
      <c r="BF134" s="54"/>
    </row>
    <row r="135" spans="1:58" ht="12.95" customHeight="1">
      <c r="A135" s="41"/>
      <c r="B135" s="505"/>
      <c r="C135" s="424"/>
      <c r="D135" s="42"/>
      <c r="E135" s="245"/>
      <c r="F135" s="43"/>
      <c r="G135" s="44"/>
      <c r="H135" s="45"/>
      <c r="I135" s="46"/>
      <c r="J135" s="84"/>
      <c r="K135" s="84"/>
      <c r="L135" s="36"/>
      <c r="M135" s="36"/>
      <c r="N135" s="47"/>
      <c r="O135" s="48"/>
      <c r="P135" s="49"/>
      <c r="Q135" s="337"/>
      <c r="R135" s="51"/>
      <c r="S135" s="51"/>
      <c r="T135" s="38"/>
      <c r="U135" s="38"/>
      <c r="V135" s="38"/>
      <c r="W135" s="34"/>
      <c r="X135" s="39"/>
      <c r="Y135" s="39"/>
      <c r="Z135" s="34"/>
      <c r="AA135" s="50"/>
      <c r="AB135" s="50"/>
      <c r="AC135" s="38"/>
      <c r="AD135" s="38"/>
      <c r="AE135" s="21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4"/>
      <c r="BC135" s="52"/>
      <c r="BD135" s="52"/>
      <c r="BE135" s="52"/>
      <c r="BF135" s="52"/>
    </row>
    <row r="136" spans="1:58" s="28" customFormat="1" ht="12.95" customHeight="1">
      <c r="A136" s="30"/>
      <c r="B136" s="30"/>
      <c r="C136" s="30"/>
      <c r="D136" s="30"/>
      <c r="E136" s="30"/>
      <c r="F136" s="56"/>
      <c r="G136" s="30"/>
      <c r="H136" s="30"/>
      <c r="I136" s="30"/>
      <c r="J136" s="85"/>
      <c r="K136" s="85"/>
      <c r="L136" s="57"/>
      <c r="M136" s="57"/>
      <c r="N136" s="30"/>
      <c r="O136" s="30"/>
      <c r="P136" s="30"/>
      <c r="Q136" s="338"/>
      <c r="R136" s="395"/>
      <c r="S136" s="395"/>
      <c r="T136" s="30"/>
      <c r="U136" s="30"/>
      <c r="V136" s="30"/>
      <c r="W136" s="30"/>
      <c r="X136" s="30"/>
      <c r="Y136" s="30"/>
      <c r="Z136" s="30"/>
      <c r="AA136" s="246">
        <f>U136-W136-Z136</f>
        <v>0</v>
      </c>
      <c r="AB136" s="246"/>
      <c r="AC136" s="247">
        <f>K136-T136</f>
        <v>0</v>
      </c>
      <c r="AD136" s="38"/>
      <c r="AE136" s="30"/>
      <c r="AF136" s="53"/>
      <c r="AG136" s="53"/>
      <c r="AH136" s="53"/>
      <c r="AI136" s="53"/>
      <c r="AJ136" s="53"/>
      <c r="AK136" s="53"/>
      <c r="AL136" s="53"/>
      <c r="AM136" s="38"/>
      <c r="AN136" s="53"/>
      <c r="AO136" s="53"/>
      <c r="AP136" s="53"/>
      <c r="AQ136" s="53"/>
      <c r="AR136" s="38"/>
      <c r="AS136" s="53"/>
      <c r="AT136" s="53"/>
      <c r="AU136" s="53"/>
      <c r="AV136" s="53"/>
      <c r="AW136" s="53"/>
      <c r="AX136" s="53"/>
      <c r="AY136" s="53"/>
      <c r="AZ136" s="53"/>
      <c r="BA136" s="38"/>
      <c r="BB136" s="65"/>
      <c r="BC136" s="65"/>
      <c r="BD136" s="54"/>
      <c r="BE136" s="34"/>
      <c r="BF136" s="54"/>
    </row>
    <row r="137" spans="1:58" ht="12.95" customHeight="1">
      <c r="A137" s="58"/>
      <c r="B137" s="59"/>
      <c r="C137" s="425">
        <f>SUM(C6:C135)</f>
        <v>1646.9344319076436</v>
      </c>
      <c r="D137" s="59"/>
      <c r="E137" s="60"/>
      <c r="F137" s="60"/>
      <c r="G137" s="61"/>
      <c r="H137" s="61"/>
      <c r="I137" s="62">
        <v>0.85</v>
      </c>
      <c r="J137" s="84"/>
      <c r="K137" s="86">
        <f>SUM(K6:K135)</f>
        <v>1647.5310144276439</v>
      </c>
      <c r="L137" s="64"/>
      <c r="M137" s="64"/>
      <c r="N137" s="65"/>
      <c r="O137" s="66">
        <f>P137/(Q137-R137-S137)</f>
        <v>276.38444214709915</v>
      </c>
      <c r="P137" s="63">
        <f>SUM(P6:P135)</f>
        <v>11991215.406994045</v>
      </c>
      <c r="Q137" s="339">
        <f>SUM(Q6:Q136)</f>
        <v>44640</v>
      </c>
      <c r="R137" s="63">
        <f t="shared" ref="R137:W137" si="0">SUM(R6:R135)</f>
        <v>173</v>
      </c>
      <c r="S137" s="63">
        <f t="shared" si="0"/>
        <v>1081</v>
      </c>
      <c r="T137" s="63">
        <f t="shared" si="0"/>
        <v>1646.9344319076436</v>
      </c>
      <c r="U137" s="63">
        <f t="shared" si="0"/>
        <v>1601.0913734810019</v>
      </c>
      <c r="V137" s="364">
        <f t="shared" si="0"/>
        <v>44.870246887964427</v>
      </c>
      <c r="W137" s="470">
        <f t="shared" si="0"/>
        <v>1534.7250000000001</v>
      </c>
      <c r="X137" s="471">
        <f>W137/K137</f>
        <v>0.9315302635035172</v>
      </c>
      <c r="Y137" s="365">
        <f>SUM(Y6:Y135)</f>
        <v>5.4060000000000006</v>
      </c>
      <c r="Z137" s="470">
        <f>SUM(Z6:Z135)</f>
        <v>6.0519999999999996</v>
      </c>
      <c r="AA137" s="63">
        <f>SUM(AA6:AA135)</f>
        <v>54.908373481002243</v>
      </c>
      <c r="AB137" s="63">
        <f>SUM(AB6:AB135)</f>
        <v>0.97281153867720327</v>
      </c>
      <c r="AC137" s="63">
        <f>SUM(AC6:AC135)</f>
        <v>0.59658251999999923</v>
      </c>
      <c r="AD137" s="38">
        <f>SUM(AD6:AD136)</f>
        <v>1254</v>
      </c>
      <c r="AE137" s="67"/>
      <c r="AF137" s="63">
        <f t="shared" ref="AF137:BF137" si="1">SUM(AF6:AF136)</f>
        <v>148</v>
      </c>
      <c r="AG137" s="63">
        <f t="shared" si="1"/>
        <v>72</v>
      </c>
      <c r="AH137" s="63">
        <f t="shared" si="1"/>
        <v>861</v>
      </c>
      <c r="AI137" s="63">
        <f t="shared" si="1"/>
        <v>0</v>
      </c>
      <c r="AJ137" s="63">
        <f t="shared" si="1"/>
        <v>0</v>
      </c>
      <c r="AK137" s="63">
        <f t="shared" si="1"/>
        <v>0</v>
      </c>
      <c r="AL137" s="63">
        <f t="shared" si="1"/>
        <v>0</v>
      </c>
      <c r="AM137" s="63">
        <f t="shared" si="1"/>
        <v>1081</v>
      </c>
      <c r="AN137" s="53">
        <f t="shared" si="1"/>
        <v>55</v>
      </c>
      <c r="AO137" s="53">
        <f t="shared" si="1"/>
        <v>0</v>
      </c>
      <c r="AP137" s="53">
        <f t="shared" si="1"/>
        <v>110</v>
      </c>
      <c r="AQ137" s="53">
        <f t="shared" si="1"/>
        <v>0</v>
      </c>
      <c r="AR137" s="63">
        <f t="shared" si="1"/>
        <v>165</v>
      </c>
      <c r="AS137" s="63">
        <f t="shared" si="1"/>
        <v>0</v>
      </c>
      <c r="AT137" s="63">
        <f t="shared" si="1"/>
        <v>0</v>
      </c>
      <c r="AU137" s="63">
        <f t="shared" si="1"/>
        <v>0</v>
      </c>
      <c r="AV137" s="63">
        <f t="shared" si="1"/>
        <v>0</v>
      </c>
      <c r="AW137" s="63">
        <f t="shared" si="1"/>
        <v>0</v>
      </c>
      <c r="AX137" s="63">
        <f t="shared" si="1"/>
        <v>0</v>
      </c>
      <c r="AY137" s="63">
        <f t="shared" si="1"/>
        <v>8</v>
      </c>
      <c r="AZ137" s="63">
        <f t="shared" si="1"/>
        <v>0</v>
      </c>
      <c r="BA137" s="63">
        <f t="shared" si="1"/>
        <v>173</v>
      </c>
      <c r="BB137" s="53">
        <f t="shared" si="1"/>
        <v>31</v>
      </c>
      <c r="BC137" s="53">
        <f t="shared" si="1"/>
        <v>37</v>
      </c>
      <c r="BD137" s="53">
        <f t="shared" si="1"/>
        <v>0</v>
      </c>
      <c r="BE137" s="53">
        <f t="shared" si="1"/>
        <v>1</v>
      </c>
      <c r="BF137" s="53">
        <f t="shared" si="1"/>
        <v>0</v>
      </c>
    </row>
    <row r="138" spans="1:58">
      <c r="A138" s="58"/>
      <c r="B138" s="59"/>
      <c r="C138" s="59"/>
      <c r="D138" s="59"/>
      <c r="E138" s="60"/>
      <c r="F138" s="60"/>
      <c r="G138" s="61"/>
      <c r="H138" s="61"/>
      <c r="I138" s="61"/>
      <c r="J138" s="87"/>
      <c r="K138" s="87"/>
      <c r="L138" s="64"/>
      <c r="M138" s="64"/>
      <c r="N138" s="65"/>
      <c r="O138" s="584"/>
      <c r="P138" s="585"/>
      <c r="Q138" s="61">
        <f>31*1440-Q137</f>
        <v>0</v>
      </c>
      <c r="R138" s="68">
        <f>R137/Q137</f>
        <v>3.8754480286738351E-3</v>
      </c>
      <c r="S138" s="68">
        <f>S137/Q137</f>
        <v>2.4215949820788531E-2</v>
      </c>
      <c r="T138" s="350"/>
      <c r="U138" s="350"/>
      <c r="V138" s="352">
        <f>V137/K137</f>
        <v>2.723484201209557E-2</v>
      </c>
      <c r="W138" s="369" t="s">
        <v>170</v>
      </c>
      <c r="X138" s="472">
        <v>0.85</v>
      </c>
      <c r="Y138" s="366">
        <f>Y137/K137</f>
        <v>3.2812735861473645E-3</v>
      </c>
      <c r="Z138" s="69">
        <f>Z137/K137</f>
        <v>3.6733754612215774E-3</v>
      </c>
      <c r="AA138" s="69">
        <f>AA137/K137</f>
        <v>3.3327672134947667E-2</v>
      </c>
      <c r="AB138" s="69">
        <f>AB137/K137</f>
        <v>5.9046629784699999E-4</v>
      </c>
      <c r="AC138" s="473">
        <f>AC137/K137</f>
        <v>3.6210700422368279E-4</v>
      </c>
      <c r="AD138" s="353"/>
      <c r="AE138" s="40"/>
      <c r="AF138" s="69">
        <f>AF137/$AD$137*$V$138</f>
        <v>3.2143194719219653E-3</v>
      </c>
      <c r="AG138" s="69">
        <f>AG137/$AD$137*$V$138</f>
        <v>1.5637229863404156E-3</v>
      </c>
      <c r="AH138" s="69">
        <f>AH137/$AD$137*$V$138</f>
        <v>1.8699520711654136E-2</v>
      </c>
      <c r="AI138" s="69">
        <f>AI137/$AD$137*$V$138</f>
        <v>0</v>
      </c>
      <c r="AJ138" s="69">
        <f t="shared" ref="AJ138:BA138" si="2">AJ137/$AD$137*$V$138</f>
        <v>0</v>
      </c>
      <c r="AK138" s="69">
        <f t="shared" si="2"/>
        <v>0</v>
      </c>
      <c r="AL138" s="69">
        <f t="shared" si="2"/>
        <v>0</v>
      </c>
      <c r="AM138" s="69">
        <f t="shared" si="2"/>
        <v>2.3477563169916515E-2</v>
      </c>
      <c r="AN138" s="69">
        <f t="shared" si="2"/>
        <v>1.194510614565595E-3</v>
      </c>
      <c r="AO138" s="69">
        <f t="shared" si="2"/>
        <v>0</v>
      </c>
      <c r="AP138" s="69">
        <f t="shared" si="2"/>
        <v>2.38902122913119E-3</v>
      </c>
      <c r="AQ138" s="69">
        <f t="shared" si="2"/>
        <v>0</v>
      </c>
      <c r="AR138" s="69">
        <f t="shared" si="2"/>
        <v>3.5835318436967852E-3</v>
      </c>
      <c r="AS138" s="69">
        <f t="shared" si="2"/>
        <v>0</v>
      </c>
      <c r="AT138" s="69">
        <f t="shared" si="2"/>
        <v>0</v>
      </c>
      <c r="AU138" s="69">
        <f t="shared" si="2"/>
        <v>0</v>
      </c>
      <c r="AV138" s="69">
        <f t="shared" si="2"/>
        <v>0</v>
      </c>
      <c r="AW138" s="69">
        <f t="shared" si="2"/>
        <v>0</v>
      </c>
      <c r="AX138" s="69">
        <f t="shared" si="2"/>
        <v>0</v>
      </c>
      <c r="AY138" s="69">
        <f t="shared" si="2"/>
        <v>1.737469984822684E-4</v>
      </c>
      <c r="AZ138" s="69">
        <f t="shared" si="2"/>
        <v>0</v>
      </c>
      <c r="BA138" s="69">
        <f t="shared" si="2"/>
        <v>3.7572788421790541E-3</v>
      </c>
      <c r="BB138" s="35" t="s">
        <v>169</v>
      </c>
      <c r="BC138" s="35" t="s">
        <v>169</v>
      </c>
      <c r="BD138" s="35" t="s">
        <v>396</v>
      </c>
      <c r="BE138" s="35" t="s">
        <v>396</v>
      </c>
      <c r="BF138" s="35" t="s">
        <v>396</v>
      </c>
    </row>
    <row r="139" spans="1:58">
      <c r="A139" s="58"/>
      <c r="B139" s="59"/>
      <c r="C139" s="59"/>
      <c r="D139" s="59"/>
      <c r="E139" s="60"/>
      <c r="F139" s="60"/>
      <c r="G139" s="35"/>
      <c r="H139" s="35"/>
      <c r="I139" s="35"/>
      <c r="J139" s="84"/>
      <c r="K139" s="84"/>
      <c r="L139" s="36"/>
      <c r="M139" s="36"/>
      <c r="N139" s="34"/>
      <c r="O139" s="37"/>
      <c r="P139" s="29"/>
      <c r="Q139" s="35"/>
      <c r="R139" s="38">
        <f>R137-(BA137)</f>
        <v>0</v>
      </c>
      <c r="S139" s="38">
        <f>+S137-AM137</f>
        <v>0</v>
      </c>
      <c r="T139" s="34"/>
      <c r="U139" s="34"/>
      <c r="V139" s="34"/>
      <c r="W139" s="367">
        <f>+W137-'31'!M34/1000</f>
        <v>0</v>
      </c>
      <c r="X139" s="368"/>
      <c r="Y139" s="70">
        <f>+Y137-(SUM(RBP!$AG$3:$AG$4))</f>
        <v>0</v>
      </c>
      <c r="Z139" s="38">
        <f>+Z137-'31'!J56/1000</f>
        <v>0</v>
      </c>
      <c r="AA139" s="34"/>
      <c r="AB139" s="34"/>
      <c r="AC139" s="34"/>
      <c r="AD139" s="34"/>
      <c r="AE139" s="40"/>
      <c r="AF139" s="340"/>
      <c r="AG139" s="340"/>
      <c r="AH139" s="340"/>
      <c r="AI139" s="340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474">
        <f>BB137/($Q$137/1440)/2</f>
        <v>0.5</v>
      </c>
      <c r="BC139" s="474">
        <f>BC137/($Q$137/1440)/2</f>
        <v>0.59677419354838712</v>
      </c>
      <c r="BD139" s="474">
        <f>BD137/($Q$137/1440)</f>
        <v>0</v>
      </c>
      <c r="BE139" s="474">
        <f>BE137/($Q$137/1440)</f>
        <v>3.2258064516129031E-2</v>
      </c>
      <c r="BF139" s="474">
        <f>BF137/($Q$137/1440)</f>
        <v>0</v>
      </c>
    </row>
    <row r="140" spans="1:58">
      <c r="A140" s="71"/>
      <c r="B140" s="72"/>
      <c r="C140" s="72"/>
      <c r="D140" s="72"/>
      <c r="E140" s="73"/>
      <c r="F140" s="73"/>
      <c r="G140" s="74"/>
      <c r="H140" s="74"/>
      <c r="I140" s="74"/>
      <c r="J140" s="88"/>
      <c r="K140" s="88"/>
      <c r="O140" s="75"/>
      <c r="P140" s="76"/>
      <c r="Q140" s="74"/>
      <c r="R140" s="55"/>
      <c r="S140" s="55"/>
      <c r="U140" s="77"/>
      <c r="V140" s="77"/>
      <c r="W140" s="78" t="s">
        <v>122</v>
      </c>
      <c r="X140" s="475">
        <f>W137/U137</f>
        <v>0.95854929045260429</v>
      </c>
      <c r="Y140" s="475"/>
      <c r="Z140" s="55"/>
      <c r="AD140" s="85"/>
      <c r="AE140" s="80"/>
      <c r="AF140" s="81"/>
      <c r="AG140" s="81"/>
      <c r="AH140" s="81"/>
      <c r="AI140" s="81"/>
      <c r="AJ140" s="81"/>
      <c r="AK140" s="81"/>
      <c r="AL140" s="81"/>
      <c r="AM140" s="81"/>
      <c r="AN140" s="79"/>
      <c r="AO140" s="79"/>
      <c r="AP140" s="79"/>
      <c r="AQ140" s="79"/>
      <c r="AR140" s="79"/>
      <c r="AS140" s="81"/>
      <c r="AT140" s="81"/>
      <c r="AU140" s="81"/>
      <c r="AV140" s="81"/>
      <c r="AW140" s="81"/>
      <c r="AX140" s="81"/>
      <c r="AY140" s="81"/>
      <c r="AZ140" s="81"/>
      <c r="BA140" s="79"/>
      <c r="BB140" s="28"/>
      <c r="BC140" s="79"/>
      <c r="BD140" s="79"/>
      <c r="BE140" s="28"/>
      <c r="BF140" s="79"/>
    </row>
    <row r="141" spans="1:58">
      <c r="A141" s="71"/>
      <c r="B141" s="72"/>
      <c r="C141" s="72"/>
      <c r="D141" s="72"/>
      <c r="E141" s="73"/>
      <c r="F141" s="73"/>
      <c r="G141" s="74"/>
      <c r="H141" s="74"/>
      <c r="I141" s="74"/>
      <c r="J141" s="88"/>
      <c r="K141" s="88"/>
      <c r="O141" s="75"/>
      <c r="P141" s="76"/>
      <c r="Q141" s="74"/>
      <c r="R141" s="55"/>
      <c r="S141" s="55"/>
      <c r="U141" s="77"/>
      <c r="V141" s="77"/>
      <c r="W141" s="78"/>
      <c r="X141" s="79"/>
      <c r="Y141" s="79"/>
      <c r="Z141" s="55"/>
      <c r="AA141" s="91"/>
      <c r="AB141" s="91"/>
      <c r="AD141" s="85"/>
      <c r="AE141" s="80"/>
      <c r="AF141" s="81"/>
      <c r="AG141" s="81"/>
      <c r="AH141" s="81"/>
      <c r="AI141" s="81"/>
      <c r="AJ141" s="81"/>
      <c r="AK141" s="81"/>
      <c r="AL141" s="81"/>
      <c r="AM141" s="81"/>
      <c r="AN141" s="81"/>
      <c r="AO141" s="79"/>
      <c r="AP141" s="79"/>
      <c r="AQ141" s="79"/>
      <c r="AR141" s="81"/>
      <c r="AS141" s="79"/>
      <c r="AT141" s="79"/>
      <c r="AU141" s="79"/>
      <c r="AV141" s="79"/>
      <c r="AW141" s="79"/>
      <c r="AX141" s="79"/>
      <c r="AY141" s="79"/>
      <c r="AZ141" s="79"/>
      <c r="BA141" s="79"/>
      <c r="BB141" s="28"/>
      <c r="BC141" s="79"/>
      <c r="BD141" s="79"/>
      <c r="BE141" s="28"/>
      <c r="BF141" s="79"/>
    </row>
    <row r="142" spans="1:58">
      <c r="A142" s="71"/>
      <c r="B142" s="72"/>
      <c r="C142" s="72"/>
      <c r="D142" s="72"/>
      <c r="E142" s="73"/>
      <c r="F142" s="73"/>
      <c r="G142" s="74"/>
      <c r="H142" s="74"/>
      <c r="I142" s="74"/>
      <c r="J142" s="88"/>
      <c r="K142" s="88"/>
      <c r="O142" s="75"/>
      <c r="P142" s="76"/>
      <c r="Q142" s="74"/>
      <c r="R142" s="351"/>
      <c r="S142" s="55"/>
      <c r="U142" s="77"/>
      <c r="V142" s="77"/>
      <c r="W142" s="78" t="s">
        <v>145</v>
      </c>
      <c r="X142" s="340">
        <f>+W137+Y137</f>
        <v>1540.1310000000001</v>
      </c>
      <c r="Y142" s="79"/>
      <c r="Z142" s="55"/>
      <c r="AD142" s="85"/>
      <c r="AE142" s="80"/>
      <c r="AF142" s="85"/>
      <c r="AG142" s="85"/>
      <c r="AH142" s="85"/>
      <c r="AI142" s="85"/>
      <c r="AJ142" s="79"/>
      <c r="AK142" s="79"/>
      <c r="AL142" s="79"/>
      <c r="AM142" s="81"/>
      <c r="AN142" s="79"/>
      <c r="AO142" s="79"/>
      <c r="AP142" s="79"/>
      <c r="AQ142" s="79"/>
      <c r="AR142" s="81"/>
      <c r="AS142" s="79"/>
      <c r="AT142" s="79"/>
      <c r="AU142" s="79"/>
      <c r="AV142" s="79"/>
      <c r="AW142" s="79"/>
      <c r="AX142" s="79"/>
      <c r="AY142" s="79"/>
      <c r="AZ142" s="79"/>
      <c r="BA142" s="79"/>
      <c r="BB142" s="28"/>
      <c r="BC142" s="79"/>
      <c r="BD142" s="79"/>
      <c r="BE142" s="28"/>
      <c r="BF142" s="79"/>
    </row>
    <row r="143" spans="1:58">
      <c r="A143" s="71"/>
      <c r="C143" s="72" t="s">
        <v>282</v>
      </c>
      <c r="D143" s="72"/>
      <c r="E143" s="73"/>
      <c r="F143" s="73"/>
      <c r="G143" s="74"/>
      <c r="H143" s="74"/>
      <c r="I143" s="74"/>
      <c r="J143" s="88"/>
      <c r="K143" s="88"/>
      <c r="O143" s="75"/>
      <c r="P143" s="76"/>
      <c r="Q143" s="74"/>
      <c r="R143" s="351"/>
      <c r="S143" s="55"/>
      <c r="U143" s="77"/>
      <c r="V143" s="362"/>
      <c r="W143" s="363"/>
      <c r="X143" s="356"/>
      <c r="Y143" s="363"/>
      <c r="Z143" s="356"/>
      <c r="AD143" s="349"/>
      <c r="AE143" s="80"/>
      <c r="AF143" s="349"/>
      <c r="AG143" s="349"/>
      <c r="AH143" s="349"/>
      <c r="AI143" s="34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28"/>
      <c r="BC143" s="79"/>
      <c r="BD143" s="79"/>
      <c r="BE143" s="28"/>
      <c r="BF143" s="79"/>
    </row>
    <row r="144" spans="1:58">
      <c r="A144" s="71"/>
      <c r="B144" s="72"/>
      <c r="C144" s="72" t="s">
        <v>283</v>
      </c>
      <c r="D144" s="72"/>
      <c r="E144" s="73"/>
      <c r="F144" s="73"/>
      <c r="G144" s="74"/>
      <c r="H144" s="74"/>
      <c r="I144" s="74"/>
      <c r="J144" s="88"/>
      <c r="K144" s="88"/>
      <c r="O144" s="75"/>
      <c r="P144" s="76"/>
      <c r="Q144" s="74"/>
      <c r="R144" s="351"/>
      <c r="S144" s="55"/>
      <c r="V144" s="354"/>
      <c r="W144" s="355" t="s">
        <v>291</v>
      </c>
      <c r="X144" s="354"/>
      <c r="Y144" s="354"/>
      <c r="Z144" s="356"/>
      <c r="AE144" s="80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28"/>
      <c r="BE144" s="28"/>
    </row>
    <row r="145" spans="1:57">
      <c r="A145" s="71"/>
      <c r="B145" s="72"/>
      <c r="C145" s="72"/>
      <c r="D145" s="72"/>
      <c r="E145" s="73"/>
      <c r="F145" s="73"/>
      <c r="G145" s="74"/>
      <c r="H145" s="74"/>
      <c r="I145" s="74"/>
      <c r="J145" s="88"/>
      <c r="K145" s="88"/>
      <c r="O145" s="75"/>
      <c r="P145" s="76"/>
      <c r="Q145" s="74"/>
      <c r="R145" s="351"/>
      <c r="S145" s="55"/>
      <c r="V145" s="354"/>
      <c r="W145" s="357" t="s">
        <v>281</v>
      </c>
      <c r="X145" s="361">
        <f>Y138</f>
        <v>3.2812735861473645E-3</v>
      </c>
      <c r="Y145" s="358"/>
      <c r="Z145" s="356"/>
      <c r="AE145" s="80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28"/>
      <c r="BE145" s="28"/>
    </row>
    <row r="146" spans="1:57">
      <c r="R146" s="91"/>
      <c r="V146" s="354"/>
      <c r="W146" s="357" t="s">
        <v>149</v>
      </c>
      <c r="X146" s="360">
        <f>Z138</f>
        <v>3.6733754612215774E-3</v>
      </c>
      <c r="Y146" s="359"/>
      <c r="Z146" s="354"/>
    </row>
    <row r="147" spans="1:57">
      <c r="R147" s="91"/>
      <c r="V147" s="354"/>
      <c r="W147" s="357" t="s">
        <v>150</v>
      </c>
      <c r="X147" s="360">
        <f>AC138</f>
        <v>3.6210700422368279E-4</v>
      </c>
      <c r="Y147" s="360"/>
      <c r="Z147" s="354"/>
    </row>
    <row r="148" spans="1:57">
      <c r="R148" s="91"/>
      <c r="V148" s="354"/>
      <c r="W148" s="357" t="s">
        <v>151</v>
      </c>
      <c r="X148" s="360">
        <f>AA138</f>
        <v>3.3327672134947667E-2</v>
      </c>
      <c r="Y148" s="359"/>
      <c r="Z148" s="354"/>
    </row>
    <row r="149" spans="1:57">
      <c r="V149" s="354"/>
      <c r="W149" s="357" t="s">
        <v>167</v>
      </c>
      <c r="X149" s="360">
        <f>AB138</f>
        <v>5.9046629784699999E-4</v>
      </c>
      <c r="Y149" s="359" t="s">
        <v>165</v>
      </c>
      <c r="Z149" s="354"/>
    </row>
    <row r="150" spans="1:57">
      <c r="V150" s="354"/>
      <c r="W150" s="357" t="s">
        <v>218</v>
      </c>
      <c r="X150" s="360">
        <f>AF138</f>
        <v>3.2143194719219653E-3</v>
      </c>
      <c r="Y150" s="359"/>
      <c r="Z150" s="354"/>
    </row>
    <row r="151" spans="1:57">
      <c r="V151" s="354"/>
      <c r="W151" s="357" t="s">
        <v>219</v>
      </c>
      <c r="X151" s="360">
        <f>+AG138</f>
        <v>1.5637229863404156E-3</v>
      </c>
      <c r="Y151" s="359"/>
      <c r="Z151" s="354"/>
    </row>
    <row r="152" spans="1:57">
      <c r="V152" s="354"/>
      <c r="W152" s="357" t="s">
        <v>220</v>
      </c>
      <c r="X152" s="360">
        <f>+AH138</f>
        <v>1.8699520711654136E-2</v>
      </c>
      <c r="Y152" s="359"/>
      <c r="Z152" s="354"/>
    </row>
    <row r="153" spans="1:57">
      <c r="V153" s="354"/>
      <c r="W153" s="357" t="s">
        <v>221</v>
      </c>
      <c r="X153" s="360">
        <f>+AI138</f>
        <v>0</v>
      </c>
      <c r="Y153" s="359"/>
      <c r="Z153" s="354"/>
    </row>
    <row r="154" spans="1:57">
      <c r="V154" s="354"/>
      <c r="W154" s="357" t="s">
        <v>158</v>
      </c>
      <c r="X154" s="360">
        <f>+AJ138</f>
        <v>0</v>
      </c>
      <c r="Y154" s="359"/>
      <c r="Z154" s="354"/>
    </row>
    <row r="155" spans="1:57">
      <c r="V155" s="354"/>
      <c r="W155" s="357" t="s">
        <v>160</v>
      </c>
      <c r="X155" s="360">
        <f>+AK138</f>
        <v>0</v>
      </c>
      <c r="Y155" s="359"/>
      <c r="Z155" s="354"/>
    </row>
    <row r="156" spans="1:57">
      <c r="V156" s="354"/>
      <c r="W156" s="357" t="s">
        <v>159</v>
      </c>
      <c r="X156" s="360">
        <f>+AL138</f>
        <v>0</v>
      </c>
      <c r="Y156" s="359"/>
      <c r="Z156" s="354"/>
    </row>
    <row r="157" spans="1:57">
      <c r="V157" s="354"/>
      <c r="W157" s="357" t="s">
        <v>152</v>
      </c>
      <c r="X157" s="360">
        <f>+AN138</f>
        <v>1.194510614565595E-3</v>
      </c>
      <c r="Y157" s="359"/>
      <c r="Z157" s="354"/>
    </row>
    <row r="158" spans="1:57">
      <c r="V158" s="354"/>
      <c r="W158" s="357" t="s">
        <v>162</v>
      </c>
      <c r="X158" s="360">
        <f>+AO138</f>
        <v>0</v>
      </c>
      <c r="Y158" s="359"/>
      <c r="Z158" s="354"/>
    </row>
    <row r="159" spans="1:57">
      <c r="V159" s="354"/>
      <c r="W159" s="357" t="s">
        <v>153</v>
      </c>
      <c r="X159" s="360">
        <f>+AP138</f>
        <v>2.38902122913119E-3</v>
      </c>
      <c r="Y159" s="359"/>
      <c r="Z159" s="354"/>
    </row>
    <row r="160" spans="1:57">
      <c r="V160" s="354"/>
      <c r="W160" s="357" t="s">
        <v>161</v>
      </c>
      <c r="X160" s="360">
        <f>+AQ138</f>
        <v>0</v>
      </c>
      <c r="Y160" s="359"/>
      <c r="Z160" s="354"/>
    </row>
    <row r="161" spans="6:26">
      <c r="F161" s="30"/>
      <c r="J161" s="30"/>
      <c r="K161" s="30"/>
      <c r="L161" s="30"/>
      <c r="M161" s="30"/>
      <c r="Q161" s="30"/>
      <c r="V161" s="354"/>
      <c r="W161" s="357" t="s">
        <v>164</v>
      </c>
      <c r="X161" s="360">
        <f>+AS138</f>
        <v>0</v>
      </c>
      <c r="Y161" s="359"/>
      <c r="Z161" s="354"/>
    </row>
    <row r="162" spans="6:26">
      <c r="F162" s="30"/>
      <c r="J162" s="30"/>
      <c r="K162" s="30"/>
      <c r="L162" s="30"/>
      <c r="M162" s="30"/>
      <c r="Q162" s="30"/>
      <c r="V162" s="354"/>
      <c r="W162" s="357" t="s">
        <v>284</v>
      </c>
      <c r="X162" s="360">
        <f>+AT138</f>
        <v>0</v>
      </c>
      <c r="Y162" s="359"/>
      <c r="Z162" s="354"/>
    </row>
    <row r="163" spans="6:26">
      <c r="F163" s="30"/>
      <c r="J163" s="30"/>
      <c r="K163" s="30"/>
      <c r="L163" s="30"/>
      <c r="M163" s="30"/>
      <c r="Q163" s="30"/>
      <c r="V163" s="354"/>
      <c r="W163" s="357" t="s">
        <v>260</v>
      </c>
      <c r="X163" s="360">
        <f>+AU138</f>
        <v>0</v>
      </c>
      <c r="Y163" s="359"/>
      <c r="Z163" s="354"/>
    </row>
    <row r="164" spans="6:26">
      <c r="F164" s="30"/>
      <c r="J164" s="30"/>
      <c r="K164" s="30"/>
      <c r="L164" s="30"/>
      <c r="M164" s="30"/>
      <c r="Q164" s="30"/>
      <c r="V164" s="354"/>
      <c r="W164" s="357" t="s">
        <v>293</v>
      </c>
      <c r="X164" s="360">
        <f>+AW138</f>
        <v>0</v>
      </c>
      <c r="Y164" s="359"/>
      <c r="Z164" s="354"/>
    </row>
    <row r="165" spans="6:26">
      <c r="F165" s="30"/>
      <c r="J165" s="30"/>
      <c r="K165" s="30"/>
      <c r="L165" s="30"/>
      <c r="M165" s="30"/>
      <c r="Q165" s="30"/>
      <c r="V165" s="354"/>
      <c r="W165" s="357" t="s">
        <v>294</v>
      </c>
      <c r="X165" s="360">
        <f>+AV138</f>
        <v>0</v>
      </c>
      <c r="Y165" s="359"/>
      <c r="Z165" s="354"/>
    </row>
    <row r="166" spans="6:26">
      <c r="F166" s="30"/>
      <c r="J166" s="30"/>
      <c r="K166" s="30"/>
      <c r="L166" s="30"/>
      <c r="M166" s="30"/>
      <c r="Q166" s="30"/>
      <c r="V166" s="354"/>
      <c r="W166" s="354" t="s">
        <v>163</v>
      </c>
      <c r="X166" s="360">
        <f>+AX138+AY138</f>
        <v>1.737469984822684E-4</v>
      </c>
      <c r="Y166" s="360"/>
      <c r="Z166" s="354"/>
    </row>
    <row r="167" spans="6:26">
      <c r="F167" s="30"/>
      <c r="J167" s="30"/>
      <c r="K167" s="30"/>
      <c r="L167" s="30"/>
      <c r="M167" s="30"/>
      <c r="Q167" s="30"/>
      <c r="V167" s="354"/>
      <c r="W167" s="354" t="s">
        <v>292</v>
      </c>
      <c r="X167" s="360">
        <f>+AZ138</f>
        <v>0</v>
      </c>
      <c r="Y167" s="354"/>
      <c r="Z167" s="354"/>
    </row>
    <row r="168" spans="6:26">
      <c r="F168" s="30"/>
      <c r="J168" s="30"/>
      <c r="K168" s="30"/>
      <c r="L168" s="30"/>
      <c r="M168" s="30"/>
      <c r="Q168" s="30"/>
      <c r="V168" s="354"/>
      <c r="W168" s="354"/>
      <c r="X168" s="490">
        <f>SUM(X145:X167)</f>
        <v>6.8469736496482858E-2</v>
      </c>
      <c r="Y168" s="354"/>
      <c r="Z168" s="354"/>
    </row>
    <row r="170" spans="6:26">
      <c r="F170" s="30"/>
      <c r="J170" s="30"/>
      <c r="K170" s="30"/>
      <c r="L170" s="30"/>
      <c r="M170" s="30"/>
      <c r="Q170" s="30"/>
      <c r="X170" s="91">
        <f>+X168+X137</f>
        <v>1</v>
      </c>
    </row>
  </sheetData>
  <mergeCells count="49">
    <mergeCell ref="R3:R5"/>
    <mergeCell ref="T3:T5"/>
    <mergeCell ref="U3:U5"/>
    <mergeCell ref="G3:K4"/>
    <mergeCell ref="L3:N4"/>
    <mergeCell ref="O3:O5"/>
    <mergeCell ref="P3:P5"/>
    <mergeCell ref="Q3:Q5"/>
    <mergeCell ref="S3:S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S3:AS5"/>
    <mergeCell ref="AQ4:AQ5"/>
    <mergeCell ref="AN4:AN5"/>
    <mergeCell ref="AO4:AO5"/>
    <mergeCell ref="AP4:AP5"/>
    <mergeCell ref="AM3:AM5"/>
    <mergeCell ref="AN3:AR3"/>
    <mergeCell ref="V3:V5"/>
    <mergeCell ref="W3:W5"/>
    <mergeCell ref="AE3:AE5"/>
    <mergeCell ref="AF3:AL3"/>
    <mergeCell ref="X3:X5"/>
    <mergeCell ref="AL4:AL5"/>
    <mergeCell ref="Y3:Y5"/>
    <mergeCell ref="Z3:Z5"/>
    <mergeCell ref="AA3:AA5"/>
    <mergeCell ref="AB3:AB5"/>
    <mergeCell ref="AC3:AC5"/>
    <mergeCell ref="AD3:AD5"/>
    <mergeCell ref="AF4:AH4"/>
    <mergeCell ref="AI4:AI5"/>
    <mergeCell ref="AJ4:AJ5"/>
    <mergeCell ref="AK4:AK5"/>
  </mergeCells>
  <conditionalFormatting sqref="C138 C135:C136 B135:B138">
    <cfRule type="cellIs" dxfId="1193" priority="20548" stopIfTrue="1" operator="equal">
      <formula>"Towel"</formula>
    </cfRule>
    <cfRule type="cellIs" dxfId="1192" priority="20549" stopIfTrue="1" operator="equal">
      <formula>"Napkin Hs"</formula>
    </cfRule>
  </conditionalFormatting>
  <conditionalFormatting sqref="C135">
    <cfRule type="cellIs" dxfId="1191" priority="20547" stopIfTrue="1" operator="equal">
      <formula>"Napkin Hs"</formula>
    </cfRule>
  </conditionalFormatting>
  <conditionalFormatting sqref="C9">
    <cfRule type="cellIs" dxfId="1190" priority="9215" stopIfTrue="1" operator="equal">
      <formula>"Napkin Hs"</formula>
    </cfRule>
  </conditionalFormatting>
  <conditionalFormatting sqref="C22">
    <cfRule type="cellIs" dxfId="1189" priority="9195" stopIfTrue="1" operator="equal">
      <formula>"Napkin Hs"</formula>
    </cfRule>
  </conditionalFormatting>
  <conditionalFormatting sqref="C36">
    <cfRule type="cellIs" dxfId="1188" priority="9189" stopIfTrue="1" operator="equal">
      <formula>"Napkin Hs"</formula>
    </cfRule>
  </conditionalFormatting>
  <conditionalFormatting sqref="C42:C44">
    <cfRule type="cellIs" dxfId="1187" priority="9183" stopIfTrue="1" operator="equal">
      <formula>"Napkin Hs"</formula>
    </cfRule>
  </conditionalFormatting>
  <conditionalFormatting sqref="C49:C50">
    <cfRule type="cellIs" dxfId="1186" priority="9165" stopIfTrue="1" operator="equal">
      <formula>"Napkin Hs"</formula>
    </cfRule>
  </conditionalFormatting>
  <conditionalFormatting sqref="C53:C55">
    <cfRule type="cellIs" dxfId="1185" priority="9153" stopIfTrue="1" operator="equal">
      <formula>"Napkin Hs"</formula>
    </cfRule>
  </conditionalFormatting>
  <conditionalFormatting sqref="C52">
    <cfRule type="cellIs" dxfId="1184" priority="9177" stopIfTrue="1" operator="equal">
      <formula>"Napkin Hs"</formula>
    </cfRule>
  </conditionalFormatting>
  <conditionalFormatting sqref="C65">
    <cfRule type="cellIs" dxfId="1183" priority="9147" stopIfTrue="1" operator="equal">
      <formula>"Napkin Hs"</formula>
    </cfRule>
  </conditionalFormatting>
  <conditionalFormatting sqref="C69">
    <cfRule type="cellIs" dxfId="1182" priority="9141" stopIfTrue="1" operator="equal">
      <formula>"Napkin Hs"</formula>
    </cfRule>
  </conditionalFormatting>
  <conditionalFormatting sqref="C75 C77">
    <cfRule type="cellIs" dxfId="1181" priority="9135" stopIfTrue="1" operator="equal">
      <formula>"Napkin Hs"</formula>
    </cfRule>
  </conditionalFormatting>
  <conditionalFormatting sqref="C80:C82">
    <cfRule type="cellIs" dxfId="1180" priority="9123" stopIfTrue="1" operator="equal">
      <formula>"Napkin Hs"</formula>
    </cfRule>
  </conditionalFormatting>
  <conditionalFormatting sqref="C85">
    <cfRule type="cellIs" dxfId="1179" priority="9117" stopIfTrue="1" operator="equal">
      <formula>"Napkin Hs"</formula>
    </cfRule>
  </conditionalFormatting>
  <conditionalFormatting sqref="C89">
    <cfRule type="cellIs" dxfId="1178" priority="9111" stopIfTrue="1" operator="equal">
      <formula>"Napkin Hs"</formula>
    </cfRule>
  </conditionalFormatting>
  <conditionalFormatting sqref="C93">
    <cfRule type="cellIs" dxfId="1177" priority="9105" stopIfTrue="1" operator="equal">
      <formula>"Napkin Hs"</formula>
    </cfRule>
  </conditionalFormatting>
  <conditionalFormatting sqref="C101">
    <cfRule type="cellIs" dxfId="1176" priority="9099" stopIfTrue="1" operator="equal">
      <formula>"Napkin Hs"</formula>
    </cfRule>
  </conditionalFormatting>
  <conditionalFormatting sqref="C10">
    <cfRule type="cellIs" dxfId="1175" priority="9093" stopIfTrue="1" operator="equal">
      <formula>"Napkin Hs"</formula>
    </cfRule>
  </conditionalFormatting>
  <conditionalFormatting sqref="C14:C15">
    <cfRule type="cellIs" dxfId="1174" priority="9087" stopIfTrue="1" operator="equal">
      <formula>"Napkin Hs"</formula>
    </cfRule>
  </conditionalFormatting>
  <conditionalFormatting sqref="C21">
    <cfRule type="cellIs" dxfId="1173" priority="9081" stopIfTrue="1" operator="equal">
      <formula>"Napkin Hs"</formula>
    </cfRule>
  </conditionalFormatting>
  <conditionalFormatting sqref="C23:C25">
    <cfRule type="cellIs" dxfId="1172" priority="9075" stopIfTrue="1" operator="equal">
      <formula>"Napkin Hs"</formula>
    </cfRule>
  </conditionalFormatting>
  <conditionalFormatting sqref="C28">
    <cfRule type="cellIs" dxfId="1171" priority="9069" stopIfTrue="1" operator="equal">
      <formula>"Napkin Hs"</formula>
    </cfRule>
  </conditionalFormatting>
  <conditionalFormatting sqref="C6">
    <cfRule type="cellIs" dxfId="1170" priority="9063" stopIfTrue="1" operator="equal">
      <formula>"Napkin Hs"</formula>
    </cfRule>
  </conditionalFormatting>
  <conditionalFormatting sqref="C6">
    <cfRule type="cellIs" dxfId="1169" priority="9057" stopIfTrue="1" operator="equal">
      <formula>"Napkin Hs"</formula>
    </cfRule>
  </conditionalFormatting>
  <conditionalFormatting sqref="C6">
    <cfRule type="cellIs" dxfId="1168" priority="9051" stopIfTrue="1" operator="equal">
      <formula>"Napkin Hs"</formula>
    </cfRule>
  </conditionalFormatting>
  <conditionalFormatting sqref="C6">
    <cfRule type="cellIs" dxfId="1167" priority="9045" stopIfTrue="1" operator="equal">
      <formula>"Napkin Hs"</formula>
    </cfRule>
  </conditionalFormatting>
  <conditionalFormatting sqref="C6">
    <cfRule type="cellIs" dxfId="1166" priority="9039" stopIfTrue="1" operator="equal">
      <formula>"Napkin Hs"</formula>
    </cfRule>
  </conditionalFormatting>
  <conditionalFormatting sqref="C6">
    <cfRule type="cellIs" dxfId="1165" priority="9033" stopIfTrue="1" operator="equal">
      <formula>"Napkin Hs"</formula>
    </cfRule>
  </conditionalFormatting>
  <conditionalFormatting sqref="C6">
    <cfRule type="cellIs" dxfId="1164" priority="9027" stopIfTrue="1" operator="equal">
      <formula>"Napkin Hs"</formula>
    </cfRule>
  </conditionalFormatting>
  <conditionalFormatting sqref="C7">
    <cfRule type="cellIs" dxfId="1163" priority="9021" stopIfTrue="1" operator="equal">
      <formula>"Napkin Hs"</formula>
    </cfRule>
  </conditionalFormatting>
  <conditionalFormatting sqref="C7">
    <cfRule type="cellIs" dxfId="1162" priority="9009" stopIfTrue="1" operator="equal">
      <formula>"Napkin Hs"</formula>
    </cfRule>
  </conditionalFormatting>
  <conditionalFormatting sqref="C7">
    <cfRule type="cellIs" dxfId="1161" priority="8997" stopIfTrue="1" operator="equal">
      <formula>"Napkin Hs"</formula>
    </cfRule>
  </conditionalFormatting>
  <conditionalFormatting sqref="C7">
    <cfRule type="cellIs" dxfId="1160" priority="8991" stopIfTrue="1" operator="equal">
      <formula>"Napkin Hs"</formula>
    </cfRule>
  </conditionalFormatting>
  <conditionalFormatting sqref="C7">
    <cfRule type="cellIs" dxfId="1159" priority="8985" stopIfTrue="1" operator="equal">
      <formula>"Napkin Hs"</formula>
    </cfRule>
  </conditionalFormatting>
  <conditionalFormatting sqref="C7">
    <cfRule type="cellIs" dxfId="1158" priority="8979" stopIfTrue="1" operator="equal">
      <formula>"Napkin Hs"</formula>
    </cfRule>
  </conditionalFormatting>
  <conditionalFormatting sqref="C7">
    <cfRule type="cellIs" dxfId="1157" priority="8973" stopIfTrue="1" operator="equal">
      <formula>"Napkin Hs"</formula>
    </cfRule>
  </conditionalFormatting>
  <conditionalFormatting sqref="C7">
    <cfRule type="cellIs" dxfId="1156" priority="8967" stopIfTrue="1" operator="equal">
      <formula>"Napkin Hs"</formula>
    </cfRule>
  </conditionalFormatting>
  <conditionalFormatting sqref="C7">
    <cfRule type="cellIs" dxfId="1155" priority="8961" stopIfTrue="1" operator="equal">
      <formula>"Napkin Hs"</formula>
    </cfRule>
  </conditionalFormatting>
  <conditionalFormatting sqref="C7">
    <cfRule type="cellIs" dxfId="1154" priority="8955" stopIfTrue="1" operator="equal">
      <formula>"Napkin Hs"</formula>
    </cfRule>
  </conditionalFormatting>
  <conditionalFormatting sqref="C7">
    <cfRule type="cellIs" dxfId="1153" priority="8949" stopIfTrue="1" operator="equal">
      <formula>"Napkin Hs"</formula>
    </cfRule>
  </conditionalFormatting>
  <conditionalFormatting sqref="C7">
    <cfRule type="cellIs" dxfId="1152" priority="8943" stopIfTrue="1" operator="equal">
      <formula>"Napkin Hs"</formula>
    </cfRule>
  </conditionalFormatting>
  <conditionalFormatting sqref="C7">
    <cfRule type="cellIs" dxfId="1151" priority="8937" stopIfTrue="1" operator="equal">
      <formula>"Napkin Hs"</formula>
    </cfRule>
  </conditionalFormatting>
  <conditionalFormatting sqref="C7">
    <cfRule type="cellIs" dxfId="1150" priority="8931" stopIfTrue="1" operator="equal">
      <formula>"Napkin Hs"</formula>
    </cfRule>
  </conditionalFormatting>
  <conditionalFormatting sqref="C7">
    <cfRule type="cellIs" dxfId="1149" priority="8925" stopIfTrue="1" operator="equal">
      <formula>"Napkin Hs"</formula>
    </cfRule>
  </conditionalFormatting>
  <conditionalFormatting sqref="C7">
    <cfRule type="cellIs" dxfId="1148" priority="8919" stopIfTrue="1" operator="equal">
      <formula>"Napkin Hs"</formula>
    </cfRule>
  </conditionalFormatting>
  <conditionalFormatting sqref="C7">
    <cfRule type="cellIs" dxfId="1147" priority="8913" stopIfTrue="1" operator="equal">
      <formula>"Napkin Hs"</formula>
    </cfRule>
  </conditionalFormatting>
  <conditionalFormatting sqref="C7">
    <cfRule type="cellIs" dxfId="1146" priority="8907" stopIfTrue="1" operator="equal">
      <formula>"Napkin Hs"</formula>
    </cfRule>
  </conditionalFormatting>
  <conditionalFormatting sqref="C7">
    <cfRule type="cellIs" dxfId="1145" priority="8901" stopIfTrue="1" operator="equal">
      <formula>"Napkin Hs"</formula>
    </cfRule>
  </conditionalFormatting>
  <conditionalFormatting sqref="C7">
    <cfRule type="cellIs" dxfId="1144" priority="8895" stopIfTrue="1" operator="equal">
      <formula>"Napkin Hs"</formula>
    </cfRule>
  </conditionalFormatting>
  <conditionalFormatting sqref="C7">
    <cfRule type="cellIs" dxfId="1143" priority="8889" stopIfTrue="1" operator="equal">
      <formula>"Napkin Hs"</formula>
    </cfRule>
  </conditionalFormatting>
  <conditionalFormatting sqref="C7">
    <cfRule type="cellIs" dxfId="1142" priority="8883" stopIfTrue="1" operator="equal">
      <formula>"Napkin Hs"</formula>
    </cfRule>
  </conditionalFormatting>
  <conditionalFormatting sqref="C7">
    <cfRule type="cellIs" dxfId="1141" priority="8877" stopIfTrue="1" operator="equal">
      <formula>"Napkin Hs"</formula>
    </cfRule>
  </conditionalFormatting>
  <conditionalFormatting sqref="C7">
    <cfRule type="cellIs" dxfId="1140" priority="8871" stopIfTrue="1" operator="equal">
      <formula>"Napkin Hs"</formula>
    </cfRule>
  </conditionalFormatting>
  <conditionalFormatting sqref="C8">
    <cfRule type="cellIs" dxfId="1139" priority="8857" stopIfTrue="1" operator="equal">
      <formula>"Napkin Hs"</formula>
    </cfRule>
  </conditionalFormatting>
  <conditionalFormatting sqref="C8">
    <cfRule type="cellIs" dxfId="1138" priority="8845" stopIfTrue="1" operator="equal">
      <formula>"Napkin Hs"</formula>
    </cfRule>
  </conditionalFormatting>
  <conditionalFormatting sqref="C8">
    <cfRule type="cellIs" dxfId="1137" priority="8839" stopIfTrue="1" operator="equal">
      <formula>"Napkin Hs"</formula>
    </cfRule>
  </conditionalFormatting>
  <conditionalFormatting sqref="C8">
    <cfRule type="cellIs" dxfId="1136" priority="8833" stopIfTrue="1" operator="equal">
      <formula>"Napkin Hs"</formula>
    </cfRule>
  </conditionalFormatting>
  <conditionalFormatting sqref="C8">
    <cfRule type="cellIs" dxfId="1135" priority="8827" stopIfTrue="1" operator="equal">
      <formula>"Napkin Hs"</formula>
    </cfRule>
  </conditionalFormatting>
  <conditionalFormatting sqref="C8">
    <cfRule type="cellIs" dxfId="1134" priority="8821" stopIfTrue="1" operator="equal">
      <formula>"Napkin Hs"</formula>
    </cfRule>
  </conditionalFormatting>
  <conditionalFormatting sqref="C8">
    <cfRule type="cellIs" dxfId="1133" priority="8815" stopIfTrue="1" operator="equal">
      <formula>"Napkin Hs"</formula>
    </cfRule>
  </conditionalFormatting>
  <conditionalFormatting sqref="C8">
    <cfRule type="cellIs" dxfId="1132" priority="8809" stopIfTrue="1" operator="equal">
      <formula>"Napkin Hs"</formula>
    </cfRule>
  </conditionalFormatting>
  <conditionalFormatting sqref="C8">
    <cfRule type="cellIs" dxfId="1131" priority="8803" stopIfTrue="1" operator="equal">
      <formula>"Napkin Hs"</formula>
    </cfRule>
  </conditionalFormatting>
  <conditionalFormatting sqref="C8">
    <cfRule type="cellIs" dxfId="1130" priority="8797" stopIfTrue="1" operator="equal">
      <formula>"Napkin Hs"</formula>
    </cfRule>
  </conditionalFormatting>
  <conditionalFormatting sqref="C8">
    <cfRule type="cellIs" dxfId="1129" priority="8791" stopIfTrue="1" operator="equal">
      <formula>"Napkin Hs"</formula>
    </cfRule>
  </conditionalFormatting>
  <conditionalFormatting sqref="C8">
    <cfRule type="cellIs" dxfId="1128" priority="8785" stopIfTrue="1" operator="equal">
      <formula>"Napkin Hs"</formula>
    </cfRule>
  </conditionalFormatting>
  <conditionalFormatting sqref="C8">
    <cfRule type="cellIs" dxfId="1127" priority="8779" stopIfTrue="1" operator="equal">
      <formula>"Napkin Hs"</formula>
    </cfRule>
  </conditionalFormatting>
  <conditionalFormatting sqref="C8">
    <cfRule type="cellIs" dxfId="1126" priority="8773" stopIfTrue="1" operator="equal">
      <formula>"Napkin Hs"</formula>
    </cfRule>
  </conditionalFormatting>
  <conditionalFormatting sqref="C8">
    <cfRule type="cellIs" dxfId="1125" priority="8767" stopIfTrue="1" operator="equal">
      <formula>"Napkin Hs"</formula>
    </cfRule>
  </conditionalFormatting>
  <conditionalFormatting sqref="C8">
    <cfRule type="cellIs" dxfId="1124" priority="8761" stopIfTrue="1" operator="equal">
      <formula>"Napkin Hs"</formula>
    </cfRule>
  </conditionalFormatting>
  <conditionalFormatting sqref="C8">
    <cfRule type="cellIs" dxfId="1123" priority="8755" stopIfTrue="1" operator="equal">
      <formula>"Napkin Hs"</formula>
    </cfRule>
  </conditionalFormatting>
  <conditionalFormatting sqref="C8">
    <cfRule type="cellIs" dxfId="1122" priority="8749" stopIfTrue="1" operator="equal">
      <formula>"Napkin Hs"</formula>
    </cfRule>
  </conditionalFormatting>
  <conditionalFormatting sqref="C8">
    <cfRule type="cellIs" dxfId="1121" priority="8743" stopIfTrue="1" operator="equal">
      <formula>"Napkin Hs"</formula>
    </cfRule>
  </conditionalFormatting>
  <conditionalFormatting sqref="C8">
    <cfRule type="cellIs" dxfId="1120" priority="8737" stopIfTrue="1" operator="equal">
      <formula>"Napkin Hs"</formula>
    </cfRule>
  </conditionalFormatting>
  <conditionalFormatting sqref="C8">
    <cfRule type="cellIs" dxfId="1119" priority="8731" stopIfTrue="1" operator="equal">
      <formula>"Napkin Hs"</formula>
    </cfRule>
  </conditionalFormatting>
  <conditionalFormatting sqref="C8">
    <cfRule type="cellIs" dxfId="1118" priority="8725" stopIfTrue="1" operator="equal">
      <formula>"Napkin Hs"</formula>
    </cfRule>
  </conditionalFormatting>
  <conditionalFormatting sqref="C8">
    <cfRule type="cellIs" dxfId="1117" priority="8719" stopIfTrue="1" operator="equal">
      <formula>"Napkin Hs"</formula>
    </cfRule>
  </conditionalFormatting>
  <conditionalFormatting sqref="C12">
    <cfRule type="cellIs" dxfId="1116" priority="8713" stopIfTrue="1" operator="equal">
      <formula>"Napkin Hs"</formula>
    </cfRule>
  </conditionalFormatting>
  <conditionalFormatting sqref="C12">
    <cfRule type="cellIs" dxfId="1115" priority="8701" stopIfTrue="1" operator="equal">
      <formula>"Napkin Hs"</formula>
    </cfRule>
  </conditionalFormatting>
  <conditionalFormatting sqref="C12">
    <cfRule type="cellIs" dxfId="1114" priority="8689" stopIfTrue="1" operator="equal">
      <formula>"Napkin Hs"</formula>
    </cfRule>
  </conditionalFormatting>
  <conditionalFormatting sqref="C12">
    <cfRule type="cellIs" dxfId="1113" priority="8683" stopIfTrue="1" operator="equal">
      <formula>"Napkin Hs"</formula>
    </cfRule>
  </conditionalFormatting>
  <conditionalFormatting sqref="C12">
    <cfRule type="cellIs" dxfId="1112" priority="8677" stopIfTrue="1" operator="equal">
      <formula>"Napkin Hs"</formula>
    </cfRule>
  </conditionalFormatting>
  <conditionalFormatting sqref="C12">
    <cfRule type="cellIs" dxfId="1111" priority="8671" stopIfTrue="1" operator="equal">
      <formula>"Napkin Hs"</formula>
    </cfRule>
  </conditionalFormatting>
  <conditionalFormatting sqref="C12">
    <cfRule type="cellIs" dxfId="1110" priority="8665" stopIfTrue="1" operator="equal">
      <formula>"Napkin Hs"</formula>
    </cfRule>
  </conditionalFormatting>
  <conditionalFormatting sqref="C12">
    <cfRule type="cellIs" dxfId="1109" priority="8659" stopIfTrue="1" operator="equal">
      <formula>"Napkin Hs"</formula>
    </cfRule>
  </conditionalFormatting>
  <conditionalFormatting sqref="C12">
    <cfRule type="cellIs" dxfId="1108" priority="8653" stopIfTrue="1" operator="equal">
      <formula>"Napkin Hs"</formula>
    </cfRule>
  </conditionalFormatting>
  <conditionalFormatting sqref="C12">
    <cfRule type="cellIs" dxfId="1107" priority="8647" stopIfTrue="1" operator="equal">
      <formula>"Napkin Hs"</formula>
    </cfRule>
  </conditionalFormatting>
  <conditionalFormatting sqref="C12">
    <cfRule type="cellIs" dxfId="1106" priority="8641" stopIfTrue="1" operator="equal">
      <formula>"Napkin Hs"</formula>
    </cfRule>
  </conditionalFormatting>
  <conditionalFormatting sqref="C12">
    <cfRule type="cellIs" dxfId="1105" priority="8635" stopIfTrue="1" operator="equal">
      <formula>"Napkin Hs"</formula>
    </cfRule>
  </conditionalFormatting>
  <conditionalFormatting sqref="C12">
    <cfRule type="cellIs" dxfId="1104" priority="8629" stopIfTrue="1" operator="equal">
      <formula>"Napkin Hs"</formula>
    </cfRule>
  </conditionalFormatting>
  <conditionalFormatting sqref="C12">
    <cfRule type="cellIs" dxfId="1103" priority="8623" stopIfTrue="1" operator="equal">
      <formula>"Napkin Hs"</formula>
    </cfRule>
  </conditionalFormatting>
  <conditionalFormatting sqref="C12">
    <cfRule type="cellIs" dxfId="1102" priority="8617" stopIfTrue="1" operator="equal">
      <formula>"Napkin Hs"</formula>
    </cfRule>
  </conditionalFormatting>
  <conditionalFormatting sqref="C12">
    <cfRule type="cellIs" dxfId="1101" priority="8611" stopIfTrue="1" operator="equal">
      <formula>"Napkin Hs"</formula>
    </cfRule>
  </conditionalFormatting>
  <conditionalFormatting sqref="C12">
    <cfRule type="cellIs" dxfId="1100" priority="8605" stopIfTrue="1" operator="equal">
      <formula>"Napkin Hs"</formula>
    </cfRule>
  </conditionalFormatting>
  <conditionalFormatting sqref="C12">
    <cfRule type="cellIs" dxfId="1099" priority="8599" stopIfTrue="1" operator="equal">
      <formula>"Napkin Hs"</formula>
    </cfRule>
  </conditionalFormatting>
  <conditionalFormatting sqref="C12">
    <cfRule type="cellIs" dxfId="1098" priority="8593" stopIfTrue="1" operator="equal">
      <formula>"Napkin Hs"</formula>
    </cfRule>
  </conditionalFormatting>
  <conditionalFormatting sqref="C12">
    <cfRule type="cellIs" dxfId="1097" priority="8587" stopIfTrue="1" operator="equal">
      <formula>"Napkin Hs"</formula>
    </cfRule>
  </conditionalFormatting>
  <conditionalFormatting sqref="C12">
    <cfRule type="cellIs" dxfId="1096" priority="8581" stopIfTrue="1" operator="equal">
      <formula>"Napkin Hs"</formula>
    </cfRule>
  </conditionalFormatting>
  <conditionalFormatting sqref="C12">
    <cfRule type="cellIs" dxfId="1095" priority="8575" stopIfTrue="1" operator="equal">
      <formula>"Napkin Hs"</formula>
    </cfRule>
  </conditionalFormatting>
  <conditionalFormatting sqref="C12">
    <cfRule type="cellIs" dxfId="1094" priority="8569" stopIfTrue="1" operator="equal">
      <formula>"Napkin Hs"</formula>
    </cfRule>
  </conditionalFormatting>
  <conditionalFormatting sqref="C12">
    <cfRule type="cellIs" dxfId="1093" priority="8563" stopIfTrue="1" operator="equal">
      <formula>"Napkin Hs"</formula>
    </cfRule>
  </conditionalFormatting>
  <conditionalFormatting sqref="C13">
    <cfRule type="cellIs" dxfId="1092" priority="8549" stopIfTrue="1" operator="equal">
      <formula>"Napkin Hs"</formula>
    </cfRule>
  </conditionalFormatting>
  <conditionalFormatting sqref="C13">
    <cfRule type="cellIs" dxfId="1091" priority="8537" stopIfTrue="1" operator="equal">
      <formula>"Napkin Hs"</formula>
    </cfRule>
  </conditionalFormatting>
  <conditionalFormatting sqref="C13">
    <cfRule type="cellIs" dxfId="1090" priority="8531" stopIfTrue="1" operator="equal">
      <formula>"Napkin Hs"</formula>
    </cfRule>
  </conditionalFormatting>
  <conditionalFormatting sqref="C13">
    <cfRule type="cellIs" dxfId="1089" priority="8525" stopIfTrue="1" operator="equal">
      <formula>"Napkin Hs"</formula>
    </cfRule>
  </conditionalFormatting>
  <conditionalFormatting sqref="C13">
    <cfRule type="cellIs" dxfId="1088" priority="8519" stopIfTrue="1" operator="equal">
      <formula>"Napkin Hs"</formula>
    </cfRule>
  </conditionalFormatting>
  <conditionalFormatting sqref="C13">
    <cfRule type="cellIs" dxfId="1087" priority="8513" stopIfTrue="1" operator="equal">
      <formula>"Napkin Hs"</formula>
    </cfRule>
  </conditionalFormatting>
  <conditionalFormatting sqref="C13">
    <cfRule type="cellIs" dxfId="1086" priority="8507" stopIfTrue="1" operator="equal">
      <formula>"Napkin Hs"</formula>
    </cfRule>
  </conditionalFormatting>
  <conditionalFormatting sqref="C13">
    <cfRule type="cellIs" dxfId="1085" priority="8501" stopIfTrue="1" operator="equal">
      <formula>"Napkin Hs"</formula>
    </cfRule>
  </conditionalFormatting>
  <conditionalFormatting sqref="C13">
    <cfRule type="cellIs" dxfId="1084" priority="8495" stopIfTrue="1" operator="equal">
      <formula>"Napkin Hs"</formula>
    </cfRule>
  </conditionalFormatting>
  <conditionalFormatting sqref="C13">
    <cfRule type="cellIs" dxfId="1083" priority="8489" stopIfTrue="1" operator="equal">
      <formula>"Napkin Hs"</formula>
    </cfRule>
  </conditionalFormatting>
  <conditionalFormatting sqref="C13">
    <cfRule type="cellIs" dxfId="1082" priority="8483" stopIfTrue="1" operator="equal">
      <formula>"Napkin Hs"</formula>
    </cfRule>
  </conditionalFormatting>
  <conditionalFormatting sqref="C13">
    <cfRule type="cellIs" dxfId="1081" priority="8477" stopIfTrue="1" operator="equal">
      <formula>"Napkin Hs"</formula>
    </cfRule>
  </conditionalFormatting>
  <conditionalFormatting sqref="C13">
    <cfRule type="cellIs" dxfId="1080" priority="8471" stopIfTrue="1" operator="equal">
      <formula>"Napkin Hs"</formula>
    </cfRule>
  </conditionalFormatting>
  <conditionalFormatting sqref="C13">
    <cfRule type="cellIs" dxfId="1079" priority="8465" stopIfTrue="1" operator="equal">
      <formula>"Napkin Hs"</formula>
    </cfRule>
  </conditionalFormatting>
  <conditionalFormatting sqref="C13">
    <cfRule type="cellIs" dxfId="1078" priority="8459" stopIfTrue="1" operator="equal">
      <formula>"Napkin Hs"</formula>
    </cfRule>
  </conditionalFormatting>
  <conditionalFormatting sqref="C13">
    <cfRule type="cellIs" dxfId="1077" priority="8453" stopIfTrue="1" operator="equal">
      <formula>"Napkin Hs"</formula>
    </cfRule>
  </conditionalFormatting>
  <conditionalFormatting sqref="C13">
    <cfRule type="cellIs" dxfId="1076" priority="8447" stopIfTrue="1" operator="equal">
      <formula>"Napkin Hs"</formula>
    </cfRule>
  </conditionalFormatting>
  <conditionalFormatting sqref="C13">
    <cfRule type="cellIs" dxfId="1075" priority="8441" stopIfTrue="1" operator="equal">
      <formula>"Napkin Hs"</formula>
    </cfRule>
  </conditionalFormatting>
  <conditionalFormatting sqref="C13">
    <cfRule type="cellIs" dxfId="1074" priority="8435" stopIfTrue="1" operator="equal">
      <formula>"Napkin Hs"</formula>
    </cfRule>
  </conditionalFormatting>
  <conditionalFormatting sqref="C13">
    <cfRule type="cellIs" dxfId="1073" priority="8429" stopIfTrue="1" operator="equal">
      <formula>"Napkin Hs"</formula>
    </cfRule>
  </conditionalFormatting>
  <conditionalFormatting sqref="C13">
    <cfRule type="cellIs" dxfId="1072" priority="8423" stopIfTrue="1" operator="equal">
      <formula>"Napkin Hs"</formula>
    </cfRule>
  </conditionalFormatting>
  <conditionalFormatting sqref="C13">
    <cfRule type="cellIs" dxfId="1071" priority="8417" stopIfTrue="1" operator="equal">
      <formula>"Napkin Hs"</formula>
    </cfRule>
  </conditionalFormatting>
  <conditionalFormatting sqref="C13">
    <cfRule type="cellIs" dxfId="1070" priority="8411" stopIfTrue="1" operator="equal">
      <formula>"Napkin Hs"</formula>
    </cfRule>
  </conditionalFormatting>
  <conditionalFormatting sqref="C11">
    <cfRule type="cellIs" dxfId="1069" priority="8397" stopIfTrue="1" operator="equal">
      <formula>"Napkin Hs"</formula>
    </cfRule>
  </conditionalFormatting>
  <conditionalFormatting sqref="C11">
    <cfRule type="cellIs" dxfId="1068" priority="8385" stopIfTrue="1" operator="equal">
      <formula>"Napkin Hs"</formula>
    </cfRule>
  </conditionalFormatting>
  <conditionalFormatting sqref="C11">
    <cfRule type="cellIs" dxfId="1067" priority="8379" stopIfTrue="1" operator="equal">
      <formula>"Napkin Hs"</formula>
    </cfRule>
  </conditionalFormatting>
  <conditionalFormatting sqref="C11">
    <cfRule type="cellIs" dxfId="1066" priority="8373" stopIfTrue="1" operator="equal">
      <formula>"Napkin Hs"</formula>
    </cfRule>
  </conditionalFormatting>
  <conditionalFormatting sqref="C11">
    <cfRule type="cellIs" dxfId="1065" priority="8367" stopIfTrue="1" operator="equal">
      <formula>"Napkin Hs"</formula>
    </cfRule>
  </conditionalFormatting>
  <conditionalFormatting sqref="C11">
    <cfRule type="cellIs" dxfId="1064" priority="8361" stopIfTrue="1" operator="equal">
      <formula>"Napkin Hs"</formula>
    </cfRule>
  </conditionalFormatting>
  <conditionalFormatting sqref="C11">
    <cfRule type="cellIs" dxfId="1063" priority="8355" stopIfTrue="1" operator="equal">
      <formula>"Napkin Hs"</formula>
    </cfRule>
  </conditionalFormatting>
  <conditionalFormatting sqref="C11">
    <cfRule type="cellIs" dxfId="1062" priority="8349" stopIfTrue="1" operator="equal">
      <formula>"Napkin Hs"</formula>
    </cfRule>
  </conditionalFormatting>
  <conditionalFormatting sqref="C11">
    <cfRule type="cellIs" dxfId="1061" priority="8343" stopIfTrue="1" operator="equal">
      <formula>"Napkin Hs"</formula>
    </cfRule>
  </conditionalFormatting>
  <conditionalFormatting sqref="C11">
    <cfRule type="cellIs" dxfId="1060" priority="8337" stopIfTrue="1" operator="equal">
      <formula>"Napkin Hs"</formula>
    </cfRule>
  </conditionalFormatting>
  <conditionalFormatting sqref="C11">
    <cfRule type="cellIs" dxfId="1059" priority="8331" stopIfTrue="1" operator="equal">
      <formula>"Napkin Hs"</formula>
    </cfRule>
  </conditionalFormatting>
  <conditionalFormatting sqref="C11">
    <cfRule type="cellIs" dxfId="1058" priority="8325" stopIfTrue="1" operator="equal">
      <formula>"Napkin Hs"</formula>
    </cfRule>
  </conditionalFormatting>
  <conditionalFormatting sqref="C11">
    <cfRule type="cellIs" dxfId="1057" priority="8319" stopIfTrue="1" operator="equal">
      <formula>"Napkin Hs"</formula>
    </cfRule>
  </conditionalFormatting>
  <conditionalFormatting sqref="C11">
    <cfRule type="cellIs" dxfId="1056" priority="8313" stopIfTrue="1" operator="equal">
      <formula>"Napkin Hs"</formula>
    </cfRule>
  </conditionalFormatting>
  <conditionalFormatting sqref="C11">
    <cfRule type="cellIs" dxfId="1055" priority="8307" stopIfTrue="1" operator="equal">
      <formula>"Napkin Hs"</formula>
    </cfRule>
  </conditionalFormatting>
  <conditionalFormatting sqref="C11">
    <cfRule type="cellIs" dxfId="1054" priority="8301" stopIfTrue="1" operator="equal">
      <formula>"Napkin Hs"</formula>
    </cfRule>
  </conditionalFormatting>
  <conditionalFormatting sqref="C11">
    <cfRule type="cellIs" dxfId="1053" priority="8295" stopIfTrue="1" operator="equal">
      <formula>"Napkin Hs"</formula>
    </cfRule>
  </conditionalFormatting>
  <conditionalFormatting sqref="C11">
    <cfRule type="cellIs" dxfId="1052" priority="8289" stopIfTrue="1" operator="equal">
      <formula>"Napkin Hs"</formula>
    </cfRule>
  </conditionalFormatting>
  <conditionalFormatting sqref="C11">
    <cfRule type="cellIs" dxfId="1051" priority="8283" stopIfTrue="1" operator="equal">
      <formula>"Napkin Hs"</formula>
    </cfRule>
  </conditionalFormatting>
  <conditionalFormatting sqref="C11">
    <cfRule type="cellIs" dxfId="1050" priority="8277" stopIfTrue="1" operator="equal">
      <formula>"Napkin Hs"</formula>
    </cfRule>
  </conditionalFormatting>
  <conditionalFormatting sqref="C11">
    <cfRule type="cellIs" dxfId="1049" priority="8271" stopIfTrue="1" operator="equal">
      <formula>"Napkin Hs"</formula>
    </cfRule>
  </conditionalFormatting>
  <conditionalFormatting sqref="C11">
    <cfRule type="cellIs" dxfId="1048" priority="8265" stopIfTrue="1" operator="equal">
      <formula>"Napkin Hs"</formula>
    </cfRule>
  </conditionalFormatting>
  <conditionalFormatting sqref="C11">
    <cfRule type="cellIs" dxfId="1047" priority="8259" stopIfTrue="1" operator="equal">
      <formula>"Napkin Hs"</formula>
    </cfRule>
  </conditionalFormatting>
  <conditionalFormatting sqref="C19:C20">
    <cfRule type="cellIs" dxfId="1046" priority="8253" stopIfTrue="1" operator="equal">
      <formula>"Napkin Hs"</formula>
    </cfRule>
  </conditionalFormatting>
  <conditionalFormatting sqref="C17">
    <cfRule type="cellIs" dxfId="1045" priority="8247" stopIfTrue="1" operator="equal">
      <formula>"Napkin Hs"</formula>
    </cfRule>
  </conditionalFormatting>
  <conditionalFormatting sqref="C17">
    <cfRule type="cellIs" dxfId="1044" priority="8235" stopIfTrue="1" operator="equal">
      <formula>"Napkin Hs"</formula>
    </cfRule>
  </conditionalFormatting>
  <conditionalFormatting sqref="C17">
    <cfRule type="cellIs" dxfId="1043" priority="8223" stopIfTrue="1" operator="equal">
      <formula>"Napkin Hs"</formula>
    </cfRule>
  </conditionalFormatting>
  <conditionalFormatting sqref="C17">
    <cfRule type="cellIs" dxfId="1042" priority="8217" stopIfTrue="1" operator="equal">
      <formula>"Napkin Hs"</formula>
    </cfRule>
  </conditionalFormatting>
  <conditionalFormatting sqref="C17">
    <cfRule type="cellIs" dxfId="1041" priority="8211" stopIfTrue="1" operator="equal">
      <formula>"Napkin Hs"</formula>
    </cfRule>
  </conditionalFormatting>
  <conditionalFormatting sqref="C17">
    <cfRule type="cellIs" dxfId="1040" priority="8205" stopIfTrue="1" operator="equal">
      <formula>"Napkin Hs"</formula>
    </cfRule>
  </conditionalFormatting>
  <conditionalFormatting sqref="C17">
    <cfRule type="cellIs" dxfId="1039" priority="8199" stopIfTrue="1" operator="equal">
      <formula>"Napkin Hs"</formula>
    </cfRule>
  </conditionalFormatting>
  <conditionalFormatting sqref="C17">
    <cfRule type="cellIs" dxfId="1038" priority="8193" stopIfTrue="1" operator="equal">
      <formula>"Napkin Hs"</formula>
    </cfRule>
  </conditionalFormatting>
  <conditionalFormatting sqref="C17">
    <cfRule type="cellIs" dxfId="1037" priority="8187" stopIfTrue="1" operator="equal">
      <formula>"Napkin Hs"</formula>
    </cfRule>
  </conditionalFormatting>
  <conditionalFormatting sqref="C17">
    <cfRule type="cellIs" dxfId="1036" priority="8181" stopIfTrue="1" operator="equal">
      <formula>"Napkin Hs"</formula>
    </cfRule>
  </conditionalFormatting>
  <conditionalFormatting sqref="C17">
    <cfRule type="cellIs" dxfId="1035" priority="8175" stopIfTrue="1" operator="equal">
      <formula>"Napkin Hs"</formula>
    </cfRule>
  </conditionalFormatting>
  <conditionalFormatting sqref="C17">
    <cfRule type="cellIs" dxfId="1034" priority="8169" stopIfTrue="1" operator="equal">
      <formula>"Napkin Hs"</formula>
    </cfRule>
  </conditionalFormatting>
  <conditionalFormatting sqref="C17">
    <cfRule type="cellIs" dxfId="1033" priority="8163" stopIfTrue="1" operator="equal">
      <formula>"Napkin Hs"</formula>
    </cfRule>
  </conditionalFormatting>
  <conditionalFormatting sqref="C17">
    <cfRule type="cellIs" dxfId="1032" priority="8157" stopIfTrue="1" operator="equal">
      <formula>"Napkin Hs"</formula>
    </cfRule>
  </conditionalFormatting>
  <conditionalFormatting sqref="C17">
    <cfRule type="cellIs" dxfId="1031" priority="8151" stopIfTrue="1" operator="equal">
      <formula>"Napkin Hs"</formula>
    </cfRule>
  </conditionalFormatting>
  <conditionalFormatting sqref="C17">
    <cfRule type="cellIs" dxfId="1030" priority="8145" stopIfTrue="1" operator="equal">
      <formula>"Napkin Hs"</formula>
    </cfRule>
  </conditionalFormatting>
  <conditionalFormatting sqref="C17">
    <cfRule type="cellIs" dxfId="1029" priority="8139" stopIfTrue="1" operator="equal">
      <formula>"Napkin Hs"</formula>
    </cfRule>
  </conditionalFormatting>
  <conditionalFormatting sqref="C17">
    <cfRule type="cellIs" dxfId="1028" priority="8133" stopIfTrue="1" operator="equal">
      <formula>"Napkin Hs"</formula>
    </cfRule>
  </conditionalFormatting>
  <conditionalFormatting sqref="C17">
    <cfRule type="cellIs" dxfId="1027" priority="8127" stopIfTrue="1" operator="equal">
      <formula>"Napkin Hs"</formula>
    </cfRule>
  </conditionalFormatting>
  <conditionalFormatting sqref="C17">
    <cfRule type="cellIs" dxfId="1026" priority="8121" stopIfTrue="1" operator="equal">
      <formula>"Napkin Hs"</formula>
    </cfRule>
  </conditionalFormatting>
  <conditionalFormatting sqref="C17">
    <cfRule type="cellIs" dxfId="1025" priority="8115" stopIfTrue="1" operator="equal">
      <formula>"Napkin Hs"</formula>
    </cfRule>
  </conditionalFormatting>
  <conditionalFormatting sqref="C17">
    <cfRule type="cellIs" dxfId="1024" priority="8109" stopIfTrue="1" operator="equal">
      <formula>"Napkin Hs"</formula>
    </cfRule>
  </conditionalFormatting>
  <conditionalFormatting sqref="C17">
    <cfRule type="cellIs" dxfId="1023" priority="8103" stopIfTrue="1" operator="equal">
      <formula>"Napkin Hs"</formula>
    </cfRule>
  </conditionalFormatting>
  <conditionalFormatting sqref="C17">
    <cfRule type="cellIs" dxfId="1022" priority="8097" stopIfTrue="1" operator="equal">
      <formula>"Napkin Hs"</formula>
    </cfRule>
  </conditionalFormatting>
  <conditionalFormatting sqref="C18">
    <cfRule type="cellIs" dxfId="1021" priority="8083" stopIfTrue="1" operator="equal">
      <formula>"Napkin Hs"</formula>
    </cfRule>
  </conditionalFormatting>
  <conditionalFormatting sqref="C18">
    <cfRule type="cellIs" dxfId="1020" priority="8071" stopIfTrue="1" operator="equal">
      <formula>"Napkin Hs"</formula>
    </cfRule>
  </conditionalFormatting>
  <conditionalFormatting sqref="C18">
    <cfRule type="cellIs" dxfId="1019" priority="8065" stopIfTrue="1" operator="equal">
      <formula>"Napkin Hs"</formula>
    </cfRule>
  </conditionalFormatting>
  <conditionalFormatting sqref="C18">
    <cfRule type="cellIs" dxfId="1018" priority="8059" stopIfTrue="1" operator="equal">
      <formula>"Napkin Hs"</formula>
    </cfRule>
  </conditionalFormatting>
  <conditionalFormatting sqref="C18">
    <cfRule type="cellIs" dxfId="1017" priority="8053" stopIfTrue="1" operator="equal">
      <formula>"Napkin Hs"</formula>
    </cfRule>
  </conditionalFormatting>
  <conditionalFormatting sqref="C18">
    <cfRule type="cellIs" dxfId="1016" priority="8047" stopIfTrue="1" operator="equal">
      <formula>"Napkin Hs"</formula>
    </cfRule>
  </conditionalFormatting>
  <conditionalFormatting sqref="C18">
    <cfRule type="cellIs" dxfId="1015" priority="8041" stopIfTrue="1" operator="equal">
      <formula>"Napkin Hs"</formula>
    </cfRule>
  </conditionalFormatting>
  <conditionalFormatting sqref="C18">
    <cfRule type="cellIs" dxfId="1014" priority="8035" stopIfTrue="1" operator="equal">
      <formula>"Napkin Hs"</formula>
    </cfRule>
  </conditionalFormatting>
  <conditionalFormatting sqref="C18">
    <cfRule type="cellIs" dxfId="1013" priority="8029" stopIfTrue="1" operator="equal">
      <formula>"Napkin Hs"</formula>
    </cfRule>
  </conditionalFormatting>
  <conditionalFormatting sqref="C18">
    <cfRule type="cellIs" dxfId="1012" priority="8023" stopIfTrue="1" operator="equal">
      <formula>"Napkin Hs"</formula>
    </cfRule>
  </conditionalFormatting>
  <conditionalFormatting sqref="C18">
    <cfRule type="cellIs" dxfId="1011" priority="8017" stopIfTrue="1" operator="equal">
      <formula>"Napkin Hs"</formula>
    </cfRule>
  </conditionalFormatting>
  <conditionalFormatting sqref="C18">
    <cfRule type="cellIs" dxfId="1010" priority="8011" stopIfTrue="1" operator="equal">
      <formula>"Napkin Hs"</formula>
    </cfRule>
  </conditionalFormatting>
  <conditionalFormatting sqref="C18">
    <cfRule type="cellIs" dxfId="1009" priority="8005" stopIfTrue="1" operator="equal">
      <formula>"Napkin Hs"</formula>
    </cfRule>
  </conditionalFormatting>
  <conditionalFormatting sqref="C18">
    <cfRule type="cellIs" dxfId="1008" priority="7999" stopIfTrue="1" operator="equal">
      <formula>"Napkin Hs"</formula>
    </cfRule>
  </conditionalFormatting>
  <conditionalFormatting sqref="C18">
    <cfRule type="cellIs" dxfId="1007" priority="7993" stopIfTrue="1" operator="equal">
      <formula>"Napkin Hs"</formula>
    </cfRule>
  </conditionalFormatting>
  <conditionalFormatting sqref="C18">
    <cfRule type="cellIs" dxfId="1006" priority="7987" stopIfTrue="1" operator="equal">
      <formula>"Napkin Hs"</formula>
    </cfRule>
  </conditionalFormatting>
  <conditionalFormatting sqref="C18">
    <cfRule type="cellIs" dxfId="1005" priority="7981" stopIfTrue="1" operator="equal">
      <formula>"Napkin Hs"</formula>
    </cfRule>
  </conditionalFormatting>
  <conditionalFormatting sqref="C18">
    <cfRule type="cellIs" dxfId="1004" priority="7975" stopIfTrue="1" operator="equal">
      <formula>"Napkin Hs"</formula>
    </cfRule>
  </conditionalFormatting>
  <conditionalFormatting sqref="C18">
    <cfRule type="cellIs" dxfId="1003" priority="7969" stopIfTrue="1" operator="equal">
      <formula>"Napkin Hs"</formula>
    </cfRule>
  </conditionalFormatting>
  <conditionalFormatting sqref="C18">
    <cfRule type="cellIs" dxfId="1002" priority="7963" stopIfTrue="1" operator="equal">
      <formula>"Napkin Hs"</formula>
    </cfRule>
  </conditionalFormatting>
  <conditionalFormatting sqref="C18">
    <cfRule type="cellIs" dxfId="1001" priority="7957" stopIfTrue="1" operator="equal">
      <formula>"Napkin Hs"</formula>
    </cfRule>
  </conditionalFormatting>
  <conditionalFormatting sqref="C18">
    <cfRule type="cellIs" dxfId="1000" priority="7951" stopIfTrue="1" operator="equal">
      <formula>"Napkin Hs"</formula>
    </cfRule>
  </conditionalFormatting>
  <conditionalFormatting sqref="C18">
    <cfRule type="cellIs" dxfId="999" priority="7945" stopIfTrue="1" operator="equal">
      <formula>"Napkin Hs"</formula>
    </cfRule>
  </conditionalFormatting>
  <conditionalFormatting sqref="C16">
    <cfRule type="cellIs" dxfId="998" priority="7931" stopIfTrue="1" operator="equal">
      <formula>"Napkin Hs"</formula>
    </cfRule>
  </conditionalFormatting>
  <conditionalFormatting sqref="C16">
    <cfRule type="cellIs" dxfId="997" priority="7919" stopIfTrue="1" operator="equal">
      <formula>"Napkin Hs"</formula>
    </cfRule>
  </conditionalFormatting>
  <conditionalFormatting sqref="C16">
    <cfRule type="cellIs" dxfId="996" priority="7913" stopIfTrue="1" operator="equal">
      <formula>"Napkin Hs"</formula>
    </cfRule>
  </conditionalFormatting>
  <conditionalFormatting sqref="C16">
    <cfRule type="cellIs" dxfId="995" priority="7907" stopIfTrue="1" operator="equal">
      <formula>"Napkin Hs"</formula>
    </cfRule>
  </conditionalFormatting>
  <conditionalFormatting sqref="C16">
    <cfRule type="cellIs" dxfId="994" priority="7901" stopIfTrue="1" operator="equal">
      <formula>"Napkin Hs"</formula>
    </cfRule>
  </conditionalFormatting>
  <conditionalFormatting sqref="C16">
    <cfRule type="cellIs" dxfId="993" priority="7895" stopIfTrue="1" operator="equal">
      <formula>"Napkin Hs"</formula>
    </cfRule>
  </conditionalFormatting>
  <conditionalFormatting sqref="C16">
    <cfRule type="cellIs" dxfId="992" priority="7889" stopIfTrue="1" operator="equal">
      <formula>"Napkin Hs"</formula>
    </cfRule>
  </conditionalFormatting>
  <conditionalFormatting sqref="C16">
    <cfRule type="cellIs" dxfId="991" priority="7883" stopIfTrue="1" operator="equal">
      <formula>"Napkin Hs"</formula>
    </cfRule>
  </conditionalFormatting>
  <conditionalFormatting sqref="C16">
    <cfRule type="cellIs" dxfId="990" priority="7877" stopIfTrue="1" operator="equal">
      <formula>"Napkin Hs"</formula>
    </cfRule>
  </conditionalFormatting>
  <conditionalFormatting sqref="C16">
    <cfRule type="cellIs" dxfId="989" priority="7871" stopIfTrue="1" operator="equal">
      <formula>"Napkin Hs"</formula>
    </cfRule>
  </conditionalFormatting>
  <conditionalFormatting sqref="C16">
    <cfRule type="cellIs" dxfId="988" priority="7865" stopIfTrue="1" operator="equal">
      <formula>"Napkin Hs"</formula>
    </cfRule>
  </conditionalFormatting>
  <conditionalFormatting sqref="C16">
    <cfRule type="cellIs" dxfId="987" priority="7859" stopIfTrue="1" operator="equal">
      <formula>"Napkin Hs"</formula>
    </cfRule>
  </conditionalFormatting>
  <conditionalFormatting sqref="C16">
    <cfRule type="cellIs" dxfId="986" priority="7853" stopIfTrue="1" operator="equal">
      <formula>"Napkin Hs"</formula>
    </cfRule>
  </conditionalFormatting>
  <conditionalFormatting sqref="C16">
    <cfRule type="cellIs" dxfId="985" priority="7847" stopIfTrue="1" operator="equal">
      <formula>"Napkin Hs"</formula>
    </cfRule>
  </conditionalFormatting>
  <conditionalFormatting sqref="C16">
    <cfRule type="cellIs" dxfId="984" priority="7841" stopIfTrue="1" operator="equal">
      <formula>"Napkin Hs"</formula>
    </cfRule>
  </conditionalFormatting>
  <conditionalFormatting sqref="C16">
    <cfRule type="cellIs" dxfId="983" priority="7835" stopIfTrue="1" operator="equal">
      <formula>"Napkin Hs"</formula>
    </cfRule>
  </conditionalFormatting>
  <conditionalFormatting sqref="C16">
    <cfRule type="cellIs" dxfId="982" priority="7829" stopIfTrue="1" operator="equal">
      <formula>"Napkin Hs"</formula>
    </cfRule>
  </conditionalFormatting>
  <conditionalFormatting sqref="C16">
    <cfRule type="cellIs" dxfId="981" priority="7823" stopIfTrue="1" operator="equal">
      <formula>"Napkin Hs"</formula>
    </cfRule>
  </conditionalFormatting>
  <conditionalFormatting sqref="C16">
    <cfRule type="cellIs" dxfId="980" priority="7817" stopIfTrue="1" operator="equal">
      <formula>"Napkin Hs"</formula>
    </cfRule>
  </conditionalFormatting>
  <conditionalFormatting sqref="C16">
    <cfRule type="cellIs" dxfId="979" priority="7811" stopIfTrue="1" operator="equal">
      <formula>"Napkin Hs"</formula>
    </cfRule>
  </conditionalFormatting>
  <conditionalFormatting sqref="C16">
    <cfRule type="cellIs" dxfId="978" priority="7805" stopIfTrue="1" operator="equal">
      <formula>"Napkin Hs"</formula>
    </cfRule>
  </conditionalFormatting>
  <conditionalFormatting sqref="C16">
    <cfRule type="cellIs" dxfId="977" priority="7799" stopIfTrue="1" operator="equal">
      <formula>"Napkin Hs"</formula>
    </cfRule>
  </conditionalFormatting>
  <conditionalFormatting sqref="C16">
    <cfRule type="cellIs" dxfId="976" priority="7793" stopIfTrue="1" operator="equal">
      <formula>"Napkin Hs"</formula>
    </cfRule>
  </conditionalFormatting>
  <conditionalFormatting sqref="C23:C24">
    <cfRule type="cellIs" dxfId="975" priority="7787" stopIfTrue="1" operator="equal">
      <formula>"Napkin Hs"</formula>
    </cfRule>
  </conditionalFormatting>
  <conditionalFormatting sqref="C21">
    <cfRule type="cellIs" dxfId="974" priority="7781" stopIfTrue="1" operator="equal">
      <formula>"Napkin Hs"</formula>
    </cfRule>
  </conditionalFormatting>
  <conditionalFormatting sqref="C21">
    <cfRule type="cellIs" dxfId="973" priority="7769" stopIfTrue="1" operator="equal">
      <formula>"Napkin Hs"</formula>
    </cfRule>
  </conditionalFormatting>
  <conditionalFormatting sqref="C21">
    <cfRule type="cellIs" dxfId="972" priority="7757" stopIfTrue="1" operator="equal">
      <formula>"Napkin Hs"</formula>
    </cfRule>
  </conditionalFormatting>
  <conditionalFormatting sqref="C21">
    <cfRule type="cellIs" dxfId="971" priority="7751" stopIfTrue="1" operator="equal">
      <formula>"Napkin Hs"</formula>
    </cfRule>
  </conditionalFormatting>
  <conditionalFormatting sqref="C21">
    <cfRule type="cellIs" dxfId="970" priority="7745" stopIfTrue="1" operator="equal">
      <formula>"Napkin Hs"</formula>
    </cfRule>
  </conditionalFormatting>
  <conditionalFormatting sqref="C21">
    <cfRule type="cellIs" dxfId="969" priority="7739" stopIfTrue="1" operator="equal">
      <formula>"Napkin Hs"</formula>
    </cfRule>
  </conditionalFormatting>
  <conditionalFormatting sqref="C21">
    <cfRule type="cellIs" dxfId="968" priority="7733" stopIfTrue="1" operator="equal">
      <formula>"Napkin Hs"</formula>
    </cfRule>
  </conditionalFormatting>
  <conditionalFormatting sqref="C21">
    <cfRule type="cellIs" dxfId="967" priority="7727" stopIfTrue="1" operator="equal">
      <formula>"Napkin Hs"</formula>
    </cfRule>
  </conditionalFormatting>
  <conditionalFormatting sqref="C21">
    <cfRule type="cellIs" dxfId="966" priority="7721" stopIfTrue="1" operator="equal">
      <formula>"Napkin Hs"</formula>
    </cfRule>
  </conditionalFormatting>
  <conditionalFormatting sqref="C21">
    <cfRule type="cellIs" dxfId="965" priority="7715" stopIfTrue="1" operator="equal">
      <formula>"Napkin Hs"</formula>
    </cfRule>
  </conditionalFormatting>
  <conditionalFormatting sqref="C21">
    <cfRule type="cellIs" dxfId="964" priority="7709" stopIfTrue="1" operator="equal">
      <formula>"Napkin Hs"</formula>
    </cfRule>
  </conditionalFormatting>
  <conditionalFormatting sqref="C21">
    <cfRule type="cellIs" dxfId="963" priority="7703" stopIfTrue="1" operator="equal">
      <formula>"Napkin Hs"</formula>
    </cfRule>
  </conditionalFormatting>
  <conditionalFormatting sqref="C21">
    <cfRule type="cellIs" dxfId="962" priority="7697" stopIfTrue="1" operator="equal">
      <formula>"Napkin Hs"</formula>
    </cfRule>
  </conditionalFormatting>
  <conditionalFormatting sqref="C21">
    <cfRule type="cellIs" dxfId="961" priority="7691" stopIfTrue="1" operator="equal">
      <formula>"Napkin Hs"</formula>
    </cfRule>
  </conditionalFormatting>
  <conditionalFormatting sqref="C21">
    <cfRule type="cellIs" dxfId="960" priority="7685" stopIfTrue="1" operator="equal">
      <formula>"Napkin Hs"</formula>
    </cfRule>
  </conditionalFormatting>
  <conditionalFormatting sqref="C21">
    <cfRule type="cellIs" dxfId="959" priority="7679" stopIfTrue="1" operator="equal">
      <formula>"Napkin Hs"</formula>
    </cfRule>
  </conditionalFormatting>
  <conditionalFormatting sqref="C21">
    <cfRule type="cellIs" dxfId="958" priority="7673" stopIfTrue="1" operator="equal">
      <formula>"Napkin Hs"</formula>
    </cfRule>
  </conditionalFormatting>
  <conditionalFormatting sqref="C21">
    <cfRule type="cellIs" dxfId="957" priority="7667" stopIfTrue="1" operator="equal">
      <formula>"Napkin Hs"</formula>
    </cfRule>
  </conditionalFormatting>
  <conditionalFormatting sqref="C21">
    <cfRule type="cellIs" dxfId="956" priority="7661" stopIfTrue="1" operator="equal">
      <formula>"Napkin Hs"</formula>
    </cfRule>
  </conditionalFormatting>
  <conditionalFormatting sqref="C21">
    <cfRule type="cellIs" dxfId="955" priority="7655" stopIfTrue="1" operator="equal">
      <formula>"Napkin Hs"</formula>
    </cfRule>
  </conditionalFormatting>
  <conditionalFormatting sqref="C21">
    <cfRule type="cellIs" dxfId="954" priority="7649" stopIfTrue="1" operator="equal">
      <formula>"Napkin Hs"</formula>
    </cfRule>
  </conditionalFormatting>
  <conditionalFormatting sqref="C21">
    <cfRule type="cellIs" dxfId="953" priority="7643" stopIfTrue="1" operator="equal">
      <formula>"Napkin Hs"</formula>
    </cfRule>
  </conditionalFormatting>
  <conditionalFormatting sqref="C21">
    <cfRule type="cellIs" dxfId="952" priority="7637" stopIfTrue="1" operator="equal">
      <formula>"Napkin Hs"</formula>
    </cfRule>
  </conditionalFormatting>
  <conditionalFormatting sqref="C21">
    <cfRule type="cellIs" dxfId="951" priority="7631" stopIfTrue="1" operator="equal">
      <formula>"Napkin Hs"</formula>
    </cfRule>
  </conditionalFormatting>
  <conditionalFormatting sqref="C22">
    <cfRule type="cellIs" dxfId="950" priority="7617" stopIfTrue="1" operator="equal">
      <formula>"Napkin Hs"</formula>
    </cfRule>
  </conditionalFormatting>
  <conditionalFormatting sqref="C22">
    <cfRule type="cellIs" dxfId="949" priority="7605" stopIfTrue="1" operator="equal">
      <formula>"Napkin Hs"</formula>
    </cfRule>
  </conditionalFormatting>
  <conditionalFormatting sqref="C22">
    <cfRule type="cellIs" dxfId="948" priority="7599" stopIfTrue="1" operator="equal">
      <formula>"Napkin Hs"</formula>
    </cfRule>
  </conditionalFormatting>
  <conditionalFormatting sqref="C22">
    <cfRule type="cellIs" dxfId="947" priority="7593" stopIfTrue="1" operator="equal">
      <formula>"Napkin Hs"</formula>
    </cfRule>
  </conditionalFormatting>
  <conditionalFormatting sqref="C22">
    <cfRule type="cellIs" dxfId="946" priority="7587" stopIfTrue="1" operator="equal">
      <formula>"Napkin Hs"</formula>
    </cfRule>
  </conditionalFormatting>
  <conditionalFormatting sqref="C22">
    <cfRule type="cellIs" dxfId="945" priority="7581" stopIfTrue="1" operator="equal">
      <formula>"Napkin Hs"</formula>
    </cfRule>
  </conditionalFormatting>
  <conditionalFormatting sqref="C22">
    <cfRule type="cellIs" dxfId="944" priority="7575" stopIfTrue="1" operator="equal">
      <formula>"Napkin Hs"</formula>
    </cfRule>
  </conditionalFormatting>
  <conditionalFormatting sqref="C22">
    <cfRule type="cellIs" dxfId="943" priority="7569" stopIfTrue="1" operator="equal">
      <formula>"Napkin Hs"</formula>
    </cfRule>
  </conditionalFormatting>
  <conditionalFormatting sqref="C22">
    <cfRule type="cellIs" dxfId="942" priority="7563" stopIfTrue="1" operator="equal">
      <formula>"Napkin Hs"</formula>
    </cfRule>
  </conditionalFormatting>
  <conditionalFormatting sqref="C22">
    <cfRule type="cellIs" dxfId="941" priority="7557" stopIfTrue="1" operator="equal">
      <formula>"Napkin Hs"</formula>
    </cfRule>
  </conditionalFormatting>
  <conditionalFormatting sqref="C22">
    <cfRule type="cellIs" dxfId="940" priority="7551" stopIfTrue="1" operator="equal">
      <formula>"Napkin Hs"</formula>
    </cfRule>
  </conditionalFormatting>
  <conditionalFormatting sqref="C22">
    <cfRule type="cellIs" dxfId="939" priority="7545" stopIfTrue="1" operator="equal">
      <formula>"Napkin Hs"</formula>
    </cfRule>
  </conditionalFormatting>
  <conditionalFormatting sqref="C22">
    <cfRule type="cellIs" dxfId="938" priority="7539" stopIfTrue="1" operator="equal">
      <formula>"Napkin Hs"</formula>
    </cfRule>
  </conditionalFormatting>
  <conditionalFormatting sqref="C22">
    <cfRule type="cellIs" dxfId="937" priority="7533" stopIfTrue="1" operator="equal">
      <formula>"Napkin Hs"</formula>
    </cfRule>
  </conditionalFormatting>
  <conditionalFormatting sqref="C22">
    <cfRule type="cellIs" dxfId="936" priority="7527" stopIfTrue="1" operator="equal">
      <formula>"Napkin Hs"</formula>
    </cfRule>
  </conditionalFormatting>
  <conditionalFormatting sqref="C22">
    <cfRule type="cellIs" dxfId="935" priority="7521" stopIfTrue="1" operator="equal">
      <formula>"Napkin Hs"</formula>
    </cfRule>
  </conditionalFormatting>
  <conditionalFormatting sqref="C22">
    <cfRule type="cellIs" dxfId="934" priority="7515" stopIfTrue="1" operator="equal">
      <formula>"Napkin Hs"</formula>
    </cfRule>
  </conditionalFormatting>
  <conditionalFormatting sqref="C22">
    <cfRule type="cellIs" dxfId="933" priority="7509" stopIfTrue="1" operator="equal">
      <formula>"Napkin Hs"</formula>
    </cfRule>
  </conditionalFormatting>
  <conditionalFormatting sqref="C22">
    <cfRule type="cellIs" dxfId="932" priority="7503" stopIfTrue="1" operator="equal">
      <formula>"Napkin Hs"</formula>
    </cfRule>
  </conditionalFormatting>
  <conditionalFormatting sqref="C22">
    <cfRule type="cellIs" dxfId="931" priority="7497" stopIfTrue="1" operator="equal">
      <formula>"Napkin Hs"</formula>
    </cfRule>
  </conditionalFormatting>
  <conditionalFormatting sqref="C22">
    <cfRule type="cellIs" dxfId="930" priority="7491" stopIfTrue="1" operator="equal">
      <formula>"Napkin Hs"</formula>
    </cfRule>
  </conditionalFormatting>
  <conditionalFormatting sqref="C22">
    <cfRule type="cellIs" dxfId="929" priority="7485" stopIfTrue="1" operator="equal">
      <formula>"Napkin Hs"</formula>
    </cfRule>
  </conditionalFormatting>
  <conditionalFormatting sqref="C22">
    <cfRule type="cellIs" dxfId="928" priority="7479" stopIfTrue="1" operator="equal">
      <formula>"Napkin Hs"</formula>
    </cfRule>
  </conditionalFormatting>
  <conditionalFormatting sqref="C20">
    <cfRule type="cellIs" dxfId="927" priority="7465" stopIfTrue="1" operator="equal">
      <formula>"Napkin Hs"</formula>
    </cfRule>
  </conditionalFormatting>
  <conditionalFormatting sqref="C20">
    <cfRule type="cellIs" dxfId="926" priority="7453" stopIfTrue="1" operator="equal">
      <formula>"Napkin Hs"</formula>
    </cfRule>
  </conditionalFormatting>
  <conditionalFormatting sqref="C20">
    <cfRule type="cellIs" dxfId="925" priority="7447" stopIfTrue="1" operator="equal">
      <formula>"Napkin Hs"</formula>
    </cfRule>
  </conditionalFormatting>
  <conditionalFormatting sqref="C20">
    <cfRule type="cellIs" dxfId="924" priority="7441" stopIfTrue="1" operator="equal">
      <formula>"Napkin Hs"</formula>
    </cfRule>
  </conditionalFormatting>
  <conditionalFormatting sqref="C20">
    <cfRule type="cellIs" dxfId="923" priority="7435" stopIfTrue="1" operator="equal">
      <formula>"Napkin Hs"</formula>
    </cfRule>
  </conditionalFormatting>
  <conditionalFormatting sqref="C20">
    <cfRule type="cellIs" dxfId="922" priority="7429" stopIfTrue="1" operator="equal">
      <formula>"Napkin Hs"</formula>
    </cfRule>
  </conditionalFormatting>
  <conditionalFormatting sqref="C20">
    <cfRule type="cellIs" dxfId="921" priority="7423" stopIfTrue="1" operator="equal">
      <formula>"Napkin Hs"</formula>
    </cfRule>
  </conditionalFormatting>
  <conditionalFormatting sqref="C20">
    <cfRule type="cellIs" dxfId="920" priority="7417" stopIfTrue="1" operator="equal">
      <formula>"Napkin Hs"</formula>
    </cfRule>
  </conditionalFormatting>
  <conditionalFormatting sqref="C20">
    <cfRule type="cellIs" dxfId="919" priority="7411" stopIfTrue="1" operator="equal">
      <formula>"Napkin Hs"</formula>
    </cfRule>
  </conditionalFormatting>
  <conditionalFormatting sqref="C20">
    <cfRule type="cellIs" dxfId="918" priority="7405" stopIfTrue="1" operator="equal">
      <formula>"Napkin Hs"</formula>
    </cfRule>
  </conditionalFormatting>
  <conditionalFormatting sqref="C20">
    <cfRule type="cellIs" dxfId="917" priority="7399" stopIfTrue="1" operator="equal">
      <formula>"Napkin Hs"</formula>
    </cfRule>
  </conditionalFormatting>
  <conditionalFormatting sqref="C20">
    <cfRule type="cellIs" dxfId="916" priority="7393" stopIfTrue="1" operator="equal">
      <formula>"Napkin Hs"</formula>
    </cfRule>
  </conditionalFormatting>
  <conditionalFormatting sqref="C20">
    <cfRule type="cellIs" dxfId="915" priority="7387" stopIfTrue="1" operator="equal">
      <formula>"Napkin Hs"</formula>
    </cfRule>
  </conditionalFormatting>
  <conditionalFormatting sqref="C20">
    <cfRule type="cellIs" dxfId="914" priority="7381" stopIfTrue="1" operator="equal">
      <formula>"Napkin Hs"</formula>
    </cfRule>
  </conditionalFormatting>
  <conditionalFormatting sqref="C20">
    <cfRule type="cellIs" dxfId="913" priority="7375" stopIfTrue="1" operator="equal">
      <formula>"Napkin Hs"</formula>
    </cfRule>
  </conditionalFormatting>
  <conditionalFormatting sqref="C20">
    <cfRule type="cellIs" dxfId="912" priority="7369" stopIfTrue="1" operator="equal">
      <formula>"Napkin Hs"</formula>
    </cfRule>
  </conditionalFormatting>
  <conditionalFormatting sqref="C20">
    <cfRule type="cellIs" dxfId="911" priority="7363" stopIfTrue="1" operator="equal">
      <formula>"Napkin Hs"</formula>
    </cfRule>
  </conditionalFormatting>
  <conditionalFormatting sqref="C20">
    <cfRule type="cellIs" dxfId="910" priority="7357" stopIfTrue="1" operator="equal">
      <formula>"Napkin Hs"</formula>
    </cfRule>
  </conditionalFormatting>
  <conditionalFormatting sqref="C20">
    <cfRule type="cellIs" dxfId="909" priority="7351" stopIfTrue="1" operator="equal">
      <formula>"Napkin Hs"</formula>
    </cfRule>
  </conditionalFormatting>
  <conditionalFormatting sqref="C20">
    <cfRule type="cellIs" dxfId="908" priority="7345" stopIfTrue="1" operator="equal">
      <formula>"Napkin Hs"</formula>
    </cfRule>
  </conditionalFormatting>
  <conditionalFormatting sqref="C20">
    <cfRule type="cellIs" dxfId="907" priority="7339" stopIfTrue="1" operator="equal">
      <formula>"Napkin Hs"</formula>
    </cfRule>
  </conditionalFormatting>
  <conditionalFormatting sqref="C20">
    <cfRule type="cellIs" dxfId="906" priority="7333" stopIfTrue="1" operator="equal">
      <formula>"Napkin Hs"</formula>
    </cfRule>
  </conditionalFormatting>
  <conditionalFormatting sqref="C20">
    <cfRule type="cellIs" dxfId="905" priority="7327" stopIfTrue="1" operator="equal">
      <formula>"Napkin Hs"</formula>
    </cfRule>
  </conditionalFormatting>
  <conditionalFormatting sqref="C28">
    <cfRule type="cellIs" dxfId="904" priority="7321" stopIfTrue="1" operator="equal">
      <formula>"Napkin Hs"</formula>
    </cfRule>
  </conditionalFormatting>
  <conditionalFormatting sqref="C25">
    <cfRule type="cellIs" dxfId="903" priority="7315" stopIfTrue="1" operator="equal">
      <formula>"Napkin Hs"</formula>
    </cfRule>
  </conditionalFormatting>
  <conditionalFormatting sqref="C28">
    <cfRule type="cellIs" dxfId="902" priority="7309" stopIfTrue="1" operator="equal">
      <formula>"Napkin Hs"</formula>
    </cfRule>
  </conditionalFormatting>
  <conditionalFormatting sqref="C25">
    <cfRule type="cellIs" dxfId="901" priority="7283" stopIfTrue="1" operator="equal">
      <formula>"Napkin Hs"</formula>
    </cfRule>
  </conditionalFormatting>
  <conditionalFormatting sqref="C25">
    <cfRule type="cellIs" dxfId="900" priority="7271" stopIfTrue="1" operator="equal">
      <formula>"Napkin Hs"</formula>
    </cfRule>
  </conditionalFormatting>
  <conditionalFormatting sqref="C25">
    <cfRule type="cellIs" dxfId="899" priority="7265" stopIfTrue="1" operator="equal">
      <formula>"Napkin Hs"</formula>
    </cfRule>
  </conditionalFormatting>
  <conditionalFormatting sqref="C25">
    <cfRule type="cellIs" dxfId="898" priority="7259" stopIfTrue="1" operator="equal">
      <formula>"Napkin Hs"</formula>
    </cfRule>
  </conditionalFormatting>
  <conditionalFormatting sqref="C25">
    <cfRule type="cellIs" dxfId="897" priority="7253" stopIfTrue="1" operator="equal">
      <formula>"Napkin Hs"</formula>
    </cfRule>
  </conditionalFormatting>
  <conditionalFormatting sqref="C25">
    <cfRule type="cellIs" dxfId="896" priority="7247" stopIfTrue="1" operator="equal">
      <formula>"Napkin Hs"</formula>
    </cfRule>
  </conditionalFormatting>
  <conditionalFormatting sqref="C25">
    <cfRule type="cellIs" dxfId="895" priority="7241" stopIfTrue="1" operator="equal">
      <formula>"Napkin Hs"</formula>
    </cfRule>
  </conditionalFormatting>
  <conditionalFormatting sqref="C25">
    <cfRule type="cellIs" dxfId="894" priority="7235" stopIfTrue="1" operator="equal">
      <formula>"Napkin Hs"</formula>
    </cfRule>
  </conditionalFormatting>
  <conditionalFormatting sqref="C25">
    <cfRule type="cellIs" dxfId="893" priority="7229" stopIfTrue="1" operator="equal">
      <formula>"Napkin Hs"</formula>
    </cfRule>
  </conditionalFormatting>
  <conditionalFormatting sqref="C25">
    <cfRule type="cellIs" dxfId="892" priority="7223" stopIfTrue="1" operator="equal">
      <formula>"Napkin Hs"</formula>
    </cfRule>
  </conditionalFormatting>
  <conditionalFormatting sqref="C25">
    <cfRule type="cellIs" dxfId="891" priority="7217" stopIfTrue="1" operator="equal">
      <formula>"Napkin Hs"</formula>
    </cfRule>
  </conditionalFormatting>
  <conditionalFormatting sqref="C25">
    <cfRule type="cellIs" dxfId="890" priority="7211" stopIfTrue="1" operator="equal">
      <formula>"Napkin Hs"</formula>
    </cfRule>
  </conditionalFormatting>
  <conditionalFormatting sqref="C25">
    <cfRule type="cellIs" dxfId="889" priority="7205" stopIfTrue="1" operator="equal">
      <formula>"Napkin Hs"</formula>
    </cfRule>
  </conditionalFormatting>
  <conditionalFormatting sqref="C25">
    <cfRule type="cellIs" dxfId="888" priority="7199" stopIfTrue="1" operator="equal">
      <formula>"Napkin Hs"</formula>
    </cfRule>
  </conditionalFormatting>
  <conditionalFormatting sqref="C25">
    <cfRule type="cellIs" dxfId="887" priority="7193" stopIfTrue="1" operator="equal">
      <formula>"Napkin Hs"</formula>
    </cfRule>
  </conditionalFormatting>
  <conditionalFormatting sqref="C25">
    <cfRule type="cellIs" dxfId="886" priority="7187" stopIfTrue="1" operator="equal">
      <formula>"Napkin Hs"</formula>
    </cfRule>
  </conditionalFormatting>
  <conditionalFormatting sqref="C25">
    <cfRule type="cellIs" dxfId="885" priority="7181" stopIfTrue="1" operator="equal">
      <formula>"Napkin Hs"</formula>
    </cfRule>
  </conditionalFormatting>
  <conditionalFormatting sqref="C25">
    <cfRule type="cellIs" dxfId="884" priority="7175" stopIfTrue="1" operator="equal">
      <formula>"Napkin Hs"</formula>
    </cfRule>
  </conditionalFormatting>
  <conditionalFormatting sqref="C25">
    <cfRule type="cellIs" dxfId="883" priority="7169" stopIfTrue="1" operator="equal">
      <formula>"Napkin Hs"</formula>
    </cfRule>
  </conditionalFormatting>
  <conditionalFormatting sqref="C25">
    <cfRule type="cellIs" dxfId="882" priority="7163" stopIfTrue="1" operator="equal">
      <formula>"Napkin Hs"</formula>
    </cfRule>
  </conditionalFormatting>
  <conditionalFormatting sqref="C25">
    <cfRule type="cellIs" dxfId="881" priority="7157" stopIfTrue="1" operator="equal">
      <formula>"Napkin Hs"</formula>
    </cfRule>
  </conditionalFormatting>
  <conditionalFormatting sqref="C26">
    <cfRule type="cellIs" dxfId="880" priority="7151" stopIfTrue="1" operator="equal">
      <formula>"Napkin Hs"</formula>
    </cfRule>
  </conditionalFormatting>
  <conditionalFormatting sqref="C26">
    <cfRule type="cellIs" dxfId="879" priority="7145" stopIfTrue="1" operator="equal">
      <formula>"Napkin Hs"</formula>
    </cfRule>
  </conditionalFormatting>
  <conditionalFormatting sqref="C25">
    <cfRule type="cellIs" dxfId="878" priority="7295" stopIfTrue="1" operator="equal">
      <formula>"Napkin Hs"</formula>
    </cfRule>
  </conditionalFormatting>
  <conditionalFormatting sqref="C25">
    <cfRule type="cellIs" dxfId="877" priority="7277" stopIfTrue="1" operator="equal">
      <formula>"Napkin Hs"</formula>
    </cfRule>
  </conditionalFormatting>
  <conditionalFormatting sqref="C26">
    <cfRule type="cellIs" dxfId="876" priority="7131" stopIfTrue="1" operator="equal">
      <formula>"Napkin Hs"</formula>
    </cfRule>
  </conditionalFormatting>
  <conditionalFormatting sqref="C26">
    <cfRule type="cellIs" dxfId="875" priority="7119" stopIfTrue="1" operator="equal">
      <formula>"Napkin Hs"</formula>
    </cfRule>
  </conditionalFormatting>
  <conditionalFormatting sqref="C26">
    <cfRule type="cellIs" dxfId="874" priority="7113" stopIfTrue="1" operator="equal">
      <formula>"Napkin Hs"</formula>
    </cfRule>
  </conditionalFormatting>
  <conditionalFormatting sqref="C26">
    <cfRule type="cellIs" dxfId="873" priority="7107" stopIfTrue="1" operator="equal">
      <formula>"Napkin Hs"</formula>
    </cfRule>
  </conditionalFormatting>
  <conditionalFormatting sqref="C26">
    <cfRule type="cellIs" dxfId="872" priority="7101" stopIfTrue="1" operator="equal">
      <formula>"Napkin Hs"</formula>
    </cfRule>
  </conditionalFormatting>
  <conditionalFormatting sqref="C26">
    <cfRule type="cellIs" dxfId="871" priority="7095" stopIfTrue="1" operator="equal">
      <formula>"Napkin Hs"</formula>
    </cfRule>
  </conditionalFormatting>
  <conditionalFormatting sqref="C26">
    <cfRule type="cellIs" dxfId="870" priority="7089" stopIfTrue="1" operator="equal">
      <formula>"Napkin Hs"</formula>
    </cfRule>
  </conditionalFormatting>
  <conditionalFormatting sqref="C26">
    <cfRule type="cellIs" dxfId="869" priority="7083" stopIfTrue="1" operator="equal">
      <formula>"Napkin Hs"</formula>
    </cfRule>
  </conditionalFormatting>
  <conditionalFormatting sqref="C26">
    <cfRule type="cellIs" dxfId="868" priority="7077" stopIfTrue="1" operator="equal">
      <formula>"Napkin Hs"</formula>
    </cfRule>
  </conditionalFormatting>
  <conditionalFormatting sqref="C26">
    <cfRule type="cellIs" dxfId="867" priority="7071" stopIfTrue="1" operator="equal">
      <formula>"Napkin Hs"</formula>
    </cfRule>
  </conditionalFormatting>
  <conditionalFormatting sqref="C26">
    <cfRule type="cellIs" dxfId="866" priority="7065" stopIfTrue="1" operator="equal">
      <formula>"Napkin Hs"</formula>
    </cfRule>
  </conditionalFormatting>
  <conditionalFormatting sqref="C26">
    <cfRule type="cellIs" dxfId="865" priority="7059" stopIfTrue="1" operator="equal">
      <formula>"Napkin Hs"</formula>
    </cfRule>
  </conditionalFormatting>
  <conditionalFormatting sqref="C26">
    <cfRule type="cellIs" dxfId="864" priority="7053" stopIfTrue="1" operator="equal">
      <formula>"Napkin Hs"</formula>
    </cfRule>
  </conditionalFormatting>
  <conditionalFormatting sqref="C26">
    <cfRule type="cellIs" dxfId="863" priority="7047" stopIfTrue="1" operator="equal">
      <formula>"Napkin Hs"</formula>
    </cfRule>
  </conditionalFormatting>
  <conditionalFormatting sqref="C26">
    <cfRule type="cellIs" dxfId="862" priority="7041" stopIfTrue="1" operator="equal">
      <formula>"Napkin Hs"</formula>
    </cfRule>
  </conditionalFormatting>
  <conditionalFormatting sqref="C26">
    <cfRule type="cellIs" dxfId="861" priority="7035" stopIfTrue="1" operator="equal">
      <formula>"Napkin Hs"</formula>
    </cfRule>
  </conditionalFormatting>
  <conditionalFormatting sqref="C26">
    <cfRule type="cellIs" dxfId="860" priority="7029" stopIfTrue="1" operator="equal">
      <formula>"Napkin Hs"</formula>
    </cfRule>
  </conditionalFormatting>
  <conditionalFormatting sqref="C26">
    <cfRule type="cellIs" dxfId="859" priority="7023" stopIfTrue="1" operator="equal">
      <formula>"Napkin Hs"</formula>
    </cfRule>
  </conditionalFormatting>
  <conditionalFormatting sqref="C26">
    <cfRule type="cellIs" dxfId="858" priority="7017" stopIfTrue="1" operator="equal">
      <formula>"Napkin Hs"</formula>
    </cfRule>
  </conditionalFormatting>
  <conditionalFormatting sqref="C26">
    <cfRule type="cellIs" dxfId="857" priority="7011" stopIfTrue="1" operator="equal">
      <formula>"Napkin Hs"</formula>
    </cfRule>
  </conditionalFormatting>
  <conditionalFormatting sqref="C26">
    <cfRule type="cellIs" dxfId="856" priority="7005" stopIfTrue="1" operator="equal">
      <formula>"Napkin Hs"</formula>
    </cfRule>
  </conditionalFormatting>
  <conditionalFormatting sqref="C26">
    <cfRule type="cellIs" dxfId="855" priority="6999" stopIfTrue="1" operator="equal">
      <formula>"Napkin Hs"</formula>
    </cfRule>
  </conditionalFormatting>
  <conditionalFormatting sqref="C26">
    <cfRule type="cellIs" dxfId="854" priority="6993" stopIfTrue="1" operator="equal">
      <formula>"Napkin Hs"</formula>
    </cfRule>
  </conditionalFormatting>
  <conditionalFormatting sqref="C27">
    <cfRule type="cellIs" dxfId="853" priority="6987" stopIfTrue="1" operator="equal">
      <formula>"Napkin Hs"</formula>
    </cfRule>
  </conditionalFormatting>
  <conditionalFormatting sqref="C27">
    <cfRule type="cellIs" dxfId="852" priority="6981" stopIfTrue="1" operator="equal">
      <formula>"Napkin Hs"</formula>
    </cfRule>
  </conditionalFormatting>
  <conditionalFormatting sqref="C27">
    <cfRule type="cellIs" dxfId="851" priority="6967" stopIfTrue="1" operator="equal">
      <formula>"Napkin Hs"</formula>
    </cfRule>
  </conditionalFormatting>
  <conditionalFormatting sqref="C27">
    <cfRule type="cellIs" dxfId="850" priority="6955" stopIfTrue="1" operator="equal">
      <formula>"Napkin Hs"</formula>
    </cfRule>
  </conditionalFormatting>
  <conditionalFormatting sqref="C27">
    <cfRule type="cellIs" dxfId="849" priority="6949" stopIfTrue="1" operator="equal">
      <formula>"Napkin Hs"</formula>
    </cfRule>
  </conditionalFormatting>
  <conditionalFormatting sqref="C27">
    <cfRule type="cellIs" dxfId="848" priority="6943" stopIfTrue="1" operator="equal">
      <formula>"Napkin Hs"</formula>
    </cfRule>
  </conditionalFormatting>
  <conditionalFormatting sqref="C27">
    <cfRule type="cellIs" dxfId="847" priority="6937" stopIfTrue="1" operator="equal">
      <formula>"Napkin Hs"</formula>
    </cfRule>
  </conditionalFormatting>
  <conditionalFormatting sqref="C27">
    <cfRule type="cellIs" dxfId="846" priority="6931" stopIfTrue="1" operator="equal">
      <formula>"Napkin Hs"</formula>
    </cfRule>
  </conditionalFormatting>
  <conditionalFormatting sqref="C27">
    <cfRule type="cellIs" dxfId="845" priority="6925" stopIfTrue="1" operator="equal">
      <formula>"Napkin Hs"</formula>
    </cfRule>
  </conditionalFormatting>
  <conditionalFormatting sqref="C27">
    <cfRule type="cellIs" dxfId="844" priority="6919" stopIfTrue="1" operator="equal">
      <formula>"Napkin Hs"</formula>
    </cfRule>
  </conditionalFormatting>
  <conditionalFormatting sqref="C27">
    <cfRule type="cellIs" dxfId="843" priority="6913" stopIfTrue="1" operator="equal">
      <formula>"Napkin Hs"</formula>
    </cfRule>
  </conditionalFormatting>
  <conditionalFormatting sqref="C27">
    <cfRule type="cellIs" dxfId="842" priority="6907" stopIfTrue="1" operator="equal">
      <formula>"Napkin Hs"</formula>
    </cfRule>
  </conditionalFormatting>
  <conditionalFormatting sqref="C27">
    <cfRule type="cellIs" dxfId="841" priority="6901" stopIfTrue="1" operator="equal">
      <formula>"Napkin Hs"</formula>
    </cfRule>
  </conditionalFormatting>
  <conditionalFormatting sqref="C27">
    <cfRule type="cellIs" dxfId="840" priority="6895" stopIfTrue="1" operator="equal">
      <formula>"Napkin Hs"</formula>
    </cfRule>
  </conditionalFormatting>
  <conditionalFormatting sqref="C27">
    <cfRule type="cellIs" dxfId="839" priority="6889" stopIfTrue="1" operator="equal">
      <formula>"Napkin Hs"</formula>
    </cfRule>
  </conditionalFormatting>
  <conditionalFormatting sqref="C27">
    <cfRule type="cellIs" dxfId="838" priority="6883" stopIfTrue="1" operator="equal">
      <formula>"Napkin Hs"</formula>
    </cfRule>
  </conditionalFormatting>
  <conditionalFormatting sqref="C27">
    <cfRule type="cellIs" dxfId="837" priority="6877" stopIfTrue="1" operator="equal">
      <formula>"Napkin Hs"</formula>
    </cfRule>
  </conditionalFormatting>
  <conditionalFormatting sqref="C27">
    <cfRule type="cellIs" dxfId="836" priority="6871" stopIfTrue="1" operator="equal">
      <formula>"Napkin Hs"</formula>
    </cfRule>
  </conditionalFormatting>
  <conditionalFormatting sqref="C27">
    <cfRule type="cellIs" dxfId="835" priority="6865" stopIfTrue="1" operator="equal">
      <formula>"Napkin Hs"</formula>
    </cfRule>
  </conditionalFormatting>
  <conditionalFormatting sqref="C27">
    <cfRule type="cellIs" dxfId="834" priority="6859" stopIfTrue="1" operator="equal">
      <formula>"Napkin Hs"</formula>
    </cfRule>
  </conditionalFormatting>
  <conditionalFormatting sqref="C27">
    <cfRule type="cellIs" dxfId="833" priority="6853" stopIfTrue="1" operator="equal">
      <formula>"Napkin Hs"</formula>
    </cfRule>
  </conditionalFormatting>
  <conditionalFormatting sqref="C27">
    <cfRule type="cellIs" dxfId="832" priority="6847" stopIfTrue="1" operator="equal">
      <formula>"Napkin Hs"</formula>
    </cfRule>
  </conditionalFormatting>
  <conditionalFormatting sqref="C27">
    <cfRule type="cellIs" dxfId="831" priority="6841" stopIfTrue="1" operator="equal">
      <formula>"Napkin Hs"</formula>
    </cfRule>
  </conditionalFormatting>
  <conditionalFormatting sqref="C27">
    <cfRule type="cellIs" dxfId="830" priority="6835" stopIfTrue="1" operator="equal">
      <formula>"Napkin Hs"</formula>
    </cfRule>
  </conditionalFormatting>
  <conditionalFormatting sqref="C27">
    <cfRule type="cellIs" dxfId="829" priority="6829" stopIfTrue="1" operator="equal">
      <formula>"Napkin Hs"</formula>
    </cfRule>
  </conditionalFormatting>
  <conditionalFormatting sqref="C32">
    <cfRule type="cellIs" dxfId="828" priority="6823" stopIfTrue="1" operator="equal">
      <formula>"Napkin Hs"</formula>
    </cfRule>
  </conditionalFormatting>
  <conditionalFormatting sqref="C32">
    <cfRule type="cellIs" dxfId="827" priority="6817" stopIfTrue="1" operator="equal">
      <formula>"Napkin Hs"</formula>
    </cfRule>
  </conditionalFormatting>
  <conditionalFormatting sqref="C32">
    <cfRule type="cellIs" dxfId="826" priority="6811" stopIfTrue="1" operator="equal">
      <formula>"Napkin Hs"</formula>
    </cfRule>
  </conditionalFormatting>
  <conditionalFormatting sqref="C32">
    <cfRule type="cellIs" dxfId="825" priority="6805" stopIfTrue="1" operator="equal">
      <formula>"Napkin Hs"</formula>
    </cfRule>
  </conditionalFormatting>
  <conditionalFormatting sqref="C29">
    <cfRule type="cellIs" dxfId="824" priority="6799" stopIfTrue="1" operator="equal">
      <formula>"Napkin Hs"</formula>
    </cfRule>
  </conditionalFormatting>
  <conditionalFormatting sqref="C29">
    <cfRule type="cellIs" dxfId="823" priority="6793" stopIfTrue="1" operator="equal">
      <formula>"Napkin Hs"</formula>
    </cfRule>
  </conditionalFormatting>
  <conditionalFormatting sqref="C29">
    <cfRule type="cellIs" dxfId="822" priority="6787" stopIfTrue="1" operator="equal">
      <formula>"Napkin Hs"</formula>
    </cfRule>
  </conditionalFormatting>
  <conditionalFormatting sqref="C29">
    <cfRule type="cellIs" dxfId="821" priority="6773" stopIfTrue="1" operator="equal">
      <formula>"Napkin Hs"</formula>
    </cfRule>
  </conditionalFormatting>
  <conditionalFormatting sqref="C29">
    <cfRule type="cellIs" dxfId="820" priority="6761" stopIfTrue="1" operator="equal">
      <formula>"Napkin Hs"</formula>
    </cfRule>
  </conditionalFormatting>
  <conditionalFormatting sqref="C29">
    <cfRule type="cellIs" dxfId="819" priority="6755" stopIfTrue="1" operator="equal">
      <formula>"Napkin Hs"</formula>
    </cfRule>
  </conditionalFormatting>
  <conditionalFormatting sqref="C29">
    <cfRule type="cellIs" dxfId="818" priority="6749" stopIfTrue="1" operator="equal">
      <formula>"Napkin Hs"</formula>
    </cfRule>
  </conditionalFormatting>
  <conditionalFormatting sqref="C29">
    <cfRule type="cellIs" dxfId="817" priority="6743" stopIfTrue="1" operator="equal">
      <formula>"Napkin Hs"</formula>
    </cfRule>
  </conditionalFormatting>
  <conditionalFormatting sqref="C29">
    <cfRule type="cellIs" dxfId="816" priority="6737" stopIfTrue="1" operator="equal">
      <formula>"Napkin Hs"</formula>
    </cfRule>
  </conditionalFormatting>
  <conditionalFormatting sqref="C29">
    <cfRule type="cellIs" dxfId="815" priority="6731" stopIfTrue="1" operator="equal">
      <formula>"Napkin Hs"</formula>
    </cfRule>
  </conditionalFormatting>
  <conditionalFormatting sqref="C29">
    <cfRule type="cellIs" dxfId="814" priority="6725" stopIfTrue="1" operator="equal">
      <formula>"Napkin Hs"</formula>
    </cfRule>
  </conditionalFormatting>
  <conditionalFormatting sqref="C29">
    <cfRule type="cellIs" dxfId="813" priority="6719" stopIfTrue="1" operator="equal">
      <formula>"Napkin Hs"</formula>
    </cfRule>
  </conditionalFormatting>
  <conditionalFormatting sqref="C29">
    <cfRule type="cellIs" dxfId="812" priority="6713" stopIfTrue="1" operator="equal">
      <formula>"Napkin Hs"</formula>
    </cfRule>
  </conditionalFormatting>
  <conditionalFormatting sqref="C29">
    <cfRule type="cellIs" dxfId="811" priority="6707" stopIfTrue="1" operator="equal">
      <formula>"Napkin Hs"</formula>
    </cfRule>
  </conditionalFormatting>
  <conditionalFormatting sqref="C29">
    <cfRule type="cellIs" dxfId="810" priority="6701" stopIfTrue="1" operator="equal">
      <formula>"Napkin Hs"</formula>
    </cfRule>
  </conditionalFormatting>
  <conditionalFormatting sqref="C29">
    <cfRule type="cellIs" dxfId="809" priority="6695" stopIfTrue="1" operator="equal">
      <formula>"Napkin Hs"</formula>
    </cfRule>
  </conditionalFormatting>
  <conditionalFormatting sqref="C29">
    <cfRule type="cellIs" dxfId="808" priority="6689" stopIfTrue="1" operator="equal">
      <formula>"Napkin Hs"</formula>
    </cfRule>
  </conditionalFormatting>
  <conditionalFormatting sqref="C29">
    <cfRule type="cellIs" dxfId="807" priority="6683" stopIfTrue="1" operator="equal">
      <formula>"Napkin Hs"</formula>
    </cfRule>
  </conditionalFormatting>
  <conditionalFormatting sqref="C29">
    <cfRule type="cellIs" dxfId="806" priority="6677" stopIfTrue="1" operator="equal">
      <formula>"Napkin Hs"</formula>
    </cfRule>
  </conditionalFormatting>
  <conditionalFormatting sqref="C29">
    <cfRule type="cellIs" dxfId="805" priority="6671" stopIfTrue="1" operator="equal">
      <formula>"Napkin Hs"</formula>
    </cfRule>
  </conditionalFormatting>
  <conditionalFormatting sqref="C29">
    <cfRule type="cellIs" dxfId="804" priority="6665" stopIfTrue="1" operator="equal">
      <formula>"Napkin Hs"</formula>
    </cfRule>
  </conditionalFormatting>
  <conditionalFormatting sqref="C29">
    <cfRule type="cellIs" dxfId="803" priority="6659" stopIfTrue="1" operator="equal">
      <formula>"Napkin Hs"</formula>
    </cfRule>
  </conditionalFormatting>
  <conditionalFormatting sqref="C29">
    <cfRule type="cellIs" dxfId="802" priority="6653" stopIfTrue="1" operator="equal">
      <formula>"Napkin Hs"</formula>
    </cfRule>
  </conditionalFormatting>
  <conditionalFormatting sqref="C29">
    <cfRule type="cellIs" dxfId="801" priority="6647" stopIfTrue="1" operator="equal">
      <formula>"Napkin Hs"</formula>
    </cfRule>
  </conditionalFormatting>
  <conditionalFormatting sqref="C29">
    <cfRule type="cellIs" dxfId="800" priority="6641" stopIfTrue="1" operator="equal">
      <formula>"Napkin Hs"</formula>
    </cfRule>
  </conditionalFormatting>
  <conditionalFormatting sqref="C29">
    <cfRule type="cellIs" dxfId="799" priority="6635" stopIfTrue="1" operator="equal">
      <formula>"Napkin Hs"</formula>
    </cfRule>
  </conditionalFormatting>
  <conditionalFormatting sqref="C30">
    <cfRule type="cellIs" dxfId="798" priority="6629" stopIfTrue="1" operator="equal">
      <formula>"Napkin Hs"</formula>
    </cfRule>
  </conditionalFormatting>
  <conditionalFormatting sqref="C30">
    <cfRule type="cellIs" dxfId="797" priority="6623" stopIfTrue="1" operator="equal">
      <formula>"Napkin Hs"</formula>
    </cfRule>
  </conditionalFormatting>
  <conditionalFormatting sqref="C30">
    <cfRule type="cellIs" dxfId="796" priority="6617" stopIfTrue="1" operator="equal">
      <formula>"Napkin Hs"</formula>
    </cfRule>
  </conditionalFormatting>
  <conditionalFormatting sqref="C30">
    <cfRule type="cellIs" dxfId="795" priority="6611" stopIfTrue="1" operator="equal">
      <formula>"Napkin Hs"</formula>
    </cfRule>
  </conditionalFormatting>
  <conditionalFormatting sqref="C30">
    <cfRule type="cellIs" dxfId="794" priority="6605" stopIfTrue="1" operator="equal">
      <formula>"Napkin Hs"</formula>
    </cfRule>
  </conditionalFormatting>
  <conditionalFormatting sqref="C30">
    <cfRule type="cellIs" dxfId="793" priority="6599" stopIfTrue="1" operator="equal">
      <formula>"Napkin Hs"</formula>
    </cfRule>
  </conditionalFormatting>
  <conditionalFormatting sqref="C30">
    <cfRule type="cellIs" dxfId="792" priority="6593" stopIfTrue="1" operator="equal">
      <formula>"Napkin Hs"</formula>
    </cfRule>
  </conditionalFormatting>
  <conditionalFormatting sqref="C31">
    <cfRule type="cellIs" dxfId="791" priority="6587" stopIfTrue="1" operator="equal">
      <formula>"Napkin Hs"</formula>
    </cfRule>
  </conditionalFormatting>
  <conditionalFormatting sqref="C31">
    <cfRule type="cellIs" dxfId="790" priority="6581" stopIfTrue="1" operator="equal">
      <formula>"Napkin Hs"</formula>
    </cfRule>
  </conditionalFormatting>
  <conditionalFormatting sqref="C31">
    <cfRule type="cellIs" dxfId="789" priority="6575" stopIfTrue="1" operator="equal">
      <formula>"Napkin Hs"</formula>
    </cfRule>
  </conditionalFormatting>
  <conditionalFormatting sqref="C31">
    <cfRule type="cellIs" dxfId="788" priority="6569" stopIfTrue="1" operator="equal">
      <formula>"Napkin Hs"</formula>
    </cfRule>
  </conditionalFormatting>
  <conditionalFormatting sqref="C31">
    <cfRule type="cellIs" dxfId="787" priority="6563" stopIfTrue="1" operator="equal">
      <formula>"Napkin Hs"</formula>
    </cfRule>
  </conditionalFormatting>
  <conditionalFormatting sqref="C31">
    <cfRule type="cellIs" dxfId="786" priority="6557" stopIfTrue="1" operator="equal">
      <formula>"Napkin Hs"</formula>
    </cfRule>
  </conditionalFormatting>
  <conditionalFormatting sqref="C31">
    <cfRule type="cellIs" dxfId="785" priority="6551" stopIfTrue="1" operator="equal">
      <formula>"Napkin Hs"</formula>
    </cfRule>
  </conditionalFormatting>
  <conditionalFormatting sqref="C34">
    <cfRule type="cellIs" dxfId="784" priority="6545" stopIfTrue="1" operator="equal">
      <formula>"Napkin Hs"</formula>
    </cfRule>
  </conditionalFormatting>
  <conditionalFormatting sqref="C34">
    <cfRule type="cellIs" dxfId="783" priority="6539" stopIfTrue="1" operator="equal">
      <formula>"Napkin Hs"</formula>
    </cfRule>
  </conditionalFormatting>
  <conditionalFormatting sqref="C34">
    <cfRule type="cellIs" dxfId="782" priority="6533" stopIfTrue="1" operator="equal">
      <formula>"Napkin Hs"</formula>
    </cfRule>
  </conditionalFormatting>
  <conditionalFormatting sqref="C34">
    <cfRule type="cellIs" dxfId="781" priority="6527" stopIfTrue="1" operator="equal">
      <formula>"Napkin Hs"</formula>
    </cfRule>
  </conditionalFormatting>
  <conditionalFormatting sqref="C34">
    <cfRule type="cellIs" dxfId="780" priority="6521" stopIfTrue="1" operator="equal">
      <formula>"Napkin Hs"</formula>
    </cfRule>
  </conditionalFormatting>
  <conditionalFormatting sqref="C34">
    <cfRule type="cellIs" dxfId="779" priority="6515" stopIfTrue="1" operator="equal">
      <formula>"Napkin Hs"</formula>
    </cfRule>
  </conditionalFormatting>
  <conditionalFormatting sqref="C34">
    <cfRule type="cellIs" dxfId="778" priority="6509" stopIfTrue="1" operator="equal">
      <formula>"Napkin Hs"</formula>
    </cfRule>
  </conditionalFormatting>
  <conditionalFormatting sqref="C35">
    <cfRule type="cellIs" dxfId="777" priority="6503" stopIfTrue="1" operator="equal">
      <formula>"Napkin Hs"</formula>
    </cfRule>
  </conditionalFormatting>
  <conditionalFormatting sqref="C35">
    <cfRule type="cellIs" dxfId="776" priority="6497" stopIfTrue="1" operator="equal">
      <formula>"Napkin Hs"</formula>
    </cfRule>
  </conditionalFormatting>
  <conditionalFormatting sqref="C35">
    <cfRule type="cellIs" dxfId="775" priority="6491" stopIfTrue="1" operator="equal">
      <formula>"Napkin Hs"</formula>
    </cfRule>
  </conditionalFormatting>
  <conditionalFormatting sqref="C35">
    <cfRule type="cellIs" dxfId="774" priority="6485" stopIfTrue="1" operator="equal">
      <formula>"Napkin Hs"</formula>
    </cfRule>
  </conditionalFormatting>
  <conditionalFormatting sqref="C35">
    <cfRule type="cellIs" dxfId="773" priority="6479" stopIfTrue="1" operator="equal">
      <formula>"Napkin Hs"</formula>
    </cfRule>
  </conditionalFormatting>
  <conditionalFormatting sqref="C35">
    <cfRule type="cellIs" dxfId="772" priority="6473" stopIfTrue="1" operator="equal">
      <formula>"Napkin Hs"</formula>
    </cfRule>
  </conditionalFormatting>
  <conditionalFormatting sqref="C35">
    <cfRule type="cellIs" dxfId="771" priority="6467" stopIfTrue="1" operator="equal">
      <formula>"Napkin Hs"</formula>
    </cfRule>
  </conditionalFormatting>
  <conditionalFormatting sqref="C33">
    <cfRule type="cellIs" dxfId="770" priority="6461" stopIfTrue="1" operator="equal">
      <formula>"Napkin Hs"</formula>
    </cfRule>
  </conditionalFormatting>
  <conditionalFormatting sqref="C33">
    <cfRule type="cellIs" dxfId="769" priority="6455" stopIfTrue="1" operator="equal">
      <formula>"Napkin Hs"</formula>
    </cfRule>
  </conditionalFormatting>
  <conditionalFormatting sqref="C33">
    <cfRule type="cellIs" dxfId="768" priority="6449" stopIfTrue="1" operator="equal">
      <formula>"Napkin Hs"</formula>
    </cfRule>
  </conditionalFormatting>
  <conditionalFormatting sqref="C33">
    <cfRule type="cellIs" dxfId="767" priority="6443" stopIfTrue="1" operator="equal">
      <formula>"Napkin Hs"</formula>
    </cfRule>
  </conditionalFormatting>
  <conditionalFormatting sqref="C33">
    <cfRule type="cellIs" dxfId="766" priority="6437" stopIfTrue="1" operator="equal">
      <formula>"Napkin Hs"</formula>
    </cfRule>
  </conditionalFormatting>
  <conditionalFormatting sqref="C33">
    <cfRule type="cellIs" dxfId="765" priority="6431" stopIfTrue="1" operator="equal">
      <formula>"Napkin Hs"</formula>
    </cfRule>
  </conditionalFormatting>
  <conditionalFormatting sqref="C33">
    <cfRule type="cellIs" dxfId="764" priority="6425" stopIfTrue="1" operator="equal">
      <formula>"Napkin Hs"</formula>
    </cfRule>
  </conditionalFormatting>
  <conditionalFormatting sqref="C40">
    <cfRule type="cellIs" dxfId="763" priority="6419" stopIfTrue="1" operator="equal">
      <formula>"Napkin Hs"</formula>
    </cfRule>
  </conditionalFormatting>
  <conditionalFormatting sqref="C38">
    <cfRule type="cellIs" dxfId="762" priority="6413" stopIfTrue="1" operator="equal">
      <formula>"Napkin Hs"</formula>
    </cfRule>
  </conditionalFormatting>
  <conditionalFormatting sqref="C38">
    <cfRule type="cellIs" dxfId="761" priority="6407" stopIfTrue="1" operator="equal">
      <formula>"Napkin Hs"</formula>
    </cfRule>
  </conditionalFormatting>
  <conditionalFormatting sqref="C38">
    <cfRule type="cellIs" dxfId="760" priority="6401" stopIfTrue="1" operator="equal">
      <formula>"Napkin Hs"</formula>
    </cfRule>
  </conditionalFormatting>
  <conditionalFormatting sqref="C38">
    <cfRule type="cellIs" dxfId="759" priority="6395" stopIfTrue="1" operator="equal">
      <formula>"Napkin Hs"</formula>
    </cfRule>
  </conditionalFormatting>
  <conditionalFormatting sqref="C38">
    <cfRule type="cellIs" dxfId="758" priority="6389" stopIfTrue="1" operator="equal">
      <formula>"Napkin Hs"</formula>
    </cfRule>
  </conditionalFormatting>
  <conditionalFormatting sqref="C38">
    <cfRule type="cellIs" dxfId="757" priority="6383" stopIfTrue="1" operator="equal">
      <formula>"Napkin Hs"</formula>
    </cfRule>
  </conditionalFormatting>
  <conditionalFormatting sqref="C38">
    <cfRule type="cellIs" dxfId="756" priority="6377" stopIfTrue="1" operator="equal">
      <formula>"Napkin Hs"</formula>
    </cfRule>
  </conditionalFormatting>
  <conditionalFormatting sqref="C39">
    <cfRule type="cellIs" dxfId="755" priority="6371" stopIfTrue="1" operator="equal">
      <formula>"Napkin Hs"</formula>
    </cfRule>
  </conditionalFormatting>
  <conditionalFormatting sqref="C39">
    <cfRule type="cellIs" dxfId="754" priority="6365" stopIfTrue="1" operator="equal">
      <formula>"Napkin Hs"</formula>
    </cfRule>
  </conditionalFormatting>
  <conditionalFormatting sqref="C39">
    <cfRule type="cellIs" dxfId="753" priority="6359" stopIfTrue="1" operator="equal">
      <formula>"Napkin Hs"</formula>
    </cfRule>
  </conditionalFormatting>
  <conditionalFormatting sqref="C39">
    <cfRule type="cellIs" dxfId="752" priority="6353" stopIfTrue="1" operator="equal">
      <formula>"Napkin Hs"</formula>
    </cfRule>
  </conditionalFormatting>
  <conditionalFormatting sqref="C39">
    <cfRule type="cellIs" dxfId="751" priority="6347" stopIfTrue="1" operator="equal">
      <formula>"Napkin Hs"</formula>
    </cfRule>
  </conditionalFormatting>
  <conditionalFormatting sqref="C39">
    <cfRule type="cellIs" dxfId="750" priority="6341" stopIfTrue="1" operator="equal">
      <formula>"Napkin Hs"</formula>
    </cfRule>
  </conditionalFormatting>
  <conditionalFormatting sqref="C39">
    <cfRule type="cellIs" dxfId="749" priority="6335" stopIfTrue="1" operator="equal">
      <formula>"Napkin Hs"</formula>
    </cfRule>
  </conditionalFormatting>
  <conditionalFormatting sqref="C37">
    <cfRule type="cellIs" dxfId="748" priority="6329" stopIfTrue="1" operator="equal">
      <formula>"Napkin Hs"</formula>
    </cfRule>
  </conditionalFormatting>
  <conditionalFormatting sqref="C37">
    <cfRule type="cellIs" dxfId="747" priority="6323" stopIfTrue="1" operator="equal">
      <formula>"Napkin Hs"</formula>
    </cfRule>
  </conditionalFormatting>
  <conditionalFormatting sqref="C37">
    <cfRule type="cellIs" dxfId="746" priority="6317" stopIfTrue="1" operator="equal">
      <formula>"Napkin Hs"</formula>
    </cfRule>
  </conditionalFormatting>
  <conditionalFormatting sqref="C37">
    <cfRule type="cellIs" dxfId="745" priority="6311" stopIfTrue="1" operator="equal">
      <formula>"Napkin Hs"</formula>
    </cfRule>
  </conditionalFormatting>
  <conditionalFormatting sqref="C37">
    <cfRule type="cellIs" dxfId="744" priority="6305" stopIfTrue="1" operator="equal">
      <formula>"Napkin Hs"</formula>
    </cfRule>
  </conditionalFormatting>
  <conditionalFormatting sqref="C37">
    <cfRule type="cellIs" dxfId="743" priority="6299" stopIfTrue="1" operator="equal">
      <formula>"Napkin Hs"</formula>
    </cfRule>
  </conditionalFormatting>
  <conditionalFormatting sqref="C37">
    <cfRule type="cellIs" dxfId="742" priority="6293" stopIfTrue="1" operator="equal">
      <formula>"Napkin Hs"</formula>
    </cfRule>
  </conditionalFormatting>
  <conditionalFormatting sqref="C44">
    <cfRule type="cellIs" dxfId="741" priority="6287" stopIfTrue="1" operator="equal">
      <formula>"Napkin Hs"</formula>
    </cfRule>
  </conditionalFormatting>
  <conditionalFormatting sqref="C42">
    <cfRule type="cellIs" dxfId="740" priority="6281" stopIfTrue="1" operator="equal">
      <formula>"Napkin Hs"</formula>
    </cfRule>
  </conditionalFormatting>
  <conditionalFormatting sqref="C42">
    <cfRule type="cellIs" dxfId="739" priority="6275" stopIfTrue="1" operator="equal">
      <formula>"Napkin Hs"</formula>
    </cfRule>
  </conditionalFormatting>
  <conditionalFormatting sqref="C42">
    <cfRule type="cellIs" dxfId="738" priority="6269" stopIfTrue="1" operator="equal">
      <formula>"Napkin Hs"</formula>
    </cfRule>
  </conditionalFormatting>
  <conditionalFormatting sqref="C42">
    <cfRule type="cellIs" dxfId="737" priority="6263" stopIfTrue="1" operator="equal">
      <formula>"Napkin Hs"</formula>
    </cfRule>
  </conditionalFormatting>
  <conditionalFormatting sqref="C42">
    <cfRule type="cellIs" dxfId="736" priority="6257" stopIfTrue="1" operator="equal">
      <formula>"Napkin Hs"</formula>
    </cfRule>
  </conditionalFormatting>
  <conditionalFormatting sqref="C42">
    <cfRule type="cellIs" dxfId="735" priority="6251" stopIfTrue="1" operator="equal">
      <formula>"Napkin Hs"</formula>
    </cfRule>
  </conditionalFormatting>
  <conditionalFormatting sqref="C42">
    <cfRule type="cellIs" dxfId="734" priority="6245" stopIfTrue="1" operator="equal">
      <formula>"Napkin Hs"</formula>
    </cfRule>
  </conditionalFormatting>
  <conditionalFormatting sqref="C43">
    <cfRule type="cellIs" dxfId="733" priority="6239" stopIfTrue="1" operator="equal">
      <formula>"Napkin Hs"</formula>
    </cfRule>
  </conditionalFormatting>
  <conditionalFormatting sqref="C43">
    <cfRule type="cellIs" dxfId="732" priority="6233" stopIfTrue="1" operator="equal">
      <formula>"Napkin Hs"</formula>
    </cfRule>
  </conditionalFormatting>
  <conditionalFormatting sqref="C43">
    <cfRule type="cellIs" dxfId="731" priority="6227" stopIfTrue="1" operator="equal">
      <formula>"Napkin Hs"</formula>
    </cfRule>
  </conditionalFormatting>
  <conditionalFormatting sqref="C43">
    <cfRule type="cellIs" dxfId="730" priority="6221" stopIfTrue="1" operator="equal">
      <formula>"Napkin Hs"</formula>
    </cfRule>
  </conditionalFormatting>
  <conditionalFormatting sqref="C43">
    <cfRule type="cellIs" dxfId="729" priority="6215" stopIfTrue="1" operator="equal">
      <formula>"Napkin Hs"</formula>
    </cfRule>
  </conditionalFormatting>
  <conditionalFormatting sqref="C43">
    <cfRule type="cellIs" dxfId="728" priority="6209" stopIfTrue="1" operator="equal">
      <formula>"Napkin Hs"</formula>
    </cfRule>
  </conditionalFormatting>
  <conditionalFormatting sqref="C43">
    <cfRule type="cellIs" dxfId="727" priority="6203" stopIfTrue="1" operator="equal">
      <formula>"Napkin Hs"</formula>
    </cfRule>
  </conditionalFormatting>
  <conditionalFormatting sqref="C41">
    <cfRule type="cellIs" dxfId="726" priority="6197" stopIfTrue="1" operator="equal">
      <formula>"Napkin Hs"</formula>
    </cfRule>
  </conditionalFormatting>
  <conditionalFormatting sqref="C41">
    <cfRule type="cellIs" dxfId="725" priority="6191" stopIfTrue="1" operator="equal">
      <formula>"Napkin Hs"</formula>
    </cfRule>
  </conditionalFormatting>
  <conditionalFormatting sqref="C41">
    <cfRule type="cellIs" dxfId="724" priority="6185" stopIfTrue="1" operator="equal">
      <formula>"Napkin Hs"</formula>
    </cfRule>
  </conditionalFormatting>
  <conditionalFormatting sqref="C41">
    <cfRule type="cellIs" dxfId="723" priority="6179" stopIfTrue="1" operator="equal">
      <formula>"Napkin Hs"</formula>
    </cfRule>
  </conditionalFormatting>
  <conditionalFormatting sqref="C41">
    <cfRule type="cellIs" dxfId="722" priority="6173" stopIfTrue="1" operator="equal">
      <formula>"Napkin Hs"</formula>
    </cfRule>
  </conditionalFormatting>
  <conditionalFormatting sqref="C41">
    <cfRule type="cellIs" dxfId="721" priority="6167" stopIfTrue="1" operator="equal">
      <formula>"Napkin Hs"</formula>
    </cfRule>
  </conditionalFormatting>
  <conditionalFormatting sqref="C41">
    <cfRule type="cellIs" dxfId="720" priority="6161" stopIfTrue="1" operator="equal">
      <formula>"Napkin Hs"</formula>
    </cfRule>
  </conditionalFormatting>
  <conditionalFormatting sqref="C46:C48">
    <cfRule type="cellIs" dxfId="719" priority="6149" stopIfTrue="1" operator="equal">
      <formula>"Napkin Hs"</formula>
    </cfRule>
  </conditionalFormatting>
  <conditionalFormatting sqref="C48">
    <cfRule type="cellIs" dxfId="718" priority="6143" stopIfTrue="1" operator="equal">
      <formula>"Napkin Hs"</formula>
    </cfRule>
  </conditionalFormatting>
  <conditionalFormatting sqref="C46">
    <cfRule type="cellIs" dxfId="717" priority="6137" stopIfTrue="1" operator="equal">
      <formula>"Napkin Hs"</formula>
    </cfRule>
  </conditionalFormatting>
  <conditionalFormatting sqref="C46">
    <cfRule type="cellIs" dxfId="716" priority="6131" stopIfTrue="1" operator="equal">
      <formula>"Napkin Hs"</formula>
    </cfRule>
  </conditionalFormatting>
  <conditionalFormatting sqref="C46">
    <cfRule type="cellIs" dxfId="715" priority="6125" stopIfTrue="1" operator="equal">
      <formula>"Napkin Hs"</formula>
    </cfRule>
  </conditionalFormatting>
  <conditionalFormatting sqref="C46">
    <cfRule type="cellIs" dxfId="714" priority="6119" stopIfTrue="1" operator="equal">
      <formula>"Napkin Hs"</formula>
    </cfRule>
  </conditionalFormatting>
  <conditionalFormatting sqref="C46">
    <cfRule type="cellIs" dxfId="713" priority="6113" stopIfTrue="1" operator="equal">
      <formula>"Napkin Hs"</formula>
    </cfRule>
  </conditionalFormatting>
  <conditionalFormatting sqref="C46">
    <cfRule type="cellIs" dxfId="712" priority="6107" stopIfTrue="1" operator="equal">
      <formula>"Napkin Hs"</formula>
    </cfRule>
  </conditionalFormatting>
  <conditionalFormatting sqref="C46">
    <cfRule type="cellIs" dxfId="711" priority="6101" stopIfTrue="1" operator="equal">
      <formula>"Napkin Hs"</formula>
    </cfRule>
  </conditionalFormatting>
  <conditionalFormatting sqref="C47">
    <cfRule type="cellIs" dxfId="710" priority="6095" stopIfTrue="1" operator="equal">
      <formula>"Napkin Hs"</formula>
    </cfRule>
  </conditionalFormatting>
  <conditionalFormatting sqref="C47">
    <cfRule type="cellIs" dxfId="709" priority="6089" stopIfTrue="1" operator="equal">
      <formula>"Napkin Hs"</formula>
    </cfRule>
  </conditionalFormatting>
  <conditionalFormatting sqref="C47">
    <cfRule type="cellIs" dxfId="708" priority="6083" stopIfTrue="1" operator="equal">
      <formula>"Napkin Hs"</formula>
    </cfRule>
  </conditionalFormatting>
  <conditionalFormatting sqref="C47">
    <cfRule type="cellIs" dxfId="707" priority="6077" stopIfTrue="1" operator="equal">
      <formula>"Napkin Hs"</formula>
    </cfRule>
  </conditionalFormatting>
  <conditionalFormatting sqref="C47">
    <cfRule type="cellIs" dxfId="706" priority="6071" stopIfTrue="1" operator="equal">
      <formula>"Napkin Hs"</formula>
    </cfRule>
  </conditionalFormatting>
  <conditionalFormatting sqref="C47">
    <cfRule type="cellIs" dxfId="705" priority="6065" stopIfTrue="1" operator="equal">
      <formula>"Napkin Hs"</formula>
    </cfRule>
  </conditionalFormatting>
  <conditionalFormatting sqref="C47">
    <cfRule type="cellIs" dxfId="704" priority="6059" stopIfTrue="1" operator="equal">
      <formula>"Napkin Hs"</formula>
    </cfRule>
  </conditionalFormatting>
  <conditionalFormatting sqref="C45">
    <cfRule type="cellIs" dxfId="703" priority="6053" stopIfTrue="1" operator="equal">
      <formula>"Napkin Hs"</formula>
    </cfRule>
  </conditionalFormatting>
  <conditionalFormatting sqref="C45">
    <cfRule type="cellIs" dxfId="702" priority="6047" stopIfTrue="1" operator="equal">
      <formula>"Napkin Hs"</formula>
    </cfRule>
  </conditionalFormatting>
  <conditionalFormatting sqref="C45">
    <cfRule type="cellIs" dxfId="701" priority="6041" stopIfTrue="1" operator="equal">
      <formula>"Napkin Hs"</formula>
    </cfRule>
  </conditionalFormatting>
  <conditionalFormatting sqref="C45">
    <cfRule type="cellIs" dxfId="700" priority="6035" stopIfTrue="1" operator="equal">
      <formula>"Napkin Hs"</formula>
    </cfRule>
  </conditionalFormatting>
  <conditionalFormatting sqref="C45">
    <cfRule type="cellIs" dxfId="699" priority="6029" stopIfTrue="1" operator="equal">
      <formula>"Napkin Hs"</formula>
    </cfRule>
  </conditionalFormatting>
  <conditionalFormatting sqref="C45">
    <cfRule type="cellIs" dxfId="698" priority="6023" stopIfTrue="1" operator="equal">
      <formula>"Napkin Hs"</formula>
    </cfRule>
  </conditionalFormatting>
  <conditionalFormatting sqref="C45">
    <cfRule type="cellIs" dxfId="697" priority="6017" stopIfTrue="1" operator="equal">
      <formula>"Napkin Hs"</formula>
    </cfRule>
  </conditionalFormatting>
  <conditionalFormatting sqref="C53">
    <cfRule type="cellIs" dxfId="696" priority="6011" stopIfTrue="1" operator="equal">
      <formula>"Napkin Hs"</formula>
    </cfRule>
  </conditionalFormatting>
  <conditionalFormatting sqref="C50:C52">
    <cfRule type="cellIs" dxfId="695" priority="5999" stopIfTrue="1" operator="equal">
      <formula>"Napkin Hs"</formula>
    </cfRule>
  </conditionalFormatting>
  <conditionalFormatting sqref="C52">
    <cfRule type="cellIs" dxfId="694" priority="5993" stopIfTrue="1" operator="equal">
      <formula>"Napkin Hs"</formula>
    </cfRule>
  </conditionalFormatting>
  <conditionalFormatting sqref="C50">
    <cfRule type="cellIs" dxfId="693" priority="5987" stopIfTrue="1" operator="equal">
      <formula>"Napkin Hs"</formula>
    </cfRule>
  </conditionalFormatting>
  <conditionalFormatting sqref="C50">
    <cfRule type="cellIs" dxfId="692" priority="5981" stopIfTrue="1" operator="equal">
      <formula>"Napkin Hs"</formula>
    </cfRule>
  </conditionalFormatting>
  <conditionalFormatting sqref="C50">
    <cfRule type="cellIs" dxfId="691" priority="5975" stopIfTrue="1" operator="equal">
      <formula>"Napkin Hs"</formula>
    </cfRule>
  </conditionalFormatting>
  <conditionalFormatting sqref="C50">
    <cfRule type="cellIs" dxfId="690" priority="5969" stopIfTrue="1" operator="equal">
      <formula>"Napkin Hs"</formula>
    </cfRule>
  </conditionalFormatting>
  <conditionalFormatting sqref="C50">
    <cfRule type="cellIs" dxfId="689" priority="5963" stopIfTrue="1" operator="equal">
      <formula>"Napkin Hs"</formula>
    </cfRule>
  </conditionalFormatting>
  <conditionalFormatting sqref="C50">
    <cfRule type="cellIs" dxfId="688" priority="5957" stopIfTrue="1" operator="equal">
      <formula>"Napkin Hs"</formula>
    </cfRule>
  </conditionalFormatting>
  <conditionalFormatting sqref="C50">
    <cfRule type="cellIs" dxfId="687" priority="5951" stopIfTrue="1" operator="equal">
      <formula>"Napkin Hs"</formula>
    </cfRule>
  </conditionalFormatting>
  <conditionalFormatting sqref="C51">
    <cfRule type="cellIs" dxfId="686" priority="5945" stopIfTrue="1" operator="equal">
      <formula>"Napkin Hs"</formula>
    </cfRule>
  </conditionalFormatting>
  <conditionalFormatting sqref="C51">
    <cfRule type="cellIs" dxfId="685" priority="5939" stopIfTrue="1" operator="equal">
      <formula>"Napkin Hs"</formula>
    </cfRule>
  </conditionalFormatting>
  <conditionalFormatting sqref="C51">
    <cfRule type="cellIs" dxfId="684" priority="5933" stopIfTrue="1" operator="equal">
      <formula>"Napkin Hs"</formula>
    </cfRule>
  </conditionalFormatting>
  <conditionalFormatting sqref="C51">
    <cfRule type="cellIs" dxfId="683" priority="5927" stopIfTrue="1" operator="equal">
      <formula>"Napkin Hs"</formula>
    </cfRule>
  </conditionalFormatting>
  <conditionalFormatting sqref="C51">
    <cfRule type="cellIs" dxfId="682" priority="5921" stopIfTrue="1" operator="equal">
      <formula>"Napkin Hs"</formula>
    </cfRule>
  </conditionalFormatting>
  <conditionalFormatting sqref="C51">
    <cfRule type="cellIs" dxfId="681" priority="5915" stopIfTrue="1" operator="equal">
      <formula>"Napkin Hs"</formula>
    </cfRule>
  </conditionalFormatting>
  <conditionalFormatting sqref="C51">
    <cfRule type="cellIs" dxfId="680" priority="5909" stopIfTrue="1" operator="equal">
      <formula>"Napkin Hs"</formula>
    </cfRule>
  </conditionalFormatting>
  <conditionalFormatting sqref="C49">
    <cfRule type="cellIs" dxfId="679" priority="5903" stopIfTrue="1" operator="equal">
      <formula>"Napkin Hs"</formula>
    </cfRule>
  </conditionalFormatting>
  <conditionalFormatting sqref="C49">
    <cfRule type="cellIs" dxfId="678" priority="5897" stopIfTrue="1" operator="equal">
      <formula>"Napkin Hs"</formula>
    </cfRule>
  </conditionalFormatting>
  <conditionalFormatting sqref="C49">
    <cfRule type="cellIs" dxfId="677" priority="5891" stopIfTrue="1" operator="equal">
      <formula>"Napkin Hs"</formula>
    </cfRule>
  </conditionalFormatting>
  <conditionalFormatting sqref="C49">
    <cfRule type="cellIs" dxfId="676" priority="5885" stopIfTrue="1" operator="equal">
      <formula>"Napkin Hs"</formula>
    </cfRule>
  </conditionalFormatting>
  <conditionalFormatting sqref="C49">
    <cfRule type="cellIs" dxfId="675" priority="5879" stopIfTrue="1" operator="equal">
      <formula>"Napkin Hs"</formula>
    </cfRule>
  </conditionalFormatting>
  <conditionalFormatting sqref="C49">
    <cfRule type="cellIs" dxfId="674" priority="5873" stopIfTrue="1" operator="equal">
      <formula>"Napkin Hs"</formula>
    </cfRule>
  </conditionalFormatting>
  <conditionalFormatting sqref="C49">
    <cfRule type="cellIs" dxfId="673" priority="5867" stopIfTrue="1" operator="equal">
      <formula>"Napkin Hs"</formula>
    </cfRule>
  </conditionalFormatting>
  <conditionalFormatting sqref="C53:C54">
    <cfRule type="cellIs" dxfId="672" priority="5849" stopIfTrue="1" operator="equal">
      <formula>"Napkin Hs"</formula>
    </cfRule>
  </conditionalFormatting>
  <conditionalFormatting sqref="C56">
    <cfRule type="cellIs" dxfId="671" priority="5861" stopIfTrue="1" operator="equal">
      <formula>"Napkin Hs"</formula>
    </cfRule>
  </conditionalFormatting>
  <conditionalFormatting sqref="C54:C56">
    <cfRule type="cellIs" dxfId="670" priority="5837" stopIfTrue="1" operator="equal">
      <formula>"Napkin Hs"</formula>
    </cfRule>
  </conditionalFormatting>
  <conditionalFormatting sqref="C56">
    <cfRule type="cellIs" dxfId="669" priority="5831" stopIfTrue="1" operator="equal">
      <formula>"Napkin Hs"</formula>
    </cfRule>
  </conditionalFormatting>
  <conditionalFormatting sqref="C54">
    <cfRule type="cellIs" dxfId="668" priority="5825" stopIfTrue="1" operator="equal">
      <formula>"Napkin Hs"</formula>
    </cfRule>
  </conditionalFormatting>
  <conditionalFormatting sqref="C54">
    <cfRule type="cellIs" dxfId="667" priority="5819" stopIfTrue="1" operator="equal">
      <formula>"Napkin Hs"</formula>
    </cfRule>
  </conditionalFormatting>
  <conditionalFormatting sqref="C54">
    <cfRule type="cellIs" dxfId="666" priority="5813" stopIfTrue="1" operator="equal">
      <formula>"Napkin Hs"</formula>
    </cfRule>
  </conditionalFormatting>
  <conditionalFormatting sqref="C54">
    <cfRule type="cellIs" dxfId="665" priority="5807" stopIfTrue="1" operator="equal">
      <formula>"Napkin Hs"</formula>
    </cfRule>
  </conditionalFormatting>
  <conditionalFormatting sqref="C54">
    <cfRule type="cellIs" dxfId="664" priority="5801" stopIfTrue="1" operator="equal">
      <formula>"Napkin Hs"</formula>
    </cfRule>
  </conditionalFormatting>
  <conditionalFormatting sqref="C54">
    <cfRule type="cellIs" dxfId="663" priority="5795" stopIfTrue="1" operator="equal">
      <formula>"Napkin Hs"</formula>
    </cfRule>
  </conditionalFormatting>
  <conditionalFormatting sqref="C54">
    <cfRule type="cellIs" dxfId="662" priority="5789" stopIfTrue="1" operator="equal">
      <formula>"Napkin Hs"</formula>
    </cfRule>
  </conditionalFormatting>
  <conditionalFormatting sqref="C55">
    <cfRule type="cellIs" dxfId="661" priority="5783" stopIfTrue="1" operator="equal">
      <formula>"Napkin Hs"</formula>
    </cfRule>
  </conditionalFormatting>
  <conditionalFormatting sqref="C55">
    <cfRule type="cellIs" dxfId="660" priority="5777" stopIfTrue="1" operator="equal">
      <formula>"Napkin Hs"</formula>
    </cfRule>
  </conditionalFormatting>
  <conditionalFormatting sqref="C55">
    <cfRule type="cellIs" dxfId="659" priority="5771" stopIfTrue="1" operator="equal">
      <formula>"Napkin Hs"</formula>
    </cfRule>
  </conditionalFormatting>
  <conditionalFormatting sqref="C55">
    <cfRule type="cellIs" dxfId="658" priority="5765" stopIfTrue="1" operator="equal">
      <formula>"Napkin Hs"</formula>
    </cfRule>
  </conditionalFormatting>
  <conditionalFormatting sqref="C55">
    <cfRule type="cellIs" dxfId="657" priority="5759" stopIfTrue="1" operator="equal">
      <formula>"Napkin Hs"</formula>
    </cfRule>
  </conditionalFormatting>
  <conditionalFormatting sqref="C55">
    <cfRule type="cellIs" dxfId="656" priority="5753" stopIfTrue="1" operator="equal">
      <formula>"Napkin Hs"</formula>
    </cfRule>
  </conditionalFormatting>
  <conditionalFormatting sqref="C55">
    <cfRule type="cellIs" dxfId="655" priority="5747" stopIfTrue="1" operator="equal">
      <formula>"Napkin Hs"</formula>
    </cfRule>
  </conditionalFormatting>
  <conditionalFormatting sqref="C53">
    <cfRule type="cellIs" dxfId="654" priority="5741" stopIfTrue="1" operator="equal">
      <formula>"Napkin Hs"</formula>
    </cfRule>
  </conditionalFormatting>
  <conditionalFormatting sqref="C53">
    <cfRule type="cellIs" dxfId="653" priority="5735" stopIfTrue="1" operator="equal">
      <formula>"Napkin Hs"</formula>
    </cfRule>
  </conditionalFormatting>
  <conditionalFormatting sqref="C53">
    <cfRule type="cellIs" dxfId="652" priority="5729" stopIfTrue="1" operator="equal">
      <formula>"Napkin Hs"</formula>
    </cfRule>
  </conditionalFormatting>
  <conditionalFormatting sqref="C53">
    <cfRule type="cellIs" dxfId="651" priority="5723" stopIfTrue="1" operator="equal">
      <formula>"Napkin Hs"</formula>
    </cfRule>
  </conditionalFormatting>
  <conditionalFormatting sqref="C53">
    <cfRule type="cellIs" dxfId="650" priority="5717" stopIfTrue="1" operator="equal">
      <formula>"Napkin Hs"</formula>
    </cfRule>
  </conditionalFormatting>
  <conditionalFormatting sqref="C53">
    <cfRule type="cellIs" dxfId="649" priority="5711" stopIfTrue="1" operator="equal">
      <formula>"Napkin Hs"</formula>
    </cfRule>
  </conditionalFormatting>
  <conditionalFormatting sqref="C53">
    <cfRule type="cellIs" dxfId="648" priority="5705" stopIfTrue="1" operator="equal">
      <formula>"Napkin Hs"</formula>
    </cfRule>
  </conditionalFormatting>
  <conditionalFormatting sqref="C57:C59">
    <cfRule type="cellIs" dxfId="647" priority="5693" stopIfTrue="1" operator="equal">
      <formula>"Napkin Hs"</formula>
    </cfRule>
  </conditionalFormatting>
  <conditionalFormatting sqref="C57">
    <cfRule type="cellIs" dxfId="646" priority="5687" stopIfTrue="1" operator="equal">
      <formula>"Napkin Hs"</formula>
    </cfRule>
  </conditionalFormatting>
  <conditionalFormatting sqref="C57:C58">
    <cfRule type="cellIs" dxfId="645" priority="5669" stopIfTrue="1" operator="equal">
      <formula>"Napkin Hs"</formula>
    </cfRule>
  </conditionalFormatting>
  <conditionalFormatting sqref="C60">
    <cfRule type="cellIs" dxfId="644" priority="5681" stopIfTrue="1" operator="equal">
      <formula>"Napkin Hs"</formula>
    </cfRule>
  </conditionalFormatting>
  <conditionalFormatting sqref="C58:C60">
    <cfRule type="cellIs" dxfId="643" priority="5657" stopIfTrue="1" operator="equal">
      <formula>"Napkin Hs"</formula>
    </cfRule>
  </conditionalFormatting>
  <conditionalFormatting sqref="C60">
    <cfRule type="cellIs" dxfId="642" priority="5651" stopIfTrue="1" operator="equal">
      <formula>"Napkin Hs"</formula>
    </cfRule>
  </conditionalFormatting>
  <conditionalFormatting sqref="C58">
    <cfRule type="cellIs" dxfId="641" priority="5645" stopIfTrue="1" operator="equal">
      <formula>"Napkin Hs"</formula>
    </cfRule>
  </conditionalFormatting>
  <conditionalFormatting sqref="C58">
    <cfRule type="cellIs" dxfId="640" priority="5639" stopIfTrue="1" operator="equal">
      <formula>"Napkin Hs"</formula>
    </cfRule>
  </conditionalFormatting>
  <conditionalFormatting sqref="C58">
    <cfRule type="cellIs" dxfId="639" priority="5633" stopIfTrue="1" operator="equal">
      <formula>"Napkin Hs"</formula>
    </cfRule>
  </conditionalFormatting>
  <conditionalFormatting sqref="C58">
    <cfRule type="cellIs" dxfId="638" priority="5627" stopIfTrue="1" operator="equal">
      <formula>"Napkin Hs"</formula>
    </cfRule>
  </conditionalFormatting>
  <conditionalFormatting sqref="C58">
    <cfRule type="cellIs" dxfId="637" priority="5621" stopIfTrue="1" operator="equal">
      <formula>"Napkin Hs"</formula>
    </cfRule>
  </conditionalFormatting>
  <conditionalFormatting sqref="C58">
    <cfRule type="cellIs" dxfId="636" priority="5615" stopIfTrue="1" operator="equal">
      <formula>"Napkin Hs"</formula>
    </cfRule>
  </conditionalFormatting>
  <conditionalFormatting sqref="C58">
    <cfRule type="cellIs" dxfId="635" priority="5609" stopIfTrue="1" operator="equal">
      <formula>"Napkin Hs"</formula>
    </cfRule>
  </conditionalFormatting>
  <conditionalFormatting sqref="C59">
    <cfRule type="cellIs" dxfId="634" priority="5603" stopIfTrue="1" operator="equal">
      <formula>"Napkin Hs"</formula>
    </cfRule>
  </conditionalFormatting>
  <conditionalFormatting sqref="C59">
    <cfRule type="cellIs" dxfId="633" priority="5597" stopIfTrue="1" operator="equal">
      <formula>"Napkin Hs"</formula>
    </cfRule>
  </conditionalFormatting>
  <conditionalFormatting sqref="C59">
    <cfRule type="cellIs" dxfId="632" priority="5591" stopIfTrue="1" operator="equal">
      <formula>"Napkin Hs"</formula>
    </cfRule>
  </conditionalFormatting>
  <conditionalFormatting sqref="C59">
    <cfRule type="cellIs" dxfId="631" priority="5585" stopIfTrue="1" operator="equal">
      <formula>"Napkin Hs"</formula>
    </cfRule>
  </conditionalFormatting>
  <conditionalFormatting sqref="C59">
    <cfRule type="cellIs" dxfId="630" priority="5579" stopIfTrue="1" operator="equal">
      <formula>"Napkin Hs"</formula>
    </cfRule>
  </conditionalFormatting>
  <conditionalFormatting sqref="C59">
    <cfRule type="cellIs" dxfId="629" priority="5573" stopIfTrue="1" operator="equal">
      <formula>"Napkin Hs"</formula>
    </cfRule>
  </conditionalFormatting>
  <conditionalFormatting sqref="C59">
    <cfRule type="cellIs" dxfId="628" priority="5567" stopIfTrue="1" operator="equal">
      <formula>"Napkin Hs"</formula>
    </cfRule>
  </conditionalFormatting>
  <conditionalFormatting sqref="C57">
    <cfRule type="cellIs" dxfId="627" priority="5561" stopIfTrue="1" operator="equal">
      <formula>"Napkin Hs"</formula>
    </cfRule>
  </conditionalFormatting>
  <conditionalFormatting sqref="C57">
    <cfRule type="cellIs" dxfId="626" priority="5555" stopIfTrue="1" operator="equal">
      <formula>"Napkin Hs"</formula>
    </cfRule>
  </conditionalFormatting>
  <conditionalFormatting sqref="C57">
    <cfRule type="cellIs" dxfId="625" priority="5549" stopIfTrue="1" operator="equal">
      <formula>"Napkin Hs"</formula>
    </cfRule>
  </conditionalFormatting>
  <conditionalFormatting sqref="C57">
    <cfRule type="cellIs" dxfId="624" priority="5543" stopIfTrue="1" operator="equal">
      <formula>"Napkin Hs"</formula>
    </cfRule>
  </conditionalFormatting>
  <conditionalFormatting sqref="C57">
    <cfRule type="cellIs" dxfId="623" priority="5537" stopIfTrue="1" operator="equal">
      <formula>"Napkin Hs"</formula>
    </cfRule>
  </conditionalFormatting>
  <conditionalFormatting sqref="C57">
    <cfRule type="cellIs" dxfId="622" priority="5531" stopIfTrue="1" operator="equal">
      <formula>"Napkin Hs"</formula>
    </cfRule>
  </conditionalFormatting>
  <conditionalFormatting sqref="C57">
    <cfRule type="cellIs" dxfId="621" priority="5525" stopIfTrue="1" operator="equal">
      <formula>"Napkin Hs"</formula>
    </cfRule>
  </conditionalFormatting>
  <conditionalFormatting sqref="C61">
    <cfRule type="cellIs" dxfId="620" priority="5513" stopIfTrue="1" operator="equal">
      <formula>"Napkin Hs"</formula>
    </cfRule>
  </conditionalFormatting>
  <conditionalFormatting sqref="C61">
    <cfRule type="cellIs" dxfId="619" priority="5507" stopIfTrue="1" operator="equal">
      <formula>"Napkin Hs"</formula>
    </cfRule>
  </conditionalFormatting>
  <conditionalFormatting sqref="C61">
    <cfRule type="cellIs" dxfId="618" priority="5495" stopIfTrue="1" operator="equal">
      <formula>"Napkin Hs"</formula>
    </cfRule>
  </conditionalFormatting>
  <conditionalFormatting sqref="C64">
    <cfRule type="cellIs" dxfId="617" priority="5501" stopIfTrue="1" operator="equal">
      <formula>"Napkin Hs"</formula>
    </cfRule>
  </conditionalFormatting>
  <conditionalFormatting sqref="C64">
    <cfRule type="cellIs" dxfId="616" priority="5483" stopIfTrue="1" operator="equal">
      <formula>"Napkin Hs"</formula>
    </cfRule>
  </conditionalFormatting>
  <conditionalFormatting sqref="C64">
    <cfRule type="cellIs" dxfId="615" priority="5477" stopIfTrue="1" operator="equal">
      <formula>"Napkin Hs"</formula>
    </cfRule>
  </conditionalFormatting>
  <conditionalFormatting sqref="C61">
    <cfRule type="cellIs" dxfId="614" priority="5471" stopIfTrue="1" operator="equal">
      <formula>"Napkin Hs"</formula>
    </cfRule>
  </conditionalFormatting>
  <conditionalFormatting sqref="C61">
    <cfRule type="cellIs" dxfId="613" priority="5465" stopIfTrue="1" operator="equal">
      <formula>"Napkin Hs"</formula>
    </cfRule>
  </conditionalFormatting>
  <conditionalFormatting sqref="C61">
    <cfRule type="cellIs" dxfId="612" priority="5459" stopIfTrue="1" operator="equal">
      <formula>"Napkin Hs"</formula>
    </cfRule>
  </conditionalFormatting>
  <conditionalFormatting sqref="C61">
    <cfRule type="cellIs" dxfId="611" priority="5453" stopIfTrue="1" operator="equal">
      <formula>"Napkin Hs"</formula>
    </cfRule>
  </conditionalFormatting>
  <conditionalFormatting sqref="C61">
    <cfRule type="cellIs" dxfId="610" priority="5447" stopIfTrue="1" operator="equal">
      <formula>"Napkin Hs"</formula>
    </cfRule>
  </conditionalFormatting>
  <conditionalFormatting sqref="C61">
    <cfRule type="cellIs" dxfId="609" priority="5441" stopIfTrue="1" operator="equal">
      <formula>"Napkin Hs"</formula>
    </cfRule>
  </conditionalFormatting>
  <conditionalFormatting sqref="C61">
    <cfRule type="cellIs" dxfId="608" priority="5435" stopIfTrue="1" operator="equal">
      <formula>"Napkin Hs"</formula>
    </cfRule>
  </conditionalFormatting>
  <conditionalFormatting sqref="C62">
    <cfRule type="cellIs" dxfId="607" priority="5429" stopIfTrue="1" operator="equal">
      <formula>"Napkin Hs"</formula>
    </cfRule>
  </conditionalFormatting>
  <conditionalFormatting sqref="C62">
    <cfRule type="cellIs" dxfId="606" priority="5423" stopIfTrue="1" operator="equal">
      <formula>"Napkin Hs"</formula>
    </cfRule>
  </conditionalFormatting>
  <conditionalFormatting sqref="C62">
    <cfRule type="cellIs" dxfId="605" priority="5417" stopIfTrue="1" operator="equal">
      <formula>"Napkin Hs"</formula>
    </cfRule>
  </conditionalFormatting>
  <conditionalFormatting sqref="C62">
    <cfRule type="cellIs" dxfId="604" priority="5405" stopIfTrue="1" operator="equal">
      <formula>"Napkin Hs"</formula>
    </cfRule>
  </conditionalFormatting>
  <conditionalFormatting sqref="C62">
    <cfRule type="cellIs" dxfId="603" priority="5399" stopIfTrue="1" operator="equal">
      <formula>"Napkin Hs"</formula>
    </cfRule>
  </conditionalFormatting>
  <conditionalFormatting sqref="C62">
    <cfRule type="cellIs" dxfId="602" priority="5393" stopIfTrue="1" operator="equal">
      <formula>"Napkin Hs"</formula>
    </cfRule>
  </conditionalFormatting>
  <conditionalFormatting sqref="C62">
    <cfRule type="cellIs" dxfId="601" priority="5387" stopIfTrue="1" operator="equal">
      <formula>"Napkin Hs"</formula>
    </cfRule>
  </conditionalFormatting>
  <conditionalFormatting sqref="C62">
    <cfRule type="cellIs" dxfId="600" priority="5381" stopIfTrue="1" operator="equal">
      <formula>"Napkin Hs"</formula>
    </cfRule>
  </conditionalFormatting>
  <conditionalFormatting sqref="C62">
    <cfRule type="cellIs" dxfId="599" priority="5375" stopIfTrue="1" operator="equal">
      <formula>"Napkin Hs"</formula>
    </cfRule>
  </conditionalFormatting>
  <conditionalFormatting sqref="C62">
    <cfRule type="cellIs" dxfId="598" priority="5369" stopIfTrue="1" operator="equal">
      <formula>"Napkin Hs"</formula>
    </cfRule>
  </conditionalFormatting>
  <conditionalFormatting sqref="C63">
    <cfRule type="cellIs" dxfId="597" priority="5363" stopIfTrue="1" operator="equal">
      <formula>"Napkin Hs"</formula>
    </cfRule>
  </conditionalFormatting>
  <conditionalFormatting sqref="C63">
    <cfRule type="cellIs" dxfId="596" priority="5357" stopIfTrue="1" operator="equal">
      <formula>"Napkin Hs"</formula>
    </cfRule>
  </conditionalFormatting>
  <conditionalFormatting sqref="C63">
    <cfRule type="cellIs" dxfId="595" priority="5351" stopIfTrue="1" operator="equal">
      <formula>"Napkin Hs"</formula>
    </cfRule>
  </conditionalFormatting>
  <conditionalFormatting sqref="C63">
    <cfRule type="cellIs" dxfId="594" priority="5339" stopIfTrue="1" operator="equal">
      <formula>"Napkin Hs"</formula>
    </cfRule>
  </conditionalFormatting>
  <conditionalFormatting sqref="C63">
    <cfRule type="cellIs" dxfId="593" priority="5333" stopIfTrue="1" operator="equal">
      <formula>"Napkin Hs"</formula>
    </cfRule>
  </conditionalFormatting>
  <conditionalFormatting sqref="C63">
    <cfRule type="cellIs" dxfId="592" priority="5327" stopIfTrue="1" operator="equal">
      <formula>"Napkin Hs"</formula>
    </cfRule>
  </conditionalFormatting>
  <conditionalFormatting sqref="C63">
    <cfRule type="cellIs" dxfId="591" priority="5321" stopIfTrue="1" operator="equal">
      <formula>"Napkin Hs"</formula>
    </cfRule>
  </conditionalFormatting>
  <conditionalFormatting sqref="C63">
    <cfRule type="cellIs" dxfId="590" priority="5315" stopIfTrue="1" operator="equal">
      <formula>"Napkin Hs"</formula>
    </cfRule>
  </conditionalFormatting>
  <conditionalFormatting sqref="C63">
    <cfRule type="cellIs" dxfId="589" priority="5309" stopIfTrue="1" operator="equal">
      <formula>"Napkin Hs"</formula>
    </cfRule>
  </conditionalFormatting>
  <conditionalFormatting sqref="C63">
    <cfRule type="cellIs" dxfId="588" priority="5303" stopIfTrue="1" operator="equal">
      <formula>"Napkin Hs"</formula>
    </cfRule>
  </conditionalFormatting>
  <conditionalFormatting sqref="C67">
    <cfRule type="cellIs" dxfId="587" priority="5297" stopIfTrue="1" operator="equal">
      <formula>"Napkin Hs"</formula>
    </cfRule>
  </conditionalFormatting>
  <conditionalFormatting sqref="C67">
    <cfRule type="cellIs" dxfId="586" priority="5291" stopIfTrue="1" operator="equal">
      <formula>"Napkin Hs"</formula>
    </cfRule>
  </conditionalFormatting>
  <conditionalFormatting sqref="C67">
    <cfRule type="cellIs" dxfId="585" priority="5285" stopIfTrue="1" operator="equal">
      <formula>"Napkin Hs"</formula>
    </cfRule>
  </conditionalFormatting>
  <conditionalFormatting sqref="C67">
    <cfRule type="cellIs" dxfId="584" priority="5273" stopIfTrue="1" operator="equal">
      <formula>"Napkin Hs"</formula>
    </cfRule>
  </conditionalFormatting>
  <conditionalFormatting sqref="C67">
    <cfRule type="cellIs" dxfId="583" priority="5267" stopIfTrue="1" operator="equal">
      <formula>"Napkin Hs"</formula>
    </cfRule>
  </conditionalFormatting>
  <conditionalFormatting sqref="C67">
    <cfRule type="cellIs" dxfId="582" priority="5261" stopIfTrue="1" operator="equal">
      <formula>"Napkin Hs"</formula>
    </cfRule>
  </conditionalFormatting>
  <conditionalFormatting sqref="C67">
    <cfRule type="cellIs" dxfId="581" priority="5255" stopIfTrue="1" operator="equal">
      <formula>"Napkin Hs"</formula>
    </cfRule>
  </conditionalFormatting>
  <conditionalFormatting sqref="C67">
    <cfRule type="cellIs" dxfId="580" priority="5249" stopIfTrue="1" operator="equal">
      <formula>"Napkin Hs"</formula>
    </cfRule>
  </conditionalFormatting>
  <conditionalFormatting sqref="C67">
    <cfRule type="cellIs" dxfId="579" priority="5243" stopIfTrue="1" operator="equal">
      <formula>"Napkin Hs"</formula>
    </cfRule>
  </conditionalFormatting>
  <conditionalFormatting sqref="C67">
    <cfRule type="cellIs" dxfId="578" priority="5237" stopIfTrue="1" operator="equal">
      <formula>"Napkin Hs"</formula>
    </cfRule>
  </conditionalFormatting>
  <conditionalFormatting sqref="C68">
    <cfRule type="cellIs" dxfId="577" priority="5231" stopIfTrue="1" operator="equal">
      <formula>"Napkin Hs"</formula>
    </cfRule>
  </conditionalFormatting>
  <conditionalFormatting sqref="C68">
    <cfRule type="cellIs" dxfId="576" priority="5225" stopIfTrue="1" operator="equal">
      <formula>"Napkin Hs"</formula>
    </cfRule>
  </conditionalFormatting>
  <conditionalFormatting sqref="C68">
    <cfRule type="cellIs" dxfId="575" priority="5219" stopIfTrue="1" operator="equal">
      <formula>"Napkin Hs"</formula>
    </cfRule>
  </conditionalFormatting>
  <conditionalFormatting sqref="C68">
    <cfRule type="cellIs" dxfId="574" priority="5207" stopIfTrue="1" operator="equal">
      <formula>"Napkin Hs"</formula>
    </cfRule>
  </conditionalFormatting>
  <conditionalFormatting sqref="C68">
    <cfRule type="cellIs" dxfId="573" priority="5201" stopIfTrue="1" operator="equal">
      <formula>"Napkin Hs"</formula>
    </cfRule>
  </conditionalFormatting>
  <conditionalFormatting sqref="C68">
    <cfRule type="cellIs" dxfId="572" priority="5195" stopIfTrue="1" operator="equal">
      <formula>"Napkin Hs"</formula>
    </cfRule>
  </conditionalFormatting>
  <conditionalFormatting sqref="C68">
    <cfRule type="cellIs" dxfId="571" priority="5189" stopIfTrue="1" operator="equal">
      <formula>"Napkin Hs"</formula>
    </cfRule>
  </conditionalFormatting>
  <conditionalFormatting sqref="C68">
    <cfRule type="cellIs" dxfId="570" priority="5183" stopIfTrue="1" operator="equal">
      <formula>"Napkin Hs"</formula>
    </cfRule>
  </conditionalFormatting>
  <conditionalFormatting sqref="C68">
    <cfRule type="cellIs" dxfId="569" priority="5177" stopIfTrue="1" operator="equal">
      <formula>"Napkin Hs"</formula>
    </cfRule>
  </conditionalFormatting>
  <conditionalFormatting sqref="C68">
    <cfRule type="cellIs" dxfId="568" priority="5171" stopIfTrue="1" operator="equal">
      <formula>"Napkin Hs"</formula>
    </cfRule>
  </conditionalFormatting>
  <conditionalFormatting sqref="C66">
    <cfRule type="cellIs" dxfId="567" priority="5165" stopIfTrue="1" operator="equal">
      <formula>"Napkin Hs"</formula>
    </cfRule>
  </conditionalFormatting>
  <conditionalFormatting sqref="C66">
    <cfRule type="cellIs" dxfId="566" priority="5159" stopIfTrue="1" operator="equal">
      <formula>"Napkin Hs"</formula>
    </cfRule>
  </conditionalFormatting>
  <conditionalFormatting sqref="C66">
    <cfRule type="cellIs" dxfId="565" priority="5153" stopIfTrue="1" operator="equal">
      <formula>"Napkin Hs"</formula>
    </cfRule>
  </conditionalFormatting>
  <conditionalFormatting sqref="C66">
    <cfRule type="cellIs" dxfId="564" priority="5141" stopIfTrue="1" operator="equal">
      <formula>"Napkin Hs"</formula>
    </cfRule>
  </conditionalFormatting>
  <conditionalFormatting sqref="C66">
    <cfRule type="cellIs" dxfId="563" priority="5135" stopIfTrue="1" operator="equal">
      <formula>"Napkin Hs"</formula>
    </cfRule>
  </conditionalFormatting>
  <conditionalFormatting sqref="C66">
    <cfRule type="cellIs" dxfId="562" priority="5129" stopIfTrue="1" operator="equal">
      <formula>"Napkin Hs"</formula>
    </cfRule>
  </conditionalFormatting>
  <conditionalFormatting sqref="C66">
    <cfRule type="cellIs" dxfId="561" priority="5123" stopIfTrue="1" operator="equal">
      <formula>"Napkin Hs"</formula>
    </cfRule>
  </conditionalFormatting>
  <conditionalFormatting sqref="C66">
    <cfRule type="cellIs" dxfId="560" priority="5117" stopIfTrue="1" operator="equal">
      <formula>"Napkin Hs"</formula>
    </cfRule>
  </conditionalFormatting>
  <conditionalFormatting sqref="C66">
    <cfRule type="cellIs" dxfId="559" priority="5111" stopIfTrue="1" operator="equal">
      <formula>"Napkin Hs"</formula>
    </cfRule>
  </conditionalFormatting>
  <conditionalFormatting sqref="C66">
    <cfRule type="cellIs" dxfId="558" priority="5105" stopIfTrue="1" operator="equal">
      <formula>"Napkin Hs"</formula>
    </cfRule>
  </conditionalFormatting>
  <conditionalFormatting sqref="C73">
    <cfRule type="cellIs" dxfId="557" priority="5099" stopIfTrue="1" operator="equal">
      <formula>"Napkin Hs"</formula>
    </cfRule>
  </conditionalFormatting>
  <conditionalFormatting sqref="C72">
    <cfRule type="cellIs" dxfId="556" priority="5093" stopIfTrue="1" operator="equal">
      <formula>"Napkin Hs"</formula>
    </cfRule>
  </conditionalFormatting>
  <conditionalFormatting sqref="C72">
    <cfRule type="cellIs" dxfId="555" priority="5087" stopIfTrue="1" operator="equal">
      <formula>"Napkin Hs"</formula>
    </cfRule>
  </conditionalFormatting>
  <conditionalFormatting sqref="C72">
    <cfRule type="cellIs" dxfId="554" priority="5081" stopIfTrue="1" operator="equal">
      <formula>"Napkin Hs"</formula>
    </cfRule>
  </conditionalFormatting>
  <conditionalFormatting sqref="C72">
    <cfRule type="cellIs" dxfId="553" priority="5069" stopIfTrue="1" operator="equal">
      <formula>"Napkin Hs"</formula>
    </cfRule>
  </conditionalFormatting>
  <conditionalFormatting sqref="C72">
    <cfRule type="cellIs" dxfId="552" priority="5063" stopIfTrue="1" operator="equal">
      <formula>"Napkin Hs"</formula>
    </cfRule>
  </conditionalFormatting>
  <conditionalFormatting sqref="C72">
    <cfRule type="cellIs" dxfId="551" priority="5057" stopIfTrue="1" operator="equal">
      <formula>"Napkin Hs"</formula>
    </cfRule>
  </conditionalFormatting>
  <conditionalFormatting sqref="C72">
    <cfRule type="cellIs" dxfId="550" priority="5051" stopIfTrue="1" operator="equal">
      <formula>"Napkin Hs"</formula>
    </cfRule>
  </conditionalFormatting>
  <conditionalFormatting sqref="C72">
    <cfRule type="cellIs" dxfId="549" priority="5045" stopIfTrue="1" operator="equal">
      <formula>"Napkin Hs"</formula>
    </cfRule>
  </conditionalFormatting>
  <conditionalFormatting sqref="C72">
    <cfRule type="cellIs" dxfId="548" priority="5039" stopIfTrue="1" operator="equal">
      <formula>"Napkin Hs"</formula>
    </cfRule>
  </conditionalFormatting>
  <conditionalFormatting sqref="C72">
    <cfRule type="cellIs" dxfId="547" priority="5033" stopIfTrue="1" operator="equal">
      <formula>"Napkin Hs"</formula>
    </cfRule>
  </conditionalFormatting>
  <conditionalFormatting sqref="C70">
    <cfRule type="cellIs" dxfId="546" priority="5027" stopIfTrue="1" operator="equal">
      <formula>"Napkin Hs"</formula>
    </cfRule>
  </conditionalFormatting>
  <conditionalFormatting sqref="C70">
    <cfRule type="cellIs" dxfId="545" priority="5021" stopIfTrue="1" operator="equal">
      <formula>"Napkin Hs"</formula>
    </cfRule>
  </conditionalFormatting>
  <conditionalFormatting sqref="C70">
    <cfRule type="cellIs" dxfId="544" priority="5015" stopIfTrue="1" operator="equal">
      <formula>"Napkin Hs"</formula>
    </cfRule>
  </conditionalFormatting>
  <conditionalFormatting sqref="C70">
    <cfRule type="cellIs" dxfId="543" priority="5003" stopIfTrue="1" operator="equal">
      <formula>"Napkin Hs"</formula>
    </cfRule>
  </conditionalFormatting>
  <conditionalFormatting sqref="C70">
    <cfRule type="cellIs" dxfId="542" priority="4997" stopIfTrue="1" operator="equal">
      <formula>"Napkin Hs"</formula>
    </cfRule>
  </conditionalFormatting>
  <conditionalFormatting sqref="C70">
    <cfRule type="cellIs" dxfId="541" priority="4991" stopIfTrue="1" operator="equal">
      <formula>"Napkin Hs"</formula>
    </cfRule>
  </conditionalFormatting>
  <conditionalFormatting sqref="C70">
    <cfRule type="cellIs" dxfId="540" priority="4985" stopIfTrue="1" operator="equal">
      <formula>"Napkin Hs"</formula>
    </cfRule>
  </conditionalFormatting>
  <conditionalFormatting sqref="C70">
    <cfRule type="cellIs" dxfId="539" priority="4979" stopIfTrue="1" operator="equal">
      <formula>"Napkin Hs"</formula>
    </cfRule>
  </conditionalFormatting>
  <conditionalFormatting sqref="C70">
    <cfRule type="cellIs" dxfId="538" priority="4973" stopIfTrue="1" operator="equal">
      <formula>"Napkin Hs"</formula>
    </cfRule>
  </conditionalFormatting>
  <conditionalFormatting sqref="C70">
    <cfRule type="cellIs" dxfId="537" priority="4967" stopIfTrue="1" operator="equal">
      <formula>"Napkin Hs"</formula>
    </cfRule>
  </conditionalFormatting>
  <conditionalFormatting sqref="C71">
    <cfRule type="cellIs" dxfId="536" priority="4961" stopIfTrue="1" operator="equal">
      <formula>"Napkin Hs"</formula>
    </cfRule>
  </conditionalFormatting>
  <conditionalFormatting sqref="C71">
    <cfRule type="cellIs" dxfId="535" priority="4955" stopIfTrue="1" operator="equal">
      <formula>"Napkin Hs"</formula>
    </cfRule>
  </conditionalFormatting>
  <conditionalFormatting sqref="C71">
    <cfRule type="cellIs" dxfId="534" priority="4949" stopIfTrue="1" operator="equal">
      <formula>"Napkin Hs"</formula>
    </cfRule>
  </conditionalFormatting>
  <conditionalFormatting sqref="C71">
    <cfRule type="cellIs" dxfId="533" priority="4937" stopIfTrue="1" operator="equal">
      <formula>"Napkin Hs"</formula>
    </cfRule>
  </conditionalFormatting>
  <conditionalFormatting sqref="C71">
    <cfRule type="cellIs" dxfId="532" priority="4931" stopIfTrue="1" operator="equal">
      <formula>"Napkin Hs"</formula>
    </cfRule>
  </conditionalFormatting>
  <conditionalFormatting sqref="C71">
    <cfRule type="cellIs" dxfId="531" priority="4925" stopIfTrue="1" operator="equal">
      <formula>"Napkin Hs"</formula>
    </cfRule>
  </conditionalFormatting>
  <conditionalFormatting sqref="C71">
    <cfRule type="cellIs" dxfId="530" priority="4919" stopIfTrue="1" operator="equal">
      <formula>"Napkin Hs"</formula>
    </cfRule>
  </conditionalFormatting>
  <conditionalFormatting sqref="C71">
    <cfRule type="cellIs" dxfId="529" priority="4913" stopIfTrue="1" operator="equal">
      <formula>"Napkin Hs"</formula>
    </cfRule>
  </conditionalFormatting>
  <conditionalFormatting sqref="C71">
    <cfRule type="cellIs" dxfId="528" priority="4907" stopIfTrue="1" operator="equal">
      <formula>"Napkin Hs"</formula>
    </cfRule>
  </conditionalFormatting>
  <conditionalFormatting sqref="C71">
    <cfRule type="cellIs" dxfId="527" priority="4901" stopIfTrue="1" operator="equal">
      <formula>"Napkin Hs"</formula>
    </cfRule>
  </conditionalFormatting>
  <conditionalFormatting sqref="C77">
    <cfRule type="cellIs" dxfId="526" priority="4895" stopIfTrue="1" operator="equal">
      <formula>"Napkin Hs"</formula>
    </cfRule>
  </conditionalFormatting>
  <conditionalFormatting sqref="C75">
    <cfRule type="cellIs" dxfId="525" priority="4889" stopIfTrue="1" operator="equal">
      <formula>"Napkin Hs"</formula>
    </cfRule>
  </conditionalFormatting>
  <conditionalFormatting sqref="C75">
    <cfRule type="cellIs" dxfId="524" priority="4883" stopIfTrue="1" operator="equal">
      <formula>"Napkin Hs"</formula>
    </cfRule>
  </conditionalFormatting>
  <conditionalFormatting sqref="C75">
    <cfRule type="cellIs" dxfId="523" priority="4877" stopIfTrue="1" operator="equal">
      <formula>"Napkin Hs"</formula>
    </cfRule>
  </conditionalFormatting>
  <conditionalFormatting sqref="C75">
    <cfRule type="cellIs" dxfId="522" priority="4865" stopIfTrue="1" operator="equal">
      <formula>"Napkin Hs"</formula>
    </cfRule>
  </conditionalFormatting>
  <conditionalFormatting sqref="C75">
    <cfRule type="cellIs" dxfId="521" priority="4859" stopIfTrue="1" operator="equal">
      <formula>"Napkin Hs"</formula>
    </cfRule>
  </conditionalFormatting>
  <conditionalFormatting sqref="C75">
    <cfRule type="cellIs" dxfId="520" priority="4853" stopIfTrue="1" operator="equal">
      <formula>"Napkin Hs"</formula>
    </cfRule>
  </conditionalFormatting>
  <conditionalFormatting sqref="C75">
    <cfRule type="cellIs" dxfId="519" priority="4847" stopIfTrue="1" operator="equal">
      <formula>"Napkin Hs"</formula>
    </cfRule>
  </conditionalFormatting>
  <conditionalFormatting sqref="C75">
    <cfRule type="cellIs" dxfId="518" priority="4841" stopIfTrue="1" operator="equal">
      <formula>"Napkin Hs"</formula>
    </cfRule>
  </conditionalFormatting>
  <conditionalFormatting sqref="C75">
    <cfRule type="cellIs" dxfId="517" priority="4835" stopIfTrue="1" operator="equal">
      <formula>"Napkin Hs"</formula>
    </cfRule>
  </conditionalFormatting>
  <conditionalFormatting sqref="C75">
    <cfRule type="cellIs" dxfId="516" priority="4829" stopIfTrue="1" operator="equal">
      <formula>"Napkin Hs"</formula>
    </cfRule>
  </conditionalFormatting>
  <conditionalFormatting sqref="C74">
    <cfRule type="cellIs" dxfId="515" priority="4823" stopIfTrue="1" operator="equal">
      <formula>"Napkin Hs"</formula>
    </cfRule>
  </conditionalFormatting>
  <conditionalFormatting sqref="C74">
    <cfRule type="cellIs" dxfId="514" priority="4817" stopIfTrue="1" operator="equal">
      <formula>"Napkin Hs"</formula>
    </cfRule>
  </conditionalFormatting>
  <conditionalFormatting sqref="C74">
    <cfRule type="cellIs" dxfId="513" priority="4811" stopIfTrue="1" operator="equal">
      <formula>"Napkin Hs"</formula>
    </cfRule>
  </conditionalFormatting>
  <conditionalFormatting sqref="C74">
    <cfRule type="cellIs" dxfId="512" priority="4805" stopIfTrue="1" operator="equal">
      <formula>"Napkin Hs"</formula>
    </cfRule>
  </conditionalFormatting>
  <conditionalFormatting sqref="C74">
    <cfRule type="cellIs" dxfId="511" priority="4793" stopIfTrue="1" operator="equal">
      <formula>"Napkin Hs"</formula>
    </cfRule>
  </conditionalFormatting>
  <conditionalFormatting sqref="C74">
    <cfRule type="cellIs" dxfId="510" priority="4787" stopIfTrue="1" operator="equal">
      <formula>"Napkin Hs"</formula>
    </cfRule>
  </conditionalFormatting>
  <conditionalFormatting sqref="C74">
    <cfRule type="cellIs" dxfId="509" priority="4781" stopIfTrue="1" operator="equal">
      <formula>"Napkin Hs"</formula>
    </cfRule>
  </conditionalFormatting>
  <conditionalFormatting sqref="C74">
    <cfRule type="cellIs" dxfId="508" priority="4775" stopIfTrue="1" operator="equal">
      <formula>"Napkin Hs"</formula>
    </cfRule>
  </conditionalFormatting>
  <conditionalFormatting sqref="C74">
    <cfRule type="cellIs" dxfId="507" priority="4769" stopIfTrue="1" operator="equal">
      <formula>"Napkin Hs"</formula>
    </cfRule>
  </conditionalFormatting>
  <conditionalFormatting sqref="C74">
    <cfRule type="cellIs" dxfId="506" priority="4763" stopIfTrue="1" operator="equal">
      <formula>"Napkin Hs"</formula>
    </cfRule>
  </conditionalFormatting>
  <conditionalFormatting sqref="C74">
    <cfRule type="cellIs" dxfId="505" priority="4757" stopIfTrue="1" operator="equal">
      <formula>"Napkin Hs"</formula>
    </cfRule>
  </conditionalFormatting>
  <conditionalFormatting sqref="C76">
    <cfRule type="cellIs" dxfId="504" priority="4729" stopIfTrue="1" operator="equal">
      <formula>"Napkin Hs"</formula>
    </cfRule>
  </conditionalFormatting>
  <conditionalFormatting sqref="C76">
    <cfRule type="cellIs" dxfId="503" priority="4723" stopIfTrue="1" operator="equal">
      <formula>"Napkin Hs"</formula>
    </cfRule>
  </conditionalFormatting>
  <conditionalFormatting sqref="C76">
    <cfRule type="cellIs" dxfId="502" priority="4717" stopIfTrue="1" operator="equal">
      <formula>"Napkin Hs"</formula>
    </cfRule>
  </conditionalFormatting>
  <conditionalFormatting sqref="C76">
    <cfRule type="cellIs" dxfId="501" priority="4711" stopIfTrue="1" operator="equal">
      <formula>"Napkin Hs"</formula>
    </cfRule>
  </conditionalFormatting>
  <conditionalFormatting sqref="C76">
    <cfRule type="cellIs" dxfId="500" priority="4699" stopIfTrue="1" operator="equal">
      <formula>"Napkin Hs"</formula>
    </cfRule>
  </conditionalFormatting>
  <conditionalFormatting sqref="C76">
    <cfRule type="cellIs" dxfId="499" priority="4693" stopIfTrue="1" operator="equal">
      <formula>"Napkin Hs"</formula>
    </cfRule>
  </conditionalFormatting>
  <conditionalFormatting sqref="C76">
    <cfRule type="cellIs" dxfId="498" priority="4687" stopIfTrue="1" operator="equal">
      <formula>"Napkin Hs"</formula>
    </cfRule>
  </conditionalFormatting>
  <conditionalFormatting sqref="C76">
    <cfRule type="cellIs" dxfId="497" priority="4681" stopIfTrue="1" operator="equal">
      <formula>"Napkin Hs"</formula>
    </cfRule>
  </conditionalFormatting>
  <conditionalFormatting sqref="C76">
    <cfRule type="cellIs" dxfId="496" priority="4675" stopIfTrue="1" operator="equal">
      <formula>"Napkin Hs"</formula>
    </cfRule>
  </conditionalFormatting>
  <conditionalFormatting sqref="C76">
    <cfRule type="cellIs" dxfId="495" priority="4669" stopIfTrue="1" operator="equal">
      <formula>"Napkin Hs"</formula>
    </cfRule>
  </conditionalFormatting>
  <conditionalFormatting sqref="C76">
    <cfRule type="cellIs" dxfId="494" priority="4663" stopIfTrue="1" operator="equal">
      <formula>"Napkin Hs"</formula>
    </cfRule>
  </conditionalFormatting>
  <conditionalFormatting sqref="C79 C81">
    <cfRule type="cellIs" dxfId="493" priority="4629" stopIfTrue="1" operator="equal">
      <formula>"Napkin Hs"</formula>
    </cfRule>
  </conditionalFormatting>
  <conditionalFormatting sqref="C81">
    <cfRule type="cellIs" dxfId="492" priority="4617" stopIfTrue="1" operator="equal">
      <formula>"Napkin Hs"</formula>
    </cfRule>
  </conditionalFormatting>
  <conditionalFormatting sqref="C79">
    <cfRule type="cellIs" dxfId="491" priority="4611" stopIfTrue="1" operator="equal">
      <formula>"Napkin Hs"</formula>
    </cfRule>
  </conditionalFormatting>
  <conditionalFormatting sqref="C79">
    <cfRule type="cellIs" dxfId="490" priority="4605" stopIfTrue="1" operator="equal">
      <formula>"Napkin Hs"</formula>
    </cfRule>
  </conditionalFormatting>
  <conditionalFormatting sqref="C79">
    <cfRule type="cellIs" dxfId="489" priority="4599" stopIfTrue="1" operator="equal">
      <formula>"Napkin Hs"</formula>
    </cfRule>
  </conditionalFormatting>
  <conditionalFormatting sqref="C79">
    <cfRule type="cellIs" dxfId="488" priority="4587" stopIfTrue="1" operator="equal">
      <formula>"Napkin Hs"</formula>
    </cfRule>
  </conditionalFormatting>
  <conditionalFormatting sqref="C79">
    <cfRule type="cellIs" dxfId="487" priority="4581" stopIfTrue="1" operator="equal">
      <formula>"Napkin Hs"</formula>
    </cfRule>
  </conditionalFormatting>
  <conditionalFormatting sqref="C79">
    <cfRule type="cellIs" dxfId="486" priority="4575" stopIfTrue="1" operator="equal">
      <formula>"Napkin Hs"</formula>
    </cfRule>
  </conditionalFormatting>
  <conditionalFormatting sqref="C79">
    <cfRule type="cellIs" dxfId="485" priority="4569" stopIfTrue="1" operator="equal">
      <formula>"Napkin Hs"</formula>
    </cfRule>
  </conditionalFormatting>
  <conditionalFormatting sqref="C79">
    <cfRule type="cellIs" dxfId="484" priority="4563" stopIfTrue="1" operator="equal">
      <formula>"Napkin Hs"</formula>
    </cfRule>
  </conditionalFormatting>
  <conditionalFormatting sqref="C79">
    <cfRule type="cellIs" dxfId="483" priority="4557" stopIfTrue="1" operator="equal">
      <formula>"Napkin Hs"</formula>
    </cfRule>
  </conditionalFormatting>
  <conditionalFormatting sqref="C79">
    <cfRule type="cellIs" dxfId="482" priority="4551" stopIfTrue="1" operator="equal">
      <formula>"Napkin Hs"</formula>
    </cfRule>
  </conditionalFormatting>
  <conditionalFormatting sqref="C80">
    <cfRule type="cellIs" dxfId="481" priority="4523" stopIfTrue="1" operator="equal">
      <formula>"Napkin Hs"</formula>
    </cfRule>
  </conditionalFormatting>
  <conditionalFormatting sqref="C80">
    <cfRule type="cellIs" dxfId="480" priority="4517" stopIfTrue="1" operator="equal">
      <formula>"Napkin Hs"</formula>
    </cfRule>
  </conditionalFormatting>
  <conditionalFormatting sqref="C80">
    <cfRule type="cellIs" dxfId="479" priority="4511" stopIfTrue="1" operator="equal">
      <formula>"Napkin Hs"</formula>
    </cfRule>
  </conditionalFormatting>
  <conditionalFormatting sqref="C80">
    <cfRule type="cellIs" dxfId="478" priority="4505" stopIfTrue="1" operator="equal">
      <formula>"Napkin Hs"</formula>
    </cfRule>
  </conditionalFormatting>
  <conditionalFormatting sqref="C80">
    <cfRule type="cellIs" dxfId="477" priority="4493" stopIfTrue="1" operator="equal">
      <formula>"Napkin Hs"</formula>
    </cfRule>
  </conditionalFormatting>
  <conditionalFormatting sqref="C80">
    <cfRule type="cellIs" dxfId="476" priority="4487" stopIfTrue="1" operator="equal">
      <formula>"Napkin Hs"</formula>
    </cfRule>
  </conditionalFormatting>
  <conditionalFormatting sqref="C80">
    <cfRule type="cellIs" dxfId="475" priority="4481" stopIfTrue="1" operator="equal">
      <formula>"Napkin Hs"</formula>
    </cfRule>
  </conditionalFormatting>
  <conditionalFormatting sqref="C80">
    <cfRule type="cellIs" dxfId="474" priority="4475" stopIfTrue="1" operator="equal">
      <formula>"Napkin Hs"</formula>
    </cfRule>
  </conditionalFormatting>
  <conditionalFormatting sqref="C80">
    <cfRule type="cellIs" dxfId="473" priority="4469" stopIfTrue="1" operator="equal">
      <formula>"Napkin Hs"</formula>
    </cfRule>
  </conditionalFormatting>
  <conditionalFormatting sqref="C80">
    <cfRule type="cellIs" dxfId="472" priority="4463" stopIfTrue="1" operator="equal">
      <formula>"Napkin Hs"</formula>
    </cfRule>
  </conditionalFormatting>
  <conditionalFormatting sqref="C80">
    <cfRule type="cellIs" dxfId="471" priority="4457" stopIfTrue="1" operator="equal">
      <formula>"Napkin Hs"</formula>
    </cfRule>
  </conditionalFormatting>
  <conditionalFormatting sqref="C78">
    <cfRule type="cellIs" dxfId="470" priority="4429" stopIfTrue="1" operator="equal">
      <formula>"Napkin Hs"</formula>
    </cfRule>
  </conditionalFormatting>
  <conditionalFormatting sqref="C78">
    <cfRule type="cellIs" dxfId="469" priority="4423" stopIfTrue="1" operator="equal">
      <formula>"Napkin Hs"</formula>
    </cfRule>
  </conditionalFormatting>
  <conditionalFormatting sqref="C78">
    <cfRule type="cellIs" dxfId="468" priority="4417" stopIfTrue="1" operator="equal">
      <formula>"Napkin Hs"</formula>
    </cfRule>
  </conditionalFormatting>
  <conditionalFormatting sqref="C78">
    <cfRule type="cellIs" dxfId="467" priority="4411" stopIfTrue="1" operator="equal">
      <formula>"Napkin Hs"</formula>
    </cfRule>
  </conditionalFormatting>
  <conditionalFormatting sqref="C78">
    <cfRule type="cellIs" dxfId="466" priority="4405" stopIfTrue="1" operator="equal">
      <formula>"Napkin Hs"</formula>
    </cfRule>
  </conditionalFormatting>
  <conditionalFormatting sqref="C78">
    <cfRule type="cellIs" dxfId="465" priority="4393" stopIfTrue="1" operator="equal">
      <formula>"Napkin Hs"</formula>
    </cfRule>
  </conditionalFormatting>
  <conditionalFormatting sqref="C78">
    <cfRule type="cellIs" dxfId="464" priority="4387" stopIfTrue="1" operator="equal">
      <formula>"Napkin Hs"</formula>
    </cfRule>
  </conditionalFormatting>
  <conditionalFormatting sqref="C78">
    <cfRule type="cellIs" dxfId="463" priority="4381" stopIfTrue="1" operator="equal">
      <formula>"Napkin Hs"</formula>
    </cfRule>
  </conditionalFormatting>
  <conditionalFormatting sqref="C78">
    <cfRule type="cellIs" dxfId="462" priority="4375" stopIfTrue="1" operator="equal">
      <formula>"Napkin Hs"</formula>
    </cfRule>
  </conditionalFormatting>
  <conditionalFormatting sqref="C78">
    <cfRule type="cellIs" dxfId="461" priority="4369" stopIfTrue="1" operator="equal">
      <formula>"Napkin Hs"</formula>
    </cfRule>
  </conditionalFormatting>
  <conditionalFormatting sqref="C78">
    <cfRule type="cellIs" dxfId="460" priority="4363" stopIfTrue="1" operator="equal">
      <formula>"Napkin Hs"</formula>
    </cfRule>
  </conditionalFormatting>
  <conditionalFormatting sqref="C78">
    <cfRule type="cellIs" dxfId="459" priority="4357" stopIfTrue="1" operator="equal">
      <formula>"Napkin Hs"</formula>
    </cfRule>
  </conditionalFormatting>
  <conditionalFormatting sqref="C84:C85">
    <cfRule type="cellIs" dxfId="458" priority="4329" stopIfTrue="1" operator="equal">
      <formula>"Napkin Hs"</formula>
    </cfRule>
  </conditionalFormatting>
  <conditionalFormatting sqref="C85">
    <cfRule type="cellIs" dxfId="457" priority="4323" stopIfTrue="1" operator="equal">
      <formula>"Napkin Hs"</formula>
    </cfRule>
  </conditionalFormatting>
  <conditionalFormatting sqref="C85">
    <cfRule type="cellIs" dxfId="456" priority="4317" stopIfTrue="1" operator="equal">
      <formula>"Napkin Hs"</formula>
    </cfRule>
  </conditionalFormatting>
  <conditionalFormatting sqref="C84">
    <cfRule type="cellIs" dxfId="455" priority="4311" stopIfTrue="1" operator="equal">
      <formula>"Napkin Hs"</formula>
    </cfRule>
  </conditionalFormatting>
  <conditionalFormatting sqref="C84">
    <cfRule type="cellIs" dxfId="454" priority="4305" stopIfTrue="1" operator="equal">
      <formula>"Napkin Hs"</formula>
    </cfRule>
  </conditionalFormatting>
  <conditionalFormatting sqref="C84">
    <cfRule type="cellIs" dxfId="453" priority="4299" stopIfTrue="1" operator="equal">
      <formula>"Napkin Hs"</formula>
    </cfRule>
  </conditionalFormatting>
  <conditionalFormatting sqref="C84">
    <cfRule type="cellIs" dxfId="452" priority="4293" stopIfTrue="1" operator="equal">
      <formula>"Napkin Hs"</formula>
    </cfRule>
  </conditionalFormatting>
  <conditionalFormatting sqref="C84">
    <cfRule type="cellIs" dxfId="451" priority="4281" stopIfTrue="1" operator="equal">
      <formula>"Napkin Hs"</formula>
    </cfRule>
  </conditionalFormatting>
  <conditionalFormatting sqref="C84">
    <cfRule type="cellIs" dxfId="450" priority="4275" stopIfTrue="1" operator="equal">
      <formula>"Napkin Hs"</formula>
    </cfRule>
  </conditionalFormatting>
  <conditionalFormatting sqref="C84">
    <cfRule type="cellIs" dxfId="449" priority="4269" stopIfTrue="1" operator="equal">
      <formula>"Napkin Hs"</formula>
    </cfRule>
  </conditionalFormatting>
  <conditionalFormatting sqref="C84">
    <cfRule type="cellIs" dxfId="448" priority="4263" stopIfTrue="1" operator="equal">
      <formula>"Napkin Hs"</formula>
    </cfRule>
  </conditionalFormatting>
  <conditionalFormatting sqref="C84">
    <cfRule type="cellIs" dxfId="447" priority="4257" stopIfTrue="1" operator="equal">
      <formula>"Napkin Hs"</formula>
    </cfRule>
  </conditionalFormatting>
  <conditionalFormatting sqref="C84">
    <cfRule type="cellIs" dxfId="446" priority="4251" stopIfTrue="1" operator="equal">
      <formula>"Napkin Hs"</formula>
    </cfRule>
  </conditionalFormatting>
  <conditionalFormatting sqref="C84">
    <cfRule type="cellIs" dxfId="445" priority="4245" stopIfTrue="1" operator="equal">
      <formula>"Napkin Hs"</formula>
    </cfRule>
  </conditionalFormatting>
  <conditionalFormatting sqref="C82">
    <cfRule type="cellIs" dxfId="444" priority="4217" stopIfTrue="1" operator="equal">
      <formula>"Napkin Hs"</formula>
    </cfRule>
  </conditionalFormatting>
  <conditionalFormatting sqref="C82">
    <cfRule type="cellIs" dxfId="443" priority="4211" stopIfTrue="1" operator="equal">
      <formula>"Napkin Hs"</formula>
    </cfRule>
  </conditionalFormatting>
  <conditionalFormatting sqref="C82">
    <cfRule type="cellIs" dxfId="442" priority="4205" stopIfTrue="1" operator="equal">
      <formula>"Napkin Hs"</formula>
    </cfRule>
  </conditionalFormatting>
  <conditionalFormatting sqref="C82">
    <cfRule type="cellIs" dxfId="441" priority="4199" stopIfTrue="1" operator="equal">
      <formula>"Napkin Hs"</formula>
    </cfRule>
  </conditionalFormatting>
  <conditionalFormatting sqref="C82">
    <cfRule type="cellIs" dxfId="440" priority="4193" stopIfTrue="1" operator="equal">
      <formula>"Napkin Hs"</formula>
    </cfRule>
  </conditionalFormatting>
  <conditionalFormatting sqref="C82">
    <cfRule type="cellIs" dxfId="439" priority="4181" stopIfTrue="1" operator="equal">
      <formula>"Napkin Hs"</formula>
    </cfRule>
  </conditionalFormatting>
  <conditionalFormatting sqref="C82">
    <cfRule type="cellIs" dxfId="438" priority="4175" stopIfTrue="1" operator="equal">
      <formula>"Napkin Hs"</formula>
    </cfRule>
  </conditionalFormatting>
  <conditionalFormatting sqref="C82">
    <cfRule type="cellIs" dxfId="437" priority="4169" stopIfTrue="1" operator="equal">
      <formula>"Napkin Hs"</formula>
    </cfRule>
  </conditionalFormatting>
  <conditionalFormatting sqref="C82">
    <cfRule type="cellIs" dxfId="436" priority="4163" stopIfTrue="1" operator="equal">
      <formula>"Napkin Hs"</formula>
    </cfRule>
  </conditionalFormatting>
  <conditionalFormatting sqref="C82">
    <cfRule type="cellIs" dxfId="435" priority="4157" stopIfTrue="1" operator="equal">
      <formula>"Napkin Hs"</formula>
    </cfRule>
  </conditionalFormatting>
  <conditionalFormatting sqref="C82">
    <cfRule type="cellIs" dxfId="434" priority="4151" stopIfTrue="1" operator="equal">
      <formula>"Napkin Hs"</formula>
    </cfRule>
  </conditionalFormatting>
  <conditionalFormatting sqref="C82">
    <cfRule type="cellIs" dxfId="433" priority="4145" stopIfTrue="1" operator="equal">
      <formula>"Napkin Hs"</formula>
    </cfRule>
  </conditionalFormatting>
  <conditionalFormatting sqref="C83">
    <cfRule type="cellIs" dxfId="432" priority="4117" stopIfTrue="1" operator="equal">
      <formula>"Napkin Hs"</formula>
    </cfRule>
  </conditionalFormatting>
  <conditionalFormatting sqref="C83">
    <cfRule type="cellIs" dxfId="431" priority="4099" stopIfTrue="1" operator="equal">
      <formula>"Napkin Hs"</formula>
    </cfRule>
  </conditionalFormatting>
  <conditionalFormatting sqref="C83">
    <cfRule type="cellIs" dxfId="430" priority="4093" stopIfTrue="1" operator="equal">
      <formula>"Napkin Hs"</formula>
    </cfRule>
  </conditionalFormatting>
  <conditionalFormatting sqref="C83">
    <cfRule type="cellIs" dxfId="429" priority="4087" stopIfTrue="1" operator="equal">
      <formula>"Napkin Hs"</formula>
    </cfRule>
  </conditionalFormatting>
  <conditionalFormatting sqref="C83">
    <cfRule type="cellIs" dxfId="428" priority="4081" stopIfTrue="1" operator="equal">
      <formula>"Napkin Hs"</formula>
    </cfRule>
  </conditionalFormatting>
  <conditionalFormatting sqref="C83">
    <cfRule type="cellIs" dxfId="427" priority="4075" stopIfTrue="1" operator="equal">
      <formula>"Napkin Hs"</formula>
    </cfRule>
  </conditionalFormatting>
  <conditionalFormatting sqref="C83">
    <cfRule type="cellIs" dxfId="426" priority="4063" stopIfTrue="1" operator="equal">
      <formula>"Napkin Hs"</formula>
    </cfRule>
  </conditionalFormatting>
  <conditionalFormatting sqref="C83">
    <cfRule type="cellIs" dxfId="425" priority="4057" stopIfTrue="1" operator="equal">
      <formula>"Napkin Hs"</formula>
    </cfRule>
  </conditionalFormatting>
  <conditionalFormatting sqref="C83">
    <cfRule type="cellIs" dxfId="424" priority="4051" stopIfTrue="1" operator="equal">
      <formula>"Napkin Hs"</formula>
    </cfRule>
  </conditionalFormatting>
  <conditionalFormatting sqref="C83">
    <cfRule type="cellIs" dxfId="423" priority="4045" stopIfTrue="1" operator="equal">
      <formula>"Napkin Hs"</formula>
    </cfRule>
  </conditionalFormatting>
  <conditionalFormatting sqref="C83">
    <cfRule type="cellIs" dxfId="422" priority="4039" stopIfTrue="1" operator="equal">
      <formula>"Napkin Hs"</formula>
    </cfRule>
  </conditionalFormatting>
  <conditionalFormatting sqref="C83">
    <cfRule type="cellIs" dxfId="421" priority="4033" stopIfTrue="1" operator="equal">
      <formula>"Napkin Hs"</formula>
    </cfRule>
  </conditionalFormatting>
  <conditionalFormatting sqref="C83">
    <cfRule type="cellIs" dxfId="420" priority="4027" stopIfTrue="1" operator="equal">
      <formula>"Napkin Hs"</formula>
    </cfRule>
  </conditionalFormatting>
  <conditionalFormatting sqref="C86">
    <cfRule type="cellIs" dxfId="419" priority="3993" stopIfTrue="1" operator="equal">
      <formula>"Napkin Hs"</formula>
    </cfRule>
  </conditionalFormatting>
  <conditionalFormatting sqref="C88">
    <cfRule type="cellIs" dxfId="418" priority="3975" stopIfTrue="1" operator="equal">
      <formula>"Napkin Hs"</formula>
    </cfRule>
  </conditionalFormatting>
  <conditionalFormatting sqref="C88">
    <cfRule type="cellIs" dxfId="417" priority="3969" stopIfTrue="1" operator="equal">
      <formula>"Napkin Hs"</formula>
    </cfRule>
  </conditionalFormatting>
  <conditionalFormatting sqref="C88">
    <cfRule type="cellIs" dxfId="416" priority="3963" stopIfTrue="1" operator="equal">
      <formula>"Napkin Hs"</formula>
    </cfRule>
  </conditionalFormatting>
  <conditionalFormatting sqref="C88">
    <cfRule type="cellIs" dxfId="415" priority="3957" stopIfTrue="1" operator="equal">
      <formula>"Napkin Hs"</formula>
    </cfRule>
  </conditionalFormatting>
  <conditionalFormatting sqref="C88">
    <cfRule type="cellIs" dxfId="414" priority="3951" stopIfTrue="1" operator="equal">
      <formula>"Napkin Hs"</formula>
    </cfRule>
  </conditionalFormatting>
  <conditionalFormatting sqref="C88">
    <cfRule type="cellIs" dxfId="413" priority="3939" stopIfTrue="1" operator="equal">
      <formula>"Napkin Hs"</formula>
    </cfRule>
  </conditionalFormatting>
  <conditionalFormatting sqref="C88">
    <cfRule type="cellIs" dxfId="412" priority="3933" stopIfTrue="1" operator="equal">
      <formula>"Napkin Hs"</formula>
    </cfRule>
  </conditionalFormatting>
  <conditionalFormatting sqref="C88">
    <cfRule type="cellIs" dxfId="411" priority="3927" stopIfTrue="1" operator="equal">
      <formula>"Napkin Hs"</formula>
    </cfRule>
  </conditionalFormatting>
  <conditionalFormatting sqref="C88">
    <cfRule type="cellIs" dxfId="410" priority="3921" stopIfTrue="1" operator="equal">
      <formula>"Napkin Hs"</formula>
    </cfRule>
  </conditionalFormatting>
  <conditionalFormatting sqref="C88">
    <cfRule type="cellIs" dxfId="409" priority="3915" stopIfTrue="1" operator="equal">
      <formula>"Napkin Hs"</formula>
    </cfRule>
  </conditionalFormatting>
  <conditionalFormatting sqref="C88">
    <cfRule type="cellIs" dxfId="408" priority="3909" stopIfTrue="1" operator="equal">
      <formula>"Napkin Hs"</formula>
    </cfRule>
  </conditionalFormatting>
  <conditionalFormatting sqref="C88">
    <cfRule type="cellIs" dxfId="407" priority="3903" stopIfTrue="1" operator="equal">
      <formula>"Napkin Hs"</formula>
    </cfRule>
  </conditionalFormatting>
  <conditionalFormatting sqref="C86">
    <cfRule type="cellIs" dxfId="406" priority="3897" stopIfTrue="1" operator="equal">
      <formula>"Napkin Hs"</formula>
    </cfRule>
  </conditionalFormatting>
  <conditionalFormatting sqref="C86">
    <cfRule type="cellIs" dxfId="405" priority="3891" stopIfTrue="1" operator="equal">
      <formula>"Napkin Hs"</formula>
    </cfRule>
  </conditionalFormatting>
  <conditionalFormatting sqref="C86">
    <cfRule type="cellIs" dxfId="404" priority="3885" stopIfTrue="1" operator="equal">
      <formula>"Napkin Hs"</formula>
    </cfRule>
  </conditionalFormatting>
  <conditionalFormatting sqref="C86">
    <cfRule type="cellIs" dxfId="403" priority="3879" stopIfTrue="1" operator="equal">
      <formula>"Napkin Hs"</formula>
    </cfRule>
  </conditionalFormatting>
  <conditionalFormatting sqref="C86">
    <cfRule type="cellIs" dxfId="402" priority="3873" stopIfTrue="1" operator="equal">
      <formula>"Napkin Hs"</formula>
    </cfRule>
  </conditionalFormatting>
  <conditionalFormatting sqref="C86">
    <cfRule type="cellIs" dxfId="401" priority="3861" stopIfTrue="1" operator="equal">
      <formula>"Napkin Hs"</formula>
    </cfRule>
  </conditionalFormatting>
  <conditionalFormatting sqref="C86">
    <cfRule type="cellIs" dxfId="400" priority="3855" stopIfTrue="1" operator="equal">
      <formula>"Napkin Hs"</formula>
    </cfRule>
  </conditionalFormatting>
  <conditionalFormatting sqref="C86">
    <cfRule type="cellIs" dxfId="399" priority="3849" stopIfTrue="1" operator="equal">
      <formula>"Napkin Hs"</formula>
    </cfRule>
  </conditionalFormatting>
  <conditionalFormatting sqref="C86">
    <cfRule type="cellIs" dxfId="398" priority="3843" stopIfTrue="1" operator="equal">
      <formula>"Napkin Hs"</formula>
    </cfRule>
  </conditionalFormatting>
  <conditionalFormatting sqref="C86">
    <cfRule type="cellIs" dxfId="397" priority="3837" stopIfTrue="1" operator="equal">
      <formula>"Napkin Hs"</formula>
    </cfRule>
  </conditionalFormatting>
  <conditionalFormatting sqref="C86">
    <cfRule type="cellIs" dxfId="396" priority="3831" stopIfTrue="1" operator="equal">
      <formula>"Napkin Hs"</formula>
    </cfRule>
  </conditionalFormatting>
  <conditionalFormatting sqref="C86">
    <cfRule type="cellIs" dxfId="395" priority="3825" stopIfTrue="1" operator="equal">
      <formula>"Napkin Hs"</formula>
    </cfRule>
  </conditionalFormatting>
  <conditionalFormatting sqref="C87">
    <cfRule type="cellIs" dxfId="394" priority="3797" stopIfTrue="1" operator="equal">
      <formula>"Napkin Hs"</formula>
    </cfRule>
  </conditionalFormatting>
  <conditionalFormatting sqref="C87">
    <cfRule type="cellIs" dxfId="393" priority="3779" stopIfTrue="1" operator="equal">
      <formula>"Napkin Hs"</formula>
    </cfRule>
  </conditionalFormatting>
  <conditionalFormatting sqref="C87">
    <cfRule type="cellIs" dxfId="392" priority="3773" stopIfTrue="1" operator="equal">
      <formula>"Napkin Hs"</formula>
    </cfRule>
  </conditionalFormatting>
  <conditionalFormatting sqref="C87">
    <cfRule type="cellIs" dxfId="391" priority="3767" stopIfTrue="1" operator="equal">
      <formula>"Napkin Hs"</formula>
    </cfRule>
  </conditionalFormatting>
  <conditionalFormatting sqref="C87">
    <cfRule type="cellIs" dxfId="390" priority="3761" stopIfTrue="1" operator="equal">
      <formula>"Napkin Hs"</formula>
    </cfRule>
  </conditionalFormatting>
  <conditionalFormatting sqref="C87">
    <cfRule type="cellIs" dxfId="389" priority="3755" stopIfTrue="1" operator="equal">
      <formula>"Napkin Hs"</formula>
    </cfRule>
  </conditionalFormatting>
  <conditionalFormatting sqref="C87">
    <cfRule type="cellIs" dxfId="388" priority="3743" stopIfTrue="1" operator="equal">
      <formula>"Napkin Hs"</formula>
    </cfRule>
  </conditionalFormatting>
  <conditionalFormatting sqref="C87">
    <cfRule type="cellIs" dxfId="387" priority="3737" stopIfTrue="1" operator="equal">
      <formula>"Napkin Hs"</formula>
    </cfRule>
  </conditionalFormatting>
  <conditionalFormatting sqref="C87">
    <cfRule type="cellIs" dxfId="386" priority="3731" stopIfTrue="1" operator="equal">
      <formula>"Napkin Hs"</formula>
    </cfRule>
  </conditionalFormatting>
  <conditionalFormatting sqref="C87">
    <cfRule type="cellIs" dxfId="385" priority="3725" stopIfTrue="1" operator="equal">
      <formula>"Napkin Hs"</formula>
    </cfRule>
  </conditionalFormatting>
  <conditionalFormatting sqref="C87">
    <cfRule type="cellIs" dxfId="384" priority="3719" stopIfTrue="1" operator="equal">
      <formula>"Napkin Hs"</formula>
    </cfRule>
  </conditionalFormatting>
  <conditionalFormatting sqref="C87">
    <cfRule type="cellIs" dxfId="383" priority="3713" stopIfTrue="1" operator="equal">
      <formula>"Napkin Hs"</formula>
    </cfRule>
  </conditionalFormatting>
  <conditionalFormatting sqref="C87">
    <cfRule type="cellIs" dxfId="382" priority="3707" stopIfTrue="1" operator="equal">
      <formula>"Napkin Hs"</formula>
    </cfRule>
  </conditionalFormatting>
  <conditionalFormatting sqref="C90">
    <cfRule type="cellIs" dxfId="381" priority="3673" stopIfTrue="1" operator="equal">
      <formula>"Napkin Hs"</formula>
    </cfRule>
  </conditionalFormatting>
  <conditionalFormatting sqref="C92">
    <cfRule type="cellIs" dxfId="380" priority="3655" stopIfTrue="1" operator="equal">
      <formula>"Napkin Hs"</formula>
    </cfRule>
  </conditionalFormatting>
  <conditionalFormatting sqref="C92">
    <cfRule type="cellIs" dxfId="379" priority="3649" stopIfTrue="1" operator="equal">
      <formula>"Napkin Hs"</formula>
    </cfRule>
  </conditionalFormatting>
  <conditionalFormatting sqref="C92">
    <cfRule type="cellIs" dxfId="378" priority="3643" stopIfTrue="1" operator="equal">
      <formula>"Napkin Hs"</formula>
    </cfRule>
  </conditionalFormatting>
  <conditionalFormatting sqref="C92">
    <cfRule type="cellIs" dxfId="377" priority="3637" stopIfTrue="1" operator="equal">
      <formula>"Napkin Hs"</formula>
    </cfRule>
  </conditionalFormatting>
  <conditionalFormatting sqref="C92">
    <cfRule type="cellIs" dxfId="376" priority="3631" stopIfTrue="1" operator="equal">
      <formula>"Napkin Hs"</formula>
    </cfRule>
  </conditionalFormatting>
  <conditionalFormatting sqref="C92">
    <cfRule type="cellIs" dxfId="375" priority="3619" stopIfTrue="1" operator="equal">
      <formula>"Napkin Hs"</formula>
    </cfRule>
  </conditionalFormatting>
  <conditionalFormatting sqref="C92">
    <cfRule type="cellIs" dxfId="374" priority="3613" stopIfTrue="1" operator="equal">
      <formula>"Napkin Hs"</formula>
    </cfRule>
  </conditionalFormatting>
  <conditionalFormatting sqref="C92">
    <cfRule type="cellIs" dxfId="373" priority="3607" stopIfTrue="1" operator="equal">
      <formula>"Napkin Hs"</formula>
    </cfRule>
  </conditionalFormatting>
  <conditionalFormatting sqref="C92">
    <cfRule type="cellIs" dxfId="372" priority="3601" stopIfTrue="1" operator="equal">
      <formula>"Napkin Hs"</formula>
    </cfRule>
  </conditionalFormatting>
  <conditionalFormatting sqref="C92">
    <cfRule type="cellIs" dxfId="371" priority="3595" stopIfTrue="1" operator="equal">
      <formula>"Napkin Hs"</formula>
    </cfRule>
  </conditionalFormatting>
  <conditionalFormatting sqref="C92">
    <cfRule type="cellIs" dxfId="370" priority="3589" stopIfTrue="1" operator="equal">
      <formula>"Napkin Hs"</formula>
    </cfRule>
  </conditionalFormatting>
  <conditionalFormatting sqref="C92">
    <cfRule type="cellIs" dxfId="369" priority="3583" stopIfTrue="1" operator="equal">
      <formula>"Napkin Hs"</formula>
    </cfRule>
  </conditionalFormatting>
  <conditionalFormatting sqref="C90">
    <cfRule type="cellIs" dxfId="368" priority="3555" stopIfTrue="1" operator="equal">
      <formula>"Napkin Hs"</formula>
    </cfRule>
  </conditionalFormatting>
  <conditionalFormatting sqref="C90">
    <cfRule type="cellIs" dxfId="367" priority="3549" stopIfTrue="1" operator="equal">
      <formula>"Napkin Hs"</formula>
    </cfRule>
  </conditionalFormatting>
  <conditionalFormatting sqref="C90">
    <cfRule type="cellIs" dxfId="366" priority="3543" stopIfTrue="1" operator="equal">
      <formula>"Napkin Hs"</formula>
    </cfRule>
  </conditionalFormatting>
  <conditionalFormatting sqref="C90">
    <cfRule type="cellIs" dxfId="365" priority="3537" stopIfTrue="1" operator="equal">
      <formula>"Napkin Hs"</formula>
    </cfRule>
  </conditionalFormatting>
  <conditionalFormatting sqref="C90">
    <cfRule type="cellIs" dxfId="364" priority="3531" stopIfTrue="1" operator="equal">
      <formula>"Napkin Hs"</formula>
    </cfRule>
  </conditionalFormatting>
  <conditionalFormatting sqref="C90">
    <cfRule type="cellIs" dxfId="363" priority="3519" stopIfTrue="1" operator="equal">
      <formula>"Napkin Hs"</formula>
    </cfRule>
  </conditionalFormatting>
  <conditionalFormatting sqref="C90">
    <cfRule type="cellIs" dxfId="362" priority="3513" stopIfTrue="1" operator="equal">
      <formula>"Napkin Hs"</formula>
    </cfRule>
  </conditionalFormatting>
  <conditionalFormatting sqref="C90">
    <cfRule type="cellIs" dxfId="361" priority="3507" stopIfTrue="1" operator="equal">
      <formula>"Napkin Hs"</formula>
    </cfRule>
  </conditionalFormatting>
  <conditionalFormatting sqref="C90">
    <cfRule type="cellIs" dxfId="360" priority="3501" stopIfTrue="1" operator="equal">
      <formula>"Napkin Hs"</formula>
    </cfRule>
  </conditionalFormatting>
  <conditionalFormatting sqref="C90">
    <cfRule type="cellIs" dxfId="359" priority="3495" stopIfTrue="1" operator="equal">
      <formula>"Napkin Hs"</formula>
    </cfRule>
  </conditionalFormatting>
  <conditionalFormatting sqref="C90">
    <cfRule type="cellIs" dxfId="358" priority="3489" stopIfTrue="1" operator="equal">
      <formula>"Napkin Hs"</formula>
    </cfRule>
  </conditionalFormatting>
  <conditionalFormatting sqref="C90">
    <cfRule type="cellIs" dxfId="357" priority="3483" stopIfTrue="1" operator="equal">
      <formula>"Napkin Hs"</formula>
    </cfRule>
  </conditionalFormatting>
  <conditionalFormatting sqref="C91">
    <cfRule type="cellIs" dxfId="356" priority="3455" stopIfTrue="1" operator="equal">
      <formula>"Napkin Hs"</formula>
    </cfRule>
  </conditionalFormatting>
  <conditionalFormatting sqref="C91">
    <cfRule type="cellIs" dxfId="355" priority="3437" stopIfTrue="1" operator="equal">
      <formula>"Napkin Hs"</formula>
    </cfRule>
  </conditionalFormatting>
  <conditionalFormatting sqref="C91">
    <cfRule type="cellIs" dxfId="354" priority="3431" stopIfTrue="1" operator="equal">
      <formula>"Napkin Hs"</formula>
    </cfRule>
  </conditionalFormatting>
  <conditionalFormatting sqref="C91">
    <cfRule type="cellIs" dxfId="353" priority="3425" stopIfTrue="1" operator="equal">
      <formula>"Napkin Hs"</formula>
    </cfRule>
  </conditionalFormatting>
  <conditionalFormatting sqref="C91">
    <cfRule type="cellIs" dxfId="352" priority="3419" stopIfTrue="1" operator="equal">
      <formula>"Napkin Hs"</formula>
    </cfRule>
  </conditionalFormatting>
  <conditionalFormatting sqref="C91">
    <cfRule type="cellIs" dxfId="351" priority="3413" stopIfTrue="1" operator="equal">
      <formula>"Napkin Hs"</formula>
    </cfRule>
  </conditionalFormatting>
  <conditionalFormatting sqref="C91">
    <cfRule type="cellIs" dxfId="350" priority="3401" stopIfTrue="1" operator="equal">
      <formula>"Napkin Hs"</formula>
    </cfRule>
  </conditionalFormatting>
  <conditionalFormatting sqref="C91">
    <cfRule type="cellIs" dxfId="349" priority="3395" stopIfTrue="1" operator="equal">
      <formula>"Napkin Hs"</formula>
    </cfRule>
  </conditionalFormatting>
  <conditionalFormatting sqref="C91">
    <cfRule type="cellIs" dxfId="348" priority="3389" stopIfTrue="1" operator="equal">
      <formula>"Napkin Hs"</formula>
    </cfRule>
  </conditionalFormatting>
  <conditionalFormatting sqref="C91">
    <cfRule type="cellIs" dxfId="347" priority="3383" stopIfTrue="1" operator="equal">
      <formula>"Napkin Hs"</formula>
    </cfRule>
  </conditionalFormatting>
  <conditionalFormatting sqref="C91">
    <cfRule type="cellIs" dxfId="346" priority="3377" stopIfTrue="1" operator="equal">
      <formula>"Napkin Hs"</formula>
    </cfRule>
  </conditionalFormatting>
  <conditionalFormatting sqref="C91">
    <cfRule type="cellIs" dxfId="345" priority="3371" stopIfTrue="1" operator="equal">
      <formula>"Napkin Hs"</formula>
    </cfRule>
  </conditionalFormatting>
  <conditionalFormatting sqref="C91">
    <cfRule type="cellIs" dxfId="344" priority="3365" stopIfTrue="1" operator="equal">
      <formula>"Napkin Hs"</formula>
    </cfRule>
  </conditionalFormatting>
  <conditionalFormatting sqref="C97">
    <cfRule type="cellIs" dxfId="343" priority="3337" stopIfTrue="1" operator="equal">
      <formula>"Napkin Hs"</formula>
    </cfRule>
  </conditionalFormatting>
  <conditionalFormatting sqref="C94">
    <cfRule type="cellIs" dxfId="342" priority="3325" stopIfTrue="1" operator="equal">
      <formula>"Napkin Hs"</formula>
    </cfRule>
  </conditionalFormatting>
  <conditionalFormatting sqref="C96">
    <cfRule type="cellIs" dxfId="341" priority="3307" stopIfTrue="1" operator="equal">
      <formula>"Napkin Hs"</formula>
    </cfRule>
  </conditionalFormatting>
  <conditionalFormatting sqref="C96">
    <cfRule type="cellIs" dxfId="340" priority="3301" stopIfTrue="1" operator="equal">
      <formula>"Napkin Hs"</formula>
    </cfRule>
  </conditionalFormatting>
  <conditionalFormatting sqref="C96">
    <cfRule type="cellIs" dxfId="339" priority="3295" stopIfTrue="1" operator="equal">
      <formula>"Napkin Hs"</formula>
    </cfRule>
  </conditionalFormatting>
  <conditionalFormatting sqref="C96">
    <cfRule type="cellIs" dxfId="338" priority="3289" stopIfTrue="1" operator="equal">
      <formula>"Napkin Hs"</formula>
    </cfRule>
  </conditionalFormatting>
  <conditionalFormatting sqref="C96">
    <cfRule type="cellIs" dxfId="337" priority="3283" stopIfTrue="1" operator="equal">
      <formula>"Napkin Hs"</formula>
    </cfRule>
  </conditionalFormatting>
  <conditionalFormatting sqref="C96">
    <cfRule type="cellIs" dxfId="336" priority="3271" stopIfTrue="1" operator="equal">
      <formula>"Napkin Hs"</formula>
    </cfRule>
  </conditionalFormatting>
  <conditionalFormatting sqref="C96">
    <cfRule type="cellIs" dxfId="335" priority="3265" stopIfTrue="1" operator="equal">
      <formula>"Napkin Hs"</formula>
    </cfRule>
  </conditionalFormatting>
  <conditionalFormatting sqref="C96">
    <cfRule type="cellIs" dxfId="334" priority="3259" stopIfTrue="1" operator="equal">
      <formula>"Napkin Hs"</formula>
    </cfRule>
  </conditionalFormatting>
  <conditionalFormatting sqref="C96">
    <cfRule type="cellIs" dxfId="333" priority="3253" stopIfTrue="1" operator="equal">
      <formula>"Napkin Hs"</formula>
    </cfRule>
  </conditionalFormatting>
  <conditionalFormatting sqref="C96">
    <cfRule type="cellIs" dxfId="332" priority="3247" stopIfTrue="1" operator="equal">
      <formula>"Napkin Hs"</formula>
    </cfRule>
  </conditionalFormatting>
  <conditionalFormatting sqref="C96">
    <cfRule type="cellIs" dxfId="331" priority="3241" stopIfTrue="1" operator="equal">
      <formula>"Napkin Hs"</formula>
    </cfRule>
  </conditionalFormatting>
  <conditionalFormatting sqref="C96">
    <cfRule type="cellIs" dxfId="330" priority="3235" stopIfTrue="1" operator="equal">
      <formula>"Napkin Hs"</formula>
    </cfRule>
  </conditionalFormatting>
  <conditionalFormatting sqref="C94">
    <cfRule type="cellIs" dxfId="329" priority="3207" stopIfTrue="1" operator="equal">
      <formula>"Napkin Hs"</formula>
    </cfRule>
  </conditionalFormatting>
  <conditionalFormatting sqref="C94">
    <cfRule type="cellIs" dxfId="328" priority="3201" stopIfTrue="1" operator="equal">
      <formula>"Napkin Hs"</formula>
    </cfRule>
  </conditionalFormatting>
  <conditionalFormatting sqref="C94">
    <cfRule type="cellIs" dxfId="327" priority="3195" stopIfTrue="1" operator="equal">
      <formula>"Napkin Hs"</formula>
    </cfRule>
  </conditionalFormatting>
  <conditionalFormatting sqref="C94">
    <cfRule type="cellIs" dxfId="326" priority="3189" stopIfTrue="1" operator="equal">
      <formula>"Napkin Hs"</formula>
    </cfRule>
  </conditionalFormatting>
  <conditionalFormatting sqref="C94">
    <cfRule type="cellIs" dxfId="325" priority="3183" stopIfTrue="1" operator="equal">
      <formula>"Napkin Hs"</formula>
    </cfRule>
  </conditionalFormatting>
  <conditionalFormatting sqref="C94">
    <cfRule type="cellIs" dxfId="324" priority="3171" stopIfTrue="1" operator="equal">
      <formula>"Napkin Hs"</formula>
    </cfRule>
  </conditionalFormatting>
  <conditionalFormatting sqref="C94">
    <cfRule type="cellIs" dxfId="323" priority="3165" stopIfTrue="1" operator="equal">
      <formula>"Napkin Hs"</formula>
    </cfRule>
  </conditionalFormatting>
  <conditionalFormatting sqref="C94">
    <cfRule type="cellIs" dxfId="322" priority="3159" stopIfTrue="1" operator="equal">
      <formula>"Napkin Hs"</formula>
    </cfRule>
  </conditionalFormatting>
  <conditionalFormatting sqref="C94">
    <cfRule type="cellIs" dxfId="321" priority="3153" stopIfTrue="1" operator="equal">
      <formula>"Napkin Hs"</formula>
    </cfRule>
  </conditionalFormatting>
  <conditionalFormatting sqref="C94">
    <cfRule type="cellIs" dxfId="320" priority="3147" stopIfTrue="1" operator="equal">
      <formula>"Napkin Hs"</formula>
    </cfRule>
  </conditionalFormatting>
  <conditionalFormatting sqref="C94">
    <cfRule type="cellIs" dxfId="319" priority="3141" stopIfTrue="1" operator="equal">
      <formula>"Napkin Hs"</formula>
    </cfRule>
  </conditionalFormatting>
  <conditionalFormatting sqref="C94">
    <cfRule type="cellIs" dxfId="318" priority="3135" stopIfTrue="1" operator="equal">
      <formula>"Napkin Hs"</formula>
    </cfRule>
  </conditionalFormatting>
  <conditionalFormatting sqref="C95">
    <cfRule type="cellIs" dxfId="317" priority="3107" stopIfTrue="1" operator="equal">
      <formula>"Napkin Hs"</formula>
    </cfRule>
  </conditionalFormatting>
  <conditionalFormatting sqref="C95">
    <cfRule type="cellIs" dxfId="316" priority="3089" stopIfTrue="1" operator="equal">
      <formula>"Napkin Hs"</formula>
    </cfRule>
  </conditionalFormatting>
  <conditionalFormatting sqref="C95">
    <cfRule type="cellIs" dxfId="315" priority="3083" stopIfTrue="1" operator="equal">
      <formula>"Napkin Hs"</formula>
    </cfRule>
  </conditionalFormatting>
  <conditionalFormatting sqref="C95">
    <cfRule type="cellIs" dxfId="314" priority="3077" stopIfTrue="1" operator="equal">
      <formula>"Napkin Hs"</formula>
    </cfRule>
  </conditionalFormatting>
  <conditionalFormatting sqref="C95">
    <cfRule type="cellIs" dxfId="313" priority="3071" stopIfTrue="1" operator="equal">
      <formula>"Napkin Hs"</formula>
    </cfRule>
  </conditionalFormatting>
  <conditionalFormatting sqref="C95">
    <cfRule type="cellIs" dxfId="312" priority="3065" stopIfTrue="1" operator="equal">
      <formula>"Napkin Hs"</formula>
    </cfRule>
  </conditionalFormatting>
  <conditionalFormatting sqref="C95">
    <cfRule type="cellIs" dxfId="311" priority="3053" stopIfTrue="1" operator="equal">
      <formula>"Napkin Hs"</formula>
    </cfRule>
  </conditionalFormatting>
  <conditionalFormatting sqref="C95">
    <cfRule type="cellIs" dxfId="310" priority="3047" stopIfTrue="1" operator="equal">
      <formula>"Napkin Hs"</formula>
    </cfRule>
  </conditionalFormatting>
  <conditionalFormatting sqref="C95">
    <cfRule type="cellIs" dxfId="309" priority="3041" stopIfTrue="1" operator="equal">
      <formula>"Napkin Hs"</formula>
    </cfRule>
  </conditionalFormatting>
  <conditionalFormatting sqref="C95">
    <cfRule type="cellIs" dxfId="308" priority="3035" stopIfTrue="1" operator="equal">
      <formula>"Napkin Hs"</formula>
    </cfRule>
  </conditionalFormatting>
  <conditionalFormatting sqref="C95">
    <cfRule type="cellIs" dxfId="307" priority="3029" stopIfTrue="1" operator="equal">
      <formula>"Napkin Hs"</formula>
    </cfRule>
  </conditionalFormatting>
  <conditionalFormatting sqref="C95">
    <cfRule type="cellIs" dxfId="306" priority="3023" stopIfTrue="1" operator="equal">
      <formula>"Napkin Hs"</formula>
    </cfRule>
  </conditionalFormatting>
  <conditionalFormatting sqref="C95">
    <cfRule type="cellIs" dxfId="305" priority="3017" stopIfTrue="1" operator="equal">
      <formula>"Napkin Hs"</formula>
    </cfRule>
  </conditionalFormatting>
  <conditionalFormatting sqref="C100">
    <cfRule type="cellIs" dxfId="304" priority="2983" stopIfTrue="1" operator="equal">
      <formula>"Napkin Hs"</formula>
    </cfRule>
  </conditionalFormatting>
  <conditionalFormatting sqref="C100">
    <cfRule type="cellIs" dxfId="303" priority="2977" stopIfTrue="1" operator="equal">
      <formula>"Napkin Hs"</formula>
    </cfRule>
  </conditionalFormatting>
  <conditionalFormatting sqref="C100">
    <cfRule type="cellIs" dxfId="302" priority="2971" stopIfTrue="1" operator="equal">
      <formula>"Napkin Hs"</formula>
    </cfRule>
  </conditionalFormatting>
  <conditionalFormatting sqref="C100">
    <cfRule type="cellIs" dxfId="301" priority="2965" stopIfTrue="1" operator="equal">
      <formula>"Napkin Hs"</formula>
    </cfRule>
  </conditionalFormatting>
  <conditionalFormatting sqref="C100">
    <cfRule type="cellIs" dxfId="300" priority="2959" stopIfTrue="1" operator="equal">
      <formula>"Napkin Hs"</formula>
    </cfRule>
  </conditionalFormatting>
  <conditionalFormatting sqref="C100">
    <cfRule type="cellIs" dxfId="299" priority="2947" stopIfTrue="1" operator="equal">
      <formula>"Napkin Hs"</formula>
    </cfRule>
  </conditionalFormatting>
  <conditionalFormatting sqref="C100">
    <cfRule type="cellIs" dxfId="298" priority="2941" stopIfTrue="1" operator="equal">
      <formula>"Napkin Hs"</formula>
    </cfRule>
  </conditionalFormatting>
  <conditionalFormatting sqref="C100">
    <cfRule type="cellIs" dxfId="297" priority="2935" stopIfTrue="1" operator="equal">
      <formula>"Napkin Hs"</formula>
    </cfRule>
  </conditionalFormatting>
  <conditionalFormatting sqref="C100">
    <cfRule type="cellIs" dxfId="296" priority="2929" stopIfTrue="1" operator="equal">
      <formula>"Napkin Hs"</formula>
    </cfRule>
  </conditionalFormatting>
  <conditionalFormatting sqref="C100">
    <cfRule type="cellIs" dxfId="295" priority="2923" stopIfTrue="1" operator="equal">
      <formula>"Napkin Hs"</formula>
    </cfRule>
  </conditionalFormatting>
  <conditionalFormatting sqref="C100">
    <cfRule type="cellIs" dxfId="294" priority="2917" stopIfTrue="1" operator="equal">
      <formula>"Napkin Hs"</formula>
    </cfRule>
  </conditionalFormatting>
  <conditionalFormatting sqref="C100">
    <cfRule type="cellIs" dxfId="293" priority="2911" stopIfTrue="1" operator="equal">
      <formula>"Napkin Hs"</formula>
    </cfRule>
  </conditionalFormatting>
  <conditionalFormatting sqref="C99">
    <cfRule type="cellIs" dxfId="292" priority="2905" stopIfTrue="1" operator="equal">
      <formula>"Napkin Hs"</formula>
    </cfRule>
  </conditionalFormatting>
  <conditionalFormatting sqref="C99">
    <cfRule type="cellIs" dxfId="291" priority="2887" stopIfTrue="1" operator="equal">
      <formula>"Napkin Hs"</formula>
    </cfRule>
  </conditionalFormatting>
  <conditionalFormatting sqref="C99">
    <cfRule type="cellIs" dxfId="290" priority="2881" stopIfTrue="1" operator="equal">
      <formula>"Napkin Hs"</formula>
    </cfRule>
  </conditionalFormatting>
  <conditionalFormatting sqref="C99">
    <cfRule type="cellIs" dxfId="289" priority="2875" stopIfTrue="1" operator="equal">
      <formula>"Napkin Hs"</formula>
    </cfRule>
  </conditionalFormatting>
  <conditionalFormatting sqref="C99">
    <cfRule type="cellIs" dxfId="288" priority="2869" stopIfTrue="1" operator="equal">
      <formula>"Napkin Hs"</formula>
    </cfRule>
  </conditionalFormatting>
  <conditionalFormatting sqref="C99">
    <cfRule type="cellIs" dxfId="287" priority="2863" stopIfTrue="1" operator="equal">
      <formula>"Napkin Hs"</formula>
    </cfRule>
  </conditionalFormatting>
  <conditionalFormatting sqref="C99">
    <cfRule type="cellIs" dxfId="286" priority="2851" stopIfTrue="1" operator="equal">
      <formula>"Napkin Hs"</formula>
    </cfRule>
  </conditionalFormatting>
  <conditionalFormatting sqref="C99">
    <cfRule type="cellIs" dxfId="285" priority="2845" stopIfTrue="1" operator="equal">
      <formula>"Napkin Hs"</formula>
    </cfRule>
  </conditionalFormatting>
  <conditionalFormatting sqref="C99">
    <cfRule type="cellIs" dxfId="284" priority="2839" stopIfTrue="1" operator="equal">
      <formula>"Napkin Hs"</formula>
    </cfRule>
  </conditionalFormatting>
  <conditionalFormatting sqref="C99">
    <cfRule type="cellIs" dxfId="283" priority="2833" stopIfTrue="1" operator="equal">
      <formula>"Napkin Hs"</formula>
    </cfRule>
  </conditionalFormatting>
  <conditionalFormatting sqref="C99">
    <cfRule type="cellIs" dxfId="282" priority="2827" stopIfTrue="1" operator="equal">
      <formula>"Napkin Hs"</formula>
    </cfRule>
  </conditionalFormatting>
  <conditionalFormatting sqref="C99">
    <cfRule type="cellIs" dxfId="281" priority="2821" stopIfTrue="1" operator="equal">
      <formula>"Napkin Hs"</formula>
    </cfRule>
  </conditionalFormatting>
  <conditionalFormatting sqref="C99">
    <cfRule type="cellIs" dxfId="280" priority="2815" stopIfTrue="1" operator="equal">
      <formula>"Napkin Hs"</formula>
    </cfRule>
  </conditionalFormatting>
  <conditionalFormatting sqref="C98">
    <cfRule type="cellIs" dxfId="279" priority="2787" stopIfTrue="1" operator="equal">
      <formula>"Napkin Hs"</formula>
    </cfRule>
  </conditionalFormatting>
  <conditionalFormatting sqref="C98">
    <cfRule type="cellIs" dxfId="278" priority="2769" stopIfTrue="1" operator="equal">
      <formula>"Napkin Hs"</formula>
    </cfRule>
  </conditionalFormatting>
  <conditionalFormatting sqref="C98">
    <cfRule type="cellIs" dxfId="277" priority="2763" stopIfTrue="1" operator="equal">
      <formula>"Napkin Hs"</formula>
    </cfRule>
  </conditionalFormatting>
  <conditionalFormatting sqref="C98">
    <cfRule type="cellIs" dxfId="276" priority="2757" stopIfTrue="1" operator="equal">
      <formula>"Napkin Hs"</formula>
    </cfRule>
  </conditionalFormatting>
  <conditionalFormatting sqref="C98">
    <cfRule type="cellIs" dxfId="275" priority="2751" stopIfTrue="1" operator="equal">
      <formula>"Napkin Hs"</formula>
    </cfRule>
  </conditionalFormatting>
  <conditionalFormatting sqref="C98">
    <cfRule type="cellIs" dxfId="274" priority="2745" stopIfTrue="1" operator="equal">
      <formula>"Napkin Hs"</formula>
    </cfRule>
  </conditionalFormatting>
  <conditionalFormatting sqref="C98">
    <cfRule type="cellIs" dxfId="273" priority="2733" stopIfTrue="1" operator="equal">
      <formula>"Napkin Hs"</formula>
    </cfRule>
  </conditionalFormatting>
  <conditionalFormatting sqref="C98">
    <cfRule type="cellIs" dxfId="272" priority="2727" stopIfTrue="1" operator="equal">
      <formula>"Napkin Hs"</formula>
    </cfRule>
  </conditionalFormatting>
  <conditionalFormatting sqref="C98">
    <cfRule type="cellIs" dxfId="271" priority="2721" stopIfTrue="1" operator="equal">
      <formula>"Napkin Hs"</formula>
    </cfRule>
  </conditionalFormatting>
  <conditionalFormatting sqref="C98">
    <cfRule type="cellIs" dxfId="270" priority="2715" stopIfTrue="1" operator="equal">
      <formula>"Napkin Hs"</formula>
    </cfRule>
  </conditionalFormatting>
  <conditionalFormatting sqref="C98">
    <cfRule type="cellIs" dxfId="269" priority="2709" stopIfTrue="1" operator="equal">
      <formula>"Napkin Hs"</formula>
    </cfRule>
  </conditionalFormatting>
  <conditionalFormatting sqref="C98">
    <cfRule type="cellIs" dxfId="268" priority="2703" stopIfTrue="1" operator="equal">
      <formula>"Napkin Hs"</formula>
    </cfRule>
  </conditionalFormatting>
  <conditionalFormatting sqref="C98">
    <cfRule type="cellIs" dxfId="267" priority="2697" stopIfTrue="1" operator="equal">
      <formula>"Napkin Hs"</formula>
    </cfRule>
  </conditionalFormatting>
  <conditionalFormatting sqref="C106">
    <cfRule type="cellIs" dxfId="266" priority="2663" stopIfTrue="1" operator="equal">
      <formula>"Napkin Hs"</formula>
    </cfRule>
  </conditionalFormatting>
  <conditionalFormatting sqref="C110">
    <cfRule type="cellIs" dxfId="265" priority="2657" stopIfTrue="1" operator="equal">
      <formula>"Napkin Hs"</formula>
    </cfRule>
  </conditionalFormatting>
  <conditionalFormatting sqref="C103:C105">
    <cfRule type="cellIs" dxfId="264" priority="2651" stopIfTrue="1" operator="equal">
      <formula>"Napkin Hs"</formula>
    </cfRule>
  </conditionalFormatting>
  <conditionalFormatting sqref="C103:C105">
    <cfRule type="cellIs" dxfId="263" priority="2633" stopIfTrue="1" operator="equal">
      <formula>"Napkin Hs"</formula>
    </cfRule>
  </conditionalFormatting>
  <conditionalFormatting sqref="C103:C105">
    <cfRule type="cellIs" dxfId="262" priority="2627" stopIfTrue="1" operator="equal">
      <formula>"Napkin Hs"</formula>
    </cfRule>
  </conditionalFormatting>
  <conditionalFormatting sqref="C103:C105">
    <cfRule type="cellIs" dxfId="261" priority="2621" stopIfTrue="1" operator="equal">
      <formula>"Napkin Hs"</formula>
    </cfRule>
  </conditionalFormatting>
  <conditionalFormatting sqref="C103:C105">
    <cfRule type="cellIs" dxfId="260" priority="2615" stopIfTrue="1" operator="equal">
      <formula>"Napkin Hs"</formula>
    </cfRule>
  </conditionalFormatting>
  <conditionalFormatting sqref="C103:C105">
    <cfRule type="cellIs" dxfId="259" priority="2609" stopIfTrue="1" operator="equal">
      <formula>"Napkin Hs"</formula>
    </cfRule>
  </conditionalFormatting>
  <conditionalFormatting sqref="C103:C105">
    <cfRule type="cellIs" dxfId="258" priority="2597" stopIfTrue="1" operator="equal">
      <formula>"Napkin Hs"</formula>
    </cfRule>
  </conditionalFormatting>
  <conditionalFormatting sqref="C103:C105">
    <cfRule type="cellIs" dxfId="257" priority="2591" stopIfTrue="1" operator="equal">
      <formula>"Napkin Hs"</formula>
    </cfRule>
  </conditionalFormatting>
  <conditionalFormatting sqref="C103:C105">
    <cfRule type="cellIs" dxfId="256" priority="2585" stopIfTrue="1" operator="equal">
      <formula>"Napkin Hs"</formula>
    </cfRule>
  </conditionalFormatting>
  <conditionalFormatting sqref="C103:C105">
    <cfRule type="cellIs" dxfId="255" priority="2579" stopIfTrue="1" operator="equal">
      <formula>"Napkin Hs"</formula>
    </cfRule>
  </conditionalFormatting>
  <conditionalFormatting sqref="C103:C105">
    <cfRule type="cellIs" dxfId="254" priority="2573" stopIfTrue="1" operator="equal">
      <formula>"Napkin Hs"</formula>
    </cfRule>
  </conditionalFormatting>
  <conditionalFormatting sqref="C103:C105">
    <cfRule type="cellIs" dxfId="253" priority="2567" stopIfTrue="1" operator="equal">
      <formula>"Napkin Hs"</formula>
    </cfRule>
  </conditionalFormatting>
  <conditionalFormatting sqref="C103:C105">
    <cfRule type="cellIs" dxfId="252" priority="2561" stopIfTrue="1" operator="equal">
      <formula>"Napkin Hs"</formula>
    </cfRule>
  </conditionalFormatting>
  <conditionalFormatting sqref="C102">
    <cfRule type="cellIs" dxfId="251" priority="2533" stopIfTrue="1" operator="equal">
      <formula>"Napkin Hs"</formula>
    </cfRule>
  </conditionalFormatting>
  <conditionalFormatting sqref="C102">
    <cfRule type="cellIs" dxfId="250" priority="2515" stopIfTrue="1" operator="equal">
      <formula>"Napkin Hs"</formula>
    </cfRule>
  </conditionalFormatting>
  <conditionalFormatting sqref="C102">
    <cfRule type="cellIs" dxfId="249" priority="2509" stopIfTrue="1" operator="equal">
      <formula>"Napkin Hs"</formula>
    </cfRule>
  </conditionalFormatting>
  <conditionalFormatting sqref="C102">
    <cfRule type="cellIs" dxfId="248" priority="2503" stopIfTrue="1" operator="equal">
      <formula>"Napkin Hs"</formula>
    </cfRule>
  </conditionalFormatting>
  <conditionalFormatting sqref="C102">
    <cfRule type="cellIs" dxfId="247" priority="2497" stopIfTrue="1" operator="equal">
      <formula>"Napkin Hs"</formula>
    </cfRule>
  </conditionalFormatting>
  <conditionalFormatting sqref="C102">
    <cfRule type="cellIs" dxfId="246" priority="2491" stopIfTrue="1" operator="equal">
      <formula>"Napkin Hs"</formula>
    </cfRule>
  </conditionalFormatting>
  <conditionalFormatting sqref="C102">
    <cfRule type="cellIs" dxfId="245" priority="2479" stopIfTrue="1" operator="equal">
      <formula>"Napkin Hs"</formula>
    </cfRule>
  </conditionalFormatting>
  <conditionalFormatting sqref="C102">
    <cfRule type="cellIs" dxfId="244" priority="2473" stopIfTrue="1" operator="equal">
      <formula>"Napkin Hs"</formula>
    </cfRule>
  </conditionalFormatting>
  <conditionalFormatting sqref="C102">
    <cfRule type="cellIs" dxfId="243" priority="2467" stopIfTrue="1" operator="equal">
      <formula>"Napkin Hs"</formula>
    </cfRule>
  </conditionalFormatting>
  <conditionalFormatting sqref="C102">
    <cfRule type="cellIs" dxfId="242" priority="2461" stopIfTrue="1" operator="equal">
      <formula>"Napkin Hs"</formula>
    </cfRule>
  </conditionalFormatting>
  <conditionalFormatting sqref="C102">
    <cfRule type="cellIs" dxfId="241" priority="2455" stopIfTrue="1" operator="equal">
      <formula>"Napkin Hs"</formula>
    </cfRule>
  </conditionalFormatting>
  <conditionalFormatting sqref="C102">
    <cfRule type="cellIs" dxfId="240" priority="2449" stopIfTrue="1" operator="equal">
      <formula>"Napkin Hs"</formula>
    </cfRule>
  </conditionalFormatting>
  <conditionalFormatting sqref="C102">
    <cfRule type="cellIs" dxfId="239" priority="2443" stopIfTrue="1" operator="equal">
      <formula>"Napkin Hs"</formula>
    </cfRule>
  </conditionalFormatting>
  <conditionalFormatting sqref="C109">
    <cfRule type="cellIs" dxfId="238" priority="2409" stopIfTrue="1" operator="equal">
      <formula>"Napkin Hs"</formula>
    </cfRule>
  </conditionalFormatting>
  <conditionalFormatting sqref="C109">
    <cfRule type="cellIs" dxfId="237" priority="2403" stopIfTrue="1" operator="equal">
      <formula>"Napkin Hs"</formula>
    </cfRule>
  </conditionalFormatting>
  <conditionalFormatting sqref="C109">
    <cfRule type="cellIs" dxfId="236" priority="2397" stopIfTrue="1" operator="equal">
      <formula>"Napkin Hs"</formula>
    </cfRule>
  </conditionalFormatting>
  <conditionalFormatting sqref="C109">
    <cfRule type="cellIs" dxfId="235" priority="2391" stopIfTrue="1" operator="equal">
      <formula>"Napkin Hs"</formula>
    </cfRule>
  </conditionalFormatting>
  <conditionalFormatting sqref="C109">
    <cfRule type="cellIs" dxfId="234" priority="2385" stopIfTrue="1" operator="equal">
      <formula>"Napkin Hs"</formula>
    </cfRule>
  </conditionalFormatting>
  <conditionalFormatting sqref="C109">
    <cfRule type="cellIs" dxfId="233" priority="2373" stopIfTrue="1" operator="equal">
      <formula>"Napkin Hs"</formula>
    </cfRule>
  </conditionalFormatting>
  <conditionalFormatting sqref="C109">
    <cfRule type="cellIs" dxfId="232" priority="2367" stopIfTrue="1" operator="equal">
      <formula>"Napkin Hs"</formula>
    </cfRule>
  </conditionalFormatting>
  <conditionalFormatting sqref="C109">
    <cfRule type="cellIs" dxfId="231" priority="2361" stopIfTrue="1" operator="equal">
      <formula>"Napkin Hs"</formula>
    </cfRule>
  </conditionalFormatting>
  <conditionalFormatting sqref="C109">
    <cfRule type="cellIs" dxfId="230" priority="2355" stopIfTrue="1" operator="equal">
      <formula>"Napkin Hs"</formula>
    </cfRule>
  </conditionalFormatting>
  <conditionalFormatting sqref="C109">
    <cfRule type="cellIs" dxfId="229" priority="2349" stopIfTrue="1" operator="equal">
      <formula>"Napkin Hs"</formula>
    </cfRule>
  </conditionalFormatting>
  <conditionalFormatting sqref="C109">
    <cfRule type="cellIs" dxfId="228" priority="2343" stopIfTrue="1" operator="equal">
      <formula>"Napkin Hs"</formula>
    </cfRule>
  </conditionalFormatting>
  <conditionalFormatting sqref="C109">
    <cfRule type="cellIs" dxfId="227" priority="2337" stopIfTrue="1" operator="equal">
      <formula>"Napkin Hs"</formula>
    </cfRule>
  </conditionalFormatting>
  <conditionalFormatting sqref="C107:C108">
    <cfRule type="cellIs" dxfId="226" priority="2309" stopIfTrue="1" operator="equal">
      <formula>"Napkin Hs"</formula>
    </cfRule>
  </conditionalFormatting>
  <conditionalFormatting sqref="C107:C108">
    <cfRule type="cellIs" dxfId="225" priority="2291" stopIfTrue="1" operator="equal">
      <formula>"Napkin Hs"</formula>
    </cfRule>
  </conditionalFormatting>
  <conditionalFormatting sqref="C107:C108">
    <cfRule type="cellIs" dxfId="224" priority="2285" stopIfTrue="1" operator="equal">
      <formula>"Napkin Hs"</formula>
    </cfRule>
  </conditionalFormatting>
  <conditionalFormatting sqref="C107:C108">
    <cfRule type="cellIs" dxfId="223" priority="2279" stopIfTrue="1" operator="equal">
      <formula>"Napkin Hs"</formula>
    </cfRule>
  </conditionalFormatting>
  <conditionalFormatting sqref="C107:C108">
    <cfRule type="cellIs" dxfId="222" priority="2273" stopIfTrue="1" operator="equal">
      <formula>"Napkin Hs"</formula>
    </cfRule>
  </conditionalFormatting>
  <conditionalFormatting sqref="C107:C108">
    <cfRule type="cellIs" dxfId="221" priority="2267" stopIfTrue="1" operator="equal">
      <formula>"Napkin Hs"</formula>
    </cfRule>
  </conditionalFormatting>
  <conditionalFormatting sqref="C107:C108">
    <cfRule type="cellIs" dxfId="220" priority="2255" stopIfTrue="1" operator="equal">
      <formula>"Napkin Hs"</formula>
    </cfRule>
  </conditionalFormatting>
  <conditionalFormatting sqref="C107:C108">
    <cfRule type="cellIs" dxfId="219" priority="2249" stopIfTrue="1" operator="equal">
      <formula>"Napkin Hs"</formula>
    </cfRule>
  </conditionalFormatting>
  <conditionalFormatting sqref="C107:C108">
    <cfRule type="cellIs" dxfId="218" priority="2243" stopIfTrue="1" operator="equal">
      <formula>"Napkin Hs"</formula>
    </cfRule>
  </conditionalFormatting>
  <conditionalFormatting sqref="C107:C108">
    <cfRule type="cellIs" dxfId="217" priority="2237" stopIfTrue="1" operator="equal">
      <formula>"Napkin Hs"</formula>
    </cfRule>
  </conditionalFormatting>
  <conditionalFormatting sqref="C107:C108">
    <cfRule type="cellIs" dxfId="216" priority="2231" stopIfTrue="1" operator="equal">
      <formula>"Napkin Hs"</formula>
    </cfRule>
  </conditionalFormatting>
  <conditionalFormatting sqref="C107:C108">
    <cfRule type="cellIs" dxfId="215" priority="2225" stopIfTrue="1" operator="equal">
      <formula>"Napkin Hs"</formula>
    </cfRule>
  </conditionalFormatting>
  <conditionalFormatting sqref="C107:C108">
    <cfRule type="cellIs" dxfId="214" priority="2219" stopIfTrue="1" operator="equal">
      <formula>"Napkin Hs"</formula>
    </cfRule>
  </conditionalFormatting>
  <conditionalFormatting sqref="C112">
    <cfRule type="cellIs" dxfId="213" priority="2179" stopIfTrue="1" operator="equal">
      <formula>"Napkin Hs"</formula>
    </cfRule>
  </conditionalFormatting>
  <conditionalFormatting sqref="C114">
    <cfRule type="cellIs" dxfId="212" priority="2155" stopIfTrue="1" operator="equal">
      <formula>"Napkin Hs"</formula>
    </cfRule>
  </conditionalFormatting>
  <conditionalFormatting sqref="C113">
    <cfRule type="cellIs" dxfId="211" priority="2131" stopIfTrue="1" operator="equal">
      <formula>"Napkin Hs"</formula>
    </cfRule>
  </conditionalFormatting>
  <conditionalFormatting sqref="C113">
    <cfRule type="cellIs" dxfId="210" priority="2125" stopIfTrue="1" operator="equal">
      <formula>"Napkin Hs"</formula>
    </cfRule>
  </conditionalFormatting>
  <conditionalFormatting sqref="C113">
    <cfRule type="cellIs" dxfId="209" priority="2119" stopIfTrue="1" operator="equal">
      <formula>"Napkin Hs"</formula>
    </cfRule>
  </conditionalFormatting>
  <conditionalFormatting sqref="C113">
    <cfRule type="cellIs" dxfId="208" priority="2113" stopIfTrue="1" operator="equal">
      <formula>"Napkin Hs"</formula>
    </cfRule>
  </conditionalFormatting>
  <conditionalFormatting sqref="C113">
    <cfRule type="cellIs" dxfId="207" priority="2107" stopIfTrue="1" operator="equal">
      <formula>"Napkin Hs"</formula>
    </cfRule>
  </conditionalFormatting>
  <conditionalFormatting sqref="C113">
    <cfRule type="cellIs" dxfId="206" priority="2095" stopIfTrue="1" operator="equal">
      <formula>"Napkin Hs"</formula>
    </cfRule>
  </conditionalFormatting>
  <conditionalFormatting sqref="C113">
    <cfRule type="cellIs" dxfId="205" priority="2089" stopIfTrue="1" operator="equal">
      <formula>"Napkin Hs"</formula>
    </cfRule>
  </conditionalFormatting>
  <conditionalFormatting sqref="C113">
    <cfRule type="cellIs" dxfId="204" priority="2083" stopIfTrue="1" operator="equal">
      <formula>"Napkin Hs"</formula>
    </cfRule>
  </conditionalFormatting>
  <conditionalFormatting sqref="C113">
    <cfRule type="cellIs" dxfId="203" priority="2077" stopIfTrue="1" operator="equal">
      <formula>"Napkin Hs"</formula>
    </cfRule>
  </conditionalFormatting>
  <conditionalFormatting sqref="C113">
    <cfRule type="cellIs" dxfId="202" priority="2071" stopIfTrue="1" operator="equal">
      <formula>"Napkin Hs"</formula>
    </cfRule>
  </conditionalFormatting>
  <conditionalFormatting sqref="C113">
    <cfRule type="cellIs" dxfId="201" priority="2065" stopIfTrue="1" operator="equal">
      <formula>"Napkin Hs"</formula>
    </cfRule>
  </conditionalFormatting>
  <conditionalFormatting sqref="C113">
    <cfRule type="cellIs" dxfId="200" priority="2059" stopIfTrue="1" operator="equal">
      <formula>"Napkin Hs"</formula>
    </cfRule>
  </conditionalFormatting>
  <conditionalFormatting sqref="C112">
    <cfRule type="cellIs" dxfId="199" priority="2031" stopIfTrue="1" operator="equal">
      <formula>"Napkin Hs"</formula>
    </cfRule>
  </conditionalFormatting>
  <conditionalFormatting sqref="C112">
    <cfRule type="cellIs" dxfId="198" priority="2013" stopIfTrue="1" operator="equal">
      <formula>"Napkin Hs"</formula>
    </cfRule>
  </conditionalFormatting>
  <conditionalFormatting sqref="C112">
    <cfRule type="cellIs" dxfId="197" priority="2007" stopIfTrue="1" operator="equal">
      <formula>"Napkin Hs"</formula>
    </cfRule>
  </conditionalFormatting>
  <conditionalFormatting sqref="C112">
    <cfRule type="cellIs" dxfId="196" priority="2001" stopIfTrue="1" operator="equal">
      <formula>"Napkin Hs"</formula>
    </cfRule>
  </conditionalFormatting>
  <conditionalFormatting sqref="C112">
    <cfRule type="cellIs" dxfId="195" priority="1995" stopIfTrue="1" operator="equal">
      <formula>"Napkin Hs"</formula>
    </cfRule>
  </conditionalFormatting>
  <conditionalFormatting sqref="C112">
    <cfRule type="cellIs" dxfId="194" priority="1989" stopIfTrue="1" operator="equal">
      <formula>"Napkin Hs"</formula>
    </cfRule>
  </conditionalFormatting>
  <conditionalFormatting sqref="C112">
    <cfRule type="cellIs" dxfId="193" priority="1977" stopIfTrue="1" operator="equal">
      <formula>"Napkin Hs"</formula>
    </cfRule>
  </conditionalFormatting>
  <conditionalFormatting sqref="C112">
    <cfRule type="cellIs" dxfId="192" priority="1971" stopIfTrue="1" operator="equal">
      <formula>"Napkin Hs"</formula>
    </cfRule>
  </conditionalFormatting>
  <conditionalFormatting sqref="C112">
    <cfRule type="cellIs" dxfId="191" priority="1965" stopIfTrue="1" operator="equal">
      <formula>"Napkin Hs"</formula>
    </cfRule>
  </conditionalFormatting>
  <conditionalFormatting sqref="C112">
    <cfRule type="cellIs" dxfId="190" priority="1959" stopIfTrue="1" operator="equal">
      <formula>"Napkin Hs"</formula>
    </cfRule>
  </conditionalFormatting>
  <conditionalFormatting sqref="C112">
    <cfRule type="cellIs" dxfId="189" priority="1953" stopIfTrue="1" operator="equal">
      <formula>"Napkin Hs"</formula>
    </cfRule>
  </conditionalFormatting>
  <conditionalFormatting sqref="C112">
    <cfRule type="cellIs" dxfId="188" priority="1947" stopIfTrue="1" operator="equal">
      <formula>"Napkin Hs"</formula>
    </cfRule>
  </conditionalFormatting>
  <conditionalFormatting sqref="C112">
    <cfRule type="cellIs" dxfId="187" priority="1941" stopIfTrue="1" operator="equal">
      <formula>"Napkin Hs"</formula>
    </cfRule>
  </conditionalFormatting>
  <conditionalFormatting sqref="C111">
    <cfRule type="cellIs" dxfId="186" priority="1913" stopIfTrue="1" operator="equal">
      <formula>"Napkin Hs"</formula>
    </cfRule>
  </conditionalFormatting>
  <conditionalFormatting sqref="C111">
    <cfRule type="cellIs" dxfId="185" priority="1907" stopIfTrue="1" operator="equal">
      <formula>"Napkin Hs"</formula>
    </cfRule>
  </conditionalFormatting>
  <conditionalFormatting sqref="C111">
    <cfRule type="cellIs" dxfId="184" priority="1889" stopIfTrue="1" operator="equal">
      <formula>"Napkin Hs"</formula>
    </cfRule>
  </conditionalFormatting>
  <conditionalFormatting sqref="C111">
    <cfRule type="cellIs" dxfId="183" priority="1883" stopIfTrue="1" operator="equal">
      <formula>"Napkin Hs"</formula>
    </cfRule>
  </conditionalFormatting>
  <conditionalFormatting sqref="C111">
    <cfRule type="cellIs" dxfId="182" priority="1877" stopIfTrue="1" operator="equal">
      <formula>"Napkin Hs"</formula>
    </cfRule>
  </conditionalFormatting>
  <conditionalFormatting sqref="C111">
    <cfRule type="cellIs" dxfId="181" priority="1871" stopIfTrue="1" operator="equal">
      <formula>"Napkin Hs"</formula>
    </cfRule>
  </conditionalFormatting>
  <conditionalFormatting sqref="C111">
    <cfRule type="cellIs" dxfId="180" priority="1865" stopIfTrue="1" operator="equal">
      <formula>"Napkin Hs"</formula>
    </cfRule>
  </conditionalFormatting>
  <conditionalFormatting sqref="C111">
    <cfRule type="cellIs" dxfId="179" priority="1853" stopIfTrue="1" operator="equal">
      <formula>"Napkin Hs"</formula>
    </cfRule>
  </conditionalFormatting>
  <conditionalFormatting sqref="C111">
    <cfRule type="cellIs" dxfId="178" priority="1847" stopIfTrue="1" operator="equal">
      <formula>"Napkin Hs"</formula>
    </cfRule>
  </conditionalFormatting>
  <conditionalFormatting sqref="C111">
    <cfRule type="cellIs" dxfId="177" priority="1841" stopIfTrue="1" operator="equal">
      <formula>"Napkin Hs"</formula>
    </cfRule>
  </conditionalFormatting>
  <conditionalFormatting sqref="C111">
    <cfRule type="cellIs" dxfId="176" priority="1835" stopIfTrue="1" operator="equal">
      <formula>"Napkin Hs"</formula>
    </cfRule>
  </conditionalFormatting>
  <conditionalFormatting sqref="C111">
    <cfRule type="cellIs" dxfId="175" priority="1829" stopIfTrue="1" operator="equal">
      <formula>"Napkin Hs"</formula>
    </cfRule>
  </conditionalFormatting>
  <conditionalFormatting sqref="C111">
    <cfRule type="cellIs" dxfId="174" priority="1823" stopIfTrue="1" operator="equal">
      <formula>"Napkin Hs"</formula>
    </cfRule>
  </conditionalFormatting>
  <conditionalFormatting sqref="C111">
    <cfRule type="cellIs" dxfId="173" priority="1817" stopIfTrue="1" operator="equal">
      <formula>"Napkin Hs"</formula>
    </cfRule>
  </conditionalFormatting>
  <conditionalFormatting sqref="C115 C117">
    <cfRule type="cellIs" dxfId="172" priority="1777" stopIfTrue="1" operator="equal">
      <formula>"Napkin Hs"</formula>
    </cfRule>
  </conditionalFormatting>
  <conditionalFormatting sqref="C122">
    <cfRule type="cellIs" dxfId="171" priority="1759" stopIfTrue="1" operator="equal">
      <formula>"Napkin Hs"</formula>
    </cfRule>
  </conditionalFormatting>
  <conditionalFormatting sqref="C115">
    <cfRule type="cellIs" dxfId="170" priority="1747" stopIfTrue="1" operator="equal">
      <formula>"Napkin Hs"</formula>
    </cfRule>
  </conditionalFormatting>
  <conditionalFormatting sqref="C118">
    <cfRule type="cellIs" dxfId="169" priority="1729" stopIfTrue="1" operator="equal">
      <formula>"Napkin Hs"</formula>
    </cfRule>
  </conditionalFormatting>
  <conditionalFormatting sqref="C117">
    <cfRule type="cellIs" dxfId="168" priority="1717" stopIfTrue="1" operator="equal">
      <formula>"Napkin Hs"</formula>
    </cfRule>
  </conditionalFormatting>
  <conditionalFormatting sqref="C117">
    <cfRule type="cellIs" dxfId="167" priority="1711" stopIfTrue="1" operator="equal">
      <formula>"Napkin Hs"</formula>
    </cfRule>
  </conditionalFormatting>
  <conditionalFormatting sqref="C117">
    <cfRule type="cellIs" dxfId="166" priority="1705" stopIfTrue="1" operator="equal">
      <formula>"Napkin Hs"</formula>
    </cfRule>
  </conditionalFormatting>
  <conditionalFormatting sqref="C117">
    <cfRule type="cellIs" dxfId="165" priority="1699" stopIfTrue="1" operator="equal">
      <formula>"Napkin Hs"</formula>
    </cfRule>
  </conditionalFormatting>
  <conditionalFormatting sqref="C117">
    <cfRule type="cellIs" dxfId="164" priority="1693" stopIfTrue="1" operator="equal">
      <formula>"Napkin Hs"</formula>
    </cfRule>
  </conditionalFormatting>
  <conditionalFormatting sqref="C117">
    <cfRule type="cellIs" dxfId="163" priority="1681" stopIfTrue="1" operator="equal">
      <formula>"Napkin Hs"</formula>
    </cfRule>
  </conditionalFormatting>
  <conditionalFormatting sqref="C117">
    <cfRule type="cellIs" dxfId="162" priority="1675" stopIfTrue="1" operator="equal">
      <formula>"Napkin Hs"</formula>
    </cfRule>
  </conditionalFormatting>
  <conditionalFormatting sqref="C117">
    <cfRule type="cellIs" dxfId="161" priority="1669" stopIfTrue="1" operator="equal">
      <formula>"Napkin Hs"</formula>
    </cfRule>
  </conditionalFormatting>
  <conditionalFormatting sqref="C117">
    <cfRule type="cellIs" dxfId="160" priority="1663" stopIfTrue="1" operator="equal">
      <formula>"Napkin Hs"</formula>
    </cfRule>
  </conditionalFormatting>
  <conditionalFormatting sqref="C117">
    <cfRule type="cellIs" dxfId="159" priority="1657" stopIfTrue="1" operator="equal">
      <formula>"Napkin Hs"</formula>
    </cfRule>
  </conditionalFormatting>
  <conditionalFormatting sqref="C117">
    <cfRule type="cellIs" dxfId="158" priority="1651" stopIfTrue="1" operator="equal">
      <formula>"Napkin Hs"</formula>
    </cfRule>
  </conditionalFormatting>
  <conditionalFormatting sqref="C117">
    <cfRule type="cellIs" dxfId="157" priority="1645" stopIfTrue="1" operator="equal">
      <formula>"Napkin Hs"</formula>
    </cfRule>
  </conditionalFormatting>
  <conditionalFormatting sqref="C115">
    <cfRule type="cellIs" dxfId="156" priority="1617" stopIfTrue="1" operator="equal">
      <formula>"Napkin Hs"</formula>
    </cfRule>
  </conditionalFormatting>
  <conditionalFormatting sqref="C115">
    <cfRule type="cellIs" dxfId="155" priority="1611" stopIfTrue="1" operator="equal">
      <formula>"Napkin Hs"</formula>
    </cfRule>
  </conditionalFormatting>
  <conditionalFormatting sqref="C115">
    <cfRule type="cellIs" dxfId="154" priority="1593" stopIfTrue="1" operator="equal">
      <formula>"Napkin Hs"</formula>
    </cfRule>
  </conditionalFormatting>
  <conditionalFormatting sqref="C115">
    <cfRule type="cellIs" dxfId="153" priority="1587" stopIfTrue="1" operator="equal">
      <formula>"Napkin Hs"</formula>
    </cfRule>
  </conditionalFormatting>
  <conditionalFormatting sqref="C115">
    <cfRule type="cellIs" dxfId="152" priority="1581" stopIfTrue="1" operator="equal">
      <formula>"Napkin Hs"</formula>
    </cfRule>
  </conditionalFormatting>
  <conditionalFormatting sqref="C115">
    <cfRule type="cellIs" dxfId="151" priority="1575" stopIfTrue="1" operator="equal">
      <formula>"Napkin Hs"</formula>
    </cfRule>
  </conditionalFormatting>
  <conditionalFormatting sqref="C115">
    <cfRule type="cellIs" dxfId="150" priority="1569" stopIfTrue="1" operator="equal">
      <formula>"Napkin Hs"</formula>
    </cfRule>
  </conditionalFormatting>
  <conditionalFormatting sqref="C115">
    <cfRule type="cellIs" dxfId="149" priority="1557" stopIfTrue="1" operator="equal">
      <formula>"Napkin Hs"</formula>
    </cfRule>
  </conditionalFormatting>
  <conditionalFormatting sqref="C115">
    <cfRule type="cellIs" dxfId="148" priority="1551" stopIfTrue="1" operator="equal">
      <formula>"Napkin Hs"</formula>
    </cfRule>
  </conditionalFormatting>
  <conditionalFormatting sqref="C115">
    <cfRule type="cellIs" dxfId="147" priority="1545" stopIfTrue="1" operator="equal">
      <formula>"Napkin Hs"</formula>
    </cfRule>
  </conditionalFormatting>
  <conditionalFormatting sqref="C115">
    <cfRule type="cellIs" dxfId="146" priority="1539" stopIfTrue="1" operator="equal">
      <formula>"Napkin Hs"</formula>
    </cfRule>
  </conditionalFormatting>
  <conditionalFormatting sqref="C115">
    <cfRule type="cellIs" dxfId="145" priority="1533" stopIfTrue="1" operator="equal">
      <formula>"Napkin Hs"</formula>
    </cfRule>
  </conditionalFormatting>
  <conditionalFormatting sqref="C115">
    <cfRule type="cellIs" dxfId="144" priority="1527" stopIfTrue="1" operator="equal">
      <formula>"Napkin Hs"</formula>
    </cfRule>
  </conditionalFormatting>
  <conditionalFormatting sqref="C115">
    <cfRule type="cellIs" dxfId="143" priority="1521" stopIfTrue="1" operator="equal">
      <formula>"Napkin Hs"</formula>
    </cfRule>
  </conditionalFormatting>
  <conditionalFormatting sqref="C119 C121">
    <cfRule type="cellIs" dxfId="142" priority="1493" stopIfTrue="1" operator="equal">
      <formula>"Napkin Hs"</formula>
    </cfRule>
  </conditionalFormatting>
  <conditionalFormatting sqref="C120">
    <cfRule type="cellIs" dxfId="141" priority="1481" stopIfTrue="1" operator="equal">
      <formula>"Napkin Hs"</formula>
    </cfRule>
  </conditionalFormatting>
  <conditionalFormatting sqref="C120">
    <cfRule type="cellIs" dxfId="140" priority="1475" stopIfTrue="1" operator="equal">
      <formula>"Napkin Hs"</formula>
    </cfRule>
  </conditionalFormatting>
  <conditionalFormatting sqref="C119">
    <cfRule type="cellIs" dxfId="139" priority="1463" stopIfTrue="1" operator="equal">
      <formula>"Napkin Hs"</formula>
    </cfRule>
  </conditionalFormatting>
  <conditionalFormatting sqref="C120">
    <cfRule type="cellIs" dxfId="138" priority="1451" stopIfTrue="1" operator="equal">
      <formula>"Napkin Hs"</formula>
    </cfRule>
  </conditionalFormatting>
  <conditionalFormatting sqref="C121">
    <cfRule type="cellIs" dxfId="137" priority="1439" stopIfTrue="1" operator="equal">
      <formula>"Napkin Hs"</formula>
    </cfRule>
  </conditionalFormatting>
  <conditionalFormatting sqref="C121">
    <cfRule type="cellIs" dxfId="136" priority="1433" stopIfTrue="1" operator="equal">
      <formula>"Napkin Hs"</formula>
    </cfRule>
  </conditionalFormatting>
  <conditionalFormatting sqref="C121">
    <cfRule type="cellIs" dxfId="135" priority="1427" stopIfTrue="1" operator="equal">
      <formula>"Napkin Hs"</formula>
    </cfRule>
  </conditionalFormatting>
  <conditionalFormatting sqref="C121">
    <cfRule type="cellIs" dxfId="134" priority="1421" stopIfTrue="1" operator="equal">
      <formula>"Napkin Hs"</formula>
    </cfRule>
  </conditionalFormatting>
  <conditionalFormatting sqref="C121">
    <cfRule type="cellIs" dxfId="133" priority="1415" stopIfTrue="1" operator="equal">
      <formula>"Napkin Hs"</formula>
    </cfRule>
  </conditionalFormatting>
  <conditionalFormatting sqref="C121">
    <cfRule type="cellIs" dxfId="132" priority="1403" stopIfTrue="1" operator="equal">
      <formula>"Napkin Hs"</formula>
    </cfRule>
  </conditionalFormatting>
  <conditionalFormatting sqref="C121">
    <cfRule type="cellIs" dxfId="131" priority="1397" stopIfTrue="1" operator="equal">
      <formula>"Napkin Hs"</formula>
    </cfRule>
  </conditionalFormatting>
  <conditionalFormatting sqref="C121">
    <cfRule type="cellIs" dxfId="130" priority="1391" stopIfTrue="1" operator="equal">
      <formula>"Napkin Hs"</formula>
    </cfRule>
  </conditionalFormatting>
  <conditionalFormatting sqref="C121">
    <cfRule type="cellIs" dxfId="129" priority="1385" stopIfTrue="1" operator="equal">
      <formula>"Napkin Hs"</formula>
    </cfRule>
  </conditionalFormatting>
  <conditionalFormatting sqref="C121">
    <cfRule type="cellIs" dxfId="128" priority="1379" stopIfTrue="1" operator="equal">
      <formula>"Napkin Hs"</formula>
    </cfRule>
  </conditionalFormatting>
  <conditionalFormatting sqref="C121">
    <cfRule type="cellIs" dxfId="127" priority="1373" stopIfTrue="1" operator="equal">
      <formula>"Napkin Hs"</formula>
    </cfRule>
  </conditionalFormatting>
  <conditionalFormatting sqref="C121">
    <cfRule type="cellIs" dxfId="126" priority="1367" stopIfTrue="1" operator="equal">
      <formula>"Napkin Hs"</formula>
    </cfRule>
  </conditionalFormatting>
  <conditionalFormatting sqref="C120">
    <cfRule type="cellIs" dxfId="125" priority="1339" stopIfTrue="1" operator="equal">
      <formula>"Napkin Hs"</formula>
    </cfRule>
  </conditionalFormatting>
  <conditionalFormatting sqref="C120">
    <cfRule type="cellIs" dxfId="124" priority="1321" stopIfTrue="1" operator="equal">
      <formula>"Napkin Hs"</formula>
    </cfRule>
  </conditionalFormatting>
  <conditionalFormatting sqref="C120">
    <cfRule type="cellIs" dxfId="123" priority="1315" stopIfTrue="1" operator="equal">
      <formula>"Napkin Hs"</formula>
    </cfRule>
  </conditionalFormatting>
  <conditionalFormatting sqref="C120">
    <cfRule type="cellIs" dxfId="122" priority="1309" stopIfTrue="1" operator="equal">
      <formula>"Napkin Hs"</formula>
    </cfRule>
  </conditionalFormatting>
  <conditionalFormatting sqref="C120">
    <cfRule type="cellIs" dxfId="121" priority="1303" stopIfTrue="1" operator="equal">
      <formula>"Napkin Hs"</formula>
    </cfRule>
  </conditionalFormatting>
  <conditionalFormatting sqref="C120">
    <cfRule type="cellIs" dxfId="120" priority="1297" stopIfTrue="1" operator="equal">
      <formula>"Napkin Hs"</formula>
    </cfRule>
  </conditionalFormatting>
  <conditionalFormatting sqref="C120">
    <cfRule type="cellIs" dxfId="119" priority="1285" stopIfTrue="1" operator="equal">
      <formula>"Napkin Hs"</formula>
    </cfRule>
  </conditionalFormatting>
  <conditionalFormatting sqref="C120">
    <cfRule type="cellIs" dxfId="118" priority="1279" stopIfTrue="1" operator="equal">
      <formula>"Napkin Hs"</formula>
    </cfRule>
  </conditionalFormatting>
  <conditionalFormatting sqref="C120">
    <cfRule type="cellIs" dxfId="117" priority="1273" stopIfTrue="1" operator="equal">
      <formula>"Napkin Hs"</formula>
    </cfRule>
  </conditionalFormatting>
  <conditionalFormatting sqref="C120">
    <cfRule type="cellIs" dxfId="116" priority="1267" stopIfTrue="1" operator="equal">
      <formula>"Napkin Hs"</formula>
    </cfRule>
  </conditionalFormatting>
  <conditionalFormatting sqref="C120">
    <cfRule type="cellIs" dxfId="115" priority="1261" stopIfTrue="1" operator="equal">
      <formula>"Napkin Hs"</formula>
    </cfRule>
  </conditionalFormatting>
  <conditionalFormatting sqref="C120">
    <cfRule type="cellIs" dxfId="114" priority="1255" stopIfTrue="1" operator="equal">
      <formula>"Napkin Hs"</formula>
    </cfRule>
  </conditionalFormatting>
  <conditionalFormatting sqref="C120">
    <cfRule type="cellIs" dxfId="113" priority="1249" stopIfTrue="1" operator="equal">
      <formula>"Napkin Hs"</formula>
    </cfRule>
  </conditionalFormatting>
  <conditionalFormatting sqref="C119">
    <cfRule type="cellIs" dxfId="112" priority="1221" stopIfTrue="1" operator="equal">
      <formula>"Napkin Hs"</formula>
    </cfRule>
  </conditionalFormatting>
  <conditionalFormatting sqref="C119">
    <cfRule type="cellIs" dxfId="111" priority="1215" stopIfTrue="1" operator="equal">
      <formula>"Napkin Hs"</formula>
    </cfRule>
  </conditionalFormatting>
  <conditionalFormatting sqref="C119">
    <cfRule type="cellIs" dxfId="110" priority="1197" stopIfTrue="1" operator="equal">
      <formula>"Napkin Hs"</formula>
    </cfRule>
  </conditionalFormatting>
  <conditionalFormatting sqref="C119">
    <cfRule type="cellIs" dxfId="109" priority="1191" stopIfTrue="1" operator="equal">
      <formula>"Napkin Hs"</formula>
    </cfRule>
  </conditionalFormatting>
  <conditionalFormatting sqref="C119">
    <cfRule type="cellIs" dxfId="108" priority="1185" stopIfTrue="1" operator="equal">
      <formula>"Napkin Hs"</formula>
    </cfRule>
  </conditionalFormatting>
  <conditionalFormatting sqref="C119">
    <cfRule type="cellIs" dxfId="107" priority="1179" stopIfTrue="1" operator="equal">
      <formula>"Napkin Hs"</formula>
    </cfRule>
  </conditionalFormatting>
  <conditionalFormatting sqref="C119">
    <cfRule type="cellIs" dxfId="106" priority="1173" stopIfTrue="1" operator="equal">
      <formula>"Napkin Hs"</formula>
    </cfRule>
  </conditionalFormatting>
  <conditionalFormatting sqref="C119">
    <cfRule type="cellIs" dxfId="105" priority="1161" stopIfTrue="1" operator="equal">
      <formula>"Napkin Hs"</formula>
    </cfRule>
  </conditionalFormatting>
  <conditionalFormatting sqref="C119">
    <cfRule type="cellIs" dxfId="104" priority="1155" stopIfTrue="1" operator="equal">
      <formula>"Napkin Hs"</formula>
    </cfRule>
  </conditionalFormatting>
  <conditionalFormatting sqref="C119">
    <cfRule type="cellIs" dxfId="103" priority="1149" stopIfTrue="1" operator="equal">
      <formula>"Napkin Hs"</formula>
    </cfRule>
  </conditionalFormatting>
  <conditionalFormatting sqref="C119">
    <cfRule type="cellIs" dxfId="102" priority="1143" stopIfTrue="1" operator="equal">
      <formula>"Napkin Hs"</formula>
    </cfRule>
  </conditionalFormatting>
  <conditionalFormatting sqref="C119">
    <cfRule type="cellIs" dxfId="101" priority="1137" stopIfTrue="1" operator="equal">
      <formula>"Napkin Hs"</formula>
    </cfRule>
  </conditionalFormatting>
  <conditionalFormatting sqref="C119">
    <cfRule type="cellIs" dxfId="100" priority="1131" stopIfTrue="1" operator="equal">
      <formula>"Napkin Hs"</formula>
    </cfRule>
  </conditionalFormatting>
  <conditionalFormatting sqref="C119">
    <cfRule type="cellIs" dxfId="99" priority="1125" stopIfTrue="1" operator="equal">
      <formula>"Napkin Hs"</formula>
    </cfRule>
  </conditionalFormatting>
  <conditionalFormatting sqref="C116">
    <cfRule type="cellIs" dxfId="98" priority="1097" stopIfTrue="1" operator="equal">
      <formula>"Napkin Hs"</formula>
    </cfRule>
  </conditionalFormatting>
  <conditionalFormatting sqref="C116">
    <cfRule type="cellIs" dxfId="97" priority="1079" stopIfTrue="1" operator="equal">
      <formula>"Napkin Hs"</formula>
    </cfRule>
  </conditionalFormatting>
  <conditionalFormatting sqref="C116">
    <cfRule type="cellIs" dxfId="96" priority="1073" stopIfTrue="1" operator="equal">
      <formula>"Napkin Hs"</formula>
    </cfRule>
  </conditionalFormatting>
  <conditionalFormatting sqref="C116">
    <cfRule type="cellIs" dxfId="95" priority="1067" stopIfTrue="1" operator="equal">
      <formula>"Napkin Hs"</formula>
    </cfRule>
  </conditionalFormatting>
  <conditionalFormatting sqref="C116">
    <cfRule type="cellIs" dxfId="94" priority="1061" stopIfTrue="1" operator="equal">
      <formula>"Napkin Hs"</formula>
    </cfRule>
  </conditionalFormatting>
  <conditionalFormatting sqref="C116">
    <cfRule type="cellIs" dxfId="93" priority="1055" stopIfTrue="1" operator="equal">
      <formula>"Napkin Hs"</formula>
    </cfRule>
  </conditionalFormatting>
  <conditionalFormatting sqref="C116">
    <cfRule type="cellIs" dxfId="92" priority="1043" stopIfTrue="1" operator="equal">
      <formula>"Napkin Hs"</formula>
    </cfRule>
  </conditionalFormatting>
  <conditionalFormatting sqref="C116">
    <cfRule type="cellIs" dxfId="91" priority="1037" stopIfTrue="1" operator="equal">
      <formula>"Napkin Hs"</formula>
    </cfRule>
  </conditionalFormatting>
  <conditionalFormatting sqref="C116">
    <cfRule type="cellIs" dxfId="90" priority="1031" stopIfTrue="1" operator="equal">
      <formula>"Napkin Hs"</formula>
    </cfRule>
  </conditionalFormatting>
  <conditionalFormatting sqref="C116">
    <cfRule type="cellIs" dxfId="89" priority="1025" stopIfTrue="1" operator="equal">
      <formula>"Napkin Hs"</formula>
    </cfRule>
  </conditionalFormatting>
  <conditionalFormatting sqref="C116">
    <cfRule type="cellIs" dxfId="88" priority="1019" stopIfTrue="1" operator="equal">
      <formula>"Napkin Hs"</formula>
    </cfRule>
  </conditionalFormatting>
  <conditionalFormatting sqref="C116">
    <cfRule type="cellIs" dxfId="87" priority="1013" stopIfTrue="1" operator="equal">
      <formula>"Napkin Hs"</formula>
    </cfRule>
  </conditionalFormatting>
  <conditionalFormatting sqref="C116">
    <cfRule type="cellIs" dxfId="86" priority="1007" stopIfTrue="1" operator="equal">
      <formula>"Napkin Hs"</formula>
    </cfRule>
  </conditionalFormatting>
  <conditionalFormatting sqref="C123">
    <cfRule type="cellIs" dxfId="85" priority="963" stopIfTrue="1" operator="equal">
      <formula>"Napkin Hs"</formula>
    </cfRule>
  </conditionalFormatting>
  <conditionalFormatting sqref="C126:C127">
    <cfRule type="cellIs" dxfId="84" priority="957" stopIfTrue="1" operator="equal">
      <formula>"Napkin Hs"</formula>
    </cfRule>
  </conditionalFormatting>
  <conditionalFormatting sqref="C127">
    <cfRule type="cellIs" dxfId="83" priority="939" stopIfTrue="1" operator="equal">
      <formula>"Napkin Hs"</formula>
    </cfRule>
  </conditionalFormatting>
  <conditionalFormatting sqref="C126">
    <cfRule type="cellIs" dxfId="82" priority="933" stopIfTrue="1" operator="equal">
      <formula>"Napkin Hs"</formula>
    </cfRule>
  </conditionalFormatting>
  <conditionalFormatting sqref="C123 C125">
    <cfRule type="cellIs" dxfId="81" priority="927" stopIfTrue="1" operator="equal">
      <formula>"Napkin Hs"</formula>
    </cfRule>
  </conditionalFormatting>
  <conditionalFormatting sqref="C124">
    <cfRule type="cellIs" dxfId="80" priority="915" stopIfTrue="1" operator="equal">
      <formula>"Napkin Hs"</formula>
    </cfRule>
  </conditionalFormatting>
  <conditionalFormatting sqref="C124">
    <cfRule type="cellIs" dxfId="79" priority="909" stopIfTrue="1" operator="equal">
      <formula>"Napkin Hs"</formula>
    </cfRule>
  </conditionalFormatting>
  <conditionalFormatting sqref="C123">
    <cfRule type="cellIs" dxfId="78" priority="897" stopIfTrue="1" operator="equal">
      <formula>"Napkin Hs"</formula>
    </cfRule>
  </conditionalFormatting>
  <conditionalFormatting sqref="C124">
    <cfRule type="cellIs" dxfId="77" priority="885" stopIfTrue="1" operator="equal">
      <formula>"Napkin Hs"</formula>
    </cfRule>
  </conditionalFormatting>
  <conditionalFormatting sqref="C125">
    <cfRule type="cellIs" dxfId="76" priority="873" stopIfTrue="1" operator="equal">
      <formula>"Napkin Hs"</formula>
    </cfRule>
  </conditionalFormatting>
  <conditionalFormatting sqref="C125">
    <cfRule type="cellIs" dxfId="75" priority="867" stopIfTrue="1" operator="equal">
      <formula>"Napkin Hs"</formula>
    </cfRule>
  </conditionalFormatting>
  <conditionalFormatting sqref="C125">
    <cfRule type="cellIs" dxfId="74" priority="861" stopIfTrue="1" operator="equal">
      <formula>"Napkin Hs"</formula>
    </cfRule>
  </conditionalFormatting>
  <conditionalFormatting sqref="C125">
    <cfRule type="cellIs" dxfId="73" priority="855" stopIfTrue="1" operator="equal">
      <formula>"Napkin Hs"</formula>
    </cfRule>
  </conditionalFormatting>
  <conditionalFormatting sqref="C125">
    <cfRule type="cellIs" dxfId="72" priority="849" stopIfTrue="1" operator="equal">
      <formula>"Napkin Hs"</formula>
    </cfRule>
  </conditionalFormatting>
  <conditionalFormatting sqref="C125">
    <cfRule type="cellIs" dxfId="71" priority="837" stopIfTrue="1" operator="equal">
      <formula>"Napkin Hs"</formula>
    </cfRule>
  </conditionalFormatting>
  <conditionalFormatting sqref="C125">
    <cfRule type="cellIs" dxfId="70" priority="831" stopIfTrue="1" operator="equal">
      <formula>"Napkin Hs"</formula>
    </cfRule>
  </conditionalFormatting>
  <conditionalFormatting sqref="C125">
    <cfRule type="cellIs" dxfId="69" priority="825" stopIfTrue="1" operator="equal">
      <formula>"Napkin Hs"</formula>
    </cfRule>
  </conditionalFormatting>
  <conditionalFormatting sqref="C125">
    <cfRule type="cellIs" dxfId="68" priority="819" stopIfTrue="1" operator="equal">
      <formula>"Napkin Hs"</formula>
    </cfRule>
  </conditionalFormatting>
  <conditionalFormatting sqref="C125">
    <cfRule type="cellIs" dxfId="67" priority="813" stopIfTrue="1" operator="equal">
      <formula>"Napkin Hs"</formula>
    </cfRule>
  </conditionalFormatting>
  <conditionalFormatting sqref="C125">
    <cfRule type="cellIs" dxfId="66" priority="807" stopIfTrue="1" operator="equal">
      <formula>"Napkin Hs"</formula>
    </cfRule>
  </conditionalFormatting>
  <conditionalFormatting sqref="C125">
    <cfRule type="cellIs" dxfId="65" priority="801" stopIfTrue="1" operator="equal">
      <formula>"Napkin Hs"</formula>
    </cfRule>
  </conditionalFormatting>
  <conditionalFormatting sqref="C124">
    <cfRule type="cellIs" dxfId="64" priority="773" stopIfTrue="1" operator="equal">
      <formula>"Napkin Hs"</formula>
    </cfRule>
  </conditionalFormatting>
  <conditionalFormatting sqref="C124">
    <cfRule type="cellIs" dxfId="63" priority="755" stopIfTrue="1" operator="equal">
      <formula>"Napkin Hs"</formula>
    </cfRule>
  </conditionalFormatting>
  <conditionalFormatting sqref="C124">
    <cfRule type="cellIs" dxfId="62" priority="749" stopIfTrue="1" operator="equal">
      <formula>"Napkin Hs"</formula>
    </cfRule>
  </conditionalFormatting>
  <conditionalFormatting sqref="C124">
    <cfRule type="cellIs" dxfId="61" priority="743" stopIfTrue="1" operator="equal">
      <formula>"Napkin Hs"</formula>
    </cfRule>
  </conditionalFormatting>
  <conditionalFormatting sqref="C124">
    <cfRule type="cellIs" dxfId="60" priority="737" stopIfTrue="1" operator="equal">
      <formula>"Napkin Hs"</formula>
    </cfRule>
  </conditionalFormatting>
  <conditionalFormatting sqref="C124">
    <cfRule type="cellIs" dxfId="59" priority="731" stopIfTrue="1" operator="equal">
      <formula>"Napkin Hs"</formula>
    </cfRule>
  </conditionalFormatting>
  <conditionalFormatting sqref="C124">
    <cfRule type="cellIs" dxfId="58" priority="719" stopIfTrue="1" operator="equal">
      <formula>"Napkin Hs"</formula>
    </cfRule>
  </conditionalFormatting>
  <conditionalFormatting sqref="C124">
    <cfRule type="cellIs" dxfId="57" priority="713" stopIfTrue="1" operator="equal">
      <formula>"Napkin Hs"</formula>
    </cfRule>
  </conditionalFormatting>
  <conditionalFormatting sqref="C124">
    <cfRule type="cellIs" dxfId="56" priority="707" stopIfTrue="1" operator="equal">
      <formula>"Napkin Hs"</formula>
    </cfRule>
  </conditionalFormatting>
  <conditionalFormatting sqref="C124">
    <cfRule type="cellIs" dxfId="55" priority="701" stopIfTrue="1" operator="equal">
      <formula>"Napkin Hs"</formula>
    </cfRule>
  </conditionalFormatting>
  <conditionalFormatting sqref="C124">
    <cfRule type="cellIs" dxfId="54" priority="695" stopIfTrue="1" operator="equal">
      <formula>"Napkin Hs"</formula>
    </cfRule>
  </conditionalFormatting>
  <conditionalFormatting sqref="C124">
    <cfRule type="cellIs" dxfId="53" priority="689" stopIfTrue="1" operator="equal">
      <formula>"Napkin Hs"</formula>
    </cfRule>
  </conditionalFormatting>
  <conditionalFormatting sqref="C124">
    <cfRule type="cellIs" dxfId="52" priority="683" stopIfTrue="1" operator="equal">
      <formula>"Napkin Hs"</formula>
    </cfRule>
  </conditionalFormatting>
  <conditionalFormatting sqref="C123">
    <cfRule type="cellIs" dxfId="51" priority="655" stopIfTrue="1" operator="equal">
      <formula>"Napkin Hs"</formula>
    </cfRule>
  </conditionalFormatting>
  <conditionalFormatting sqref="C123">
    <cfRule type="cellIs" dxfId="50" priority="649" stopIfTrue="1" operator="equal">
      <formula>"Napkin Hs"</formula>
    </cfRule>
  </conditionalFormatting>
  <conditionalFormatting sqref="C123">
    <cfRule type="cellIs" dxfId="49" priority="631" stopIfTrue="1" operator="equal">
      <formula>"Napkin Hs"</formula>
    </cfRule>
  </conditionalFormatting>
  <conditionalFormatting sqref="C123">
    <cfRule type="cellIs" dxfId="48" priority="625" stopIfTrue="1" operator="equal">
      <formula>"Napkin Hs"</formula>
    </cfRule>
  </conditionalFormatting>
  <conditionalFormatting sqref="C123">
    <cfRule type="cellIs" dxfId="47" priority="619" stopIfTrue="1" operator="equal">
      <formula>"Napkin Hs"</formula>
    </cfRule>
  </conditionalFormatting>
  <conditionalFormatting sqref="C123">
    <cfRule type="cellIs" dxfId="46" priority="613" stopIfTrue="1" operator="equal">
      <formula>"Napkin Hs"</formula>
    </cfRule>
  </conditionalFormatting>
  <conditionalFormatting sqref="C123">
    <cfRule type="cellIs" dxfId="45" priority="607" stopIfTrue="1" operator="equal">
      <formula>"Napkin Hs"</formula>
    </cfRule>
  </conditionalFormatting>
  <conditionalFormatting sqref="C123">
    <cfRule type="cellIs" dxfId="44" priority="595" stopIfTrue="1" operator="equal">
      <formula>"Napkin Hs"</formula>
    </cfRule>
  </conditionalFormatting>
  <conditionalFormatting sqref="C123">
    <cfRule type="cellIs" dxfId="43" priority="589" stopIfTrue="1" operator="equal">
      <formula>"Napkin Hs"</formula>
    </cfRule>
  </conditionalFormatting>
  <conditionalFormatting sqref="C123">
    <cfRule type="cellIs" dxfId="42" priority="583" stopIfTrue="1" operator="equal">
      <formula>"Napkin Hs"</formula>
    </cfRule>
  </conditionalFormatting>
  <conditionalFormatting sqref="C123">
    <cfRule type="cellIs" dxfId="41" priority="577" stopIfTrue="1" operator="equal">
      <formula>"Napkin Hs"</formula>
    </cfRule>
  </conditionalFormatting>
  <conditionalFormatting sqref="C123">
    <cfRule type="cellIs" dxfId="40" priority="571" stopIfTrue="1" operator="equal">
      <formula>"Napkin Hs"</formula>
    </cfRule>
  </conditionalFormatting>
  <conditionalFormatting sqref="C123">
    <cfRule type="cellIs" dxfId="39" priority="565" stopIfTrue="1" operator="equal">
      <formula>"Napkin Hs"</formula>
    </cfRule>
  </conditionalFormatting>
  <conditionalFormatting sqref="C123">
    <cfRule type="cellIs" dxfId="38" priority="559" stopIfTrue="1" operator="equal">
      <formula>"Napkin Hs"</formula>
    </cfRule>
  </conditionalFormatting>
  <conditionalFormatting sqref="C131">
    <cfRule type="cellIs" dxfId="37" priority="531" stopIfTrue="1" operator="equal">
      <formula>"Napkin Hs"</formula>
    </cfRule>
  </conditionalFormatting>
  <conditionalFormatting sqref="C128:C129">
    <cfRule type="cellIs" dxfId="36" priority="519" stopIfTrue="1" operator="equal">
      <formula>"Napkin Hs"</formula>
    </cfRule>
  </conditionalFormatting>
  <conditionalFormatting sqref="C128:C130">
    <cfRule type="cellIs" dxfId="35" priority="513" stopIfTrue="1" operator="equal">
      <formula>"Napkin Hs"</formula>
    </cfRule>
  </conditionalFormatting>
  <conditionalFormatting sqref="C128:C129">
    <cfRule type="cellIs" dxfId="34" priority="501" stopIfTrue="1" operator="equal">
      <formula>"Napkin Hs"</formula>
    </cfRule>
  </conditionalFormatting>
  <conditionalFormatting sqref="C130">
    <cfRule type="cellIs" dxfId="33" priority="483" stopIfTrue="1" operator="equal">
      <formula>"Napkin Hs"</formula>
    </cfRule>
  </conditionalFormatting>
  <conditionalFormatting sqref="C130">
    <cfRule type="cellIs" dxfId="32" priority="477" stopIfTrue="1" operator="equal">
      <formula>"Napkin Hs"</formula>
    </cfRule>
  </conditionalFormatting>
  <conditionalFormatting sqref="C130">
    <cfRule type="cellIs" dxfId="31" priority="471" stopIfTrue="1" operator="equal">
      <formula>"Napkin Hs"</formula>
    </cfRule>
  </conditionalFormatting>
  <conditionalFormatting sqref="C130">
    <cfRule type="cellIs" dxfId="30" priority="465" stopIfTrue="1" operator="equal">
      <formula>"Napkin Hs"</formula>
    </cfRule>
  </conditionalFormatting>
  <conditionalFormatting sqref="C130">
    <cfRule type="cellIs" dxfId="29" priority="459" stopIfTrue="1" operator="equal">
      <formula>"Napkin Hs"</formula>
    </cfRule>
  </conditionalFormatting>
  <conditionalFormatting sqref="C130">
    <cfRule type="cellIs" dxfId="28" priority="447" stopIfTrue="1" operator="equal">
      <formula>"Napkin Hs"</formula>
    </cfRule>
  </conditionalFormatting>
  <conditionalFormatting sqref="C130">
    <cfRule type="cellIs" dxfId="27" priority="441" stopIfTrue="1" operator="equal">
      <formula>"Napkin Hs"</formula>
    </cfRule>
  </conditionalFormatting>
  <conditionalFormatting sqref="C130">
    <cfRule type="cellIs" dxfId="26" priority="435" stopIfTrue="1" operator="equal">
      <formula>"Napkin Hs"</formula>
    </cfRule>
  </conditionalFormatting>
  <conditionalFormatting sqref="C130">
    <cfRule type="cellIs" dxfId="25" priority="429" stopIfTrue="1" operator="equal">
      <formula>"Napkin Hs"</formula>
    </cfRule>
  </conditionalFormatting>
  <conditionalFormatting sqref="C130">
    <cfRule type="cellIs" dxfId="24" priority="423" stopIfTrue="1" operator="equal">
      <formula>"Napkin Hs"</formula>
    </cfRule>
  </conditionalFormatting>
  <conditionalFormatting sqref="C130">
    <cfRule type="cellIs" dxfId="23" priority="417" stopIfTrue="1" operator="equal">
      <formula>"Napkin Hs"</formula>
    </cfRule>
  </conditionalFormatting>
  <conditionalFormatting sqref="C130">
    <cfRule type="cellIs" dxfId="22" priority="411" stopIfTrue="1" operator="equal">
      <formula>"Napkin Hs"</formula>
    </cfRule>
  </conditionalFormatting>
  <conditionalFormatting sqref="C128:C129">
    <cfRule type="cellIs" dxfId="21" priority="383" stopIfTrue="1" operator="equal">
      <formula>"Napkin Hs"</formula>
    </cfRule>
  </conditionalFormatting>
  <conditionalFormatting sqref="C128:C129">
    <cfRule type="cellIs" dxfId="20" priority="377" stopIfTrue="1" operator="equal">
      <formula>"Napkin Hs"</formula>
    </cfRule>
  </conditionalFormatting>
  <conditionalFormatting sqref="C128:C129">
    <cfRule type="cellIs" dxfId="19" priority="359" stopIfTrue="1" operator="equal">
      <formula>"Napkin Hs"</formula>
    </cfRule>
  </conditionalFormatting>
  <conditionalFormatting sqref="C128:C129">
    <cfRule type="cellIs" dxfId="18" priority="353" stopIfTrue="1" operator="equal">
      <formula>"Napkin Hs"</formula>
    </cfRule>
  </conditionalFormatting>
  <conditionalFormatting sqref="C128:C129">
    <cfRule type="cellIs" dxfId="17" priority="347" stopIfTrue="1" operator="equal">
      <formula>"Napkin Hs"</formula>
    </cfRule>
  </conditionalFormatting>
  <conditionalFormatting sqref="C128:C129">
    <cfRule type="cellIs" dxfId="16" priority="341" stopIfTrue="1" operator="equal">
      <formula>"Napkin Hs"</formula>
    </cfRule>
  </conditionalFormatting>
  <conditionalFormatting sqref="C128:C129">
    <cfRule type="cellIs" dxfId="15" priority="335" stopIfTrue="1" operator="equal">
      <formula>"Napkin Hs"</formula>
    </cfRule>
  </conditionalFormatting>
  <conditionalFormatting sqref="C128:C129">
    <cfRule type="cellIs" dxfId="14" priority="323" stopIfTrue="1" operator="equal">
      <formula>"Napkin Hs"</formula>
    </cfRule>
  </conditionalFormatting>
  <conditionalFormatting sqref="C128:C129">
    <cfRule type="cellIs" dxfId="13" priority="317" stopIfTrue="1" operator="equal">
      <formula>"Napkin Hs"</formula>
    </cfRule>
  </conditionalFormatting>
  <conditionalFormatting sqref="C128:C129">
    <cfRule type="cellIs" dxfId="12" priority="311" stopIfTrue="1" operator="equal">
      <formula>"Napkin Hs"</formula>
    </cfRule>
  </conditionalFormatting>
  <conditionalFormatting sqref="C128:C129">
    <cfRule type="cellIs" dxfId="11" priority="305" stopIfTrue="1" operator="equal">
      <formula>"Napkin Hs"</formula>
    </cfRule>
  </conditionalFormatting>
  <conditionalFormatting sqref="C128:C129">
    <cfRule type="cellIs" dxfId="10" priority="299" stopIfTrue="1" operator="equal">
      <formula>"Napkin Hs"</formula>
    </cfRule>
  </conditionalFormatting>
  <conditionalFormatting sqref="C128:C129">
    <cfRule type="cellIs" dxfId="9" priority="293" stopIfTrue="1" operator="equal">
      <formula>"Napkin Hs"</formula>
    </cfRule>
  </conditionalFormatting>
  <conditionalFormatting sqref="C128:C129">
    <cfRule type="cellIs" dxfId="8" priority="287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V45"/>
  <sheetViews>
    <sheetView zoomScale="85" workbookViewId="0">
      <pane xSplit="5" ySplit="8" topLeftCell="DY9" activePane="bottomRight" state="frozen"/>
      <selection pane="topRight" activeCell="E1" sqref="E1"/>
      <selection pane="bottomLeft" activeCell="A9" sqref="A9"/>
      <selection pane="bottomRight" activeCell="DZ36" sqref="DZ36"/>
    </sheetView>
  </sheetViews>
  <sheetFormatPr defaultColWidth="10.42578125" defaultRowHeight="15" customHeight="1"/>
  <cols>
    <col min="1" max="1" width="8.140625" style="259" customWidth="1"/>
    <col min="2" max="2" width="13.5703125" style="259" customWidth="1"/>
    <col min="3" max="3" width="13.28515625" style="260" customWidth="1"/>
    <col min="4" max="4" width="11.140625" style="260" customWidth="1"/>
    <col min="5" max="5" width="11" style="261" customWidth="1"/>
    <col min="6" max="8" width="12.42578125" style="491" hidden="1" customWidth="1"/>
    <col min="9" max="11" width="12.42578125" style="491" customWidth="1"/>
    <col min="12" max="14" width="12.42578125" style="491" hidden="1" customWidth="1"/>
    <col min="15" max="23" width="12.42578125" style="491" customWidth="1"/>
    <col min="24" max="38" width="12.42578125" style="491" hidden="1" customWidth="1"/>
    <col min="39" max="44" width="12.42578125" style="491" customWidth="1"/>
    <col min="45" max="47" width="12.42578125" style="491" hidden="1" customWidth="1"/>
    <col min="48" max="53" width="12.42578125" style="491" customWidth="1"/>
    <col min="54" max="65" width="12.42578125" style="491" hidden="1" customWidth="1"/>
    <col min="66" max="71" width="12.42578125" style="491" customWidth="1"/>
    <col min="72" max="80" width="12.42578125" style="491" hidden="1" customWidth="1"/>
    <col min="81" max="86" width="12.42578125" style="491" customWidth="1"/>
    <col min="87" max="128" width="12.42578125" style="491" hidden="1" customWidth="1"/>
    <col min="129" max="140" width="12.42578125" style="491" customWidth="1"/>
    <col min="141" max="269" width="12.42578125" style="491" hidden="1" customWidth="1"/>
    <col min="270" max="303" width="5.5703125" style="491" hidden="1" customWidth="1"/>
    <col min="304" max="304" width="8.7109375" style="491" hidden="1" customWidth="1"/>
    <col min="305" max="305" width="7.7109375" style="491" hidden="1" customWidth="1"/>
    <col min="306" max="306" width="21" style="491" bestFit="1" customWidth="1"/>
    <col min="307" max="307" width="19.85546875" style="491" bestFit="1" customWidth="1"/>
    <col min="308" max="16384" width="10.42578125" style="259"/>
  </cols>
  <sheetData>
    <row r="1" spans="1:308" ht="15" customHeight="1">
      <c r="A1" s="255"/>
      <c r="B1" s="256"/>
      <c r="C1" s="257"/>
      <c r="D1" s="257"/>
      <c r="E1" s="258"/>
    </row>
    <row r="2" spans="1:308" ht="15" customHeight="1">
      <c r="A2" s="255"/>
    </row>
    <row r="3" spans="1:308" ht="15" customHeight="1">
      <c r="A3" s="263"/>
    </row>
    <row r="4" spans="1:308" ht="15" customHeight="1">
      <c r="A4" s="468" t="s">
        <v>276</v>
      </c>
    </row>
    <row r="5" spans="1:308" ht="15" customHeight="1" thickBot="1"/>
    <row r="6" spans="1:308" ht="15" customHeight="1">
      <c r="A6" s="711" t="s">
        <v>28</v>
      </c>
      <c r="B6" s="711" t="s">
        <v>4</v>
      </c>
      <c r="C6" s="711" t="s">
        <v>5</v>
      </c>
      <c r="D6" s="714" t="s">
        <v>40</v>
      </c>
      <c r="E6" s="717" t="s">
        <v>38</v>
      </c>
      <c r="F6" s="709" t="s">
        <v>295</v>
      </c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709"/>
      <c r="AD6" s="709"/>
      <c r="AE6" s="709"/>
      <c r="AF6" s="709"/>
      <c r="AG6" s="709"/>
      <c r="AH6" s="709"/>
      <c r="AI6" s="709"/>
      <c r="AJ6" s="709"/>
      <c r="AK6" s="709"/>
      <c r="AL6" s="709"/>
      <c r="AM6" s="709"/>
      <c r="AN6" s="709"/>
      <c r="AO6" s="709"/>
      <c r="AP6" s="709"/>
      <c r="AQ6" s="709"/>
      <c r="AR6" s="709"/>
      <c r="AS6" s="709"/>
      <c r="AT6" s="709"/>
      <c r="AU6" s="709"/>
      <c r="AV6" s="709"/>
      <c r="AW6" s="709"/>
      <c r="AX6" s="709"/>
      <c r="AY6" s="709"/>
      <c r="AZ6" s="709"/>
      <c r="BA6" s="709"/>
      <c r="BB6" s="709"/>
      <c r="BC6" s="709"/>
      <c r="BD6" s="709"/>
      <c r="BE6" s="709"/>
      <c r="BF6" s="709"/>
      <c r="BG6" s="709"/>
      <c r="BH6" s="709"/>
      <c r="BI6" s="709"/>
      <c r="BJ6" s="709"/>
      <c r="BK6" s="709"/>
      <c r="BL6" s="709"/>
      <c r="BM6" s="709"/>
      <c r="BN6" s="709"/>
      <c r="BO6" s="709"/>
      <c r="BP6" s="709"/>
      <c r="BQ6" s="709"/>
      <c r="BR6" s="709"/>
      <c r="BS6" s="709"/>
      <c r="BT6" s="709"/>
      <c r="BU6" s="709"/>
      <c r="BV6" s="709"/>
      <c r="BW6" s="709"/>
      <c r="BX6" s="709"/>
      <c r="BY6" s="709"/>
      <c r="BZ6" s="709"/>
      <c r="CA6" s="709"/>
      <c r="CB6" s="709"/>
      <c r="CC6" s="709"/>
      <c r="CD6" s="709"/>
      <c r="CE6" s="709"/>
      <c r="CF6" s="709"/>
      <c r="CG6" s="709"/>
      <c r="CH6" s="709"/>
      <c r="CI6" s="709"/>
      <c r="CJ6" s="709"/>
      <c r="CK6" s="709"/>
      <c r="CL6" s="709"/>
      <c r="CM6" s="709"/>
      <c r="CN6" s="709"/>
      <c r="CO6" s="709"/>
      <c r="CP6" s="709"/>
      <c r="CQ6" s="709"/>
      <c r="CR6" s="709"/>
      <c r="CS6" s="709"/>
      <c r="CT6" s="709"/>
      <c r="CU6" s="709"/>
      <c r="CV6" s="709"/>
      <c r="CW6" s="709"/>
      <c r="CX6" s="709"/>
      <c r="CY6" s="709"/>
      <c r="CZ6" s="709"/>
      <c r="DA6" s="709"/>
      <c r="DB6" s="709"/>
      <c r="DC6" s="709"/>
      <c r="DD6" s="709"/>
      <c r="DE6" s="709"/>
      <c r="DF6" s="709"/>
      <c r="DG6" s="709"/>
      <c r="DH6" s="709"/>
      <c r="DI6" s="709"/>
      <c r="DJ6" s="709"/>
      <c r="DK6" s="709"/>
      <c r="DL6" s="709"/>
      <c r="DM6" s="709"/>
      <c r="DN6" s="709"/>
      <c r="DO6" s="709"/>
      <c r="DP6" s="709"/>
      <c r="DQ6" s="709"/>
      <c r="DR6" s="709"/>
      <c r="DS6" s="709"/>
      <c r="DT6" s="709"/>
      <c r="DU6" s="709"/>
      <c r="DV6" s="709"/>
      <c r="DW6" s="709"/>
      <c r="DX6" s="709"/>
      <c r="DY6" s="709"/>
      <c r="DZ6" s="709"/>
      <c r="EA6" s="709"/>
      <c r="EB6" s="709"/>
      <c r="EC6" s="709"/>
      <c r="ED6" s="709"/>
      <c r="EE6" s="709"/>
      <c r="EF6" s="709"/>
      <c r="EG6" s="709"/>
      <c r="EH6" s="709"/>
      <c r="EI6" s="709"/>
      <c r="EJ6" s="709"/>
      <c r="EK6" s="709"/>
      <c r="EL6" s="709"/>
      <c r="EM6" s="709"/>
      <c r="EN6" s="709"/>
      <c r="EO6" s="709"/>
      <c r="EP6" s="709"/>
      <c r="EQ6" s="709"/>
      <c r="ER6" s="709"/>
      <c r="ES6" s="709"/>
      <c r="ET6" s="709"/>
      <c r="EU6" s="709"/>
      <c r="EV6" s="709"/>
      <c r="EW6" s="709"/>
      <c r="EX6" s="709"/>
      <c r="EY6" s="709"/>
      <c r="EZ6" s="709"/>
      <c r="FA6" s="709"/>
      <c r="FB6" s="709"/>
      <c r="FC6" s="709"/>
      <c r="FD6" s="709"/>
      <c r="FE6" s="709"/>
      <c r="FF6" s="709"/>
      <c r="FG6" s="709"/>
      <c r="FH6" s="709"/>
      <c r="FI6" s="709"/>
      <c r="FJ6" s="709"/>
      <c r="FK6" s="709"/>
      <c r="FL6" s="709"/>
      <c r="FM6" s="709"/>
      <c r="FN6" s="709"/>
      <c r="FO6" s="709"/>
      <c r="FP6" s="709"/>
      <c r="FQ6" s="709"/>
      <c r="FR6" s="709"/>
      <c r="FS6" s="709"/>
      <c r="FT6" s="709"/>
      <c r="FU6" s="709"/>
      <c r="FV6" s="709"/>
      <c r="FW6" s="709"/>
      <c r="FX6" s="709"/>
      <c r="FY6" s="709"/>
      <c r="FZ6" s="709"/>
      <c r="GA6" s="709"/>
      <c r="GB6" s="709"/>
      <c r="GC6" s="710"/>
      <c r="GD6" s="705" t="s">
        <v>296</v>
      </c>
      <c r="GE6" s="706"/>
      <c r="GF6" s="706"/>
      <c r="GG6" s="706"/>
      <c r="GH6" s="706"/>
      <c r="GI6" s="706"/>
      <c r="GJ6" s="706"/>
      <c r="GK6" s="706"/>
      <c r="GL6" s="706"/>
      <c r="GM6" s="706"/>
      <c r="GN6" s="706"/>
      <c r="GO6" s="706"/>
      <c r="GP6" s="706"/>
      <c r="GQ6" s="706"/>
      <c r="GR6" s="706"/>
      <c r="GS6" s="706"/>
      <c r="GT6" s="706"/>
      <c r="GU6" s="706"/>
      <c r="GV6" s="706"/>
      <c r="GW6" s="706"/>
      <c r="GX6" s="706"/>
      <c r="GY6" s="706"/>
      <c r="GZ6" s="706"/>
      <c r="HA6" s="706"/>
      <c r="HB6" s="706"/>
      <c r="HC6" s="706"/>
      <c r="HD6" s="706"/>
      <c r="HE6" s="706"/>
      <c r="HF6" s="706"/>
      <c r="HG6" s="706"/>
      <c r="HH6" s="706"/>
      <c r="HI6" s="706"/>
      <c r="HJ6" s="706"/>
      <c r="HK6" s="706"/>
      <c r="HL6" s="706"/>
      <c r="HM6" s="706"/>
      <c r="HN6" s="706"/>
      <c r="HO6" s="706"/>
      <c r="HP6" s="706"/>
      <c r="HQ6" s="706"/>
      <c r="HR6" s="706"/>
      <c r="HS6" s="706"/>
      <c r="HT6" s="706"/>
      <c r="HU6" s="706"/>
      <c r="HV6" s="706"/>
      <c r="HW6" s="706"/>
      <c r="HX6" s="706"/>
      <c r="HY6" s="706"/>
      <c r="HZ6" s="706"/>
      <c r="IA6" s="706"/>
      <c r="IB6" s="706"/>
      <c r="IC6" s="706"/>
      <c r="ID6" s="706"/>
      <c r="IE6" s="706"/>
      <c r="IF6" s="706"/>
      <c r="IG6" s="706"/>
      <c r="IH6" s="706"/>
      <c r="II6" s="706"/>
      <c r="IJ6" s="706"/>
      <c r="IK6" s="706"/>
      <c r="IL6" s="706"/>
      <c r="IM6" s="706"/>
      <c r="IN6" s="706"/>
      <c r="IO6" s="706"/>
      <c r="IP6" s="706"/>
      <c r="IQ6" s="706"/>
      <c r="IR6" s="706"/>
      <c r="IS6" s="706"/>
      <c r="IT6" s="706"/>
      <c r="IU6" s="706"/>
      <c r="IV6" s="706"/>
      <c r="IW6" s="706"/>
      <c r="IX6" s="706"/>
      <c r="IY6" s="706"/>
      <c r="IZ6" s="706"/>
      <c r="JA6" s="706"/>
      <c r="JB6" s="706"/>
      <c r="JC6" s="706"/>
      <c r="JD6" s="706"/>
      <c r="JE6" s="706"/>
      <c r="JF6" s="706"/>
      <c r="JG6" s="706"/>
      <c r="JH6" s="706"/>
      <c r="JI6" s="706"/>
      <c r="JJ6" s="706"/>
      <c r="JK6" s="706"/>
      <c r="JL6" s="706"/>
      <c r="JM6" s="706"/>
      <c r="JN6" s="706"/>
      <c r="JO6" s="706"/>
      <c r="JP6" s="706"/>
      <c r="JQ6" s="706"/>
      <c r="JR6" s="706"/>
      <c r="JS6" s="706"/>
      <c r="JT6" s="706"/>
      <c r="JU6" s="706"/>
      <c r="JV6" s="706"/>
      <c r="JW6" s="706"/>
      <c r="JX6" s="706"/>
      <c r="JY6" s="706"/>
      <c r="JZ6" s="706"/>
      <c r="KA6" s="706"/>
      <c r="KB6" s="706"/>
      <c r="KC6" s="706"/>
      <c r="KD6" s="706"/>
      <c r="KE6" s="706"/>
      <c r="KF6" s="706"/>
      <c r="KG6" s="706"/>
      <c r="KH6" s="706"/>
      <c r="KI6" s="706"/>
      <c r="KJ6" s="706"/>
      <c r="KK6" s="706"/>
      <c r="KL6" s="706"/>
      <c r="KM6" s="706"/>
      <c r="KN6" s="706"/>
      <c r="KO6" s="706"/>
      <c r="KP6" s="706"/>
      <c r="KQ6" s="706"/>
      <c r="KR6" s="706"/>
      <c r="KS6" s="707"/>
      <c r="KT6" s="708" t="s">
        <v>297</v>
      </c>
      <c r="KU6" s="708" t="s">
        <v>296</v>
      </c>
    </row>
    <row r="7" spans="1:308" ht="15" customHeight="1">
      <c r="A7" s="712"/>
      <c r="B7" s="712"/>
      <c r="C7" s="712"/>
      <c r="D7" s="715"/>
      <c r="E7" s="718"/>
      <c r="F7" s="698" t="s">
        <v>298</v>
      </c>
      <c r="G7" s="698"/>
      <c r="H7" s="696"/>
      <c r="I7" s="695" t="s">
        <v>299</v>
      </c>
      <c r="J7" s="698"/>
      <c r="K7" s="696"/>
      <c r="L7" s="695" t="s">
        <v>300</v>
      </c>
      <c r="M7" s="698"/>
      <c r="N7" s="696"/>
      <c r="O7" s="695" t="s">
        <v>301</v>
      </c>
      <c r="P7" s="698"/>
      <c r="Q7" s="696"/>
      <c r="R7" s="695" t="s">
        <v>302</v>
      </c>
      <c r="S7" s="698"/>
      <c r="T7" s="696"/>
      <c r="U7" s="695" t="s">
        <v>304</v>
      </c>
      <c r="V7" s="698"/>
      <c r="W7" s="696"/>
      <c r="X7" s="695" t="s">
        <v>303</v>
      </c>
      <c r="Y7" s="698"/>
      <c r="Z7" s="696"/>
      <c r="AA7" s="695" t="s">
        <v>304</v>
      </c>
      <c r="AB7" s="698"/>
      <c r="AC7" s="696"/>
      <c r="AD7" s="695" t="s">
        <v>305</v>
      </c>
      <c r="AE7" s="698"/>
      <c r="AF7" s="696"/>
      <c r="AG7" s="695" t="s">
        <v>306</v>
      </c>
      <c r="AH7" s="698"/>
      <c r="AI7" s="696"/>
      <c r="AJ7" s="695" t="s">
        <v>307</v>
      </c>
      <c r="AK7" s="698"/>
      <c r="AL7" s="696"/>
      <c r="AM7" s="695" t="s">
        <v>308</v>
      </c>
      <c r="AN7" s="698"/>
      <c r="AO7" s="696"/>
      <c r="AP7" s="695" t="s">
        <v>519</v>
      </c>
      <c r="AQ7" s="698"/>
      <c r="AR7" s="696"/>
      <c r="AS7" s="695" t="s">
        <v>309</v>
      </c>
      <c r="AT7" s="698"/>
      <c r="AU7" s="696"/>
      <c r="AV7" s="695" t="s">
        <v>310</v>
      </c>
      <c r="AW7" s="698"/>
      <c r="AX7" s="696"/>
      <c r="AY7" s="699" t="s">
        <v>311</v>
      </c>
      <c r="AZ7" s="700"/>
      <c r="BA7" s="700"/>
      <c r="BB7" s="699" t="s">
        <v>312</v>
      </c>
      <c r="BC7" s="700"/>
      <c r="BD7" s="701"/>
      <c r="BE7" s="699" t="s">
        <v>313</v>
      </c>
      <c r="BF7" s="700"/>
      <c r="BG7" s="700"/>
      <c r="BH7" s="699" t="s">
        <v>314</v>
      </c>
      <c r="BI7" s="700"/>
      <c r="BJ7" s="701"/>
      <c r="BK7" s="699" t="s">
        <v>315</v>
      </c>
      <c r="BL7" s="700"/>
      <c r="BM7" s="700"/>
      <c r="BN7" s="699" t="s">
        <v>316</v>
      </c>
      <c r="BO7" s="700"/>
      <c r="BP7" s="701"/>
      <c r="BQ7" s="699" t="s">
        <v>317</v>
      </c>
      <c r="BR7" s="700"/>
      <c r="BS7" s="700"/>
      <c r="BT7" s="699" t="s">
        <v>318</v>
      </c>
      <c r="BU7" s="700"/>
      <c r="BV7" s="701"/>
      <c r="BW7" s="699" t="s">
        <v>319</v>
      </c>
      <c r="BX7" s="700"/>
      <c r="BY7" s="700"/>
      <c r="BZ7" s="699" t="s">
        <v>320</v>
      </c>
      <c r="CA7" s="700"/>
      <c r="CB7" s="701"/>
      <c r="CC7" s="699" t="s">
        <v>321</v>
      </c>
      <c r="CD7" s="700"/>
      <c r="CE7" s="700"/>
      <c r="CF7" s="699" t="s">
        <v>322</v>
      </c>
      <c r="CG7" s="700"/>
      <c r="CH7" s="701"/>
      <c r="CI7" s="699" t="s">
        <v>323</v>
      </c>
      <c r="CJ7" s="700"/>
      <c r="CK7" s="700"/>
      <c r="CL7" s="699" t="s">
        <v>324</v>
      </c>
      <c r="CM7" s="700"/>
      <c r="CN7" s="701"/>
      <c r="CO7" s="699" t="s">
        <v>325</v>
      </c>
      <c r="CP7" s="700"/>
      <c r="CQ7" s="700"/>
      <c r="CR7" s="699" t="s">
        <v>326</v>
      </c>
      <c r="CS7" s="700"/>
      <c r="CT7" s="701"/>
      <c r="CU7" s="699" t="s">
        <v>327</v>
      </c>
      <c r="CV7" s="700"/>
      <c r="CW7" s="700"/>
      <c r="CX7" s="699" t="s">
        <v>328</v>
      </c>
      <c r="CY7" s="700"/>
      <c r="CZ7" s="701"/>
      <c r="DA7" s="699" t="s">
        <v>329</v>
      </c>
      <c r="DB7" s="700"/>
      <c r="DC7" s="700"/>
      <c r="DD7" s="699" t="s">
        <v>330</v>
      </c>
      <c r="DE7" s="700"/>
      <c r="DF7" s="701"/>
      <c r="DG7" s="699" t="s">
        <v>331</v>
      </c>
      <c r="DH7" s="700"/>
      <c r="DI7" s="700"/>
      <c r="DJ7" s="699" t="s">
        <v>332</v>
      </c>
      <c r="DK7" s="700"/>
      <c r="DL7" s="701"/>
      <c r="DM7" s="699" t="s">
        <v>333</v>
      </c>
      <c r="DN7" s="700"/>
      <c r="DO7" s="700"/>
      <c r="DP7" s="699" t="s">
        <v>334</v>
      </c>
      <c r="DQ7" s="700"/>
      <c r="DR7" s="701"/>
      <c r="DS7" s="699" t="s">
        <v>335</v>
      </c>
      <c r="DT7" s="700"/>
      <c r="DU7" s="700"/>
      <c r="DV7" s="699" t="s">
        <v>336</v>
      </c>
      <c r="DW7" s="700"/>
      <c r="DX7" s="701"/>
      <c r="DY7" s="699" t="s">
        <v>337</v>
      </c>
      <c r="DZ7" s="700"/>
      <c r="EA7" s="700"/>
      <c r="EB7" s="699" t="s">
        <v>520</v>
      </c>
      <c r="EC7" s="700"/>
      <c r="ED7" s="701"/>
      <c r="EE7" s="699" t="s">
        <v>521</v>
      </c>
      <c r="EF7" s="700"/>
      <c r="EG7" s="700"/>
      <c r="EH7" s="699"/>
      <c r="EI7" s="700"/>
      <c r="EJ7" s="701"/>
      <c r="EK7" s="699"/>
      <c r="EL7" s="700"/>
      <c r="EM7" s="700"/>
      <c r="EN7" s="699"/>
      <c r="EO7" s="700"/>
      <c r="EP7" s="701"/>
      <c r="EQ7" s="699"/>
      <c r="ER7" s="700"/>
      <c r="ES7" s="700"/>
      <c r="ET7" s="699"/>
      <c r="EU7" s="700"/>
      <c r="EV7" s="701"/>
      <c r="EW7" s="699"/>
      <c r="EX7" s="700"/>
      <c r="EY7" s="700"/>
      <c r="EZ7" s="699"/>
      <c r="FA7" s="700"/>
      <c r="FB7" s="701"/>
      <c r="FC7" s="699"/>
      <c r="FD7" s="700"/>
      <c r="FE7" s="700"/>
      <c r="FF7" s="699"/>
      <c r="FG7" s="700"/>
      <c r="FH7" s="701"/>
      <c r="FI7" s="699"/>
      <c r="FJ7" s="700"/>
      <c r="FK7" s="700"/>
      <c r="FL7" s="699"/>
      <c r="FM7" s="700"/>
      <c r="FN7" s="701"/>
      <c r="FO7" s="699"/>
      <c r="FP7" s="700"/>
      <c r="FQ7" s="700"/>
      <c r="FR7" s="699"/>
      <c r="FS7" s="700"/>
      <c r="FT7" s="701"/>
      <c r="FU7" s="699"/>
      <c r="FV7" s="700"/>
      <c r="FW7" s="700"/>
      <c r="FX7" s="699"/>
      <c r="FY7" s="700"/>
      <c r="FZ7" s="701"/>
      <c r="GA7" s="699"/>
      <c r="GB7" s="700"/>
      <c r="GC7" s="700"/>
      <c r="GD7" s="699" t="s">
        <v>338</v>
      </c>
      <c r="GE7" s="700"/>
      <c r="GF7" s="701"/>
      <c r="GG7" s="699" t="s">
        <v>339</v>
      </c>
      <c r="GH7" s="700"/>
      <c r="GI7" s="700"/>
      <c r="GJ7" s="699" t="s">
        <v>340</v>
      </c>
      <c r="GK7" s="700"/>
      <c r="GL7" s="701"/>
      <c r="GM7" s="699" t="s">
        <v>341</v>
      </c>
      <c r="GN7" s="700"/>
      <c r="GO7" s="700"/>
      <c r="GP7" s="699" t="s">
        <v>342</v>
      </c>
      <c r="GQ7" s="700"/>
      <c r="GR7" s="701"/>
      <c r="GS7" s="699" t="s">
        <v>343</v>
      </c>
      <c r="GT7" s="700"/>
      <c r="GU7" s="700"/>
      <c r="GV7" s="699" t="s">
        <v>344</v>
      </c>
      <c r="GW7" s="700"/>
      <c r="GX7" s="701"/>
      <c r="GY7" s="699" t="s">
        <v>345</v>
      </c>
      <c r="GZ7" s="700"/>
      <c r="HA7" s="700"/>
      <c r="HB7" s="699" t="s">
        <v>320</v>
      </c>
      <c r="HC7" s="700"/>
      <c r="HD7" s="701"/>
      <c r="HE7" s="699" t="s">
        <v>336</v>
      </c>
      <c r="HF7" s="700"/>
      <c r="HG7" s="700"/>
      <c r="HH7" s="699" t="s">
        <v>335</v>
      </c>
      <c r="HI7" s="700"/>
      <c r="HJ7" s="701"/>
      <c r="HK7" s="699" t="s">
        <v>316</v>
      </c>
      <c r="HL7" s="700"/>
      <c r="HM7" s="700"/>
      <c r="HN7" s="699" t="s">
        <v>346</v>
      </c>
      <c r="HO7" s="700"/>
      <c r="HP7" s="701"/>
      <c r="HQ7" s="699" t="s">
        <v>327</v>
      </c>
      <c r="HR7" s="700"/>
      <c r="HS7" s="700"/>
      <c r="HT7" s="699" t="s">
        <v>347</v>
      </c>
      <c r="HU7" s="700"/>
      <c r="HV7" s="701"/>
      <c r="HW7" s="699" t="s">
        <v>348</v>
      </c>
      <c r="HX7" s="700"/>
      <c r="HY7" s="700"/>
      <c r="HZ7" s="699" t="s">
        <v>349</v>
      </c>
      <c r="IA7" s="700"/>
      <c r="IB7" s="701"/>
      <c r="IC7" s="699" t="s">
        <v>350</v>
      </c>
      <c r="ID7" s="700"/>
      <c r="IE7" s="700"/>
      <c r="IF7" s="699" t="s">
        <v>351</v>
      </c>
      <c r="IG7" s="700"/>
      <c r="IH7" s="701"/>
      <c r="II7" s="697" t="s">
        <v>322</v>
      </c>
      <c r="IJ7" s="697"/>
      <c r="IK7" s="697"/>
      <c r="IL7" s="699" t="s">
        <v>325</v>
      </c>
      <c r="IM7" s="700"/>
      <c r="IN7" s="701"/>
      <c r="IO7" s="699" t="s">
        <v>326</v>
      </c>
      <c r="IP7" s="700"/>
      <c r="IQ7" s="700"/>
      <c r="IR7" s="699" t="s">
        <v>321</v>
      </c>
      <c r="IS7" s="700"/>
      <c r="IT7" s="701"/>
      <c r="IU7" s="699" t="s">
        <v>352</v>
      </c>
      <c r="IV7" s="700"/>
      <c r="IW7" s="700"/>
      <c r="IX7" s="699" t="s">
        <v>329</v>
      </c>
      <c r="IY7" s="700"/>
      <c r="IZ7" s="701"/>
      <c r="JA7" s="699" t="s">
        <v>353</v>
      </c>
      <c r="JB7" s="700"/>
      <c r="JC7" s="700"/>
      <c r="JD7" s="699" t="s">
        <v>354</v>
      </c>
      <c r="JE7" s="700"/>
      <c r="JF7" s="701"/>
      <c r="JG7" s="699" t="s">
        <v>355</v>
      </c>
      <c r="JH7" s="700"/>
      <c r="JI7" s="700"/>
      <c r="JJ7" s="699"/>
      <c r="JK7" s="700"/>
      <c r="JL7" s="701"/>
      <c r="JM7" s="699"/>
      <c r="JN7" s="700"/>
      <c r="JO7" s="700"/>
      <c r="JP7" s="699"/>
      <c r="JQ7" s="700"/>
      <c r="JR7" s="701"/>
      <c r="JS7" s="699"/>
      <c r="JT7" s="700"/>
      <c r="JU7" s="700"/>
      <c r="JV7" s="699"/>
      <c r="JW7" s="700"/>
      <c r="JX7" s="701"/>
      <c r="JY7" s="699"/>
      <c r="JZ7" s="700"/>
      <c r="KA7" s="700"/>
      <c r="KB7" s="699"/>
      <c r="KC7" s="700"/>
      <c r="KD7" s="701"/>
      <c r="KE7" s="699"/>
      <c r="KF7" s="700"/>
      <c r="KG7" s="700"/>
      <c r="KH7" s="699"/>
      <c r="KI7" s="700"/>
      <c r="KJ7" s="701"/>
      <c r="KK7" s="699"/>
      <c r="KL7" s="700"/>
      <c r="KM7" s="700"/>
      <c r="KN7" s="699"/>
      <c r="KO7" s="700"/>
      <c r="KP7" s="701"/>
      <c r="KQ7" s="697"/>
      <c r="KR7" s="697"/>
      <c r="KS7" s="697"/>
      <c r="KT7" s="708"/>
      <c r="KU7" s="708"/>
    </row>
    <row r="8" spans="1:308" ht="15" customHeight="1">
      <c r="A8" s="712"/>
      <c r="B8" s="712"/>
      <c r="C8" s="712"/>
      <c r="D8" s="715"/>
      <c r="E8" s="718"/>
      <c r="F8" s="698" t="s">
        <v>137</v>
      </c>
      <c r="G8" s="696"/>
      <c r="H8" s="492" t="s">
        <v>356</v>
      </c>
      <c r="I8" s="695" t="s">
        <v>137</v>
      </c>
      <c r="J8" s="696"/>
      <c r="K8" s="492" t="s">
        <v>356</v>
      </c>
      <c r="L8" s="695" t="s">
        <v>137</v>
      </c>
      <c r="M8" s="696"/>
      <c r="N8" s="492" t="s">
        <v>356</v>
      </c>
      <c r="O8" s="695" t="s">
        <v>137</v>
      </c>
      <c r="P8" s="696"/>
      <c r="Q8" s="492" t="s">
        <v>356</v>
      </c>
      <c r="R8" s="695" t="s">
        <v>137</v>
      </c>
      <c r="S8" s="696"/>
      <c r="T8" s="492" t="s">
        <v>356</v>
      </c>
      <c r="U8" s="695" t="s">
        <v>137</v>
      </c>
      <c r="V8" s="696"/>
      <c r="W8" s="492" t="s">
        <v>356</v>
      </c>
      <c r="X8" s="695" t="s">
        <v>137</v>
      </c>
      <c r="Y8" s="696"/>
      <c r="Z8" s="492" t="s">
        <v>356</v>
      </c>
      <c r="AA8" s="695" t="s">
        <v>137</v>
      </c>
      <c r="AB8" s="696"/>
      <c r="AC8" s="492" t="s">
        <v>356</v>
      </c>
      <c r="AD8" s="695" t="s">
        <v>137</v>
      </c>
      <c r="AE8" s="696"/>
      <c r="AF8" s="492" t="s">
        <v>356</v>
      </c>
      <c r="AG8" s="695" t="s">
        <v>137</v>
      </c>
      <c r="AH8" s="696"/>
      <c r="AI8" s="492" t="s">
        <v>356</v>
      </c>
      <c r="AJ8" s="695" t="s">
        <v>137</v>
      </c>
      <c r="AK8" s="696"/>
      <c r="AL8" s="492" t="s">
        <v>356</v>
      </c>
      <c r="AM8" s="695" t="s">
        <v>137</v>
      </c>
      <c r="AN8" s="696"/>
      <c r="AO8" s="492" t="s">
        <v>356</v>
      </c>
      <c r="AP8" s="695" t="s">
        <v>137</v>
      </c>
      <c r="AQ8" s="696"/>
      <c r="AR8" s="492" t="s">
        <v>356</v>
      </c>
      <c r="AS8" s="695" t="s">
        <v>137</v>
      </c>
      <c r="AT8" s="696"/>
      <c r="AU8" s="492" t="s">
        <v>356</v>
      </c>
      <c r="AV8" s="695" t="s">
        <v>137</v>
      </c>
      <c r="AW8" s="696"/>
      <c r="AX8" s="492" t="s">
        <v>356</v>
      </c>
      <c r="AY8" s="695" t="s">
        <v>137</v>
      </c>
      <c r="AZ8" s="696"/>
      <c r="BA8" s="492" t="s">
        <v>356</v>
      </c>
      <c r="BB8" s="695" t="s">
        <v>137</v>
      </c>
      <c r="BC8" s="696"/>
      <c r="BD8" s="492" t="s">
        <v>356</v>
      </c>
      <c r="BE8" s="695" t="s">
        <v>137</v>
      </c>
      <c r="BF8" s="696"/>
      <c r="BG8" s="492" t="s">
        <v>356</v>
      </c>
      <c r="BH8" s="695" t="s">
        <v>137</v>
      </c>
      <c r="BI8" s="696"/>
      <c r="BJ8" s="492" t="s">
        <v>356</v>
      </c>
      <c r="BK8" s="695" t="s">
        <v>137</v>
      </c>
      <c r="BL8" s="696"/>
      <c r="BM8" s="492" t="s">
        <v>356</v>
      </c>
      <c r="BN8" s="695" t="s">
        <v>137</v>
      </c>
      <c r="BO8" s="696"/>
      <c r="BP8" s="492" t="s">
        <v>356</v>
      </c>
      <c r="BQ8" s="695" t="s">
        <v>137</v>
      </c>
      <c r="BR8" s="696"/>
      <c r="BS8" s="492" t="s">
        <v>356</v>
      </c>
      <c r="BT8" s="695" t="s">
        <v>137</v>
      </c>
      <c r="BU8" s="696"/>
      <c r="BV8" s="492" t="s">
        <v>356</v>
      </c>
      <c r="BW8" s="695" t="s">
        <v>137</v>
      </c>
      <c r="BX8" s="696"/>
      <c r="BY8" s="492" t="s">
        <v>356</v>
      </c>
      <c r="BZ8" s="695" t="s">
        <v>137</v>
      </c>
      <c r="CA8" s="696"/>
      <c r="CB8" s="492" t="s">
        <v>356</v>
      </c>
      <c r="CC8" s="695" t="s">
        <v>137</v>
      </c>
      <c r="CD8" s="696"/>
      <c r="CE8" s="492" t="s">
        <v>356</v>
      </c>
      <c r="CF8" s="695" t="s">
        <v>137</v>
      </c>
      <c r="CG8" s="696"/>
      <c r="CH8" s="492" t="s">
        <v>356</v>
      </c>
      <c r="CI8" s="695" t="s">
        <v>137</v>
      </c>
      <c r="CJ8" s="696"/>
      <c r="CK8" s="492" t="s">
        <v>356</v>
      </c>
      <c r="CL8" s="695" t="s">
        <v>137</v>
      </c>
      <c r="CM8" s="696"/>
      <c r="CN8" s="492" t="s">
        <v>356</v>
      </c>
      <c r="CO8" s="695" t="s">
        <v>137</v>
      </c>
      <c r="CP8" s="696"/>
      <c r="CQ8" s="492" t="s">
        <v>356</v>
      </c>
      <c r="CR8" s="695" t="s">
        <v>137</v>
      </c>
      <c r="CS8" s="696"/>
      <c r="CT8" s="492" t="s">
        <v>356</v>
      </c>
      <c r="CU8" s="695" t="s">
        <v>137</v>
      </c>
      <c r="CV8" s="696"/>
      <c r="CW8" s="492" t="s">
        <v>356</v>
      </c>
      <c r="CX8" s="695" t="s">
        <v>137</v>
      </c>
      <c r="CY8" s="696"/>
      <c r="CZ8" s="492" t="s">
        <v>356</v>
      </c>
      <c r="DA8" s="695" t="s">
        <v>137</v>
      </c>
      <c r="DB8" s="696"/>
      <c r="DC8" s="492" t="s">
        <v>356</v>
      </c>
      <c r="DD8" s="695" t="s">
        <v>137</v>
      </c>
      <c r="DE8" s="696"/>
      <c r="DF8" s="492" t="s">
        <v>356</v>
      </c>
      <c r="DG8" s="695" t="s">
        <v>137</v>
      </c>
      <c r="DH8" s="696"/>
      <c r="DI8" s="492" t="s">
        <v>356</v>
      </c>
      <c r="DJ8" s="695" t="s">
        <v>137</v>
      </c>
      <c r="DK8" s="696"/>
      <c r="DL8" s="492" t="s">
        <v>356</v>
      </c>
      <c r="DM8" s="695" t="s">
        <v>137</v>
      </c>
      <c r="DN8" s="696"/>
      <c r="DO8" s="492" t="s">
        <v>356</v>
      </c>
      <c r="DP8" s="695" t="s">
        <v>137</v>
      </c>
      <c r="DQ8" s="696"/>
      <c r="DR8" s="492" t="s">
        <v>356</v>
      </c>
      <c r="DS8" s="695" t="s">
        <v>137</v>
      </c>
      <c r="DT8" s="696"/>
      <c r="DU8" s="492" t="s">
        <v>356</v>
      </c>
      <c r="DV8" s="695" t="s">
        <v>137</v>
      </c>
      <c r="DW8" s="696"/>
      <c r="DX8" s="492" t="s">
        <v>356</v>
      </c>
      <c r="DY8" s="695" t="s">
        <v>137</v>
      </c>
      <c r="DZ8" s="696"/>
      <c r="EA8" s="492" t="s">
        <v>356</v>
      </c>
      <c r="EB8" s="695" t="s">
        <v>137</v>
      </c>
      <c r="EC8" s="696"/>
      <c r="ED8" s="492" t="s">
        <v>356</v>
      </c>
      <c r="EE8" s="695" t="s">
        <v>137</v>
      </c>
      <c r="EF8" s="696"/>
      <c r="EG8" s="492" t="s">
        <v>356</v>
      </c>
      <c r="EH8" s="695" t="s">
        <v>137</v>
      </c>
      <c r="EI8" s="696"/>
      <c r="EJ8" s="492" t="s">
        <v>356</v>
      </c>
      <c r="EK8" s="695" t="s">
        <v>137</v>
      </c>
      <c r="EL8" s="696"/>
      <c r="EM8" s="492" t="s">
        <v>356</v>
      </c>
      <c r="EN8" s="695" t="s">
        <v>137</v>
      </c>
      <c r="EO8" s="696"/>
      <c r="EP8" s="492" t="s">
        <v>356</v>
      </c>
      <c r="EQ8" s="695" t="s">
        <v>137</v>
      </c>
      <c r="ER8" s="696"/>
      <c r="ES8" s="492" t="s">
        <v>356</v>
      </c>
      <c r="ET8" s="695" t="s">
        <v>137</v>
      </c>
      <c r="EU8" s="696"/>
      <c r="EV8" s="492" t="s">
        <v>356</v>
      </c>
      <c r="EW8" s="695" t="s">
        <v>137</v>
      </c>
      <c r="EX8" s="696"/>
      <c r="EY8" s="492" t="s">
        <v>356</v>
      </c>
      <c r="EZ8" s="695" t="s">
        <v>137</v>
      </c>
      <c r="FA8" s="696"/>
      <c r="FB8" s="492" t="s">
        <v>356</v>
      </c>
      <c r="FC8" s="695" t="s">
        <v>137</v>
      </c>
      <c r="FD8" s="696"/>
      <c r="FE8" s="492" t="s">
        <v>356</v>
      </c>
      <c r="FF8" s="695" t="s">
        <v>137</v>
      </c>
      <c r="FG8" s="696"/>
      <c r="FH8" s="492" t="s">
        <v>356</v>
      </c>
      <c r="FI8" s="695" t="s">
        <v>137</v>
      </c>
      <c r="FJ8" s="696"/>
      <c r="FK8" s="492" t="s">
        <v>356</v>
      </c>
      <c r="FL8" s="695" t="s">
        <v>137</v>
      </c>
      <c r="FM8" s="696"/>
      <c r="FN8" s="492" t="s">
        <v>356</v>
      </c>
      <c r="FO8" s="695" t="s">
        <v>137</v>
      </c>
      <c r="FP8" s="696"/>
      <c r="FQ8" s="492" t="s">
        <v>356</v>
      </c>
      <c r="FR8" s="695" t="s">
        <v>137</v>
      </c>
      <c r="FS8" s="696"/>
      <c r="FT8" s="492" t="s">
        <v>356</v>
      </c>
      <c r="FU8" s="695" t="s">
        <v>137</v>
      </c>
      <c r="FV8" s="696"/>
      <c r="FW8" s="492" t="s">
        <v>356</v>
      </c>
      <c r="FX8" s="695" t="s">
        <v>137</v>
      </c>
      <c r="FY8" s="696"/>
      <c r="FZ8" s="492" t="s">
        <v>356</v>
      </c>
      <c r="GA8" s="695" t="s">
        <v>137</v>
      </c>
      <c r="GB8" s="696"/>
      <c r="GC8" s="492" t="s">
        <v>356</v>
      </c>
      <c r="GD8" s="695" t="s">
        <v>137</v>
      </c>
      <c r="GE8" s="696"/>
      <c r="GF8" s="492" t="s">
        <v>356</v>
      </c>
      <c r="GG8" s="695" t="s">
        <v>137</v>
      </c>
      <c r="GH8" s="696"/>
      <c r="GI8" s="492" t="s">
        <v>356</v>
      </c>
      <c r="GJ8" s="695" t="s">
        <v>137</v>
      </c>
      <c r="GK8" s="696"/>
      <c r="GL8" s="492" t="s">
        <v>356</v>
      </c>
      <c r="GM8" s="695" t="s">
        <v>137</v>
      </c>
      <c r="GN8" s="696"/>
      <c r="GO8" s="492" t="s">
        <v>356</v>
      </c>
      <c r="GP8" s="695" t="s">
        <v>137</v>
      </c>
      <c r="GQ8" s="696"/>
      <c r="GR8" s="492" t="s">
        <v>356</v>
      </c>
      <c r="GS8" s="695" t="s">
        <v>137</v>
      </c>
      <c r="GT8" s="696"/>
      <c r="GU8" s="492" t="s">
        <v>356</v>
      </c>
      <c r="GV8" s="695" t="s">
        <v>137</v>
      </c>
      <c r="GW8" s="696"/>
      <c r="GX8" s="492" t="s">
        <v>356</v>
      </c>
      <c r="GY8" s="695" t="s">
        <v>137</v>
      </c>
      <c r="GZ8" s="696"/>
      <c r="HA8" s="492" t="s">
        <v>356</v>
      </c>
      <c r="HB8" s="695" t="s">
        <v>137</v>
      </c>
      <c r="HC8" s="696"/>
      <c r="HD8" s="492" t="s">
        <v>356</v>
      </c>
      <c r="HE8" s="695" t="s">
        <v>137</v>
      </c>
      <c r="HF8" s="696"/>
      <c r="HG8" s="492" t="s">
        <v>356</v>
      </c>
      <c r="HH8" s="695" t="s">
        <v>137</v>
      </c>
      <c r="HI8" s="696"/>
      <c r="HJ8" s="492" t="s">
        <v>356</v>
      </c>
      <c r="HK8" s="695" t="s">
        <v>137</v>
      </c>
      <c r="HL8" s="696"/>
      <c r="HM8" s="492" t="s">
        <v>356</v>
      </c>
      <c r="HN8" s="695" t="s">
        <v>137</v>
      </c>
      <c r="HO8" s="696"/>
      <c r="HP8" s="492" t="s">
        <v>356</v>
      </c>
      <c r="HQ8" s="695" t="s">
        <v>137</v>
      </c>
      <c r="HR8" s="696"/>
      <c r="HS8" s="492" t="s">
        <v>356</v>
      </c>
      <c r="HT8" s="695" t="s">
        <v>137</v>
      </c>
      <c r="HU8" s="696"/>
      <c r="HV8" s="492" t="s">
        <v>356</v>
      </c>
      <c r="HW8" s="695" t="s">
        <v>137</v>
      </c>
      <c r="HX8" s="696"/>
      <c r="HY8" s="492" t="s">
        <v>356</v>
      </c>
      <c r="HZ8" s="695" t="s">
        <v>137</v>
      </c>
      <c r="IA8" s="696"/>
      <c r="IB8" s="492" t="s">
        <v>356</v>
      </c>
      <c r="IC8" s="695" t="s">
        <v>137</v>
      </c>
      <c r="ID8" s="696"/>
      <c r="IE8" s="492" t="s">
        <v>356</v>
      </c>
      <c r="IF8" s="695" t="s">
        <v>137</v>
      </c>
      <c r="IG8" s="696"/>
      <c r="IH8" s="492" t="s">
        <v>356</v>
      </c>
      <c r="II8" s="697" t="s">
        <v>137</v>
      </c>
      <c r="IJ8" s="697"/>
      <c r="IK8" s="493" t="s">
        <v>356</v>
      </c>
      <c r="IL8" s="695" t="s">
        <v>137</v>
      </c>
      <c r="IM8" s="696"/>
      <c r="IN8" s="492" t="s">
        <v>356</v>
      </c>
      <c r="IO8" s="695" t="s">
        <v>137</v>
      </c>
      <c r="IP8" s="696"/>
      <c r="IQ8" s="492" t="s">
        <v>356</v>
      </c>
      <c r="IR8" s="695" t="s">
        <v>137</v>
      </c>
      <c r="IS8" s="696"/>
      <c r="IT8" s="492" t="s">
        <v>356</v>
      </c>
      <c r="IU8" s="695" t="s">
        <v>137</v>
      </c>
      <c r="IV8" s="696"/>
      <c r="IW8" s="492" t="s">
        <v>356</v>
      </c>
      <c r="IX8" s="695" t="s">
        <v>137</v>
      </c>
      <c r="IY8" s="696"/>
      <c r="IZ8" s="492" t="s">
        <v>356</v>
      </c>
      <c r="JA8" s="695" t="s">
        <v>137</v>
      </c>
      <c r="JB8" s="696"/>
      <c r="JC8" s="492" t="s">
        <v>356</v>
      </c>
      <c r="JD8" s="695" t="s">
        <v>137</v>
      </c>
      <c r="JE8" s="696"/>
      <c r="JF8" s="492" t="s">
        <v>356</v>
      </c>
      <c r="JG8" s="695" t="s">
        <v>137</v>
      </c>
      <c r="JH8" s="696"/>
      <c r="JI8" s="492" t="s">
        <v>356</v>
      </c>
      <c r="JJ8" s="695" t="s">
        <v>137</v>
      </c>
      <c r="JK8" s="696"/>
      <c r="JL8" s="492" t="s">
        <v>356</v>
      </c>
      <c r="JM8" s="695" t="s">
        <v>137</v>
      </c>
      <c r="JN8" s="696"/>
      <c r="JO8" s="492" t="s">
        <v>356</v>
      </c>
      <c r="JP8" s="695" t="s">
        <v>137</v>
      </c>
      <c r="JQ8" s="696"/>
      <c r="JR8" s="492" t="s">
        <v>356</v>
      </c>
      <c r="JS8" s="695" t="s">
        <v>137</v>
      </c>
      <c r="JT8" s="696"/>
      <c r="JU8" s="492" t="s">
        <v>356</v>
      </c>
      <c r="JV8" s="695" t="s">
        <v>137</v>
      </c>
      <c r="JW8" s="696"/>
      <c r="JX8" s="492" t="s">
        <v>356</v>
      </c>
      <c r="JY8" s="695" t="s">
        <v>137</v>
      </c>
      <c r="JZ8" s="696"/>
      <c r="KA8" s="492" t="s">
        <v>356</v>
      </c>
      <c r="KB8" s="695" t="s">
        <v>137</v>
      </c>
      <c r="KC8" s="696"/>
      <c r="KD8" s="492" t="s">
        <v>356</v>
      </c>
      <c r="KE8" s="695" t="s">
        <v>137</v>
      </c>
      <c r="KF8" s="696"/>
      <c r="KG8" s="492" t="s">
        <v>356</v>
      </c>
      <c r="KH8" s="695" t="s">
        <v>137</v>
      </c>
      <c r="KI8" s="696"/>
      <c r="KJ8" s="492" t="s">
        <v>356</v>
      </c>
      <c r="KK8" s="695" t="s">
        <v>137</v>
      </c>
      <c r="KL8" s="696"/>
      <c r="KM8" s="492" t="s">
        <v>356</v>
      </c>
      <c r="KN8" s="695" t="s">
        <v>137</v>
      </c>
      <c r="KO8" s="696"/>
      <c r="KP8" s="492" t="s">
        <v>356</v>
      </c>
      <c r="KQ8" s="697" t="s">
        <v>137</v>
      </c>
      <c r="KR8" s="697"/>
      <c r="KS8" s="493" t="s">
        <v>356</v>
      </c>
      <c r="KT8" s="708"/>
      <c r="KU8" s="708"/>
    </row>
    <row r="9" spans="1:308" ht="15" customHeight="1" thickBot="1">
      <c r="A9" s="713"/>
      <c r="B9" s="713"/>
      <c r="C9" s="713"/>
      <c r="D9" s="716"/>
      <c r="E9" s="719"/>
      <c r="F9" s="513" t="s">
        <v>138</v>
      </c>
      <c r="G9" s="494" t="s">
        <v>39</v>
      </c>
      <c r="H9" s="495"/>
      <c r="I9" s="494" t="s">
        <v>138</v>
      </c>
      <c r="J9" s="494" t="s">
        <v>39</v>
      </c>
      <c r="K9" s="495"/>
      <c r="L9" s="494" t="s">
        <v>138</v>
      </c>
      <c r="M9" s="494" t="s">
        <v>39</v>
      </c>
      <c r="N9" s="495"/>
      <c r="O9" s="494" t="s">
        <v>138</v>
      </c>
      <c r="P9" s="494" t="s">
        <v>39</v>
      </c>
      <c r="Q9" s="495"/>
      <c r="R9" s="494" t="s">
        <v>138</v>
      </c>
      <c r="S9" s="494" t="s">
        <v>39</v>
      </c>
      <c r="T9" s="495"/>
      <c r="U9" s="494" t="s">
        <v>138</v>
      </c>
      <c r="V9" s="494" t="s">
        <v>39</v>
      </c>
      <c r="W9" s="495"/>
      <c r="X9" s="494" t="s">
        <v>138</v>
      </c>
      <c r="Y9" s="494" t="s">
        <v>39</v>
      </c>
      <c r="Z9" s="495"/>
      <c r="AA9" s="494" t="s">
        <v>138</v>
      </c>
      <c r="AB9" s="494" t="s">
        <v>39</v>
      </c>
      <c r="AC9" s="495"/>
      <c r="AD9" s="494" t="s">
        <v>138</v>
      </c>
      <c r="AE9" s="494" t="s">
        <v>39</v>
      </c>
      <c r="AF9" s="495"/>
      <c r="AG9" s="494" t="s">
        <v>138</v>
      </c>
      <c r="AH9" s="494" t="s">
        <v>39</v>
      </c>
      <c r="AI9" s="495"/>
      <c r="AJ9" s="494" t="s">
        <v>138</v>
      </c>
      <c r="AK9" s="494" t="s">
        <v>39</v>
      </c>
      <c r="AL9" s="495"/>
      <c r="AM9" s="494" t="s">
        <v>138</v>
      </c>
      <c r="AN9" s="494" t="s">
        <v>39</v>
      </c>
      <c r="AO9" s="495"/>
      <c r="AP9" s="494" t="s">
        <v>138</v>
      </c>
      <c r="AQ9" s="494" t="s">
        <v>39</v>
      </c>
      <c r="AR9" s="495"/>
      <c r="AS9" s="494" t="s">
        <v>138</v>
      </c>
      <c r="AT9" s="494" t="s">
        <v>39</v>
      </c>
      <c r="AU9" s="495"/>
      <c r="AV9" s="494" t="s">
        <v>138</v>
      </c>
      <c r="AW9" s="494" t="s">
        <v>39</v>
      </c>
      <c r="AX9" s="495"/>
      <c r="AY9" s="494" t="s">
        <v>138</v>
      </c>
      <c r="AZ9" s="494" t="s">
        <v>39</v>
      </c>
      <c r="BA9" s="495"/>
      <c r="BB9" s="494" t="s">
        <v>138</v>
      </c>
      <c r="BC9" s="494" t="s">
        <v>39</v>
      </c>
      <c r="BD9" s="495"/>
      <c r="BE9" s="494" t="s">
        <v>138</v>
      </c>
      <c r="BF9" s="494" t="s">
        <v>39</v>
      </c>
      <c r="BG9" s="495"/>
      <c r="BH9" s="494" t="s">
        <v>138</v>
      </c>
      <c r="BI9" s="494" t="s">
        <v>39</v>
      </c>
      <c r="BJ9" s="495"/>
      <c r="BK9" s="494" t="s">
        <v>138</v>
      </c>
      <c r="BL9" s="494" t="s">
        <v>39</v>
      </c>
      <c r="BM9" s="495"/>
      <c r="BN9" s="494" t="s">
        <v>138</v>
      </c>
      <c r="BO9" s="494" t="s">
        <v>39</v>
      </c>
      <c r="BP9" s="495"/>
      <c r="BQ9" s="494" t="s">
        <v>138</v>
      </c>
      <c r="BR9" s="494" t="s">
        <v>39</v>
      </c>
      <c r="BS9" s="495"/>
      <c r="BT9" s="494" t="s">
        <v>138</v>
      </c>
      <c r="BU9" s="494" t="s">
        <v>39</v>
      </c>
      <c r="BV9" s="495"/>
      <c r="BW9" s="494" t="s">
        <v>138</v>
      </c>
      <c r="BX9" s="494" t="s">
        <v>39</v>
      </c>
      <c r="BY9" s="495"/>
      <c r="BZ9" s="494" t="s">
        <v>138</v>
      </c>
      <c r="CA9" s="494" t="s">
        <v>39</v>
      </c>
      <c r="CB9" s="495"/>
      <c r="CC9" s="494" t="s">
        <v>138</v>
      </c>
      <c r="CD9" s="494" t="s">
        <v>39</v>
      </c>
      <c r="CE9" s="495"/>
      <c r="CF9" s="494" t="s">
        <v>138</v>
      </c>
      <c r="CG9" s="494" t="s">
        <v>39</v>
      </c>
      <c r="CH9" s="495"/>
      <c r="CI9" s="494" t="s">
        <v>138</v>
      </c>
      <c r="CJ9" s="494" t="s">
        <v>39</v>
      </c>
      <c r="CK9" s="495"/>
      <c r="CL9" s="494" t="s">
        <v>138</v>
      </c>
      <c r="CM9" s="494" t="s">
        <v>39</v>
      </c>
      <c r="CN9" s="495"/>
      <c r="CO9" s="494" t="s">
        <v>138</v>
      </c>
      <c r="CP9" s="494" t="s">
        <v>39</v>
      </c>
      <c r="CQ9" s="495"/>
      <c r="CR9" s="494" t="s">
        <v>138</v>
      </c>
      <c r="CS9" s="494" t="s">
        <v>39</v>
      </c>
      <c r="CT9" s="495"/>
      <c r="CU9" s="494" t="s">
        <v>138</v>
      </c>
      <c r="CV9" s="494" t="s">
        <v>39</v>
      </c>
      <c r="CW9" s="495"/>
      <c r="CX9" s="494" t="s">
        <v>138</v>
      </c>
      <c r="CY9" s="494" t="s">
        <v>39</v>
      </c>
      <c r="CZ9" s="495"/>
      <c r="DA9" s="494" t="s">
        <v>138</v>
      </c>
      <c r="DB9" s="494" t="s">
        <v>39</v>
      </c>
      <c r="DC9" s="495"/>
      <c r="DD9" s="494" t="s">
        <v>138</v>
      </c>
      <c r="DE9" s="494" t="s">
        <v>39</v>
      </c>
      <c r="DF9" s="495"/>
      <c r="DG9" s="494" t="s">
        <v>138</v>
      </c>
      <c r="DH9" s="494" t="s">
        <v>39</v>
      </c>
      <c r="DI9" s="495"/>
      <c r="DJ9" s="494" t="s">
        <v>138</v>
      </c>
      <c r="DK9" s="494" t="s">
        <v>39</v>
      </c>
      <c r="DL9" s="495"/>
      <c r="DM9" s="494" t="s">
        <v>138</v>
      </c>
      <c r="DN9" s="494" t="s">
        <v>39</v>
      </c>
      <c r="DO9" s="495"/>
      <c r="DP9" s="494" t="s">
        <v>138</v>
      </c>
      <c r="DQ9" s="494" t="s">
        <v>39</v>
      </c>
      <c r="DR9" s="495"/>
      <c r="DS9" s="494" t="s">
        <v>138</v>
      </c>
      <c r="DT9" s="494" t="s">
        <v>39</v>
      </c>
      <c r="DU9" s="495"/>
      <c r="DV9" s="494" t="s">
        <v>138</v>
      </c>
      <c r="DW9" s="494" t="s">
        <v>39</v>
      </c>
      <c r="DX9" s="495"/>
      <c r="DY9" s="494" t="s">
        <v>138</v>
      </c>
      <c r="DZ9" s="494" t="s">
        <v>39</v>
      </c>
      <c r="EA9" s="495"/>
      <c r="EB9" s="494" t="s">
        <v>138</v>
      </c>
      <c r="EC9" s="494" t="s">
        <v>39</v>
      </c>
      <c r="ED9" s="492"/>
      <c r="EE9" s="494" t="s">
        <v>138</v>
      </c>
      <c r="EF9" s="494" t="s">
        <v>39</v>
      </c>
      <c r="EG9" s="495"/>
      <c r="EH9" s="494" t="s">
        <v>138</v>
      </c>
      <c r="EI9" s="494" t="s">
        <v>39</v>
      </c>
      <c r="EJ9" s="495"/>
      <c r="EK9" s="494" t="s">
        <v>138</v>
      </c>
      <c r="EL9" s="494" t="s">
        <v>39</v>
      </c>
      <c r="EM9" s="495"/>
      <c r="EN9" s="494" t="s">
        <v>138</v>
      </c>
      <c r="EO9" s="494" t="s">
        <v>39</v>
      </c>
      <c r="EP9" s="495"/>
      <c r="EQ9" s="494" t="s">
        <v>138</v>
      </c>
      <c r="ER9" s="494" t="s">
        <v>39</v>
      </c>
      <c r="ES9" s="495"/>
      <c r="ET9" s="494" t="s">
        <v>138</v>
      </c>
      <c r="EU9" s="494" t="s">
        <v>39</v>
      </c>
      <c r="EV9" s="495"/>
      <c r="EW9" s="494" t="s">
        <v>138</v>
      </c>
      <c r="EX9" s="494" t="s">
        <v>39</v>
      </c>
      <c r="EY9" s="495"/>
      <c r="EZ9" s="494" t="s">
        <v>138</v>
      </c>
      <c r="FA9" s="494" t="s">
        <v>39</v>
      </c>
      <c r="FB9" s="495"/>
      <c r="FC9" s="494" t="s">
        <v>138</v>
      </c>
      <c r="FD9" s="494" t="s">
        <v>39</v>
      </c>
      <c r="FE9" s="495"/>
      <c r="FF9" s="494" t="s">
        <v>138</v>
      </c>
      <c r="FG9" s="494" t="s">
        <v>39</v>
      </c>
      <c r="FH9" s="495"/>
      <c r="FI9" s="494" t="s">
        <v>138</v>
      </c>
      <c r="FJ9" s="494" t="s">
        <v>39</v>
      </c>
      <c r="FK9" s="495"/>
      <c r="FL9" s="494" t="s">
        <v>138</v>
      </c>
      <c r="FM9" s="494" t="s">
        <v>39</v>
      </c>
      <c r="FN9" s="495"/>
      <c r="FO9" s="494" t="s">
        <v>138</v>
      </c>
      <c r="FP9" s="494" t="s">
        <v>39</v>
      </c>
      <c r="FQ9" s="495"/>
      <c r="FR9" s="494" t="s">
        <v>138</v>
      </c>
      <c r="FS9" s="494" t="s">
        <v>39</v>
      </c>
      <c r="FT9" s="495"/>
      <c r="FU9" s="494" t="s">
        <v>138</v>
      </c>
      <c r="FV9" s="494" t="s">
        <v>39</v>
      </c>
      <c r="FW9" s="495"/>
      <c r="FX9" s="494" t="s">
        <v>138</v>
      </c>
      <c r="FY9" s="494" t="s">
        <v>39</v>
      </c>
      <c r="FZ9" s="495"/>
      <c r="GA9" s="494" t="s">
        <v>138</v>
      </c>
      <c r="GB9" s="494" t="s">
        <v>39</v>
      </c>
      <c r="GC9" s="495"/>
      <c r="GD9" s="494" t="s">
        <v>138</v>
      </c>
      <c r="GE9" s="494" t="s">
        <v>39</v>
      </c>
      <c r="GF9" s="495"/>
      <c r="GG9" s="494" t="s">
        <v>138</v>
      </c>
      <c r="GH9" s="494" t="s">
        <v>39</v>
      </c>
      <c r="GI9" s="495"/>
      <c r="GJ9" s="494" t="s">
        <v>138</v>
      </c>
      <c r="GK9" s="494" t="s">
        <v>39</v>
      </c>
      <c r="GL9" s="495"/>
      <c r="GM9" s="494" t="s">
        <v>138</v>
      </c>
      <c r="GN9" s="494" t="s">
        <v>39</v>
      </c>
      <c r="GO9" s="495"/>
      <c r="GP9" s="494" t="s">
        <v>138</v>
      </c>
      <c r="GQ9" s="494" t="s">
        <v>39</v>
      </c>
      <c r="GR9" s="495"/>
      <c r="GS9" s="494" t="s">
        <v>138</v>
      </c>
      <c r="GT9" s="494" t="s">
        <v>39</v>
      </c>
      <c r="GU9" s="495"/>
      <c r="GV9" s="494" t="s">
        <v>138</v>
      </c>
      <c r="GW9" s="494" t="s">
        <v>39</v>
      </c>
      <c r="GX9" s="495"/>
      <c r="GY9" s="494" t="s">
        <v>138</v>
      </c>
      <c r="GZ9" s="494" t="s">
        <v>39</v>
      </c>
      <c r="HA9" s="495"/>
      <c r="HB9" s="494" t="s">
        <v>138</v>
      </c>
      <c r="HC9" s="494" t="s">
        <v>39</v>
      </c>
      <c r="HD9" s="495"/>
      <c r="HE9" s="494" t="s">
        <v>138</v>
      </c>
      <c r="HF9" s="494" t="s">
        <v>39</v>
      </c>
      <c r="HG9" s="495"/>
      <c r="HH9" s="494" t="s">
        <v>138</v>
      </c>
      <c r="HI9" s="494" t="s">
        <v>39</v>
      </c>
      <c r="HJ9" s="495"/>
      <c r="HK9" s="494" t="s">
        <v>138</v>
      </c>
      <c r="HL9" s="494" t="s">
        <v>39</v>
      </c>
      <c r="HM9" s="495"/>
      <c r="HN9" s="494" t="s">
        <v>138</v>
      </c>
      <c r="HO9" s="494" t="s">
        <v>39</v>
      </c>
      <c r="HP9" s="495"/>
      <c r="HQ9" s="494" t="s">
        <v>138</v>
      </c>
      <c r="HR9" s="494" t="s">
        <v>39</v>
      </c>
      <c r="HS9" s="495"/>
      <c r="HT9" s="494" t="s">
        <v>138</v>
      </c>
      <c r="HU9" s="494" t="s">
        <v>39</v>
      </c>
      <c r="HV9" s="495"/>
      <c r="HW9" s="494" t="s">
        <v>138</v>
      </c>
      <c r="HX9" s="494" t="s">
        <v>39</v>
      </c>
      <c r="HY9" s="495"/>
      <c r="HZ9" s="494" t="s">
        <v>138</v>
      </c>
      <c r="IA9" s="494" t="s">
        <v>39</v>
      </c>
      <c r="IB9" s="495"/>
      <c r="IC9" s="494" t="s">
        <v>138</v>
      </c>
      <c r="ID9" s="494" t="s">
        <v>39</v>
      </c>
      <c r="IE9" s="495"/>
      <c r="IF9" s="494" t="s">
        <v>138</v>
      </c>
      <c r="IG9" s="494" t="s">
        <v>39</v>
      </c>
      <c r="IH9" s="495"/>
      <c r="II9" s="494" t="s">
        <v>138</v>
      </c>
      <c r="IJ9" s="494" t="s">
        <v>39</v>
      </c>
      <c r="IK9" s="495"/>
      <c r="IL9" s="494" t="s">
        <v>138</v>
      </c>
      <c r="IM9" s="494" t="s">
        <v>39</v>
      </c>
      <c r="IN9" s="495"/>
      <c r="IO9" s="494" t="s">
        <v>138</v>
      </c>
      <c r="IP9" s="494" t="s">
        <v>39</v>
      </c>
      <c r="IQ9" s="495"/>
      <c r="IR9" s="494" t="s">
        <v>138</v>
      </c>
      <c r="IS9" s="494" t="s">
        <v>39</v>
      </c>
      <c r="IT9" s="495"/>
      <c r="IU9" s="494" t="s">
        <v>138</v>
      </c>
      <c r="IV9" s="494" t="s">
        <v>39</v>
      </c>
      <c r="IW9" s="495"/>
      <c r="IX9" s="494" t="s">
        <v>138</v>
      </c>
      <c r="IY9" s="494" t="s">
        <v>39</v>
      </c>
      <c r="IZ9" s="495"/>
      <c r="JA9" s="494" t="s">
        <v>138</v>
      </c>
      <c r="JB9" s="494" t="s">
        <v>39</v>
      </c>
      <c r="JC9" s="495"/>
      <c r="JD9" s="494" t="s">
        <v>138</v>
      </c>
      <c r="JE9" s="494" t="s">
        <v>39</v>
      </c>
      <c r="JF9" s="495"/>
      <c r="JG9" s="494" t="s">
        <v>138</v>
      </c>
      <c r="JH9" s="494" t="s">
        <v>39</v>
      </c>
      <c r="JI9" s="495"/>
      <c r="JJ9" s="494" t="s">
        <v>138</v>
      </c>
      <c r="JK9" s="494" t="s">
        <v>39</v>
      </c>
      <c r="JL9" s="495" t="s">
        <v>382</v>
      </c>
      <c r="JM9" s="494" t="s">
        <v>138</v>
      </c>
      <c r="JN9" s="494" t="s">
        <v>39</v>
      </c>
      <c r="JO9" s="495" t="s">
        <v>382</v>
      </c>
      <c r="JP9" s="494" t="s">
        <v>138</v>
      </c>
      <c r="JQ9" s="494" t="s">
        <v>39</v>
      </c>
      <c r="JR9" s="495" t="s">
        <v>382</v>
      </c>
      <c r="JS9" s="494" t="s">
        <v>138</v>
      </c>
      <c r="JT9" s="494" t="s">
        <v>39</v>
      </c>
      <c r="JU9" s="495" t="s">
        <v>382</v>
      </c>
      <c r="JV9" s="494" t="s">
        <v>138</v>
      </c>
      <c r="JW9" s="494" t="s">
        <v>39</v>
      </c>
      <c r="JX9" s="495" t="s">
        <v>382</v>
      </c>
      <c r="JY9" s="494" t="s">
        <v>138</v>
      </c>
      <c r="JZ9" s="494" t="s">
        <v>39</v>
      </c>
      <c r="KA9" s="495" t="s">
        <v>382</v>
      </c>
      <c r="KB9" s="494" t="s">
        <v>138</v>
      </c>
      <c r="KC9" s="494" t="s">
        <v>39</v>
      </c>
      <c r="KD9" s="495" t="s">
        <v>382</v>
      </c>
      <c r="KE9" s="494" t="s">
        <v>138</v>
      </c>
      <c r="KF9" s="494" t="s">
        <v>39</v>
      </c>
      <c r="KG9" s="495" t="s">
        <v>382</v>
      </c>
      <c r="KH9" s="494" t="s">
        <v>138</v>
      </c>
      <c r="KI9" s="494" t="s">
        <v>39</v>
      </c>
      <c r="KJ9" s="495" t="s">
        <v>382</v>
      </c>
      <c r="KK9" s="494" t="s">
        <v>138</v>
      </c>
      <c r="KL9" s="494" t="s">
        <v>39</v>
      </c>
      <c r="KM9" s="495" t="s">
        <v>382</v>
      </c>
      <c r="KN9" s="494" t="s">
        <v>138</v>
      </c>
      <c r="KO9" s="494" t="s">
        <v>39</v>
      </c>
      <c r="KP9" s="495" t="s">
        <v>382</v>
      </c>
      <c r="KQ9" s="494" t="s">
        <v>138</v>
      </c>
      <c r="KR9" s="494" t="s">
        <v>39</v>
      </c>
      <c r="KS9" s="495" t="s">
        <v>382</v>
      </c>
      <c r="KT9" s="708"/>
      <c r="KU9" s="708"/>
    </row>
    <row r="10" spans="1:308" ht="15" customHeight="1">
      <c r="A10" s="509">
        <f>+Report1!A9</f>
        <v>45992</v>
      </c>
      <c r="B10" s="510" t="str">
        <f>+Report1!B9</f>
        <v>Facial/Toilet</v>
      </c>
      <c r="C10" s="511" t="str">
        <f>+Report1!C9</f>
        <v>15/12,5/14</v>
      </c>
      <c r="D10" s="512">
        <f>+Report1!P9</f>
        <v>54.085000000000008</v>
      </c>
      <c r="E10" s="514">
        <f>+Report1!R9</f>
        <v>54.765000000000001</v>
      </c>
      <c r="F10" s="496"/>
      <c r="G10" s="497">
        <f t="shared" ref="G10:G40" si="0">+F10/$E10</f>
        <v>0</v>
      </c>
      <c r="H10" s="498">
        <f>+F10*$H$9</f>
        <v>0</v>
      </c>
      <c r="I10" s="496">
        <v>34.881800000000055</v>
      </c>
      <c r="J10" s="497">
        <f t="shared" ref="J10:J40" si="1">+I10/$E10</f>
        <v>0.63693599926960753</v>
      </c>
      <c r="K10" s="498">
        <f>+I10*$H$9</f>
        <v>0</v>
      </c>
      <c r="L10" s="496"/>
      <c r="M10" s="497">
        <f t="shared" ref="M10:M40" si="2">+L10/$E10</f>
        <v>0</v>
      </c>
      <c r="N10" s="498">
        <f>+L10*$H$9</f>
        <v>0</v>
      </c>
      <c r="O10" s="496">
        <v>12</v>
      </c>
      <c r="P10" s="497">
        <f t="shared" ref="P10:P40" si="3">+O10/$E10</f>
        <v>0.21911804984935634</v>
      </c>
      <c r="Q10" s="498">
        <f>+O10*$H$9</f>
        <v>0</v>
      </c>
      <c r="R10" s="496">
        <v>7.6875000000000071</v>
      </c>
      <c r="S10" s="497">
        <f t="shared" ref="S10:S40" si="4">+R10/$E10</f>
        <v>0.14037250068474402</v>
      </c>
      <c r="T10" s="498">
        <f>+R10*$H$9</f>
        <v>0</v>
      </c>
      <c r="U10" s="496">
        <v>6.25</v>
      </c>
      <c r="V10" s="497">
        <f t="shared" ref="V10:V40" si="5">+U10/$E10</f>
        <v>0.11412398429653976</v>
      </c>
      <c r="W10" s="498">
        <f>+U10*$H$9</f>
        <v>0</v>
      </c>
      <c r="X10" s="496"/>
      <c r="Y10" s="497">
        <f t="shared" ref="Y10:Y40" si="6">+X10/$E10</f>
        <v>0</v>
      </c>
      <c r="Z10" s="498">
        <f>+X10*$H$9</f>
        <v>0</v>
      </c>
      <c r="AA10" s="496"/>
      <c r="AB10" s="497">
        <f t="shared" ref="AB10:AB40" si="7">+AA10/$E10</f>
        <v>0</v>
      </c>
      <c r="AC10" s="498">
        <f>+AA10*$H$9</f>
        <v>0</v>
      </c>
      <c r="AD10" s="496"/>
      <c r="AE10" s="497">
        <f t="shared" ref="AE10:AE40" si="8">+AD10/$E10</f>
        <v>0</v>
      </c>
      <c r="AF10" s="498">
        <f>+AD10*$H$9</f>
        <v>0</v>
      </c>
      <c r="AG10" s="496"/>
      <c r="AH10" s="497">
        <f t="shared" ref="AH10:AH40" si="9">+AG10/$E10</f>
        <v>0</v>
      </c>
      <c r="AI10" s="498">
        <f>+AG10*$H$9</f>
        <v>0</v>
      </c>
      <c r="AJ10" s="496"/>
      <c r="AK10" s="497">
        <f t="shared" ref="AK10:AK40" si="10">+AJ10/$E10</f>
        <v>0</v>
      </c>
      <c r="AL10" s="498">
        <f>+AJ10*$H$9</f>
        <v>0</v>
      </c>
      <c r="AM10" s="496"/>
      <c r="AN10" s="497">
        <f t="shared" ref="AN10:AN40" si="11">+AM10/$E10</f>
        <v>0</v>
      </c>
      <c r="AO10" s="498">
        <f>+AM10*$H$9</f>
        <v>0</v>
      </c>
      <c r="AP10" s="496">
        <v>49.036415384615509</v>
      </c>
      <c r="AQ10" s="497">
        <f t="shared" ref="AQ10:AQ40" si="12">+AP10/$E10</f>
        <v>0.89539697588999378</v>
      </c>
      <c r="AR10" s="498">
        <f>+AP10*$H$9</f>
        <v>0</v>
      </c>
      <c r="AS10" s="496"/>
      <c r="AT10" s="497">
        <f t="shared" ref="AT10:AT40" si="13">+AS10/$E10</f>
        <v>0</v>
      </c>
      <c r="AU10" s="498">
        <f>+AS10*$H$9</f>
        <v>0</v>
      </c>
      <c r="AV10" s="496">
        <v>11.096499999999935</v>
      </c>
      <c r="AW10" s="497">
        <f t="shared" ref="AW10:AW40" si="14">+AV10/$E10</f>
        <v>0.20262028667944737</v>
      </c>
      <c r="AX10" s="498">
        <f>+AV10*$H$9</f>
        <v>0</v>
      </c>
      <c r="AY10" s="496">
        <v>67.665866666666716</v>
      </c>
      <c r="AZ10" s="497">
        <f t="shared" ref="AZ10:AZ40" si="15">+AY10/$E10</f>
        <v>1.235567728780548</v>
      </c>
      <c r="BA10" s="498">
        <f>+AY10*$H$9</f>
        <v>0</v>
      </c>
      <c r="BB10" s="496"/>
      <c r="BC10" s="497">
        <f t="shared" ref="BC10:BC40" si="16">+BB10/$E10</f>
        <v>0</v>
      </c>
      <c r="BD10" s="498">
        <f>+BB10*$H$9</f>
        <v>0</v>
      </c>
      <c r="BE10" s="496"/>
      <c r="BF10" s="497">
        <f t="shared" ref="BF10:BF40" si="17">+BE10/$E10</f>
        <v>0</v>
      </c>
      <c r="BG10" s="498">
        <f>+BE10*$H$9</f>
        <v>0</v>
      </c>
      <c r="BH10" s="496"/>
      <c r="BI10" s="497">
        <f t="shared" ref="BI10:BI40" si="18">+BH10/$E10</f>
        <v>0</v>
      </c>
      <c r="BJ10" s="498">
        <f>+BH10*$H$9</f>
        <v>0</v>
      </c>
      <c r="BK10" s="496"/>
      <c r="BL10" s="497">
        <f t="shared" ref="BL10:BL40" si="19">+BK10/$E10</f>
        <v>0</v>
      </c>
      <c r="BM10" s="498">
        <f>+BK10*$H$9</f>
        <v>0</v>
      </c>
      <c r="BN10" s="496">
        <v>20.24691358024694</v>
      </c>
      <c r="BO10" s="497">
        <f t="shared" ref="BO10:BO40" si="20">+BN10/$E10</f>
        <v>0.36970535159767987</v>
      </c>
      <c r="BP10" s="498">
        <f>+BN10*$H$9</f>
        <v>0</v>
      </c>
      <c r="BQ10" s="496">
        <v>0</v>
      </c>
      <c r="BR10" s="497">
        <f t="shared" ref="BR10:BR40" si="21">+BQ10/$E10</f>
        <v>0</v>
      </c>
      <c r="BS10" s="498">
        <f>+BQ10*$H$9</f>
        <v>0</v>
      </c>
      <c r="BT10" s="496"/>
      <c r="BU10" s="497">
        <f t="shared" ref="BU10:BU40" si="22">+BT10/$E10</f>
        <v>0</v>
      </c>
      <c r="BV10" s="498">
        <f>+BT10*$H$9</f>
        <v>0</v>
      </c>
      <c r="BW10" s="496"/>
      <c r="BX10" s="497">
        <f t="shared" ref="BX10:BX40" si="23">+BW10/$E10</f>
        <v>0</v>
      </c>
      <c r="BY10" s="498">
        <f>+BW10*$H$9</f>
        <v>0</v>
      </c>
      <c r="BZ10" s="496"/>
      <c r="CA10" s="497">
        <f t="shared" ref="CA10:CA40" si="24">+BZ10/$E10</f>
        <v>0</v>
      </c>
      <c r="CB10" s="498">
        <f>+BZ10*$H$9</f>
        <v>0</v>
      </c>
      <c r="CC10" s="496">
        <v>0</v>
      </c>
      <c r="CD10" s="497">
        <f t="shared" ref="CD10:CD40" si="25">+CC10/$E10</f>
        <v>0</v>
      </c>
      <c r="CE10" s="498">
        <f>+CC10*$H$9</f>
        <v>0</v>
      </c>
      <c r="CF10" s="496">
        <v>8</v>
      </c>
      <c r="CG10" s="497">
        <f t="shared" ref="CG10:CG40" si="26">+CF10/$E10</f>
        <v>0.1460786998995709</v>
      </c>
      <c r="CH10" s="498">
        <f>+CF10*$H$9</f>
        <v>0</v>
      </c>
      <c r="CI10" s="496"/>
      <c r="CJ10" s="497">
        <f t="shared" ref="CJ10:CJ40" si="27">+CI10/$E10</f>
        <v>0</v>
      </c>
      <c r="CK10" s="498">
        <f>+CI10*$H$9</f>
        <v>0</v>
      </c>
      <c r="CL10" s="496"/>
      <c r="CM10" s="497">
        <f t="shared" ref="CM10:CM40" si="28">+CL10/$E10</f>
        <v>0</v>
      </c>
      <c r="CN10" s="498">
        <f>+CL10*$H$9</f>
        <v>0</v>
      </c>
      <c r="CO10" s="496"/>
      <c r="CP10" s="497">
        <f t="shared" ref="CP10:CP40" si="29">+CO10/$E10</f>
        <v>0</v>
      </c>
      <c r="CQ10" s="498">
        <f>+CO10*$H$9</f>
        <v>0</v>
      </c>
      <c r="CR10" s="496"/>
      <c r="CS10" s="497">
        <f t="shared" ref="CS10:CS40" si="30">+CR10/$E10</f>
        <v>0</v>
      </c>
      <c r="CT10" s="498">
        <f>+CR10*$H$9</f>
        <v>0</v>
      </c>
      <c r="CU10" s="496"/>
      <c r="CV10" s="497">
        <f t="shared" ref="CV10:CV40" si="31">+CU10/$E10</f>
        <v>0</v>
      </c>
      <c r="CW10" s="498">
        <f>+CU10*$H$9</f>
        <v>0</v>
      </c>
      <c r="CX10" s="496"/>
      <c r="CY10" s="497">
        <f t="shared" ref="CY10:CY40" si="32">+CX10/$E10</f>
        <v>0</v>
      </c>
      <c r="CZ10" s="498">
        <f>+CX10*$H$9</f>
        <v>0</v>
      </c>
      <c r="DA10" s="496"/>
      <c r="DB10" s="497">
        <f t="shared" ref="DB10:DB40" si="33">+DA10/$E10</f>
        <v>0</v>
      </c>
      <c r="DC10" s="498">
        <f>+DA10*$H$9</f>
        <v>0</v>
      </c>
      <c r="DD10" s="496"/>
      <c r="DE10" s="497">
        <f t="shared" ref="DE10:DE40" si="34">+DD10/$E10</f>
        <v>0</v>
      </c>
      <c r="DF10" s="498">
        <f>+DD10*$H$9</f>
        <v>0</v>
      </c>
      <c r="DG10" s="496"/>
      <c r="DH10" s="497">
        <f t="shared" ref="DH10:DH40" si="35">+DG10/$E10</f>
        <v>0</v>
      </c>
      <c r="DI10" s="498">
        <v>0</v>
      </c>
      <c r="DJ10" s="496"/>
      <c r="DK10" s="497">
        <f t="shared" ref="DK10:DK40" si="36">+DJ10/$E10</f>
        <v>0</v>
      </c>
      <c r="DL10" s="498">
        <f>+DJ10*$H$9</f>
        <v>0</v>
      </c>
      <c r="DM10" s="496"/>
      <c r="DN10" s="497">
        <f t="shared" ref="DN10:DN40" si="37">+DM10/$E10</f>
        <v>0</v>
      </c>
      <c r="DO10" s="498">
        <f>+DM10*$H$9</f>
        <v>0</v>
      </c>
      <c r="DP10" s="496"/>
      <c r="DQ10" s="497">
        <f t="shared" ref="DQ10:DQ40" si="38">+DP10/$E10</f>
        <v>0</v>
      </c>
      <c r="DR10" s="498">
        <f>+DP10*$H$9</f>
        <v>0</v>
      </c>
      <c r="DS10" s="496"/>
      <c r="DT10" s="497">
        <f t="shared" ref="DT10:DT40" si="39">+DS10/$E10</f>
        <v>0</v>
      </c>
      <c r="DU10" s="498">
        <f>+DS10*$H$9</f>
        <v>0</v>
      </c>
      <c r="DV10" s="496"/>
      <c r="DW10" s="497">
        <f t="shared" ref="DW10:DW40" si="40">+DV10/$E10</f>
        <v>0</v>
      </c>
      <c r="DX10" s="498">
        <f>+DV10*$H$9</f>
        <v>0</v>
      </c>
      <c r="DY10" s="496">
        <v>0</v>
      </c>
      <c r="DZ10" s="497">
        <f t="shared" ref="DZ10:DZ40" si="41">+DY10/$E10</f>
        <v>0</v>
      </c>
      <c r="EA10" s="498">
        <f>+DY10*$H$9</f>
        <v>0</v>
      </c>
      <c r="EB10" s="496">
        <v>7.2674418604651123</v>
      </c>
      <c r="EC10" s="497">
        <f t="shared" ref="EC10:EC40" si="42">+EB10/$E10</f>
        <v>0.1327023073215578</v>
      </c>
      <c r="ED10" s="498">
        <f>+EB10*$H$9</f>
        <v>0</v>
      </c>
      <c r="EE10" s="496">
        <v>3</v>
      </c>
      <c r="EF10" s="497">
        <f t="shared" ref="EF10:EF40" si="43">+EE10/$E10</f>
        <v>5.4779512462339086E-2</v>
      </c>
      <c r="EG10" s="498">
        <f>+EE10*$H$9</f>
        <v>0</v>
      </c>
      <c r="EH10" s="496"/>
      <c r="EI10" s="497">
        <f t="shared" ref="EI10:EI40" si="44">+EH10/$E10</f>
        <v>0</v>
      </c>
      <c r="EJ10" s="498">
        <f>+EH10*$H$9</f>
        <v>0</v>
      </c>
      <c r="EK10" s="496"/>
      <c r="EL10" s="497">
        <f t="shared" ref="EL10:EL40" si="45">+EK10/$E10</f>
        <v>0</v>
      </c>
      <c r="EM10" s="498">
        <f>+EK10*$H$9</f>
        <v>0</v>
      </c>
      <c r="EN10" s="496"/>
      <c r="EO10" s="497">
        <f t="shared" ref="EO10:EO40" si="46">+EN10/$E10</f>
        <v>0</v>
      </c>
      <c r="EP10" s="498">
        <f>+EN10*$H$9</f>
        <v>0</v>
      </c>
      <c r="EQ10" s="496"/>
      <c r="ER10" s="497">
        <f t="shared" ref="ER10:ER40" si="47">+EQ10/$E10</f>
        <v>0</v>
      </c>
      <c r="ES10" s="498">
        <f>+EQ10*$H$9</f>
        <v>0</v>
      </c>
      <c r="ET10" s="496"/>
      <c r="EU10" s="497">
        <f t="shared" ref="EU10:EU40" si="48">+ET10/$E10</f>
        <v>0</v>
      </c>
      <c r="EV10" s="498">
        <f>+ET10*$H$9</f>
        <v>0</v>
      </c>
      <c r="EW10" s="496"/>
      <c r="EX10" s="497">
        <f t="shared" ref="EX10:EX40" si="49">+EW10/$E10</f>
        <v>0</v>
      </c>
      <c r="EY10" s="498">
        <f>+EW10*$H$9</f>
        <v>0</v>
      </c>
      <c r="EZ10" s="496"/>
      <c r="FA10" s="497">
        <f t="shared" ref="FA10:FA40" si="50">+EZ10/$E10</f>
        <v>0</v>
      </c>
      <c r="FB10" s="498">
        <f>+EZ10*$H$9</f>
        <v>0</v>
      </c>
      <c r="FC10" s="496"/>
      <c r="FD10" s="497">
        <f t="shared" ref="FD10:FD40" si="51">+FC10/$E10</f>
        <v>0</v>
      </c>
      <c r="FE10" s="498">
        <f>+FC10*$H$9</f>
        <v>0</v>
      </c>
      <c r="FF10" s="496"/>
      <c r="FG10" s="497">
        <f t="shared" ref="FG10:FG40" si="52">+FF10/$E10</f>
        <v>0</v>
      </c>
      <c r="FH10" s="498">
        <f>+FF10*$H$9</f>
        <v>0</v>
      </c>
      <c r="FI10" s="496"/>
      <c r="FJ10" s="497">
        <f t="shared" ref="FJ10:FJ40" si="53">+FI10/$E10</f>
        <v>0</v>
      </c>
      <c r="FK10" s="498">
        <f>+FI10*$H$9</f>
        <v>0</v>
      </c>
      <c r="FL10" s="496"/>
      <c r="FM10" s="497">
        <f t="shared" ref="FM10:FM40" si="54">+FL10/$E10</f>
        <v>0</v>
      </c>
      <c r="FN10" s="498">
        <f>+FL10*$H$9</f>
        <v>0</v>
      </c>
      <c r="FO10" s="496"/>
      <c r="FP10" s="497">
        <f t="shared" ref="FP10:FP40" si="55">+FO10/$E10</f>
        <v>0</v>
      </c>
      <c r="FQ10" s="498">
        <f>+FO10*$H$9</f>
        <v>0</v>
      </c>
      <c r="FR10" s="496"/>
      <c r="FS10" s="497">
        <f t="shared" ref="FS10:FS40" si="56">+FR10/$E10</f>
        <v>0</v>
      </c>
      <c r="FT10" s="498">
        <f>+FR10*$H$9</f>
        <v>0</v>
      </c>
      <c r="FU10" s="496"/>
      <c r="FV10" s="497">
        <f t="shared" ref="FV10:FV40" si="57">+FU10/$E10</f>
        <v>0</v>
      </c>
      <c r="FW10" s="498">
        <f>+FU10*$H$9</f>
        <v>0</v>
      </c>
      <c r="FX10" s="496"/>
      <c r="FY10" s="497">
        <f t="shared" ref="FY10:FY40" si="58">+FX10/$E10</f>
        <v>0</v>
      </c>
      <c r="FZ10" s="498">
        <f>+FX10*$H$9</f>
        <v>0</v>
      </c>
      <c r="GA10" s="496"/>
      <c r="GB10" s="497">
        <f t="shared" ref="GB10:GB40" si="59">+GA10/$E10</f>
        <v>0</v>
      </c>
      <c r="GC10" s="498">
        <f>+GA10*$H$9</f>
        <v>0</v>
      </c>
      <c r="GD10" s="496"/>
      <c r="GE10" s="497">
        <f t="shared" ref="GE10:GE40" si="60">+GD10/$E10</f>
        <v>0</v>
      </c>
      <c r="GF10" s="498">
        <f>+GD10*$H$9</f>
        <v>0</v>
      </c>
      <c r="GG10" s="496"/>
      <c r="GH10" s="497">
        <f t="shared" ref="GH10:GH40" si="61">+GG10/$E10</f>
        <v>0</v>
      </c>
      <c r="GI10" s="498">
        <f>+GG10*$H$9</f>
        <v>0</v>
      </c>
      <c r="GJ10" s="496"/>
      <c r="GK10" s="497">
        <f t="shared" ref="GK10:GK40" si="62">+GJ10/$E10</f>
        <v>0</v>
      </c>
      <c r="GL10" s="498">
        <f>+GJ10*$H$9</f>
        <v>0</v>
      </c>
      <c r="GM10" s="496"/>
      <c r="GN10" s="497">
        <f t="shared" ref="GN10:GN40" si="63">+GM10/$E10</f>
        <v>0</v>
      </c>
      <c r="GO10" s="498">
        <f>+GM10*$H$9</f>
        <v>0</v>
      </c>
      <c r="GP10" s="496"/>
      <c r="GQ10" s="497">
        <f t="shared" ref="GQ10:GQ40" si="64">+GP10/$E10</f>
        <v>0</v>
      </c>
      <c r="GR10" s="498">
        <f>+GP10*$H$9</f>
        <v>0</v>
      </c>
      <c r="GS10" s="496"/>
      <c r="GT10" s="497">
        <f t="shared" ref="GT10:GT40" si="65">+GS10/$E10</f>
        <v>0</v>
      </c>
      <c r="GU10" s="498">
        <f>+GS10*$H$9</f>
        <v>0</v>
      </c>
      <c r="GV10" s="496"/>
      <c r="GW10" s="497">
        <f t="shared" ref="GW10:GW40" si="66">+GV10/$E10</f>
        <v>0</v>
      </c>
      <c r="GX10" s="498">
        <f>+GV10*$H$9</f>
        <v>0</v>
      </c>
      <c r="GY10" s="496"/>
      <c r="GZ10" s="497">
        <f t="shared" ref="GZ10:GZ40" si="67">+GY10/$E10</f>
        <v>0</v>
      </c>
      <c r="HA10" s="498">
        <f>+GY10*$H$9</f>
        <v>0</v>
      </c>
      <c r="HB10" s="496"/>
      <c r="HC10" s="497">
        <f t="shared" ref="HC10:HC40" si="68">+HB10/$E10</f>
        <v>0</v>
      </c>
      <c r="HD10" s="498">
        <f>+HB10*$H$9</f>
        <v>0</v>
      </c>
      <c r="HE10" s="496"/>
      <c r="HF10" s="497">
        <f t="shared" ref="HF10:HF40" si="69">+HE10/$E10</f>
        <v>0</v>
      </c>
      <c r="HG10" s="498">
        <f>+HE10*$H$9</f>
        <v>0</v>
      </c>
      <c r="HH10" s="496"/>
      <c r="HI10" s="497">
        <f t="shared" ref="HI10:HI40" si="70">+HH10/$E10</f>
        <v>0</v>
      </c>
      <c r="HJ10" s="498">
        <f>+HH10*$H$9</f>
        <v>0</v>
      </c>
      <c r="HK10" s="496"/>
      <c r="HL10" s="497">
        <f t="shared" ref="HL10:HL40" si="71">+HK10/$E10</f>
        <v>0</v>
      </c>
      <c r="HM10" s="498">
        <f>+HK10*$H$9</f>
        <v>0</v>
      </c>
      <c r="HN10" s="496"/>
      <c r="HO10" s="497">
        <f t="shared" ref="HO10:HO40" si="72">+HN10/$E10</f>
        <v>0</v>
      </c>
      <c r="HP10" s="498">
        <f>+HN10*$H$9</f>
        <v>0</v>
      </c>
      <c r="HQ10" s="496"/>
      <c r="HR10" s="497">
        <f t="shared" ref="HR10:HR40" si="73">+HQ10/$E10</f>
        <v>0</v>
      </c>
      <c r="HS10" s="498">
        <f>+HQ10*$H$9</f>
        <v>0</v>
      </c>
      <c r="HT10" s="496"/>
      <c r="HU10" s="497">
        <f t="shared" ref="HU10:HU40" si="74">+HT10/$E10</f>
        <v>0</v>
      </c>
      <c r="HV10" s="498">
        <f>+HT10*$H$9</f>
        <v>0</v>
      </c>
      <c r="HW10" s="496"/>
      <c r="HX10" s="497">
        <f t="shared" ref="HX10:HX40" si="75">+HW10/$E10</f>
        <v>0</v>
      </c>
      <c r="HY10" s="498">
        <f>+HW10*$H$9</f>
        <v>0</v>
      </c>
      <c r="HZ10" s="496"/>
      <c r="IA10" s="497">
        <f t="shared" ref="IA10:IA40" si="76">+HZ10/$E10</f>
        <v>0</v>
      </c>
      <c r="IB10" s="498">
        <f>+HZ10*$H$9</f>
        <v>0</v>
      </c>
      <c r="IC10" s="496"/>
      <c r="ID10" s="497">
        <f t="shared" ref="ID10:ID40" si="77">+IC10/$E10</f>
        <v>0</v>
      </c>
      <c r="IE10" s="498">
        <f>+IC10*$H$9</f>
        <v>0</v>
      </c>
      <c r="IF10" s="496"/>
      <c r="IG10" s="497">
        <f t="shared" ref="IG10:IG40" si="78">+IF10/$E10</f>
        <v>0</v>
      </c>
      <c r="IH10" s="498">
        <f>+IF10*$H$9</f>
        <v>0</v>
      </c>
      <c r="II10" s="496"/>
      <c r="IJ10" s="497">
        <f t="shared" ref="IJ10:IJ40" si="79">+II10/$E10</f>
        <v>0</v>
      </c>
      <c r="IK10" s="498">
        <f>+II10*$H$9</f>
        <v>0</v>
      </c>
      <c r="IL10" s="496"/>
      <c r="IM10" s="497">
        <f t="shared" ref="IM10:IM40" si="80">+IL10/$E10</f>
        <v>0</v>
      </c>
      <c r="IN10" s="498">
        <f>+IL10*$H$9</f>
        <v>0</v>
      </c>
      <c r="IO10" s="496"/>
      <c r="IP10" s="497">
        <f t="shared" ref="IP10:IP40" si="81">+IO10/$E10</f>
        <v>0</v>
      </c>
      <c r="IQ10" s="498">
        <f>+IO10*$H$9</f>
        <v>0</v>
      </c>
      <c r="IR10" s="496"/>
      <c r="IS10" s="497">
        <f t="shared" ref="IS10:IS40" si="82">+IR10/$E10</f>
        <v>0</v>
      </c>
      <c r="IT10" s="498">
        <f>+IR10*$H$9</f>
        <v>0</v>
      </c>
      <c r="IU10" s="496"/>
      <c r="IV10" s="497">
        <f t="shared" ref="IV10:IV40" si="83">+IU10/$E10</f>
        <v>0</v>
      </c>
      <c r="IW10" s="498">
        <f>+IU10*$H$9</f>
        <v>0</v>
      </c>
      <c r="IX10" s="496"/>
      <c r="IY10" s="497">
        <f t="shared" ref="IY10:IY40" si="84">+IX10/$E10</f>
        <v>0</v>
      </c>
      <c r="IZ10" s="498">
        <f>+IX10*$H$9</f>
        <v>0</v>
      </c>
      <c r="JA10" s="496"/>
      <c r="JB10" s="497">
        <f t="shared" ref="JB10:JB40" si="85">+JA10/$E10</f>
        <v>0</v>
      </c>
      <c r="JC10" s="498">
        <f>+JA10*$H$9</f>
        <v>0</v>
      </c>
      <c r="JD10" s="496"/>
      <c r="JE10" s="497">
        <f t="shared" ref="JE10:JE40" si="86">+JD10/$E10</f>
        <v>0</v>
      </c>
      <c r="JF10" s="498">
        <f>+JD10*$H$9</f>
        <v>0</v>
      </c>
      <c r="JG10" s="496"/>
      <c r="JH10" s="497">
        <f t="shared" ref="JH10:JH40" si="87">+JG10/$E10</f>
        <v>0</v>
      </c>
      <c r="JI10" s="498">
        <f>+JG10*$H$9</f>
        <v>0</v>
      </c>
      <c r="JJ10" s="496"/>
      <c r="JK10" s="498" t="str">
        <f t="shared" ref="JK10:JK40" si="88">IFERROR((JJ10/$L10),"0")</f>
        <v>0</v>
      </c>
      <c r="JL10" s="498" t="str">
        <f t="shared" ref="JL10:JL40" si="89">IFERROR(((JJ10*JL$9)/$L10),"0")</f>
        <v>0</v>
      </c>
      <c r="JM10" s="496"/>
      <c r="JN10" s="498" t="str">
        <f t="shared" ref="JN10:JN40" si="90">IFERROR((JM10/$L10),"0")</f>
        <v>0</v>
      </c>
      <c r="JO10" s="498" t="str">
        <f t="shared" ref="JO10:JO40" si="91">IFERROR(((JM10*JO$9)/$L10),"0")</f>
        <v>0</v>
      </c>
      <c r="JP10" s="496"/>
      <c r="JQ10" s="498" t="str">
        <f t="shared" ref="JQ10:JQ40" si="92">IFERROR((JP10/$L10),"0")</f>
        <v>0</v>
      </c>
      <c r="JR10" s="498" t="str">
        <f t="shared" ref="JR10:JR40" si="93">IFERROR(((JP10*JR$9)/$L10),"0")</f>
        <v>0</v>
      </c>
      <c r="JS10" s="496"/>
      <c r="JT10" s="498" t="str">
        <f t="shared" ref="JT10:JT40" si="94">IFERROR((JS10/$L10),"0")</f>
        <v>0</v>
      </c>
      <c r="JU10" s="498" t="str">
        <f t="shared" ref="JU10:JU40" si="95">IFERROR(((JS10*JU$9)/$L10),"0")</f>
        <v>0</v>
      </c>
      <c r="JV10" s="496"/>
      <c r="JW10" s="498" t="str">
        <f t="shared" ref="JW10:JW40" si="96">IFERROR((JV10/$L10),"0")</f>
        <v>0</v>
      </c>
      <c r="JX10" s="498" t="str">
        <f t="shared" ref="JX10:JX40" si="97">IFERROR(((JV10*JX$9)/$L10),"0")</f>
        <v>0</v>
      </c>
      <c r="JY10" s="496"/>
      <c r="JZ10" s="498" t="str">
        <f t="shared" ref="JZ10:JZ40" si="98">IFERROR((JY10/$L10),"0")</f>
        <v>0</v>
      </c>
      <c r="KA10" s="498" t="str">
        <f t="shared" ref="KA10:KA40" si="99">IFERROR(((JY10*KA$9)/$L10),"0")</f>
        <v>0</v>
      </c>
      <c r="KB10" s="496"/>
      <c r="KC10" s="498" t="str">
        <f t="shared" ref="KC10:KC40" si="100">IFERROR((KB10/$L10),"0")</f>
        <v>0</v>
      </c>
      <c r="KD10" s="498" t="str">
        <f t="shared" ref="KD10:KD40" si="101">IFERROR(((KB10*KD$9)/$L10),"0")</f>
        <v>0</v>
      </c>
      <c r="KE10" s="496"/>
      <c r="KF10" s="498" t="str">
        <f t="shared" ref="KF10:KF40" si="102">IFERROR((KE10/$L10),"0")</f>
        <v>0</v>
      </c>
      <c r="KG10" s="498" t="str">
        <f t="shared" ref="KG10:KG40" si="103">IFERROR(((KE10*KG$9)/$L10),"0")</f>
        <v>0</v>
      </c>
      <c r="KH10" s="496"/>
      <c r="KI10" s="498" t="str">
        <f t="shared" ref="KI10:KI40" si="104">IFERROR((KH10/$L10),"0")</f>
        <v>0</v>
      </c>
      <c r="KJ10" s="498" t="str">
        <f t="shared" ref="KJ10:KJ40" si="105">IFERROR(((KH10*KJ$9)/$L10),"0")</f>
        <v>0</v>
      </c>
      <c r="KK10" s="496"/>
      <c r="KL10" s="498" t="str">
        <f t="shared" ref="KL10:KL40" si="106">IFERROR((KK10/$L10),"0")</f>
        <v>0</v>
      </c>
      <c r="KM10" s="498" t="str">
        <f t="shared" ref="KM10:KM40" si="107">IFERROR(((KK10*KM$9)/$L10),"0")</f>
        <v>0</v>
      </c>
      <c r="KN10" s="496"/>
      <c r="KO10" s="498" t="str">
        <f t="shared" ref="KO10:KO40" si="108">IFERROR((KN10/$L10),"0")</f>
        <v>0</v>
      </c>
      <c r="KP10" s="498" t="str">
        <f t="shared" ref="KP10:KP40" si="109">IFERROR(((KN10*KP$9)/$L10),"0")</f>
        <v>0</v>
      </c>
      <c r="KQ10" s="496"/>
      <c r="KR10" s="498" t="str">
        <f t="shared" ref="KR10:KR40" si="110">IFERROR((KQ10/$L10),"0")</f>
        <v>0</v>
      </c>
      <c r="KS10" s="498" t="str">
        <f t="shared" ref="KS10:KS40" si="111">IFERROR(((KQ10*KS$9)/$L10),"0")</f>
        <v>0</v>
      </c>
      <c r="KT10" s="498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498">
        <f>GF10+GI10+GL10+GO10+GR10+GU10+GX10+HA10+HD10+HG10+HJ10+HM10+HP10+HS10+HV10+HY10+IB10+IE10+IH10+IK10+IN10+IQ10+IT10+IW10+IZ10+JC10+JF10+JI10+JL10+JO10+JR10+JU10+JX10++KA10+KD10+KG10+KJ10++KM10+KP10+KS10</f>
        <v>0</v>
      </c>
      <c r="KV10" s="262">
        <f>+F10+I10+L10+O10+R10+U10+X10+AA10+AD10+AG10+AJ10+AM10+AP10+AS10+AV10+AY10+BB10+BE10+BH10+BK10+BN10+BQ10+BT10+BW10+BZ10+CC10+CF10+CI10+CL10+CO10+CR10+CU10+CX10+DA10+DD10+DJ10+DM10+DP10+DS10+DV10+DY10+EB10+EE10+EH10+EK10+EN10</f>
        <v>227.13243749199427</v>
      </c>
    </row>
    <row r="11" spans="1:308" ht="15" customHeight="1">
      <c r="A11" s="264">
        <f>+A10+1</f>
        <v>45993</v>
      </c>
      <c r="B11" s="265" t="str">
        <f>+Report1!B10</f>
        <v>Toilet</v>
      </c>
      <c r="C11" s="392" t="str">
        <f>+Report1!C10</f>
        <v>14</v>
      </c>
      <c r="D11" s="266">
        <f>+Report1!P10</f>
        <v>53.726999999999997</v>
      </c>
      <c r="E11" s="267">
        <f>+Report1!R10</f>
        <v>53.106000000000002</v>
      </c>
      <c r="F11" s="496"/>
      <c r="G11" s="497">
        <f t="shared" si="0"/>
        <v>0</v>
      </c>
      <c r="H11" s="498">
        <f t="shared" ref="H11:H40" si="112">+F11*$H$9</f>
        <v>0</v>
      </c>
      <c r="I11" s="496">
        <v>0</v>
      </c>
      <c r="J11" s="497">
        <f t="shared" si="1"/>
        <v>0</v>
      </c>
      <c r="K11" s="498">
        <f t="shared" ref="K11:K40" si="113">+I11*$H$9</f>
        <v>0</v>
      </c>
      <c r="L11" s="496"/>
      <c r="M11" s="497">
        <f t="shared" si="2"/>
        <v>0</v>
      </c>
      <c r="N11" s="498">
        <f t="shared" ref="N11:N40" si="114">+L11*$H$9</f>
        <v>0</v>
      </c>
      <c r="O11" s="496">
        <v>9</v>
      </c>
      <c r="P11" s="497">
        <f t="shared" si="3"/>
        <v>0.16947237600271156</v>
      </c>
      <c r="Q11" s="498">
        <f t="shared" ref="Q11:Q40" si="115">+O11*$H$9</f>
        <v>0</v>
      </c>
      <c r="R11" s="496">
        <v>10.25</v>
      </c>
      <c r="S11" s="497">
        <f t="shared" si="4"/>
        <v>0.19301020600308816</v>
      </c>
      <c r="T11" s="498">
        <f t="shared" ref="T11:T40" si="116">+R11*$H$9</f>
        <v>0</v>
      </c>
      <c r="U11" s="496">
        <v>6.25</v>
      </c>
      <c r="V11" s="497">
        <f t="shared" si="5"/>
        <v>0.11768915000188303</v>
      </c>
      <c r="W11" s="498">
        <f t="shared" ref="W11:W40" si="117">+U11*$H$9</f>
        <v>0</v>
      </c>
      <c r="X11" s="496"/>
      <c r="Y11" s="497">
        <f t="shared" si="6"/>
        <v>0</v>
      </c>
      <c r="Z11" s="498">
        <f t="shared" ref="Z11:Z40" si="118">+X11*$H$9</f>
        <v>0</v>
      </c>
      <c r="AA11" s="496"/>
      <c r="AB11" s="497">
        <f t="shared" si="7"/>
        <v>0</v>
      </c>
      <c r="AC11" s="498">
        <f t="shared" ref="AC11:AC40" si="119">+AA11*$H$9</f>
        <v>0</v>
      </c>
      <c r="AD11" s="496"/>
      <c r="AE11" s="497">
        <f t="shared" si="8"/>
        <v>0</v>
      </c>
      <c r="AF11" s="498">
        <f t="shared" ref="AF11:AF40" si="120">+AD11*$H$9</f>
        <v>0</v>
      </c>
      <c r="AG11" s="496"/>
      <c r="AH11" s="497">
        <f t="shared" si="9"/>
        <v>0</v>
      </c>
      <c r="AI11" s="498">
        <f t="shared" ref="AI11:AI40" si="121">+AG11*$H$9</f>
        <v>0</v>
      </c>
      <c r="AJ11" s="496"/>
      <c r="AK11" s="497">
        <f t="shared" si="10"/>
        <v>0</v>
      </c>
      <c r="AL11" s="498">
        <f t="shared" ref="AL11:AL40" si="122">+AJ11*$H$9</f>
        <v>0</v>
      </c>
      <c r="AM11" s="496"/>
      <c r="AN11" s="497">
        <f t="shared" si="11"/>
        <v>0</v>
      </c>
      <c r="AO11" s="498">
        <f t="shared" ref="AO11:AO40" si="123">+AM11*$H$9</f>
        <v>0</v>
      </c>
      <c r="AP11" s="496">
        <v>49.038461538461547</v>
      </c>
      <c r="AQ11" s="497">
        <f t="shared" si="12"/>
        <v>0.92340717693785157</v>
      </c>
      <c r="AR11" s="498">
        <f t="shared" ref="AR11:AR40" si="124">+AP11*$H$9</f>
        <v>0</v>
      </c>
      <c r="AS11" s="496"/>
      <c r="AT11" s="497">
        <f t="shared" si="13"/>
        <v>0</v>
      </c>
      <c r="AU11" s="498">
        <f t="shared" ref="AU11:AU40" si="125">+AS11*$H$9</f>
        <v>0</v>
      </c>
      <c r="AV11" s="496">
        <v>5.5499999999999545</v>
      </c>
      <c r="AW11" s="497">
        <f t="shared" si="14"/>
        <v>0.10450796520167127</v>
      </c>
      <c r="AX11" s="498">
        <f t="shared" ref="AX11:AX40" si="126">+AV11*$H$9</f>
        <v>0</v>
      </c>
      <c r="AY11" s="496">
        <v>72.333333333333371</v>
      </c>
      <c r="AZ11" s="497">
        <f t="shared" si="15"/>
        <v>1.3620557626884602</v>
      </c>
      <c r="BA11" s="498">
        <f t="shared" ref="BA11:BA40" si="127">+AY11*$H$9</f>
        <v>0</v>
      </c>
      <c r="BB11" s="496"/>
      <c r="BC11" s="497">
        <f t="shared" si="16"/>
        <v>0</v>
      </c>
      <c r="BD11" s="498">
        <f t="shared" ref="BD11:BD40" si="128">+BB11*$H$9</f>
        <v>0</v>
      </c>
      <c r="BE11" s="496"/>
      <c r="BF11" s="497">
        <f t="shared" si="17"/>
        <v>0</v>
      </c>
      <c r="BG11" s="498">
        <f t="shared" ref="BG11:BG40" si="129">+BE11*$H$9</f>
        <v>0</v>
      </c>
      <c r="BH11" s="496"/>
      <c r="BI11" s="497">
        <f t="shared" si="18"/>
        <v>0</v>
      </c>
      <c r="BJ11" s="498">
        <f t="shared" ref="BJ11:BJ40" si="130">+BH11*$H$9</f>
        <v>0</v>
      </c>
      <c r="BK11" s="496"/>
      <c r="BL11" s="497">
        <f t="shared" si="19"/>
        <v>0</v>
      </c>
      <c r="BM11" s="498">
        <f t="shared" ref="BM11:BM40" si="131">+BK11*$H$9</f>
        <v>0</v>
      </c>
      <c r="BN11" s="496">
        <v>25.308641975308603</v>
      </c>
      <c r="BO11" s="497">
        <f t="shared" si="20"/>
        <v>0.47656840988416754</v>
      </c>
      <c r="BP11" s="498">
        <f t="shared" ref="BP11:BP40" si="132">+BN11*$H$9</f>
        <v>0</v>
      </c>
      <c r="BQ11" s="496">
        <v>0</v>
      </c>
      <c r="BR11" s="497">
        <f t="shared" si="21"/>
        <v>0</v>
      </c>
      <c r="BS11" s="498">
        <f t="shared" ref="BS11:BS40" si="133">+BQ11*$H$9</f>
        <v>0</v>
      </c>
      <c r="BT11" s="496"/>
      <c r="BU11" s="497">
        <f t="shared" si="22"/>
        <v>0</v>
      </c>
      <c r="BV11" s="498">
        <f t="shared" ref="BV11:BV40" si="134">+BT11*$H$9</f>
        <v>0</v>
      </c>
      <c r="BW11" s="496"/>
      <c r="BX11" s="497">
        <f t="shared" si="23"/>
        <v>0</v>
      </c>
      <c r="BY11" s="498">
        <f t="shared" ref="BY11:BY40" si="135">+BW11*$H$9</f>
        <v>0</v>
      </c>
      <c r="BZ11" s="496"/>
      <c r="CA11" s="497">
        <f t="shared" si="24"/>
        <v>0</v>
      </c>
      <c r="CB11" s="498">
        <f t="shared" ref="CB11:CB40" si="136">+BZ11*$H$9</f>
        <v>0</v>
      </c>
      <c r="CC11" s="496">
        <v>0</v>
      </c>
      <c r="CD11" s="497">
        <f t="shared" si="25"/>
        <v>0</v>
      </c>
      <c r="CE11" s="498">
        <f t="shared" ref="CE11:CE40" si="137">+CC11*$H$9</f>
        <v>0</v>
      </c>
      <c r="CF11" s="496">
        <v>8</v>
      </c>
      <c r="CG11" s="497">
        <f t="shared" si="26"/>
        <v>0.15064211200241026</v>
      </c>
      <c r="CH11" s="498">
        <f t="shared" ref="CH11:CH40" si="138">+CF11*$H$9</f>
        <v>0</v>
      </c>
      <c r="CI11" s="496"/>
      <c r="CJ11" s="497">
        <f t="shared" si="27"/>
        <v>0</v>
      </c>
      <c r="CK11" s="498">
        <f t="shared" ref="CK11:CK40" si="139">+CI11*$H$9</f>
        <v>0</v>
      </c>
      <c r="CL11" s="496"/>
      <c r="CM11" s="497">
        <f t="shared" si="28"/>
        <v>0</v>
      </c>
      <c r="CN11" s="498">
        <f t="shared" ref="CN11:CN40" si="140">+CL11*$H$9</f>
        <v>0</v>
      </c>
      <c r="CO11" s="496"/>
      <c r="CP11" s="497">
        <f t="shared" si="29"/>
        <v>0</v>
      </c>
      <c r="CQ11" s="498">
        <f t="shared" ref="CQ11:CQ40" si="141">+CO11*$H$9</f>
        <v>0</v>
      </c>
      <c r="CR11" s="496"/>
      <c r="CS11" s="497">
        <f t="shared" si="30"/>
        <v>0</v>
      </c>
      <c r="CT11" s="498">
        <f t="shared" ref="CT11:CT40" si="142">+CR11*$H$9</f>
        <v>0</v>
      </c>
      <c r="CU11" s="496"/>
      <c r="CV11" s="497">
        <f t="shared" si="31"/>
        <v>0</v>
      </c>
      <c r="CW11" s="498">
        <f t="shared" ref="CW11:CW40" si="143">+CU11*$H$9</f>
        <v>0</v>
      </c>
      <c r="CX11" s="496"/>
      <c r="CY11" s="497">
        <f t="shared" si="32"/>
        <v>0</v>
      </c>
      <c r="CZ11" s="498">
        <f t="shared" ref="CZ11:CZ40" si="144">+CX11*$H$9</f>
        <v>0</v>
      </c>
      <c r="DA11" s="496"/>
      <c r="DB11" s="497">
        <f t="shared" si="33"/>
        <v>0</v>
      </c>
      <c r="DC11" s="498">
        <f t="shared" ref="DC11:DC40" si="145">+DA11*$H$9</f>
        <v>0</v>
      </c>
      <c r="DD11" s="496"/>
      <c r="DE11" s="497">
        <f t="shared" si="34"/>
        <v>0</v>
      </c>
      <c r="DF11" s="498">
        <f t="shared" ref="DF11:DF40" si="146">+DD11*$H$9</f>
        <v>0</v>
      </c>
      <c r="DG11" s="496"/>
      <c r="DH11" s="497">
        <f t="shared" si="35"/>
        <v>0</v>
      </c>
      <c r="DI11" s="498">
        <v>0</v>
      </c>
      <c r="DJ11" s="496"/>
      <c r="DK11" s="497">
        <f t="shared" si="36"/>
        <v>0</v>
      </c>
      <c r="DL11" s="498">
        <f t="shared" ref="DL11:DL40" si="147">+DJ11*$H$9</f>
        <v>0</v>
      </c>
      <c r="DM11" s="496"/>
      <c r="DN11" s="497">
        <f t="shared" si="37"/>
        <v>0</v>
      </c>
      <c r="DO11" s="498">
        <f t="shared" ref="DO11:DO40" si="148">+DM11*$H$9</f>
        <v>0</v>
      </c>
      <c r="DP11" s="496"/>
      <c r="DQ11" s="497">
        <f t="shared" si="38"/>
        <v>0</v>
      </c>
      <c r="DR11" s="498">
        <f t="shared" ref="DR11:DR40" si="149">+DP11*$H$9</f>
        <v>0</v>
      </c>
      <c r="DS11" s="496"/>
      <c r="DT11" s="497">
        <f t="shared" si="39"/>
        <v>0</v>
      </c>
      <c r="DU11" s="498">
        <f t="shared" ref="DU11:DU40" si="150">+DS11*$H$9</f>
        <v>0</v>
      </c>
      <c r="DV11" s="496"/>
      <c r="DW11" s="497">
        <f t="shared" si="40"/>
        <v>0</v>
      </c>
      <c r="DX11" s="498">
        <f t="shared" ref="DX11:DX40" si="151">+DV11*$H$9</f>
        <v>0</v>
      </c>
      <c r="DY11" s="496">
        <v>0</v>
      </c>
      <c r="DZ11" s="497">
        <f t="shared" si="41"/>
        <v>0</v>
      </c>
      <c r="EA11" s="498">
        <f t="shared" ref="EA11:EA40" si="152">+DY11*$H$9</f>
        <v>0</v>
      </c>
      <c r="EB11" s="496">
        <v>14.534883720930225</v>
      </c>
      <c r="EC11" s="497">
        <f t="shared" si="42"/>
        <v>0.27369569767879759</v>
      </c>
      <c r="ED11" s="498">
        <f t="shared" ref="ED11:ED40" si="153">+EB11*$H$9</f>
        <v>0</v>
      </c>
      <c r="EE11" s="496">
        <v>2</v>
      </c>
      <c r="EF11" s="497">
        <f t="shared" si="43"/>
        <v>3.7660528000602565E-2</v>
      </c>
      <c r="EG11" s="498">
        <f t="shared" ref="EG11:EG40" si="154">+EE11*$H$9</f>
        <v>0</v>
      </c>
      <c r="EH11" s="496"/>
      <c r="EI11" s="497">
        <f t="shared" si="44"/>
        <v>0</v>
      </c>
      <c r="EJ11" s="498">
        <f t="shared" ref="EJ11:EJ40" si="155">+EH11*$H$9</f>
        <v>0</v>
      </c>
      <c r="EK11" s="496"/>
      <c r="EL11" s="497">
        <f t="shared" si="45"/>
        <v>0</v>
      </c>
      <c r="EM11" s="498">
        <f t="shared" ref="EM11:EM40" si="156">+EK11*$H$9</f>
        <v>0</v>
      </c>
      <c r="EN11" s="496"/>
      <c r="EO11" s="497">
        <f t="shared" si="46"/>
        <v>0</v>
      </c>
      <c r="EP11" s="498">
        <f t="shared" ref="EP11:EP40" si="157">+EN11*$H$9</f>
        <v>0</v>
      </c>
      <c r="EQ11" s="496"/>
      <c r="ER11" s="497">
        <f t="shared" si="47"/>
        <v>0</v>
      </c>
      <c r="ES11" s="498">
        <f t="shared" ref="ES11:ES40" si="158">+EQ11*$H$9</f>
        <v>0</v>
      </c>
      <c r="ET11" s="496"/>
      <c r="EU11" s="497">
        <f t="shared" si="48"/>
        <v>0</v>
      </c>
      <c r="EV11" s="498">
        <f t="shared" ref="EV11:EV40" si="159">+ET11*$H$9</f>
        <v>0</v>
      </c>
      <c r="EW11" s="496"/>
      <c r="EX11" s="497">
        <f t="shared" si="49"/>
        <v>0</v>
      </c>
      <c r="EY11" s="498">
        <f t="shared" ref="EY11:EY40" si="160">+EW11*$H$9</f>
        <v>0</v>
      </c>
      <c r="EZ11" s="496"/>
      <c r="FA11" s="497">
        <f t="shared" si="50"/>
        <v>0</v>
      </c>
      <c r="FB11" s="498">
        <f t="shared" ref="FB11:FB40" si="161">+EZ11*$H$9</f>
        <v>0</v>
      </c>
      <c r="FC11" s="496"/>
      <c r="FD11" s="497">
        <f t="shared" si="51"/>
        <v>0</v>
      </c>
      <c r="FE11" s="498">
        <f t="shared" ref="FE11:FE40" si="162">+FC11*$H$9</f>
        <v>0</v>
      </c>
      <c r="FF11" s="496"/>
      <c r="FG11" s="497">
        <f t="shared" si="52"/>
        <v>0</v>
      </c>
      <c r="FH11" s="498">
        <f t="shared" ref="FH11:FH40" si="163">+FF11*$H$9</f>
        <v>0</v>
      </c>
      <c r="FI11" s="496"/>
      <c r="FJ11" s="497">
        <f t="shared" si="53"/>
        <v>0</v>
      </c>
      <c r="FK11" s="498">
        <f t="shared" ref="FK11:FK40" si="164">+FI11*$H$9</f>
        <v>0</v>
      </c>
      <c r="FL11" s="496"/>
      <c r="FM11" s="497">
        <f t="shared" si="54"/>
        <v>0</v>
      </c>
      <c r="FN11" s="498">
        <f t="shared" ref="FN11:FN40" si="165">+FL11*$H$9</f>
        <v>0</v>
      </c>
      <c r="FO11" s="496"/>
      <c r="FP11" s="497">
        <f t="shared" si="55"/>
        <v>0</v>
      </c>
      <c r="FQ11" s="498">
        <f t="shared" ref="FQ11:FQ40" si="166">+FO11*$H$9</f>
        <v>0</v>
      </c>
      <c r="FR11" s="496"/>
      <c r="FS11" s="497">
        <f t="shared" si="56"/>
        <v>0</v>
      </c>
      <c r="FT11" s="498">
        <f t="shared" ref="FT11:FT40" si="167">+FR11*$H$9</f>
        <v>0</v>
      </c>
      <c r="FU11" s="496"/>
      <c r="FV11" s="497">
        <f t="shared" si="57"/>
        <v>0</v>
      </c>
      <c r="FW11" s="498">
        <f t="shared" ref="FW11:FW40" si="168">+FU11*$H$9</f>
        <v>0</v>
      </c>
      <c r="FX11" s="496"/>
      <c r="FY11" s="497">
        <f t="shared" si="58"/>
        <v>0</v>
      </c>
      <c r="FZ11" s="498">
        <f t="shared" ref="FZ11:FZ40" si="169">+FX11*$H$9</f>
        <v>0</v>
      </c>
      <c r="GA11" s="496"/>
      <c r="GB11" s="497">
        <f t="shared" si="59"/>
        <v>0</v>
      </c>
      <c r="GC11" s="498">
        <f t="shared" ref="GC11:GC40" si="170">+GA11*$H$9</f>
        <v>0</v>
      </c>
      <c r="GD11" s="496"/>
      <c r="GE11" s="497">
        <f t="shared" si="60"/>
        <v>0</v>
      </c>
      <c r="GF11" s="498">
        <f t="shared" ref="GF11:GF40" si="171">+GD11*$H$9</f>
        <v>0</v>
      </c>
      <c r="GG11" s="496"/>
      <c r="GH11" s="497">
        <f t="shared" si="61"/>
        <v>0</v>
      </c>
      <c r="GI11" s="498">
        <f t="shared" ref="GI11:GI40" si="172">+GG11*$H$9</f>
        <v>0</v>
      </c>
      <c r="GJ11" s="496"/>
      <c r="GK11" s="497">
        <f t="shared" si="62"/>
        <v>0</v>
      </c>
      <c r="GL11" s="498">
        <f t="shared" ref="GL11:GL40" si="173">+GJ11*$H$9</f>
        <v>0</v>
      </c>
      <c r="GM11" s="496"/>
      <c r="GN11" s="497">
        <f t="shared" si="63"/>
        <v>0</v>
      </c>
      <c r="GO11" s="498">
        <f t="shared" ref="GO11:GO40" si="174">+GM11*$H$9</f>
        <v>0</v>
      </c>
      <c r="GP11" s="496"/>
      <c r="GQ11" s="497">
        <f t="shared" si="64"/>
        <v>0</v>
      </c>
      <c r="GR11" s="498">
        <f t="shared" ref="GR11:GR40" si="175">+GP11*$H$9</f>
        <v>0</v>
      </c>
      <c r="GS11" s="496"/>
      <c r="GT11" s="497">
        <f t="shared" si="65"/>
        <v>0</v>
      </c>
      <c r="GU11" s="498">
        <f t="shared" ref="GU11:GU40" si="176">+GS11*$H$9</f>
        <v>0</v>
      </c>
      <c r="GV11" s="496"/>
      <c r="GW11" s="497">
        <f t="shared" si="66"/>
        <v>0</v>
      </c>
      <c r="GX11" s="498">
        <f t="shared" ref="GX11:GX40" si="177">+GV11*$H$9</f>
        <v>0</v>
      </c>
      <c r="GY11" s="496"/>
      <c r="GZ11" s="497">
        <f t="shared" si="67"/>
        <v>0</v>
      </c>
      <c r="HA11" s="498">
        <f t="shared" ref="HA11:HA40" si="178">+GY11*$H$9</f>
        <v>0</v>
      </c>
      <c r="HB11" s="496"/>
      <c r="HC11" s="497">
        <f t="shared" si="68"/>
        <v>0</v>
      </c>
      <c r="HD11" s="498">
        <f t="shared" ref="HD11:HD40" si="179">+HB11*$H$9</f>
        <v>0</v>
      </c>
      <c r="HE11" s="496"/>
      <c r="HF11" s="497">
        <f t="shared" si="69"/>
        <v>0</v>
      </c>
      <c r="HG11" s="498">
        <f t="shared" ref="HG11:HG40" si="180">+HE11*$H$9</f>
        <v>0</v>
      </c>
      <c r="HH11" s="496"/>
      <c r="HI11" s="497">
        <f t="shared" si="70"/>
        <v>0</v>
      </c>
      <c r="HJ11" s="498">
        <f t="shared" ref="HJ11:HJ40" si="181">+HH11*$H$9</f>
        <v>0</v>
      </c>
      <c r="HK11" s="496"/>
      <c r="HL11" s="497">
        <f t="shared" si="71"/>
        <v>0</v>
      </c>
      <c r="HM11" s="498">
        <f t="shared" ref="HM11:HM40" si="182">+HK11*$H$9</f>
        <v>0</v>
      </c>
      <c r="HN11" s="496"/>
      <c r="HO11" s="497">
        <f t="shared" si="72"/>
        <v>0</v>
      </c>
      <c r="HP11" s="498">
        <f t="shared" ref="HP11:HP40" si="183">+HN11*$H$9</f>
        <v>0</v>
      </c>
      <c r="HQ11" s="496"/>
      <c r="HR11" s="497">
        <f t="shared" si="73"/>
        <v>0</v>
      </c>
      <c r="HS11" s="498">
        <f t="shared" ref="HS11:HS40" si="184">+HQ11*$H$9</f>
        <v>0</v>
      </c>
      <c r="HT11" s="496"/>
      <c r="HU11" s="497">
        <f t="shared" si="74"/>
        <v>0</v>
      </c>
      <c r="HV11" s="498">
        <f t="shared" ref="HV11:HV40" si="185">+HT11*$H$9</f>
        <v>0</v>
      </c>
      <c r="HW11" s="496"/>
      <c r="HX11" s="497">
        <f t="shared" si="75"/>
        <v>0</v>
      </c>
      <c r="HY11" s="498">
        <f t="shared" ref="HY11:HY40" si="186">+HW11*$H$9</f>
        <v>0</v>
      </c>
      <c r="HZ11" s="496"/>
      <c r="IA11" s="497">
        <f t="shared" si="76"/>
        <v>0</v>
      </c>
      <c r="IB11" s="498">
        <f t="shared" ref="IB11:IB40" si="187">+HZ11*$H$9</f>
        <v>0</v>
      </c>
      <c r="IC11" s="496"/>
      <c r="ID11" s="497">
        <f t="shared" si="77"/>
        <v>0</v>
      </c>
      <c r="IE11" s="498">
        <f t="shared" ref="IE11:IE40" si="188">+IC11*$H$9</f>
        <v>0</v>
      </c>
      <c r="IF11" s="496"/>
      <c r="IG11" s="497">
        <f t="shared" si="78"/>
        <v>0</v>
      </c>
      <c r="IH11" s="498">
        <f t="shared" ref="IH11:IH40" si="189">+IF11*$H$9</f>
        <v>0</v>
      </c>
      <c r="II11" s="496"/>
      <c r="IJ11" s="497">
        <f t="shared" si="79"/>
        <v>0</v>
      </c>
      <c r="IK11" s="498">
        <f t="shared" ref="IK11:IK40" si="190">+II11*$H$9</f>
        <v>0</v>
      </c>
      <c r="IL11" s="496"/>
      <c r="IM11" s="497">
        <f t="shared" si="80"/>
        <v>0</v>
      </c>
      <c r="IN11" s="498">
        <f t="shared" ref="IN11:IN40" si="191">+IL11*$H$9</f>
        <v>0</v>
      </c>
      <c r="IO11" s="496"/>
      <c r="IP11" s="497">
        <f t="shared" si="81"/>
        <v>0</v>
      </c>
      <c r="IQ11" s="498">
        <f t="shared" ref="IQ11:IQ40" si="192">+IO11*$H$9</f>
        <v>0</v>
      </c>
      <c r="IR11" s="496"/>
      <c r="IS11" s="497">
        <f t="shared" si="82"/>
        <v>0</v>
      </c>
      <c r="IT11" s="498">
        <f t="shared" ref="IT11:IT40" si="193">+IR11*$H$9</f>
        <v>0</v>
      </c>
      <c r="IU11" s="496"/>
      <c r="IV11" s="497">
        <f t="shared" si="83"/>
        <v>0</v>
      </c>
      <c r="IW11" s="498">
        <f t="shared" ref="IW11:IW40" si="194">+IU11*$H$9</f>
        <v>0</v>
      </c>
      <c r="IX11" s="496"/>
      <c r="IY11" s="497">
        <f t="shared" si="84"/>
        <v>0</v>
      </c>
      <c r="IZ11" s="498">
        <f t="shared" ref="IZ11:IZ40" si="195">+IX11*$H$9</f>
        <v>0</v>
      </c>
      <c r="JA11" s="496"/>
      <c r="JB11" s="497">
        <f t="shared" si="85"/>
        <v>0</v>
      </c>
      <c r="JC11" s="498">
        <f t="shared" ref="JC11:JC40" si="196">+JA11*$H$9</f>
        <v>0</v>
      </c>
      <c r="JD11" s="496"/>
      <c r="JE11" s="497">
        <f t="shared" si="86"/>
        <v>0</v>
      </c>
      <c r="JF11" s="498">
        <f t="shared" ref="JF11:JF40" si="197">+JD11*$H$9</f>
        <v>0</v>
      </c>
      <c r="JG11" s="496"/>
      <c r="JH11" s="497">
        <f t="shared" si="87"/>
        <v>0</v>
      </c>
      <c r="JI11" s="498">
        <f t="shared" ref="JI11:JI40" si="198">+JG11*$H$9</f>
        <v>0</v>
      </c>
      <c r="JJ11" s="496"/>
      <c r="JK11" s="498" t="str">
        <f t="shared" si="88"/>
        <v>0</v>
      </c>
      <c r="JL11" s="498" t="str">
        <f t="shared" si="89"/>
        <v>0</v>
      </c>
      <c r="JM11" s="496"/>
      <c r="JN11" s="498" t="str">
        <f t="shared" si="90"/>
        <v>0</v>
      </c>
      <c r="JO11" s="498" t="str">
        <f t="shared" si="91"/>
        <v>0</v>
      </c>
      <c r="JP11" s="496"/>
      <c r="JQ11" s="498" t="str">
        <f t="shared" si="92"/>
        <v>0</v>
      </c>
      <c r="JR11" s="498" t="str">
        <f t="shared" si="93"/>
        <v>0</v>
      </c>
      <c r="JS11" s="496"/>
      <c r="JT11" s="498" t="str">
        <f t="shared" si="94"/>
        <v>0</v>
      </c>
      <c r="JU11" s="498" t="str">
        <f t="shared" si="95"/>
        <v>0</v>
      </c>
      <c r="JV11" s="496"/>
      <c r="JW11" s="498" t="str">
        <f t="shared" si="96"/>
        <v>0</v>
      </c>
      <c r="JX11" s="498" t="str">
        <f t="shared" si="97"/>
        <v>0</v>
      </c>
      <c r="JY11" s="496"/>
      <c r="JZ11" s="498" t="str">
        <f t="shared" si="98"/>
        <v>0</v>
      </c>
      <c r="KA11" s="498" t="str">
        <f t="shared" si="99"/>
        <v>0</v>
      </c>
      <c r="KB11" s="496"/>
      <c r="KC11" s="498" t="str">
        <f t="shared" si="100"/>
        <v>0</v>
      </c>
      <c r="KD11" s="498" t="str">
        <f t="shared" si="101"/>
        <v>0</v>
      </c>
      <c r="KE11" s="496"/>
      <c r="KF11" s="498" t="str">
        <f t="shared" si="102"/>
        <v>0</v>
      </c>
      <c r="KG11" s="498" t="str">
        <f t="shared" si="103"/>
        <v>0</v>
      </c>
      <c r="KH11" s="496"/>
      <c r="KI11" s="498" t="str">
        <f t="shared" si="104"/>
        <v>0</v>
      </c>
      <c r="KJ11" s="498" t="str">
        <f t="shared" si="105"/>
        <v>0</v>
      </c>
      <c r="KK11" s="496"/>
      <c r="KL11" s="498" t="str">
        <f t="shared" si="106"/>
        <v>0</v>
      </c>
      <c r="KM11" s="498" t="str">
        <f t="shared" si="107"/>
        <v>0</v>
      </c>
      <c r="KN11" s="496"/>
      <c r="KO11" s="498" t="str">
        <f t="shared" si="108"/>
        <v>0</v>
      </c>
      <c r="KP11" s="498" t="str">
        <f t="shared" si="109"/>
        <v>0</v>
      </c>
      <c r="KQ11" s="496"/>
      <c r="KR11" s="498" t="str">
        <f t="shared" si="110"/>
        <v>0</v>
      </c>
      <c r="KS11" s="498" t="str">
        <f t="shared" si="111"/>
        <v>0</v>
      </c>
      <c r="KT11" s="498">
        <f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498">
        <f>GF11+GI11+GL11+GO11+GR11+GU11+GX11+HA11+HD11+HG11+HJ11+HM11+HP11+HS11+HV11+HY11+IB11+IE11+IH11+IK11+IN11+IQ11+IT11+IW11+IZ11+JC11+JF11+JI11+JL11+JO11+JR11+JU11+JX11++KA11+KD11+KG11+KJ11++KM11+KP11+KS11</f>
        <v>0</v>
      </c>
      <c r="KV11" s="262">
        <f t="shared" ref="KV11:KV40" si="199">+F11+I11+L11+O11+R11+U11+X11+AA11+AD11+AG11+AJ11+AM11+AP11+AS11+AV11+AY11+BB11+BE11+BH11+BK11+BN11+BQ11+BT11+BW11+BZ11+CC11+CF11+CI11+CL11+CO11+CR11+CU11+CX11+DA11+DD11+DJ11+DM11+DP11+DS11+DV11+DY11+EB11+EE11+EH11+EK11+EN11</f>
        <v>202.2653205680337</v>
      </c>
    </row>
    <row r="12" spans="1:308" ht="15" customHeight="1">
      <c r="A12" s="264">
        <f t="shared" ref="A12:A40" si="200">+A11+1</f>
        <v>45994</v>
      </c>
      <c r="B12" s="265" t="str">
        <f>+Report1!B11</f>
        <v>Toilet</v>
      </c>
      <c r="C12" s="392" t="str">
        <f>+Report1!C11</f>
        <v>14</v>
      </c>
      <c r="D12" s="266">
        <f>+Report1!P11</f>
        <v>54.988</v>
      </c>
      <c r="E12" s="267">
        <f>+Report1!R11</f>
        <v>57.095999999999997</v>
      </c>
      <c r="F12" s="496"/>
      <c r="G12" s="497">
        <f t="shared" si="0"/>
        <v>0</v>
      </c>
      <c r="H12" s="498">
        <f t="shared" si="112"/>
        <v>0</v>
      </c>
      <c r="I12" s="496">
        <v>0</v>
      </c>
      <c r="J12" s="497">
        <f t="shared" si="1"/>
        <v>0</v>
      </c>
      <c r="K12" s="498">
        <f t="shared" si="113"/>
        <v>0</v>
      </c>
      <c r="L12" s="496"/>
      <c r="M12" s="497">
        <f t="shared" si="2"/>
        <v>0</v>
      </c>
      <c r="N12" s="498">
        <f t="shared" si="114"/>
        <v>0</v>
      </c>
      <c r="O12" s="496">
        <v>9</v>
      </c>
      <c r="P12" s="497">
        <f t="shared" si="3"/>
        <v>0.15762925598991173</v>
      </c>
      <c r="Q12" s="498">
        <f t="shared" si="115"/>
        <v>0</v>
      </c>
      <c r="R12" s="496">
        <v>12.812499999999972</v>
      </c>
      <c r="S12" s="497">
        <f t="shared" si="4"/>
        <v>0.22440276026341552</v>
      </c>
      <c r="T12" s="498">
        <f t="shared" si="116"/>
        <v>0</v>
      </c>
      <c r="U12" s="496">
        <v>6.25</v>
      </c>
      <c r="V12" s="497">
        <f t="shared" si="5"/>
        <v>0.10946476110410537</v>
      </c>
      <c r="W12" s="498">
        <f t="shared" si="117"/>
        <v>0</v>
      </c>
      <c r="X12" s="496"/>
      <c r="Y12" s="497">
        <f t="shared" si="6"/>
        <v>0</v>
      </c>
      <c r="Z12" s="498">
        <f t="shared" si="118"/>
        <v>0</v>
      </c>
      <c r="AA12" s="496"/>
      <c r="AB12" s="497">
        <f t="shared" si="7"/>
        <v>0</v>
      </c>
      <c r="AC12" s="498">
        <f t="shared" si="119"/>
        <v>0</v>
      </c>
      <c r="AD12" s="496"/>
      <c r="AE12" s="497">
        <f t="shared" si="8"/>
        <v>0</v>
      </c>
      <c r="AF12" s="498">
        <f t="shared" si="120"/>
        <v>0</v>
      </c>
      <c r="AG12" s="496"/>
      <c r="AH12" s="497">
        <f t="shared" si="9"/>
        <v>0</v>
      </c>
      <c r="AI12" s="498">
        <f t="shared" si="121"/>
        <v>0</v>
      </c>
      <c r="AJ12" s="496"/>
      <c r="AK12" s="497">
        <f t="shared" si="10"/>
        <v>0</v>
      </c>
      <c r="AL12" s="498">
        <f t="shared" si="122"/>
        <v>0</v>
      </c>
      <c r="AM12" s="496"/>
      <c r="AN12" s="497">
        <f t="shared" si="11"/>
        <v>0</v>
      </c>
      <c r="AO12" s="498">
        <f t="shared" si="123"/>
        <v>0</v>
      </c>
      <c r="AP12" s="496">
        <v>54.807692307692264</v>
      </c>
      <c r="AQ12" s="497">
        <f t="shared" si="12"/>
        <v>0.95992175122061563</v>
      </c>
      <c r="AR12" s="498">
        <f t="shared" si="124"/>
        <v>0</v>
      </c>
      <c r="AS12" s="496"/>
      <c r="AT12" s="497">
        <f t="shared" si="13"/>
        <v>0</v>
      </c>
      <c r="AU12" s="498">
        <f t="shared" si="125"/>
        <v>0</v>
      </c>
      <c r="AV12" s="496">
        <v>13.875000000000057</v>
      </c>
      <c r="AW12" s="497">
        <f t="shared" si="14"/>
        <v>0.24301176965111493</v>
      </c>
      <c r="AX12" s="498">
        <f t="shared" si="126"/>
        <v>0</v>
      </c>
      <c r="AY12" s="496">
        <v>60.666666666666629</v>
      </c>
      <c r="AZ12" s="497">
        <f t="shared" si="15"/>
        <v>1.0625379477838488</v>
      </c>
      <c r="BA12" s="498">
        <f t="shared" si="127"/>
        <v>0</v>
      </c>
      <c r="BB12" s="496"/>
      <c r="BC12" s="497">
        <f t="shared" si="16"/>
        <v>0</v>
      </c>
      <c r="BD12" s="498">
        <f t="shared" si="128"/>
        <v>0</v>
      </c>
      <c r="BE12" s="496"/>
      <c r="BF12" s="497">
        <f t="shared" si="17"/>
        <v>0</v>
      </c>
      <c r="BG12" s="498">
        <f t="shared" si="129"/>
        <v>0</v>
      </c>
      <c r="BH12" s="496"/>
      <c r="BI12" s="497">
        <f t="shared" si="18"/>
        <v>0</v>
      </c>
      <c r="BJ12" s="498">
        <f t="shared" si="130"/>
        <v>0</v>
      </c>
      <c r="BK12" s="496"/>
      <c r="BL12" s="497">
        <f t="shared" si="19"/>
        <v>0</v>
      </c>
      <c r="BM12" s="498">
        <f t="shared" si="131"/>
        <v>0</v>
      </c>
      <c r="BN12" s="496">
        <v>25.30864197530866</v>
      </c>
      <c r="BO12" s="497">
        <f t="shared" si="20"/>
        <v>0.44326471163143938</v>
      </c>
      <c r="BP12" s="498">
        <f t="shared" si="132"/>
        <v>0</v>
      </c>
      <c r="BQ12" s="496">
        <v>0</v>
      </c>
      <c r="BR12" s="497">
        <f t="shared" si="21"/>
        <v>0</v>
      </c>
      <c r="BS12" s="498">
        <f t="shared" si="133"/>
        <v>0</v>
      </c>
      <c r="BT12" s="496"/>
      <c r="BU12" s="497">
        <f t="shared" si="22"/>
        <v>0</v>
      </c>
      <c r="BV12" s="498">
        <f t="shared" si="134"/>
        <v>0</v>
      </c>
      <c r="BW12" s="496"/>
      <c r="BX12" s="497">
        <f t="shared" si="23"/>
        <v>0</v>
      </c>
      <c r="BY12" s="498">
        <f t="shared" si="135"/>
        <v>0</v>
      </c>
      <c r="BZ12" s="496"/>
      <c r="CA12" s="497">
        <f t="shared" si="24"/>
        <v>0</v>
      </c>
      <c r="CB12" s="498">
        <f t="shared" si="136"/>
        <v>0</v>
      </c>
      <c r="CC12" s="496">
        <v>0</v>
      </c>
      <c r="CD12" s="497">
        <f t="shared" si="25"/>
        <v>0</v>
      </c>
      <c r="CE12" s="498">
        <f t="shared" si="137"/>
        <v>0</v>
      </c>
      <c r="CF12" s="496">
        <v>9</v>
      </c>
      <c r="CG12" s="497">
        <f t="shared" si="26"/>
        <v>0.15762925598991173</v>
      </c>
      <c r="CH12" s="498">
        <f t="shared" si="138"/>
        <v>0</v>
      </c>
      <c r="CI12" s="496"/>
      <c r="CJ12" s="497">
        <f t="shared" si="27"/>
        <v>0</v>
      </c>
      <c r="CK12" s="498">
        <f t="shared" si="139"/>
        <v>0</v>
      </c>
      <c r="CL12" s="496"/>
      <c r="CM12" s="497">
        <f t="shared" si="28"/>
        <v>0</v>
      </c>
      <c r="CN12" s="498">
        <f t="shared" si="140"/>
        <v>0</v>
      </c>
      <c r="CO12" s="496"/>
      <c r="CP12" s="497">
        <f t="shared" si="29"/>
        <v>0</v>
      </c>
      <c r="CQ12" s="498">
        <f t="shared" si="141"/>
        <v>0</v>
      </c>
      <c r="CR12" s="496"/>
      <c r="CS12" s="497">
        <f t="shared" si="30"/>
        <v>0</v>
      </c>
      <c r="CT12" s="498">
        <f t="shared" si="142"/>
        <v>0</v>
      </c>
      <c r="CU12" s="496"/>
      <c r="CV12" s="497">
        <f t="shared" si="31"/>
        <v>0</v>
      </c>
      <c r="CW12" s="498">
        <f t="shared" si="143"/>
        <v>0</v>
      </c>
      <c r="CX12" s="496"/>
      <c r="CY12" s="497">
        <f t="shared" si="32"/>
        <v>0</v>
      </c>
      <c r="CZ12" s="498">
        <f t="shared" si="144"/>
        <v>0</v>
      </c>
      <c r="DA12" s="496"/>
      <c r="DB12" s="497">
        <f t="shared" si="33"/>
        <v>0</v>
      </c>
      <c r="DC12" s="498">
        <f t="shared" si="145"/>
        <v>0</v>
      </c>
      <c r="DD12" s="496"/>
      <c r="DE12" s="497">
        <f t="shared" si="34"/>
        <v>0</v>
      </c>
      <c r="DF12" s="498">
        <f t="shared" si="146"/>
        <v>0</v>
      </c>
      <c r="DG12" s="496"/>
      <c r="DH12" s="497">
        <f t="shared" si="35"/>
        <v>0</v>
      </c>
      <c r="DI12" s="498">
        <v>0</v>
      </c>
      <c r="DJ12" s="496"/>
      <c r="DK12" s="497">
        <f t="shared" si="36"/>
        <v>0</v>
      </c>
      <c r="DL12" s="498">
        <f t="shared" si="147"/>
        <v>0</v>
      </c>
      <c r="DM12" s="496"/>
      <c r="DN12" s="497">
        <f t="shared" si="37"/>
        <v>0</v>
      </c>
      <c r="DO12" s="498">
        <f t="shared" si="148"/>
        <v>0</v>
      </c>
      <c r="DP12" s="496"/>
      <c r="DQ12" s="497">
        <f t="shared" si="38"/>
        <v>0</v>
      </c>
      <c r="DR12" s="498">
        <f t="shared" si="149"/>
        <v>0</v>
      </c>
      <c r="DS12" s="496"/>
      <c r="DT12" s="497">
        <f t="shared" si="39"/>
        <v>0</v>
      </c>
      <c r="DU12" s="498">
        <f t="shared" si="150"/>
        <v>0</v>
      </c>
      <c r="DV12" s="496"/>
      <c r="DW12" s="497">
        <f t="shared" si="40"/>
        <v>0</v>
      </c>
      <c r="DX12" s="498">
        <f t="shared" si="151"/>
        <v>0</v>
      </c>
      <c r="DY12" s="496">
        <v>0</v>
      </c>
      <c r="DZ12" s="497">
        <f t="shared" si="41"/>
        <v>0</v>
      </c>
      <c r="EA12" s="498">
        <f t="shared" si="152"/>
        <v>0</v>
      </c>
      <c r="EB12" s="496">
        <v>14.534883720930225</v>
      </c>
      <c r="EC12" s="497">
        <f t="shared" si="42"/>
        <v>0.25456921187001236</v>
      </c>
      <c r="ED12" s="498">
        <f t="shared" si="153"/>
        <v>0</v>
      </c>
      <c r="EE12" s="496">
        <v>2</v>
      </c>
      <c r="EF12" s="497">
        <f t="shared" si="43"/>
        <v>3.5028723553313719E-2</v>
      </c>
      <c r="EG12" s="498">
        <f t="shared" si="154"/>
        <v>0</v>
      </c>
      <c r="EH12" s="496"/>
      <c r="EI12" s="497">
        <f t="shared" si="44"/>
        <v>0</v>
      </c>
      <c r="EJ12" s="498">
        <f t="shared" si="155"/>
        <v>0</v>
      </c>
      <c r="EK12" s="496"/>
      <c r="EL12" s="497">
        <f t="shared" si="45"/>
        <v>0</v>
      </c>
      <c r="EM12" s="498">
        <f t="shared" si="156"/>
        <v>0</v>
      </c>
      <c r="EN12" s="496"/>
      <c r="EO12" s="497">
        <f t="shared" si="46"/>
        <v>0</v>
      </c>
      <c r="EP12" s="498">
        <f t="shared" si="157"/>
        <v>0</v>
      </c>
      <c r="EQ12" s="496"/>
      <c r="ER12" s="497">
        <f t="shared" si="47"/>
        <v>0</v>
      </c>
      <c r="ES12" s="498">
        <f t="shared" si="158"/>
        <v>0</v>
      </c>
      <c r="ET12" s="496"/>
      <c r="EU12" s="497">
        <f t="shared" si="48"/>
        <v>0</v>
      </c>
      <c r="EV12" s="498">
        <f t="shared" si="159"/>
        <v>0</v>
      </c>
      <c r="EW12" s="496"/>
      <c r="EX12" s="497">
        <f t="shared" si="49"/>
        <v>0</v>
      </c>
      <c r="EY12" s="498">
        <f t="shared" si="160"/>
        <v>0</v>
      </c>
      <c r="EZ12" s="496"/>
      <c r="FA12" s="497">
        <f t="shared" si="50"/>
        <v>0</v>
      </c>
      <c r="FB12" s="498">
        <f t="shared" si="161"/>
        <v>0</v>
      </c>
      <c r="FC12" s="496"/>
      <c r="FD12" s="497">
        <f t="shared" si="51"/>
        <v>0</v>
      </c>
      <c r="FE12" s="498">
        <f t="shared" si="162"/>
        <v>0</v>
      </c>
      <c r="FF12" s="496"/>
      <c r="FG12" s="497">
        <f t="shared" si="52"/>
        <v>0</v>
      </c>
      <c r="FH12" s="498">
        <f t="shared" si="163"/>
        <v>0</v>
      </c>
      <c r="FI12" s="496"/>
      <c r="FJ12" s="497">
        <f t="shared" si="53"/>
        <v>0</v>
      </c>
      <c r="FK12" s="498">
        <f t="shared" si="164"/>
        <v>0</v>
      </c>
      <c r="FL12" s="496"/>
      <c r="FM12" s="497">
        <f t="shared" si="54"/>
        <v>0</v>
      </c>
      <c r="FN12" s="498">
        <f t="shared" si="165"/>
        <v>0</v>
      </c>
      <c r="FO12" s="496"/>
      <c r="FP12" s="497">
        <f t="shared" si="55"/>
        <v>0</v>
      </c>
      <c r="FQ12" s="498">
        <f t="shared" si="166"/>
        <v>0</v>
      </c>
      <c r="FR12" s="496"/>
      <c r="FS12" s="497">
        <f t="shared" si="56"/>
        <v>0</v>
      </c>
      <c r="FT12" s="498">
        <f t="shared" si="167"/>
        <v>0</v>
      </c>
      <c r="FU12" s="496"/>
      <c r="FV12" s="497">
        <f t="shared" si="57"/>
        <v>0</v>
      </c>
      <c r="FW12" s="498">
        <f t="shared" si="168"/>
        <v>0</v>
      </c>
      <c r="FX12" s="496"/>
      <c r="FY12" s="497">
        <f t="shared" si="58"/>
        <v>0</v>
      </c>
      <c r="FZ12" s="498">
        <f t="shared" si="169"/>
        <v>0</v>
      </c>
      <c r="GA12" s="496"/>
      <c r="GB12" s="497">
        <f t="shared" si="59"/>
        <v>0</v>
      </c>
      <c r="GC12" s="498">
        <f t="shared" si="170"/>
        <v>0</v>
      </c>
      <c r="GD12" s="496"/>
      <c r="GE12" s="497">
        <f t="shared" si="60"/>
        <v>0</v>
      </c>
      <c r="GF12" s="498">
        <f t="shared" si="171"/>
        <v>0</v>
      </c>
      <c r="GG12" s="496"/>
      <c r="GH12" s="497">
        <f t="shared" si="61"/>
        <v>0</v>
      </c>
      <c r="GI12" s="498">
        <f t="shared" si="172"/>
        <v>0</v>
      </c>
      <c r="GJ12" s="496"/>
      <c r="GK12" s="497">
        <f t="shared" si="62"/>
        <v>0</v>
      </c>
      <c r="GL12" s="498">
        <f t="shared" si="173"/>
        <v>0</v>
      </c>
      <c r="GM12" s="496"/>
      <c r="GN12" s="497">
        <f t="shared" si="63"/>
        <v>0</v>
      </c>
      <c r="GO12" s="498">
        <f t="shared" si="174"/>
        <v>0</v>
      </c>
      <c r="GP12" s="496"/>
      <c r="GQ12" s="497">
        <f t="shared" si="64"/>
        <v>0</v>
      </c>
      <c r="GR12" s="498">
        <f t="shared" si="175"/>
        <v>0</v>
      </c>
      <c r="GS12" s="496"/>
      <c r="GT12" s="497">
        <f t="shared" si="65"/>
        <v>0</v>
      </c>
      <c r="GU12" s="498">
        <f t="shared" si="176"/>
        <v>0</v>
      </c>
      <c r="GV12" s="496"/>
      <c r="GW12" s="497">
        <f t="shared" si="66"/>
        <v>0</v>
      </c>
      <c r="GX12" s="498">
        <f t="shared" si="177"/>
        <v>0</v>
      </c>
      <c r="GY12" s="496"/>
      <c r="GZ12" s="497">
        <f t="shared" si="67"/>
        <v>0</v>
      </c>
      <c r="HA12" s="498">
        <f t="shared" si="178"/>
        <v>0</v>
      </c>
      <c r="HB12" s="496"/>
      <c r="HC12" s="497">
        <f t="shared" si="68"/>
        <v>0</v>
      </c>
      <c r="HD12" s="498">
        <f t="shared" si="179"/>
        <v>0</v>
      </c>
      <c r="HE12" s="496"/>
      <c r="HF12" s="497">
        <f t="shared" si="69"/>
        <v>0</v>
      </c>
      <c r="HG12" s="498">
        <f t="shared" si="180"/>
        <v>0</v>
      </c>
      <c r="HH12" s="496"/>
      <c r="HI12" s="497">
        <f t="shared" si="70"/>
        <v>0</v>
      </c>
      <c r="HJ12" s="498">
        <f t="shared" si="181"/>
        <v>0</v>
      </c>
      <c r="HK12" s="496"/>
      <c r="HL12" s="497">
        <f t="shared" si="71"/>
        <v>0</v>
      </c>
      <c r="HM12" s="498">
        <f t="shared" si="182"/>
        <v>0</v>
      </c>
      <c r="HN12" s="496"/>
      <c r="HO12" s="497">
        <f t="shared" si="72"/>
        <v>0</v>
      </c>
      <c r="HP12" s="498">
        <f t="shared" si="183"/>
        <v>0</v>
      </c>
      <c r="HQ12" s="496"/>
      <c r="HR12" s="497">
        <f t="shared" si="73"/>
        <v>0</v>
      </c>
      <c r="HS12" s="498">
        <f t="shared" si="184"/>
        <v>0</v>
      </c>
      <c r="HT12" s="496"/>
      <c r="HU12" s="497">
        <f t="shared" si="74"/>
        <v>0</v>
      </c>
      <c r="HV12" s="498">
        <f t="shared" si="185"/>
        <v>0</v>
      </c>
      <c r="HW12" s="496"/>
      <c r="HX12" s="497">
        <f t="shared" si="75"/>
        <v>0</v>
      </c>
      <c r="HY12" s="498">
        <f t="shared" si="186"/>
        <v>0</v>
      </c>
      <c r="HZ12" s="496"/>
      <c r="IA12" s="497">
        <f t="shared" si="76"/>
        <v>0</v>
      </c>
      <c r="IB12" s="498">
        <f t="shared" si="187"/>
        <v>0</v>
      </c>
      <c r="IC12" s="496"/>
      <c r="ID12" s="497">
        <f t="shared" si="77"/>
        <v>0</v>
      </c>
      <c r="IE12" s="498">
        <f t="shared" si="188"/>
        <v>0</v>
      </c>
      <c r="IF12" s="496"/>
      <c r="IG12" s="497">
        <f t="shared" si="78"/>
        <v>0</v>
      </c>
      <c r="IH12" s="498">
        <f t="shared" si="189"/>
        <v>0</v>
      </c>
      <c r="II12" s="496"/>
      <c r="IJ12" s="497">
        <f t="shared" si="79"/>
        <v>0</v>
      </c>
      <c r="IK12" s="498">
        <f t="shared" si="190"/>
        <v>0</v>
      </c>
      <c r="IL12" s="496"/>
      <c r="IM12" s="497">
        <f t="shared" si="80"/>
        <v>0</v>
      </c>
      <c r="IN12" s="498">
        <f t="shared" si="191"/>
        <v>0</v>
      </c>
      <c r="IO12" s="496"/>
      <c r="IP12" s="497">
        <f t="shared" si="81"/>
        <v>0</v>
      </c>
      <c r="IQ12" s="498">
        <f t="shared" si="192"/>
        <v>0</v>
      </c>
      <c r="IR12" s="496"/>
      <c r="IS12" s="497">
        <f t="shared" si="82"/>
        <v>0</v>
      </c>
      <c r="IT12" s="498">
        <f t="shared" si="193"/>
        <v>0</v>
      </c>
      <c r="IU12" s="496"/>
      <c r="IV12" s="497">
        <f t="shared" si="83"/>
        <v>0</v>
      </c>
      <c r="IW12" s="498">
        <f t="shared" si="194"/>
        <v>0</v>
      </c>
      <c r="IX12" s="496"/>
      <c r="IY12" s="497">
        <f t="shared" si="84"/>
        <v>0</v>
      </c>
      <c r="IZ12" s="498">
        <f t="shared" si="195"/>
        <v>0</v>
      </c>
      <c r="JA12" s="496"/>
      <c r="JB12" s="497">
        <f t="shared" si="85"/>
        <v>0</v>
      </c>
      <c r="JC12" s="498">
        <f t="shared" si="196"/>
        <v>0</v>
      </c>
      <c r="JD12" s="496"/>
      <c r="JE12" s="497">
        <f t="shared" si="86"/>
        <v>0</v>
      </c>
      <c r="JF12" s="498">
        <f t="shared" si="197"/>
        <v>0</v>
      </c>
      <c r="JG12" s="496"/>
      <c r="JH12" s="497">
        <f t="shared" si="87"/>
        <v>0</v>
      </c>
      <c r="JI12" s="498">
        <f t="shared" si="198"/>
        <v>0</v>
      </c>
      <c r="JJ12" s="496"/>
      <c r="JK12" s="498" t="str">
        <f t="shared" si="88"/>
        <v>0</v>
      </c>
      <c r="JL12" s="498" t="str">
        <f t="shared" si="89"/>
        <v>0</v>
      </c>
      <c r="JM12" s="496"/>
      <c r="JN12" s="498" t="str">
        <f t="shared" si="90"/>
        <v>0</v>
      </c>
      <c r="JO12" s="498" t="str">
        <f t="shared" si="91"/>
        <v>0</v>
      </c>
      <c r="JP12" s="496"/>
      <c r="JQ12" s="498" t="str">
        <f t="shared" si="92"/>
        <v>0</v>
      </c>
      <c r="JR12" s="498" t="str">
        <f t="shared" si="93"/>
        <v>0</v>
      </c>
      <c r="JS12" s="496"/>
      <c r="JT12" s="498" t="str">
        <f t="shared" si="94"/>
        <v>0</v>
      </c>
      <c r="JU12" s="498" t="str">
        <f t="shared" si="95"/>
        <v>0</v>
      </c>
      <c r="JV12" s="496"/>
      <c r="JW12" s="498" t="str">
        <f t="shared" si="96"/>
        <v>0</v>
      </c>
      <c r="JX12" s="498" t="str">
        <f t="shared" si="97"/>
        <v>0</v>
      </c>
      <c r="JY12" s="496"/>
      <c r="JZ12" s="498" t="str">
        <f t="shared" si="98"/>
        <v>0</v>
      </c>
      <c r="KA12" s="498" t="str">
        <f t="shared" si="99"/>
        <v>0</v>
      </c>
      <c r="KB12" s="496"/>
      <c r="KC12" s="498" t="str">
        <f t="shared" si="100"/>
        <v>0</v>
      </c>
      <c r="KD12" s="498" t="str">
        <f t="shared" si="101"/>
        <v>0</v>
      </c>
      <c r="KE12" s="496"/>
      <c r="KF12" s="498" t="str">
        <f t="shared" si="102"/>
        <v>0</v>
      </c>
      <c r="KG12" s="498" t="str">
        <f t="shared" si="103"/>
        <v>0</v>
      </c>
      <c r="KH12" s="496"/>
      <c r="KI12" s="498" t="str">
        <f t="shared" si="104"/>
        <v>0</v>
      </c>
      <c r="KJ12" s="498" t="str">
        <f t="shared" si="105"/>
        <v>0</v>
      </c>
      <c r="KK12" s="496"/>
      <c r="KL12" s="498" t="str">
        <f t="shared" si="106"/>
        <v>0</v>
      </c>
      <c r="KM12" s="498" t="str">
        <f t="shared" si="107"/>
        <v>0</v>
      </c>
      <c r="KN12" s="496"/>
      <c r="KO12" s="498" t="str">
        <f t="shared" si="108"/>
        <v>0</v>
      </c>
      <c r="KP12" s="498" t="str">
        <f t="shared" si="109"/>
        <v>0</v>
      </c>
      <c r="KQ12" s="496"/>
      <c r="KR12" s="498" t="str">
        <f t="shared" si="110"/>
        <v>0</v>
      </c>
      <c r="KS12" s="498" t="str">
        <f t="shared" si="111"/>
        <v>0</v>
      </c>
      <c r="KT12" s="498">
        <f t="shared" ref="KT12:KT42" si="201">H12+K12+N12+Q12+T12+W12+Z12+AC12+AF12+AI12+AL12+AO12+AR12+AU12+AX12+BA12+BD12+BG12+BJ12+BM12+BP12+BS12+BV12+BY12+CB12+CE12+CH12+CK12+CN12+CQ12+CT12+CW12+CZ12+DC12+DF12+DI12+DL12+DO12+DR12+DU12+DX12+EA12+ED12+EG12+EJ12+EM12+EP12+ES12+EV12+EY12+FB12+FE12+FH12+FK12+FN12+FQ12+FT12+FW12+FZ12+GC12</f>
        <v>0</v>
      </c>
      <c r="KU12" s="498">
        <f t="shared" ref="KU12:KU42" si="202">GF12+GI12+GL12+GO12+GR12+GU12+GX12+HA12+HD12+HG12+HJ12+HM12+HP12+HS12+HV12+HY12+IB12+IE12+IH12+IK12+IN12+IQ12+IT12+IW12+IZ12+JC12+JF12+JI12+JL12+JO12+JR12+JU12+JX12++KA12+KD12+KG12+KJ12++KM12+KP12+KS12</f>
        <v>0</v>
      </c>
      <c r="KV12" s="262">
        <f t="shared" si="199"/>
        <v>208.25538467059781</v>
      </c>
    </row>
    <row r="13" spans="1:308" ht="15" customHeight="1">
      <c r="A13" s="264">
        <f t="shared" si="200"/>
        <v>45995</v>
      </c>
      <c r="B13" s="265" t="str">
        <f>+Report1!B12</f>
        <v>Toilet</v>
      </c>
      <c r="C13" s="392" t="str">
        <f>+Report1!C12</f>
        <v>14</v>
      </c>
      <c r="D13" s="266">
        <f>+Report1!P12</f>
        <v>48.894000000000005</v>
      </c>
      <c r="E13" s="267">
        <f>+Report1!R12</f>
        <v>41.052</v>
      </c>
      <c r="F13" s="496"/>
      <c r="G13" s="497">
        <f t="shared" si="0"/>
        <v>0</v>
      </c>
      <c r="H13" s="498">
        <f t="shared" si="112"/>
        <v>0</v>
      </c>
      <c r="I13" s="496">
        <v>0</v>
      </c>
      <c r="J13" s="497">
        <f t="shared" si="1"/>
        <v>0</v>
      </c>
      <c r="K13" s="498">
        <f t="shared" si="113"/>
        <v>0</v>
      </c>
      <c r="L13" s="496"/>
      <c r="M13" s="497">
        <f t="shared" si="2"/>
        <v>0</v>
      </c>
      <c r="N13" s="498">
        <f t="shared" si="114"/>
        <v>0</v>
      </c>
      <c r="O13" s="496">
        <v>9</v>
      </c>
      <c r="P13" s="497">
        <f t="shared" si="3"/>
        <v>0.21923414206372405</v>
      </c>
      <c r="Q13" s="498">
        <f t="shared" si="115"/>
        <v>0</v>
      </c>
      <c r="R13" s="496">
        <v>12.812500000000028</v>
      </c>
      <c r="S13" s="497">
        <f t="shared" si="4"/>
        <v>0.3121041605768301</v>
      </c>
      <c r="T13" s="498">
        <f t="shared" si="116"/>
        <v>0</v>
      </c>
      <c r="U13" s="496">
        <v>6.25</v>
      </c>
      <c r="V13" s="497">
        <f t="shared" si="5"/>
        <v>0.15224593198869726</v>
      </c>
      <c r="W13" s="498">
        <f t="shared" si="117"/>
        <v>0</v>
      </c>
      <c r="X13" s="496"/>
      <c r="Y13" s="497">
        <f t="shared" si="6"/>
        <v>0</v>
      </c>
      <c r="Z13" s="498">
        <f t="shared" si="118"/>
        <v>0</v>
      </c>
      <c r="AA13" s="496"/>
      <c r="AB13" s="497">
        <f t="shared" si="7"/>
        <v>0</v>
      </c>
      <c r="AC13" s="498">
        <f t="shared" si="119"/>
        <v>0</v>
      </c>
      <c r="AD13" s="496"/>
      <c r="AE13" s="497">
        <f t="shared" si="8"/>
        <v>0</v>
      </c>
      <c r="AF13" s="498">
        <f t="shared" si="120"/>
        <v>0</v>
      </c>
      <c r="AG13" s="496"/>
      <c r="AH13" s="497">
        <f t="shared" si="9"/>
        <v>0</v>
      </c>
      <c r="AI13" s="498">
        <f t="shared" si="121"/>
        <v>0</v>
      </c>
      <c r="AJ13" s="496"/>
      <c r="AK13" s="497">
        <f t="shared" si="10"/>
        <v>0</v>
      </c>
      <c r="AL13" s="498">
        <f t="shared" si="122"/>
        <v>0</v>
      </c>
      <c r="AM13" s="496"/>
      <c r="AN13" s="497">
        <f t="shared" si="11"/>
        <v>0</v>
      </c>
      <c r="AO13" s="498">
        <f t="shared" si="123"/>
        <v>0</v>
      </c>
      <c r="AP13" s="496">
        <v>43.26923076923083</v>
      </c>
      <c r="AQ13" s="497">
        <f t="shared" si="12"/>
        <v>1.0540102983832902</v>
      </c>
      <c r="AR13" s="498">
        <f t="shared" si="124"/>
        <v>0</v>
      </c>
      <c r="AS13" s="496"/>
      <c r="AT13" s="497">
        <f t="shared" si="13"/>
        <v>0</v>
      </c>
      <c r="AU13" s="498">
        <f t="shared" si="125"/>
        <v>0</v>
      </c>
      <c r="AV13" s="496">
        <v>13.874999999999943</v>
      </c>
      <c r="AW13" s="497">
        <f t="shared" si="14"/>
        <v>0.33798596901490652</v>
      </c>
      <c r="AX13" s="498">
        <f t="shared" si="126"/>
        <v>0</v>
      </c>
      <c r="AY13" s="496">
        <v>58.333333333333314</v>
      </c>
      <c r="AZ13" s="497">
        <f t="shared" si="15"/>
        <v>1.4209620318945073</v>
      </c>
      <c r="BA13" s="498">
        <f t="shared" si="127"/>
        <v>0</v>
      </c>
      <c r="BB13" s="496"/>
      <c r="BC13" s="497">
        <f t="shared" si="16"/>
        <v>0</v>
      </c>
      <c r="BD13" s="498">
        <f t="shared" si="128"/>
        <v>0</v>
      </c>
      <c r="BE13" s="496"/>
      <c r="BF13" s="497">
        <f t="shared" si="17"/>
        <v>0</v>
      </c>
      <c r="BG13" s="498">
        <f t="shared" si="129"/>
        <v>0</v>
      </c>
      <c r="BH13" s="496"/>
      <c r="BI13" s="497">
        <f t="shared" si="18"/>
        <v>0</v>
      </c>
      <c r="BJ13" s="498">
        <f t="shared" si="130"/>
        <v>0</v>
      </c>
      <c r="BK13" s="496"/>
      <c r="BL13" s="497">
        <f t="shared" si="19"/>
        <v>0</v>
      </c>
      <c r="BM13" s="498">
        <f t="shared" si="131"/>
        <v>0</v>
      </c>
      <c r="BN13" s="496">
        <v>22.777777777777771</v>
      </c>
      <c r="BO13" s="497">
        <f t="shared" si="20"/>
        <v>0.55485184102547436</v>
      </c>
      <c r="BP13" s="498">
        <f t="shared" si="132"/>
        <v>0</v>
      </c>
      <c r="BQ13" s="496">
        <v>0</v>
      </c>
      <c r="BR13" s="497">
        <f t="shared" si="21"/>
        <v>0</v>
      </c>
      <c r="BS13" s="498">
        <f t="shared" si="133"/>
        <v>0</v>
      </c>
      <c r="BT13" s="496"/>
      <c r="BU13" s="497">
        <f t="shared" si="22"/>
        <v>0</v>
      </c>
      <c r="BV13" s="498">
        <f t="shared" si="134"/>
        <v>0</v>
      </c>
      <c r="BW13" s="496"/>
      <c r="BX13" s="497">
        <f t="shared" si="23"/>
        <v>0</v>
      </c>
      <c r="BY13" s="498">
        <f t="shared" si="135"/>
        <v>0</v>
      </c>
      <c r="BZ13" s="496"/>
      <c r="CA13" s="497">
        <f t="shared" si="24"/>
        <v>0</v>
      </c>
      <c r="CB13" s="498">
        <f t="shared" si="136"/>
        <v>0</v>
      </c>
      <c r="CC13" s="496">
        <v>0</v>
      </c>
      <c r="CD13" s="497">
        <f t="shared" si="25"/>
        <v>0</v>
      </c>
      <c r="CE13" s="498">
        <f t="shared" si="137"/>
        <v>0</v>
      </c>
      <c r="CF13" s="496">
        <v>9</v>
      </c>
      <c r="CG13" s="497">
        <f t="shared" si="26"/>
        <v>0.21923414206372405</v>
      </c>
      <c r="CH13" s="498">
        <f t="shared" si="138"/>
        <v>0</v>
      </c>
      <c r="CI13" s="496"/>
      <c r="CJ13" s="497">
        <f t="shared" si="27"/>
        <v>0</v>
      </c>
      <c r="CK13" s="498">
        <f t="shared" si="139"/>
        <v>0</v>
      </c>
      <c r="CL13" s="496"/>
      <c r="CM13" s="497">
        <f t="shared" si="28"/>
        <v>0</v>
      </c>
      <c r="CN13" s="498">
        <f t="shared" si="140"/>
        <v>0</v>
      </c>
      <c r="CO13" s="496"/>
      <c r="CP13" s="497">
        <f t="shared" si="29"/>
        <v>0</v>
      </c>
      <c r="CQ13" s="498">
        <f t="shared" si="141"/>
        <v>0</v>
      </c>
      <c r="CR13" s="496"/>
      <c r="CS13" s="497">
        <f t="shared" si="30"/>
        <v>0</v>
      </c>
      <c r="CT13" s="498">
        <f t="shared" si="142"/>
        <v>0</v>
      </c>
      <c r="CU13" s="496"/>
      <c r="CV13" s="497">
        <f t="shared" si="31"/>
        <v>0</v>
      </c>
      <c r="CW13" s="498">
        <f t="shared" si="143"/>
        <v>0</v>
      </c>
      <c r="CX13" s="496"/>
      <c r="CY13" s="497">
        <f t="shared" si="32"/>
        <v>0</v>
      </c>
      <c r="CZ13" s="498">
        <f t="shared" si="144"/>
        <v>0</v>
      </c>
      <c r="DA13" s="496"/>
      <c r="DB13" s="497">
        <f t="shared" si="33"/>
        <v>0</v>
      </c>
      <c r="DC13" s="498">
        <f t="shared" si="145"/>
        <v>0</v>
      </c>
      <c r="DD13" s="496"/>
      <c r="DE13" s="497">
        <f t="shared" si="34"/>
        <v>0</v>
      </c>
      <c r="DF13" s="498">
        <f t="shared" si="146"/>
        <v>0</v>
      </c>
      <c r="DG13" s="496"/>
      <c r="DH13" s="497">
        <f t="shared" si="35"/>
        <v>0</v>
      </c>
      <c r="DI13" s="498">
        <v>0</v>
      </c>
      <c r="DJ13" s="496"/>
      <c r="DK13" s="497">
        <f t="shared" si="36"/>
        <v>0</v>
      </c>
      <c r="DL13" s="498">
        <f t="shared" si="147"/>
        <v>0</v>
      </c>
      <c r="DM13" s="496"/>
      <c r="DN13" s="497">
        <f t="shared" si="37"/>
        <v>0</v>
      </c>
      <c r="DO13" s="498">
        <f t="shared" si="148"/>
        <v>0</v>
      </c>
      <c r="DP13" s="496"/>
      <c r="DQ13" s="497">
        <f t="shared" si="38"/>
        <v>0</v>
      </c>
      <c r="DR13" s="498">
        <f t="shared" si="149"/>
        <v>0</v>
      </c>
      <c r="DS13" s="496"/>
      <c r="DT13" s="497">
        <f t="shared" si="39"/>
        <v>0</v>
      </c>
      <c r="DU13" s="498">
        <f t="shared" si="150"/>
        <v>0</v>
      </c>
      <c r="DV13" s="496"/>
      <c r="DW13" s="497">
        <f t="shared" si="40"/>
        <v>0</v>
      </c>
      <c r="DX13" s="498">
        <f t="shared" si="151"/>
        <v>0</v>
      </c>
      <c r="DY13" s="496">
        <v>0</v>
      </c>
      <c r="DZ13" s="497">
        <f t="shared" si="41"/>
        <v>0</v>
      </c>
      <c r="EA13" s="498">
        <f t="shared" si="152"/>
        <v>0</v>
      </c>
      <c r="EB13" s="496">
        <v>7.2674418604651123</v>
      </c>
      <c r="EC13" s="497">
        <f t="shared" si="42"/>
        <v>0.17703015347522927</v>
      </c>
      <c r="ED13" s="498">
        <f t="shared" si="153"/>
        <v>0</v>
      </c>
      <c r="EE13" s="496">
        <v>2</v>
      </c>
      <c r="EF13" s="497">
        <f t="shared" si="43"/>
        <v>4.8718698236383126E-2</v>
      </c>
      <c r="EG13" s="498">
        <f t="shared" si="154"/>
        <v>0</v>
      </c>
      <c r="EH13" s="496"/>
      <c r="EI13" s="497">
        <f t="shared" si="44"/>
        <v>0</v>
      </c>
      <c r="EJ13" s="498">
        <f t="shared" si="155"/>
        <v>0</v>
      </c>
      <c r="EK13" s="496"/>
      <c r="EL13" s="497">
        <f t="shared" si="45"/>
        <v>0</v>
      </c>
      <c r="EM13" s="498">
        <f t="shared" si="156"/>
        <v>0</v>
      </c>
      <c r="EN13" s="496"/>
      <c r="EO13" s="497">
        <f t="shared" si="46"/>
        <v>0</v>
      </c>
      <c r="EP13" s="498">
        <f t="shared" si="157"/>
        <v>0</v>
      </c>
      <c r="EQ13" s="496"/>
      <c r="ER13" s="497">
        <f t="shared" si="47"/>
        <v>0</v>
      </c>
      <c r="ES13" s="498">
        <f t="shared" si="158"/>
        <v>0</v>
      </c>
      <c r="ET13" s="496"/>
      <c r="EU13" s="497">
        <f t="shared" si="48"/>
        <v>0</v>
      </c>
      <c r="EV13" s="498">
        <f t="shared" si="159"/>
        <v>0</v>
      </c>
      <c r="EW13" s="496"/>
      <c r="EX13" s="497">
        <f t="shared" si="49"/>
        <v>0</v>
      </c>
      <c r="EY13" s="498">
        <f t="shared" si="160"/>
        <v>0</v>
      </c>
      <c r="EZ13" s="496"/>
      <c r="FA13" s="497">
        <f t="shared" si="50"/>
        <v>0</v>
      </c>
      <c r="FB13" s="498">
        <f t="shared" si="161"/>
        <v>0</v>
      </c>
      <c r="FC13" s="496"/>
      <c r="FD13" s="497">
        <f t="shared" si="51"/>
        <v>0</v>
      </c>
      <c r="FE13" s="498">
        <f t="shared" si="162"/>
        <v>0</v>
      </c>
      <c r="FF13" s="496"/>
      <c r="FG13" s="497">
        <f t="shared" si="52"/>
        <v>0</v>
      </c>
      <c r="FH13" s="498">
        <f t="shared" si="163"/>
        <v>0</v>
      </c>
      <c r="FI13" s="496"/>
      <c r="FJ13" s="497">
        <f t="shared" si="53"/>
        <v>0</v>
      </c>
      <c r="FK13" s="498">
        <f t="shared" si="164"/>
        <v>0</v>
      </c>
      <c r="FL13" s="496"/>
      <c r="FM13" s="497">
        <f t="shared" si="54"/>
        <v>0</v>
      </c>
      <c r="FN13" s="498">
        <f t="shared" si="165"/>
        <v>0</v>
      </c>
      <c r="FO13" s="496"/>
      <c r="FP13" s="497">
        <f t="shared" si="55"/>
        <v>0</v>
      </c>
      <c r="FQ13" s="498">
        <f t="shared" si="166"/>
        <v>0</v>
      </c>
      <c r="FR13" s="496"/>
      <c r="FS13" s="497">
        <f t="shared" si="56"/>
        <v>0</v>
      </c>
      <c r="FT13" s="498">
        <f t="shared" si="167"/>
        <v>0</v>
      </c>
      <c r="FU13" s="496"/>
      <c r="FV13" s="497">
        <f t="shared" si="57"/>
        <v>0</v>
      </c>
      <c r="FW13" s="498">
        <f t="shared" si="168"/>
        <v>0</v>
      </c>
      <c r="FX13" s="496"/>
      <c r="FY13" s="497">
        <f t="shared" si="58"/>
        <v>0</v>
      </c>
      <c r="FZ13" s="498">
        <f t="shared" si="169"/>
        <v>0</v>
      </c>
      <c r="GA13" s="496"/>
      <c r="GB13" s="497">
        <f t="shared" si="59"/>
        <v>0</v>
      </c>
      <c r="GC13" s="498">
        <f t="shared" si="170"/>
        <v>0</v>
      </c>
      <c r="GD13" s="496"/>
      <c r="GE13" s="497">
        <f t="shared" si="60"/>
        <v>0</v>
      </c>
      <c r="GF13" s="498">
        <f t="shared" si="171"/>
        <v>0</v>
      </c>
      <c r="GG13" s="496"/>
      <c r="GH13" s="497">
        <f t="shared" si="61"/>
        <v>0</v>
      </c>
      <c r="GI13" s="498">
        <f t="shared" si="172"/>
        <v>0</v>
      </c>
      <c r="GJ13" s="496"/>
      <c r="GK13" s="497">
        <f t="shared" si="62"/>
        <v>0</v>
      </c>
      <c r="GL13" s="498">
        <f t="shared" si="173"/>
        <v>0</v>
      </c>
      <c r="GM13" s="496"/>
      <c r="GN13" s="497">
        <f t="shared" si="63"/>
        <v>0</v>
      </c>
      <c r="GO13" s="498">
        <f t="shared" si="174"/>
        <v>0</v>
      </c>
      <c r="GP13" s="496"/>
      <c r="GQ13" s="497">
        <f t="shared" si="64"/>
        <v>0</v>
      </c>
      <c r="GR13" s="498">
        <f t="shared" si="175"/>
        <v>0</v>
      </c>
      <c r="GS13" s="496"/>
      <c r="GT13" s="497">
        <f t="shared" si="65"/>
        <v>0</v>
      </c>
      <c r="GU13" s="498">
        <f t="shared" si="176"/>
        <v>0</v>
      </c>
      <c r="GV13" s="496"/>
      <c r="GW13" s="497">
        <f t="shared" si="66"/>
        <v>0</v>
      </c>
      <c r="GX13" s="498">
        <f t="shared" si="177"/>
        <v>0</v>
      </c>
      <c r="GY13" s="496"/>
      <c r="GZ13" s="497">
        <f t="shared" si="67"/>
        <v>0</v>
      </c>
      <c r="HA13" s="498">
        <f t="shared" si="178"/>
        <v>0</v>
      </c>
      <c r="HB13" s="496"/>
      <c r="HC13" s="497">
        <f t="shared" si="68"/>
        <v>0</v>
      </c>
      <c r="HD13" s="498">
        <f t="shared" si="179"/>
        <v>0</v>
      </c>
      <c r="HE13" s="496"/>
      <c r="HF13" s="497">
        <f t="shared" si="69"/>
        <v>0</v>
      </c>
      <c r="HG13" s="498">
        <f t="shared" si="180"/>
        <v>0</v>
      </c>
      <c r="HH13" s="496"/>
      <c r="HI13" s="497">
        <f t="shared" si="70"/>
        <v>0</v>
      </c>
      <c r="HJ13" s="498">
        <f t="shared" si="181"/>
        <v>0</v>
      </c>
      <c r="HK13" s="496"/>
      <c r="HL13" s="497">
        <f t="shared" si="71"/>
        <v>0</v>
      </c>
      <c r="HM13" s="498">
        <f t="shared" si="182"/>
        <v>0</v>
      </c>
      <c r="HN13" s="496"/>
      <c r="HO13" s="497">
        <f t="shared" si="72"/>
        <v>0</v>
      </c>
      <c r="HP13" s="498">
        <f t="shared" si="183"/>
        <v>0</v>
      </c>
      <c r="HQ13" s="496"/>
      <c r="HR13" s="497">
        <f t="shared" si="73"/>
        <v>0</v>
      </c>
      <c r="HS13" s="498">
        <f t="shared" si="184"/>
        <v>0</v>
      </c>
      <c r="HT13" s="496"/>
      <c r="HU13" s="497">
        <f t="shared" si="74"/>
        <v>0</v>
      </c>
      <c r="HV13" s="498">
        <f t="shared" si="185"/>
        <v>0</v>
      </c>
      <c r="HW13" s="496"/>
      <c r="HX13" s="497">
        <f t="shared" si="75"/>
        <v>0</v>
      </c>
      <c r="HY13" s="498">
        <f t="shared" si="186"/>
        <v>0</v>
      </c>
      <c r="HZ13" s="496"/>
      <c r="IA13" s="497">
        <f t="shared" si="76"/>
        <v>0</v>
      </c>
      <c r="IB13" s="498">
        <f t="shared" si="187"/>
        <v>0</v>
      </c>
      <c r="IC13" s="496"/>
      <c r="ID13" s="497">
        <f t="shared" si="77"/>
        <v>0</v>
      </c>
      <c r="IE13" s="498">
        <f t="shared" si="188"/>
        <v>0</v>
      </c>
      <c r="IF13" s="496"/>
      <c r="IG13" s="497">
        <f t="shared" si="78"/>
        <v>0</v>
      </c>
      <c r="IH13" s="498">
        <f t="shared" si="189"/>
        <v>0</v>
      </c>
      <c r="II13" s="496"/>
      <c r="IJ13" s="497">
        <f t="shared" si="79"/>
        <v>0</v>
      </c>
      <c r="IK13" s="498">
        <f t="shared" si="190"/>
        <v>0</v>
      </c>
      <c r="IL13" s="496"/>
      <c r="IM13" s="497">
        <f t="shared" si="80"/>
        <v>0</v>
      </c>
      <c r="IN13" s="498">
        <f t="shared" si="191"/>
        <v>0</v>
      </c>
      <c r="IO13" s="496"/>
      <c r="IP13" s="497">
        <f t="shared" si="81"/>
        <v>0</v>
      </c>
      <c r="IQ13" s="498">
        <f t="shared" si="192"/>
        <v>0</v>
      </c>
      <c r="IR13" s="496"/>
      <c r="IS13" s="497">
        <f t="shared" si="82"/>
        <v>0</v>
      </c>
      <c r="IT13" s="498">
        <f t="shared" si="193"/>
        <v>0</v>
      </c>
      <c r="IU13" s="496"/>
      <c r="IV13" s="497">
        <f t="shared" si="83"/>
        <v>0</v>
      </c>
      <c r="IW13" s="498">
        <f t="shared" si="194"/>
        <v>0</v>
      </c>
      <c r="IX13" s="496"/>
      <c r="IY13" s="497">
        <f t="shared" si="84"/>
        <v>0</v>
      </c>
      <c r="IZ13" s="498">
        <f t="shared" si="195"/>
        <v>0</v>
      </c>
      <c r="JA13" s="496"/>
      <c r="JB13" s="497">
        <f t="shared" si="85"/>
        <v>0</v>
      </c>
      <c r="JC13" s="498">
        <f t="shared" si="196"/>
        <v>0</v>
      </c>
      <c r="JD13" s="496"/>
      <c r="JE13" s="497">
        <f t="shared" si="86"/>
        <v>0</v>
      </c>
      <c r="JF13" s="498">
        <f t="shared" si="197"/>
        <v>0</v>
      </c>
      <c r="JG13" s="496"/>
      <c r="JH13" s="497">
        <f t="shared" si="87"/>
        <v>0</v>
      </c>
      <c r="JI13" s="498">
        <f t="shared" si="198"/>
        <v>0</v>
      </c>
      <c r="JJ13" s="496"/>
      <c r="JK13" s="498" t="str">
        <f t="shared" si="88"/>
        <v>0</v>
      </c>
      <c r="JL13" s="498" t="str">
        <f t="shared" si="89"/>
        <v>0</v>
      </c>
      <c r="JM13" s="496"/>
      <c r="JN13" s="498" t="str">
        <f t="shared" si="90"/>
        <v>0</v>
      </c>
      <c r="JO13" s="498" t="str">
        <f t="shared" si="91"/>
        <v>0</v>
      </c>
      <c r="JP13" s="496"/>
      <c r="JQ13" s="498" t="str">
        <f t="shared" si="92"/>
        <v>0</v>
      </c>
      <c r="JR13" s="498" t="str">
        <f t="shared" si="93"/>
        <v>0</v>
      </c>
      <c r="JS13" s="496"/>
      <c r="JT13" s="498" t="str">
        <f t="shared" si="94"/>
        <v>0</v>
      </c>
      <c r="JU13" s="498" t="str">
        <f t="shared" si="95"/>
        <v>0</v>
      </c>
      <c r="JV13" s="496"/>
      <c r="JW13" s="498" t="str">
        <f t="shared" si="96"/>
        <v>0</v>
      </c>
      <c r="JX13" s="498" t="str">
        <f t="shared" si="97"/>
        <v>0</v>
      </c>
      <c r="JY13" s="496"/>
      <c r="JZ13" s="498" t="str">
        <f t="shared" si="98"/>
        <v>0</v>
      </c>
      <c r="KA13" s="498" t="str">
        <f t="shared" si="99"/>
        <v>0</v>
      </c>
      <c r="KB13" s="496"/>
      <c r="KC13" s="498" t="str">
        <f t="shared" si="100"/>
        <v>0</v>
      </c>
      <c r="KD13" s="498" t="str">
        <f t="shared" si="101"/>
        <v>0</v>
      </c>
      <c r="KE13" s="496"/>
      <c r="KF13" s="498" t="str">
        <f t="shared" si="102"/>
        <v>0</v>
      </c>
      <c r="KG13" s="498" t="str">
        <f t="shared" si="103"/>
        <v>0</v>
      </c>
      <c r="KH13" s="496"/>
      <c r="KI13" s="498" t="str">
        <f t="shared" si="104"/>
        <v>0</v>
      </c>
      <c r="KJ13" s="498" t="str">
        <f t="shared" si="105"/>
        <v>0</v>
      </c>
      <c r="KK13" s="496"/>
      <c r="KL13" s="498" t="str">
        <f t="shared" si="106"/>
        <v>0</v>
      </c>
      <c r="KM13" s="498" t="str">
        <f t="shared" si="107"/>
        <v>0</v>
      </c>
      <c r="KN13" s="496"/>
      <c r="KO13" s="498" t="str">
        <f t="shared" si="108"/>
        <v>0</v>
      </c>
      <c r="KP13" s="498" t="str">
        <f t="shared" si="109"/>
        <v>0</v>
      </c>
      <c r="KQ13" s="496"/>
      <c r="KR13" s="498" t="str">
        <f t="shared" si="110"/>
        <v>0</v>
      </c>
      <c r="KS13" s="498" t="str">
        <f t="shared" si="111"/>
        <v>0</v>
      </c>
      <c r="KT13" s="498">
        <f t="shared" si="201"/>
        <v>0</v>
      </c>
      <c r="KU13" s="498">
        <f t="shared" si="202"/>
        <v>0</v>
      </c>
      <c r="KV13" s="262">
        <f t="shared" si="199"/>
        <v>184.585283740807</v>
      </c>
    </row>
    <row r="14" spans="1:308" ht="15" customHeight="1">
      <c r="A14" s="264">
        <f t="shared" si="200"/>
        <v>45996</v>
      </c>
      <c r="B14" s="265" t="str">
        <f>+Report1!B13</f>
        <v>Toilet</v>
      </c>
      <c r="C14" s="392" t="str">
        <f>+Report1!C13</f>
        <v>14/18/12,5</v>
      </c>
      <c r="D14" s="266">
        <f>+Report1!P13</f>
        <v>53.947000000000003</v>
      </c>
      <c r="E14" s="267">
        <f>+Report1!R13</f>
        <v>52.134</v>
      </c>
      <c r="F14" s="496"/>
      <c r="G14" s="497">
        <f t="shared" si="0"/>
        <v>0</v>
      </c>
      <c r="H14" s="498">
        <f t="shared" si="112"/>
        <v>0</v>
      </c>
      <c r="I14" s="496">
        <v>0</v>
      </c>
      <c r="J14" s="497">
        <f t="shared" si="1"/>
        <v>0</v>
      </c>
      <c r="K14" s="498">
        <f t="shared" si="113"/>
        <v>0</v>
      </c>
      <c r="L14" s="496"/>
      <c r="M14" s="497">
        <f t="shared" si="2"/>
        <v>0</v>
      </c>
      <c r="N14" s="498">
        <f t="shared" si="114"/>
        <v>0</v>
      </c>
      <c r="O14" s="496">
        <v>9</v>
      </c>
      <c r="P14" s="497">
        <f t="shared" si="3"/>
        <v>0.17263206352859939</v>
      </c>
      <c r="Q14" s="498">
        <f t="shared" si="115"/>
        <v>0</v>
      </c>
      <c r="R14" s="496">
        <v>10.249999999999972</v>
      </c>
      <c r="S14" s="497">
        <f t="shared" si="4"/>
        <v>0.19660873901868209</v>
      </c>
      <c r="T14" s="498">
        <f t="shared" si="116"/>
        <v>0</v>
      </c>
      <c r="U14" s="496">
        <v>3.125</v>
      </c>
      <c r="V14" s="497">
        <f t="shared" si="5"/>
        <v>5.9941688725208116E-2</v>
      </c>
      <c r="W14" s="498">
        <f t="shared" si="117"/>
        <v>0</v>
      </c>
      <c r="X14" s="496"/>
      <c r="Y14" s="497">
        <f t="shared" si="6"/>
        <v>0</v>
      </c>
      <c r="Z14" s="498">
        <f t="shared" si="118"/>
        <v>0</v>
      </c>
      <c r="AA14" s="496"/>
      <c r="AB14" s="497">
        <f t="shared" si="7"/>
        <v>0</v>
      </c>
      <c r="AC14" s="498">
        <f t="shared" si="119"/>
        <v>0</v>
      </c>
      <c r="AD14" s="496"/>
      <c r="AE14" s="497">
        <f t="shared" si="8"/>
        <v>0</v>
      </c>
      <c r="AF14" s="498">
        <f t="shared" si="120"/>
        <v>0</v>
      </c>
      <c r="AG14" s="496"/>
      <c r="AH14" s="497">
        <f t="shared" si="9"/>
        <v>0</v>
      </c>
      <c r="AI14" s="498">
        <f t="shared" si="121"/>
        <v>0</v>
      </c>
      <c r="AJ14" s="496"/>
      <c r="AK14" s="497">
        <f t="shared" si="10"/>
        <v>0</v>
      </c>
      <c r="AL14" s="498">
        <f t="shared" si="122"/>
        <v>0</v>
      </c>
      <c r="AM14" s="496"/>
      <c r="AN14" s="497">
        <f t="shared" si="11"/>
        <v>0</v>
      </c>
      <c r="AO14" s="498">
        <f t="shared" si="123"/>
        <v>0</v>
      </c>
      <c r="AP14" s="496">
        <v>95.192307692307566</v>
      </c>
      <c r="AQ14" s="497">
        <f t="shared" si="12"/>
        <v>1.825916056552491</v>
      </c>
      <c r="AR14" s="498">
        <f t="shared" si="124"/>
        <v>0</v>
      </c>
      <c r="AS14" s="496"/>
      <c r="AT14" s="497">
        <f t="shared" si="13"/>
        <v>0</v>
      </c>
      <c r="AU14" s="498">
        <f t="shared" si="125"/>
        <v>0</v>
      </c>
      <c r="AV14" s="496">
        <v>13.875</v>
      </c>
      <c r="AW14" s="497">
        <f t="shared" si="14"/>
        <v>0.26614109793992402</v>
      </c>
      <c r="AX14" s="498">
        <f t="shared" si="126"/>
        <v>0</v>
      </c>
      <c r="AY14" s="496">
        <v>60.666666666666629</v>
      </c>
      <c r="AZ14" s="497">
        <f t="shared" si="15"/>
        <v>1.163667983785373</v>
      </c>
      <c r="BA14" s="498">
        <f t="shared" si="127"/>
        <v>0</v>
      </c>
      <c r="BB14" s="496"/>
      <c r="BC14" s="497">
        <f t="shared" si="16"/>
        <v>0</v>
      </c>
      <c r="BD14" s="498">
        <f t="shared" si="128"/>
        <v>0</v>
      </c>
      <c r="BE14" s="496"/>
      <c r="BF14" s="497">
        <f t="shared" si="17"/>
        <v>0</v>
      </c>
      <c r="BG14" s="498">
        <f t="shared" si="129"/>
        <v>0</v>
      </c>
      <c r="BH14" s="496"/>
      <c r="BI14" s="497">
        <f t="shared" si="18"/>
        <v>0</v>
      </c>
      <c r="BJ14" s="498">
        <f t="shared" si="130"/>
        <v>0</v>
      </c>
      <c r="BK14" s="496"/>
      <c r="BL14" s="497">
        <f t="shared" si="19"/>
        <v>0</v>
      </c>
      <c r="BM14" s="498">
        <f t="shared" si="131"/>
        <v>0</v>
      </c>
      <c r="BN14" s="496">
        <v>25.308641975308632</v>
      </c>
      <c r="BO14" s="497">
        <f t="shared" si="20"/>
        <v>0.48545367658933963</v>
      </c>
      <c r="BP14" s="498">
        <f t="shared" si="132"/>
        <v>0</v>
      </c>
      <c r="BQ14" s="496">
        <v>0</v>
      </c>
      <c r="BR14" s="497">
        <f t="shared" si="21"/>
        <v>0</v>
      </c>
      <c r="BS14" s="498">
        <f t="shared" si="133"/>
        <v>0</v>
      </c>
      <c r="BT14" s="496"/>
      <c r="BU14" s="497">
        <f t="shared" si="22"/>
        <v>0</v>
      </c>
      <c r="BV14" s="498">
        <f t="shared" si="134"/>
        <v>0</v>
      </c>
      <c r="BW14" s="496"/>
      <c r="BX14" s="497">
        <f t="shared" si="23"/>
        <v>0</v>
      </c>
      <c r="BY14" s="498">
        <f t="shared" si="135"/>
        <v>0</v>
      </c>
      <c r="BZ14" s="496"/>
      <c r="CA14" s="497">
        <f t="shared" si="24"/>
        <v>0</v>
      </c>
      <c r="CB14" s="498">
        <f t="shared" si="136"/>
        <v>0</v>
      </c>
      <c r="CC14" s="496">
        <v>0</v>
      </c>
      <c r="CD14" s="497">
        <f t="shared" si="25"/>
        <v>0</v>
      </c>
      <c r="CE14" s="498">
        <f t="shared" si="137"/>
        <v>0</v>
      </c>
      <c r="CF14" s="496">
        <v>9</v>
      </c>
      <c r="CG14" s="497">
        <f t="shared" si="26"/>
        <v>0.17263206352859939</v>
      </c>
      <c r="CH14" s="498">
        <f t="shared" si="138"/>
        <v>0</v>
      </c>
      <c r="CI14" s="496"/>
      <c r="CJ14" s="497">
        <f t="shared" si="27"/>
        <v>0</v>
      </c>
      <c r="CK14" s="498">
        <f t="shared" si="139"/>
        <v>0</v>
      </c>
      <c r="CL14" s="496"/>
      <c r="CM14" s="497">
        <f t="shared" si="28"/>
        <v>0</v>
      </c>
      <c r="CN14" s="498">
        <f t="shared" si="140"/>
        <v>0</v>
      </c>
      <c r="CO14" s="496"/>
      <c r="CP14" s="497">
        <f t="shared" si="29"/>
        <v>0</v>
      </c>
      <c r="CQ14" s="498">
        <f t="shared" si="141"/>
        <v>0</v>
      </c>
      <c r="CR14" s="496"/>
      <c r="CS14" s="497">
        <f t="shared" si="30"/>
        <v>0</v>
      </c>
      <c r="CT14" s="498">
        <f t="shared" si="142"/>
        <v>0</v>
      </c>
      <c r="CU14" s="496"/>
      <c r="CV14" s="497">
        <f t="shared" si="31"/>
        <v>0</v>
      </c>
      <c r="CW14" s="498">
        <f t="shared" si="143"/>
        <v>0</v>
      </c>
      <c r="CX14" s="496"/>
      <c r="CY14" s="497">
        <f t="shared" si="32"/>
        <v>0</v>
      </c>
      <c r="CZ14" s="498">
        <f t="shared" si="144"/>
        <v>0</v>
      </c>
      <c r="DA14" s="496"/>
      <c r="DB14" s="497">
        <f t="shared" si="33"/>
        <v>0</v>
      </c>
      <c r="DC14" s="498">
        <f t="shared" si="145"/>
        <v>0</v>
      </c>
      <c r="DD14" s="496"/>
      <c r="DE14" s="497">
        <f t="shared" si="34"/>
        <v>0</v>
      </c>
      <c r="DF14" s="498">
        <f t="shared" si="146"/>
        <v>0</v>
      </c>
      <c r="DG14" s="496"/>
      <c r="DH14" s="497">
        <f t="shared" si="35"/>
        <v>0</v>
      </c>
      <c r="DI14" s="498">
        <v>0</v>
      </c>
      <c r="DJ14" s="496"/>
      <c r="DK14" s="497">
        <f t="shared" si="36"/>
        <v>0</v>
      </c>
      <c r="DL14" s="498">
        <f t="shared" si="147"/>
        <v>0</v>
      </c>
      <c r="DM14" s="496"/>
      <c r="DN14" s="497">
        <f t="shared" si="37"/>
        <v>0</v>
      </c>
      <c r="DO14" s="498">
        <f t="shared" si="148"/>
        <v>0</v>
      </c>
      <c r="DP14" s="496"/>
      <c r="DQ14" s="497">
        <f t="shared" si="38"/>
        <v>0</v>
      </c>
      <c r="DR14" s="498">
        <f t="shared" si="149"/>
        <v>0</v>
      </c>
      <c r="DS14" s="496"/>
      <c r="DT14" s="497">
        <f t="shared" si="39"/>
        <v>0</v>
      </c>
      <c r="DU14" s="498">
        <f t="shared" si="150"/>
        <v>0</v>
      </c>
      <c r="DV14" s="496"/>
      <c r="DW14" s="497">
        <f t="shared" si="40"/>
        <v>0</v>
      </c>
      <c r="DX14" s="498">
        <f t="shared" si="151"/>
        <v>0</v>
      </c>
      <c r="DY14" s="496">
        <v>0</v>
      </c>
      <c r="DZ14" s="497">
        <f t="shared" si="41"/>
        <v>0</v>
      </c>
      <c r="EA14" s="498">
        <f t="shared" si="152"/>
        <v>0</v>
      </c>
      <c r="EB14" s="496">
        <v>14.534883720930281</v>
      </c>
      <c r="EC14" s="497">
        <f t="shared" si="42"/>
        <v>0.27879855221027128</v>
      </c>
      <c r="ED14" s="498">
        <f t="shared" si="153"/>
        <v>0</v>
      </c>
      <c r="EE14" s="496">
        <v>2</v>
      </c>
      <c r="EF14" s="497">
        <f t="shared" si="43"/>
        <v>3.8362680784133192E-2</v>
      </c>
      <c r="EG14" s="498">
        <f t="shared" si="154"/>
        <v>0</v>
      </c>
      <c r="EH14" s="496"/>
      <c r="EI14" s="497">
        <f t="shared" si="44"/>
        <v>0</v>
      </c>
      <c r="EJ14" s="498">
        <f t="shared" si="155"/>
        <v>0</v>
      </c>
      <c r="EK14" s="496"/>
      <c r="EL14" s="497">
        <f t="shared" si="45"/>
        <v>0</v>
      </c>
      <c r="EM14" s="498">
        <f t="shared" si="156"/>
        <v>0</v>
      </c>
      <c r="EN14" s="496"/>
      <c r="EO14" s="497">
        <f t="shared" si="46"/>
        <v>0</v>
      </c>
      <c r="EP14" s="498">
        <f t="shared" si="157"/>
        <v>0</v>
      </c>
      <c r="EQ14" s="496"/>
      <c r="ER14" s="497">
        <f t="shared" si="47"/>
        <v>0</v>
      </c>
      <c r="ES14" s="498">
        <f t="shared" si="158"/>
        <v>0</v>
      </c>
      <c r="ET14" s="496"/>
      <c r="EU14" s="497">
        <f t="shared" si="48"/>
        <v>0</v>
      </c>
      <c r="EV14" s="498">
        <f t="shared" si="159"/>
        <v>0</v>
      </c>
      <c r="EW14" s="496"/>
      <c r="EX14" s="497">
        <f t="shared" si="49"/>
        <v>0</v>
      </c>
      <c r="EY14" s="498">
        <f t="shared" si="160"/>
        <v>0</v>
      </c>
      <c r="EZ14" s="496"/>
      <c r="FA14" s="497">
        <f t="shared" si="50"/>
        <v>0</v>
      </c>
      <c r="FB14" s="498">
        <f t="shared" si="161"/>
        <v>0</v>
      </c>
      <c r="FC14" s="496"/>
      <c r="FD14" s="497">
        <f t="shared" si="51"/>
        <v>0</v>
      </c>
      <c r="FE14" s="498">
        <f t="shared" si="162"/>
        <v>0</v>
      </c>
      <c r="FF14" s="496"/>
      <c r="FG14" s="497">
        <f t="shared" si="52"/>
        <v>0</v>
      </c>
      <c r="FH14" s="498">
        <f t="shared" si="163"/>
        <v>0</v>
      </c>
      <c r="FI14" s="496"/>
      <c r="FJ14" s="497">
        <f t="shared" si="53"/>
        <v>0</v>
      </c>
      <c r="FK14" s="498">
        <f t="shared" si="164"/>
        <v>0</v>
      </c>
      <c r="FL14" s="496"/>
      <c r="FM14" s="497">
        <f t="shared" si="54"/>
        <v>0</v>
      </c>
      <c r="FN14" s="498">
        <f t="shared" si="165"/>
        <v>0</v>
      </c>
      <c r="FO14" s="496"/>
      <c r="FP14" s="497">
        <f t="shared" si="55"/>
        <v>0</v>
      </c>
      <c r="FQ14" s="498">
        <f t="shared" si="166"/>
        <v>0</v>
      </c>
      <c r="FR14" s="496"/>
      <c r="FS14" s="497">
        <f t="shared" si="56"/>
        <v>0</v>
      </c>
      <c r="FT14" s="498">
        <f t="shared" si="167"/>
        <v>0</v>
      </c>
      <c r="FU14" s="496"/>
      <c r="FV14" s="497">
        <f t="shared" si="57"/>
        <v>0</v>
      </c>
      <c r="FW14" s="498">
        <f t="shared" si="168"/>
        <v>0</v>
      </c>
      <c r="FX14" s="496"/>
      <c r="FY14" s="497">
        <f t="shared" si="58"/>
        <v>0</v>
      </c>
      <c r="FZ14" s="498">
        <f t="shared" si="169"/>
        <v>0</v>
      </c>
      <c r="GA14" s="496"/>
      <c r="GB14" s="497">
        <f t="shared" si="59"/>
        <v>0</v>
      </c>
      <c r="GC14" s="498">
        <f t="shared" si="170"/>
        <v>0</v>
      </c>
      <c r="GD14" s="496"/>
      <c r="GE14" s="497">
        <f t="shared" si="60"/>
        <v>0</v>
      </c>
      <c r="GF14" s="498">
        <f t="shared" si="171"/>
        <v>0</v>
      </c>
      <c r="GG14" s="496"/>
      <c r="GH14" s="497">
        <f t="shared" si="61"/>
        <v>0</v>
      </c>
      <c r="GI14" s="498">
        <f t="shared" si="172"/>
        <v>0</v>
      </c>
      <c r="GJ14" s="496"/>
      <c r="GK14" s="497">
        <f t="shared" si="62"/>
        <v>0</v>
      </c>
      <c r="GL14" s="498">
        <f t="shared" si="173"/>
        <v>0</v>
      </c>
      <c r="GM14" s="496"/>
      <c r="GN14" s="497">
        <f t="shared" si="63"/>
        <v>0</v>
      </c>
      <c r="GO14" s="498">
        <f t="shared" si="174"/>
        <v>0</v>
      </c>
      <c r="GP14" s="496"/>
      <c r="GQ14" s="497">
        <f t="shared" si="64"/>
        <v>0</v>
      </c>
      <c r="GR14" s="498">
        <f t="shared" si="175"/>
        <v>0</v>
      </c>
      <c r="GS14" s="496"/>
      <c r="GT14" s="497">
        <f t="shared" si="65"/>
        <v>0</v>
      </c>
      <c r="GU14" s="498">
        <f t="shared" si="176"/>
        <v>0</v>
      </c>
      <c r="GV14" s="496"/>
      <c r="GW14" s="497">
        <f t="shared" si="66"/>
        <v>0</v>
      </c>
      <c r="GX14" s="498">
        <f t="shared" si="177"/>
        <v>0</v>
      </c>
      <c r="GY14" s="496"/>
      <c r="GZ14" s="497">
        <f t="shared" si="67"/>
        <v>0</v>
      </c>
      <c r="HA14" s="498">
        <f t="shared" si="178"/>
        <v>0</v>
      </c>
      <c r="HB14" s="496"/>
      <c r="HC14" s="497">
        <f t="shared" si="68"/>
        <v>0</v>
      </c>
      <c r="HD14" s="498">
        <f t="shared" si="179"/>
        <v>0</v>
      </c>
      <c r="HE14" s="496"/>
      <c r="HF14" s="497">
        <f t="shared" si="69"/>
        <v>0</v>
      </c>
      <c r="HG14" s="498">
        <f t="shared" si="180"/>
        <v>0</v>
      </c>
      <c r="HH14" s="496"/>
      <c r="HI14" s="497">
        <f t="shared" si="70"/>
        <v>0</v>
      </c>
      <c r="HJ14" s="498">
        <f t="shared" si="181"/>
        <v>0</v>
      </c>
      <c r="HK14" s="496"/>
      <c r="HL14" s="497">
        <f t="shared" si="71"/>
        <v>0</v>
      </c>
      <c r="HM14" s="498">
        <f t="shared" si="182"/>
        <v>0</v>
      </c>
      <c r="HN14" s="496"/>
      <c r="HO14" s="497">
        <f t="shared" si="72"/>
        <v>0</v>
      </c>
      <c r="HP14" s="498">
        <f t="shared" si="183"/>
        <v>0</v>
      </c>
      <c r="HQ14" s="496"/>
      <c r="HR14" s="497">
        <f t="shared" si="73"/>
        <v>0</v>
      </c>
      <c r="HS14" s="498">
        <f t="shared" si="184"/>
        <v>0</v>
      </c>
      <c r="HT14" s="496"/>
      <c r="HU14" s="497">
        <f t="shared" si="74"/>
        <v>0</v>
      </c>
      <c r="HV14" s="498">
        <f t="shared" si="185"/>
        <v>0</v>
      </c>
      <c r="HW14" s="496"/>
      <c r="HX14" s="497">
        <f t="shared" si="75"/>
        <v>0</v>
      </c>
      <c r="HY14" s="498">
        <f t="shared" si="186"/>
        <v>0</v>
      </c>
      <c r="HZ14" s="496"/>
      <c r="IA14" s="497">
        <f t="shared" si="76"/>
        <v>0</v>
      </c>
      <c r="IB14" s="498">
        <f t="shared" si="187"/>
        <v>0</v>
      </c>
      <c r="IC14" s="496"/>
      <c r="ID14" s="497">
        <f t="shared" si="77"/>
        <v>0</v>
      </c>
      <c r="IE14" s="498">
        <f t="shared" si="188"/>
        <v>0</v>
      </c>
      <c r="IF14" s="496"/>
      <c r="IG14" s="497">
        <f t="shared" si="78"/>
        <v>0</v>
      </c>
      <c r="IH14" s="498">
        <f t="shared" si="189"/>
        <v>0</v>
      </c>
      <c r="II14" s="496"/>
      <c r="IJ14" s="497">
        <f t="shared" si="79"/>
        <v>0</v>
      </c>
      <c r="IK14" s="498">
        <f t="shared" si="190"/>
        <v>0</v>
      </c>
      <c r="IL14" s="496"/>
      <c r="IM14" s="497">
        <f t="shared" si="80"/>
        <v>0</v>
      </c>
      <c r="IN14" s="498">
        <f t="shared" si="191"/>
        <v>0</v>
      </c>
      <c r="IO14" s="496"/>
      <c r="IP14" s="497">
        <f t="shared" si="81"/>
        <v>0</v>
      </c>
      <c r="IQ14" s="498">
        <f t="shared" si="192"/>
        <v>0</v>
      </c>
      <c r="IR14" s="496"/>
      <c r="IS14" s="497">
        <f t="shared" si="82"/>
        <v>0</v>
      </c>
      <c r="IT14" s="498">
        <f t="shared" si="193"/>
        <v>0</v>
      </c>
      <c r="IU14" s="496"/>
      <c r="IV14" s="497">
        <f t="shared" si="83"/>
        <v>0</v>
      </c>
      <c r="IW14" s="498">
        <f t="shared" si="194"/>
        <v>0</v>
      </c>
      <c r="IX14" s="496"/>
      <c r="IY14" s="497">
        <f t="shared" si="84"/>
        <v>0</v>
      </c>
      <c r="IZ14" s="498">
        <f t="shared" si="195"/>
        <v>0</v>
      </c>
      <c r="JA14" s="496"/>
      <c r="JB14" s="497">
        <f t="shared" si="85"/>
        <v>0</v>
      </c>
      <c r="JC14" s="498">
        <f t="shared" si="196"/>
        <v>0</v>
      </c>
      <c r="JD14" s="496"/>
      <c r="JE14" s="497">
        <f t="shared" si="86"/>
        <v>0</v>
      </c>
      <c r="JF14" s="498">
        <f t="shared" si="197"/>
        <v>0</v>
      </c>
      <c r="JG14" s="496"/>
      <c r="JH14" s="497">
        <f t="shared" si="87"/>
        <v>0</v>
      </c>
      <c r="JI14" s="498">
        <f t="shared" si="198"/>
        <v>0</v>
      </c>
      <c r="JJ14" s="496"/>
      <c r="JK14" s="498" t="str">
        <f t="shared" si="88"/>
        <v>0</v>
      </c>
      <c r="JL14" s="498" t="str">
        <f t="shared" si="89"/>
        <v>0</v>
      </c>
      <c r="JM14" s="496"/>
      <c r="JN14" s="498" t="str">
        <f t="shared" si="90"/>
        <v>0</v>
      </c>
      <c r="JO14" s="498" t="str">
        <f t="shared" si="91"/>
        <v>0</v>
      </c>
      <c r="JP14" s="496"/>
      <c r="JQ14" s="498" t="str">
        <f t="shared" si="92"/>
        <v>0</v>
      </c>
      <c r="JR14" s="498" t="str">
        <f t="shared" si="93"/>
        <v>0</v>
      </c>
      <c r="JS14" s="496"/>
      <c r="JT14" s="498" t="str">
        <f t="shared" si="94"/>
        <v>0</v>
      </c>
      <c r="JU14" s="498" t="str">
        <f t="shared" si="95"/>
        <v>0</v>
      </c>
      <c r="JV14" s="496"/>
      <c r="JW14" s="498" t="str">
        <f t="shared" si="96"/>
        <v>0</v>
      </c>
      <c r="JX14" s="498" t="str">
        <f t="shared" si="97"/>
        <v>0</v>
      </c>
      <c r="JY14" s="496"/>
      <c r="JZ14" s="498" t="str">
        <f t="shared" si="98"/>
        <v>0</v>
      </c>
      <c r="KA14" s="498" t="str">
        <f t="shared" si="99"/>
        <v>0</v>
      </c>
      <c r="KB14" s="496"/>
      <c r="KC14" s="498" t="str">
        <f t="shared" si="100"/>
        <v>0</v>
      </c>
      <c r="KD14" s="498" t="str">
        <f t="shared" si="101"/>
        <v>0</v>
      </c>
      <c r="KE14" s="496"/>
      <c r="KF14" s="498" t="str">
        <f t="shared" si="102"/>
        <v>0</v>
      </c>
      <c r="KG14" s="498" t="str">
        <f t="shared" si="103"/>
        <v>0</v>
      </c>
      <c r="KH14" s="496"/>
      <c r="KI14" s="498" t="str">
        <f t="shared" si="104"/>
        <v>0</v>
      </c>
      <c r="KJ14" s="498" t="str">
        <f t="shared" si="105"/>
        <v>0</v>
      </c>
      <c r="KK14" s="496"/>
      <c r="KL14" s="498" t="str">
        <f t="shared" si="106"/>
        <v>0</v>
      </c>
      <c r="KM14" s="498" t="str">
        <f t="shared" si="107"/>
        <v>0</v>
      </c>
      <c r="KN14" s="496"/>
      <c r="KO14" s="498" t="str">
        <f t="shared" si="108"/>
        <v>0</v>
      </c>
      <c r="KP14" s="498" t="str">
        <f t="shared" si="109"/>
        <v>0</v>
      </c>
      <c r="KQ14" s="496"/>
      <c r="KR14" s="498" t="str">
        <f t="shared" si="110"/>
        <v>0</v>
      </c>
      <c r="KS14" s="498" t="str">
        <f t="shared" si="111"/>
        <v>0</v>
      </c>
      <c r="KT14" s="498">
        <f t="shared" si="201"/>
        <v>0</v>
      </c>
      <c r="KU14" s="498">
        <f t="shared" si="202"/>
        <v>0</v>
      </c>
      <c r="KV14" s="262">
        <f t="shared" si="199"/>
        <v>242.95250005521308</v>
      </c>
    </row>
    <row r="15" spans="1:308" ht="15" customHeight="1">
      <c r="A15" s="264">
        <f t="shared" si="200"/>
        <v>45997</v>
      </c>
      <c r="B15" s="265" t="str">
        <f>+Report1!B14</f>
        <v>Toilet/Facial</v>
      </c>
      <c r="C15" s="392" t="str">
        <f>+Report1!C14</f>
        <v>12,5/13/12</v>
      </c>
      <c r="D15" s="266">
        <f>+Report1!P14</f>
        <v>48.966000000000001</v>
      </c>
      <c r="E15" s="267">
        <f>+Report1!R14</f>
        <v>46.978999999999999</v>
      </c>
      <c r="F15" s="496"/>
      <c r="G15" s="497">
        <f t="shared" si="0"/>
        <v>0</v>
      </c>
      <c r="H15" s="498">
        <f t="shared" si="112"/>
        <v>0</v>
      </c>
      <c r="I15" s="496">
        <v>401.16279069767438</v>
      </c>
      <c r="J15" s="497">
        <f t="shared" si="1"/>
        <v>8.5391939099954097</v>
      </c>
      <c r="K15" s="498">
        <f t="shared" si="113"/>
        <v>0</v>
      </c>
      <c r="L15" s="496"/>
      <c r="M15" s="497">
        <f t="shared" si="2"/>
        <v>0</v>
      </c>
      <c r="N15" s="498">
        <f t="shared" si="114"/>
        <v>0</v>
      </c>
      <c r="O15" s="496">
        <v>10.5</v>
      </c>
      <c r="P15" s="497">
        <f t="shared" si="3"/>
        <v>0.22350411886161903</v>
      </c>
      <c r="Q15" s="498">
        <f t="shared" si="115"/>
        <v>0</v>
      </c>
      <c r="R15" s="496">
        <v>8.96875</v>
      </c>
      <c r="S15" s="497">
        <f t="shared" si="4"/>
        <v>0.19090976819429958</v>
      </c>
      <c r="T15" s="498">
        <f t="shared" si="116"/>
        <v>0</v>
      </c>
      <c r="U15" s="496">
        <v>2.34375</v>
      </c>
      <c r="V15" s="497">
        <f t="shared" si="5"/>
        <v>4.9889312245897106E-2</v>
      </c>
      <c r="W15" s="498">
        <f t="shared" si="117"/>
        <v>0</v>
      </c>
      <c r="X15" s="496"/>
      <c r="Y15" s="497">
        <f t="shared" si="6"/>
        <v>0</v>
      </c>
      <c r="Z15" s="498">
        <f t="shared" si="118"/>
        <v>0</v>
      </c>
      <c r="AA15" s="496"/>
      <c r="AB15" s="497">
        <f t="shared" si="7"/>
        <v>0</v>
      </c>
      <c r="AC15" s="498">
        <f t="shared" si="119"/>
        <v>0</v>
      </c>
      <c r="AD15" s="496"/>
      <c r="AE15" s="497">
        <f t="shared" si="8"/>
        <v>0</v>
      </c>
      <c r="AF15" s="498">
        <f t="shared" si="120"/>
        <v>0</v>
      </c>
      <c r="AG15" s="496"/>
      <c r="AH15" s="497">
        <f t="shared" si="9"/>
        <v>0</v>
      </c>
      <c r="AI15" s="498">
        <f t="shared" si="121"/>
        <v>0</v>
      </c>
      <c r="AJ15" s="496"/>
      <c r="AK15" s="497">
        <f t="shared" si="10"/>
        <v>0</v>
      </c>
      <c r="AL15" s="498">
        <f t="shared" si="122"/>
        <v>0</v>
      </c>
      <c r="AM15" s="496"/>
      <c r="AN15" s="497">
        <f t="shared" si="11"/>
        <v>0</v>
      </c>
      <c r="AO15" s="498">
        <f t="shared" si="123"/>
        <v>0</v>
      </c>
      <c r="AP15" s="496">
        <v>64.903846153846189</v>
      </c>
      <c r="AQ15" s="497">
        <f t="shared" si="12"/>
        <v>1.3815501852709975</v>
      </c>
      <c r="AR15" s="498">
        <f t="shared" si="124"/>
        <v>0</v>
      </c>
      <c r="AS15" s="496"/>
      <c r="AT15" s="497">
        <f t="shared" si="13"/>
        <v>0</v>
      </c>
      <c r="AU15" s="498">
        <f t="shared" si="125"/>
        <v>0</v>
      </c>
      <c r="AV15" s="496">
        <v>16.650000000000006</v>
      </c>
      <c r="AW15" s="497">
        <f t="shared" si="14"/>
        <v>0.35441367419485315</v>
      </c>
      <c r="AX15" s="498">
        <f t="shared" si="126"/>
        <v>0</v>
      </c>
      <c r="AY15" s="496">
        <v>75.833333333333343</v>
      </c>
      <c r="AZ15" s="497">
        <f t="shared" si="15"/>
        <v>1.614196414000582</v>
      </c>
      <c r="BA15" s="498">
        <f t="shared" si="127"/>
        <v>0</v>
      </c>
      <c r="BB15" s="496"/>
      <c r="BC15" s="497">
        <f t="shared" si="16"/>
        <v>0</v>
      </c>
      <c r="BD15" s="498">
        <f t="shared" si="128"/>
        <v>0</v>
      </c>
      <c r="BE15" s="496"/>
      <c r="BF15" s="497">
        <f t="shared" si="17"/>
        <v>0</v>
      </c>
      <c r="BG15" s="498">
        <f t="shared" si="129"/>
        <v>0</v>
      </c>
      <c r="BH15" s="496"/>
      <c r="BI15" s="497">
        <f t="shared" si="18"/>
        <v>0</v>
      </c>
      <c r="BJ15" s="498">
        <f t="shared" si="130"/>
        <v>0</v>
      </c>
      <c r="BK15" s="496"/>
      <c r="BL15" s="497">
        <f t="shared" si="19"/>
        <v>0</v>
      </c>
      <c r="BM15" s="498">
        <f t="shared" si="131"/>
        <v>0</v>
      </c>
      <c r="BN15" s="496">
        <v>25.308641975308646</v>
      </c>
      <c r="BO15" s="497">
        <f t="shared" si="20"/>
        <v>0.53872244993100415</v>
      </c>
      <c r="BP15" s="498">
        <f t="shared" si="132"/>
        <v>0</v>
      </c>
      <c r="BQ15" s="496">
        <v>0</v>
      </c>
      <c r="BR15" s="497">
        <f t="shared" si="21"/>
        <v>0</v>
      </c>
      <c r="BS15" s="498">
        <f t="shared" si="133"/>
        <v>0</v>
      </c>
      <c r="BT15" s="496"/>
      <c r="BU15" s="497">
        <f t="shared" si="22"/>
        <v>0</v>
      </c>
      <c r="BV15" s="498">
        <f t="shared" si="134"/>
        <v>0</v>
      </c>
      <c r="BW15" s="496"/>
      <c r="BX15" s="497">
        <f t="shared" si="23"/>
        <v>0</v>
      </c>
      <c r="BY15" s="498">
        <f t="shared" si="135"/>
        <v>0</v>
      </c>
      <c r="BZ15" s="496"/>
      <c r="CA15" s="497">
        <f t="shared" si="24"/>
        <v>0</v>
      </c>
      <c r="CB15" s="498">
        <f t="shared" si="136"/>
        <v>0</v>
      </c>
      <c r="CC15" s="496">
        <v>0</v>
      </c>
      <c r="CD15" s="497">
        <f t="shared" si="25"/>
        <v>0</v>
      </c>
      <c r="CE15" s="498">
        <f t="shared" si="137"/>
        <v>0</v>
      </c>
      <c r="CF15" s="496">
        <v>8</v>
      </c>
      <c r="CG15" s="497">
        <f t="shared" si="26"/>
        <v>0.17028885246599545</v>
      </c>
      <c r="CH15" s="498">
        <f t="shared" si="138"/>
        <v>0</v>
      </c>
      <c r="CI15" s="496"/>
      <c r="CJ15" s="497">
        <f t="shared" si="27"/>
        <v>0</v>
      </c>
      <c r="CK15" s="498">
        <f t="shared" si="139"/>
        <v>0</v>
      </c>
      <c r="CL15" s="496"/>
      <c r="CM15" s="497">
        <f t="shared" si="28"/>
        <v>0</v>
      </c>
      <c r="CN15" s="498">
        <f t="shared" si="140"/>
        <v>0</v>
      </c>
      <c r="CO15" s="496"/>
      <c r="CP15" s="497">
        <f t="shared" si="29"/>
        <v>0</v>
      </c>
      <c r="CQ15" s="498">
        <f t="shared" si="141"/>
        <v>0</v>
      </c>
      <c r="CR15" s="496"/>
      <c r="CS15" s="497">
        <f t="shared" si="30"/>
        <v>0</v>
      </c>
      <c r="CT15" s="498">
        <f t="shared" si="142"/>
        <v>0</v>
      </c>
      <c r="CU15" s="496"/>
      <c r="CV15" s="497">
        <f t="shared" si="31"/>
        <v>0</v>
      </c>
      <c r="CW15" s="498">
        <f t="shared" si="143"/>
        <v>0</v>
      </c>
      <c r="CX15" s="496"/>
      <c r="CY15" s="497">
        <f t="shared" si="32"/>
        <v>0</v>
      </c>
      <c r="CZ15" s="498">
        <f t="shared" si="144"/>
        <v>0</v>
      </c>
      <c r="DA15" s="496"/>
      <c r="DB15" s="497">
        <f t="shared" si="33"/>
        <v>0</v>
      </c>
      <c r="DC15" s="498">
        <f t="shared" si="145"/>
        <v>0</v>
      </c>
      <c r="DD15" s="496"/>
      <c r="DE15" s="497">
        <f t="shared" si="34"/>
        <v>0</v>
      </c>
      <c r="DF15" s="498">
        <f t="shared" si="146"/>
        <v>0</v>
      </c>
      <c r="DG15" s="496"/>
      <c r="DH15" s="497">
        <f t="shared" si="35"/>
        <v>0</v>
      </c>
      <c r="DI15" s="498">
        <f t="shared" ref="DI15:DI40" si="203">+DG15*$H$9</f>
        <v>0</v>
      </c>
      <c r="DJ15" s="496"/>
      <c r="DK15" s="497">
        <f t="shared" si="36"/>
        <v>0</v>
      </c>
      <c r="DL15" s="498">
        <f t="shared" si="147"/>
        <v>0</v>
      </c>
      <c r="DM15" s="496"/>
      <c r="DN15" s="497">
        <f t="shared" si="37"/>
        <v>0</v>
      </c>
      <c r="DO15" s="498">
        <f t="shared" si="148"/>
        <v>0</v>
      </c>
      <c r="DP15" s="496"/>
      <c r="DQ15" s="497">
        <f t="shared" si="38"/>
        <v>0</v>
      </c>
      <c r="DR15" s="498">
        <f t="shared" si="149"/>
        <v>0</v>
      </c>
      <c r="DS15" s="496"/>
      <c r="DT15" s="497">
        <f t="shared" si="39"/>
        <v>0</v>
      </c>
      <c r="DU15" s="498">
        <f t="shared" si="150"/>
        <v>0</v>
      </c>
      <c r="DV15" s="496"/>
      <c r="DW15" s="497">
        <f t="shared" si="40"/>
        <v>0</v>
      </c>
      <c r="DX15" s="498">
        <f t="shared" si="151"/>
        <v>0</v>
      </c>
      <c r="DY15" s="496">
        <v>0</v>
      </c>
      <c r="DZ15" s="497">
        <f t="shared" si="41"/>
        <v>0</v>
      </c>
      <c r="EA15" s="498">
        <f t="shared" si="152"/>
        <v>0</v>
      </c>
      <c r="EB15" s="496">
        <v>14.534883720930225</v>
      </c>
      <c r="EC15" s="497">
        <f t="shared" si="42"/>
        <v>0.30939108369548574</v>
      </c>
      <c r="ED15" s="498">
        <f t="shared" si="153"/>
        <v>0</v>
      </c>
      <c r="EE15" s="496">
        <v>3</v>
      </c>
      <c r="EF15" s="497">
        <f t="shared" si="43"/>
        <v>6.3858319674748296E-2</v>
      </c>
      <c r="EG15" s="498">
        <f t="shared" si="154"/>
        <v>0</v>
      </c>
      <c r="EH15" s="496"/>
      <c r="EI15" s="497">
        <f t="shared" si="44"/>
        <v>0</v>
      </c>
      <c r="EJ15" s="498">
        <f t="shared" si="155"/>
        <v>0</v>
      </c>
      <c r="EK15" s="496"/>
      <c r="EL15" s="497">
        <f t="shared" si="45"/>
        <v>0</v>
      </c>
      <c r="EM15" s="498">
        <f t="shared" si="156"/>
        <v>0</v>
      </c>
      <c r="EN15" s="496"/>
      <c r="EO15" s="497">
        <f t="shared" si="46"/>
        <v>0</v>
      </c>
      <c r="EP15" s="498">
        <f t="shared" si="157"/>
        <v>0</v>
      </c>
      <c r="EQ15" s="496"/>
      <c r="ER15" s="497">
        <f t="shared" si="47"/>
        <v>0</v>
      </c>
      <c r="ES15" s="498">
        <f t="shared" si="158"/>
        <v>0</v>
      </c>
      <c r="ET15" s="496"/>
      <c r="EU15" s="497">
        <f t="shared" si="48"/>
        <v>0</v>
      </c>
      <c r="EV15" s="498">
        <f t="shared" si="159"/>
        <v>0</v>
      </c>
      <c r="EW15" s="496"/>
      <c r="EX15" s="497">
        <f t="shared" si="49"/>
        <v>0</v>
      </c>
      <c r="EY15" s="498">
        <f t="shared" si="160"/>
        <v>0</v>
      </c>
      <c r="EZ15" s="496"/>
      <c r="FA15" s="497">
        <f t="shared" si="50"/>
        <v>0</v>
      </c>
      <c r="FB15" s="498">
        <f t="shared" si="161"/>
        <v>0</v>
      </c>
      <c r="FC15" s="496"/>
      <c r="FD15" s="497">
        <f t="shared" si="51"/>
        <v>0</v>
      </c>
      <c r="FE15" s="498">
        <f t="shared" si="162"/>
        <v>0</v>
      </c>
      <c r="FF15" s="496"/>
      <c r="FG15" s="497">
        <f t="shared" si="52"/>
        <v>0</v>
      </c>
      <c r="FH15" s="498">
        <f t="shared" si="163"/>
        <v>0</v>
      </c>
      <c r="FI15" s="496"/>
      <c r="FJ15" s="497">
        <f t="shared" si="53"/>
        <v>0</v>
      </c>
      <c r="FK15" s="498">
        <f t="shared" si="164"/>
        <v>0</v>
      </c>
      <c r="FL15" s="496"/>
      <c r="FM15" s="497">
        <f t="shared" si="54"/>
        <v>0</v>
      </c>
      <c r="FN15" s="498">
        <f t="shared" si="165"/>
        <v>0</v>
      </c>
      <c r="FO15" s="496"/>
      <c r="FP15" s="497">
        <f t="shared" si="55"/>
        <v>0</v>
      </c>
      <c r="FQ15" s="498">
        <f t="shared" si="166"/>
        <v>0</v>
      </c>
      <c r="FR15" s="496"/>
      <c r="FS15" s="497">
        <f t="shared" si="56"/>
        <v>0</v>
      </c>
      <c r="FT15" s="498">
        <f t="shared" si="167"/>
        <v>0</v>
      </c>
      <c r="FU15" s="496"/>
      <c r="FV15" s="497">
        <f t="shared" si="57"/>
        <v>0</v>
      </c>
      <c r="FW15" s="498">
        <f t="shared" si="168"/>
        <v>0</v>
      </c>
      <c r="FX15" s="496"/>
      <c r="FY15" s="497">
        <f t="shared" si="58"/>
        <v>0</v>
      </c>
      <c r="FZ15" s="498">
        <f t="shared" si="169"/>
        <v>0</v>
      </c>
      <c r="GA15" s="496"/>
      <c r="GB15" s="497">
        <f t="shared" si="59"/>
        <v>0</v>
      </c>
      <c r="GC15" s="498">
        <f t="shared" si="170"/>
        <v>0</v>
      </c>
      <c r="GD15" s="496"/>
      <c r="GE15" s="497">
        <f t="shared" si="60"/>
        <v>0</v>
      </c>
      <c r="GF15" s="498">
        <f t="shared" si="171"/>
        <v>0</v>
      </c>
      <c r="GG15" s="496"/>
      <c r="GH15" s="497">
        <f t="shared" si="61"/>
        <v>0</v>
      </c>
      <c r="GI15" s="498">
        <f t="shared" si="172"/>
        <v>0</v>
      </c>
      <c r="GJ15" s="496"/>
      <c r="GK15" s="497">
        <f t="shared" si="62"/>
        <v>0</v>
      </c>
      <c r="GL15" s="498">
        <f t="shared" si="173"/>
        <v>0</v>
      </c>
      <c r="GM15" s="496"/>
      <c r="GN15" s="497">
        <f t="shared" si="63"/>
        <v>0</v>
      </c>
      <c r="GO15" s="498">
        <f t="shared" si="174"/>
        <v>0</v>
      </c>
      <c r="GP15" s="496"/>
      <c r="GQ15" s="497">
        <f t="shared" si="64"/>
        <v>0</v>
      </c>
      <c r="GR15" s="498">
        <f t="shared" si="175"/>
        <v>0</v>
      </c>
      <c r="GS15" s="496"/>
      <c r="GT15" s="497">
        <f t="shared" si="65"/>
        <v>0</v>
      </c>
      <c r="GU15" s="498">
        <f t="shared" si="176"/>
        <v>0</v>
      </c>
      <c r="GV15" s="496"/>
      <c r="GW15" s="497">
        <f t="shared" si="66"/>
        <v>0</v>
      </c>
      <c r="GX15" s="498">
        <f t="shared" si="177"/>
        <v>0</v>
      </c>
      <c r="GY15" s="496"/>
      <c r="GZ15" s="497">
        <f t="shared" si="67"/>
        <v>0</v>
      </c>
      <c r="HA15" s="498">
        <f t="shared" si="178"/>
        <v>0</v>
      </c>
      <c r="HB15" s="496"/>
      <c r="HC15" s="497">
        <f t="shared" si="68"/>
        <v>0</v>
      </c>
      <c r="HD15" s="498">
        <f t="shared" si="179"/>
        <v>0</v>
      </c>
      <c r="HE15" s="496"/>
      <c r="HF15" s="497">
        <f t="shared" si="69"/>
        <v>0</v>
      </c>
      <c r="HG15" s="498">
        <f t="shared" si="180"/>
        <v>0</v>
      </c>
      <c r="HH15" s="496"/>
      <c r="HI15" s="497">
        <f t="shared" si="70"/>
        <v>0</v>
      </c>
      <c r="HJ15" s="498">
        <f t="shared" si="181"/>
        <v>0</v>
      </c>
      <c r="HK15" s="496"/>
      <c r="HL15" s="497">
        <f t="shared" si="71"/>
        <v>0</v>
      </c>
      <c r="HM15" s="498">
        <f t="shared" si="182"/>
        <v>0</v>
      </c>
      <c r="HN15" s="496"/>
      <c r="HO15" s="497">
        <f t="shared" si="72"/>
        <v>0</v>
      </c>
      <c r="HP15" s="498">
        <f t="shared" si="183"/>
        <v>0</v>
      </c>
      <c r="HQ15" s="496"/>
      <c r="HR15" s="497">
        <f t="shared" si="73"/>
        <v>0</v>
      </c>
      <c r="HS15" s="498">
        <f t="shared" si="184"/>
        <v>0</v>
      </c>
      <c r="HT15" s="496"/>
      <c r="HU15" s="497">
        <f t="shared" si="74"/>
        <v>0</v>
      </c>
      <c r="HV15" s="498">
        <f t="shared" si="185"/>
        <v>0</v>
      </c>
      <c r="HW15" s="496"/>
      <c r="HX15" s="497">
        <f t="shared" si="75"/>
        <v>0</v>
      </c>
      <c r="HY15" s="498">
        <f t="shared" si="186"/>
        <v>0</v>
      </c>
      <c r="HZ15" s="496"/>
      <c r="IA15" s="497">
        <f t="shared" si="76"/>
        <v>0</v>
      </c>
      <c r="IB15" s="498">
        <f t="shared" si="187"/>
        <v>0</v>
      </c>
      <c r="IC15" s="496"/>
      <c r="ID15" s="497">
        <f t="shared" si="77"/>
        <v>0</v>
      </c>
      <c r="IE15" s="498">
        <f t="shared" si="188"/>
        <v>0</v>
      </c>
      <c r="IF15" s="496"/>
      <c r="IG15" s="497">
        <f t="shared" si="78"/>
        <v>0</v>
      </c>
      <c r="IH15" s="498">
        <f t="shared" si="189"/>
        <v>0</v>
      </c>
      <c r="II15" s="496"/>
      <c r="IJ15" s="497">
        <f t="shared" si="79"/>
        <v>0</v>
      </c>
      <c r="IK15" s="498">
        <f t="shared" si="190"/>
        <v>0</v>
      </c>
      <c r="IL15" s="496"/>
      <c r="IM15" s="497">
        <f t="shared" si="80"/>
        <v>0</v>
      </c>
      <c r="IN15" s="498">
        <f t="shared" si="191"/>
        <v>0</v>
      </c>
      <c r="IO15" s="496"/>
      <c r="IP15" s="497">
        <f t="shared" si="81"/>
        <v>0</v>
      </c>
      <c r="IQ15" s="498">
        <f t="shared" si="192"/>
        <v>0</v>
      </c>
      <c r="IR15" s="496"/>
      <c r="IS15" s="497">
        <f t="shared" si="82"/>
        <v>0</v>
      </c>
      <c r="IT15" s="498">
        <f t="shared" si="193"/>
        <v>0</v>
      </c>
      <c r="IU15" s="496"/>
      <c r="IV15" s="497">
        <f t="shared" si="83"/>
        <v>0</v>
      </c>
      <c r="IW15" s="498">
        <f t="shared" si="194"/>
        <v>0</v>
      </c>
      <c r="IX15" s="496"/>
      <c r="IY15" s="497">
        <f t="shared" si="84"/>
        <v>0</v>
      </c>
      <c r="IZ15" s="498">
        <f t="shared" si="195"/>
        <v>0</v>
      </c>
      <c r="JA15" s="496"/>
      <c r="JB15" s="497">
        <f t="shared" si="85"/>
        <v>0</v>
      </c>
      <c r="JC15" s="498">
        <f t="shared" si="196"/>
        <v>0</v>
      </c>
      <c r="JD15" s="496"/>
      <c r="JE15" s="497">
        <f t="shared" si="86"/>
        <v>0</v>
      </c>
      <c r="JF15" s="498">
        <f t="shared" si="197"/>
        <v>0</v>
      </c>
      <c r="JG15" s="496"/>
      <c r="JH15" s="497">
        <f t="shared" si="87"/>
        <v>0</v>
      </c>
      <c r="JI15" s="498">
        <f t="shared" si="198"/>
        <v>0</v>
      </c>
      <c r="JJ15" s="496"/>
      <c r="JK15" s="498" t="str">
        <f t="shared" si="88"/>
        <v>0</v>
      </c>
      <c r="JL15" s="498" t="str">
        <f t="shared" si="89"/>
        <v>0</v>
      </c>
      <c r="JM15" s="496"/>
      <c r="JN15" s="498" t="str">
        <f t="shared" si="90"/>
        <v>0</v>
      </c>
      <c r="JO15" s="498" t="str">
        <f t="shared" si="91"/>
        <v>0</v>
      </c>
      <c r="JP15" s="496"/>
      <c r="JQ15" s="498" t="str">
        <f t="shared" si="92"/>
        <v>0</v>
      </c>
      <c r="JR15" s="498" t="str">
        <f t="shared" si="93"/>
        <v>0</v>
      </c>
      <c r="JS15" s="496"/>
      <c r="JT15" s="498" t="str">
        <f t="shared" si="94"/>
        <v>0</v>
      </c>
      <c r="JU15" s="498" t="str">
        <f t="shared" si="95"/>
        <v>0</v>
      </c>
      <c r="JV15" s="496"/>
      <c r="JW15" s="498" t="str">
        <f t="shared" si="96"/>
        <v>0</v>
      </c>
      <c r="JX15" s="498" t="str">
        <f t="shared" si="97"/>
        <v>0</v>
      </c>
      <c r="JY15" s="496"/>
      <c r="JZ15" s="498" t="str">
        <f t="shared" si="98"/>
        <v>0</v>
      </c>
      <c r="KA15" s="498" t="str">
        <f t="shared" si="99"/>
        <v>0</v>
      </c>
      <c r="KB15" s="496"/>
      <c r="KC15" s="498" t="str">
        <f t="shared" si="100"/>
        <v>0</v>
      </c>
      <c r="KD15" s="498" t="str">
        <f t="shared" si="101"/>
        <v>0</v>
      </c>
      <c r="KE15" s="496"/>
      <c r="KF15" s="498" t="str">
        <f t="shared" si="102"/>
        <v>0</v>
      </c>
      <c r="KG15" s="498" t="str">
        <f t="shared" si="103"/>
        <v>0</v>
      </c>
      <c r="KH15" s="496"/>
      <c r="KI15" s="498" t="str">
        <f t="shared" si="104"/>
        <v>0</v>
      </c>
      <c r="KJ15" s="498" t="str">
        <f t="shared" si="105"/>
        <v>0</v>
      </c>
      <c r="KK15" s="496"/>
      <c r="KL15" s="498" t="str">
        <f t="shared" si="106"/>
        <v>0</v>
      </c>
      <c r="KM15" s="498" t="str">
        <f t="shared" si="107"/>
        <v>0</v>
      </c>
      <c r="KN15" s="496"/>
      <c r="KO15" s="498" t="str">
        <f t="shared" si="108"/>
        <v>0</v>
      </c>
      <c r="KP15" s="498" t="str">
        <f t="shared" si="109"/>
        <v>0</v>
      </c>
      <c r="KQ15" s="496"/>
      <c r="KR15" s="498" t="str">
        <f t="shared" si="110"/>
        <v>0</v>
      </c>
      <c r="KS15" s="498" t="str">
        <f t="shared" si="111"/>
        <v>0</v>
      </c>
      <c r="KT15" s="498">
        <f t="shared" si="201"/>
        <v>0</v>
      </c>
      <c r="KU15" s="498">
        <f t="shared" si="202"/>
        <v>0</v>
      </c>
      <c r="KV15" s="262">
        <f t="shared" si="199"/>
        <v>631.2059958810928</v>
      </c>
    </row>
    <row r="16" spans="1:308" ht="15" customHeight="1">
      <c r="A16" s="264">
        <f t="shared" si="200"/>
        <v>45998</v>
      </c>
      <c r="B16" s="265" t="str">
        <f>+Report1!B15</f>
        <v>Facial</v>
      </c>
      <c r="C16" s="392" t="str">
        <f>+Report1!C15</f>
        <v>12</v>
      </c>
      <c r="D16" s="266">
        <f>+Report1!P15</f>
        <v>49.021999999999998</v>
      </c>
      <c r="E16" s="267">
        <f>+Report1!R15</f>
        <v>44.481000000000002</v>
      </c>
      <c r="F16" s="496"/>
      <c r="G16" s="497">
        <f t="shared" si="0"/>
        <v>0</v>
      </c>
      <c r="H16" s="498">
        <f t="shared" si="112"/>
        <v>0</v>
      </c>
      <c r="I16" s="496">
        <v>401.16279069767438</v>
      </c>
      <c r="J16" s="497">
        <f t="shared" si="1"/>
        <v>9.0187448730395978</v>
      </c>
      <c r="K16" s="498">
        <f t="shared" si="113"/>
        <v>0</v>
      </c>
      <c r="L16" s="496"/>
      <c r="M16" s="497">
        <f t="shared" si="2"/>
        <v>0</v>
      </c>
      <c r="N16" s="498">
        <f t="shared" si="114"/>
        <v>0</v>
      </c>
      <c r="O16" s="496">
        <v>10.5</v>
      </c>
      <c r="P16" s="497">
        <f t="shared" si="3"/>
        <v>0.23605584406825386</v>
      </c>
      <c r="Q16" s="498">
        <f t="shared" si="115"/>
        <v>0</v>
      </c>
      <c r="R16" s="496">
        <v>8.96875</v>
      </c>
      <c r="S16" s="497">
        <f t="shared" si="4"/>
        <v>0.20163103347496683</v>
      </c>
      <c r="T16" s="498">
        <f t="shared" si="116"/>
        <v>0</v>
      </c>
      <c r="U16" s="496">
        <v>2.34375</v>
      </c>
      <c r="V16" s="497">
        <f t="shared" si="5"/>
        <v>5.269103662237809E-2</v>
      </c>
      <c r="W16" s="498">
        <f t="shared" si="117"/>
        <v>0</v>
      </c>
      <c r="X16" s="496"/>
      <c r="Y16" s="497">
        <f t="shared" si="6"/>
        <v>0</v>
      </c>
      <c r="Z16" s="498">
        <f t="shared" si="118"/>
        <v>0</v>
      </c>
      <c r="AA16" s="496"/>
      <c r="AB16" s="497">
        <f t="shared" si="7"/>
        <v>0</v>
      </c>
      <c r="AC16" s="498">
        <f t="shared" si="119"/>
        <v>0</v>
      </c>
      <c r="AD16" s="496"/>
      <c r="AE16" s="497">
        <f t="shared" si="8"/>
        <v>0</v>
      </c>
      <c r="AF16" s="498">
        <f t="shared" si="120"/>
        <v>0</v>
      </c>
      <c r="AG16" s="496"/>
      <c r="AH16" s="497">
        <f t="shared" si="9"/>
        <v>0</v>
      </c>
      <c r="AI16" s="498">
        <f t="shared" si="121"/>
        <v>0</v>
      </c>
      <c r="AJ16" s="496"/>
      <c r="AK16" s="497">
        <f t="shared" si="10"/>
        <v>0</v>
      </c>
      <c r="AL16" s="498">
        <f t="shared" si="122"/>
        <v>0</v>
      </c>
      <c r="AM16" s="496"/>
      <c r="AN16" s="497">
        <f t="shared" si="11"/>
        <v>0</v>
      </c>
      <c r="AO16" s="498">
        <f t="shared" si="123"/>
        <v>0</v>
      </c>
      <c r="AP16" s="496">
        <v>64.903846153846189</v>
      </c>
      <c r="AQ16" s="497">
        <f t="shared" si="12"/>
        <v>1.4591363987735479</v>
      </c>
      <c r="AR16" s="498">
        <f t="shared" si="124"/>
        <v>0</v>
      </c>
      <c r="AS16" s="496"/>
      <c r="AT16" s="497">
        <f t="shared" si="13"/>
        <v>0</v>
      </c>
      <c r="AU16" s="498">
        <f t="shared" si="125"/>
        <v>0</v>
      </c>
      <c r="AV16" s="496">
        <v>16.650000000000006</v>
      </c>
      <c r="AW16" s="497">
        <f t="shared" si="14"/>
        <v>0.3743171241653741</v>
      </c>
      <c r="AX16" s="498">
        <f t="shared" si="126"/>
        <v>0</v>
      </c>
      <c r="AY16" s="496">
        <v>75.833333333333343</v>
      </c>
      <c r="AZ16" s="497">
        <f t="shared" si="15"/>
        <v>1.704847762715167</v>
      </c>
      <c r="BA16" s="498">
        <f t="shared" si="127"/>
        <v>0</v>
      </c>
      <c r="BB16" s="496"/>
      <c r="BC16" s="497">
        <f t="shared" si="16"/>
        <v>0</v>
      </c>
      <c r="BD16" s="498">
        <f t="shared" si="128"/>
        <v>0</v>
      </c>
      <c r="BE16" s="496"/>
      <c r="BF16" s="497">
        <f t="shared" si="17"/>
        <v>0</v>
      </c>
      <c r="BG16" s="498">
        <f t="shared" si="129"/>
        <v>0</v>
      </c>
      <c r="BH16" s="496"/>
      <c r="BI16" s="497">
        <f t="shared" si="18"/>
        <v>0</v>
      </c>
      <c r="BJ16" s="498">
        <f t="shared" si="130"/>
        <v>0</v>
      </c>
      <c r="BK16" s="496"/>
      <c r="BL16" s="497">
        <f t="shared" si="19"/>
        <v>0</v>
      </c>
      <c r="BM16" s="498">
        <f t="shared" si="131"/>
        <v>0</v>
      </c>
      <c r="BN16" s="496">
        <v>25.308641975308646</v>
      </c>
      <c r="BO16" s="497">
        <f t="shared" si="20"/>
        <v>0.56897646130502111</v>
      </c>
      <c r="BP16" s="498">
        <f t="shared" si="132"/>
        <v>0</v>
      </c>
      <c r="BQ16" s="496">
        <v>0</v>
      </c>
      <c r="BR16" s="497">
        <f t="shared" si="21"/>
        <v>0</v>
      </c>
      <c r="BS16" s="498">
        <f t="shared" si="133"/>
        <v>0</v>
      </c>
      <c r="BT16" s="496"/>
      <c r="BU16" s="497">
        <f t="shared" si="22"/>
        <v>0</v>
      </c>
      <c r="BV16" s="498">
        <f t="shared" si="134"/>
        <v>0</v>
      </c>
      <c r="BW16" s="496"/>
      <c r="BX16" s="497">
        <f t="shared" si="23"/>
        <v>0</v>
      </c>
      <c r="BY16" s="498">
        <f t="shared" si="135"/>
        <v>0</v>
      </c>
      <c r="BZ16" s="496"/>
      <c r="CA16" s="497">
        <f t="shared" si="24"/>
        <v>0</v>
      </c>
      <c r="CB16" s="498">
        <f t="shared" si="136"/>
        <v>0</v>
      </c>
      <c r="CC16" s="496">
        <v>0</v>
      </c>
      <c r="CD16" s="497">
        <f t="shared" si="25"/>
        <v>0</v>
      </c>
      <c r="CE16" s="498">
        <f t="shared" si="137"/>
        <v>0</v>
      </c>
      <c r="CF16" s="496">
        <v>7</v>
      </c>
      <c r="CG16" s="497">
        <f t="shared" si="26"/>
        <v>0.15737056271216923</v>
      </c>
      <c r="CH16" s="498">
        <f t="shared" si="138"/>
        <v>0</v>
      </c>
      <c r="CI16" s="496"/>
      <c r="CJ16" s="497">
        <f t="shared" si="27"/>
        <v>0</v>
      </c>
      <c r="CK16" s="498">
        <f t="shared" si="139"/>
        <v>0</v>
      </c>
      <c r="CL16" s="496"/>
      <c r="CM16" s="497">
        <f t="shared" si="28"/>
        <v>0</v>
      </c>
      <c r="CN16" s="498">
        <f t="shared" si="140"/>
        <v>0</v>
      </c>
      <c r="CO16" s="496"/>
      <c r="CP16" s="497">
        <f t="shared" si="29"/>
        <v>0</v>
      </c>
      <c r="CQ16" s="498">
        <f t="shared" si="141"/>
        <v>0</v>
      </c>
      <c r="CR16" s="496"/>
      <c r="CS16" s="497">
        <f t="shared" si="30"/>
        <v>0</v>
      </c>
      <c r="CT16" s="498">
        <f t="shared" si="142"/>
        <v>0</v>
      </c>
      <c r="CU16" s="496"/>
      <c r="CV16" s="497">
        <f t="shared" si="31"/>
        <v>0</v>
      </c>
      <c r="CW16" s="498">
        <f t="shared" si="143"/>
        <v>0</v>
      </c>
      <c r="CX16" s="496"/>
      <c r="CY16" s="497">
        <f t="shared" si="32"/>
        <v>0</v>
      </c>
      <c r="CZ16" s="498">
        <f t="shared" si="144"/>
        <v>0</v>
      </c>
      <c r="DA16" s="496"/>
      <c r="DB16" s="497">
        <f t="shared" si="33"/>
        <v>0</v>
      </c>
      <c r="DC16" s="498">
        <f t="shared" si="145"/>
        <v>0</v>
      </c>
      <c r="DD16" s="496"/>
      <c r="DE16" s="497">
        <f t="shared" si="34"/>
        <v>0</v>
      </c>
      <c r="DF16" s="498">
        <f t="shared" si="146"/>
        <v>0</v>
      </c>
      <c r="DG16" s="496"/>
      <c r="DH16" s="497">
        <f t="shared" si="35"/>
        <v>0</v>
      </c>
      <c r="DI16" s="498">
        <f t="shared" si="203"/>
        <v>0</v>
      </c>
      <c r="DJ16" s="496"/>
      <c r="DK16" s="497">
        <f t="shared" si="36"/>
        <v>0</v>
      </c>
      <c r="DL16" s="498">
        <f t="shared" si="147"/>
        <v>0</v>
      </c>
      <c r="DM16" s="496"/>
      <c r="DN16" s="497">
        <f t="shared" si="37"/>
        <v>0</v>
      </c>
      <c r="DO16" s="498">
        <f t="shared" si="148"/>
        <v>0</v>
      </c>
      <c r="DP16" s="496"/>
      <c r="DQ16" s="497">
        <f t="shared" si="38"/>
        <v>0</v>
      </c>
      <c r="DR16" s="498">
        <f t="shared" si="149"/>
        <v>0</v>
      </c>
      <c r="DS16" s="496"/>
      <c r="DT16" s="497">
        <f t="shared" si="39"/>
        <v>0</v>
      </c>
      <c r="DU16" s="498">
        <f t="shared" si="150"/>
        <v>0</v>
      </c>
      <c r="DV16" s="496"/>
      <c r="DW16" s="497">
        <f t="shared" si="40"/>
        <v>0</v>
      </c>
      <c r="DX16" s="498">
        <f t="shared" si="151"/>
        <v>0</v>
      </c>
      <c r="DY16" s="496">
        <v>0</v>
      </c>
      <c r="DZ16" s="497">
        <f t="shared" si="41"/>
        <v>0</v>
      </c>
      <c r="EA16" s="498">
        <f t="shared" si="152"/>
        <v>0</v>
      </c>
      <c r="EB16" s="496">
        <v>14.534883720930225</v>
      </c>
      <c r="EC16" s="497">
        <f t="shared" si="42"/>
        <v>0.32676611858839111</v>
      </c>
      <c r="ED16" s="498">
        <f t="shared" si="153"/>
        <v>0</v>
      </c>
      <c r="EE16" s="496">
        <v>3</v>
      </c>
      <c r="EF16" s="497">
        <f t="shared" si="43"/>
        <v>6.7444526876643957E-2</v>
      </c>
      <c r="EG16" s="498">
        <f t="shared" si="154"/>
        <v>0</v>
      </c>
      <c r="EH16" s="496"/>
      <c r="EI16" s="497">
        <f t="shared" si="44"/>
        <v>0</v>
      </c>
      <c r="EJ16" s="498">
        <f t="shared" si="155"/>
        <v>0</v>
      </c>
      <c r="EK16" s="496"/>
      <c r="EL16" s="497">
        <f t="shared" si="45"/>
        <v>0</v>
      </c>
      <c r="EM16" s="498">
        <f t="shared" si="156"/>
        <v>0</v>
      </c>
      <c r="EN16" s="496"/>
      <c r="EO16" s="497">
        <f t="shared" si="46"/>
        <v>0</v>
      </c>
      <c r="EP16" s="498">
        <f t="shared" si="157"/>
        <v>0</v>
      </c>
      <c r="EQ16" s="496"/>
      <c r="ER16" s="497">
        <f t="shared" si="47"/>
        <v>0</v>
      </c>
      <c r="ES16" s="498">
        <f t="shared" si="158"/>
        <v>0</v>
      </c>
      <c r="ET16" s="496"/>
      <c r="EU16" s="497">
        <f t="shared" si="48"/>
        <v>0</v>
      </c>
      <c r="EV16" s="498">
        <f t="shared" si="159"/>
        <v>0</v>
      </c>
      <c r="EW16" s="496"/>
      <c r="EX16" s="497">
        <f t="shared" si="49"/>
        <v>0</v>
      </c>
      <c r="EY16" s="498">
        <f t="shared" si="160"/>
        <v>0</v>
      </c>
      <c r="EZ16" s="496"/>
      <c r="FA16" s="497">
        <f t="shared" si="50"/>
        <v>0</v>
      </c>
      <c r="FB16" s="498">
        <f t="shared" si="161"/>
        <v>0</v>
      </c>
      <c r="FC16" s="496"/>
      <c r="FD16" s="497">
        <f t="shared" si="51"/>
        <v>0</v>
      </c>
      <c r="FE16" s="498">
        <f t="shared" si="162"/>
        <v>0</v>
      </c>
      <c r="FF16" s="496"/>
      <c r="FG16" s="497">
        <f t="shared" si="52"/>
        <v>0</v>
      </c>
      <c r="FH16" s="498">
        <f t="shared" si="163"/>
        <v>0</v>
      </c>
      <c r="FI16" s="496"/>
      <c r="FJ16" s="497">
        <f t="shared" si="53"/>
        <v>0</v>
      </c>
      <c r="FK16" s="498">
        <f t="shared" si="164"/>
        <v>0</v>
      </c>
      <c r="FL16" s="496"/>
      <c r="FM16" s="497">
        <f t="shared" si="54"/>
        <v>0</v>
      </c>
      <c r="FN16" s="498">
        <f t="shared" si="165"/>
        <v>0</v>
      </c>
      <c r="FO16" s="496"/>
      <c r="FP16" s="497">
        <f t="shared" si="55"/>
        <v>0</v>
      </c>
      <c r="FQ16" s="498">
        <f t="shared" si="166"/>
        <v>0</v>
      </c>
      <c r="FR16" s="496"/>
      <c r="FS16" s="497">
        <f t="shared" si="56"/>
        <v>0</v>
      </c>
      <c r="FT16" s="498">
        <f t="shared" si="167"/>
        <v>0</v>
      </c>
      <c r="FU16" s="496"/>
      <c r="FV16" s="497">
        <f t="shared" si="57"/>
        <v>0</v>
      </c>
      <c r="FW16" s="498">
        <f t="shared" si="168"/>
        <v>0</v>
      </c>
      <c r="FX16" s="496"/>
      <c r="FY16" s="497">
        <f t="shared" si="58"/>
        <v>0</v>
      </c>
      <c r="FZ16" s="498">
        <f t="shared" si="169"/>
        <v>0</v>
      </c>
      <c r="GA16" s="496"/>
      <c r="GB16" s="497">
        <f t="shared" si="59"/>
        <v>0</v>
      </c>
      <c r="GC16" s="498">
        <f t="shared" si="170"/>
        <v>0</v>
      </c>
      <c r="GD16" s="496"/>
      <c r="GE16" s="497">
        <f t="shared" si="60"/>
        <v>0</v>
      </c>
      <c r="GF16" s="498">
        <f t="shared" si="171"/>
        <v>0</v>
      </c>
      <c r="GG16" s="496"/>
      <c r="GH16" s="497">
        <f t="shared" si="61"/>
        <v>0</v>
      </c>
      <c r="GI16" s="498">
        <f t="shared" si="172"/>
        <v>0</v>
      </c>
      <c r="GJ16" s="496"/>
      <c r="GK16" s="497">
        <f t="shared" si="62"/>
        <v>0</v>
      </c>
      <c r="GL16" s="498">
        <f t="shared" si="173"/>
        <v>0</v>
      </c>
      <c r="GM16" s="496"/>
      <c r="GN16" s="497">
        <f t="shared" si="63"/>
        <v>0</v>
      </c>
      <c r="GO16" s="498">
        <f t="shared" si="174"/>
        <v>0</v>
      </c>
      <c r="GP16" s="496"/>
      <c r="GQ16" s="497">
        <f t="shared" si="64"/>
        <v>0</v>
      </c>
      <c r="GR16" s="498">
        <f t="shared" si="175"/>
        <v>0</v>
      </c>
      <c r="GS16" s="496"/>
      <c r="GT16" s="497">
        <f t="shared" si="65"/>
        <v>0</v>
      </c>
      <c r="GU16" s="498">
        <f t="shared" si="176"/>
        <v>0</v>
      </c>
      <c r="GV16" s="496"/>
      <c r="GW16" s="497">
        <f t="shared" si="66"/>
        <v>0</v>
      </c>
      <c r="GX16" s="498">
        <f t="shared" si="177"/>
        <v>0</v>
      </c>
      <c r="GY16" s="496"/>
      <c r="GZ16" s="497">
        <f t="shared" si="67"/>
        <v>0</v>
      </c>
      <c r="HA16" s="498">
        <f t="shared" si="178"/>
        <v>0</v>
      </c>
      <c r="HB16" s="496"/>
      <c r="HC16" s="497">
        <f t="shared" si="68"/>
        <v>0</v>
      </c>
      <c r="HD16" s="498">
        <f t="shared" si="179"/>
        <v>0</v>
      </c>
      <c r="HE16" s="496"/>
      <c r="HF16" s="497">
        <f t="shared" si="69"/>
        <v>0</v>
      </c>
      <c r="HG16" s="498">
        <f t="shared" si="180"/>
        <v>0</v>
      </c>
      <c r="HH16" s="496"/>
      <c r="HI16" s="497">
        <f t="shared" si="70"/>
        <v>0</v>
      </c>
      <c r="HJ16" s="498">
        <f t="shared" si="181"/>
        <v>0</v>
      </c>
      <c r="HK16" s="496"/>
      <c r="HL16" s="497">
        <f t="shared" si="71"/>
        <v>0</v>
      </c>
      <c r="HM16" s="498">
        <f t="shared" si="182"/>
        <v>0</v>
      </c>
      <c r="HN16" s="496"/>
      <c r="HO16" s="497">
        <f t="shared" si="72"/>
        <v>0</v>
      </c>
      <c r="HP16" s="498">
        <f t="shared" si="183"/>
        <v>0</v>
      </c>
      <c r="HQ16" s="496"/>
      <c r="HR16" s="497">
        <f t="shared" si="73"/>
        <v>0</v>
      </c>
      <c r="HS16" s="498">
        <f t="shared" si="184"/>
        <v>0</v>
      </c>
      <c r="HT16" s="496"/>
      <c r="HU16" s="497">
        <f t="shared" si="74"/>
        <v>0</v>
      </c>
      <c r="HV16" s="498">
        <f t="shared" si="185"/>
        <v>0</v>
      </c>
      <c r="HW16" s="496"/>
      <c r="HX16" s="497">
        <f t="shared" si="75"/>
        <v>0</v>
      </c>
      <c r="HY16" s="498">
        <f t="shared" si="186"/>
        <v>0</v>
      </c>
      <c r="HZ16" s="496"/>
      <c r="IA16" s="497">
        <f t="shared" si="76"/>
        <v>0</v>
      </c>
      <c r="IB16" s="498">
        <f t="shared" si="187"/>
        <v>0</v>
      </c>
      <c r="IC16" s="496"/>
      <c r="ID16" s="497">
        <f t="shared" si="77"/>
        <v>0</v>
      </c>
      <c r="IE16" s="498">
        <f t="shared" si="188"/>
        <v>0</v>
      </c>
      <c r="IF16" s="496"/>
      <c r="IG16" s="497">
        <f t="shared" si="78"/>
        <v>0</v>
      </c>
      <c r="IH16" s="498">
        <f t="shared" si="189"/>
        <v>0</v>
      </c>
      <c r="II16" s="496"/>
      <c r="IJ16" s="497">
        <f t="shared" si="79"/>
        <v>0</v>
      </c>
      <c r="IK16" s="498">
        <f t="shared" si="190"/>
        <v>0</v>
      </c>
      <c r="IL16" s="496"/>
      <c r="IM16" s="497">
        <f t="shared" si="80"/>
        <v>0</v>
      </c>
      <c r="IN16" s="498">
        <f t="shared" si="191"/>
        <v>0</v>
      </c>
      <c r="IO16" s="496"/>
      <c r="IP16" s="497">
        <f t="shared" si="81"/>
        <v>0</v>
      </c>
      <c r="IQ16" s="498">
        <f t="shared" si="192"/>
        <v>0</v>
      </c>
      <c r="IR16" s="496"/>
      <c r="IS16" s="497">
        <f t="shared" si="82"/>
        <v>0</v>
      </c>
      <c r="IT16" s="498">
        <f t="shared" si="193"/>
        <v>0</v>
      </c>
      <c r="IU16" s="496"/>
      <c r="IV16" s="497">
        <f t="shared" si="83"/>
        <v>0</v>
      </c>
      <c r="IW16" s="498">
        <f t="shared" si="194"/>
        <v>0</v>
      </c>
      <c r="IX16" s="496"/>
      <c r="IY16" s="497">
        <f t="shared" si="84"/>
        <v>0</v>
      </c>
      <c r="IZ16" s="498">
        <f t="shared" si="195"/>
        <v>0</v>
      </c>
      <c r="JA16" s="496"/>
      <c r="JB16" s="497">
        <f t="shared" si="85"/>
        <v>0</v>
      </c>
      <c r="JC16" s="498">
        <f t="shared" si="196"/>
        <v>0</v>
      </c>
      <c r="JD16" s="496"/>
      <c r="JE16" s="497">
        <f t="shared" si="86"/>
        <v>0</v>
      </c>
      <c r="JF16" s="498">
        <f t="shared" si="197"/>
        <v>0</v>
      </c>
      <c r="JG16" s="496"/>
      <c r="JH16" s="497">
        <f t="shared" si="87"/>
        <v>0</v>
      </c>
      <c r="JI16" s="498">
        <f t="shared" si="198"/>
        <v>0</v>
      </c>
      <c r="JJ16" s="496"/>
      <c r="JK16" s="498" t="str">
        <f t="shared" si="88"/>
        <v>0</v>
      </c>
      <c r="JL16" s="498" t="str">
        <f t="shared" si="89"/>
        <v>0</v>
      </c>
      <c r="JM16" s="496"/>
      <c r="JN16" s="498" t="str">
        <f t="shared" si="90"/>
        <v>0</v>
      </c>
      <c r="JO16" s="498" t="str">
        <f t="shared" si="91"/>
        <v>0</v>
      </c>
      <c r="JP16" s="496"/>
      <c r="JQ16" s="498" t="str">
        <f t="shared" si="92"/>
        <v>0</v>
      </c>
      <c r="JR16" s="498" t="str">
        <f t="shared" si="93"/>
        <v>0</v>
      </c>
      <c r="JS16" s="496"/>
      <c r="JT16" s="498" t="str">
        <f t="shared" si="94"/>
        <v>0</v>
      </c>
      <c r="JU16" s="498" t="str">
        <f t="shared" si="95"/>
        <v>0</v>
      </c>
      <c r="JV16" s="496"/>
      <c r="JW16" s="498" t="str">
        <f t="shared" si="96"/>
        <v>0</v>
      </c>
      <c r="JX16" s="498" t="str">
        <f t="shared" si="97"/>
        <v>0</v>
      </c>
      <c r="JY16" s="496"/>
      <c r="JZ16" s="498" t="str">
        <f t="shared" si="98"/>
        <v>0</v>
      </c>
      <c r="KA16" s="498" t="str">
        <f t="shared" si="99"/>
        <v>0</v>
      </c>
      <c r="KB16" s="496"/>
      <c r="KC16" s="498" t="str">
        <f t="shared" si="100"/>
        <v>0</v>
      </c>
      <c r="KD16" s="498" t="str">
        <f t="shared" si="101"/>
        <v>0</v>
      </c>
      <c r="KE16" s="496"/>
      <c r="KF16" s="498" t="str">
        <f t="shared" si="102"/>
        <v>0</v>
      </c>
      <c r="KG16" s="498" t="str">
        <f t="shared" si="103"/>
        <v>0</v>
      </c>
      <c r="KH16" s="496"/>
      <c r="KI16" s="498" t="str">
        <f t="shared" si="104"/>
        <v>0</v>
      </c>
      <c r="KJ16" s="498" t="str">
        <f t="shared" si="105"/>
        <v>0</v>
      </c>
      <c r="KK16" s="496"/>
      <c r="KL16" s="498" t="str">
        <f t="shared" si="106"/>
        <v>0</v>
      </c>
      <c r="KM16" s="498" t="str">
        <f t="shared" si="107"/>
        <v>0</v>
      </c>
      <c r="KN16" s="496"/>
      <c r="KO16" s="498" t="str">
        <f t="shared" si="108"/>
        <v>0</v>
      </c>
      <c r="KP16" s="498" t="str">
        <f t="shared" si="109"/>
        <v>0</v>
      </c>
      <c r="KQ16" s="496"/>
      <c r="KR16" s="498" t="str">
        <f t="shared" si="110"/>
        <v>0</v>
      </c>
      <c r="KS16" s="498" t="str">
        <f t="shared" si="111"/>
        <v>0</v>
      </c>
      <c r="KT16" s="498">
        <f t="shared" si="201"/>
        <v>0</v>
      </c>
      <c r="KU16" s="498">
        <f t="shared" si="202"/>
        <v>0</v>
      </c>
      <c r="KV16" s="262">
        <f t="shared" si="199"/>
        <v>630.2059958810928</v>
      </c>
    </row>
    <row r="17" spans="1:308" ht="15" customHeight="1">
      <c r="A17" s="264">
        <f t="shared" si="200"/>
        <v>45999</v>
      </c>
      <c r="B17" s="265" t="str">
        <f>+Report1!B16</f>
        <v>Facial</v>
      </c>
      <c r="C17" s="392" t="str">
        <f>+Report1!C16</f>
        <v>12</v>
      </c>
      <c r="D17" s="266">
        <f>+Report1!P16</f>
        <v>47.912999999999997</v>
      </c>
      <c r="E17" s="267">
        <f>+Report1!R16</f>
        <v>54.173999999999999</v>
      </c>
      <c r="F17" s="496"/>
      <c r="G17" s="497">
        <f t="shared" si="0"/>
        <v>0</v>
      </c>
      <c r="H17" s="498">
        <f t="shared" si="112"/>
        <v>0</v>
      </c>
      <c r="I17" s="496">
        <v>511.62790697674427</v>
      </c>
      <c r="J17" s="497">
        <f t="shared" si="1"/>
        <v>9.4441596887204984</v>
      </c>
      <c r="K17" s="498">
        <f t="shared" si="113"/>
        <v>0</v>
      </c>
      <c r="L17" s="496"/>
      <c r="M17" s="497">
        <f t="shared" si="2"/>
        <v>0</v>
      </c>
      <c r="N17" s="498">
        <f t="shared" si="114"/>
        <v>0</v>
      </c>
      <c r="O17" s="496">
        <v>9</v>
      </c>
      <c r="P17" s="497">
        <f t="shared" si="3"/>
        <v>0.16613135452431055</v>
      </c>
      <c r="Q17" s="498">
        <f t="shared" si="115"/>
        <v>0</v>
      </c>
      <c r="R17" s="496">
        <v>10.25</v>
      </c>
      <c r="S17" s="497">
        <f t="shared" si="4"/>
        <v>0.18920515376379812</v>
      </c>
      <c r="T17" s="498">
        <f t="shared" si="116"/>
        <v>0</v>
      </c>
      <c r="U17" s="496">
        <v>1.5625</v>
      </c>
      <c r="V17" s="497">
        <f t="shared" si="5"/>
        <v>2.8842249049359472E-2</v>
      </c>
      <c r="W17" s="498">
        <f t="shared" si="117"/>
        <v>0</v>
      </c>
      <c r="X17" s="496"/>
      <c r="Y17" s="497">
        <f t="shared" si="6"/>
        <v>0</v>
      </c>
      <c r="Z17" s="498">
        <f t="shared" si="118"/>
        <v>0</v>
      </c>
      <c r="AA17" s="496"/>
      <c r="AB17" s="497">
        <f t="shared" si="7"/>
        <v>0</v>
      </c>
      <c r="AC17" s="498">
        <f t="shared" si="119"/>
        <v>0</v>
      </c>
      <c r="AD17" s="496"/>
      <c r="AE17" s="497">
        <f t="shared" si="8"/>
        <v>0</v>
      </c>
      <c r="AF17" s="498">
        <f t="shared" si="120"/>
        <v>0</v>
      </c>
      <c r="AG17" s="496"/>
      <c r="AH17" s="497">
        <f t="shared" si="9"/>
        <v>0</v>
      </c>
      <c r="AI17" s="498">
        <f t="shared" si="121"/>
        <v>0</v>
      </c>
      <c r="AJ17" s="496"/>
      <c r="AK17" s="497">
        <f t="shared" si="10"/>
        <v>0</v>
      </c>
      <c r="AL17" s="498">
        <f t="shared" si="122"/>
        <v>0</v>
      </c>
      <c r="AM17" s="496"/>
      <c r="AN17" s="497">
        <f t="shared" si="11"/>
        <v>0</v>
      </c>
      <c r="AO17" s="498">
        <f t="shared" si="123"/>
        <v>0</v>
      </c>
      <c r="AP17" s="496">
        <v>72.115384615384642</v>
      </c>
      <c r="AQ17" s="497">
        <f t="shared" si="12"/>
        <v>1.3311807253550529</v>
      </c>
      <c r="AR17" s="498">
        <f t="shared" si="124"/>
        <v>0</v>
      </c>
      <c r="AS17" s="496"/>
      <c r="AT17" s="497">
        <f t="shared" si="13"/>
        <v>0</v>
      </c>
      <c r="AU17" s="498">
        <f t="shared" si="125"/>
        <v>0</v>
      </c>
      <c r="AV17" s="496">
        <v>16.649999999999977</v>
      </c>
      <c r="AW17" s="497">
        <f t="shared" si="14"/>
        <v>0.3073430058699741</v>
      </c>
      <c r="AX17" s="498">
        <f t="shared" si="126"/>
        <v>0</v>
      </c>
      <c r="AY17" s="496">
        <v>79.333333333333314</v>
      </c>
      <c r="AZ17" s="497">
        <f t="shared" si="15"/>
        <v>1.4644171250661446</v>
      </c>
      <c r="BA17" s="498">
        <f t="shared" si="127"/>
        <v>0</v>
      </c>
      <c r="BB17" s="496"/>
      <c r="BC17" s="497">
        <f t="shared" si="16"/>
        <v>0</v>
      </c>
      <c r="BD17" s="498">
        <f t="shared" si="128"/>
        <v>0</v>
      </c>
      <c r="BE17" s="496"/>
      <c r="BF17" s="497">
        <f t="shared" si="17"/>
        <v>0</v>
      </c>
      <c r="BG17" s="498">
        <f t="shared" si="129"/>
        <v>0</v>
      </c>
      <c r="BH17" s="496"/>
      <c r="BI17" s="497">
        <f t="shared" si="18"/>
        <v>0</v>
      </c>
      <c r="BJ17" s="498">
        <f t="shared" si="130"/>
        <v>0</v>
      </c>
      <c r="BK17" s="496"/>
      <c r="BL17" s="497">
        <f t="shared" si="19"/>
        <v>0</v>
      </c>
      <c r="BM17" s="498">
        <f t="shared" si="131"/>
        <v>0</v>
      </c>
      <c r="BN17" s="496">
        <v>17.716049382716051</v>
      </c>
      <c r="BO17" s="497">
        <f t="shared" si="20"/>
        <v>0.32702125341891036</v>
      </c>
      <c r="BP17" s="498">
        <f t="shared" si="132"/>
        <v>0</v>
      </c>
      <c r="BQ17" s="496">
        <v>0</v>
      </c>
      <c r="BR17" s="497">
        <f t="shared" si="21"/>
        <v>0</v>
      </c>
      <c r="BS17" s="498">
        <f t="shared" si="133"/>
        <v>0</v>
      </c>
      <c r="BT17" s="496"/>
      <c r="BU17" s="497">
        <f t="shared" si="22"/>
        <v>0</v>
      </c>
      <c r="BV17" s="498">
        <f t="shared" si="134"/>
        <v>0</v>
      </c>
      <c r="BW17" s="496"/>
      <c r="BX17" s="497">
        <f t="shared" si="23"/>
        <v>0</v>
      </c>
      <c r="BY17" s="498">
        <f t="shared" si="135"/>
        <v>0</v>
      </c>
      <c r="BZ17" s="496"/>
      <c r="CA17" s="497">
        <f t="shared" si="24"/>
        <v>0</v>
      </c>
      <c r="CB17" s="498">
        <f t="shared" si="136"/>
        <v>0</v>
      </c>
      <c r="CC17" s="496">
        <v>0</v>
      </c>
      <c r="CD17" s="497">
        <f t="shared" si="25"/>
        <v>0</v>
      </c>
      <c r="CE17" s="498">
        <f t="shared" si="137"/>
        <v>0</v>
      </c>
      <c r="CF17" s="496">
        <v>7.2000000000000011</v>
      </c>
      <c r="CG17" s="497">
        <f t="shared" si="26"/>
        <v>0.13290508361944847</v>
      </c>
      <c r="CH17" s="498">
        <f t="shared" si="138"/>
        <v>0</v>
      </c>
      <c r="CI17" s="496"/>
      <c r="CJ17" s="497">
        <f t="shared" si="27"/>
        <v>0</v>
      </c>
      <c r="CK17" s="498">
        <f t="shared" si="139"/>
        <v>0</v>
      </c>
      <c r="CL17" s="496"/>
      <c r="CM17" s="497">
        <f t="shared" si="28"/>
        <v>0</v>
      </c>
      <c r="CN17" s="498">
        <f t="shared" si="140"/>
        <v>0</v>
      </c>
      <c r="CO17" s="496"/>
      <c r="CP17" s="497">
        <f t="shared" si="29"/>
        <v>0</v>
      </c>
      <c r="CQ17" s="498">
        <f t="shared" si="141"/>
        <v>0</v>
      </c>
      <c r="CR17" s="496"/>
      <c r="CS17" s="497">
        <f t="shared" si="30"/>
        <v>0</v>
      </c>
      <c r="CT17" s="498">
        <f t="shared" si="142"/>
        <v>0</v>
      </c>
      <c r="CU17" s="496"/>
      <c r="CV17" s="497">
        <f t="shared" si="31"/>
        <v>0</v>
      </c>
      <c r="CW17" s="498">
        <f t="shared" si="143"/>
        <v>0</v>
      </c>
      <c r="CX17" s="496"/>
      <c r="CY17" s="497">
        <f t="shared" si="32"/>
        <v>0</v>
      </c>
      <c r="CZ17" s="498">
        <f t="shared" si="144"/>
        <v>0</v>
      </c>
      <c r="DA17" s="496"/>
      <c r="DB17" s="497">
        <f t="shared" si="33"/>
        <v>0</v>
      </c>
      <c r="DC17" s="498">
        <f t="shared" si="145"/>
        <v>0</v>
      </c>
      <c r="DD17" s="496"/>
      <c r="DE17" s="497">
        <f t="shared" si="34"/>
        <v>0</v>
      </c>
      <c r="DF17" s="498">
        <f t="shared" si="146"/>
        <v>0</v>
      </c>
      <c r="DG17" s="496"/>
      <c r="DH17" s="497">
        <f t="shared" si="35"/>
        <v>0</v>
      </c>
      <c r="DI17" s="498">
        <f t="shared" si="203"/>
        <v>0</v>
      </c>
      <c r="DJ17" s="496"/>
      <c r="DK17" s="497">
        <f t="shared" si="36"/>
        <v>0</v>
      </c>
      <c r="DL17" s="498">
        <f t="shared" si="147"/>
        <v>0</v>
      </c>
      <c r="DM17" s="496"/>
      <c r="DN17" s="497">
        <f t="shared" si="37"/>
        <v>0</v>
      </c>
      <c r="DO17" s="498">
        <f t="shared" si="148"/>
        <v>0</v>
      </c>
      <c r="DP17" s="496"/>
      <c r="DQ17" s="497">
        <f t="shared" si="38"/>
        <v>0</v>
      </c>
      <c r="DR17" s="498">
        <f t="shared" si="149"/>
        <v>0</v>
      </c>
      <c r="DS17" s="496"/>
      <c r="DT17" s="497">
        <f t="shared" si="39"/>
        <v>0</v>
      </c>
      <c r="DU17" s="498">
        <f t="shared" si="150"/>
        <v>0</v>
      </c>
      <c r="DV17" s="496"/>
      <c r="DW17" s="497">
        <f t="shared" si="40"/>
        <v>0</v>
      </c>
      <c r="DX17" s="498">
        <f t="shared" si="151"/>
        <v>0</v>
      </c>
      <c r="DY17" s="496">
        <v>0</v>
      </c>
      <c r="DZ17" s="497">
        <f t="shared" si="41"/>
        <v>0</v>
      </c>
      <c r="EA17" s="498">
        <f t="shared" si="152"/>
        <v>0</v>
      </c>
      <c r="EB17" s="496">
        <v>14.534883720930225</v>
      </c>
      <c r="EC17" s="497">
        <f t="shared" si="42"/>
        <v>0.26829999115683217</v>
      </c>
      <c r="ED17" s="498">
        <f t="shared" si="153"/>
        <v>0</v>
      </c>
      <c r="EE17" s="496">
        <v>8</v>
      </c>
      <c r="EF17" s="497">
        <f t="shared" si="43"/>
        <v>0.1476723151327205</v>
      </c>
      <c r="EG17" s="498">
        <f t="shared" si="154"/>
        <v>0</v>
      </c>
      <c r="EH17" s="496"/>
      <c r="EI17" s="497">
        <f t="shared" si="44"/>
        <v>0</v>
      </c>
      <c r="EJ17" s="498">
        <f t="shared" si="155"/>
        <v>0</v>
      </c>
      <c r="EK17" s="496"/>
      <c r="EL17" s="497">
        <f t="shared" si="45"/>
        <v>0</v>
      </c>
      <c r="EM17" s="498">
        <f t="shared" si="156"/>
        <v>0</v>
      </c>
      <c r="EN17" s="496"/>
      <c r="EO17" s="497">
        <f t="shared" si="46"/>
        <v>0</v>
      </c>
      <c r="EP17" s="498">
        <f t="shared" si="157"/>
        <v>0</v>
      </c>
      <c r="EQ17" s="496"/>
      <c r="ER17" s="497">
        <f t="shared" si="47"/>
        <v>0</v>
      </c>
      <c r="ES17" s="498">
        <f t="shared" si="158"/>
        <v>0</v>
      </c>
      <c r="ET17" s="496"/>
      <c r="EU17" s="497">
        <f t="shared" si="48"/>
        <v>0</v>
      </c>
      <c r="EV17" s="498">
        <f t="shared" si="159"/>
        <v>0</v>
      </c>
      <c r="EW17" s="496"/>
      <c r="EX17" s="497">
        <f t="shared" si="49"/>
        <v>0</v>
      </c>
      <c r="EY17" s="498">
        <f t="shared" si="160"/>
        <v>0</v>
      </c>
      <c r="EZ17" s="496"/>
      <c r="FA17" s="497">
        <f t="shared" si="50"/>
        <v>0</v>
      </c>
      <c r="FB17" s="498">
        <f t="shared" si="161"/>
        <v>0</v>
      </c>
      <c r="FC17" s="496"/>
      <c r="FD17" s="497">
        <f t="shared" si="51"/>
        <v>0</v>
      </c>
      <c r="FE17" s="498">
        <f t="shared" si="162"/>
        <v>0</v>
      </c>
      <c r="FF17" s="496"/>
      <c r="FG17" s="497">
        <f t="shared" si="52"/>
        <v>0</v>
      </c>
      <c r="FH17" s="498">
        <f t="shared" si="163"/>
        <v>0</v>
      </c>
      <c r="FI17" s="496"/>
      <c r="FJ17" s="497">
        <f t="shared" si="53"/>
        <v>0</v>
      </c>
      <c r="FK17" s="498">
        <f t="shared" si="164"/>
        <v>0</v>
      </c>
      <c r="FL17" s="496"/>
      <c r="FM17" s="497">
        <f t="shared" si="54"/>
        <v>0</v>
      </c>
      <c r="FN17" s="498">
        <f t="shared" si="165"/>
        <v>0</v>
      </c>
      <c r="FO17" s="496"/>
      <c r="FP17" s="497">
        <f t="shared" si="55"/>
        <v>0</v>
      </c>
      <c r="FQ17" s="498">
        <f t="shared" si="166"/>
        <v>0</v>
      </c>
      <c r="FR17" s="496"/>
      <c r="FS17" s="497">
        <f t="shared" si="56"/>
        <v>0</v>
      </c>
      <c r="FT17" s="498">
        <f t="shared" si="167"/>
        <v>0</v>
      </c>
      <c r="FU17" s="496"/>
      <c r="FV17" s="497">
        <f t="shared" si="57"/>
        <v>0</v>
      </c>
      <c r="FW17" s="498">
        <f t="shared" si="168"/>
        <v>0</v>
      </c>
      <c r="FX17" s="496"/>
      <c r="FY17" s="497">
        <f t="shared" si="58"/>
        <v>0</v>
      </c>
      <c r="FZ17" s="498">
        <f t="shared" si="169"/>
        <v>0</v>
      </c>
      <c r="GA17" s="496"/>
      <c r="GB17" s="497">
        <f t="shared" si="59"/>
        <v>0</v>
      </c>
      <c r="GC17" s="498">
        <f t="shared" si="170"/>
        <v>0</v>
      </c>
      <c r="GD17" s="496"/>
      <c r="GE17" s="497">
        <f t="shared" si="60"/>
        <v>0</v>
      </c>
      <c r="GF17" s="498">
        <f t="shared" si="171"/>
        <v>0</v>
      </c>
      <c r="GG17" s="496"/>
      <c r="GH17" s="497">
        <f t="shared" si="61"/>
        <v>0</v>
      </c>
      <c r="GI17" s="498">
        <f t="shared" si="172"/>
        <v>0</v>
      </c>
      <c r="GJ17" s="496"/>
      <c r="GK17" s="497">
        <f t="shared" si="62"/>
        <v>0</v>
      </c>
      <c r="GL17" s="498">
        <f t="shared" si="173"/>
        <v>0</v>
      </c>
      <c r="GM17" s="496"/>
      <c r="GN17" s="497">
        <f t="shared" si="63"/>
        <v>0</v>
      </c>
      <c r="GO17" s="498">
        <f t="shared" si="174"/>
        <v>0</v>
      </c>
      <c r="GP17" s="496"/>
      <c r="GQ17" s="497">
        <f t="shared" si="64"/>
        <v>0</v>
      </c>
      <c r="GR17" s="498">
        <f t="shared" si="175"/>
        <v>0</v>
      </c>
      <c r="GS17" s="496"/>
      <c r="GT17" s="497">
        <f t="shared" si="65"/>
        <v>0</v>
      </c>
      <c r="GU17" s="498">
        <f t="shared" si="176"/>
        <v>0</v>
      </c>
      <c r="GV17" s="496"/>
      <c r="GW17" s="497">
        <f t="shared" si="66"/>
        <v>0</v>
      </c>
      <c r="GX17" s="498">
        <f t="shared" si="177"/>
        <v>0</v>
      </c>
      <c r="GY17" s="496"/>
      <c r="GZ17" s="497">
        <f t="shared" si="67"/>
        <v>0</v>
      </c>
      <c r="HA17" s="498">
        <f t="shared" si="178"/>
        <v>0</v>
      </c>
      <c r="HB17" s="496"/>
      <c r="HC17" s="497">
        <f t="shared" si="68"/>
        <v>0</v>
      </c>
      <c r="HD17" s="498">
        <f t="shared" si="179"/>
        <v>0</v>
      </c>
      <c r="HE17" s="496"/>
      <c r="HF17" s="497">
        <f t="shared" si="69"/>
        <v>0</v>
      </c>
      <c r="HG17" s="498">
        <f t="shared" si="180"/>
        <v>0</v>
      </c>
      <c r="HH17" s="496"/>
      <c r="HI17" s="497">
        <f t="shared" si="70"/>
        <v>0</v>
      </c>
      <c r="HJ17" s="498">
        <f t="shared" si="181"/>
        <v>0</v>
      </c>
      <c r="HK17" s="496"/>
      <c r="HL17" s="497">
        <f t="shared" si="71"/>
        <v>0</v>
      </c>
      <c r="HM17" s="498">
        <f t="shared" si="182"/>
        <v>0</v>
      </c>
      <c r="HN17" s="496"/>
      <c r="HO17" s="497">
        <f t="shared" si="72"/>
        <v>0</v>
      </c>
      <c r="HP17" s="498">
        <f t="shared" si="183"/>
        <v>0</v>
      </c>
      <c r="HQ17" s="496"/>
      <c r="HR17" s="497">
        <f t="shared" si="73"/>
        <v>0</v>
      </c>
      <c r="HS17" s="498">
        <f t="shared" si="184"/>
        <v>0</v>
      </c>
      <c r="HT17" s="496"/>
      <c r="HU17" s="497">
        <f t="shared" si="74"/>
        <v>0</v>
      </c>
      <c r="HV17" s="498">
        <f t="shared" si="185"/>
        <v>0</v>
      </c>
      <c r="HW17" s="496"/>
      <c r="HX17" s="497">
        <f t="shared" si="75"/>
        <v>0</v>
      </c>
      <c r="HY17" s="498">
        <f t="shared" si="186"/>
        <v>0</v>
      </c>
      <c r="HZ17" s="496"/>
      <c r="IA17" s="497">
        <f t="shared" si="76"/>
        <v>0</v>
      </c>
      <c r="IB17" s="498">
        <f t="shared" si="187"/>
        <v>0</v>
      </c>
      <c r="IC17" s="496"/>
      <c r="ID17" s="497">
        <f t="shared" si="77"/>
        <v>0</v>
      </c>
      <c r="IE17" s="498">
        <f t="shared" si="188"/>
        <v>0</v>
      </c>
      <c r="IF17" s="496"/>
      <c r="IG17" s="497">
        <f t="shared" si="78"/>
        <v>0</v>
      </c>
      <c r="IH17" s="498">
        <f t="shared" si="189"/>
        <v>0</v>
      </c>
      <c r="II17" s="496"/>
      <c r="IJ17" s="497">
        <f t="shared" si="79"/>
        <v>0</v>
      </c>
      <c r="IK17" s="498">
        <f t="shared" si="190"/>
        <v>0</v>
      </c>
      <c r="IL17" s="496"/>
      <c r="IM17" s="497">
        <f t="shared" si="80"/>
        <v>0</v>
      </c>
      <c r="IN17" s="498">
        <f t="shared" si="191"/>
        <v>0</v>
      </c>
      <c r="IO17" s="496"/>
      <c r="IP17" s="497">
        <f t="shared" si="81"/>
        <v>0</v>
      </c>
      <c r="IQ17" s="498">
        <f t="shared" si="192"/>
        <v>0</v>
      </c>
      <c r="IR17" s="496"/>
      <c r="IS17" s="497">
        <f t="shared" si="82"/>
        <v>0</v>
      </c>
      <c r="IT17" s="498">
        <f t="shared" si="193"/>
        <v>0</v>
      </c>
      <c r="IU17" s="496"/>
      <c r="IV17" s="497">
        <f t="shared" si="83"/>
        <v>0</v>
      </c>
      <c r="IW17" s="498">
        <f t="shared" si="194"/>
        <v>0</v>
      </c>
      <c r="IX17" s="496"/>
      <c r="IY17" s="497">
        <f t="shared" si="84"/>
        <v>0</v>
      </c>
      <c r="IZ17" s="498">
        <f t="shared" si="195"/>
        <v>0</v>
      </c>
      <c r="JA17" s="496"/>
      <c r="JB17" s="497">
        <f t="shared" si="85"/>
        <v>0</v>
      </c>
      <c r="JC17" s="498">
        <f t="shared" si="196"/>
        <v>0</v>
      </c>
      <c r="JD17" s="496"/>
      <c r="JE17" s="497">
        <f t="shared" si="86"/>
        <v>0</v>
      </c>
      <c r="JF17" s="498">
        <f t="shared" si="197"/>
        <v>0</v>
      </c>
      <c r="JG17" s="496"/>
      <c r="JH17" s="497">
        <f t="shared" si="87"/>
        <v>0</v>
      </c>
      <c r="JI17" s="498">
        <f t="shared" si="198"/>
        <v>0</v>
      </c>
      <c r="JJ17" s="496"/>
      <c r="JK17" s="498" t="str">
        <f t="shared" si="88"/>
        <v>0</v>
      </c>
      <c r="JL17" s="498" t="str">
        <f t="shared" si="89"/>
        <v>0</v>
      </c>
      <c r="JM17" s="496"/>
      <c r="JN17" s="498" t="str">
        <f t="shared" si="90"/>
        <v>0</v>
      </c>
      <c r="JO17" s="498" t="str">
        <f t="shared" si="91"/>
        <v>0</v>
      </c>
      <c r="JP17" s="496"/>
      <c r="JQ17" s="498" t="str">
        <f t="shared" si="92"/>
        <v>0</v>
      </c>
      <c r="JR17" s="498" t="str">
        <f t="shared" si="93"/>
        <v>0</v>
      </c>
      <c r="JS17" s="496"/>
      <c r="JT17" s="498" t="str">
        <f t="shared" si="94"/>
        <v>0</v>
      </c>
      <c r="JU17" s="498" t="str">
        <f t="shared" si="95"/>
        <v>0</v>
      </c>
      <c r="JV17" s="496"/>
      <c r="JW17" s="498" t="str">
        <f t="shared" si="96"/>
        <v>0</v>
      </c>
      <c r="JX17" s="498" t="str">
        <f t="shared" si="97"/>
        <v>0</v>
      </c>
      <c r="JY17" s="496"/>
      <c r="JZ17" s="498" t="str">
        <f t="shared" si="98"/>
        <v>0</v>
      </c>
      <c r="KA17" s="498" t="str">
        <f t="shared" si="99"/>
        <v>0</v>
      </c>
      <c r="KB17" s="496"/>
      <c r="KC17" s="498" t="str">
        <f t="shared" si="100"/>
        <v>0</v>
      </c>
      <c r="KD17" s="498" t="str">
        <f t="shared" si="101"/>
        <v>0</v>
      </c>
      <c r="KE17" s="496"/>
      <c r="KF17" s="498" t="str">
        <f t="shared" si="102"/>
        <v>0</v>
      </c>
      <c r="KG17" s="498" t="str">
        <f t="shared" si="103"/>
        <v>0</v>
      </c>
      <c r="KH17" s="496"/>
      <c r="KI17" s="498" t="str">
        <f t="shared" si="104"/>
        <v>0</v>
      </c>
      <c r="KJ17" s="498" t="str">
        <f t="shared" si="105"/>
        <v>0</v>
      </c>
      <c r="KK17" s="496"/>
      <c r="KL17" s="498" t="str">
        <f t="shared" si="106"/>
        <v>0</v>
      </c>
      <c r="KM17" s="498" t="str">
        <f t="shared" si="107"/>
        <v>0</v>
      </c>
      <c r="KN17" s="496"/>
      <c r="KO17" s="498" t="str">
        <f t="shared" si="108"/>
        <v>0</v>
      </c>
      <c r="KP17" s="498" t="str">
        <f t="shared" si="109"/>
        <v>0</v>
      </c>
      <c r="KQ17" s="496"/>
      <c r="KR17" s="498" t="str">
        <f t="shared" si="110"/>
        <v>0</v>
      </c>
      <c r="KS17" s="498" t="str">
        <f t="shared" si="111"/>
        <v>0</v>
      </c>
      <c r="KT17" s="498">
        <f t="shared" si="201"/>
        <v>0</v>
      </c>
      <c r="KU17" s="498">
        <f t="shared" si="202"/>
        <v>0</v>
      </c>
      <c r="KV17" s="262">
        <f t="shared" si="199"/>
        <v>747.99005802910847</v>
      </c>
    </row>
    <row r="18" spans="1:308" ht="15" customHeight="1">
      <c r="A18" s="264">
        <f t="shared" si="200"/>
        <v>46000</v>
      </c>
      <c r="B18" s="265" t="str">
        <f>+Report1!B17</f>
        <v>Facial</v>
      </c>
      <c r="C18" s="392" t="str">
        <f>+Report1!C17</f>
        <v>12</v>
      </c>
      <c r="D18" s="266">
        <f>+Report1!P17</f>
        <v>47.442999999999998</v>
      </c>
      <c r="E18" s="267">
        <f>+Report1!R17</f>
        <v>49.234000000000002</v>
      </c>
      <c r="F18" s="496"/>
      <c r="G18" s="497">
        <f t="shared" si="0"/>
        <v>0</v>
      </c>
      <c r="H18" s="498">
        <f t="shared" si="112"/>
        <v>0</v>
      </c>
      <c r="I18" s="496">
        <v>534.88372093023258</v>
      </c>
      <c r="J18" s="497">
        <f t="shared" si="1"/>
        <v>10.864112624004399</v>
      </c>
      <c r="K18" s="498">
        <f t="shared" si="113"/>
        <v>0</v>
      </c>
      <c r="L18" s="496"/>
      <c r="M18" s="497">
        <f t="shared" si="2"/>
        <v>0</v>
      </c>
      <c r="N18" s="498">
        <f t="shared" si="114"/>
        <v>0</v>
      </c>
      <c r="O18" s="496">
        <v>9</v>
      </c>
      <c r="P18" s="497">
        <f t="shared" si="3"/>
        <v>0.18280050371694356</v>
      </c>
      <c r="Q18" s="498">
        <f t="shared" si="115"/>
        <v>0</v>
      </c>
      <c r="R18" s="496">
        <v>5.1250000000000284</v>
      </c>
      <c r="S18" s="497">
        <f t="shared" si="4"/>
        <v>0.10409473128326011</v>
      </c>
      <c r="T18" s="498">
        <f t="shared" si="116"/>
        <v>0</v>
      </c>
      <c r="U18" s="496">
        <v>0</v>
      </c>
      <c r="V18" s="497">
        <f t="shared" si="5"/>
        <v>0</v>
      </c>
      <c r="W18" s="498">
        <f t="shared" si="117"/>
        <v>0</v>
      </c>
      <c r="X18" s="496"/>
      <c r="Y18" s="497">
        <f t="shared" si="6"/>
        <v>0</v>
      </c>
      <c r="Z18" s="498">
        <f t="shared" si="118"/>
        <v>0</v>
      </c>
      <c r="AA18" s="496"/>
      <c r="AB18" s="497">
        <f t="shared" si="7"/>
        <v>0</v>
      </c>
      <c r="AC18" s="498">
        <f t="shared" si="119"/>
        <v>0</v>
      </c>
      <c r="AD18" s="496"/>
      <c r="AE18" s="497">
        <f t="shared" si="8"/>
        <v>0</v>
      </c>
      <c r="AF18" s="498">
        <f t="shared" si="120"/>
        <v>0</v>
      </c>
      <c r="AG18" s="496"/>
      <c r="AH18" s="497">
        <f t="shared" si="9"/>
        <v>0</v>
      </c>
      <c r="AI18" s="498">
        <f t="shared" si="121"/>
        <v>0</v>
      </c>
      <c r="AJ18" s="496"/>
      <c r="AK18" s="497">
        <f t="shared" si="10"/>
        <v>0</v>
      </c>
      <c r="AL18" s="498">
        <f t="shared" si="122"/>
        <v>0</v>
      </c>
      <c r="AM18" s="496"/>
      <c r="AN18" s="497">
        <f t="shared" si="11"/>
        <v>0</v>
      </c>
      <c r="AO18" s="498">
        <f t="shared" si="123"/>
        <v>0</v>
      </c>
      <c r="AP18" s="496">
        <v>28.846153846153811</v>
      </c>
      <c r="AQ18" s="497">
        <f t="shared" si="12"/>
        <v>0.58589905037481838</v>
      </c>
      <c r="AR18" s="498">
        <f t="shared" si="124"/>
        <v>0</v>
      </c>
      <c r="AS18" s="496"/>
      <c r="AT18" s="497">
        <f t="shared" si="13"/>
        <v>0</v>
      </c>
      <c r="AU18" s="498">
        <f t="shared" si="125"/>
        <v>0</v>
      </c>
      <c r="AV18" s="496">
        <v>16.650000000000034</v>
      </c>
      <c r="AW18" s="497">
        <f t="shared" si="14"/>
        <v>0.33818093187634629</v>
      </c>
      <c r="AX18" s="498">
        <f t="shared" si="126"/>
        <v>0</v>
      </c>
      <c r="AY18" s="496">
        <v>74.666666666666686</v>
      </c>
      <c r="AZ18" s="497">
        <f t="shared" si="15"/>
        <v>1.5165671419479767</v>
      </c>
      <c r="BA18" s="498">
        <f t="shared" si="127"/>
        <v>0</v>
      </c>
      <c r="BB18" s="496"/>
      <c r="BC18" s="497">
        <f t="shared" si="16"/>
        <v>0</v>
      </c>
      <c r="BD18" s="498">
        <f t="shared" si="128"/>
        <v>0</v>
      </c>
      <c r="BE18" s="496"/>
      <c r="BF18" s="497">
        <f t="shared" si="17"/>
        <v>0</v>
      </c>
      <c r="BG18" s="498">
        <f t="shared" si="129"/>
        <v>0</v>
      </c>
      <c r="BH18" s="496"/>
      <c r="BI18" s="497">
        <f t="shared" si="18"/>
        <v>0</v>
      </c>
      <c r="BJ18" s="498">
        <f t="shared" si="130"/>
        <v>0</v>
      </c>
      <c r="BK18" s="496"/>
      <c r="BL18" s="497">
        <f t="shared" si="19"/>
        <v>0</v>
      </c>
      <c r="BM18" s="498">
        <f t="shared" si="131"/>
        <v>0</v>
      </c>
      <c r="BN18" s="496">
        <v>20.246913580246911</v>
      </c>
      <c r="BO18" s="497">
        <f t="shared" si="20"/>
        <v>0.41123844457584008</v>
      </c>
      <c r="BP18" s="498">
        <f t="shared" si="132"/>
        <v>0</v>
      </c>
      <c r="BQ18" s="496">
        <v>0</v>
      </c>
      <c r="BR18" s="497">
        <f t="shared" si="21"/>
        <v>0</v>
      </c>
      <c r="BS18" s="498">
        <f t="shared" si="133"/>
        <v>0</v>
      </c>
      <c r="BT18" s="496"/>
      <c r="BU18" s="497">
        <f t="shared" si="22"/>
        <v>0</v>
      </c>
      <c r="BV18" s="498">
        <f t="shared" si="134"/>
        <v>0</v>
      </c>
      <c r="BW18" s="496"/>
      <c r="BX18" s="497">
        <f t="shared" si="23"/>
        <v>0</v>
      </c>
      <c r="BY18" s="498">
        <f t="shared" si="135"/>
        <v>0</v>
      </c>
      <c r="BZ18" s="496"/>
      <c r="CA18" s="497">
        <f t="shared" si="24"/>
        <v>0</v>
      </c>
      <c r="CB18" s="498">
        <f t="shared" si="136"/>
        <v>0</v>
      </c>
      <c r="CC18" s="496">
        <v>0</v>
      </c>
      <c r="CD18" s="497">
        <f t="shared" si="25"/>
        <v>0</v>
      </c>
      <c r="CE18" s="498">
        <f t="shared" si="137"/>
        <v>0</v>
      </c>
      <c r="CF18" s="496">
        <v>7.1999999999999975</v>
      </c>
      <c r="CG18" s="497">
        <f t="shared" si="26"/>
        <v>0.14624040297355481</v>
      </c>
      <c r="CH18" s="498">
        <f t="shared" si="138"/>
        <v>0</v>
      </c>
      <c r="CI18" s="496"/>
      <c r="CJ18" s="497">
        <f t="shared" si="27"/>
        <v>0</v>
      </c>
      <c r="CK18" s="498">
        <f t="shared" si="139"/>
        <v>0</v>
      </c>
      <c r="CL18" s="496"/>
      <c r="CM18" s="497">
        <f t="shared" si="28"/>
        <v>0</v>
      </c>
      <c r="CN18" s="498">
        <f t="shared" si="140"/>
        <v>0</v>
      </c>
      <c r="CO18" s="496"/>
      <c r="CP18" s="497">
        <f t="shared" si="29"/>
        <v>0</v>
      </c>
      <c r="CQ18" s="498">
        <f t="shared" si="141"/>
        <v>0</v>
      </c>
      <c r="CR18" s="496"/>
      <c r="CS18" s="497">
        <f t="shared" si="30"/>
        <v>0</v>
      </c>
      <c r="CT18" s="498">
        <f t="shared" si="142"/>
        <v>0</v>
      </c>
      <c r="CU18" s="496"/>
      <c r="CV18" s="497">
        <f t="shared" si="31"/>
        <v>0</v>
      </c>
      <c r="CW18" s="498">
        <f t="shared" si="143"/>
        <v>0</v>
      </c>
      <c r="CX18" s="496"/>
      <c r="CY18" s="497">
        <f t="shared" si="32"/>
        <v>0</v>
      </c>
      <c r="CZ18" s="498">
        <f t="shared" si="144"/>
        <v>0</v>
      </c>
      <c r="DA18" s="496"/>
      <c r="DB18" s="497">
        <f t="shared" si="33"/>
        <v>0</v>
      </c>
      <c r="DC18" s="498">
        <f t="shared" si="145"/>
        <v>0</v>
      </c>
      <c r="DD18" s="496"/>
      <c r="DE18" s="497">
        <f t="shared" si="34"/>
        <v>0</v>
      </c>
      <c r="DF18" s="498">
        <f t="shared" si="146"/>
        <v>0</v>
      </c>
      <c r="DG18" s="496"/>
      <c r="DH18" s="497">
        <f t="shared" si="35"/>
        <v>0</v>
      </c>
      <c r="DI18" s="498">
        <f t="shared" si="203"/>
        <v>0</v>
      </c>
      <c r="DJ18" s="496"/>
      <c r="DK18" s="497">
        <f t="shared" si="36"/>
        <v>0</v>
      </c>
      <c r="DL18" s="498">
        <f t="shared" si="147"/>
        <v>0</v>
      </c>
      <c r="DM18" s="496"/>
      <c r="DN18" s="497">
        <f t="shared" si="37"/>
        <v>0</v>
      </c>
      <c r="DO18" s="498">
        <f t="shared" si="148"/>
        <v>0</v>
      </c>
      <c r="DP18" s="496"/>
      <c r="DQ18" s="497">
        <f t="shared" si="38"/>
        <v>0</v>
      </c>
      <c r="DR18" s="498">
        <f t="shared" si="149"/>
        <v>0</v>
      </c>
      <c r="DS18" s="496"/>
      <c r="DT18" s="497">
        <f t="shared" si="39"/>
        <v>0</v>
      </c>
      <c r="DU18" s="498">
        <f t="shared" si="150"/>
        <v>0</v>
      </c>
      <c r="DV18" s="496"/>
      <c r="DW18" s="497">
        <f t="shared" si="40"/>
        <v>0</v>
      </c>
      <c r="DX18" s="498">
        <f t="shared" si="151"/>
        <v>0</v>
      </c>
      <c r="DY18" s="496">
        <v>0</v>
      </c>
      <c r="DZ18" s="497">
        <f t="shared" si="41"/>
        <v>0</v>
      </c>
      <c r="EA18" s="498">
        <f t="shared" si="152"/>
        <v>0</v>
      </c>
      <c r="EB18" s="496">
        <v>14.534883720930281</v>
      </c>
      <c r="EC18" s="497">
        <f t="shared" si="42"/>
        <v>0.29522045173925093</v>
      </c>
      <c r="ED18" s="498">
        <f t="shared" si="153"/>
        <v>0</v>
      </c>
      <c r="EE18" s="496">
        <v>8</v>
      </c>
      <c r="EF18" s="497">
        <f t="shared" si="43"/>
        <v>0.16248933663728318</v>
      </c>
      <c r="EG18" s="498">
        <f t="shared" si="154"/>
        <v>0</v>
      </c>
      <c r="EH18" s="496"/>
      <c r="EI18" s="497">
        <f t="shared" si="44"/>
        <v>0</v>
      </c>
      <c r="EJ18" s="498">
        <f t="shared" si="155"/>
        <v>0</v>
      </c>
      <c r="EK18" s="496"/>
      <c r="EL18" s="497">
        <f t="shared" si="45"/>
        <v>0</v>
      </c>
      <c r="EM18" s="498">
        <f t="shared" si="156"/>
        <v>0</v>
      </c>
      <c r="EN18" s="496"/>
      <c r="EO18" s="497">
        <f t="shared" si="46"/>
        <v>0</v>
      </c>
      <c r="EP18" s="498">
        <f t="shared" si="157"/>
        <v>0</v>
      </c>
      <c r="EQ18" s="496"/>
      <c r="ER18" s="497">
        <f t="shared" si="47"/>
        <v>0</v>
      </c>
      <c r="ES18" s="498">
        <f t="shared" si="158"/>
        <v>0</v>
      </c>
      <c r="ET18" s="496"/>
      <c r="EU18" s="497">
        <f t="shared" si="48"/>
        <v>0</v>
      </c>
      <c r="EV18" s="498">
        <f t="shared" si="159"/>
        <v>0</v>
      </c>
      <c r="EW18" s="496"/>
      <c r="EX18" s="497">
        <f t="shared" si="49"/>
        <v>0</v>
      </c>
      <c r="EY18" s="498">
        <f t="shared" si="160"/>
        <v>0</v>
      </c>
      <c r="EZ18" s="496"/>
      <c r="FA18" s="497">
        <f t="shared" si="50"/>
        <v>0</v>
      </c>
      <c r="FB18" s="498">
        <f t="shared" si="161"/>
        <v>0</v>
      </c>
      <c r="FC18" s="496"/>
      <c r="FD18" s="497">
        <f t="shared" si="51"/>
        <v>0</v>
      </c>
      <c r="FE18" s="498">
        <f t="shared" si="162"/>
        <v>0</v>
      </c>
      <c r="FF18" s="496"/>
      <c r="FG18" s="497">
        <f t="shared" si="52"/>
        <v>0</v>
      </c>
      <c r="FH18" s="498">
        <f t="shared" si="163"/>
        <v>0</v>
      </c>
      <c r="FI18" s="496"/>
      <c r="FJ18" s="497">
        <f t="shared" si="53"/>
        <v>0</v>
      </c>
      <c r="FK18" s="498">
        <f t="shared" si="164"/>
        <v>0</v>
      </c>
      <c r="FL18" s="496"/>
      <c r="FM18" s="497">
        <f t="shared" si="54"/>
        <v>0</v>
      </c>
      <c r="FN18" s="498">
        <f t="shared" si="165"/>
        <v>0</v>
      </c>
      <c r="FO18" s="496"/>
      <c r="FP18" s="497">
        <f t="shared" si="55"/>
        <v>0</v>
      </c>
      <c r="FQ18" s="498">
        <f t="shared" si="166"/>
        <v>0</v>
      </c>
      <c r="FR18" s="496"/>
      <c r="FS18" s="497">
        <f t="shared" si="56"/>
        <v>0</v>
      </c>
      <c r="FT18" s="498">
        <f t="shared" si="167"/>
        <v>0</v>
      </c>
      <c r="FU18" s="496"/>
      <c r="FV18" s="497">
        <f t="shared" si="57"/>
        <v>0</v>
      </c>
      <c r="FW18" s="498">
        <f t="shared" si="168"/>
        <v>0</v>
      </c>
      <c r="FX18" s="496"/>
      <c r="FY18" s="497">
        <f t="shared" si="58"/>
        <v>0</v>
      </c>
      <c r="FZ18" s="498">
        <f t="shared" si="169"/>
        <v>0</v>
      </c>
      <c r="GA18" s="496"/>
      <c r="GB18" s="497">
        <f t="shared" si="59"/>
        <v>0</v>
      </c>
      <c r="GC18" s="498">
        <f t="shared" si="170"/>
        <v>0</v>
      </c>
      <c r="GD18" s="496"/>
      <c r="GE18" s="497">
        <f t="shared" si="60"/>
        <v>0</v>
      </c>
      <c r="GF18" s="498">
        <f t="shared" si="171"/>
        <v>0</v>
      </c>
      <c r="GG18" s="496"/>
      <c r="GH18" s="497">
        <f t="shared" si="61"/>
        <v>0</v>
      </c>
      <c r="GI18" s="498">
        <f t="shared" si="172"/>
        <v>0</v>
      </c>
      <c r="GJ18" s="496"/>
      <c r="GK18" s="497">
        <f t="shared" si="62"/>
        <v>0</v>
      </c>
      <c r="GL18" s="498">
        <f t="shared" si="173"/>
        <v>0</v>
      </c>
      <c r="GM18" s="496"/>
      <c r="GN18" s="497">
        <f t="shared" si="63"/>
        <v>0</v>
      </c>
      <c r="GO18" s="498">
        <f t="shared" si="174"/>
        <v>0</v>
      </c>
      <c r="GP18" s="496"/>
      <c r="GQ18" s="497">
        <f t="shared" si="64"/>
        <v>0</v>
      </c>
      <c r="GR18" s="498">
        <f t="shared" si="175"/>
        <v>0</v>
      </c>
      <c r="GS18" s="496"/>
      <c r="GT18" s="497">
        <f t="shared" si="65"/>
        <v>0</v>
      </c>
      <c r="GU18" s="498">
        <f t="shared" si="176"/>
        <v>0</v>
      </c>
      <c r="GV18" s="496"/>
      <c r="GW18" s="497">
        <f t="shared" si="66"/>
        <v>0</v>
      </c>
      <c r="GX18" s="498">
        <f t="shared" si="177"/>
        <v>0</v>
      </c>
      <c r="GY18" s="496"/>
      <c r="GZ18" s="497">
        <f t="shared" si="67"/>
        <v>0</v>
      </c>
      <c r="HA18" s="498">
        <f t="shared" si="178"/>
        <v>0</v>
      </c>
      <c r="HB18" s="496"/>
      <c r="HC18" s="497">
        <f t="shared" si="68"/>
        <v>0</v>
      </c>
      <c r="HD18" s="498">
        <f t="shared" si="179"/>
        <v>0</v>
      </c>
      <c r="HE18" s="496"/>
      <c r="HF18" s="497">
        <f t="shared" si="69"/>
        <v>0</v>
      </c>
      <c r="HG18" s="498">
        <f t="shared" si="180"/>
        <v>0</v>
      </c>
      <c r="HH18" s="496"/>
      <c r="HI18" s="497">
        <f t="shared" si="70"/>
        <v>0</v>
      </c>
      <c r="HJ18" s="498">
        <f t="shared" si="181"/>
        <v>0</v>
      </c>
      <c r="HK18" s="496"/>
      <c r="HL18" s="497">
        <f t="shared" si="71"/>
        <v>0</v>
      </c>
      <c r="HM18" s="498">
        <f t="shared" si="182"/>
        <v>0</v>
      </c>
      <c r="HN18" s="496"/>
      <c r="HO18" s="497">
        <f t="shared" si="72"/>
        <v>0</v>
      </c>
      <c r="HP18" s="498">
        <f t="shared" si="183"/>
        <v>0</v>
      </c>
      <c r="HQ18" s="496"/>
      <c r="HR18" s="497">
        <f t="shared" si="73"/>
        <v>0</v>
      </c>
      <c r="HS18" s="498">
        <f t="shared" si="184"/>
        <v>0</v>
      </c>
      <c r="HT18" s="496"/>
      <c r="HU18" s="497">
        <f t="shared" si="74"/>
        <v>0</v>
      </c>
      <c r="HV18" s="498">
        <f t="shared" si="185"/>
        <v>0</v>
      </c>
      <c r="HW18" s="496"/>
      <c r="HX18" s="497">
        <f t="shared" si="75"/>
        <v>0</v>
      </c>
      <c r="HY18" s="498">
        <f t="shared" si="186"/>
        <v>0</v>
      </c>
      <c r="HZ18" s="496"/>
      <c r="IA18" s="497">
        <f t="shared" si="76"/>
        <v>0</v>
      </c>
      <c r="IB18" s="498">
        <f t="shared" si="187"/>
        <v>0</v>
      </c>
      <c r="IC18" s="496"/>
      <c r="ID18" s="497">
        <f t="shared" si="77"/>
        <v>0</v>
      </c>
      <c r="IE18" s="498">
        <f t="shared" si="188"/>
        <v>0</v>
      </c>
      <c r="IF18" s="496"/>
      <c r="IG18" s="497">
        <f t="shared" si="78"/>
        <v>0</v>
      </c>
      <c r="IH18" s="498">
        <f t="shared" si="189"/>
        <v>0</v>
      </c>
      <c r="II18" s="496"/>
      <c r="IJ18" s="497">
        <f t="shared" si="79"/>
        <v>0</v>
      </c>
      <c r="IK18" s="498">
        <f t="shared" si="190"/>
        <v>0</v>
      </c>
      <c r="IL18" s="496"/>
      <c r="IM18" s="497">
        <f t="shared" si="80"/>
        <v>0</v>
      </c>
      <c r="IN18" s="498">
        <f t="shared" si="191"/>
        <v>0</v>
      </c>
      <c r="IO18" s="496"/>
      <c r="IP18" s="497">
        <f t="shared" si="81"/>
        <v>0</v>
      </c>
      <c r="IQ18" s="498">
        <f t="shared" si="192"/>
        <v>0</v>
      </c>
      <c r="IR18" s="496"/>
      <c r="IS18" s="497">
        <f t="shared" si="82"/>
        <v>0</v>
      </c>
      <c r="IT18" s="498">
        <f t="shared" si="193"/>
        <v>0</v>
      </c>
      <c r="IU18" s="496"/>
      <c r="IV18" s="497">
        <f t="shared" si="83"/>
        <v>0</v>
      </c>
      <c r="IW18" s="498">
        <f t="shared" si="194"/>
        <v>0</v>
      </c>
      <c r="IX18" s="496"/>
      <c r="IY18" s="497">
        <f t="shared" si="84"/>
        <v>0</v>
      </c>
      <c r="IZ18" s="498">
        <f t="shared" si="195"/>
        <v>0</v>
      </c>
      <c r="JA18" s="496"/>
      <c r="JB18" s="497">
        <f t="shared" si="85"/>
        <v>0</v>
      </c>
      <c r="JC18" s="498">
        <f t="shared" si="196"/>
        <v>0</v>
      </c>
      <c r="JD18" s="496"/>
      <c r="JE18" s="497">
        <f t="shared" si="86"/>
        <v>0</v>
      </c>
      <c r="JF18" s="498">
        <f t="shared" si="197"/>
        <v>0</v>
      </c>
      <c r="JG18" s="496"/>
      <c r="JH18" s="497">
        <f t="shared" si="87"/>
        <v>0</v>
      </c>
      <c r="JI18" s="498">
        <f t="shared" si="198"/>
        <v>0</v>
      </c>
      <c r="JJ18" s="496"/>
      <c r="JK18" s="498" t="str">
        <f t="shared" si="88"/>
        <v>0</v>
      </c>
      <c r="JL18" s="498" t="str">
        <f t="shared" si="89"/>
        <v>0</v>
      </c>
      <c r="JM18" s="496"/>
      <c r="JN18" s="498" t="str">
        <f t="shared" si="90"/>
        <v>0</v>
      </c>
      <c r="JO18" s="498" t="str">
        <f t="shared" si="91"/>
        <v>0</v>
      </c>
      <c r="JP18" s="496"/>
      <c r="JQ18" s="498" t="str">
        <f t="shared" si="92"/>
        <v>0</v>
      </c>
      <c r="JR18" s="498" t="str">
        <f t="shared" si="93"/>
        <v>0</v>
      </c>
      <c r="JS18" s="496"/>
      <c r="JT18" s="498" t="str">
        <f t="shared" si="94"/>
        <v>0</v>
      </c>
      <c r="JU18" s="498" t="str">
        <f t="shared" si="95"/>
        <v>0</v>
      </c>
      <c r="JV18" s="496"/>
      <c r="JW18" s="498" t="str">
        <f t="shared" si="96"/>
        <v>0</v>
      </c>
      <c r="JX18" s="498" t="str">
        <f t="shared" si="97"/>
        <v>0</v>
      </c>
      <c r="JY18" s="496"/>
      <c r="JZ18" s="498" t="str">
        <f t="shared" si="98"/>
        <v>0</v>
      </c>
      <c r="KA18" s="498" t="str">
        <f t="shared" si="99"/>
        <v>0</v>
      </c>
      <c r="KB18" s="496"/>
      <c r="KC18" s="498" t="str">
        <f t="shared" si="100"/>
        <v>0</v>
      </c>
      <c r="KD18" s="498" t="str">
        <f t="shared" si="101"/>
        <v>0</v>
      </c>
      <c r="KE18" s="496"/>
      <c r="KF18" s="498" t="str">
        <f t="shared" si="102"/>
        <v>0</v>
      </c>
      <c r="KG18" s="498" t="str">
        <f t="shared" si="103"/>
        <v>0</v>
      </c>
      <c r="KH18" s="496"/>
      <c r="KI18" s="498" t="str">
        <f t="shared" si="104"/>
        <v>0</v>
      </c>
      <c r="KJ18" s="498" t="str">
        <f t="shared" si="105"/>
        <v>0</v>
      </c>
      <c r="KK18" s="496"/>
      <c r="KL18" s="498" t="str">
        <f t="shared" si="106"/>
        <v>0</v>
      </c>
      <c r="KM18" s="498" t="str">
        <f t="shared" si="107"/>
        <v>0</v>
      </c>
      <c r="KN18" s="496"/>
      <c r="KO18" s="498" t="str">
        <f t="shared" si="108"/>
        <v>0</v>
      </c>
      <c r="KP18" s="498" t="str">
        <f t="shared" si="109"/>
        <v>0</v>
      </c>
      <c r="KQ18" s="496"/>
      <c r="KR18" s="498" t="str">
        <f t="shared" si="110"/>
        <v>0</v>
      </c>
      <c r="KS18" s="498" t="str">
        <f t="shared" si="111"/>
        <v>0</v>
      </c>
      <c r="KT18" s="498">
        <f t="shared" si="201"/>
        <v>0</v>
      </c>
      <c r="KU18" s="498">
        <f t="shared" si="202"/>
        <v>0</v>
      </c>
      <c r="KV18" s="262">
        <f t="shared" si="199"/>
        <v>719.1533387442305</v>
      </c>
    </row>
    <row r="19" spans="1:308" ht="15" customHeight="1">
      <c r="A19" s="264">
        <f t="shared" si="200"/>
        <v>46001</v>
      </c>
      <c r="B19" s="265" t="str">
        <f>+Report1!B18</f>
        <v>Facial</v>
      </c>
      <c r="C19" s="392" t="str">
        <f>+Report1!C18</f>
        <v>12</v>
      </c>
      <c r="D19" s="266">
        <f>+Report1!P18</f>
        <v>49.963000000000001</v>
      </c>
      <c r="E19" s="267">
        <f>+Report1!R18</f>
        <v>49.491</v>
      </c>
      <c r="F19" s="496"/>
      <c r="G19" s="497">
        <f t="shared" si="0"/>
        <v>0</v>
      </c>
      <c r="H19" s="498">
        <f t="shared" si="112"/>
        <v>0</v>
      </c>
      <c r="I19" s="496">
        <v>499.99999999999989</v>
      </c>
      <c r="J19" s="497">
        <f t="shared" si="1"/>
        <v>10.102846982279605</v>
      </c>
      <c r="K19" s="498">
        <f t="shared" si="113"/>
        <v>0</v>
      </c>
      <c r="L19" s="496"/>
      <c r="M19" s="497">
        <f t="shared" si="2"/>
        <v>0</v>
      </c>
      <c r="N19" s="498">
        <f t="shared" si="114"/>
        <v>0</v>
      </c>
      <c r="O19" s="496">
        <v>9</v>
      </c>
      <c r="P19" s="497">
        <f t="shared" si="3"/>
        <v>0.18185124568103292</v>
      </c>
      <c r="Q19" s="498">
        <f t="shared" si="115"/>
        <v>0</v>
      </c>
      <c r="R19" s="496">
        <v>10.249999999999972</v>
      </c>
      <c r="S19" s="497">
        <f t="shared" si="4"/>
        <v>0.20710836313673137</v>
      </c>
      <c r="T19" s="498">
        <f t="shared" si="116"/>
        <v>0</v>
      </c>
      <c r="U19" s="496">
        <v>0</v>
      </c>
      <c r="V19" s="497">
        <f t="shared" si="5"/>
        <v>0</v>
      </c>
      <c r="W19" s="498">
        <f t="shared" si="117"/>
        <v>0</v>
      </c>
      <c r="X19" s="496"/>
      <c r="Y19" s="497">
        <f t="shared" si="6"/>
        <v>0</v>
      </c>
      <c r="Z19" s="498">
        <f t="shared" si="118"/>
        <v>0</v>
      </c>
      <c r="AA19" s="496"/>
      <c r="AB19" s="497">
        <f t="shared" si="7"/>
        <v>0</v>
      </c>
      <c r="AC19" s="498">
        <f t="shared" si="119"/>
        <v>0</v>
      </c>
      <c r="AD19" s="496"/>
      <c r="AE19" s="497">
        <f t="shared" si="8"/>
        <v>0</v>
      </c>
      <c r="AF19" s="498">
        <f t="shared" si="120"/>
        <v>0</v>
      </c>
      <c r="AG19" s="496"/>
      <c r="AH19" s="497">
        <f t="shared" si="9"/>
        <v>0</v>
      </c>
      <c r="AI19" s="498">
        <f t="shared" si="121"/>
        <v>0</v>
      </c>
      <c r="AJ19" s="496"/>
      <c r="AK19" s="497">
        <f t="shared" si="10"/>
        <v>0</v>
      </c>
      <c r="AL19" s="498">
        <f t="shared" si="122"/>
        <v>0</v>
      </c>
      <c r="AM19" s="496"/>
      <c r="AN19" s="497">
        <f t="shared" si="11"/>
        <v>0</v>
      </c>
      <c r="AO19" s="498">
        <f t="shared" si="123"/>
        <v>0</v>
      </c>
      <c r="AP19" s="496">
        <v>34.615384615384642</v>
      </c>
      <c r="AQ19" s="497">
        <f t="shared" si="12"/>
        <v>0.69942786800397327</v>
      </c>
      <c r="AR19" s="498">
        <f t="shared" si="124"/>
        <v>0</v>
      </c>
      <c r="AS19" s="496"/>
      <c r="AT19" s="497">
        <f t="shared" si="13"/>
        <v>0</v>
      </c>
      <c r="AU19" s="498">
        <f t="shared" si="125"/>
        <v>0</v>
      </c>
      <c r="AV19" s="496">
        <v>16.650000000000034</v>
      </c>
      <c r="AW19" s="497">
        <f t="shared" si="14"/>
        <v>0.33642480450991158</v>
      </c>
      <c r="AX19" s="498">
        <f t="shared" si="126"/>
        <v>0</v>
      </c>
      <c r="AY19" s="496">
        <v>60.666666666666742</v>
      </c>
      <c r="AZ19" s="497">
        <f t="shared" si="15"/>
        <v>1.2258121005165938</v>
      </c>
      <c r="BA19" s="498">
        <f t="shared" si="127"/>
        <v>0</v>
      </c>
      <c r="BB19" s="496"/>
      <c r="BC19" s="497">
        <f t="shared" si="16"/>
        <v>0</v>
      </c>
      <c r="BD19" s="498">
        <f t="shared" si="128"/>
        <v>0</v>
      </c>
      <c r="BE19" s="496"/>
      <c r="BF19" s="497">
        <f t="shared" si="17"/>
        <v>0</v>
      </c>
      <c r="BG19" s="498">
        <f t="shared" si="129"/>
        <v>0</v>
      </c>
      <c r="BH19" s="496"/>
      <c r="BI19" s="497">
        <f t="shared" si="18"/>
        <v>0</v>
      </c>
      <c r="BJ19" s="498">
        <f t="shared" si="130"/>
        <v>0</v>
      </c>
      <c r="BK19" s="496"/>
      <c r="BL19" s="497">
        <f t="shared" si="19"/>
        <v>0</v>
      </c>
      <c r="BM19" s="498">
        <f t="shared" si="131"/>
        <v>0</v>
      </c>
      <c r="BN19" s="496">
        <v>22.777777777777771</v>
      </c>
      <c r="BO19" s="497">
        <f t="shared" si="20"/>
        <v>0.46024080697051528</v>
      </c>
      <c r="BP19" s="498">
        <f t="shared" si="132"/>
        <v>0</v>
      </c>
      <c r="BQ19" s="496">
        <v>0</v>
      </c>
      <c r="BR19" s="497">
        <f t="shared" si="21"/>
        <v>0</v>
      </c>
      <c r="BS19" s="498">
        <f t="shared" si="133"/>
        <v>0</v>
      </c>
      <c r="BT19" s="496"/>
      <c r="BU19" s="497">
        <f t="shared" si="22"/>
        <v>0</v>
      </c>
      <c r="BV19" s="498">
        <f t="shared" si="134"/>
        <v>0</v>
      </c>
      <c r="BW19" s="496"/>
      <c r="BX19" s="497">
        <f t="shared" si="23"/>
        <v>0</v>
      </c>
      <c r="BY19" s="498">
        <f t="shared" si="135"/>
        <v>0</v>
      </c>
      <c r="BZ19" s="496"/>
      <c r="CA19" s="497">
        <f t="shared" si="24"/>
        <v>0</v>
      </c>
      <c r="CB19" s="498">
        <f t="shared" si="136"/>
        <v>0</v>
      </c>
      <c r="CC19" s="496">
        <v>0</v>
      </c>
      <c r="CD19" s="497">
        <f t="shared" si="25"/>
        <v>0</v>
      </c>
      <c r="CE19" s="498">
        <f t="shared" si="137"/>
        <v>0</v>
      </c>
      <c r="CF19" s="496">
        <v>7.1999999999999984</v>
      </c>
      <c r="CG19" s="497">
        <f t="shared" si="26"/>
        <v>0.1454809965448263</v>
      </c>
      <c r="CH19" s="498">
        <f t="shared" si="138"/>
        <v>0</v>
      </c>
      <c r="CI19" s="496"/>
      <c r="CJ19" s="497">
        <f t="shared" si="27"/>
        <v>0</v>
      </c>
      <c r="CK19" s="498">
        <f t="shared" si="139"/>
        <v>0</v>
      </c>
      <c r="CL19" s="496"/>
      <c r="CM19" s="497">
        <f t="shared" si="28"/>
        <v>0</v>
      </c>
      <c r="CN19" s="498">
        <f t="shared" si="140"/>
        <v>0</v>
      </c>
      <c r="CO19" s="496"/>
      <c r="CP19" s="497">
        <f t="shared" si="29"/>
        <v>0</v>
      </c>
      <c r="CQ19" s="498">
        <f t="shared" si="141"/>
        <v>0</v>
      </c>
      <c r="CR19" s="496"/>
      <c r="CS19" s="497">
        <f t="shared" si="30"/>
        <v>0</v>
      </c>
      <c r="CT19" s="498">
        <f t="shared" si="142"/>
        <v>0</v>
      </c>
      <c r="CU19" s="496"/>
      <c r="CV19" s="497">
        <f t="shared" si="31"/>
        <v>0</v>
      </c>
      <c r="CW19" s="498">
        <f t="shared" si="143"/>
        <v>0</v>
      </c>
      <c r="CX19" s="496"/>
      <c r="CY19" s="497">
        <f t="shared" si="32"/>
        <v>0</v>
      </c>
      <c r="CZ19" s="498">
        <f t="shared" si="144"/>
        <v>0</v>
      </c>
      <c r="DA19" s="496"/>
      <c r="DB19" s="497">
        <f t="shared" si="33"/>
        <v>0</v>
      </c>
      <c r="DC19" s="498">
        <f t="shared" si="145"/>
        <v>0</v>
      </c>
      <c r="DD19" s="496"/>
      <c r="DE19" s="497">
        <f t="shared" si="34"/>
        <v>0</v>
      </c>
      <c r="DF19" s="498">
        <f t="shared" si="146"/>
        <v>0</v>
      </c>
      <c r="DG19" s="496"/>
      <c r="DH19" s="497">
        <f t="shared" si="35"/>
        <v>0</v>
      </c>
      <c r="DI19" s="498">
        <f t="shared" si="203"/>
        <v>0</v>
      </c>
      <c r="DJ19" s="496"/>
      <c r="DK19" s="497">
        <f t="shared" si="36"/>
        <v>0</v>
      </c>
      <c r="DL19" s="498">
        <f t="shared" si="147"/>
        <v>0</v>
      </c>
      <c r="DM19" s="496"/>
      <c r="DN19" s="497">
        <f t="shared" si="37"/>
        <v>0</v>
      </c>
      <c r="DO19" s="498">
        <f t="shared" si="148"/>
        <v>0</v>
      </c>
      <c r="DP19" s="496"/>
      <c r="DQ19" s="497">
        <f t="shared" si="38"/>
        <v>0</v>
      </c>
      <c r="DR19" s="498">
        <f t="shared" si="149"/>
        <v>0</v>
      </c>
      <c r="DS19" s="496"/>
      <c r="DT19" s="497">
        <f t="shared" si="39"/>
        <v>0</v>
      </c>
      <c r="DU19" s="498">
        <f t="shared" si="150"/>
        <v>0</v>
      </c>
      <c r="DV19" s="496"/>
      <c r="DW19" s="497">
        <f t="shared" si="40"/>
        <v>0</v>
      </c>
      <c r="DX19" s="498">
        <f t="shared" si="151"/>
        <v>0</v>
      </c>
      <c r="DY19" s="496">
        <v>0</v>
      </c>
      <c r="DZ19" s="497">
        <f t="shared" si="41"/>
        <v>0</v>
      </c>
      <c r="EA19" s="498">
        <f t="shared" si="152"/>
        <v>0</v>
      </c>
      <c r="EB19" s="496">
        <v>14.534883720930168</v>
      </c>
      <c r="EC19" s="497">
        <f t="shared" si="42"/>
        <v>0.29368741227556866</v>
      </c>
      <c r="ED19" s="498">
        <f t="shared" si="153"/>
        <v>0</v>
      </c>
      <c r="EE19" s="496">
        <v>7</v>
      </c>
      <c r="EF19" s="497">
        <f t="shared" si="43"/>
        <v>0.14143985775191448</v>
      </c>
      <c r="EG19" s="498">
        <f t="shared" si="154"/>
        <v>0</v>
      </c>
      <c r="EH19" s="496"/>
      <c r="EI19" s="497">
        <f t="shared" si="44"/>
        <v>0</v>
      </c>
      <c r="EJ19" s="498">
        <f t="shared" si="155"/>
        <v>0</v>
      </c>
      <c r="EK19" s="496"/>
      <c r="EL19" s="497">
        <f t="shared" si="45"/>
        <v>0</v>
      </c>
      <c r="EM19" s="498">
        <f t="shared" si="156"/>
        <v>0</v>
      </c>
      <c r="EN19" s="496"/>
      <c r="EO19" s="497">
        <f t="shared" si="46"/>
        <v>0</v>
      </c>
      <c r="EP19" s="498">
        <f t="shared" si="157"/>
        <v>0</v>
      </c>
      <c r="EQ19" s="496"/>
      <c r="ER19" s="497">
        <f t="shared" si="47"/>
        <v>0</v>
      </c>
      <c r="ES19" s="498">
        <f t="shared" si="158"/>
        <v>0</v>
      </c>
      <c r="ET19" s="496"/>
      <c r="EU19" s="497">
        <f t="shared" si="48"/>
        <v>0</v>
      </c>
      <c r="EV19" s="498">
        <f t="shared" si="159"/>
        <v>0</v>
      </c>
      <c r="EW19" s="496"/>
      <c r="EX19" s="497">
        <f t="shared" si="49"/>
        <v>0</v>
      </c>
      <c r="EY19" s="498">
        <f t="shared" si="160"/>
        <v>0</v>
      </c>
      <c r="EZ19" s="496"/>
      <c r="FA19" s="497">
        <f t="shared" si="50"/>
        <v>0</v>
      </c>
      <c r="FB19" s="498">
        <f t="shared" si="161"/>
        <v>0</v>
      </c>
      <c r="FC19" s="496"/>
      <c r="FD19" s="497">
        <f t="shared" si="51"/>
        <v>0</v>
      </c>
      <c r="FE19" s="498">
        <f t="shared" si="162"/>
        <v>0</v>
      </c>
      <c r="FF19" s="496"/>
      <c r="FG19" s="497">
        <f t="shared" si="52"/>
        <v>0</v>
      </c>
      <c r="FH19" s="498">
        <f t="shared" si="163"/>
        <v>0</v>
      </c>
      <c r="FI19" s="496"/>
      <c r="FJ19" s="497">
        <f t="shared" si="53"/>
        <v>0</v>
      </c>
      <c r="FK19" s="498">
        <f t="shared" si="164"/>
        <v>0</v>
      </c>
      <c r="FL19" s="496"/>
      <c r="FM19" s="497">
        <f t="shared" si="54"/>
        <v>0</v>
      </c>
      <c r="FN19" s="498">
        <f t="shared" si="165"/>
        <v>0</v>
      </c>
      <c r="FO19" s="496"/>
      <c r="FP19" s="497">
        <f t="shared" si="55"/>
        <v>0</v>
      </c>
      <c r="FQ19" s="498">
        <f t="shared" si="166"/>
        <v>0</v>
      </c>
      <c r="FR19" s="496"/>
      <c r="FS19" s="497">
        <f t="shared" si="56"/>
        <v>0</v>
      </c>
      <c r="FT19" s="498">
        <f t="shared" si="167"/>
        <v>0</v>
      </c>
      <c r="FU19" s="496"/>
      <c r="FV19" s="497">
        <f t="shared" si="57"/>
        <v>0</v>
      </c>
      <c r="FW19" s="498">
        <f t="shared" si="168"/>
        <v>0</v>
      </c>
      <c r="FX19" s="496"/>
      <c r="FY19" s="497">
        <f t="shared" si="58"/>
        <v>0</v>
      </c>
      <c r="FZ19" s="498">
        <f t="shared" si="169"/>
        <v>0</v>
      </c>
      <c r="GA19" s="496"/>
      <c r="GB19" s="497">
        <f t="shared" si="59"/>
        <v>0</v>
      </c>
      <c r="GC19" s="498">
        <f t="shared" si="170"/>
        <v>0</v>
      </c>
      <c r="GD19" s="496"/>
      <c r="GE19" s="497">
        <f t="shared" si="60"/>
        <v>0</v>
      </c>
      <c r="GF19" s="498">
        <f t="shared" si="171"/>
        <v>0</v>
      </c>
      <c r="GG19" s="496"/>
      <c r="GH19" s="497">
        <f t="shared" si="61"/>
        <v>0</v>
      </c>
      <c r="GI19" s="498">
        <f t="shared" si="172"/>
        <v>0</v>
      </c>
      <c r="GJ19" s="496"/>
      <c r="GK19" s="497">
        <f t="shared" si="62"/>
        <v>0</v>
      </c>
      <c r="GL19" s="498">
        <f t="shared" si="173"/>
        <v>0</v>
      </c>
      <c r="GM19" s="496"/>
      <c r="GN19" s="497">
        <f t="shared" si="63"/>
        <v>0</v>
      </c>
      <c r="GO19" s="498">
        <f t="shared" si="174"/>
        <v>0</v>
      </c>
      <c r="GP19" s="496"/>
      <c r="GQ19" s="497">
        <f t="shared" si="64"/>
        <v>0</v>
      </c>
      <c r="GR19" s="498">
        <f t="shared" si="175"/>
        <v>0</v>
      </c>
      <c r="GS19" s="496"/>
      <c r="GT19" s="497">
        <f t="shared" si="65"/>
        <v>0</v>
      </c>
      <c r="GU19" s="498">
        <f t="shared" si="176"/>
        <v>0</v>
      </c>
      <c r="GV19" s="496"/>
      <c r="GW19" s="497">
        <f t="shared" si="66"/>
        <v>0</v>
      </c>
      <c r="GX19" s="498">
        <f t="shared" si="177"/>
        <v>0</v>
      </c>
      <c r="GY19" s="496"/>
      <c r="GZ19" s="497">
        <f t="shared" si="67"/>
        <v>0</v>
      </c>
      <c r="HA19" s="498">
        <f t="shared" si="178"/>
        <v>0</v>
      </c>
      <c r="HB19" s="496"/>
      <c r="HC19" s="497">
        <f t="shared" si="68"/>
        <v>0</v>
      </c>
      <c r="HD19" s="498">
        <f t="shared" si="179"/>
        <v>0</v>
      </c>
      <c r="HE19" s="496"/>
      <c r="HF19" s="497">
        <f t="shared" si="69"/>
        <v>0</v>
      </c>
      <c r="HG19" s="498">
        <f t="shared" si="180"/>
        <v>0</v>
      </c>
      <c r="HH19" s="496"/>
      <c r="HI19" s="497">
        <f t="shared" si="70"/>
        <v>0</v>
      </c>
      <c r="HJ19" s="498">
        <f t="shared" si="181"/>
        <v>0</v>
      </c>
      <c r="HK19" s="496"/>
      <c r="HL19" s="497">
        <f t="shared" si="71"/>
        <v>0</v>
      </c>
      <c r="HM19" s="498">
        <f t="shared" si="182"/>
        <v>0</v>
      </c>
      <c r="HN19" s="496"/>
      <c r="HO19" s="497">
        <f t="shared" si="72"/>
        <v>0</v>
      </c>
      <c r="HP19" s="498">
        <f t="shared" si="183"/>
        <v>0</v>
      </c>
      <c r="HQ19" s="496"/>
      <c r="HR19" s="497">
        <f t="shared" si="73"/>
        <v>0</v>
      </c>
      <c r="HS19" s="498">
        <f t="shared" si="184"/>
        <v>0</v>
      </c>
      <c r="HT19" s="496"/>
      <c r="HU19" s="497">
        <f t="shared" si="74"/>
        <v>0</v>
      </c>
      <c r="HV19" s="498">
        <f t="shared" si="185"/>
        <v>0</v>
      </c>
      <c r="HW19" s="496"/>
      <c r="HX19" s="497">
        <f t="shared" si="75"/>
        <v>0</v>
      </c>
      <c r="HY19" s="498">
        <f t="shared" si="186"/>
        <v>0</v>
      </c>
      <c r="HZ19" s="496"/>
      <c r="IA19" s="497">
        <f t="shared" si="76"/>
        <v>0</v>
      </c>
      <c r="IB19" s="498">
        <f t="shared" si="187"/>
        <v>0</v>
      </c>
      <c r="IC19" s="496"/>
      <c r="ID19" s="497">
        <f t="shared" si="77"/>
        <v>0</v>
      </c>
      <c r="IE19" s="498">
        <f t="shared" si="188"/>
        <v>0</v>
      </c>
      <c r="IF19" s="496"/>
      <c r="IG19" s="497">
        <f t="shared" si="78"/>
        <v>0</v>
      </c>
      <c r="IH19" s="498">
        <f t="shared" si="189"/>
        <v>0</v>
      </c>
      <c r="II19" s="496"/>
      <c r="IJ19" s="497">
        <f t="shared" si="79"/>
        <v>0</v>
      </c>
      <c r="IK19" s="498">
        <f t="shared" si="190"/>
        <v>0</v>
      </c>
      <c r="IL19" s="496"/>
      <c r="IM19" s="497">
        <f t="shared" si="80"/>
        <v>0</v>
      </c>
      <c r="IN19" s="498">
        <f t="shared" si="191"/>
        <v>0</v>
      </c>
      <c r="IO19" s="496"/>
      <c r="IP19" s="497">
        <f t="shared" si="81"/>
        <v>0</v>
      </c>
      <c r="IQ19" s="498">
        <f t="shared" si="192"/>
        <v>0</v>
      </c>
      <c r="IR19" s="496"/>
      <c r="IS19" s="497">
        <f t="shared" si="82"/>
        <v>0</v>
      </c>
      <c r="IT19" s="498">
        <f t="shared" si="193"/>
        <v>0</v>
      </c>
      <c r="IU19" s="496"/>
      <c r="IV19" s="497">
        <f t="shared" si="83"/>
        <v>0</v>
      </c>
      <c r="IW19" s="498">
        <f t="shared" si="194"/>
        <v>0</v>
      </c>
      <c r="IX19" s="496"/>
      <c r="IY19" s="497">
        <f t="shared" si="84"/>
        <v>0</v>
      </c>
      <c r="IZ19" s="498">
        <f t="shared" si="195"/>
        <v>0</v>
      </c>
      <c r="JA19" s="496"/>
      <c r="JB19" s="497">
        <f t="shared" si="85"/>
        <v>0</v>
      </c>
      <c r="JC19" s="498">
        <f t="shared" si="196"/>
        <v>0</v>
      </c>
      <c r="JD19" s="496"/>
      <c r="JE19" s="497">
        <f t="shared" si="86"/>
        <v>0</v>
      </c>
      <c r="JF19" s="498">
        <f t="shared" si="197"/>
        <v>0</v>
      </c>
      <c r="JG19" s="496"/>
      <c r="JH19" s="497">
        <f t="shared" si="87"/>
        <v>0</v>
      </c>
      <c r="JI19" s="498">
        <f t="shared" si="198"/>
        <v>0</v>
      </c>
      <c r="JJ19" s="496"/>
      <c r="JK19" s="498" t="str">
        <f t="shared" si="88"/>
        <v>0</v>
      </c>
      <c r="JL19" s="498" t="str">
        <f t="shared" si="89"/>
        <v>0</v>
      </c>
      <c r="JM19" s="496"/>
      <c r="JN19" s="498" t="str">
        <f t="shared" si="90"/>
        <v>0</v>
      </c>
      <c r="JO19" s="498" t="str">
        <f t="shared" si="91"/>
        <v>0</v>
      </c>
      <c r="JP19" s="496"/>
      <c r="JQ19" s="498" t="str">
        <f t="shared" si="92"/>
        <v>0</v>
      </c>
      <c r="JR19" s="498" t="str">
        <f t="shared" si="93"/>
        <v>0</v>
      </c>
      <c r="JS19" s="496"/>
      <c r="JT19" s="498" t="str">
        <f t="shared" si="94"/>
        <v>0</v>
      </c>
      <c r="JU19" s="498" t="str">
        <f t="shared" si="95"/>
        <v>0</v>
      </c>
      <c r="JV19" s="496"/>
      <c r="JW19" s="498" t="str">
        <f t="shared" si="96"/>
        <v>0</v>
      </c>
      <c r="JX19" s="498" t="str">
        <f t="shared" si="97"/>
        <v>0</v>
      </c>
      <c r="JY19" s="496"/>
      <c r="JZ19" s="498" t="str">
        <f t="shared" si="98"/>
        <v>0</v>
      </c>
      <c r="KA19" s="498" t="str">
        <f t="shared" si="99"/>
        <v>0</v>
      </c>
      <c r="KB19" s="496"/>
      <c r="KC19" s="498" t="str">
        <f t="shared" si="100"/>
        <v>0</v>
      </c>
      <c r="KD19" s="498" t="str">
        <f t="shared" si="101"/>
        <v>0</v>
      </c>
      <c r="KE19" s="496"/>
      <c r="KF19" s="498" t="str">
        <f t="shared" si="102"/>
        <v>0</v>
      </c>
      <c r="KG19" s="498" t="str">
        <f t="shared" si="103"/>
        <v>0</v>
      </c>
      <c r="KH19" s="496"/>
      <c r="KI19" s="498" t="str">
        <f t="shared" si="104"/>
        <v>0</v>
      </c>
      <c r="KJ19" s="498" t="str">
        <f t="shared" si="105"/>
        <v>0</v>
      </c>
      <c r="KK19" s="496"/>
      <c r="KL19" s="498" t="str">
        <f t="shared" si="106"/>
        <v>0</v>
      </c>
      <c r="KM19" s="498" t="str">
        <f t="shared" si="107"/>
        <v>0</v>
      </c>
      <c r="KN19" s="496"/>
      <c r="KO19" s="498" t="str">
        <f t="shared" si="108"/>
        <v>0</v>
      </c>
      <c r="KP19" s="498" t="str">
        <f t="shared" si="109"/>
        <v>0</v>
      </c>
      <c r="KQ19" s="496"/>
      <c r="KR19" s="498" t="str">
        <f t="shared" si="110"/>
        <v>0</v>
      </c>
      <c r="KS19" s="498" t="str">
        <f t="shared" si="111"/>
        <v>0</v>
      </c>
      <c r="KT19" s="498">
        <f t="shared" si="201"/>
        <v>0</v>
      </c>
      <c r="KU19" s="498">
        <f t="shared" si="202"/>
        <v>0</v>
      </c>
      <c r="KV19" s="262">
        <f t="shared" si="199"/>
        <v>682.69471278075935</v>
      </c>
    </row>
    <row r="20" spans="1:308" ht="15" customHeight="1">
      <c r="A20" s="264">
        <f t="shared" si="200"/>
        <v>46002</v>
      </c>
      <c r="B20" s="265" t="str">
        <f>+Report1!B19</f>
        <v>Facial</v>
      </c>
      <c r="C20" s="392" t="str">
        <f>+Report1!C19</f>
        <v>12</v>
      </c>
      <c r="D20" s="266">
        <f>+Report1!P19</f>
        <v>46.855000000000004</v>
      </c>
      <c r="E20" s="267">
        <f>+Report1!R19</f>
        <v>42.121000000000002</v>
      </c>
      <c r="F20" s="496"/>
      <c r="G20" s="497">
        <f t="shared" si="0"/>
        <v>0</v>
      </c>
      <c r="H20" s="498">
        <f t="shared" si="112"/>
        <v>0</v>
      </c>
      <c r="I20" s="496">
        <v>488.37209302325596</v>
      </c>
      <c r="J20" s="497">
        <f t="shared" si="1"/>
        <v>11.594503763520713</v>
      </c>
      <c r="K20" s="498">
        <f t="shared" si="113"/>
        <v>0</v>
      </c>
      <c r="L20" s="496"/>
      <c r="M20" s="497">
        <f t="shared" si="2"/>
        <v>0</v>
      </c>
      <c r="N20" s="498">
        <f t="shared" si="114"/>
        <v>0</v>
      </c>
      <c r="O20" s="496">
        <v>9.0000000000000142</v>
      </c>
      <c r="P20" s="497">
        <f t="shared" si="3"/>
        <v>0.21367014078488197</v>
      </c>
      <c r="Q20" s="498">
        <f t="shared" si="115"/>
        <v>0</v>
      </c>
      <c r="R20" s="496">
        <v>7.6875</v>
      </c>
      <c r="S20" s="497">
        <f t="shared" si="4"/>
        <v>0.18250991192041974</v>
      </c>
      <c r="T20" s="498">
        <f t="shared" si="116"/>
        <v>0</v>
      </c>
      <c r="U20" s="496">
        <v>0</v>
      </c>
      <c r="V20" s="497">
        <f t="shared" si="5"/>
        <v>0</v>
      </c>
      <c r="W20" s="498">
        <f t="shared" si="117"/>
        <v>0</v>
      </c>
      <c r="X20" s="496"/>
      <c r="Y20" s="497">
        <f t="shared" si="6"/>
        <v>0</v>
      </c>
      <c r="Z20" s="498">
        <f t="shared" si="118"/>
        <v>0</v>
      </c>
      <c r="AA20" s="496"/>
      <c r="AB20" s="497">
        <f t="shared" si="7"/>
        <v>0</v>
      </c>
      <c r="AC20" s="498">
        <f t="shared" si="119"/>
        <v>0</v>
      </c>
      <c r="AD20" s="496"/>
      <c r="AE20" s="497">
        <f t="shared" si="8"/>
        <v>0</v>
      </c>
      <c r="AF20" s="498">
        <f t="shared" si="120"/>
        <v>0</v>
      </c>
      <c r="AG20" s="496"/>
      <c r="AH20" s="497">
        <f t="shared" si="9"/>
        <v>0</v>
      </c>
      <c r="AI20" s="498">
        <f t="shared" si="121"/>
        <v>0</v>
      </c>
      <c r="AJ20" s="496"/>
      <c r="AK20" s="497">
        <f t="shared" si="10"/>
        <v>0</v>
      </c>
      <c r="AL20" s="498">
        <f t="shared" si="122"/>
        <v>0</v>
      </c>
      <c r="AM20" s="496"/>
      <c r="AN20" s="497">
        <f t="shared" si="11"/>
        <v>0</v>
      </c>
      <c r="AO20" s="498">
        <f t="shared" si="123"/>
        <v>0</v>
      </c>
      <c r="AP20" s="496">
        <v>60.576923076923094</v>
      </c>
      <c r="AQ20" s="497">
        <f t="shared" si="12"/>
        <v>1.4381644091290116</v>
      </c>
      <c r="AR20" s="498">
        <f t="shared" si="124"/>
        <v>0</v>
      </c>
      <c r="AS20" s="496"/>
      <c r="AT20" s="497">
        <f t="shared" si="13"/>
        <v>0</v>
      </c>
      <c r="AU20" s="498">
        <f t="shared" si="125"/>
        <v>0</v>
      </c>
      <c r="AV20" s="496">
        <v>19.424999999999955</v>
      </c>
      <c r="AW20" s="497">
        <f t="shared" si="14"/>
        <v>0.46117138719403511</v>
      </c>
      <c r="AX20" s="498">
        <f t="shared" si="126"/>
        <v>0</v>
      </c>
      <c r="AY20" s="496">
        <v>81.666666666666629</v>
      </c>
      <c r="AZ20" s="497">
        <f t="shared" si="15"/>
        <v>1.938858684899851</v>
      </c>
      <c r="BA20" s="498">
        <f t="shared" si="127"/>
        <v>0</v>
      </c>
      <c r="BB20" s="496"/>
      <c r="BC20" s="497">
        <f t="shared" si="16"/>
        <v>0</v>
      </c>
      <c r="BD20" s="498">
        <f t="shared" si="128"/>
        <v>0</v>
      </c>
      <c r="BE20" s="496"/>
      <c r="BF20" s="497">
        <f t="shared" si="17"/>
        <v>0</v>
      </c>
      <c r="BG20" s="498">
        <f t="shared" si="129"/>
        <v>0</v>
      </c>
      <c r="BH20" s="496"/>
      <c r="BI20" s="497">
        <f t="shared" si="18"/>
        <v>0</v>
      </c>
      <c r="BJ20" s="498">
        <f t="shared" si="130"/>
        <v>0</v>
      </c>
      <c r="BK20" s="496"/>
      <c r="BL20" s="497">
        <f t="shared" si="19"/>
        <v>0</v>
      </c>
      <c r="BM20" s="498">
        <f t="shared" si="131"/>
        <v>0</v>
      </c>
      <c r="BN20" s="496">
        <v>22.777777777777786</v>
      </c>
      <c r="BO20" s="497">
        <f t="shared" si="20"/>
        <v>0.54077010939383641</v>
      </c>
      <c r="BP20" s="498">
        <f t="shared" si="132"/>
        <v>0</v>
      </c>
      <c r="BQ20" s="496">
        <v>0</v>
      </c>
      <c r="BR20" s="497">
        <f t="shared" si="21"/>
        <v>0</v>
      </c>
      <c r="BS20" s="498">
        <f t="shared" si="133"/>
        <v>0</v>
      </c>
      <c r="BT20" s="496"/>
      <c r="BU20" s="497">
        <f t="shared" si="22"/>
        <v>0</v>
      </c>
      <c r="BV20" s="498">
        <f t="shared" si="134"/>
        <v>0</v>
      </c>
      <c r="BW20" s="496"/>
      <c r="BX20" s="497">
        <f t="shared" si="23"/>
        <v>0</v>
      </c>
      <c r="BY20" s="498">
        <f t="shared" si="135"/>
        <v>0</v>
      </c>
      <c r="BZ20" s="496"/>
      <c r="CA20" s="497">
        <f t="shared" si="24"/>
        <v>0</v>
      </c>
      <c r="CB20" s="498">
        <f t="shared" si="136"/>
        <v>0</v>
      </c>
      <c r="CC20" s="496">
        <v>0</v>
      </c>
      <c r="CD20" s="497">
        <f t="shared" si="25"/>
        <v>0</v>
      </c>
      <c r="CE20" s="498">
        <f t="shared" si="137"/>
        <v>0</v>
      </c>
      <c r="CF20" s="496">
        <v>7.1999999999999984</v>
      </c>
      <c r="CG20" s="497">
        <f t="shared" si="26"/>
        <v>0.17093611262790528</v>
      </c>
      <c r="CH20" s="498">
        <f t="shared" si="138"/>
        <v>0</v>
      </c>
      <c r="CI20" s="496"/>
      <c r="CJ20" s="497">
        <f t="shared" si="27"/>
        <v>0</v>
      </c>
      <c r="CK20" s="498">
        <f t="shared" si="139"/>
        <v>0</v>
      </c>
      <c r="CL20" s="496"/>
      <c r="CM20" s="497">
        <f t="shared" si="28"/>
        <v>0</v>
      </c>
      <c r="CN20" s="498">
        <f t="shared" si="140"/>
        <v>0</v>
      </c>
      <c r="CO20" s="496"/>
      <c r="CP20" s="497">
        <f t="shared" si="29"/>
        <v>0</v>
      </c>
      <c r="CQ20" s="498">
        <f t="shared" si="141"/>
        <v>0</v>
      </c>
      <c r="CR20" s="496"/>
      <c r="CS20" s="497">
        <f t="shared" si="30"/>
        <v>0</v>
      </c>
      <c r="CT20" s="498">
        <f t="shared" si="142"/>
        <v>0</v>
      </c>
      <c r="CU20" s="496"/>
      <c r="CV20" s="497">
        <f t="shared" si="31"/>
        <v>0</v>
      </c>
      <c r="CW20" s="498">
        <f t="shared" si="143"/>
        <v>0</v>
      </c>
      <c r="CX20" s="496"/>
      <c r="CY20" s="497">
        <f t="shared" si="32"/>
        <v>0</v>
      </c>
      <c r="CZ20" s="498">
        <f t="shared" si="144"/>
        <v>0</v>
      </c>
      <c r="DA20" s="496"/>
      <c r="DB20" s="497">
        <f t="shared" si="33"/>
        <v>0</v>
      </c>
      <c r="DC20" s="498">
        <f t="shared" si="145"/>
        <v>0</v>
      </c>
      <c r="DD20" s="496"/>
      <c r="DE20" s="497">
        <f t="shared" si="34"/>
        <v>0</v>
      </c>
      <c r="DF20" s="498">
        <f t="shared" si="146"/>
        <v>0</v>
      </c>
      <c r="DG20" s="496"/>
      <c r="DH20" s="497">
        <f t="shared" si="35"/>
        <v>0</v>
      </c>
      <c r="DI20" s="498">
        <f t="shared" si="203"/>
        <v>0</v>
      </c>
      <c r="DJ20" s="496"/>
      <c r="DK20" s="497">
        <f t="shared" si="36"/>
        <v>0</v>
      </c>
      <c r="DL20" s="498">
        <f t="shared" si="147"/>
        <v>0</v>
      </c>
      <c r="DM20" s="496"/>
      <c r="DN20" s="497">
        <f t="shared" si="37"/>
        <v>0</v>
      </c>
      <c r="DO20" s="498">
        <f t="shared" si="148"/>
        <v>0</v>
      </c>
      <c r="DP20" s="496"/>
      <c r="DQ20" s="497">
        <f t="shared" si="38"/>
        <v>0</v>
      </c>
      <c r="DR20" s="498">
        <f t="shared" si="149"/>
        <v>0</v>
      </c>
      <c r="DS20" s="496"/>
      <c r="DT20" s="497">
        <f t="shared" si="39"/>
        <v>0</v>
      </c>
      <c r="DU20" s="498">
        <f t="shared" si="150"/>
        <v>0</v>
      </c>
      <c r="DV20" s="496"/>
      <c r="DW20" s="497">
        <f t="shared" si="40"/>
        <v>0</v>
      </c>
      <c r="DX20" s="498">
        <f t="shared" si="151"/>
        <v>0</v>
      </c>
      <c r="DY20" s="496">
        <v>0</v>
      </c>
      <c r="DZ20" s="497">
        <f t="shared" si="41"/>
        <v>0</v>
      </c>
      <c r="EA20" s="498">
        <f t="shared" si="152"/>
        <v>0</v>
      </c>
      <c r="EB20" s="496">
        <v>14.534883720930225</v>
      </c>
      <c r="EC20" s="497">
        <f t="shared" si="42"/>
        <v>0.34507451677144951</v>
      </c>
      <c r="ED20" s="498">
        <f t="shared" si="153"/>
        <v>0</v>
      </c>
      <c r="EE20" s="496">
        <v>6</v>
      </c>
      <c r="EF20" s="497">
        <f t="shared" si="43"/>
        <v>0.14244676052325442</v>
      </c>
      <c r="EG20" s="498">
        <f t="shared" si="154"/>
        <v>0</v>
      </c>
      <c r="EH20" s="496"/>
      <c r="EI20" s="497">
        <f t="shared" si="44"/>
        <v>0</v>
      </c>
      <c r="EJ20" s="498">
        <f t="shared" si="155"/>
        <v>0</v>
      </c>
      <c r="EK20" s="496"/>
      <c r="EL20" s="497">
        <f t="shared" si="45"/>
        <v>0</v>
      </c>
      <c r="EM20" s="498">
        <f t="shared" si="156"/>
        <v>0</v>
      </c>
      <c r="EN20" s="496"/>
      <c r="EO20" s="497">
        <f t="shared" si="46"/>
        <v>0</v>
      </c>
      <c r="EP20" s="498">
        <f t="shared" si="157"/>
        <v>0</v>
      </c>
      <c r="EQ20" s="496"/>
      <c r="ER20" s="497">
        <f t="shared" si="47"/>
        <v>0</v>
      </c>
      <c r="ES20" s="498">
        <f t="shared" si="158"/>
        <v>0</v>
      </c>
      <c r="ET20" s="496"/>
      <c r="EU20" s="497">
        <f t="shared" si="48"/>
        <v>0</v>
      </c>
      <c r="EV20" s="498">
        <f t="shared" si="159"/>
        <v>0</v>
      </c>
      <c r="EW20" s="496"/>
      <c r="EX20" s="497">
        <f t="shared" si="49"/>
        <v>0</v>
      </c>
      <c r="EY20" s="498">
        <f t="shared" si="160"/>
        <v>0</v>
      </c>
      <c r="EZ20" s="496"/>
      <c r="FA20" s="497">
        <f t="shared" si="50"/>
        <v>0</v>
      </c>
      <c r="FB20" s="498">
        <f t="shared" si="161"/>
        <v>0</v>
      </c>
      <c r="FC20" s="496"/>
      <c r="FD20" s="497">
        <f t="shared" si="51"/>
        <v>0</v>
      </c>
      <c r="FE20" s="498">
        <f t="shared" si="162"/>
        <v>0</v>
      </c>
      <c r="FF20" s="496"/>
      <c r="FG20" s="497">
        <f t="shared" si="52"/>
        <v>0</v>
      </c>
      <c r="FH20" s="498">
        <f t="shared" si="163"/>
        <v>0</v>
      </c>
      <c r="FI20" s="496"/>
      <c r="FJ20" s="497">
        <f t="shared" si="53"/>
        <v>0</v>
      </c>
      <c r="FK20" s="498">
        <f t="shared" si="164"/>
        <v>0</v>
      </c>
      <c r="FL20" s="496"/>
      <c r="FM20" s="497">
        <f t="shared" si="54"/>
        <v>0</v>
      </c>
      <c r="FN20" s="498">
        <f t="shared" si="165"/>
        <v>0</v>
      </c>
      <c r="FO20" s="496"/>
      <c r="FP20" s="497">
        <f t="shared" si="55"/>
        <v>0</v>
      </c>
      <c r="FQ20" s="498">
        <f t="shared" si="166"/>
        <v>0</v>
      </c>
      <c r="FR20" s="496"/>
      <c r="FS20" s="497">
        <f t="shared" si="56"/>
        <v>0</v>
      </c>
      <c r="FT20" s="498">
        <f t="shared" si="167"/>
        <v>0</v>
      </c>
      <c r="FU20" s="496"/>
      <c r="FV20" s="497">
        <f t="shared" si="57"/>
        <v>0</v>
      </c>
      <c r="FW20" s="498">
        <f t="shared" si="168"/>
        <v>0</v>
      </c>
      <c r="FX20" s="496"/>
      <c r="FY20" s="497">
        <f t="shared" si="58"/>
        <v>0</v>
      </c>
      <c r="FZ20" s="498">
        <f t="shared" si="169"/>
        <v>0</v>
      </c>
      <c r="GA20" s="496"/>
      <c r="GB20" s="497">
        <f t="shared" si="59"/>
        <v>0</v>
      </c>
      <c r="GC20" s="498">
        <f t="shared" si="170"/>
        <v>0</v>
      </c>
      <c r="GD20" s="496"/>
      <c r="GE20" s="497">
        <f t="shared" si="60"/>
        <v>0</v>
      </c>
      <c r="GF20" s="498">
        <f t="shared" si="171"/>
        <v>0</v>
      </c>
      <c r="GG20" s="496"/>
      <c r="GH20" s="497">
        <f t="shared" si="61"/>
        <v>0</v>
      </c>
      <c r="GI20" s="498">
        <f t="shared" si="172"/>
        <v>0</v>
      </c>
      <c r="GJ20" s="496"/>
      <c r="GK20" s="497">
        <f t="shared" si="62"/>
        <v>0</v>
      </c>
      <c r="GL20" s="498">
        <f t="shared" si="173"/>
        <v>0</v>
      </c>
      <c r="GM20" s="496"/>
      <c r="GN20" s="497">
        <f t="shared" si="63"/>
        <v>0</v>
      </c>
      <c r="GO20" s="498">
        <f t="shared" si="174"/>
        <v>0</v>
      </c>
      <c r="GP20" s="496"/>
      <c r="GQ20" s="497">
        <f t="shared" si="64"/>
        <v>0</v>
      </c>
      <c r="GR20" s="498">
        <f t="shared" si="175"/>
        <v>0</v>
      </c>
      <c r="GS20" s="496"/>
      <c r="GT20" s="497">
        <f t="shared" si="65"/>
        <v>0</v>
      </c>
      <c r="GU20" s="498">
        <f t="shared" si="176"/>
        <v>0</v>
      </c>
      <c r="GV20" s="496"/>
      <c r="GW20" s="497">
        <f t="shared" si="66"/>
        <v>0</v>
      </c>
      <c r="GX20" s="498">
        <f t="shared" si="177"/>
        <v>0</v>
      </c>
      <c r="GY20" s="496"/>
      <c r="GZ20" s="497">
        <f t="shared" si="67"/>
        <v>0</v>
      </c>
      <c r="HA20" s="498">
        <f t="shared" si="178"/>
        <v>0</v>
      </c>
      <c r="HB20" s="496"/>
      <c r="HC20" s="497">
        <f t="shared" si="68"/>
        <v>0</v>
      </c>
      <c r="HD20" s="498">
        <f t="shared" si="179"/>
        <v>0</v>
      </c>
      <c r="HE20" s="496"/>
      <c r="HF20" s="497">
        <f t="shared" si="69"/>
        <v>0</v>
      </c>
      <c r="HG20" s="498">
        <f t="shared" si="180"/>
        <v>0</v>
      </c>
      <c r="HH20" s="496"/>
      <c r="HI20" s="497">
        <f t="shared" si="70"/>
        <v>0</v>
      </c>
      <c r="HJ20" s="498">
        <f t="shared" si="181"/>
        <v>0</v>
      </c>
      <c r="HK20" s="496"/>
      <c r="HL20" s="497">
        <f t="shared" si="71"/>
        <v>0</v>
      </c>
      <c r="HM20" s="498">
        <f t="shared" si="182"/>
        <v>0</v>
      </c>
      <c r="HN20" s="496"/>
      <c r="HO20" s="497">
        <f t="shared" si="72"/>
        <v>0</v>
      </c>
      <c r="HP20" s="498">
        <f t="shared" si="183"/>
        <v>0</v>
      </c>
      <c r="HQ20" s="496"/>
      <c r="HR20" s="497">
        <f t="shared" si="73"/>
        <v>0</v>
      </c>
      <c r="HS20" s="498">
        <f t="shared" si="184"/>
        <v>0</v>
      </c>
      <c r="HT20" s="496"/>
      <c r="HU20" s="497">
        <f t="shared" si="74"/>
        <v>0</v>
      </c>
      <c r="HV20" s="498">
        <f t="shared" si="185"/>
        <v>0</v>
      </c>
      <c r="HW20" s="496"/>
      <c r="HX20" s="497">
        <f t="shared" si="75"/>
        <v>0</v>
      </c>
      <c r="HY20" s="498">
        <f t="shared" si="186"/>
        <v>0</v>
      </c>
      <c r="HZ20" s="496"/>
      <c r="IA20" s="497">
        <f t="shared" si="76"/>
        <v>0</v>
      </c>
      <c r="IB20" s="498">
        <f t="shared" si="187"/>
        <v>0</v>
      </c>
      <c r="IC20" s="496"/>
      <c r="ID20" s="497">
        <f t="shared" si="77"/>
        <v>0</v>
      </c>
      <c r="IE20" s="498">
        <f t="shared" si="188"/>
        <v>0</v>
      </c>
      <c r="IF20" s="496"/>
      <c r="IG20" s="497">
        <f t="shared" si="78"/>
        <v>0</v>
      </c>
      <c r="IH20" s="498">
        <f t="shared" si="189"/>
        <v>0</v>
      </c>
      <c r="II20" s="496"/>
      <c r="IJ20" s="497">
        <f t="shared" si="79"/>
        <v>0</v>
      </c>
      <c r="IK20" s="498">
        <f t="shared" si="190"/>
        <v>0</v>
      </c>
      <c r="IL20" s="496"/>
      <c r="IM20" s="497">
        <f t="shared" si="80"/>
        <v>0</v>
      </c>
      <c r="IN20" s="498">
        <f t="shared" si="191"/>
        <v>0</v>
      </c>
      <c r="IO20" s="496"/>
      <c r="IP20" s="497">
        <f t="shared" si="81"/>
        <v>0</v>
      </c>
      <c r="IQ20" s="498">
        <f t="shared" si="192"/>
        <v>0</v>
      </c>
      <c r="IR20" s="496"/>
      <c r="IS20" s="497">
        <f t="shared" si="82"/>
        <v>0</v>
      </c>
      <c r="IT20" s="498">
        <f t="shared" si="193"/>
        <v>0</v>
      </c>
      <c r="IU20" s="496"/>
      <c r="IV20" s="497">
        <f t="shared" si="83"/>
        <v>0</v>
      </c>
      <c r="IW20" s="498">
        <f t="shared" si="194"/>
        <v>0</v>
      </c>
      <c r="IX20" s="496"/>
      <c r="IY20" s="497">
        <f t="shared" si="84"/>
        <v>0</v>
      </c>
      <c r="IZ20" s="498">
        <f t="shared" si="195"/>
        <v>0</v>
      </c>
      <c r="JA20" s="496"/>
      <c r="JB20" s="497">
        <f t="shared" si="85"/>
        <v>0</v>
      </c>
      <c r="JC20" s="498">
        <f t="shared" si="196"/>
        <v>0</v>
      </c>
      <c r="JD20" s="496"/>
      <c r="JE20" s="497">
        <f t="shared" si="86"/>
        <v>0</v>
      </c>
      <c r="JF20" s="498">
        <f t="shared" si="197"/>
        <v>0</v>
      </c>
      <c r="JG20" s="496"/>
      <c r="JH20" s="497">
        <f t="shared" si="87"/>
        <v>0</v>
      </c>
      <c r="JI20" s="498">
        <f t="shared" si="198"/>
        <v>0</v>
      </c>
      <c r="JJ20" s="496"/>
      <c r="JK20" s="498" t="str">
        <f t="shared" si="88"/>
        <v>0</v>
      </c>
      <c r="JL20" s="498" t="str">
        <f t="shared" si="89"/>
        <v>0</v>
      </c>
      <c r="JM20" s="496"/>
      <c r="JN20" s="498" t="str">
        <f t="shared" si="90"/>
        <v>0</v>
      </c>
      <c r="JO20" s="498" t="str">
        <f t="shared" si="91"/>
        <v>0</v>
      </c>
      <c r="JP20" s="496"/>
      <c r="JQ20" s="498" t="str">
        <f t="shared" si="92"/>
        <v>0</v>
      </c>
      <c r="JR20" s="498" t="str">
        <f t="shared" si="93"/>
        <v>0</v>
      </c>
      <c r="JS20" s="496"/>
      <c r="JT20" s="498" t="str">
        <f t="shared" si="94"/>
        <v>0</v>
      </c>
      <c r="JU20" s="498" t="str">
        <f t="shared" si="95"/>
        <v>0</v>
      </c>
      <c r="JV20" s="496"/>
      <c r="JW20" s="498" t="str">
        <f t="shared" si="96"/>
        <v>0</v>
      </c>
      <c r="JX20" s="498" t="str">
        <f t="shared" si="97"/>
        <v>0</v>
      </c>
      <c r="JY20" s="496"/>
      <c r="JZ20" s="498" t="str">
        <f t="shared" si="98"/>
        <v>0</v>
      </c>
      <c r="KA20" s="498" t="str">
        <f t="shared" si="99"/>
        <v>0</v>
      </c>
      <c r="KB20" s="496"/>
      <c r="KC20" s="498" t="str">
        <f t="shared" si="100"/>
        <v>0</v>
      </c>
      <c r="KD20" s="498" t="str">
        <f t="shared" si="101"/>
        <v>0</v>
      </c>
      <c r="KE20" s="496"/>
      <c r="KF20" s="498" t="str">
        <f t="shared" si="102"/>
        <v>0</v>
      </c>
      <c r="KG20" s="498" t="str">
        <f t="shared" si="103"/>
        <v>0</v>
      </c>
      <c r="KH20" s="496"/>
      <c r="KI20" s="498" t="str">
        <f t="shared" si="104"/>
        <v>0</v>
      </c>
      <c r="KJ20" s="498" t="str">
        <f t="shared" si="105"/>
        <v>0</v>
      </c>
      <c r="KK20" s="496"/>
      <c r="KL20" s="498" t="str">
        <f t="shared" si="106"/>
        <v>0</v>
      </c>
      <c r="KM20" s="498" t="str">
        <f t="shared" si="107"/>
        <v>0</v>
      </c>
      <c r="KN20" s="496"/>
      <c r="KO20" s="498" t="str">
        <f t="shared" si="108"/>
        <v>0</v>
      </c>
      <c r="KP20" s="498" t="str">
        <f t="shared" si="109"/>
        <v>0</v>
      </c>
      <c r="KQ20" s="496"/>
      <c r="KR20" s="498" t="str">
        <f t="shared" si="110"/>
        <v>0</v>
      </c>
      <c r="KS20" s="498" t="str">
        <f t="shared" si="111"/>
        <v>0</v>
      </c>
      <c r="KT20" s="498">
        <f t="shared" si="201"/>
        <v>0</v>
      </c>
      <c r="KU20" s="498">
        <f t="shared" si="202"/>
        <v>0</v>
      </c>
      <c r="KV20" s="262">
        <f t="shared" si="199"/>
        <v>717.24084426555373</v>
      </c>
    </row>
    <row r="21" spans="1:308" ht="15" customHeight="1">
      <c r="A21" s="264">
        <f t="shared" si="200"/>
        <v>46003</v>
      </c>
      <c r="B21" s="265" t="str">
        <f>+Report1!B20</f>
        <v>Facial</v>
      </c>
      <c r="C21" s="392" t="str">
        <f>+Report1!C20</f>
        <v>12</v>
      </c>
      <c r="D21" s="266">
        <f>+Report1!P20</f>
        <v>46.277999999999999</v>
      </c>
      <c r="E21" s="267">
        <f>+Report1!R20</f>
        <v>42.796999999999997</v>
      </c>
      <c r="F21" s="496"/>
      <c r="G21" s="497">
        <f t="shared" si="0"/>
        <v>0</v>
      </c>
      <c r="H21" s="498">
        <f t="shared" si="112"/>
        <v>0</v>
      </c>
      <c r="I21" s="496">
        <v>476.74418604651169</v>
      </c>
      <c r="J21" s="497">
        <f t="shared" si="1"/>
        <v>11.139663669100912</v>
      </c>
      <c r="K21" s="498">
        <f t="shared" si="113"/>
        <v>0</v>
      </c>
      <c r="L21" s="496"/>
      <c r="M21" s="497">
        <f t="shared" si="2"/>
        <v>0</v>
      </c>
      <c r="N21" s="498">
        <f t="shared" si="114"/>
        <v>0</v>
      </c>
      <c r="O21" s="496">
        <v>8.9999999999999858</v>
      </c>
      <c r="P21" s="497">
        <f t="shared" si="3"/>
        <v>0.21029511414351443</v>
      </c>
      <c r="Q21" s="498">
        <f t="shared" si="115"/>
        <v>0</v>
      </c>
      <c r="R21" s="496">
        <v>7.6875000000000142</v>
      </c>
      <c r="S21" s="497">
        <f t="shared" si="4"/>
        <v>0.17962707666425251</v>
      </c>
      <c r="T21" s="498">
        <f t="shared" si="116"/>
        <v>0</v>
      </c>
      <c r="U21" s="496">
        <v>12.5</v>
      </c>
      <c r="V21" s="497">
        <f t="shared" si="5"/>
        <v>0.29207654742154826</v>
      </c>
      <c r="W21" s="498">
        <f t="shared" si="117"/>
        <v>0</v>
      </c>
      <c r="X21" s="496"/>
      <c r="Y21" s="497">
        <f t="shared" si="6"/>
        <v>0</v>
      </c>
      <c r="Z21" s="498">
        <f t="shared" si="118"/>
        <v>0</v>
      </c>
      <c r="AA21" s="496"/>
      <c r="AB21" s="497">
        <f t="shared" si="7"/>
        <v>0</v>
      </c>
      <c r="AC21" s="498">
        <f t="shared" si="119"/>
        <v>0</v>
      </c>
      <c r="AD21" s="496"/>
      <c r="AE21" s="497">
        <f t="shared" si="8"/>
        <v>0</v>
      </c>
      <c r="AF21" s="498">
        <f t="shared" si="120"/>
        <v>0</v>
      </c>
      <c r="AG21" s="496"/>
      <c r="AH21" s="497">
        <f t="shared" si="9"/>
        <v>0</v>
      </c>
      <c r="AI21" s="498">
        <f t="shared" si="121"/>
        <v>0</v>
      </c>
      <c r="AJ21" s="496"/>
      <c r="AK21" s="497">
        <f t="shared" si="10"/>
        <v>0</v>
      </c>
      <c r="AL21" s="498">
        <f t="shared" si="122"/>
        <v>0</v>
      </c>
      <c r="AM21" s="496"/>
      <c r="AN21" s="497">
        <f t="shared" si="11"/>
        <v>0</v>
      </c>
      <c r="AO21" s="498">
        <f t="shared" si="123"/>
        <v>0</v>
      </c>
      <c r="AP21" s="496">
        <v>60.576923076923094</v>
      </c>
      <c r="AQ21" s="497">
        <f t="shared" si="12"/>
        <v>1.4154478836582727</v>
      </c>
      <c r="AR21" s="498">
        <f t="shared" si="124"/>
        <v>0</v>
      </c>
      <c r="AS21" s="496"/>
      <c r="AT21" s="497">
        <f t="shared" si="13"/>
        <v>0</v>
      </c>
      <c r="AU21" s="498">
        <f t="shared" si="125"/>
        <v>0</v>
      </c>
      <c r="AV21" s="496">
        <v>19.425000000000011</v>
      </c>
      <c r="AW21" s="497">
        <f t="shared" si="14"/>
        <v>0.45388695469308626</v>
      </c>
      <c r="AX21" s="498">
        <f t="shared" si="126"/>
        <v>0</v>
      </c>
      <c r="AY21" s="496">
        <v>81.666666666666629</v>
      </c>
      <c r="AZ21" s="497">
        <f t="shared" si="15"/>
        <v>1.9082334431541144</v>
      </c>
      <c r="BA21" s="498">
        <f t="shared" si="127"/>
        <v>0</v>
      </c>
      <c r="BB21" s="496"/>
      <c r="BC21" s="497">
        <f t="shared" si="16"/>
        <v>0</v>
      </c>
      <c r="BD21" s="498">
        <f t="shared" si="128"/>
        <v>0</v>
      </c>
      <c r="BE21" s="496"/>
      <c r="BF21" s="497">
        <f t="shared" si="17"/>
        <v>0</v>
      </c>
      <c r="BG21" s="498">
        <f t="shared" si="129"/>
        <v>0</v>
      </c>
      <c r="BH21" s="496"/>
      <c r="BI21" s="497">
        <f t="shared" si="18"/>
        <v>0</v>
      </c>
      <c r="BJ21" s="498">
        <f t="shared" si="130"/>
        <v>0</v>
      </c>
      <c r="BK21" s="496"/>
      <c r="BL21" s="497">
        <f t="shared" si="19"/>
        <v>0</v>
      </c>
      <c r="BM21" s="498">
        <f t="shared" si="131"/>
        <v>0</v>
      </c>
      <c r="BN21" s="496">
        <v>27.839506172839492</v>
      </c>
      <c r="BO21" s="497">
        <f t="shared" si="20"/>
        <v>0.6505013475907071</v>
      </c>
      <c r="BP21" s="498">
        <f t="shared" si="132"/>
        <v>0</v>
      </c>
      <c r="BQ21" s="496">
        <v>0</v>
      </c>
      <c r="BR21" s="497">
        <f t="shared" si="21"/>
        <v>0</v>
      </c>
      <c r="BS21" s="498">
        <f t="shared" si="133"/>
        <v>0</v>
      </c>
      <c r="BT21" s="496"/>
      <c r="BU21" s="497">
        <f t="shared" si="22"/>
        <v>0</v>
      </c>
      <c r="BV21" s="498">
        <f t="shared" si="134"/>
        <v>0</v>
      </c>
      <c r="BW21" s="496"/>
      <c r="BX21" s="497">
        <f t="shared" si="23"/>
        <v>0</v>
      </c>
      <c r="BY21" s="498">
        <f t="shared" si="135"/>
        <v>0</v>
      </c>
      <c r="BZ21" s="496"/>
      <c r="CA21" s="497">
        <f t="shared" si="24"/>
        <v>0</v>
      </c>
      <c r="CB21" s="498">
        <f t="shared" si="136"/>
        <v>0</v>
      </c>
      <c r="CC21" s="496">
        <v>0</v>
      </c>
      <c r="CD21" s="497">
        <f t="shared" si="25"/>
        <v>0</v>
      </c>
      <c r="CE21" s="498">
        <f t="shared" si="137"/>
        <v>0</v>
      </c>
      <c r="CF21" s="496">
        <v>7.1999999999999984</v>
      </c>
      <c r="CG21" s="497">
        <f t="shared" si="26"/>
        <v>0.16823609131481176</v>
      </c>
      <c r="CH21" s="498">
        <f t="shared" si="138"/>
        <v>0</v>
      </c>
      <c r="CI21" s="496"/>
      <c r="CJ21" s="497">
        <f t="shared" si="27"/>
        <v>0</v>
      </c>
      <c r="CK21" s="498">
        <f t="shared" si="139"/>
        <v>0</v>
      </c>
      <c r="CL21" s="496"/>
      <c r="CM21" s="497">
        <f t="shared" si="28"/>
        <v>0</v>
      </c>
      <c r="CN21" s="498">
        <f t="shared" si="140"/>
        <v>0</v>
      </c>
      <c r="CO21" s="496"/>
      <c r="CP21" s="497">
        <f t="shared" si="29"/>
        <v>0</v>
      </c>
      <c r="CQ21" s="498">
        <f t="shared" si="141"/>
        <v>0</v>
      </c>
      <c r="CR21" s="496"/>
      <c r="CS21" s="497">
        <f t="shared" si="30"/>
        <v>0</v>
      </c>
      <c r="CT21" s="498">
        <f t="shared" si="142"/>
        <v>0</v>
      </c>
      <c r="CU21" s="496"/>
      <c r="CV21" s="497">
        <f t="shared" si="31"/>
        <v>0</v>
      </c>
      <c r="CW21" s="498">
        <f t="shared" si="143"/>
        <v>0</v>
      </c>
      <c r="CX21" s="496"/>
      <c r="CY21" s="497">
        <f t="shared" si="32"/>
        <v>0</v>
      </c>
      <c r="CZ21" s="498">
        <f t="shared" si="144"/>
        <v>0</v>
      </c>
      <c r="DA21" s="496"/>
      <c r="DB21" s="497">
        <f t="shared" si="33"/>
        <v>0</v>
      </c>
      <c r="DC21" s="498">
        <f t="shared" si="145"/>
        <v>0</v>
      </c>
      <c r="DD21" s="496"/>
      <c r="DE21" s="497">
        <f t="shared" si="34"/>
        <v>0</v>
      </c>
      <c r="DF21" s="498">
        <f t="shared" si="146"/>
        <v>0</v>
      </c>
      <c r="DG21" s="496"/>
      <c r="DH21" s="497">
        <f t="shared" si="35"/>
        <v>0</v>
      </c>
      <c r="DI21" s="498">
        <f t="shared" si="203"/>
        <v>0</v>
      </c>
      <c r="DJ21" s="496"/>
      <c r="DK21" s="497">
        <f t="shared" si="36"/>
        <v>0</v>
      </c>
      <c r="DL21" s="498">
        <f t="shared" si="147"/>
        <v>0</v>
      </c>
      <c r="DM21" s="496"/>
      <c r="DN21" s="497">
        <f t="shared" si="37"/>
        <v>0</v>
      </c>
      <c r="DO21" s="498">
        <f t="shared" si="148"/>
        <v>0</v>
      </c>
      <c r="DP21" s="496"/>
      <c r="DQ21" s="497">
        <f t="shared" si="38"/>
        <v>0</v>
      </c>
      <c r="DR21" s="498">
        <f t="shared" si="149"/>
        <v>0</v>
      </c>
      <c r="DS21" s="496"/>
      <c r="DT21" s="497">
        <f t="shared" si="39"/>
        <v>0</v>
      </c>
      <c r="DU21" s="498">
        <f t="shared" si="150"/>
        <v>0</v>
      </c>
      <c r="DV21" s="496"/>
      <c r="DW21" s="497">
        <f t="shared" si="40"/>
        <v>0</v>
      </c>
      <c r="DX21" s="498">
        <f t="shared" si="151"/>
        <v>0</v>
      </c>
      <c r="DY21" s="496">
        <v>0</v>
      </c>
      <c r="DZ21" s="497">
        <f t="shared" si="41"/>
        <v>0</v>
      </c>
      <c r="EA21" s="498">
        <f t="shared" si="152"/>
        <v>0</v>
      </c>
      <c r="EB21" s="496">
        <v>14.534883720930281</v>
      </c>
      <c r="EC21" s="497">
        <f t="shared" si="42"/>
        <v>0.33962389235063867</v>
      </c>
      <c r="ED21" s="498">
        <f t="shared" si="153"/>
        <v>0</v>
      </c>
      <c r="EE21" s="496">
        <v>5</v>
      </c>
      <c r="EF21" s="497">
        <f t="shared" si="43"/>
        <v>0.11683061896861931</v>
      </c>
      <c r="EG21" s="498">
        <f t="shared" si="154"/>
        <v>0</v>
      </c>
      <c r="EH21" s="496"/>
      <c r="EI21" s="497">
        <f t="shared" si="44"/>
        <v>0</v>
      </c>
      <c r="EJ21" s="498">
        <f t="shared" si="155"/>
        <v>0</v>
      </c>
      <c r="EK21" s="496"/>
      <c r="EL21" s="497">
        <f t="shared" si="45"/>
        <v>0</v>
      </c>
      <c r="EM21" s="498">
        <f t="shared" si="156"/>
        <v>0</v>
      </c>
      <c r="EN21" s="496"/>
      <c r="EO21" s="497">
        <f t="shared" si="46"/>
        <v>0</v>
      </c>
      <c r="EP21" s="498">
        <f t="shared" si="157"/>
        <v>0</v>
      </c>
      <c r="EQ21" s="496"/>
      <c r="ER21" s="497">
        <f t="shared" si="47"/>
        <v>0</v>
      </c>
      <c r="ES21" s="498">
        <f t="shared" si="158"/>
        <v>0</v>
      </c>
      <c r="ET21" s="496"/>
      <c r="EU21" s="497">
        <f t="shared" si="48"/>
        <v>0</v>
      </c>
      <c r="EV21" s="498">
        <f t="shared" si="159"/>
        <v>0</v>
      </c>
      <c r="EW21" s="496"/>
      <c r="EX21" s="497">
        <f t="shared" si="49"/>
        <v>0</v>
      </c>
      <c r="EY21" s="498">
        <f t="shared" si="160"/>
        <v>0</v>
      </c>
      <c r="EZ21" s="496"/>
      <c r="FA21" s="497">
        <f t="shared" si="50"/>
        <v>0</v>
      </c>
      <c r="FB21" s="498">
        <f t="shared" si="161"/>
        <v>0</v>
      </c>
      <c r="FC21" s="496"/>
      <c r="FD21" s="497">
        <f t="shared" si="51"/>
        <v>0</v>
      </c>
      <c r="FE21" s="498">
        <f t="shared" si="162"/>
        <v>0</v>
      </c>
      <c r="FF21" s="496"/>
      <c r="FG21" s="497">
        <f t="shared" si="52"/>
        <v>0</v>
      </c>
      <c r="FH21" s="498">
        <f t="shared" si="163"/>
        <v>0</v>
      </c>
      <c r="FI21" s="496"/>
      <c r="FJ21" s="497">
        <f t="shared" si="53"/>
        <v>0</v>
      </c>
      <c r="FK21" s="498">
        <f t="shared" si="164"/>
        <v>0</v>
      </c>
      <c r="FL21" s="496"/>
      <c r="FM21" s="497">
        <f t="shared" si="54"/>
        <v>0</v>
      </c>
      <c r="FN21" s="498">
        <f t="shared" si="165"/>
        <v>0</v>
      </c>
      <c r="FO21" s="496"/>
      <c r="FP21" s="497">
        <f t="shared" si="55"/>
        <v>0</v>
      </c>
      <c r="FQ21" s="498">
        <f t="shared" si="166"/>
        <v>0</v>
      </c>
      <c r="FR21" s="496"/>
      <c r="FS21" s="497">
        <f t="shared" si="56"/>
        <v>0</v>
      </c>
      <c r="FT21" s="498">
        <f t="shared" si="167"/>
        <v>0</v>
      </c>
      <c r="FU21" s="496"/>
      <c r="FV21" s="497">
        <f t="shared" si="57"/>
        <v>0</v>
      </c>
      <c r="FW21" s="498">
        <f t="shared" si="168"/>
        <v>0</v>
      </c>
      <c r="FX21" s="496"/>
      <c r="FY21" s="497">
        <f t="shared" si="58"/>
        <v>0</v>
      </c>
      <c r="FZ21" s="498">
        <f t="shared" si="169"/>
        <v>0</v>
      </c>
      <c r="GA21" s="496"/>
      <c r="GB21" s="497">
        <f t="shared" si="59"/>
        <v>0</v>
      </c>
      <c r="GC21" s="498">
        <f t="shared" si="170"/>
        <v>0</v>
      </c>
      <c r="GD21" s="496"/>
      <c r="GE21" s="497">
        <f t="shared" si="60"/>
        <v>0</v>
      </c>
      <c r="GF21" s="498">
        <f t="shared" si="171"/>
        <v>0</v>
      </c>
      <c r="GG21" s="496"/>
      <c r="GH21" s="497">
        <f t="shared" si="61"/>
        <v>0</v>
      </c>
      <c r="GI21" s="498">
        <f t="shared" si="172"/>
        <v>0</v>
      </c>
      <c r="GJ21" s="496"/>
      <c r="GK21" s="497">
        <f t="shared" si="62"/>
        <v>0</v>
      </c>
      <c r="GL21" s="498">
        <f t="shared" si="173"/>
        <v>0</v>
      </c>
      <c r="GM21" s="496"/>
      <c r="GN21" s="497">
        <f t="shared" si="63"/>
        <v>0</v>
      </c>
      <c r="GO21" s="498">
        <f t="shared" si="174"/>
        <v>0</v>
      </c>
      <c r="GP21" s="496"/>
      <c r="GQ21" s="497">
        <f t="shared" si="64"/>
        <v>0</v>
      </c>
      <c r="GR21" s="498">
        <f t="shared" si="175"/>
        <v>0</v>
      </c>
      <c r="GS21" s="496"/>
      <c r="GT21" s="497">
        <f t="shared" si="65"/>
        <v>0</v>
      </c>
      <c r="GU21" s="498">
        <f t="shared" si="176"/>
        <v>0</v>
      </c>
      <c r="GV21" s="496"/>
      <c r="GW21" s="497">
        <f t="shared" si="66"/>
        <v>0</v>
      </c>
      <c r="GX21" s="498">
        <f t="shared" si="177"/>
        <v>0</v>
      </c>
      <c r="GY21" s="496"/>
      <c r="GZ21" s="497">
        <f t="shared" si="67"/>
        <v>0</v>
      </c>
      <c r="HA21" s="498">
        <f t="shared" si="178"/>
        <v>0</v>
      </c>
      <c r="HB21" s="496"/>
      <c r="HC21" s="497">
        <f t="shared" si="68"/>
        <v>0</v>
      </c>
      <c r="HD21" s="498">
        <f t="shared" si="179"/>
        <v>0</v>
      </c>
      <c r="HE21" s="496"/>
      <c r="HF21" s="497">
        <f t="shared" si="69"/>
        <v>0</v>
      </c>
      <c r="HG21" s="498">
        <f t="shared" si="180"/>
        <v>0</v>
      </c>
      <c r="HH21" s="496"/>
      <c r="HI21" s="497">
        <f t="shared" si="70"/>
        <v>0</v>
      </c>
      <c r="HJ21" s="498">
        <f t="shared" si="181"/>
        <v>0</v>
      </c>
      <c r="HK21" s="496"/>
      <c r="HL21" s="497">
        <f t="shared" si="71"/>
        <v>0</v>
      </c>
      <c r="HM21" s="498">
        <f t="shared" si="182"/>
        <v>0</v>
      </c>
      <c r="HN21" s="496"/>
      <c r="HO21" s="497">
        <f t="shared" si="72"/>
        <v>0</v>
      </c>
      <c r="HP21" s="498">
        <f t="shared" si="183"/>
        <v>0</v>
      </c>
      <c r="HQ21" s="496"/>
      <c r="HR21" s="497">
        <f t="shared" si="73"/>
        <v>0</v>
      </c>
      <c r="HS21" s="498">
        <f t="shared" si="184"/>
        <v>0</v>
      </c>
      <c r="HT21" s="496"/>
      <c r="HU21" s="497">
        <f t="shared" si="74"/>
        <v>0</v>
      </c>
      <c r="HV21" s="498">
        <f t="shared" si="185"/>
        <v>0</v>
      </c>
      <c r="HW21" s="496"/>
      <c r="HX21" s="497">
        <f t="shared" si="75"/>
        <v>0</v>
      </c>
      <c r="HY21" s="498">
        <f t="shared" si="186"/>
        <v>0</v>
      </c>
      <c r="HZ21" s="496"/>
      <c r="IA21" s="497">
        <f t="shared" si="76"/>
        <v>0</v>
      </c>
      <c r="IB21" s="498">
        <f t="shared" si="187"/>
        <v>0</v>
      </c>
      <c r="IC21" s="496"/>
      <c r="ID21" s="497">
        <f t="shared" si="77"/>
        <v>0</v>
      </c>
      <c r="IE21" s="498">
        <f t="shared" si="188"/>
        <v>0</v>
      </c>
      <c r="IF21" s="496"/>
      <c r="IG21" s="497">
        <f t="shared" si="78"/>
        <v>0</v>
      </c>
      <c r="IH21" s="498">
        <f t="shared" si="189"/>
        <v>0</v>
      </c>
      <c r="II21" s="496"/>
      <c r="IJ21" s="497">
        <f t="shared" si="79"/>
        <v>0</v>
      </c>
      <c r="IK21" s="498">
        <f t="shared" si="190"/>
        <v>0</v>
      </c>
      <c r="IL21" s="496"/>
      <c r="IM21" s="497">
        <f t="shared" si="80"/>
        <v>0</v>
      </c>
      <c r="IN21" s="498">
        <f t="shared" si="191"/>
        <v>0</v>
      </c>
      <c r="IO21" s="496"/>
      <c r="IP21" s="497">
        <f t="shared" si="81"/>
        <v>0</v>
      </c>
      <c r="IQ21" s="498">
        <f t="shared" si="192"/>
        <v>0</v>
      </c>
      <c r="IR21" s="496"/>
      <c r="IS21" s="497">
        <f t="shared" si="82"/>
        <v>0</v>
      </c>
      <c r="IT21" s="498">
        <f t="shared" si="193"/>
        <v>0</v>
      </c>
      <c r="IU21" s="496"/>
      <c r="IV21" s="497">
        <f t="shared" si="83"/>
        <v>0</v>
      </c>
      <c r="IW21" s="498">
        <f t="shared" si="194"/>
        <v>0</v>
      </c>
      <c r="IX21" s="496"/>
      <c r="IY21" s="497">
        <f t="shared" si="84"/>
        <v>0</v>
      </c>
      <c r="IZ21" s="498">
        <f t="shared" si="195"/>
        <v>0</v>
      </c>
      <c r="JA21" s="496"/>
      <c r="JB21" s="497">
        <f t="shared" si="85"/>
        <v>0</v>
      </c>
      <c r="JC21" s="498">
        <f t="shared" si="196"/>
        <v>0</v>
      </c>
      <c r="JD21" s="496"/>
      <c r="JE21" s="497">
        <f t="shared" si="86"/>
        <v>0</v>
      </c>
      <c r="JF21" s="498">
        <f t="shared" si="197"/>
        <v>0</v>
      </c>
      <c r="JG21" s="496"/>
      <c r="JH21" s="497">
        <f t="shared" si="87"/>
        <v>0</v>
      </c>
      <c r="JI21" s="498">
        <f t="shared" si="198"/>
        <v>0</v>
      </c>
      <c r="JJ21" s="496"/>
      <c r="JK21" s="498" t="str">
        <f t="shared" si="88"/>
        <v>0</v>
      </c>
      <c r="JL21" s="498" t="str">
        <f t="shared" si="89"/>
        <v>0</v>
      </c>
      <c r="JM21" s="496"/>
      <c r="JN21" s="498" t="str">
        <f t="shared" si="90"/>
        <v>0</v>
      </c>
      <c r="JO21" s="498" t="str">
        <f t="shared" si="91"/>
        <v>0</v>
      </c>
      <c r="JP21" s="496"/>
      <c r="JQ21" s="498" t="str">
        <f t="shared" si="92"/>
        <v>0</v>
      </c>
      <c r="JR21" s="498" t="str">
        <f t="shared" si="93"/>
        <v>0</v>
      </c>
      <c r="JS21" s="496"/>
      <c r="JT21" s="498" t="str">
        <f t="shared" si="94"/>
        <v>0</v>
      </c>
      <c r="JU21" s="498" t="str">
        <f t="shared" si="95"/>
        <v>0</v>
      </c>
      <c r="JV21" s="496"/>
      <c r="JW21" s="498" t="str">
        <f t="shared" si="96"/>
        <v>0</v>
      </c>
      <c r="JX21" s="498" t="str">
        <f t="shared" si="97"/>
        <v>0</v>
      </c>
      <c r="JY21" s="496"/>
      <c r="JZ21" s="498" t="str">
        <f t="shared" si="98"/>
        <v>0</v>
      </c>
      <c r="KA21" s="498" t="str">
        <f t="shared" si="99"/>
        <v>0</v>
      </c>
      <c r="KB21" s="496"/>
      <c r="KC21" s="498" t="str">
        <f t="shared" si="100"/>
        <v>0</v>
      </c>
      <c r="KD21" s="498" t="str">
        <f t="shared" si="101"/>
        <v>0</v>
      </c>
      <c r="KE21" s="496"/>
      <c r="KF21" s="498" t="str">
        <f t="shared" si="102"/>
        <v>0</v>
      </c>
      <c r="KG21" s="498" t="str">
        <f t="shared" si="103"/>
        <v>0</v>
      </c>
      <c r="KH21" s="496"/>
      <c r="KI21" s="498" t="str">
        <f t="shared" si="104"/>
        <v>0</v>
      </c>
      <c r="KJ21" s="498" t="str">
        <f t="shared" si="105"/>
        <v>0</v>
      </c>
      <c r="KK21" s="496"/>
      <c r="KL21" s="498" t="str">
        <f t="shared" si="106"/>
        <v>0</v>
      </c>
      <c r="KM21" s="498" t="str">
        <f t="shared" si="107"/>
        <v>0</v>
      </c>
      <c r="KN21" s="496"/>
      <c r="KO21" s="498" t="str">
        <f t="shared" si="108"/>
        <v>0</v>
      </c>
      <c r="KP21" s="498" t="str">
        <f t="shared" si="109"/>
        <v>0</v>
      </c>
      <c r="KQ21" s="496"/>
      <c r="KR21" s="498" t="str">
        <f t="shared" si="110"/>
        <v>0</v>
      </c>
      <c r="KS21" s="498" t="str">
        <f t="shared" si="111"/>
        <v>0</v>
      </c>
      <c r="KT21" s="498">
        <f t="shared" si="201"/>
        <v>0</v>
      </c>
      <c r="KU21" s="498">
        <f t="shared" si="202"/>
        <v>0</v>
      </c>
      <c r="KV21" s="262">
        <f t="shared" si="199"/>
        <v>722.17466568387113</v>
      </c>
    </row>
    <row r="22" spans="1:308" ht="15" customHeight="1">
      <c r="A22" s="264">
        <f t="shared" si="200"/>
        <v>46004</v>
      </c>
      <c r="B22" s="265" t="str">
        <f>+Report1!B21</f>
        <v>Facial</v>
      </c>
      <c r="C22" s="392" t="str">
        <f>+Report1!C21</f>
        <v>12</v>
      </c>
      <c r="D22" s="266">
        <f>+Report1!P21</f>
        <v>49.022999999999996</v>
      </c>
      <c r="E22" s="267">
        <f>+Report1!R21</f>
        <v>48.720999999999997</v>
      </c>
      <c r="F22" s="496"/>
      <c r="G22" s="497">
        <f t="shared" si="0"/>
        <v>0</v>
      </c>
      <c r="H22" s="498">
        <f t="shared" si="112"/>
        <v>0</v>
      </c>
      <c r="I22" s="496">
        <v>446.28751162790718</v>
      </c>
      <c r="J22" s="497">
        <f t="shared" si="1"/>
        <v>9.1600646872582097</v>
      </c>
      <c r="K22" s="498">
        <f t="shared" si="113"/>
        <v>0</v>
      </c>
      <c r="L22" s="496"/>
      <c r="M22" s="497">
        <f t="shared" si="2"/>
        <v>0</v>
      </c>
      <c r="N22" s="498">
        <f t="shared" si="114"/>
        <v>0</v>
      </c>
      <c r="O22" s="496">
        <v>12</v>
      </c>
      <c r="P22" s="497">
        <f t="shared" si="3"/>
        <v>0.24630036329303587</v>
      </c>
      <c r="Q22" s="498">
        <f t="shared" si="115"/>
        <v>0</v>
      </c>
      <c r="R22" s="496">
        <v>10.250000000000014</v>
      </c>
      <c r="S22" s="497">
        <f t="shared" si="4"/>
        <v>0.21038156031280178</v>
      </c>
      <c r="T22" s="498">
        <f t="shared" si="116"/>
        <v>0</v>
      </c>
      <c r="U22" s="496">
        <v>7.8125</v>
      </c>
      <c r="V22" s="497">
        <f t="shared" si="5"/>
        <v>0.16035179901890356</v>
      </c>
      <c r="W22" s="498">
        <f t="shared" si="117"/>
        <v>0</v>
      </c>
      <c r="X22" s="496"/>
      <c r="Y22" s="497">
        <f t="shared" si="6"/>
        <v>0</v>
      </c>
      <c r="Z22" s="498">
        <f t="shared" si="118"/>
        <v>0</v>
      </c>
      <c r="AA22" s="496"/>
      <c r="AB22" s="497">
        <f t="shared" si="7"/>
        <v>0</v>
      </c>
      <c r="AC22" s="498">
        <f t="shared" si="119"/>
        <v>0</v>
      </c>
      <c r="AD22" s="496"/>
      <c r="AE22" s="497">
        <f t="shared" si="8"/>
        <v>0</v>
      </c>
      <c r="AF22" s="498">
        <f t="shared" si="120"/>
        <v>0</v>
      </c>
      <c r="AG22" s="496"/>
      <c r="AH22" s="497">
        <f t="shared" si="9"/>
        <v>0</v>
      </c>
      <c r="AI22" s="498">
        <f t="shared" si="121"/>
        <v>0</v>
      </c>
      <c r="AJ22" s="496"/>
      <c r="AK22" s="497">
        <f t="shared" si="10"/>
        <v>0</v>
      </c>
      <c r="AL22" s="498">
        <f t="shared" si="122"/>
        <v>0</v>
      </c>
      <c r="AM22" s="496"/>
      <c r="AN22" s="497">
        <f t="shared" si="11"/>
        <v>0</v>
      </c>
      <c r="AO22" s="498">
        <f t="shared" si="123"/>
        <v>0</v>
      </c>
      <c r="AP22" s="496">
        <v>48.071230769230738</v>
      </c>
      <c r="AQ22" s="497">
        <f t="shared" si="12"/>
        <v>0.98666346686707462</v>
      </c>
      <c r="AR22" s="498">
        <f t="shared" si="124"/>
        <v>0</v>
      </c>
      <c r="AS22" s="496"/>
      <c r="AT22" s="497">
        <f t="shared" si="13"/>
        <v>0</v>
      </c>
      <c r="AU22" s="498">
        <f t="shared" si="125"/>
        <v>0</v>
      </c>
      <c r="AV22" s="573">
        <v>88.284000000000049</v>
      </c>
      <c r="AW22" s="497">
        <f t="shared" si="14"/>
        <v>1.812031772746866</v>
      </c>
      <c r="AX22" s="498">
        <f t="shared" si="126"/>
        <v>0</v>
      </c>
      <c r="AY22" s="496">
        <v>84.845066666666639</v>
      </c>
      <c r="AZ22" s="497">
        <f t="shared" si="15"/>
        <v>1.7414475619684868</v>
      </c>
      <c r="BA22" s="498">
        <f t="shared" si="127"/>
        <v>0</v>
      </c>
      <c r="BB22" s="496"/>
      <c r="BC22" s="497">
        <f t="shared" si="16"/>
        <v>0</v>
      </c>
      <c r="BD22" s="498">
        <f t="shared" si="128"/>
        <v>0</v>
      </c>
      <c r="BE22" s="496"/>
      <c r="BF22" s="497">
        <f t="shared" si="17"/>
        <v>0</v>
      </c>
      <c r="BG22" s="498">
        <f t="shared" si="129"/>
        <v>0</v>
      </c>
      <c r="BH22" s="496"/>
      <c r="BI22" s="497">
        <f t="shared" si="18"/>
        <v>0</v>
      </c>
      <c r="BJ22" s="498">
        <f t="shared" si="130"/>
        <v>0</v>
      </c>
      <c r="BK22" s="496"/>
      <c r="BL22" s="497">
        <f t="shared" si="19"/>
        <v>0</v>
      </c>
      <c r="BM22" s="498">
        <f t="shared" si="131"/>
        <v>0</v>
      </c>
      <c r="BN22" s="496">
        <v>27.839506172839492</v>
      </c>
      <c r="BO22" s="497">
        <f t="shared" si="20"/>
        <v>0.57140670702242347</v>
      </c>
      <c r="BP22" s="498">
        <f t="shared" si="132"/>
        <v>0</v>
      </c>
      <c r="BQ22" s="496">
        <v>0</v>
      </c>
      <c r="BR22" s="497">
        <f t="shared" si="21"/>
        <v>0</v>
      </c>
      <c r="BS22" s="498">
        <f t="shared" si="133"/>
        <v>0</v>
      </c>
      <c r="BT22" s="496"/>
      <c r="BU22" s="497">
        <f t="shared" si="22"/>
        <v>0</v>
      </c>
      <c r="BV22" s="498">
        <f t="shared" si="134"/>
        <v>0</v>
      </c>
      <c r="BW22" s="496"/>
      <c r="BX22" s="497">
        <f t="shared" si="23"/>
        <v>0</v>
      </c>
      <c r="BY22" s="498">
        <f t="shared" si="135"/>
        <v>0</v>
      </c>
      <c r="BZ22" s="496"/>
      <c r="CA22" s="497">
        <f t="shared" si="24"/>
        <v>0</v>
      </c>
      <c r="CB22" s="498">
        <f t="shared" si="136"/>
        <v>0</v>
      </c>
      <c r="CC22" s="496">
        <v>0</v>
      </c>
      <c r="CD22" s="497">
        <f t="shared" si="25"/>
        <v>0</v>
      </c>
      <c r="CE22" s="498">
        <f t="shared" si="137"/>
        <v>0</v>
      </c>
      <c r="CF22" s="496">
        <v>7.200000000000002</v>
      </c>
      <c r="CG22" s="497">
        <f t="shared" si="26"/>
        <v>0.14778021797582155</v>
      </c>
      <c r="CH22" s="498">
        <f t="shared" si="138"/>
        <v>0</v>
      </c>
      <c r="CI22" s="496"/>
      <c r="CJ22" s="497">
        <f t="shared" si="27"/>
        <v>0</v>
      </c>
      <c r="CK22" s="498">
        <f t="shared" si="139"/>
        <v>0</v>
      </c>
      <c r="CL22" s="496"/>
      <c r="CM22" s="497">
        <f t="shared" si="28"/>
        <v>0</v>
      </c>
      <c r="CN22" s="498">
        <f t="shared" si="140"/>
        <v>0</v>
      </c>
      <c r="CO22" s="496"/>
      <c r="CP22" s="497">
        <f t="shared" si="29"/>
        <v>0</v>
      </c>
      <c r="CQ22" s="498">
        <f t="shared" si="141"/>
        <v>0</v>
      </c>
      <c r="CR22" s="496"/>
      <c r="CS22" s="497">
        <f t="shared" si="30"/>
        <v>0</v>
      </c>
      <c r="CT22" s="498">
        <f t="shared" si="142"/>
        <v>0</v>
      </c>
      <c r="CU22" s="496"/>
      <c r="CV22" s="497">
        <f t="shared" si="31"/>
        <v>0</v>
      </c>
      <c r="CW22" s="498">
        <f t="shared" si="143"/>
        <v>0</v>
      </c>
      <c r="CX22" s="496"/>
      <c r="CY22" s="497">
        <f t="shared" si="32"/>
        <v>0</v>
      </c>
      <c r="CZ22" s="498">
        <f t="shared" si="144"/>
        <v>0</v>
      </c>
      <c r="DA22" s="496"/>
      <c r="DB22" s="497">
        <f t="shared" si="33"/>
        <v>0</v>
      </c>
      <c r="DC22" s="498">
        <f t="shared" si="145"/>
        <v>0</v>
      </c>
      <c r="DD22" s="496"/>
      <c r="DE22" s="497">
        <f t="shared" si="34"/>
        <v>0</v>
      </c>
      <c r="DF22" s="498">
        <f t="shared" si="146"/>
        <v>0</v>
      </c>
      <c r="DG22" s="496"/>
      <c r="DH22" s="497">
        <f t="shared" si="35"/>
        <v>0</v>
      </c>
      <c r="DI22" s="498">
        <f t="shared" si="203"/>
        <v>0</v>
      </c>
      <c r="DJ22" s="496"/>
      <c r="DK22" s="497">
        <f t="shared" si="36"/>
        <v>0</v>
      </c>
      <c r="DL22" s="498">
        <f t="shared" si="147"/>
        <v>0</v>
      </c>
      <c r="DM22" s="496"/>
      <c r="DN22" s="497">
        <f t="shared" si="37"/>
        <v>0</v>
      </c>
      <c r="DO22" s="498">
        <f t="shared" si="148"/>
        <v>0</v>
      </c>
      <c r="DP22" s="496"/>
      <c r="DQ22" s="497">
        <f t="shared" si="38"/>
        <v>0</v>
      </c>
      <c r="DR22" s="498">
        <f t="shared" si="149"/>
        <v>0</v>
      </c>
      <c r="DS22" s="496"/>
      <c r="DT22" s="497">
        <f t="shared" si="39"/>
        <v>0</v>
      </c>
      <c r="DU22" s="498">
        <f t="shared" si="150"/>
        <v>0</v>
      </c>
      <c r="DV22" s="496"/>
      <c r="DW22" s="497">
        <f t="shared" si="40"/>
        <v>0</v>
      </c>
      <c r="DX22" s="498">
        <f t="shared" si="151"/>
        <v>0</v>
      </c>
      <c r="DY22" s="496">
        <v>0</v>
      </c>
      <c r="DZ22" s="497">
        <f t="shared" si="41"/>
        <v>0</v>
      </c>
      <c r="EA22" s="498">
        <f t="shared" si="152"/>
        <v>0</v>
      </c>
      <c r="EB22" s="496">
        <v>29.069767441860449</v>
      </c>
      <c r="EC22" s="497">
        <f t="shared" si="42"/>
        <v>0.59665785681452455</v>
      </c>
      <c r="ED22" s="498">
        <f t="shared" si="153"/>
        <v>0</v>
      </c>
      <c r="EE22" s="496">
        <v>5</v>
      </c>
      <c r="EF22" s="497">
        <f t="shared" si="43"/>
        <v>0.10262515137209828</v>
      </c>
      <c r="EG22" s="498">
        <f t="shared" si="154"/>
        <v>0</v>
      </c>
      <c r="EH22" s="496"/>
      <c r="EI22" s="497">
        <f t="shared" si="44"/>
        <v>0</v>
      </c>
      <c r="EJ22" s="498">
        <f t="shared" si="155"/>
        <v>0</v>
      </c>
      <c r="EK22" s="496"/>
      <c r="EL22" s="497">
        <f t="shared" si="45"/>
        <v>0</v>
      </c>
      <c r="EM22" s="498">
        <f t="shared" si="156"/>
        <v>0</v>
      </c>
      <c r="EN22" s="496"/>
      <c r="EO22" s="497">
        <f t="shared" si="46"/>
        <v>0</v>
      </c>
      <c r="EP22" s="498">
        <f t="shared" si="157"/>
        <v>0</v>
      </c>
      <c r="EQ22" s="496"/>
      <c r="ER22" s="497">
        <f t="shared" si="47"/>
        <v>0</v>
      </c>
      <c r="ES22" s="498">
        <f t="shared" si="158"/>
        <v>0</v>
      </c>
      <c r="ET22" s="496"/>
      <c r="EU22" s="497">
        <f t="shared" si="48"/>
        <v>0</v>
      </c>
      <c r="EV22" s="498">
        <f t="shared" si="159"/>
        <v>0</v>
      </c>
      <c r="EW22" s="496"/>
      <c r="EX22" s="497">
        <f t="shared" si="49"/>
        <v>0</v>
      </c>
      <c r="EY22" s="498">
        <f t="shared" si="160"/>
        <v>0</v>
      </c>
      <c r="EZ22" s="496"/>
      <c r="FA22" s="497">
        <f t="shared" si="50"/>
        <v>0</v>
      </c>
      <c r="FB22" s="498">
        <f t="shared" si="161"/>
        <v>0</v>
      </c>
      <c r="FC22" s="496"/>
      <c r="FD22" s="497">
        <f t="shared" si="51"/>
        <v>0</v>
      </c>
      <c r="FE22" s="498">
        <f t="shared" si="162"/>
        <v>0</v>
      </c>
      <c r="FF22" s="496"/>
      <c r="FG22" s="497">
        <f t="shared" si="52"/>
        <v>0</v>
      </c>
      <c r="FH22" s="498">
        <f t="shared" si="163"/>
        <v>0</v>
      </c>
      <c r="FI22" s="496"/>
      <c r="FJ22" s="497">
        <f t="shared" si="53"/>
        <v>0</v>
      </c>
      <c r="FK22" s="498">
        <f t="shared" si="164"/>
        <v>0</v>
      </c>
      <c r="FL22" s="496"/>
      <c r="FM22" s="497">
        <f t="shared" si="54"/>
        <v>0</v>
      </c>
      <c r="FN22" s="498">
        <f t="shared" si="165"/>
        <v>0</v>
      </c>
      <c r="FO22" s="496"/>
      <c r="FP22" s="497">
        <f t="shared" si="55"/>
        <v>0</v>
      </c>
      <c r="FQ22" s="498">
        <f t="shared" si="166"/>
        <v>0</v>
      </c>
      <c r="FR22" s="496"/>
      <c r="FS22" s="497">
        <f t="shared" si="56"/>
        <v>0</v>
      </c>
      <c r="FT22" s="498">
        <f t="shared" si="167"/>
        <v>0</v>
      </c>
      <c r="FU22" s="496"/>
      <c r="FV22" s="497">
        <f t="shared" si="57"/>
        <v>0</v>
      </c>
      <c r="FW22" s="498">
        <f t="shared" si="168"/>
        <v>0</v>
      </c>
      <c r="FX22" s="496"/>
      <c r="FY22" s="497">
        <f t="shared" si="58"/>
        <v>0</v>
      </c>
      <c r="FZ22" s="498">
        <f t="shared" si="169"/>
        <v>0</v>
      </c>
      <c r="GA22" s="496"/>
      <c r="GB22" s="497">
        <f t="shared" si="59"/>
        <v>0</v>
      </c>
      <c r="GC22" s="498">
        <f t="shared" si="170"/>
        <v>0</v>
      </c>
      <c r="GD22" s="496"/>
      <c r="GE22" s="497">
        <f t="shared" si="60"/>
        <v>0</v>
      </c>
      <c r="GF22" s="498">
        <f t="shared" si="171"/>
        <v>0</v>
      </c>
      <c r="GG22" s="496"/>
      <c r="GH22" s="497">
        <f t="shared" si="61"/>
        <v>0</v>
      </c>
      <c r="GI22" s="498">
        <f t="shared" si="172"/>
        <v>0</v>
      </c>
      <c r="GJ22" s="496"/>
      <c r="GK22" s="497">
        <f t="shared" si="62"/>
        <v>0</v>
      </c>
      <c r="GL22" s="498">
        <f t="shared" si="173"/>
        <v>0</v>
      </c>
      <c r="GM22" s="496"/>
      <c r="GN22" s="497">
        <f t="shared" si="63"/>
        <v>0</v>
      </c>
      <c r="GO22" s="498">
        <f t="shared" si="174"/>
        <v>0</v>
      </c>
      <c r="GP22" s="496"/>
      <c r="GQ22" s="497">
        <f t="shared" si="64"/>
        <v>0</v>
      </c>
      <c r="GR22" s="498">
        <f t="shared" si="175"/>
        <v>0</v>
      </c>
      <c r="GS22" s="496"/>
      <c r="GT22" s="497">
        <f t="shared" si="65"/>
        <v>0</v>
      </c>
      <c r="GU22" s="498">
        <f t="shared" si="176"/>
        <v>0</v>
      </c>
      <c r="GV22" s="496"/>
      <c r="GW22" s="497">
        <f t="shared" si="66"/>
        <v>0</v>
      </c>
      <c r="GX22" s="498">
        <f t="shared" si="177"/>
        <v>0</v>
      </c>
      <c r="GY22" s="496"/>
      <c r="GZ22" s="497">
        <f t="shared" si="67"/>
        <v>0</v>
      </c>
      <c r="HA22" s="498">
        <f t="shared" si="178"/>
        <v>0</v>
      </c>
      <c r="HB22" s="496"/>
      <c r="HC22" s="497">
        <f t="shared" si="68"/>
        <v>0</v>
      </c>
      <c r="HD22" s="498">
        <f t="shared" si="179"/>
        <v>0</v>
      </c>
      <c r="HE22" s="496"/>
      <c r="HF22" s="497">
        <f t="shared" si="69"/>
        <v>0</v>
      </c>
      <c r="HG22" s="498">
        <f t="shared" si="180"/>
        <v>0</v>
      </c>
      <c r="HH22" s="496"/>
      <c r="HI22" s="497">
        <f t="shared" si="70"/>
        <v>0</v>
      </c>
      <c r="HJ22" s="498">
        <f t="shared" si="181"/>
        <v>0</v>
      </c>
      <c r="HK22" s="496"/>
      <c r="HL22" s="497">
        <f t="shared" si="71"/>
        <v>0</v>
      </c>
      <c r="HM22" s="498">
        <f t="shared" si="182"/>
        <v>0</v>
      </c>
      <c r="HN22" s="496"/>
      <c r="HO22" s="497">
        <f t="shared" si="72"/>
        <v>0</v>
      </c>
      <c r="HP22" s="498">
        <f t="shared" si="183"/>
        <v>0</v>
      </c>
      <c r="HQ22" s="496"/>
      <c r="HR22" s="497">
        <f t="shared" si="73"/>
        <v>0</v>
      </c>
      <c r="HS22" s="498">
        <f t="shared" si="184"/>
        <v>0</v>
      </c>
      <c r="HT22" s="496"/>
      <c r="HU22" s="497">
        <f t="shared" si="74"/>
        <v>0</v>
      </c>
      <c r="HV22" s="498">
        <f t="shared" si="185"/>
        <v>0</v>
      </c>
      <c r="HW22" s="496"/>
      <c r="HX22" s="497">
        <f t="shared" si="75"/>
        <v>0</v>
      </c>
      <c r="HY22" s="498">
        <f t="shared" si="186"/>
        <v>0</v>
      </c>
      <c r="HZ22" s="496"/>
      <c r="IA22" s="497">
        <f t="shared" si="76"/>
        <v>0</v>
      </c>
      <c r="IB22" s="498">
        <f t="shared" si="187"/>
        <v>0</v>
      </c>
      <c r="IC22" s="496"/>
      <c r="ID22" s="497">
        <f t="shared" si="77"/>
        <v>0</v>
      </c>
      <c r="IE22" s="498">
        <f t="shared" si="188"/>
        <v>0</v>
      </c>
      <c r="IF22" s="496"/>
      <c r="IG22" s="497">
        <f t="shared" si="78"/>
        <v>0</v>
      </c>
      <c r="IH22" s="498">
        <f t="shared" si="189"/>
        <v>0</v>
      </c>
      <c r="II22" s="496"/>
      <c r="IJ22" s="497">
        <f t="shared" si="79"/>
        <v>0</v>
      </c>
      <c r="IK22" s="498">
        <f t="shared" si="190"/>
        <v>0</v>
      </c>
      <c r="IL22" s="496"/>
      <c r="IM22" s="497">
        <f t="shared" si="80"/>
        <v>0</v>
      </c>
      <c r="IN22" s="498">
        <f t="shared" si="191"/>
        <v>0</v>
      </c>
      <c r="IO22" s="496"/>
      <c r="IP22" s="497">
        <f t="shared" si="81"/>
        <v>0</v>
      </c>
      <c r="IQ22" s="498">
        <f t="shared" si="192"/>
        <v>0</v>
      </c>
      <c r="IR22" s="496"/>
      <c r="IS22" s="497">
        <f t="shared" si="82"/>
        <v>0</v>
      </c>
      <c r="IT22" s="498">
        <f t="shared" si="193"/>
        <v>0</v>
      </c>
      <c r="IU22" s="496"/>
      <c r="IV22" s="497">
        <f t="shared" si="83"/>
        <v>0</v>
      </c>
      <c r="IW22" s="498">
        <f t="shared" si="194"/>
        <v>0</v>
      </c>
      <c r="IX22" s="496"/>
      <c r="IY22" s="497">
        <f t="shared" si="84"/>
        <v>0</v>
      </c>
      <c r="IZ22" s="498">
        <f t="shared" si="195"/>
        <v>0</v>
      </c>
      <c r="JA22" s="496"/>
      <c r="JB22" s="497">
        <f t="shared" si="85"/>
        <v>0</v>
      </c>
      <c r="JC22" s="498">
        <f t="shared" si="196"/>
        <v>0</v>
      </c>
      <c r="JD22" s="496"/>
      <c r="JE22" s="497">
        <f t="shared" si="86"/>
        <v>0</v>
      </c>
      <c r="JF22" s="498">
        <f t="shared" si="197"/>
        <v>0</v>
      </c>
      <c r="JG22" s="496"/>
      <c r="JH22" s="497">
        <f t="shared" si="87"/>
        <v>0</v>
      </c>
      <c r="JI22" s="498">
        <f t="shared" si="198"/>
        <v>0</v>
      </c>
      <c r="JJ22" s="496"/>
      <c r="JK22" s="498" t="str">
        <f t="shared" si="88"/>
        <v>0</v>
      </c>
      <c r="JL22" s="498" t="str">
        <f t="shared" si="89"/>
        <v>0</v>
      </c>
      <c r="JM22" s="496"/>
      <c r="JN22" s="498" t="str">
        <f t="shared" si="90"/>
        <v>0</v>
      </c>
      <c r="JO22" s="498" t="str">
        <f t="shared" si="91"/>
        <v>0</v>
      </c>
      <c r="JP22" s="496"/>
      <c r="JQ22" s="498" t="str">
        <f t="shared" si="92"/>
        <v>0</v>
      </c>
      <c r="JR22" s="498" t="str">
        <f t="shared" si="93"/>
        <v>0</v>
      </c>
      <c r="JS22" s="496"/>
      <c r="JT22" s="498" t="str">
        <f t="shared" si="94"/>
        <v>0</v>
      </c>
      <c r="JU22" s="498" t="str">
        <f t="shared" si="95"/>
        <v>0</v>
      </c>
      <c r="JV22" s="496"/>
      <c r="JW22" s="498" t="str">
        <f t="shared" si="96"/>
        <v>0</v>
      </c>
      <c r="JX22" s="498" t="str">
        <f t="shared" si="97"/>
        <v>0</v>
      </c>
      <c r="JY22" s="496"/>
      <c r="JZ22" s="498" t="str">
        <f t="shared" si="98"/>
        <v>0</v>
      </c>
      <c r="KA22" s="498" t="str">
        <f t="shared" si="99"/>
        <v>0</v>
      </c>
      <c r="KB22" s="496"/>
      <c r="KC22" s="498" t="str">
        <f t="shared" si="100"/>
        <v>0</v>
      </c>
      <c r="KD22" s="498" t="str">
        <f t="shared" si="101"/>
        <v>0</v>
      </c>
      <c r="KE22" s="496"/>
      <c r="KF22" s="498" t="str">
        <f t="shared" si="102"/>
        <v>0</v>
      </c>
      <c r="KG22" s="498" t="str">
        <f t="shared" si="103"/>
        <v>0</v>
      </c>
      <c r="KH22" s="496"/>
      <c r="KI22" s="498" t="str">
        <f t="shared" si="104"/>
        <v>0</v>
      </c>
      <c r="KJ22" s="498" t="str">
        <f t="shared" si="105"/>
        <v>0</v>
      </c>
      <c r="KK22" s="496"/>
      <c r="KL22" s="498" t="str">
        <f t="shared" si="106"/>
        <v>0</v>
      </c>
      <c r="KM22" s="498" t="str">
        <f t="shared" si="107"/>
        <v>0</v>
      </c>
      <c r="KN22" s="496"/>
      <c r="KO22" s="498" t="str">
        <f t="shared" si="108"/>
        <v>0</v>
      </c>
      <c r="KP22" s="498" t="str">
        <f t="shared" si="109"/>
        <v>0</v>
      </c>
      <c r="KQ22" s="496"/>
      <c r="KR22" s="498" t="str">
        <f t="shared" si="110"/>
        <v>0</v>
      </c>
      <c r="KS22" s="498" t="str">
        <f t="shared" si="111"/>
        <v>0</v>
      </c>
      <c r="KT22" s="498">
        <f t="shared" si="201"/>
        <v>0</v>
      </c>
      <c r="KU22" s="498">
        <f t="shared" si="202"/>
        <v>0</v>
      </c>
      <c r="KV22" s="262">
        <f t="shared" si="199"/>
        <v>766.65958267850453</v>
      </c>
    </row>
    <row r="23" spans="1:308" ht="15" customHeight="1">
      <c r="A23" s="264">
        <f t="shared" si="200"/>
        <v>46005</v>
      </c>
      <c r="B23" s="265" t="str">
        <f>+Report1!B22</f>
        <v>Facial</v>
      </c>
      <c r="C23" s="392" t="str">
        <f>+Report1!C22</f>
        <v>12/13/11,5</v>
      </c>
      <c r="D23" s="266">
        <f>+Report1!P22</f>
        <v>48.05</v>
      </c>
      <c r="E23" s="267">
        <f>+Report1!R22</f>
        <v>46.695999999999998</v>
      </c>
      <c r="F23" s="496"/>
      <c r="G23" s="497">
        <f t="shared" si="0"/>
        <v>0</v>
      </c>
      <c r="H23" s="498">
        <f t="shared" si="112"/>
        <v>0</v>
      </c>
      <c r="I23" s="496">
        <v>437.43719999999996</v>
      </c>
      <c r="J23" s="497">
        <f t="shared" si="1"/>
        <v>9.3677659756724339</v>
      </c>
      <c r="K23" s="498">
        <f t="shared" si="113"/>
        <v>0</v>
      </c>
      <c r="L23" s="496"/>
      <c r="M23" s="497">
        <f t="shared" si="2"/>
        <v>0</v>
      </c>
      <c r="N23" s="498">
        <f t="shared" si="114"/>
        <v>0</v>
      </c>
      <c r="O23" s="496">
        <v>9</v>
      </c>
      <c r="P23" s="497">
        <f t="shared" si="3"/>
        <v>0.19273599451773171</v>
      </c>
      <c r="Q23" s="498">
        <f t="shared" si="115"/>
        <v>0</v>
      </c>
      <c r="R23" s="496">
        <v>7.6875</v>
      </c>
      <c r="S23" s="497">
        <f t="shared" si="4"/>
        <v>0.16462866198389584</v>
      </c>
      <c r="T23" s="498">
        <f t="shared" si="116"/>
        <v>0</v>
      </c>
      <c r="U23" s="496">
        <v>6.25</v>
      </c>
      <c r="V23" s="497">
        <f t="shared" si="5"/>
        <v>0.13384444063731368</v>
      </c>
      <c r="W23" s="498">
        <f t="shared" si="117"/>
        <v>0</v>
      </c>
      <c r="X23" s="496"/>
      <c r="Y23" s="497">
        <f t="shared" si="6"/>
        <v>0</v>
      </c>
      <c r="Z23" s="498">
        <f t="shared" si="118"/>
        <v>0</v>
      </c>
      <c r="AA23" s="496"/>
      <c r="AB23" s="497">
        <f t="shared" si="7"/>
        <v>0</v>
      </c>
      <c r="AC23" s="498">
        <f t="shared" si="119"/>
        <v>0</v>
      </c>
      <c r="AD23" s="496"/>
      <c r="AE23" s="497">
        <f t="shared" si="8"/>
        <v>0</v>
      </c>
      <c r="AF23" s="498">
        <f t="shared" si="120"/>
        <v>0</v>
      </c>
      <c r="AG23" s="496"/>
      <c r="AH23" s="497">
        <f t="shared" si="9"/>
        <v>0</v>
      </c>
      <c r="AI23" s="498">
        <f t="shared" si="121"/>
        <v>0</v>
      </c>
      <c r="AJ23" s="496"/>
      <c r="AK23" s="497">
        <f t="shared" si="10"/>
        <v>0</v>
      </c>
      <c r="AL23" s="498">
        <f t="shared" si="122"/>
        <v>0</v>
      </c>
      <c r="AM23" s="496"/>
      <c r="AN23" s="497">
        <f t="shared" si="11"/>
        <v>0</v>
      </c>
      <c r="AO23" s="498">
        <f t="shared" si="123"/>
        <v>0</v>
      </c>
      <c r="AP23" s="496">
        <v>47.12279999999987</v>
      </c>
      <c r="AQ23" s="497">
        <f t="shared" si="12"/>
        <v>1.0091399691622382</v>
      </c>
      <c r="AR23" s="498">
        <f t="shared" si="124"/>
        <v>0</v>
      </c>
      <c r="AS23" s="496"/>
      <c r="AT23" s="497">
        <f t="shared" si="13"/>
        <v>0</v>
      </c>
      <c r="AU23" s="498">
        <f t="shared" si="125"/>
        <v>0</v>
      </c>
      <c r="AV23" s="573">
        <v>86.537500000000009</v>
      </c>
      <c r="AW23" s="497">
        <f t="shared" si="14"/>
        <v>1.8532101250642457</v>
      </c>
      <c r="AX23" s="498">
        <f t="shared" si="126"/>
        <v>0</v>
      </c>
      <c r="AY23" s="496">
        <v>83.158799999999985</v>
      </c>
      <c r="AZ23" s="497">
        <f t="shared" si="15"/>
        <v>1.7808548912112383</v>
      </c>
      <c r="BA23" s="498">
        <f t="shared" si="127"/>
        <v>0</v>
      </c>
      <c r="BB23" s="496"/>
      <c r="BC23" s="497">
        <f t="shared" si="16"/>
        <v>0</v>
      </c>
      <c r="BD23" s="498">
        <f t="shared" si="128"/>
        <v>0</v>
      </c>
      <c r="BE23" s="496"/>
      <c r="BF23" s="497">
        <f t="shared" si="17"/>
        <v>0</v>
      </c>
      <c r="BG23" s="498">
        <f t="shared" si="129"/>
        <v>0</v>
      </c>
      <c r="BH23" s="496"/>
      <c r="BI23" s="497">
        <f t="shared" si="18"/>
        <v>0</v>
      </c>
      <c r="BJ23" s="498">
        <f t="shared" si="130"/>
        <v>0</v>
      </c>
      <c r="BK23" s="496"/>
      <c r="BL23" s="497">
        <f t="shared" si="19"/>
        <v>0</v>
      </c>
      <c r="BM23" s="498">
        <f t="shared" si="131"/>
        <v>0</v>
      </c>
      <c r="BN23" s="496">
        <v>27.839506172839521</v>
      </c>
      <c r="BO23" s="497">
        <f t="shared" si="20"/>
        <v>0.5961861010116396</v>
      </c>
      <c r="BP23" s="498">
        <f t="shared" si="132"/>
        <v>0</v>
      </c>
      <c r="BQ23" s="496">
        <v>0</v>
      </c>
      <c r="BR23" s="497">
        <f t="shared" si="21"/>
        <v>0</v>
      </c>
      <c r="BS23" s="498">
        <f t="shared" si="133"/>
        <v>0</v>
      </c>
      <c r="BT23" s="496"/>
      <c r="BU23" s="497">
        <f t="shared" si="22"/>
        <v>0</v>
      </c>
      <c r="BV23" s="498">
        <f t="shared" si="134"/>
        <v>0</v>
      </c>
      <c r="BW23" s="496"/>
      <c r="BX23" s="497">
        <f t="shared" si="23"/>
        <v>0</v>
      </c>
      <c r="BY23" s="498">
        <f t="shared" si="135"/>
        <v>0</v>
      </c>
      <c r="BZ23" s="496"/>
      <c r="CA23" s="497">
        <f t="shared" si="24"/>
        <v>0</v>
      </c>
      <c r="CB23" s="498">
        <f t="shared" si="136"/>
        <v>0</v>
      </c>
      <c r="CC23" s="496">
        <v>25</v>
      </c>
      <c r="CD23" s="497">
        <f t="shared" si="25"/>
        <v>0.53537776254925473</v>
      </c>
      <c r="CE23" s="498">
        <f t="shared" si="137"/>
        <v>0</v>
      </c>
      <c r="CF23" s="496">
        <v>7.1999999999999984</v>
      </c>
      <c r="CG23" s="497">
        <f t="shared" si="26"/>
        <v>0.15418879561418533</v>
      </c>
      <c r="CH23" s="498">
        <f t="shared" si="138"/>
        <v>0</v>
      </c>
      <c r="CI23" s="496"/>
      <c r="CJ23" s="497">
        <f t="shared" si="27"/>
        <v>0</v>
      </c>
      <c r="CK23" s="498">
        <f t="shared" si="139"/>
        <v>0</v>
      </c>
      <c r="CL23" s="496"/>
      <c r="CM23" s="497">
        <f t="shared" si="28"/>
        <v>0</v>
      </c>
      <c r="CN23" s="498">
        <f t="shared" si="140"/>
        <v>0</v>
      </c>
      <c r="CO23" s="496"/>
      <c r="CP23" s="497">
        <f t="shared" si="29"/>
        <v>0</v>
      </c>
      <c r="CQ23" s="498">
        <f t="shared" si="141"/>
        <v>0</v>
      </c>
      <c r="CR23" s="496"/>
      <c r="CS23" s="497">
        <f t="shared" si="30"/>
        <v>0</v>
      </c>
      <c r="CT23" s="498">
        <f t="shared" si="142"/>
        <v>0</v>
      </c>
      <c r="CU23" s="496"/>
      <c r="CV23" s="497">
        <f t="shared" si="31"/>
        <v>0</v>
      </c>
      <c r="CW23" s="498">
        <f t="shared" si="143"/>
        <v>0</v>
      </c>
      <c r="CX23" s="496"/>
      <c r="CY23" s="497">
        <f t="shared" si="32"/>
        <v>0</v>
      </c>
      <c r="CZ23" s="498">
        <f t="shared" si="144"/>
        <v>0</v>
      </c>
      <c r="DA23" s="496"/>
      <c r="DB23" s="497">
        <f t="shared" si="33"/>
        <v>0</v>
      </c>
      <c r="DC23" s="498">
        <f t="shared" si="145"/>
        <v>0</v>
      </c>
      <c r="DD23" s="496"/>
      <c r="DE23" s="497">
        <f t="shared" si="34"/>
        <v>0</v>
      </c>
      <c r="DF23" s="498">
        <f t="shared" si="146"/>
        <v>0</v>
      </c>
      <c r="DG23" s="496"/>
      <c r="DH23" s="497">
        <f t="shared" si="35"/>
        <v>0</v>
      </c>
      <c r="DI23" s="498">
        <f t="shared" si="203"/>
        <v>0</v>
      </c>
      <c r="DJ23" s="496"/>
      <c r="DK23" s="497">
        <f t="shared" si="36"/>
        <v>0</v>
      </c>
      <c r="DL23" s="498">
        <f t="shared" si="147"/>
        <v>0</v>
      </c>
      <c r="DM23" s="496"/>
      <c r="DN23" s="497">
        <f t="shared" si="37"/>
        <v>0</v>
      </c>
      <c r="DO23" s="498">
        <f t="shared" si="148"/>
        <v>0</v>
      </c>
      <c r="DP23" s="496"/>
      <c r="DQ23" s="497">
        <f t="shared" si="38"/>
        <v>0</v>
      </c>
      <c r="DR23" s="498">
        <f t="shared" si="149"/>
        <v>0</v>
      </c>
      <c r="DS23" s="496"/>
      <c r="DT23" s="497">
        <f t="shared" si="39"/>
        <v>0</v>
      </c>
      <c r="DU23" s="498">
        <f t="shared" si="150"/>
        <v>0</v>
      </c>
      <c r="DV23" s="496"/>
      <c r="DW23" s="497">
        <f t="shared" si="40"/>
        <v>0</v>
      </c>
      <c r="DX23" s="498">
        <f t="shared" si="151"/>
        <v>0</v>
      </c>
      <c r="DY23" s="496">
        <v>0</v>
      </c>
      <c r="DZ23" s="497">
        <f t="shared" si="41"/>
        <v>0</v>
      </c>
      <c r="EA23" s="498">
        <f t="shared" si="152"/>
        <v>0</v>
      </c>
      <c r="EB23" s="496">
        <v>29.069767441860449</v>
      </c>
      <c r="EC23" s="497">
        <f t="shared" si="42"/>
        <v>0.62253228203401689</v>
      </c>
      <c r="ED23" s="498">
        <f t="shared" si="153"/>
        <v>0</v>
      </c>
      <c r="EE23" s="496">
        <v>6</v>
      </c>
      <c r="EF23" s="497">
        <f t="shared" si="43"/>
        <v>0.12849066301182116</v>
      </c>
      <c r="EG23" s="498">
        <f t="shared" si="154"/>
        <v>0</v>
      </c>
      <c r="EH23" s="496"/>
      <c r="EI23" s="497">
        <f t="shared" si="44"/>
        <v>0</v>
      </c>
      <c r="EJ23" s="498">
        <f t="shared" si="155"/>
        <v>0</v>
      </c>
      <c r="EK23" s="496"/>
      <c r="EL23" s="497">
        <f t="shared" si="45"/>
        <v>0</v>
      </c>
      <c r="EM23" s="498">
        <f t="shared" si="156"/>
        <v>0</v>
      </c>
      <c r="EN23" s="496"/>
      <c r="EO23" s="497">
        <f t="shared" si="46"/>
        <v>0</v>
      </c>
      <c r="EP23" s="498">
        <f t="shared" si="157"/>
        <v>0</v>
      </c>
      <c r="EQ23" s="496"/>
      <c r="ER23" s="497">
        <f t="shared" si="47"/>
        <v>0</v>
      </c>
      <c r="ES23" s="498">
        <f t="shared" si="158"/>
        <v>0</v>
      </c>
      <c r="ET23" s="496"/>
      <c r="EU23" s="497">
        <f t="shared" si="48"/>
        <v>0</v>
      </c>
      <c r="EV23" s="498">
        <f t="shared" si="159"/>
        <v>0</v>
      </c>
      <c r="EW23" s="496"/>
      <c r="EX23" s="497">
        <f t="shared" si="49"/>
        <v>0</v>
      </c>
      <c r="EY23" s="498">
        <f t="shared" si="160"/>
        <v>0</v>
      </c>
      <c r="EZ23" s="496"/>
      <c r="FA23" s="497">
        <f t="shared" si="50"/>
        <v>0</v>
      </c>
      <c r="FB23" s="498">
        <f t="shared" si="161"/>
        <v>0</v>
      </c>
      <c r="FC23" s="496"/>
      <c r="FD23" s="497">
        <f t="shared" si="51"/>
        <v>0</v>
      </c>
      <c r="FE23" s="498">
        <f t="shared" si="162"/>
        <v>0</v>
      </c>
      <c r="FF23" s="496"/>
      <c r="FG23" s="497">
        <f t="shared" si="52"/>
        <v>0</v>
      </c>
      <c r="FH23" s="498">
        <f t="shared" si="163"/>
        <v>0</v>
      </c>
      <c r="FI23" s="496"/>
      <c r="FJ23" s="497">
        <f t="shared" si="53"/>
        <v>0</v>
      </c>
      <c r="FK23" s="498">
        <f t="shared" si="164"/>
        <v>0</v>
      </c>
      <c r="FL23" s="496"/>
      <c r="FM23" s="497">
        <f t="shared" si="54"/>
        <v>0</v>
      </c>
      <c r="FN23" s="498">
        <f t="shared" si="165"/>
        <v>0</v>
      </c>
      <c r="FO23" s="496"/>
      <c r="FP23" s="497">
        <f t="shared" si="55"/>
        <v>0</v>
      </c>
      <c r="FQ23" s="498">
        <f t="shared" si="166"/>
        <v>0</v>
      </c>
      <c r="FR23" s="496"/>
      <c r="FS23" s="497">
        <f t="shared" si="56"/>
        <v>0</v>
      </c>
      <c r="FT23" s="498">
        <f t="shared" si="167"/>
        <v>0</v>
      </c>
      <c r="FU23" s="496"/>
      <c r="FV23" s="497">
        <f t="shared" si="57"/>
        <v>0</v>
      </c>
      <c r="FW23" s="498">
        <f t="shared" si="168"/>
        <v>0</v>
      </c>
      <c r="FX23" s="496"/>
      <c r="FY23" s="497">
        <f t="shared" si="58"/>
        <v>0</v>
      </c>
      <c r="FZ23" s="498">
        <f t="shared" si="169"/>
        <v>0</v>
      </c>
      <c r="GA23" s="496"/>
      <c r="GB23" s="497">
        <f t="shared" si="59"/>
        <v>0</v>
      </c>
      <c r="GC23" s="498">
        <f t="shared" si="170"/>
        <v>0</v>
      </c>
      <c r="GD23" s="496"/>
      <c r="GE23" s="497">
        <f t="shared" si="60"/>
        <v>0</v>
      </c>
      <c r="GF23" s="498">
        <f t="shared" si="171"/>
        <v>0</v>
      </c>
      <c r="GG23" s="496"/>
      <c r="GH23" s="497">
        <f t="shared" si="61"/>
        <v>0</v>
      </c>
      <c r="GI23" s="498">
        <f t="shared" si="172"/>
        <v>0</v>
      </c>
      <c r="GJ23" s="496"/>
      <c r="GK23" s="497">
        <f t="shared" si="62"/>
        <v>0</v>
      </c>
      <c r="GL23" s="498">
        <f t="shared" si="173"/>
        <v>0</v>
      </c>
      <c r="GM23" s="496"/>
      <c r="GN23" s="497">
        <f t="shared" si="63"/>
        <v>0</v>
      </c>
      <c r="GO23" s="498">
        <f t="shared" si="174"/>
        <v>0</v>
      </c>
      <c r="GP23" s="496"/>
      <c r="GQ23" s="497">
        <f t="shared" si="64"/>
        <v>0</v>
      </c>
      <c r="GR23" s="498">
        <f t="shared" si="175"/>
        <v>0</v>
      </c>
      <c r="GS23" s="496"/>
      <c r="GT23" s="497">
        <f t="shared" si="65"/>
        <v>0</v>
      </c>
      <c r="GU23" s="498">
        <f t="shared" si="176"/>
        <v>0</v>
      </c>
      <c r="GV23" s="496"/>
      <c r="GW23" s="497">
        <f t="shared" si="66"/>
        <v>0</v>
      </c>
      <c r="GX23" s="498">
        <f t="shared" si="177"/>
        <v>0</v>
      </c>
      <c r="GY23" s="496"/>
      <c r="GZ23" s="497">
        <f t="shared" si="67"/>
        <v>0</v>
      </c>
      <c r="HA23" s="498">
        <f t="shared" si="178"/>
        <v>0</v>
      </c>
      <c r="HB23" s="496"/>
      <c r="HC23" s="497">
        <f t="shared" si="68"/>
        <v>0</v>
      </c>
      <c r="HD23" s="498">
        <f t="shared" si="179"/>
        <v>0</v>
      </c>
      <c r="HE23" s="496"/>
      <c r="HF23" s="497">
        <f t="shared" si="69"/>
        <v>0</v>
      </c>
      <c r="HG23" s="498">
        <f t="shared" si="180"/>
        <v>0</v>
      </c>
      <c r="HH23" s="496"/>
      <c r="HI23" s="497">
        <f t="shared" si="70"/>
        <v>0</v>
      </c>
      <c r="HJ23" s="498">
        <f t="shared" si="181"/>
        <v>0</v>
      </c>
      <c r="HK23" s="496"/>
      <c r="HL23" s="497">
        <f t="shared" si="71"/>
        <v>0</v>
      </c>
      <c r="HM23" s="498">
        <f t="shared" si="182"/>
        <v>0</v>
      </c>
      <c r="HN23" s="496"/>
      <c r="HO23" s="497">
        <f t="shared" si="72"/>
        <v>0</v>
      </c>
      <c r="HP23" s="498">
        <f t="shared" si="183"/>
        <v>0</v>
      </c>
      <c r="HQ23" s="496"/>
      <c r="HR23" s="497">
        <f t="shared" si="73"/>
        <v>0</v>
      </c>
      <c r="HS23" s="498">
        <f t="shared" si="184"/>
        <v>0</v>
      </c>
      <c r="HT23" s="496"/>
      <c r="HU23" s="497">
        <f t="shared" si="74"/>
        <v>0</v>
      </c>
      <c r="HV23" s="498">
        <f t="shared" si="185"/>
        <v>0</v>
      </c>
      <c r="HW23" s="496"/>
      <c r="HX23" s="497">
        <f t="shared" si="75"/>
        <v>0</v>
      </c>
      <c r="HY23" s="498">
        <f t="shared" si="186"/>
        <v>0</v>
      </c>
      <c r="HZ23" s="496"/>
      <c r="IA23" s="497">
        <f t="shared" si="76"/>
        <v>0</v>
      </c>
      <c r="IB23" s="498">
        <f t="shared" si="187"/>
        <v>0</v>
      </c>
      <c r="IC23" s="496"/>
      <c r="ID23" s="497">
        <f t="shared" si="77"/>
        <v>0</v>
      </c>
      <c r="IE23" s="498">
        <f t="shared" si="188"/>
        <v>0</v>
      </c>
      <c r="IF23" s="496"/>
      <c r="IG23" s="497">
        <f t="shared" si="78"/>
        <v>0</v>
      </c>
      <c r="IH23" s="498">
        <f t="shared" si="189"/>
        <v>0</v>
      </c>
      <c r="II23" s="496"/>
      <c r="IJ23" s="497">
        <f t="shared" si="79"/>
        <v>0</v>
      </c>
      <c r="IK23" s="498">
        <f t="shared" si="190"/>
        <v>0</v>
      </c>
      <c r="IL23" s="496"/>
      <c r="IM23" s="497">
        <f t="shared" si="80"/>
        <v>0</v>
      </c>
      <c r="IN23" s="498">
        <f t="shared" si="191"/>
        <v>0</v>
      </c>
      <c r="IO23" s="496"/>
      <c r="IP23" s="497">
        <f t="shared" si="81"/>
        <v>0</v>
      </c>
      <c r="IQ23" s="498">
        <f t="shared" si="192"/>
        <v>0</v>
      </c>
      <c r="IR23" s="496"/>
      <c r="IS23" s="497">
        <f t="shared" si="82"/>
        <v>0</v>
      </c>
      <c r="IT23" s="498">
        <f t="shared" si="193"/>
        <v>0</v>
      </c>
      <c r="IU23" s="496"/>
      <c r="IV23" s="497">
        <f t="shared" si="83"/>
        <v>0</v>
      </c>
      <c r="IW23" s="498">
        <f t="shared" si="194"/>
        <v>0</v>
      </c>
      <c r="IX23" s="496"/>
      <c r="IY23" s="497">
        <f t="shared" si="84"/>
        <v>0</v>
      </c>
      <c r="IZ23" s="498">
        <f t="shared" si="195"/>
        <v>0</v>
      </c>
      <c r="JA23" s="496"/>
      <c r="JB23" s="497">
        <f t="shared" si="85"/>
        <v>0</v>
      </c>
      <c r="JC23" s="498">
        <f t="shared" si="196"/>
        <v>0</v>
      </c>
      <c r="JD23" s="496"/>
      <c r="JE23" s="497">
        <f t="shared" si="86"/>
        <v>0</v>
      </c>
      <c r="JF23" s="498">
        <f t="shared" si="197"/>
        <v>0</v>
      </c>
      <c r="JG23" s="496"/>
      <c r="JH23" s="497">
        <f t="shared" si="87"/>
        <v>0</v>
      </c>
      <c r="JI23" s="498">
        <f t="shared" si="198"/>
        <v>0</v>
      </c>
      <c r="JJ23" s="496"/>
      <c r="JK23" s="498" t="str">
        <f t="shared" si="88"/>
        <v>0</v>
      </c>
      <c r="JL23" s="498" t="str">
        <f t="shared" si="89"/>
        <v>0</v>
      </c>
      <c r="JM23" s="496"/>
      <c r="JN23" s="498" t="str">
        <f t="shared" si="90"/>
        <v>0</v>
      </c>
      <c r="JO23" s="498" t="str">
        <f t="shared" si="91"/>
        <v>0</v>
      </c>
      <c r="JP23" s="496"/>
      <c r="JQ23" s="498" t="str">
        <f t="shared" si="92"/>
        <v>0</v>
      </c>
      <c r="JR23" s="498" t="str">
        <f t="shared" si="93"/>
        <v>0</v>
      </c>
      <c r="JS23" s="496"/>
      <c r="JT23" s="498" t="str">
        <f t="shared" si="94"/>
        <v>0</v>
      </c>
      <c r="JU23" s="498" t="str">
        <f t="shared" si="95"/>
        <v>0</v>
      </c>
      <c r="JV23" s="496"/>
      <c r="JW23" s="498" t="str">
        <f t="shared" si="96"/>
        <v>0</v>
      </c>
      <c r="JX23" s="498" t="str">
        <f t="shared" si="97"/>
        <v>0</v>
      </c>
      <c r="JY23" s="496"/>
      <c r="JZ23" s="498" t="str">
        <f t="shared" si="98"/>
        <v>0</v>
      </c>
      <c r="KA23" s="498" t="str">
        <f t="shared" si="99"/>
        <v>0</v>
      </c>
      <c r="KB23" s="496"/>
      <c r="KC23" s="498" t="str">
        <f t="shared" si="100"/>
        <v>0</v>
      </c>
      <c r="KD23" s="498" t="str">
        <f t="shared" si="101"/>
        <v>0</v>
      </c>
      <c r="KE23" s="496"/>
      <c r="KF23" s="498" t="str">
        <f t="shared" si="102"/>
        <v>0</v>
      </c>
      <c r="KG23" s="498" t="str">
        <f t="shared" si="103"/>
        <v>0</v>
      </c>
      <c r="KH23" s="496"/>
      <c r="KI23" s="498" t="str">
        <f t="shared" si="104"/>
        <v>0</v>
      </c>
      <c r="KJ23" s="498" t="str">
        <f t="shared" si="105"/>
        <v>0</v>
      </c>
      <c r="KK23" s="496"/>
      <c r="KL23" s="498" t="str">
        <f t="shared" si="106"/>
        <v>0</v>
      </c>
      <c r="KM23" s="498" t="str">
        <f t="shared" si="107"/>
        <v>0</v>
      </c>
      <c r="KN23" s="496"/>
      <c r="KO23" s="498" t="str">
        <f t="shared" si="108"/>
        <v>0</v>
      </c>
      <c r="KP23" s="498" t="str">
        <f t="shared" si="109"/>
        <v>0</v>
      </c>
      <c r="KQ23" s="496"/>
      <c r="KR23" s="498" t="str">
        <f t="shared" si="110"/>
        <v>0</v>
      </c>
      <c r="KS23" s="498" t="str">
        <f t="shared" si="111"/>
        <v>0</v>
      </c>
      <c r="KT23" s="498">
        <f t="shared" si="201"/>
        <v>0</v>
      </c>
      <c r="KU23" s="498">
        <f t="shared" si="202"/>
        <v>0</v>
      </c>
      <c r="KV23" s="262">
        <f t="shared" si="199"/>
        <v>772.30307361469977</v>
      </c>
    </row>
    <row r="24" spans="1:308" ht="15" customHeight="1">
      <c r="A24" s="264">
        <f t="shared" si="200"/>
        <v>46006</v>
      </c>
      <c r="B24" s="265" t="str">
        <f>+Report1!B23</f>
        <v>Facial</v>
      </c>
      <c r="C24" s="392" t="str">
        <f>+Report1!C23</f>
        <v>11,5</v>
      </c>
      <c r="D24" s="266">
        <f>+Report1!P23</f>
        <v>44.035000000000004</v>
      </c>
      <c r="E24" s="267">
        <f>+Report1!R23</f>
        <v>38.723999999999997</v>
      </c>
      <c r="F24" s="496"/>
      <c r="G24" s="497">
        <f t="shared" si="0"/>
        <v>0</v>
      </c>
      <c r="H24" s="498">
        <f t="shared" si="112"/>
        <v>0</v>
      </c>
      <c r="I24" s="496">
        <v>430.22877674418606</v>
      </c>
      <c r="J24" s="497">
        <f t="shared" si="1"/>
        <v>11.110132650144255</v>
      </c>
      <c r="K24" s="498">
        <f t="shared" si="113"/>
        <v>0</v>
      </c>
      <c r="L24" s="496"/>
      <c r="M24" s="497">
        <f t="shared" si="2"/>
        <v>0</v>
      </c>
      <c r="N24" s="498">
        <f t="shared" si="114"/>
        <v>0</v>
      </c>
      <c r="O24" s="496">
        <v>9.0000000000000071</v>
      </c>
      <c r="P24" s="497">
        <f t="shared" si="3"/>
        <v>0.23241400681747773</v>
      </c>
      <c r="Q24" s="498">
        <f t="shared" si="115"/>
        <v>0</v>
      </c>
      <c r="R24" s="496">
        <v>7.6874999999999858</v>
      </c>
      <c r="S24" s="497">
        <f t="shared" si="4"/>
        <v>0.19852029748992839</v>
      </c>
      <c r="T24" s="498">
        <f t="shared" si="116"/>
        <v>0</v>
      </c>
      <c r="U24" s="496">
        <v>4.6874999999999929</v>
      </c>
      <c r="V24" s="497">
        <f t="shared" si="5"/>
        <v>0.1210489618841027</v>
      </c>
      <c r="W24" s="498">
        <f t="shared" si="117"/>
        <v>0</v>
      </c>
      <c r="X24" s="496"/>
      <c r="Y24" s="497">
        <f t="shared" si="6"/>
        <v>0</v>
      </c>
      <c r="Z24" s="498">
        <f t="shared" si="118"/>
        <v>0</v>
      </c>
      <c r="AA24" s="496"/>
      <c r="AB24" s="497">
        <f t="shared" si="7"/>
        <v>0</v>
      </c>
      <c r="AC24" s="498">
        <f t="shared" si="119"/>
        <v>0</v>
      </c>
      <c r="AD24" s="496"/>
      <c r="AE24" s="497">
        <f t="shared" si="8"/>
        <v>0</v>
      </c>
      <c r="AF24" s="498">
        <f t="shared" si="120"/>
        <v>0</v>
      </c>
      <c r="AG24" s="496"/>
      <c r="AH24" s="497">
        <f t="shared" si="9"/>
        <v>0</v>
      </c>
      <c r="AI24" s="498">
        <f t="shared" si="121"/>
        <v>0</v>
      </c>
      <c r="AJ24" s="496"/>
      <c r="AK24" s="497">
        <f t="shared" si="10"/>
        <v>0</v>
      </c>
      <c r="AL24" s="498">
        <f t="shared" si="122"/>
        <v>0</v>
      </c>
      <c r="AM24" s="496"/>
      <c r="AN24" s="497">
        <f t="shared" si="11"/>
        <v>0</v>
      </c>
      <c r="AO24" s="498">
        <f t="shared" si="123"/>
        <v>0</v>
      </c>
      <c r="AP24" s="496">
        <v>43.267507692307731</v>
      </c>
      <c r="AQ24" s="497">
        <f t="shared" si="12"/>
        <v>1.1173305364194746</v>
      </c>
      <c r="AR24" s="498">
        <f t="shared" si="124"/>
        <v>0</v>
      </c>
      <c r="AS24" s="496"/>
      <c r="AT24" s="497">
        <f t="shared" si="13"/>
        <v>0</v>
      </c>
      <c r="AU24" s="498">
        <f t="shared" si="125"/>
        <v>0</v>
      </c>
      <c r="AV24" s="496">
        <v>2.7784999999999513</v>
      </c>
      <c r="AW24" s="497">
        <f t="shared" si="14"/>
        <v>7.1751368660261119E-2</v>
      </c>
      <c r="AX24" s="498">
        <f t="shared" si="126"/>
        <v>0</v>
      </c>
      <c r="AY24" s="496">
        <v>39.662800000000061</v>
      </c>
      <c r="AZ24" s="497">
        <f t="shared" si="15"/>
        <v>1.0242433632889181</v>
      </c>
      <c r="BA24" s="498">
        <f t="shared" si="127"/>
        <v>0</v>
      </c>
      <c r="BB24" s="496"/>
      <c r="BC24" s="497">
        <f t="shared" si="16"/>
        <v>0</v>
      </c>
      <c r="BD24" s="498">
        <f t="shared" si="128"/>
        <v>0</v>
      </c>
      <c r="BE24" s="496"/>
      <c r="BF24" s="497">
        <f t="shared" si="17"/>
        <v>0</v>
      </c>
      <c r="BG24" s="498">
        <f t="shared" si="129"/>
        <v>0</v>
      </c>
      <c r="BH24" s="496"/>
      <c r="BI24" s="497">
        <f t="shared" si="18"/>
        <v>0</v>
      </c>
      <c r="BJ24" s="498">
        <f t="shared" si="130"/>
        <v>0</v>
      </c>
      <c r="BK24" s="496"/>
      <c r="BL24" s="497">
        <f t="shared" si="19"/>
        <v>0</v>
      </c>
      <c r="BM24" s="498">
        <f t="shared" si="131"/>
        <v>0</v>
      </c>
      <c r="BN24" s="496">
        <v>22.7777777777778</v>
      </c>
      <c r="BO24" s="497">
        <f t="shared" si="20"/>
        <v>0.58820828885904874</v>
      </c>
      <c r="BP24" s="498">
        <f t="shared" si="132"/>
        <v>0</v>
      </c>
      <c r="BQ24" s="496">
        <v>0</v>
      </c>
      <c r="BR24" s="497">
        <f t="shared" si="21"/>
        <v>0</v>
      </c>
      <c r="BS24" s="498">
        <f t="shared" si="133"/>
        <v>0</v>
      </c>
      <c r="BT24" s="496"/>
      <c r="BU24" s="497">
        <f t="shared" si="22"/>
        <v>0</v>
      </c>
      <c r="BV24" s="498">
        <f t="shared" si="134"/>
        <v>0</v>
      </c>
      <c r="BW24" s="496"/>
      <c r="BX24" s="497">
        <f t="shared" si="23"/>
        <v>0</v>
      </c>
      <c r="BY24" s="498">
        <f t="shared" si="135"/>
        <v>0</v>
      </c>
      <c r="BZ24" s="496"/>
      <c r="CA24" s="497">
        <f t="shared" si="24"/>
        <v>0</v>
      </c>
      <c r="CB24" s="498">
        <f t="shared" si="136"/>
        <v>0</v>
      </c>
      <c r="CC24" s="496">
        <v>0</v>
      </c>
      <c r="CD24" s="497">
        <f t="shared" si="25"/>
        <v>0</v>
      </c>
      <c r="CE24" s="498">
        <f t="shared" si="137"/>
        <v>0</v>
      </c>
      <c r="CF24" s="496">
        <v>6</v>
      </c>
      <c r="CG24" s="497">
        <f t="shared" si="26"/>
        <v>0.1549426712116517</v>
      </c>
      <c r="CH24" s="498">
        <f t="shared" si="138"/>
        <v>0</v>
      </c>
      <c r="CI24" s="496"/>
      <c r="CJ24" s="497">
        <f t="shared" si="27"/>
        <v>0</v>
      </c>
      <c r="CK24" s="498">
        <f t="shared" si="139"/>
        <v>0</v>
      </c>
      <c r="CL24" s="496"/>
      <c r="CM24" s="497">
        <f t="shared" si="28"/>
        <v>0</v>
      </c>
      <c r="CN24" s="498">
        <f t="shared" si="140"/>
        <v>0</v>
      </c>
      <c r="CO24" s="496"/>
      <c r="CP24" s="497">
        <f t="shared" si="29"/>
        <v>0</v>
      </c>
      <c r="CQ24" s="498">
        <f t="shared" si="141"/>
        <v>0</v>
      </c>
      <c r="CR24" s="496"/>
      <c r="CS24" s="497">
        <f t="shared" si="30"/>
        <v>0</v>
      </c>
      <c r="CT24" s="498">
        <f t="shared" si="142"/>
        <v>0</v>
      </c>
      <c r="CU24" s="496"/>
      <c r="CV24" s="497">
        <f t="shared" si="31"/>
        <v>0</v>
      </c>
      <c r="CW24" s="498">
        <f t="shared" si="143"/>
        <v>0</v>
      </c>
      <c r="CX24" s="496"/>
      <c r="CY24" s="497">
        <f t="shared" si="32"/>
        <v>0</v>
      </c>
      <c r="CZ24" s="498">
        <f t="shared" si="144"/>
        <v>0</v>
      </c>
      <c r="DA24" s="496"/>
      <c r="DB24" s="497">
        <f t="shared" si="33"/>
        <v>0</v>
      </c>
      <c r="DC24" s="498">
        <f t="shared" si="145"/>
        <v>0</v>
      </c>
      <c r="DD24" s="496"/>
      <c r="DE24" s="497">
        <f t="shared" si="34"/>
        <v>0</v>
      </c>
      <c r="DF24" s="498">
        <f t="shared" si="146"/>
        <v>0</v>
      </c>
      <c r="DG24" s="496"/>
      <c r="DH24" s="497">
        <f t="shared" si="35"/>
        <v>0</v>
      </c>
      <c r="DI24" s="498">
        <f t="shared" si="203"/>
        <v>0</v>
      </c>
      <c r="DJ24" s="496"/>
      <c r="DK24" s="497">
        <f t="shared" si="36"/>
        <v>0</v>
      </c>
      <c r="DL24" s="498">
        <f t="shared" si="147"/>
        <v>0</v>
      </c>
      <c r="DM24" s="496"/>
      <c r="DN24" s="497">
        <f t="shared" si="37"/>
        <v>0</v>
      </c>
      <c r="DO24" s="498">
        <f t="shared" si="148"/>
        <v>0</v>
      </c>
      <c r="DP24" s="496"/>
      <c r="DQ24" s="497">
        <f t="shared" si="38"/>
        <v>0</v>
      </c>
      <c r="DR24" s="498">
        <f t="shared" si="149"/>
        <v>0</v>
      </c>
      <c r="DS24" s="496"/>
      <c r="DT24" s="497">
        <f t="shared" si="39"/>
        <v>0</v>
      </c>
      <c r="DU24" s="498">
        <f t="shared" si="150"/>
        <v>0</v>
      </c>
      <c r="DV24" s="496"/>
      <c r="DW24" s="497">
        <f t="shared" si="40"/>
        <v>0</v>
      </c>
      <c r="DX24" s="498">
        <f t="shared" si="151"/>
        <v>0</v>
      </c>
      <c r="DY24" s="496">
        <v>0</v>
      </c>
      <c r="DZ24" s="497">
        <f t="shared" si="41"/>
        <v>0</v>
      </c>
      <c r="EA24" s="498">
        <f t="shared" si="152"/>
        <v>0</v>
      </c>
      <c r="EB24" s="496">
        <v>21.802325581395365</v>
      </c>
      <c r="EC24" s="497">
        <f t="shared" si="42"/>
        <v>0.56301842736792085</v>
      </c>
      <c r="ED24" s="498">
        <f t="shared" si="153"/>
        <v>0</v>
      </c>
      <c r="EE24" s="496">
        <v>10</v>
      </c>
      <c r="EF24" s="497">
        <f t="shared" si="43"/>
        <v>0.25823778535275282</v>
      </c>
      <c r="EG24" s="498">
        <f t="shared" si="154"/>
        <v>0</v>
      </c>
      <c r="EH24" s="496"/>
      <c r="EI24" s="497">
        <f t="shared" si="44"/>
        <v>0</v>
      </c>
      <c r="EJ24" s="498">
        <f t="shared" si="155"/>
        <v>0</v>
      </c>
      <c r="EK24" s="496"/>
      <c r="EL24" s="497">
        <f t="shared" si="45"/>
        <v>0</v>
      </c>
      <c r="EM24" s="498">
        <f t="shared" si="156"/>
        <v>0</v>
      </c>
      <c r="EN24" s="496"/>
      <c r="EO24" s="497">
        <f t="shared" si="46"/>
        <v>0</v>
      </c>
      <c r="EP24" s="498">
        <f t="shared" si="157"/>
        <v>0</v>
      </c>
      <c r="EQ24" s="496"/>
      <c r="ER24" s="497">
        <f t="shared" si="47"/>
        <v>0</v>
      </c>
      <c r="ES24" s="498">
        <f t="shared" si="158"/>
        <v>0</v>
      </c>
      <c r="ET24" s="496"/>
      <c r="EU24" s="497">
        <f t="shared" si="48"/>
        <v>0</v>
      </c>
      <c r="EV24" s="498">
        <f t="shared" si="159"/>
        <v>0</v>
      </c>
      <c r="EW24" s="496"/>
      <c r="EX24" s="497">
        <f t="shared" si="49"/>
        <v>0</v>
      </c>
      <c r="EY24" s="498">
        <f t="shared" si="160"/>
        <v>0</v>
      </c>
      <c r="EZ24" s="496"/>
      <c r="FA24" s="497">
        <f t="shared" si="50"/>
        <v>0</v>
      </c>
      <c r="FB24" s="498">
        <f t="shared" si="161"/>
        <v>0</v>
      </c>
      <c r="FC24" s="496"/>
      <c r="FD24" s="497">
        <f t="shared" si="51"/>
        <v>0</v>
      </c>
      <c r="FE24" s="498">
        <f t="shared" si="162"/>
        <v>0</v>
      </c>
      <c r="FF24" s="496"/>
      <c r="FG24" s="497">
        <f t="shared" si="52"/>
        <v>0</v>
      </c>
      <c r="FH24" s="498">
        <f t="shared" si="163"/>
        <v>0</v>
      </c>
      <c r="FI24" s="496"/>
      <c r="FJ24" s="497">
        <f t="shared" si="53"/>
        <v>0</v>
      </c>
      <c r="FK24" s="498">
        <f t="shared" si="164"/>
        <v>0</v>
      </c>
      <c r="FL24" s="496"/>
      <c r="FM24" s="497">
        <f t="shared" si="54"/>
        <v>0</v>
      </c>
      <c r="FN24" s="498">
        <f t="shared" si="165"/>
        <v>0</v>
      </c>
      <c r="FO24" s="496"/>
      <c r="FP24" s="497">
        <f t="shared" si="55"/>
        <v>0</v>
      </c>
      <c r="FQ24" s="498">
        <f t="shared" si="166"/>
        <v>0</v>
      </c>
      <c r="FR24" s="496"/>
      <c r="FS24" s="497">
        <f t="shared" si="56"/>
        <v>0</v>
      </c>
      <c r="FT24" s="498">
        <f t="shared" si="167"/>
        <v>0</v>
      </c>
      <c r="FU24" s="496"/>
      <c r="FV24" s="497">
        <f t="shared" si="57"/>
        <v>0</v>
      </c>
      <c r="FW24" s="498">
        <f t="shared" si="168"/>
        <v>0</v>
      </c>
      <c r="FX24" s="496"/>
      <c r="FY24" s="497">
        <f t="shared" si="58"/>
        <v>0</v>
      </c>
      <c r="FZ24" s="498">
        <f t="shared" si="169"/>
        <v>0</v>
      </c>
      <c r="GA24" s="496"/>
      <c r="GB24" s="497">
        <f t="shared" si="59"/>
        <v>0</v>
      </c>
      <c r="GC24" s="498">
        <f t="shared" si="170"/>
        <v>0</v>
      </c>
      <c r="GD24" s="496"/>
      <c r="GE24" s="497">
        <f t="shared" si="60"/>
        <v>0</v>
      </c>
      <c r="GF24" s="498">
        <f t="shared" si="171"/>
        <v>0</v>
      </c>
      <c r="GG24" s="496"/>
      <c r="GH24" s="497">
        <f t="shared" si="61"/>
        <v>0</v>
      </c>
      <c r="GI24" s="498">
        <f t="shared" si="172"/>
        <v>0</v>
      </c>
      <c r="GJ24" s="496"/>
      <c r="GK24" s="497">
        <f t="shared" si="62"/>
        <v>0</v>
      </c>
      <c r="GL24" s="498">
        <f t="shared" si="173"/>
        <v>0</v>
      </c>
      <c r="GM24" s="496"/>
      <c r="GN24" s="497">
        <f t="shared" si="63"/>
        <v>0</v>
      </c>
      <c r="GO24" s="498">
        <f t="shared" si="174"/>
        <v>0</v>
      </c>
      <c r="GP24" s="496"/>
      <c r="GQ24" s="497">
        <f t="shared" si="64"/>
        <v>0</v>
      </c>
      <c r="GR24" s="498">
        <f t="shared" si="175"/>
        <v>0</v>
      </c>
      <c r="GS24" s="496"/>
      <c r="GT24" s="497">
        <f t="shared" si="65"/>
        <v>0</v>
      </c>
      <c r="GU24" s="498">
        <f t="shared" si="176"/>
        <v>0</v>
      </c>
      <c r="GV24" s="496"/>
      <c r="GW24" s="497">
        <f t="shared" si="66"/>
        <v>0</v>
      </c>
      <c r="GX24" s="498">
        <f t="shared" si="177"/>
        <v>0</v>
      </c>
      <c r="GY24" s="496"/>
      <c r="GZ24" s="497">
        <f t="shared" si="67"/>
        <v>0</v>
      </c>
      <c r="HA24" s="498">
        <f t="shared" si="178"/>
        <v>0</v>
      </c>
      <c r="HB24" s="496"/>
      <c r="HC24" s="497">
        <f t="shared" si="68"/>
        <v>0</v>
      </c>
      <c r="HD24" s="498">
        <f t="shared" si="179"/>
        <v>0</v>
      </c>
      <c r="HE24" s="496"/>
      <c r="HF24" s="497">
        <f t="shared" si="69"/>
        <v>0</v>
      </c>
      <c r="HG24" s="498">
        <f t="shared" si="180"/>
        <v>0</v>
      </c>
      <c r="HH24" s="496"/>
      <c r="HI24" s="497">
        <f t="shared" si="70"/>
        <v>0</v>
      </c>
      <c r="HJ24" s="498">
        <f t="shared" si="181"/>
        <v>0</v>
      </c>
      <c r="HK24" s="496"/>
      <c r="HL24" s="497">
        <f t="shared" si="71"/>
        <v>0</v>
      </c>
      <c r="HM24" s="498">
        <f t="shared" si="182"/>
        <v>0</v>
      </c>
      <c r="HN24" s="496"/>
      <c r="HO24" s="497">
        <f t="shared" si="72"/>
        <v>0</v>
      </c>
      <c r="HP24" s="498">
        <f t="shared" si="183"/>
        <v>0</v>
      </c>
      <c r="HQ24" s="496"/>
      <c r="HR24" s="497">
        <f t="shared" si="73"/>
        <v>0</v>
      </c>
      <c r="HS24" s="498">
        <f t="shared" si="184"/>
        <v>0</v>
      </c>
      <c r="HT24" s="496"/>
      <c r="HU24" s="497">
        <f t="shared" si="74"/>
        <v>0</v>
      </c>
      <c r="HV24" s="498">
        <f t="shared" si="185"/>
        <v>0</v>
      </c>
      <c r="HW24" s="496"/>
      <c r="HX24" s="497">
        <f t="shared" si="75"/>
        <v>0</v>
      </c>
      <c r="HY24" s="498">
        <f t="shared" si="186"/>
        <v>0</v>
      </c>
      <c r="HZ24" s="496"/>
      <c r="IA24" s="497">
        <f t="shared" si="76"/>
        <v>0</v>
      </c>
      <c r="IB24" s="498">
        <f t="shared" si="187"/>
        <v>0</v>
      </c>
      <c r="IC24" s="496"/>
      <c r="ID24" s="497">
        <f t="shared" si="77"/>
        <v>0</v>
      </c>
      <c r="IE24" s="498">
        <f t="shared" si="188"/>
        <v>0</v>
      </c>
      <c r="IF24" s="496"/>
      <c r="IG24" s="497">
        <f t="shared" si="78"/>
        <v>0</v>
      </c>
      <c r="IH24" s="498">
        <f t="shared" si="189"/>
        <v>0</v>
      </c>
      <c r="II24" s="496"/>
      <c r="IJ24" s="497">
        <f t="shared" si="79"/>
        <v>0</v>
      </c>
      <c r="IK24" s="498">
        <f t="shared" si="190"/>
        <v>0</v>
      </c>
      <c r="IL24" s="496"/>
      <c r="IM24" s="497">
        <f t="shared" si="80"/>
        <v>0</v>
      </c>
      <c r="IN24" s="498">
        <f t="shared" si="191"/>
        <v>0</v>
      </c>
      <c r="IO24" s="496"/>
      <c r="IP24" s="497">
        <f t="shared" si="81"/>
        <v>0</v>
      </c>
      <c r="IQ24" s="498">
        <f t="shared" si="192"/>
        <v>0</v>
      </c>
      <c r="IR24" s="496"/>
      <c r="IS24" s="497">
        <f t="shared" si="82"/>
        <v>0</v>
      </c>
      <c r="IT24" s="498">
        <f t="shared" si="193"/>
        <v>0</v>
      </c>
      <c r="IU24" s="496"/>
      <c r="IV24" s="497">
        <f t="shared" si="83"/>
        <v>0</v>
      </c>
      <c r="IW24" s="498">
        <f t="shared" si="194"/>
        <v>0</v>
      </c>
      <c r="IX24" s="496"/>
      <c r="IY24" s="497">
        <f t="shared" si="84"/>
        <v>0</v>
      </c>
      <c r="IZ24" s="498">
        <f t="shared" si="195"/>
        <v>0</v>
      </c>
      <c r="JA24" s="496"/>
      <c r="JB24" s="497">
        <f t="shared" si="85"/>
        <v>0</v>
      </c>
      <c r="JC24" s="498">
        <f t="shared" si="196"/>
        <v>0</v>
      </c>
      <c r="JD24" s="496"/>
      <c r="JE24" s="497">
        <f t="shared" si="86"/>
        <v>0</v>
      </c>
      <c r="JF24" s="498">
        <f t="shared" si="197"/>
        <v>0</v>
      </c>
      <c r="JG24" s="496"/>
      <c r="JH24" s="497">
        <f t="shared" si="87"/>
        <v>0</v>
      </c>
      <c r="JI24" s="498">
        <f t="shared" si="198"/>
        <v>0</v>
      </c>
      <c r="JJ24" s="496"/>
      <c r="JK24" s="498" t="str">
        <f t="shared" si="88"/>
        <v>0</v>
      </c>
      <c r="JL24" s="498" t="str">
        <f t="shared" si="89"/>
        <v>0</v>
      </c>
      <c r="JM24" s="496"/>
      <c r="JN24" s="498" t="str">
        <f t="shared" si="90"/>
        <v>0</v>
      </c>
      <c r="JO24" s="498" t="str">
        <f t="shared" si="91"/>
        <v>0</v>
      </c>
      <c r="JP24" s="496"/>
      <c r="JQ24" s="498" t="str">
        <f t="shared" si="92"/>
        <v>0</v>
      </c>
      <c r="JR24" s="498" t="str">
        <f t="shared" si="93"/>
        <v>0</v>
      </c>
      <c r="JS24" s="496"/>
      <c r="JT24" s="498" t="str">
        <f t="shared" si="94"/>
        <v>0</v>
      </c>
      <c r="JU24" s="498" t="str">
        <f t="shared" si="95"/>
        <v>0</v>
      </c>
      <c r="JV24" s="496"/>
      <c r="JW24" s="498" t="str">
        <f t="shared" si="96"/>
        <v>0</v>
      </c>
      <c r="JX24" s="498" t="str">
        <f t="shared" si="97"/>
        <v>0</v>
      </c>
      <c r="JY24" s="496"/>
      <c r="JZ24" s="498" t="str">
        <f t="shared" si="98"/>
        <v>0</v>
      </c>
      <c r="KA24" s="498" t="str">
        <f t="shared" si="99"/>
        <v>0</v>
      </c>
      <c r="KB24" s="496"/>
      <c r="KC24" s="498" t="str">
        <f t="shared" si="100"/>
        <v>0</v>
      </c>
      <c r="KD24" s="498" t="str">
        <f t="shared" si="101"/>
        <v>0</v>
      </c>
      <c r="KE24" s="496"/>
      <c r="KF24" s="498" t="str">
        <f t="shared" si="102"/>
        <v>0</v>
      </c>
      <c r="KG24" s="498" t="str">
        <f t="shared" si="103"/>
        <v>0</v>
      </c>
      <c r="KH24" s="496"/>
      <c r="KI24" s="498" t="str">
        <f t="shared" si="104"/>
        <v>0</v>
      </c>
      <c r="KJ24" s="498" t="str">
        <f t="shared" si="105"/>
        <v>0</v>
      </c>
      <c r="KK24" s="496"/>
      <c r="KL24" s="498" t="str">
        <f t="shared" si="106"/>
        <v>0</v>
      </c>
      <c r="KM24" s="498" t="str">
        <f t="shared" si="107"/>
        <v>0</v>
      </c>
      <c r="KN24" s="496"/>
      <c r="KO24" s="498" t="str">
        <f t="shared" si="108"/>
        <v>0</v>
      </c>
      <c r="KP24" s="498" t="str">
        <f t="shared" si="109"/>
        <v>0</v>
      </c>
      <c r="KQ24" s="496"/>
      <c r="KR24" s="498" t="str">
        <f t="shared" si="110"/>
        <v>0</v>
      </c>
      <c r="KS24" s="498" t="str">
        <f t="shared" si="111"/>
        <v>0</v>
      </c>
      <c r="KT24" s="498">
        <f t="shared" si="201"/>
        <v>0</v>
      </c>
      <c r="KU24" s="498">
        <f t="shared" si="202"/>
        <v>0</v>
      </c>
      <c r="KV24" s="262">
        <f t="shared" si="199"/>
        <v>597.89268779566703</v>
      </c>
    </row>
    <row r="25" spans="1:308" ht="15" customHeight="1">
      <c r="A25" s="264">
        <f t="shared" si="200"/>
        <v>46007</v>
      </c>
      <c r="B25" s="265" t="str">
        <f>+Report1!B24</f>
        <v>Facial/Toilet</v>
      </c>
      <c r="C25" s="392" t="str">
        <f>+Report1!C24</f>
        <v>11,5/12</v>
      </c>
      <c r="D25" s="266">
        <f>+Report1!P24</f>
        <v>47.820999999999998</v>
      </c>
      <c r="E25" s="267">
        <f>+Report1!R24</f>
        <v>45.914000000000001</v>
      </c>
      <c r="F25" s="496"/>
      <c r="G25" s="497">
        <f t="shared" si="0"/>
        <v>0</v>
      </c>
      <c r="H25" s="498">
        <f t="shared" si="112"/>
        <v>0</v>
      </c>
      <c r="I25" s="496">
        <v>162.79069767441865</v>
      </c>
      <c r="J25" s="497">
        <f t="shared" si="1"/>
        <v>3.5455568600953664</v>
      </c>
      <c r="K25" s="498">
        <f t="shared" si="113"/>
        <v>0</v>
      </c>
      <c r="L25" s="496"/>
      <c r="M25" s="497">
        <f t="shared" si="2"/>
        <v>0</v>
      </c>
      <c r="N25" s="498">
        <f t="shared" si="114"/>
        <v>0</v>
      </c>
      <c r="O25" s="496">
        <v>9</v>
      </c>
      <c r="P25" s="497">
        <f t="shared" si="3"/>
        <v>0.19601864355098661</v>
      </c>
      <c r="Q25" s="498">
        <f t="shared" si="115"/>
        <v>0</v>
      </c>
      <c r="R25" s="496">
        <v>10.250000000000014</v>
      </c>
      <c r="S25" s="497">
        <f t="shared" si="4"/>
        <v>0.22324345515529062</v>
      </c>
      <c r="T25" s="498">
        <f t="shared" si="116"/>
        <v>0</v>
      </c>
      <c r="U25" s="496">
        <v>3.125</v>
      </c>
      <c r="V25" s="497">
        <f t="shared" si="5"/>
        <v>6.8062029010759237E-2</v>
      </c>
      <c r="W25" s="498">
        <f t="shared" si="117"/>
        <v>0</v>
      </c>
      <c r="X25" s="496"/>
      <c r="Y25" s="497">
        <f t="shared" si="6"/>
        <v>0</v>
      </c>
      <c r="Z25" s="498">
        <f t="shared" si="118"/>
        <v>0</v>
      </c>
      <c r="AA25" s="496"/>
      <c r="AB25" s="497">
        <f t="shared" si="7"/>
        <v>0</v>
      </c>
      <c r="AC25" s="498">
        <f t="shared" si="119"/>
        <v>0</v>
      </c>
      <c r="AD25" s="496"/>
      <c r="AE25" s="497">
        <f t="shared" si="8"/>
        <v>0</v>
      </c>
      <c r="AF25" s="498">
        <f t="shared" si="120"/>
        <v>0</v>
      </c>
      <c r="AG25" s="496"/>
      <c r="AH25" s="497">
        <f t="shared" si="9"/>
        <v>0</v>
      </c>
      <c r="AI25" s="498">
        <f t="shared" si="121"/>
        <v>0</v>
      </c>
      <c r="AJ25" s="496"/>
      <c r="AK25" s="497">
        <f t="shared" si="10"/>
        <v>0</v>
      </c>
      <c r="AL25" s="498">
        <f t="shared" si="122"/>
        <v>0</v>
      </c>
      <c r="AM25" s="496"/>
      <c r="AN25" s="497">
        <f t="shared" si="11"/>
        <v>0</v>
      </c>
      <c r="AO25" s="498">
        <f t="shared" si="123"/>
        <v>0</v>
      </c>
      <c r="AP25" s="496">
        <v>69.230769230769283</v>
      </c>
      <c r="AQ25" s="497">
        <f t="shared" si="12"/>
        <v>1.5078357196229752</v>
      </c>
      <c r="AR25" s="498">
        <f t="shared" si="124"/>
        <v>0</v>
      </c>
      <c r="AS25" s="496"/>
      <c r="AT25" s="497">
        <f t="shared" si="13"/>
        <v>0</v>
      </c>
      <c r="AU25" s="498">
        <f t="shared" si="125"/>
        <v>0</v>
      </c>
      <c r="AV25" s="496">
        <v>2.7749999999999773</v>
      </c>
      <c r="AW25" s="497">
        <f t="shared" si="14"/>
        <v>6.0439081761553715E-2</v>
      </c>
      <c r="AX25" s="498">
        <f t="shared" si="126"/>
        <v>0</v>
      </c>
      <c r="AY25" s="496">
        <v>77.000000000000114</v>
      </c>
      <c r="AZ25" s="497">
        <f t="shared" si="15"/>
        <v>1.6770483948251103</v>
      </c>
      <c r="BA25" s="498">
        <f t="shared" si="127"/>
        <v>0</v>
      </c>
      <c r="BB25" s="496"/>
      <c r="BC25" s="497">
        <f t="shared" si="16"/>
        <v>0</v>
      </c>
      <c r="BD25" s="498">
        <f t="shared" si="128"/>
        <v>0</v>
      </c>
      <c r="BE25" s="496"/>
      <c r="BF25" s="497">
        <f t="shared" si="17"/>
        <v>0</v>
      </c>
      <c r="BG25" s="498">
        <f t="shared" si="129"/>
        <v>0</v>
      </c>
      <c r="BH25" s="496"/>
      <c r="BI25" s="497">
        <f t="shared" si="18"/>
        <v>0</v>
      </c>
      <c r="BJ25" s="498">
        <f t="shared" si="130"/>
        <v>0</v>
      </c>
      <c r="BK25" s="496"/>
      <c r="BL25" s="497">
        <f t="shared" si="19"/>
        <v>0</v>
      </c>
      <c r="BM25" s="498">
        <f t="shared" si="131"/>
        <v>0</v>
      </c>
      <c r="BN25" s="496">
        <v>27.839506172839492</v>
      </c>
      <c r="BO25" s="497">
        <f t="shared" si="20"/>
        <v>0.60634024856992397</v>
      </c>
      <c r="BP25" s="498">
        <f t="shared" si="132"/>
        <v>0</v>
      </c>
      <c r="BQ25" s="496">
        <v>0</v>
      </c>
      <c r="BR25" s="497">
        <f t="shared" si="21"/>
        <v>0</v>
      </c>
      <c r="BS25" s="498">
        <f t="shared" si="133"/>
        <v>0</v>
      </c>
      <c r="BT25" s="496"/>
      <c r="BU25" s="497">
        <f t="shared" si="22"/>
        <v>0</v>
      </c>
      <c r="BV25" s="498">
        <f t="shared" si="134"/>
        <v>0</v>
      </c>
      <c r="BW25" s="496"/>
      <c r="BX25" s="497">
        <f t="shared" si="23"/>
        <v>0</v>
      </c>
      <c r="BY25" s="498">
        <f t="shared" si="135"/>
        <v>0</v>
      </c>
      <c r="BZ25" s="496"/>
      <c r="CA25" s="497">
        <f t="shared" si="24"/>
        <v>0</v>
      </c>
      <c r="CB25" s="498">
        <f t="shared" si="136"/>
        <v>0</v>
      </c>
      <c r="CC25" s="496">
        <v>0</v>
      </c>
      <c r="CD25" s="497">
        <f t="shared" si="25"/>
        <v>0</v>
      </c>
      <c r="CE25" s="498">
        <f t="shared" si="137"/>
        <v>0</v>
      </c>
      <c r="CF25" s="496">
        <v>7.200000000000002</v>
      </c>
      <c r="CG25" s="497">
        <f t="shared" si="26"/>
        <v>0.15681491484078933</v>
      </c>
      <c r="CH25" s="498">
        <f t="shared" si="138"/>
        <v>0</v>
      </c>
      <c r="CI25" s="496"/>
      <c r="CJ25" s="497">
        <f t="shared" si="27"/>
        <v>0</v>
      </c>
      <c r="CK25" s="498">
        <f t="shared" si="139"/>
        <v>0</v>
      </c>
      <c r="CL25" s="496"/>
      <c r="CM25" s="497">
        <f t="shared" si="28"/>
        <v>0</v>
      </c>
      <c r="CN25" s="498">
        <f t="shared" si="140"/>
        <v>0</v>
      </c>
      <c r="CO25" s="496"/>
      <c r="CP25" s="497">
        <f t="shared" si="29"/>
        <v>0</v>
      </c>
      <c r="CQ25" s="498">
        <f t="shared" si="141"/>
        <v>0</v>
      </c>
      <c r="CR25" s="496"/>
      <c r="CS25" s="497">
        <f t="shared" si="30"/>
        <v>0</v>
      </c>
      <c r="CT25" s="498">
        <f t="shared" si="142"/>
        <v>0</v>
      </c>
      <c r="CU25" s="496"/>
      <c r="CV25" s="497">
        <f t="shared" si="31"/>
        <v>0</v>
      </c>
      <c r="CW25" s="498">
        <f t="shared" si="143"/>
        <v>0</v>
      </c>
      <c r="CX25" s="496"/>
      <c r="CY25" s="497">
        <f t="shared" si="32"/>
        <v>0</v>
      </c>
      <c r="CZ25" s="498">
        <f t="shared" si="144"/>
        <v>0</v>
      </c>
      <c r="DA25" s="496"/>
      <c r="DB25" s="497">
        <f t="shared" si="33"/>
        <v>0</v>
      </c>
      <c r="DC25" s="498">
        <f t="shared" si="145"/>
        <v>0</v>
      </c>
      <c r="DD25" s="496"/>
      <c r="DE25" s="497">
        <f t="shared" si="34"/>
        <v>0</v>
      </c>
      <c r="DF25" s="498">
        <f t="shared" si="146"/>
        <v>0</v>
      </c>
      <c r="DG25" s="496"/>
      <c r="DH25" s="497">
        <f t="shared" si="35"/>
        <v>0</v>
      </c>
      <c r="DI25" s="498">
        <f t="shared" si="203"/>
        <v>0</v>
      </c>
      <c r="DJ25" s="496"/>
      <c r="DK25" s="497">
        <f t="shared" si="36"/>
        <v>0</v>
      </c>
      <c r="DL25" s="498">
        <f t="shared" si="147"/>
        <v>0</v>
      </c>
      <c r="DM25" s="496"/>
      <c r="DN25" s="497">
        <f t="shared" si="37"/>
        <v>0</v>
      </c>
      <c r="DO25" s="498">
        <f t="shared" si="148"/>
        <v>0</v>
      </c>
      <c r="DP25" s="496"/>
      <c r="DQ25" s="497">
        <f t="shared" si="38"/>
        <v>0</v>
      </c>
      <c r="DR25" s="498">
        <f t="shared" si="149"/>
        <v>0</v>
      </c>
      <c r="DS25" s="496"/>
      <c r="DT25" s="497">
        <f t="shared" si="39"/>
        <v>0</v>
      </c>
      <c r="DU25" s="498">
        <f t="shared" si="150"/>
        <v>0</v>
      </c>
      <c r="DV25" s="496"/>
      <c r="DW25" s="497">
        <f t="shared" si="40"/>
        <v>0</v>
      </c>
      <c r="DX25" s="498">
        <f t="shared" si="151"/>
        <v>0</v>
      </c>
      <c r="DY25" s="496">
        <v>0</v>
      </c>
      <c r="DZ25" s="497">
        <f t="shared" si="41"/>
        <v>0</v>
      </c>
      <c r="EA25" s="498">
        <f t="shared" si="152"/>
        <v>0</v>
      </c>
      <c r="EB25" s="496">
        <v>14.534883720930225</v>
      </c>
      <c r="EC25" s="497">
        <f t="shared" si="42"/>
        <v>0.31656757679422887</v>
      </c>
      <c r="ED25" s="498">
        <f t="shared" si="153"/>
        <v>0</v>
      </c>
      <c r="EE25" s="496">
        <v>11</v>
      </c>
      <c r="EF25" s="497">
        <f t="shared" si="43"/>
        <v>0.23957834211787254</v>
      </c>
      <c r="EG25" s="498">
        <f t="shared" si="154"/>
        <v>0</v>
      </c>
      <c r="EH25" s="496"/>
      <c r="EI25" s="497">
        <f t="shared" si="44"/>
        <v>0</v>
      </c>
      <c r="EJ25" s="498">
        <f t="shared" si="155"/>
        <v>0</v>
      </c>
      <c r="EK25" s="496"/>
      <c r="EL25" s="497">
        <f t="shared" si="45"/>
        <v>0</v>
      </c>
      <c r="EM25" s="498">
        <f t="shared" si="156"/>
        <v>0</v>
      </c>
      <c r="EN25" s="496"/>
      <c r="EO25" s="497">
        <f t="shared" si="46"/>
        <v>0</v>
      </c>
      <c r="EP25" s="498">
        <f t="shared" si="157"/>
        <v>0</v>
      </c>
      <c r="EQ25" s="496"/>
      <c r="ER25" s="497">
        <f t="shared" si="47"/>
        <v>0</v>
      </c>
      <c r="ES25" s="498">
        <f t="shared" si="158"/>
        <v>0</v>
      </c>
      <c r="ET25" s="496"/>
      <c r="EU25" s="497">
        <f t="shared" si="48"/>
        <v>0</v>
      </c>
      <c r="EV25" s="498">
        <f t="shared" si="159"/>
        <v>0</v>
      </c>
      <c r="EW25" s="496"/>
      <c r="EX25" s="497">
        <f t="shared" si="49"/>
        <v>0</v>
      </c>
      <c r="EY25" s="498">
        <f t="shared" si="160"/>
        <v>0</v>
      </c>
      <c r="EZ25" s="496"/>
      <c r="FA25" s="497">
        <f t="shared" si="50"/>
        <v>0</v>
      </c>
      <c r="FB25" s="498">
        <f t="shared" si="161"/>
        <v>0</v>
      </c>
      <c r="FC25" s="496"/>
      <c r="FD25" s="497">
        <f t="shared" si="51"/>
        <v>0</v>
      </c>
      <c r="FE25" s="498">
        <f t="shared" si="162"/>
        <v>0</v>
      </c>
      <c r="FF25" s="496"/>
      <c r="FG25" s="497">
        <f t="shared" si="52"/>
        <v>0</v>
      </c>
      <c r="FH25" s="498">
        <f t="shared" si="163"/>
        <v>0</v>
      </c>
      <c r="FI25" s="496"/>
      <c r="FJ25" s="497">
        <f t="shared" si="53"/>
        <v>0</v>
      </c>
      <c r="FK25" s="498">
        <f t="shared" si="164"/>
        <v>0</v>
      </c>
      <c r="FL25" s="496"/>
      <c r="FM25" s="497">
        <f t="shared" si="54"/>
        <v>0</v>
      </c>
      <c r="FN25" s="498">
        <f t="shared" si="165"/>
        <v>0</v>
      </c>
      <c r="FO25" s="496"/>
      <c r="FP25" s="497">
        <f t="shared" si="55"/>
        <v>0</v>
      </c>
      <c r="FQ25" s="498">
        <f t="shared" si="166"/>
        <v>0</v>
      </c>
      <c r="FR25" s="496"/>
      <c r="FS25" s="497">
        <f t="shared" si="56"/>
        <v>0</v>
      </c>
      <c r="FT25" s="498">
        <f t="shared" si="167"/>
        <v>0</v>
      </c>
      <c r="FU25" s="496"/>
      <c r="FV25" s="497">
        <f t="shared" si="57"/>
        <v>0</v>
      </c>
      <c r="FW25" s="498">
        <f t="shared" si="168"/>
        <v>0</v>
      </c>
      <c r="FX25" s="496"/>
      <c r="FY25" s="497">
        <f t="shared" si="58"/>
        <v>0</v>
      </c>
      <c r="FZ25" s="498">
        <f t="shared" si="169"/>
        <v>0</v>
      </c>
      <c r="GA25" s="496"/>
      <c r="GB25" s="497">
        <f t="shared" si="59"/>
        <v>0</v>
      </c>
      <c r="GC25" s="498">
        <f t="shared" si="170"/>
        <v>0</v>
      </c>
      <c r="GD25" s="496"/>
      <c r="GE25" s="497">
        <f t="shared" si="60"/>
        <v>0</v>
      </c>
      <c r="GF25" s="498">
        <f t="shared" si="171"/>
        <v>0</v>
      </c>
      <c r="GG25" s="496"/>
      <c r="GH25" s="497">
        <f t="shared" si="61"/>
        <v>0</v>
      </c>
      <c r="GI25" s="498">
        <f t="shared" si="172"/>
        <v>0</v>
      </c>
      <c r="GJ25" s="496"/>
      <c r="GK25" s="497">
        <f t="shared" si="62"/>
        <v>0</v>
      </c>
      <c r="GL25" s="498">
        <f t="shared" si="173"/>
        <v>0</v>
      </c>
      <c r="GM25" s="496"/>
      <c r="GN25" s="497">
        <f t="shared" si="63"/>
        <v>0</v>
      </c>
      <c r="GO25" s="498">
        <f t="shared" si="174"/>
        <v>0</v>
      </c>
      <c r="GP25" s="496"/>
      <c r="GQ25" s="497">
        <f t="shared" si="64"/>
        <v>0</v>
      </c>
      <c r="GR25" s="498">
        <f t="shared" si="175"/>
        <v>0</v>
      </c>
      <c r="GS25" s="496"/>
      <c r="GT25" s="497">
        <f t="shared" si="65"/>
        <v>0</v>
      </c>
      <c r="GU25" s="498">
        <f t="shared" si="176"/>
        <v>0</v>
      </c>
      <c r="GV25" s="496"/>
      <c r="GW25" s="497">
        <f t="shared" si="66"/>
        <v>0</v>
      </c>
      <c r="GX25" s="498">
        <f t="shared" si="177"/>
        <v>0</v>
      </c>
      <c r="GY25" s="496"/>
      <c r="GZ25" s="497">
        <f t="shared" si="67"/>
        <v>0</v>
      </c>
      <c r="HA25" s="498">
        <f t="shared" si="178"/>
        <v>0</v>
      </c>
      <c r="HB25" s="496"/>
      <c r="HC25" s="497">
        <f t="shared" si="68"/>
        <v>0</v>
      </c>
      <c r="HD25" s="498">
        <f t="shared" si="179"/>
        <v>0</v>
      </c>
      <c r="HE25" s="496"/>
      <c r="HF25" s="497">
        <f t="shared" si="69"/>
        <v>0</v>
      </c>
      <c r="HG25" s="498">
        <f t="shared" si="180"/>
        <v>0</v>
      </c>
      <c r="HH25" s="496"/>
      <c r="HI25" s="497">
        <f t="shared" si="70"/>
        <v>0</v>
      </c>
      <c r="HJ25" s="498">
        <f t="shared" si="181"/>
        <v>0</v>
      </c>
      <c r="HK25" s="496"/>
      <c r="HL25" s="497">
        <f t="shared" si="71"/>
        <v>0</v>
      </c>
      <c r="HM25" s="498">
        <f t="shared" si="182"/>
        <v>0</v>
      </c>
      <c r="HN25" s="496"/>
      <c r="HO25" s="497">
        <f t="shared" si="72"/>
        <v>0</v>
      </c>
      <c r="HP25" s="498">
        <f t="shared" si="183"/>
        <v>0</v>
      </c>
      <c r="HQ25" s="496"/>
      <c r="HR25" s="497">
        <f t="shared" si="73"/>
        <v>0</v>
      </c>
      <c r="HS25" s="498">
        <f t="shared" si="184"/>
        <v>0</v>
      </c>
      <c r="HT25" s="496"/>
      <c r="HU25" s="497">
        <f t="shared" si="74"/>
        <v>0</v>
      </c>
      <c r="HV25" s="498">
        <f t="shared" si="185"/>
        <v>0</v>
      </c>
      <c r="HW25" s="496"/>
      <c r="HX25" s="497">
        <f t="shared" si="75"/>
        <v>0</v>
      </c>
      <c r="HY25" s="498">
        <f t="shared" si="186"/>
        <v>0</v>
      </c>
      <c r="HZ25" s="496"/>
      <c r="IA25" s="497">
        <f t="shared" si="76"/>
        <v>0</v>
      </c>
      <c r="IB25" s="498">
        <f t="shared" si="187"/>
        <v>0</v>
      </c>
      <c r="IC25" s="496"/>
      <c r="ID25" s="497">
        <f t="shared" si="77"/>
        <v>0</v>
      </c>
      <c r="IE25" s="498">
        <f t="shared" si="188"/>
        <v>0</v>
      </c>
      <c r="IF25" s="496"/>
      <c r="IG25" s="497">
        <f t="shared" si="78"/>
        <v>0</v>
      </c>
      <c r="IH25" s="498">
        <f t="shared" si="189"/>
        <v>0</v>
      </c>
      <c r="II25" s="496"/>
      <c r="IJ25" s="497">
        <f t="shared" si="79"/>
        <v>0</v>
      </c>
      <c r="IK25" s="498">
        <f t="shared" si="190"/>
        <v>0</v>
      </c>
      <c r="IL25" s="496"/>
      <c r="IM25" s="497">
        <f t="shared" si="80"/>
        <v>0</v>
      </c>
      <c r="IN25" s="498">
        <f t="shared" si="191"/>
        <v>0</v>
      </c>
      <c r="IO25" s="496"/>
      <c r="IP25" s="497">
        <f t="shared" si="81"/>
        <v>0</v>
      </c>
      <c r="IQ25" s="498">
        <f t="shared" si="192"/>
        <v>0</v>
      </c>
      <c r="IR25" s="496"/>
      <c r="IS25" s="497">
        <f t="shared" si="82"/>
        <v>0</v>
      </c>
      <c r="IT25" s="498">
        <f t="shared" si="193"/>
        <v>0</v>
      </c>
      <c r="IU25" s="496"/>
      <c r="IV25" s="497">
        <f t="shared" si="83"/>
        <v>0</v>
      </c>
      <c r="IW25" s="498">
        <f t="shared" si="194"/>
        <v>0</v>
      </c>
      <c r="IX25" s="496"/>
      <c r="IY25" s="497">
        <f t="shared" si="84"/>
        <v>0</v>
      </c>
      <c r="IZ25" s="498">
        <f t="shared" si="195"/>
        <v>0</v>
      </c>
      <c r="JA25" s="496"/>
      <c r="JB25" s="497">
        <f t="shared" si="85"/>
        <v>0</v>
      </c>
      <c r="JC25" s="498">
        <f t="shared" si="196"/>
        <v>0</v>
      </c>
      <c r="JD25" s="496"/>
      <c r="JE25" s="497">
        <f t="shared" si="86"/>
        <v>0</v>
      </c>
      <c r="JF25" s="498">
        <f t="shared" si="197"/>
        <v>0</v>
      </c>
      <c r="JG25" s="496"/>
      <c r="JH25" s="497">
        <f t="shared" si="87"/>
        <v>0</v>
      </c>
      <c r="JI25" s="498">
        <f t="shared" si="198"/>
        <v>0</v>
      </c>
      <c r="JJ25" s="496"/>
      <c r="JK25" s="498" t="str">
        <f t="shared" si="88"/>
        <v>0</v>
      </c>
      <c r="JL25" s="498" t="str">
        <f t="shared" si="89"/>
        <v>0</v>
      </c>
      <c r="JM25" s="496"/>
      <c r="JN25" s="498" t="str">
        <f t="shared" si="90"/>
        <v>0</v>
      </c>
      <c r="JO25" s="498" t="str">
        <f t="shared" si="91"/>
        <v>0</v>
      </c>
      <c r="JP25" s="496"/>
      <c r="JQ25" s="498" t="str">
        <f t="shared" si="92"/>
        <v>0</v>
      </c>
      <c r="JR25" s="498" t="str">
        <f t="shared" si="93"/>
        <v>0</v>
      </c>
      <c r="JS25" s="496"/>
      <c r="JT25" s="498" t="str">
        <f t="shared" si="94"/>
        <v>0</v>
      </c>
      <c r="JU25" s="498" t="str">
        <f t="shared" si="95"/>
        <v>0</v>
      </c>
      <c r="JV25" s="496"/>
      <c r="JW25" s="498" t="str">
        <f t="shared" si="96"/>
        <v>0</v>
      </c>
      <c r="JX25" s="498" t="str">
        <f t="shared" si="97"/>
        <v>0</v>
      </c>
      <c r="JY25" s="496"/>
      <c r="JZ25" s="498" t="str">
        <f t="shared" si="98"/>
        <v>0</v>
      </c>
      <c r="KA25" s="498" t="str">
        <f t="shared" si="99"/>
        <v>0</v>
      </c>
      <c r="KB25" s="496"/>
      <c r="KC25" s="498" t="str">
        <f t="shared" si="100"/>
        <v>0</v>
      </c>
      <c r="KD25" s="498" t="str">
        <f t="shared" si="101"/>
        <v>0</v>
      </c>
      <c r="KE25" s="496"/>
      <c r="KF25" s="498" t="str">
        <f t="shared" si="102"/>
        <v>0</v>
      </c>
      <c r="KG25" s="498" t="str">
        <f t="shared" si="103"/>
        <v>0</v>
      </c>
      <c r="KH25" s="496"/>
      <c r="KI25" s="498" t="str">
        <f t="shared" si="104"/>
        <v>0</v>
      </c>
      <c r="KJ25" s="498" t="str">
        <f t="shared" si="105"/>
        <v>0</v>
      </c>
      <c r="KK25" s="496"/>
      <c r="KL25" s="498" t="str">
        <f t="shared" si="106"/>
        <v>0</v>
      </c>
      <c r="KM25" s="498" t="str">
        <f t="shared" si="107"/>
        <v>0</v>
      </c>
      <c r="KN25" s="496"/>
      <c r="KO25" s="498" t="str">
        <f t="shared" si="108"/>
        <v>0</v>
      </c>
      <c r="KP25" s="498" t="str">
        <f t="shared" si="109"/>
        <v>0</v>
      </c>
      <c r="KQ25" s="496"/>
      <c r="KR25" s="498" t="str">
        <f t="shared" si="110"/>
        <v>0</v>
      </c>
      <c r="KS25" s="498" t="str">
        <f t="shared" si="111"/>
        <v>0</v>
      </c>
      <c r="KT25" s="498">
        <f t="shared" si="201"/>
        <v>0</v>
      </c>
      <c r="KU25" s="498">
        <f t="shared" si="202"/>
        <v>0</v>
      </c>
      <c r="KV25" s="262">
        <f t="shared" si="199"/>
        <v>394.74585679895773</v>
      </c>
    </row>
    <row r="26" spans="1:308" ht="15" customHeight="1">
      <c r="A26" s="264">
        <f t="shared" si="200"/>
        <v>46008</v>
      </c>
      <c r="B26" s="265" t="str">
        <f>+Report1!B25</f>
        <v>Toilet</v>
      </c>
      <c r="C26" s="392" t="str">
        <f>+Report1!C25</f>
        <v>12/17/18</v>
      </c>
      <c r="D26" s="266">
        <f>+Report1!P25</f>
        <v>52.367000000000004</v>
      </c>
      <c r="E26" s="267">
        <f>+Report1!R25</f>
        <v>53.536000000000001</v>
      </c>
      <c r="F26" s="496"/>
      <c r="G26" s="497">
        <f t="shared" si="0"/>
        <v>0</v>
      </c>
      <c r="H26" s="498">
        <f t="shared" si="112"/>
        <v>0</v>
      </c>
      <c r="I26" s="496">
        <v>34.883720930232585</v>
      </c>
      <c r="J26" s="497">
        <f t="shared" si="1"/>
        <v>0.65159371133877364</v>
      </c>
      <c r="K26" s="498">
        <f t="shared" si="113"/>
        <v>0</v>
      </c>
      <c r="L26" s="496"/>
      <c r="M26" s="497">
        <f t="shared" si="2"/>
        <v>0</v>
      </c>
      <c r="N26" s="498">
        <f t="shared" si="114"/>
        <v>0</v>
      </c>
      <c r="O26" s="496">
        <v>12</v>
      </c>
      <c r="P26" s="497">
        <f t="shared" si="3"/>
        <v>0.22414823670053796</v>
      </c>
      <c r="Q26" s="498">
        <f t="shared" si="115"/>
        <v>0</v>
      </c>
      <c r="R26" s="496">
        <v>7.6875</v>
      </c>
      <c r="S26" s="497">
        <f t="shared" si="4"/>
        <v>0.14359496413628212</v>
      </c>
      <c r="T26" s="498">
        <f t="shared" si="116"/>
        <v>0</v>
      </c>
      <c r="U26" s="496">
        <v>3.125</v>
      </c>
      <c r="V26" s="497">
        <f t="shared" si="5"/>
        <v>5.8371936640765093E-2</v>
      </c>
      <c r="W26" s="498">
        <f t="shared" si="117"/>
        <v>0</v>
      </c>
      <c r="X26" s="496"/>
      <c r="Y26" s="497">
        <f t="shared" si="6"/>
        <v>0</v>
      </c>
      <c r="Z26" s="498">
        <f t="shared" si="118"/>
        <v>0</v>
      </c>
      <c r="AA26" s="496"/>
      <c r="AB26" s="497">
        <f t="shared" si="7"/>
        <v>0</v>
      </c>
      <c r="AC26" s="498">
        <f t="shared" si="119"/>
        <v>0</v>
      </c>
      <c r="AD26" s="496"/>
      <c r="AE26" s="497">
        <f t="shared" si="8"/>
        <v>0</v>
      </c>
      <c r="AF26" s="498">
        <f t="shared" si="120"/>
        <v>0</v>
      </c>
      <c r="AG26" s="496"/>
      <c r="AH26" s="497">
        <f t="shared" si="9"/>
        <v>0</v>
      </c>
      <c r="AI26" s="498">
        <f t="shared" si="121"/>
        <v>0</v>
      </c>
      <c r="AJ26" s="496"/>
      <c r="AK26" s="497">
        <f t="shared" si="10"/>
        <v>0</v>
      </c>
      <c r="AL26" s="498">
        <f t="shared" si="122"/>
        <v>0</v>
      </c>
      <c r="AM26" s="496"/>
      <c r="AN26" s="497">
        <f t="shared" si="11"/>
        <v>0</v>
      </c>
      <c r="AO26" s="498">
        <f t="shared" si="123"/>
        <v>0</v>
      </c>
      <c r="AP26" s="496">
        <v>60.576923076923094</v>
      </c>
      <c r="AQ26" s="497">
        <f t="shared" si="12"/>
        <v>1.1315175410363698</v>
      </c>
      <c r="AR26" s="498">
        <f t="shared" si="124"/>
        <v>0</v>
      </c>
      <c r="AS26" s="496"/>
      <c r="AT26" s="497">
        <f t="shared" si="13"/>
        <v>0</v>
      </c>
      <c r="AU26" s="498">
        <f t="shared" si="125"/>
        <v>0</v>
      </c>
      <c r="AV26" s="496">
        <v>2.7750000000000341</v>
      </c>
      <c r="AW26" s="497">
        <f t="shared" si="14"/>
        <v>5.1834279737000041E-2</v>
      </c>
      <c r="AX26" s="498">
        <f t="shared" si="126"/>
        <v>0</v>
      </c>
      <c r="AY26" s="496">
        <v>60.666666666666629</v>
      </c>
      <c r="AZ26" s="497">
        <f t="shared" si="15"/>
        <v>1.1331938633193857</v>
      </c>
      <c r="BA26" s="498">
        <f t="shared" si="127"/>
        <v>0</v>
      </c>
      <c r="BB26" s="496"/>
      <c r="BC26" s="497">
        <f t="shared" si="16"/>
        <v>0</v>
      </c>
      <c r="BD26" s="498">
        <f t="shared" si="128"/>
        <v>0</v>
      </c>
      <c r="BE26" s="496"/>
      <c r="BF26" s="497">
        <f t="shared" si="17"/>
        <v>0</v>
      </c>
      <c r="BG26" s="498">
        <f t="shared" si="129"/>
        <v>0</v>
      </c>
      <c r="BH26" s="496"/>
      <c r="BI26" s="497">
        <f t="shared" si="18"/>
        <v>0</v>
      </c>
      <c r="BJ26" s="498">
        <f t="shared" si="130"/>
        <v>0</v>
      </c>
      <c r="BK26" s="496"/>
      <c r="BL26" s="497">
        <f t="shared" si="19"/>
        <v>0</v>
      </c>
      <c r="BM26" s="498">
        <f t="shared" si="131"/>
        <v>0</v>
      </c>
      <c r="BN26" s="496">
        <v>30.370370370370352</v>
      </c>
      <c r="BO26" s="497">
        <f t="shared" si="20"/>
        <v>0.56728874720506484</v>
      </c>
      <c r="BP26" s="498">
        <f t="shared" si="132"/>
        <v>0</v>
      </c>
      <c r="BQ26" s="496">
        <v>2.5651282051282038</v>
      </c>
      <c r="BR26" s="497">
        <f t="shared" si="21"/>
        <v>4.7914080340858561E-2</v>
      </c>
      <c r="BS26" s="498">
        <f t="shared" si="133"/>
        <v>0</v>
      </c>
      <c r="BT26" s="496"/>
      <c r="BU26" s="497">
        <f t="shared" si="22"/>
        <v>0</v>
      </c>
      <c r="BV26" s="498">
        <f t="shared" si="134"/>
        <v>0</v>
      </c>
      <c r="BW26" s="496"/>
      <c r="BX26" s="497">
        <f t="shared" si="23"/>
        <v>0</v>
      </c>
      <c r="BY26" s="498">
        <f t="shared" si="135"/>
        <v>0</v>
      </c>
      <c r="BZ26" s="496"/>
      <c r="CA26" s="497">
        <f t="shared" si="24"/>
        <v>0</v>
      </c>
      <c r="CB26" s="498">
        <f t="shared" si="136"/>
        <v>0</v>
      </c>
      <c r="CC26" s="496">
        <v>0</v>
      </c>
      <c r="CD26" s="497">
        <f t="shared" si="25"/>
        <v>0</v>
      </c>
      <c r="CE26" s="498">
        <f t="shared" si="137"/>
        <v>0</v>
      </c>
      <c r="CF26" s="496">
        <v>7.1999999999999984</v>
      </c>
      <c r="CG26" s="497">
        <f t="shared" si="26"/>
        <v>0.13448894202032274</v>
      </c>
      <c r="CH26" s="498">
        <f t="shared" si="138"/>
        <v>0</v>
      </c>
      <c r="CI26" s="496"/>
      <c r="CJ26" s="497">
        <f t="shared" si="27"/>
        <v>0</v>
      </c>
      <c r="CK26" s="498">
        <f t="shared" si="139"/>
        <v>0</v>
      </c>
      <c r="CL26" s="496"/>
      <c r="CM26" s="497">
        <f t="shared" si="28"/>
        <v>0</v>
      </c>
      <c r="CN26" s="498">
        <f t="shared" si="140"/>
        <v>0</v>
      </c>
      <c r="CO26" s="496"/>
      <c r="CP26" s="497">
        <f t="shared" si="29"/>
        <v>0</v>
      </c>
      <c r="CQ26" s="498">
        <f t="shared" si="141"/>
        <v>0</v>
      </c>
      <c r="CR26" s="496"/>
      <c r="CS26" s="497">
        <f t="shared" si="30"/>
        <v>0</v>
      </c>
      <c r="CT26" s="498">
        <f t="shared" si="142"/>
        <v>0</v>
      </c>
      <c r="CU26" s="496"/>
      <c r="CV26" s="497">
        <f t="shared" si="31"/>
        <v>0</v>
      </c>
      <c r="CW26" s="498">
        <f t="shared" si="143"/>
        <v>0</v>
      </c>
      <c r="CX26" s="496"/>
      <c r="CY26" s="497">
        <f t="shared" si="32"/>
        <v>0</v>
      </c>
      <c r="CZ26" s="498">
        <f t="shared" si="144"/>
        <v>0</v>
      </c>
      <c r="DA26" s="496"/>
      <c r="DB26" s="497">
        <f t="shared" si="33"/>
        <v>0</v>
      </c>
      <c r="DC26" s="498">
        <f t="shared" si="145"/>
        <v>0</v>
      </c>
      <c r="DD26" s="496"/>
      <c r="DE26" s="497">
        <f t="shared" si="34"/>
        <v>0</v>
      </c>
      <c r="DF26" s="498">
        <f t="shared" si="146"/>
        <v>0</v>
      </c>
      <c r="DG26" s="496"/>
      <c r="DH26" s="497">
        <f t="shared" si="35"/>
        <v>0</v>
      </c>
      <c r="DI26" s="498">
        <f t="shared" si="203"/>
        <v>0</v>
      </c>
      <c r="DJ26" s="496"/>
      <c r="DK26" s="497">
        <f t="shared" si="36"/>
        <v>0</v>
      </c>
      <c r="DL26" s="498">
        <f t="shared" si="147"/>
        <v>0</v>
      </c>
      <c r="DM26" s="496"/>
      <c r="DN26" s="497">
        <f t="shared" si="37"/>
        <v>0</v>
      </c>
      <c r="DO26" s="498">
        <f t="shared" si="148"/>
        <v>0</v>
      </c>
      <c r="DP26" s="496"/>
      <c r="DQ26" s="497">
        <f t="shared" si="38"/>
        <v>0</v>
      </c>
      <c r="DR26" s="498">
        <f t="shared" si="149"/>
        <v>0</v>
      </c>
      <c r="DS26" s="496"/>
      <c r="DT26" s="497">
        <f t="shared" si="39"/>
        <v>0</v>
      </c>
      <c r="DU26" s="498">
        <f t="shared" si="150"/>
        <v>0</v>
      </c>
      <c r="DV26" s="496"/>
      <c r="DW26" s="497">
        <f t="shared" si="40"/>
        <v>0</v>
      </c>
      <c r="DX26" s="498">
        <f t="shared" si="151"/>
        <v>0</v>
      </c>
      <c r="DY26" s="496">
        <v>0</v>
      </c>
      <c r="DZ26" s="497">
        <f t="shared" si="41"/>
        <v>0</v>
      </c>
      <c r="EA26" s="498">
        <f t="shared" si="152"/>
        <v>0</v>
      </c>
      <c r="EB26" s="496">
        <v>14.534883720930253</v>
      </c>
      <c r="EC26" s="497">
        <f t="shared" si="42"/>
        <v>0.27149737972448917</v>
      </c>
      <c r="ED26" s="498">
        <f t="shared" si="153"/>
        <v>0</v>
      </c>
      <c r="EE26" s="496">
        <v>5</v>
      </c>
      <c r="EF26" s="497">
        <f t="shared" si="43"/>
        <v>9.3395098625224146E-2</v>
      </c>
      <c r="EG26" s="498">
        <f t="shared" si="154"/>
        <v>0</v>
      </c>
      <c r="EH26" s="496"/>
      <c r="EI26" s="497">
        <f t="shared" si="44"/>
        <v>0</v>
      </c>
      <c r="EJ26" s="498">
        <f t="shared" si="155"/>
        <v>0</v>
      </c>
      <c r="EK26" s="496"/>
      <c r="EL26" s="497">
        <f t="shared" si="45"/>
        <v>0</v>
      </c>
      <c r="EM26" s="498">
        <f t="shared" si="156"/>
        <v>0</v>
      </c>
      <c r="EN26" s="496"/>
      <c r="EO26" s="497">
        <f t="shared" si="46"/>
        <v>0</v>
      </c>
      <c r="EP26" s="498">
        <f t="shared" si="157"/>
        <v>0</v>
      </c>
      <c r="EQ26" s="496"/>
      <c r="ER26" s="497">
        <f t="shared" si="47"/>
        <v>0</v>
      </c>
      <c r="ES26" s="498">
        <f t="shared" si="158"/>
        <v>0</v>
      </c>
      <c r="ET26" s="496"/>
      <c r="EU26" s="497">
        <f t="shared" si="48"/>
        <v>0</v>
      </c>
      <c r="EV26" s="498">
        <f t="shared" si="159"/>
        <v>0</v>
      </c>
      <c r="EW26" s="496"/>
      <c r="EX26" s="497">
        <f t="shared" si="49"/>
        <v>0</v>
      </c>
      <c r="EY26" s="498">
        <f t="shared" si="160"/>
        <v>0</v>
      </c>
      <c r="EZ26" s="496"/>
      <c r="FA26" s="497">
        <f t="shared" si="50"/>
        <v>0</v>
      </c>
      <c r="FB26" s="498">
        <f t="shared" si="161"/>
        <v>0</v>
      </c>
      <c r="FC26" s="496"/>
      <c r="FD26" s="497">
        <f t="shared" si="51"/>
        <v>0</v>
      </c>
      <c r="FE26" s="498">
        <f t="shared" si="162"/>
        <v>0</v>
      </c>
      <c r="FF26" s="496"/>
      <c r="FG26" s="497">
        <f t="shared" si="52"/>
        <v>0</v>
      </c>
      <c r="FH26" s="498">
        <f t="shared" si="163"/>
        <v>0</v>
      </c>
      <c r="FI26" s="496"/>
      <c r="FJ26" s="497">
        <f t="shared" si="53"/>
        <v>0</v>
      </c>
      <c r="FK26" s="498">
        <f t="shared" si="164"/>
        <v>0</v>
      </c>
      <c r="FL26" s="496"/>
      <c r="FM26" s="497">
        <f t="shared" si="54"/>
        <v>0</v>
      </c>
      <c r="FN26" s="498">
        <f t="shared" si="165"/>
        <v>0</v>
      </c>
      <c r="FO26" s="496"/>
      <c r="FP26" s="497">
        <f t="shared" si="55"/>
        <v>0</v>
      </c>
      <c r="FQ26" s="498">
        <f t="shared" si="166"/>
        <v>0</v>
      </c>
      <c r="FR26" s="496"/>
      <c r="FS26" s="497">
        <f t="shared" si="56"/>
        <v>0</v>
      </c>
      <c r="FT26" s="498">
        <f t="shared" si="167"/>
        <v>0</v>
      </c>
      <c r="FU26" s="496"/>
      <c r="FV26" s="497">
        <f t="shared" si="57"/>
        <v>0</v>
      </c>
      <c r="FW26" s="498">
        <f t="shared" si="168"/>
        <v>0</v>
      </c>
      <c r="FX26" s="496"/>
      <c r="FY26" s="497">
        <f t="shared" si="58"/>
        <v>0</v>
      </c>
      <c r="FZ26" s="498">
        <f t="shared" si="169"/>
        <v>0</v>
      </c>
      <c r="GA26" s="496"/>
      <c r="GB26" s="497">
        <f t="shared" si="59"/>
        <v>0</v>
      </c>
      <c r="GC26" s="498">
        <f t="shared" si="170"/>
        <v>0</v>
      </c>
      <c r="GD26" s="496"/>
      <c r="GE26" s="497">
        <f t="shared" si="60"/>
        <v>0</v>
      </c>
      <c r="GF26" s="498">
        <f t="shared" si="171"/>
        <v>0</v>
      </c>
      <c r="GG26" s="496"/>
      <c r="GH26" s="497">
        <f t="shared" si="61"/>
        <v>0</v>
      </c>
      <c r="GI26" s="498">
        <f t="shared" si="172"/>
        <v>0</v>
      </c>
      <c r="GJ26" s="496"/>
      <c r="GK26" s="497">
        <f t="shared" si="62"/>
        <v>0</v>
      </c>
      <c r="GL26" s="498">
        <f t="shared" si="173"/>
        <v>0</v>
      </c>
      <c r="GM26" s="496"/>
      <c r="GN26" s="497">
        <f t="shared" si="63"/>
        <v>0</v>
      </c>
      <c r="GO26" s="498">
        <f t="shared" si="174"/>
        <v>0</v>
      </c>
      <c r="GP26" s="496"/>
      <c r="GQ26" s="497">
        <f t="shared" si="64"/>
        <v>0</v>
      </c>
      <c r="GR26" s="498">
        <f t="shared" si="175"/>
        <v>0</v>
      </c>
      <c r="GS26" s="496"/>
      <c r="GT26" s="497">
        <f t="shared" si="65"/>
        <v>0</v>
      </c>
      <c r="GU26" s="498">
        <f t="shared" si="176"/>
        <v>0</v>
      </c>
      <c r="GV26" s="496"/>
      <c r="GW26" s="497">
        <f t="shared" si="66"/>
        <v>0</v>
      </c>
      <c r="GX26" s="498">
        <f t="shared" si="177"/>
        <v>0</v>
      </c>
      <c r="GY26" s="496"/>
      <c r="GZ26" s="497">
        <f t="shared" si="67"/>
        <v>0</v>
      </c>
      <c r="HA26" s="498">
        <f t="shared" si="178"/>
        <v>0</v>
      </c>
      <c r="HB26" s="496"/>
      <c r="HC26" s="497">
        <f t="shared" si="68"/>
        <v>0</v>
      </c>
      <c r="HD26" s="498">
        <f t="shared" si="179"/>
        <v>0</v>
      </c>
      <c r="HE26" s="496"/>
      <c r="HF26" s="497">
        <f t="shared" si="69"/>
        <v>0</v>
      </c>
      <c r="HG26" s="498">
        <f t="shared" si="180"/>
        <v>0</v>
      </c>
      <c r="HH26" s="496"/>
      <c r="HI26" s="497">
        <f t="shared" si="70"/>
        <v>0</v>
      </c>
      <c r="HJ26" s="498">
        <f t="shared" si="181"/>
        <v>0</v>
      </c>
      <c r="HK26" s="496"/>
      <c r="HL26" s="497">
        <f t="shared" si="71"/>
        <v>0</v>
      </c>
      <c r="HM26" s="498">
        <f t="shared" si="182"/>
        <v>0</v>
      </c>
      <c r="HN26" s="496"/>
      <c r="HO26" s="497">
        <f t="shared" si="72"/>
        <v>0</v>
      </c>
      <c r="HP26" s="498">
        <f t="shared" si="183"/>
        <v>0</v>
      </c>
      <c r="HQ26" s="496"/>
      <c r="HR26" s="497">
        <f t="shared" si="73"/>
        <v>0</v>
      </c>
      <c r="HS26" s="498">
        <f t="shared" si="184"/>
        <v>0</v>
      </c>
      <c r="HT26" s="496"/>
      <c r="HU26" s="497">
        <f t="shared" si="74"/>
        <v>0</v>
      </c>
      <c r="HV26" s="498">
        <f t="shared" si="185"/>
        <v>0</v>
      </c>
      <c r="HW26" s="496"/>
      <c r="HX26" s="497">
        <f t="shared" si="75"/>
        <v>0</v>
      </c>
      <c r="HY26" s="498">
        <f t="shared" si="186"/>
        <v>0</v>
      </c>
      <c r="HZ26" s="496"/>
      <c r="IA26" s="497">
        <f t="shared" si="76"/>
        <v>0</v>
      </c>
      <c r="IB26" s="498">
        <f t="shared" si="187"/>
        <v>0</v>
      </c>
      <c r="IC26" s="496"/>
      <c r="ID26" s="497">
        <f t="shared" si="77"/>
        <v>0</v>
      </c>
      <c r="IE26" s="498">
        <f t="shared" si="188"/>
        <v>0</v>
      </c>
      <c r="IF26" s="496"/>
      <c r="IG26" s="497">
        <f t="shared" si="78"/>
        <v>0</v>
      </c>
      <c r="IH26" s="498">
        <f t="shared" si="189"/>
        <v>0</v>
      </c>
      <c r="II26" s="496"/>
      <c r="IJ26" s="497">
        <f t="shared" si="79"/>
        <v>0</v>
      </c>
      <c r="IK26" s="498">
        <f t="shared" si="190"/>
        <v>0</v>
      </c>
      <c r="IL26" s="496"/>
      <c r="IM26" s="497">
        <f t="shared" si="80"/>
        <v>0</v>
      </c>
      <c r="IN26" s="498">
        <f t="shared" si="191"/>
        <v>0</v>
      </c>
      <c r="IO26" s="496"/>
      <c r="IP26" s="497">
        <f t="shared" si="81"/>
        <v>0</v>
      </c>
      <c r="IQ26" s="498">
        <f t="shared" si="192"/>
        <v>0</v>
      </c>
      <c r="IR26" s="496"/>
      <c r="IS26" s="497">
        <f t="shared" si="82"/>
        <v>0</v>
      </c>
      <c r="IT26" s="498">
        <f t="shared" si="193"/>
        <v>0</v>
      </c>
      <c r="IU26" s="496"/>
      <c r="IV26" s="497">
        <f t="shared" si="83"/>
        <v>0</v>
      </c>
      <c r="IW26" s="498">
        <f t="shared" si="194"/>
        <v>0</v>
      </c>
      <c r="IX26" s="496"/>
      <c r="IY26" s="497">
        <f t="shared" si="84"/>
        <v>0</v>
      </c>
      <c r="IZ26" s="498">
        <f t="shared" si="195"/>
        <v>0</v>
      </c>
      <c r="JA26" s="496"/>
      <c r="JB26" s="497">
        <f t="shared" si="85"/>
        <v>0</v>
      </c>
      <c r="JC26" s="498">
        <f t="shared" si="196"/>
        <v>0</v>
      </c>
      <c r="JD26" s="496"/>
      <c r="JE26" s="497">
        <f t="shared" si="86"/>
        <v>0</v>
      </c>
      <c r="JF26" s="498">
        <f t="shared" si="197"/>
        <v>0</v>
      </c>
      <c r="JG26" s="496"/>
      <c r="JH26" s="497">
        <f t="shared" si="87"/>
        <v>0</v>
      </c>
      <c r="JI26" s="498">
        <f t="shared" si="198"/>
        <v>0</v>
      </c>
      <c r="JJ26" s="496"/>
      <c r="JK26" s="498" t="str">
        <f t="shared" si="88"/>
        <v>0</v>
      </c>
      <c r="JL26" s="498" t="str">
        <f t="shared" si="89"/>
        <v>0</v>
      </c>
      <c r="JM26" s="496"/>
      <c r="JN26" s="498" t="str">
        <f t="shared" si="90"/>
        <v>0</v>
      </c>
      <c r="JO26" s="498" t="str">
        <f t="shared" si="91"/>
        <v>0</v>
      </c>
      <c r="JP26" s="496"/>
      <c r="JQ26" s="498" t="str">
        <f t="shared" si="92"/>
        <v>0</v>
      </c>
      <c r="JR26" s="498" t="str">
        <f t="shared" si="93"/>
        <v>0</v>
      </c>
      <c r="JS26" s="496"/>
      <c r="JT26" s="498" t="str">
        <f t="shared" si="94"/>
        <v>0</v>
      </c>
      <c r="JU26" s="498" t="str">
        <f t="shared" si="95"/>
        <v>0</v>
      </c>
      <c r="JV26" s="496"/>
      <c r="JW26" s="498" t="str">
        <f t="shared" si="96"/>
        <v>0</v>
      </c>
      <c r="JX26" s="498" t="str">
        <f t="shared" si="97"/>
        <v>0</v>
      </c>
      <c r="JY26" s="496"/>
      <c r="JZ26" s="498" t="str">
        <f t="shared" si="98"/>
        <v>0</v>
      </c>
      <c r="KA26" s="498" t="str">
        <f t="shared" si="99"/>
        <v>0</v>
      </c>
      <c r="KB26" s="496"/>
      <c r="KC26" s="498" t="str">
        <f t="shared" si="100"/>
        <v>0</v>
      </c>
      <c r="KD26" s="498" t="str">
        <f t="shared" si="101"/>
        <v>0</v>
      </c>
      <c r="KE26" s="496"/>
      <c r="KF26" s="498" t="str">
        <f t="shared" si="102"/>
        <v>0</v>
      </c>
      <c r="KG26" s="498" t="str">
        <f t="shared" si="103"/>
        <v>0</v>
      </c>
      <c r="KH26" s="496"/>
      <c r="KI26" s="498" t="str">
        <f t="shared" si="104"/>
        <v>0</v>
      </c>
      <c r="KJ26" s="498" t="str">
        <f t="shared" si="105"/>
        <v>0</v>
      </c>
      <c r="KK26" s="496"/>
      <c r="KL26" s="498" t="str">
        <f t="shared" si="106"/>
        <v>0</v>
      </c>
      <c r="KM26" s="498" t="str">
        <f t="shared" si="107"/>
        <v>0</v>
      </c>
      <c r="KN26" s="496"/>
      <c r="KO26" s="498" t="str">
        <f t="shared" si="108"/>
        <v>0</v>
      </c>
      <c r="KP26" s="498" t="str">
        <f t="shared" si="109"/>
        <v>0</v>
      </c>
      <c r="KQ26" s="496"/>
      <c r="KR26" s="498" t="str">
        <f t="shared" si="110"/>
        <v>0</v>
      </c>
      <c r="KS26" s="498" t="str">
        <f t="shared" si="111"/>
        <v>0</v>
      </c>
      <c r="KT26" s="498">
        <f t="shared" si="201"/>
        <v>0</v>
      </c>
      <c r="KU26" s="498">
        <f t="shared" si="202"/>
        <v>0</v>
      </c>
      <c r="KV26" s="262">
        <f t="shared" si="199"/>
        <v>241.38519297025115</v>
      </c>
    </row>
    <row r="27" spans="1:308" ht="15" customHeight="1">
      <c r="A27" s="264">
        <f t="shared" si="200"/>
        <v>46009</v>
      </c>
      <c r="B27" s="265" t="str">
        <f>+Report1!B26</f>
        <v>Toilet</v>
      </c>
      <c r="C27" s="392" t="str">
        <f>+Report1!C26</f>
        <v>18</v>
      </c>
      <c r="D27" s="266">
        <f>+Report1!P26</f>
        <v>56.114000000000004</v>
      </c>
      <c r="E27" s="267">
        <f>+Report1!R26</f>
        <v>51.192999999999998</v>
      </c>
      <c r="F27" s="496"/>
      <c r="G27" s="497">
        <f t="shared" si="0"/>
        <v>0</v>
      </c>
      <c r="H27" s="498">
        <f t="shared" si="112"/>
        <v>0</v>
      </c>
      <c r="I27" s="496">
        <v>162.79069767441842</v>
      </c>
      <c r="J27" s="497">
        <f t="shared" si="1"/>
        <v>3.1799405714534883</v>
      </c>
      <c r="K27" s="498">
        <f t="shared" si="113"/>
        <v>0</v>
      </c>
      <c r="L27" s="496"/>
      <c r="M27" s="497">
        <f t="shared" si="2"/>
        <v>0</v>
      </c>
      <c r="N27" s="498">
        <f t="shared" si="114"/>
        <v>0</v>
      </c>
      <c r="O27" s="496">
        <v>9</v>
      </c>
      <c r="P27" s="497">
        <f t="shared" si="3"/>
        <v>0.17580528587892877</v>
      </c>
      <c r="Q27" s="498">
        <f t="shared" si="115"/>
        <v>0</v>
      </c>
      <c r="R27" s="496">
        <v>5.125</v>
      </c>
      <c r="S27" s="497">
        <f t="shared" si="4"/>
        <v>0.10011134334772333</v>
      </c>
      <c r="T27" s="498">
        <f t="shared" si="116"/>
        <v>0</v>
      </c>
      <c r="U27" s="496">
        <v>4.6875</v>
      </c>
      <c r="V27" s="497">
        <f t="shared" si="5"/>
        <v>9.1565253061942062E-2</v>
      </c>
      <c r="W27" s="498">
        <f t="shared" si="117"/>
        <v>0</v>
      </c>
      <c r="X27" s="496"/>
      <c r="Y27" s="497">
        <f t="shared" si="6"/>
        <v>0</v>
      </c>
      <c r="Z27" s="498">
        <f t="shared" si="118"/>
        <v>0</v>
      </c>
      <c r="AA27" s="496"/>
      <c r="AB27" s="497">
        <f t="shared" si="7"/>
        <v>0</v>
      </c>
      <c r="AC27" s="498">
        <f t="shared" si="119"/>
        <v>0</v>
      </c>
      <c r="AD27" s="496"/>
      <c r="AE27" s="497">
        <f t="shared" si="8"/>
        <v>0</v>
      </c>
      <c r="AF27" s="498">
        <f t="shared" si="120"/>
        <v>0</v>
      </c>
      <c r="AG27" s="496"/>
      <c r="AH27" s="497">
        <f t="shared" si="9"/>
        <v>0</v>
      </c>
      <c r="AI27" s="498">
        <f t="shared" si="121"/>
        <v>0</v>
      </c>
      <c r="AJ27" s="496"/>
      <c r="AK27" s="497">
        <f t="shared" si="10"/>
        <v>0</v>
      </c>
      <c r="AL27" s="498">
        <f t="shared" si="122"/>
        <v>0</v>
      </c>
      <c r="AM27" s="496"/>
      <c r="AN27" s="497">
        <f t="shared" si="11"/>
        <v>0</v>
      </c>
      <c r="AO27" s="498">
        <f t="shared" si="123"/>
        <v>0</v>
      </c>
      <c r="AP27" s="496">
        <v>31.730769230769283</v>
      </c>
      <c r="AQ27" s="497">
        <f t="shared" si="12"/>
        <v>0.61982632841930119</v>
      </c>
      <c r="AR27" s="498">
        <f t="shared" si="124"/>
        <v>0</v>
      </c>
      <c r="AS27" s="496"/>
      <c r="AT27" s="497">
        <f t="shared" si="13"/>
        <v>0</v>
      </c>
      <c r="AU27" s="498">
        <f t="shared" si="125"/>
        <v>0</v>
      </c>
      <c r="AV27" s="496">
        <v>2.7749999999999204</v>
      </c>
      <c r="AW27" s="497">
        <f t="shared" si="14"/>
        <v>5.4206629812668147E-2</v>
      </c>
      <c r="AX27" s="498">
        <f t="shared" si="126"/>
        <v>0</v>
      </c>
      <c r="AY27" s="496">
        <v>49</v>
      </c>
      <c r="AZ27" s="497">
        <f t="shared" si="15"/>
        <v>0.95716211200750112</v>
      </c>
      <c r="BA27" s="498">
        <f t="shared" si="127"/>
        <v>0</v>
      </c>
      <c r="BB27" s="496"/>
      <c r="BC27" s="497">
        <f t="shared" si="16"/>
        <v>0</v>
      </c>
      <c r="BD27" s="498">
        <f t="shared" si="128"/>
        <v>0</v>
      </c>
      <c r="BE27" s="496"/>
      <c r="BF27" s="497">
        <f t="shared" si="17"/>
        <v>0</v>
      </c>
      <c r="BG27" s="498">
        <f t="shared" si="129"/>
        <v>0</v>
      </c>
      <c r="BH27" s="496"/>
      <c r="BI27" s="497">
        <f t="shared" si="18"/>
        <v>0</v>
      </c>
      <c r="BJ27" s="498">
        <f t="shared" si="130"/>
        <v>0</v>
      </c>
      <c r="BK27" s="496"/>
      <c r="BL27" s="497">
        <f t="shared" si="19"/>
        <v>0</v>
      </c>
      <c r="BM27" s="498">
        <f t="shared" si="131"/>
        <v>0</v>
      </c>
      <c r="BN27" s="496">
        <v>22.7777777777778</v>
      </c>
      <c r="BO27" s="497">
        <f t="shared" si="20"/>
        <v>0.44493930376765967</v>
      </c>
      <c r="BP27" s="498">
        <f t="shared" si="132"/>
        <v>0</v>
      </c>
      <c r="BQ27" s="496">
        <v>53.843589743589739</v>
      </c>
      <c r="BR27" s="497">
        <f t="shared" si="21"/>
        <v>1.0517764097355056</v>
      </c>
      <c r="BS27" s="498">
        <f t="shared" si="133"/>
        <v>0</v>
      </c>
      <c r="BT27" s="496"/>
      <c r="BU27" s="497">
        <f t="shared" si="22"/>
        <v>0</v>
      </c>
      <c r="BV27" s="498">
        <f t="shared" si="134"/>
        <v>0</v>
      </c>
      <c r="BW27" s="496"/>
      <c r="BX27" s="497">
        <f t="shared" si="23"/>
        <v>0</v>
      </c>
      <c r="BY27" s="498">
        <f t="shared" si="135"/>
        <v>0</v>
      </c>
      <c r="BZ27" s="496"/>
      <c r="CA27" s="497">
        <f t="shared" si="24"/>
        <v>0</v>
      </c>
      <c r="CB27" s="498">
        <f t="shared" si="136"/>
        <v>0</v>
      </c>
      <c r="CC27" s="496">
        <v>0</v>
      </c>
      <c r="CD27" s="497">
        <f t="shared" si="25"/>
        <v>0</v>
      </c>
      <c r="CE27" s="498">
        <f t="shared" si="137"/>
        <v>0</v>
      </c>
      <c r="CF27" s="496">
        <v>7.2</v>
      </c>
      <c r="CG27" s="497">
        <f t="shared" si="26"/>
        <v>0.14064422870314303</v>
      </c>
      <c r="CH27" s="498">
        <f t="shared" si="138"/>
        <v>0</v>
      </c>
      <c r="CI27" s="496"/>
      <c r="CJ27" s="497">
        <f t="shared" si="27"/>
        <v>0</v>
      </c>
      <c r="CK27" s="498">
        <f t="shared" si="139"/>
        <v>0</v>
      </c>
      <c r="CL27" s="496"/>
      <c r="CM27" s="497">
        <f t="shared" si="28"/>
        <v>0</v>
      </c>
      <c r="CN27" s="498">
        <f t="shared" si="140"/>
        <v>0</v>
      </c>
      <c r="CO27" s="496"/>
      <c r="CP27" s="497">
        <f t="shared" si="29"/>
        <v>0</v>
      </c>
      <c r="CQ27" s="498">
        <f t="shared" si="141"/>
        <v>0</v>
      </c>
      <c r="CR27" s="496"/>
      <c r="CS27" s="497">
        <f t="shared" si="30"/>
        <v>0</v>
      </c>
      <c r="CT27" s="498">
        <f t="shared" si="142"/>
        <v>0</v>
      </c>
      <c r="CU27" s="496"/>
      <c r="CV27" s="497">
        <f t="shared" si="31"/>
        <v>0</v>
      </c>
      <c r="CW27" s="498">
        <f t="shared" si="143"/>
        <v>0</v>
      </c>
      <c r="CX27" s="496"/>
      <c r="CY27" s="497">
        <f t="shared" si="32"/>
        <v>0</v>
      </c>
      <c r="CZ27" s="498">
        <f t="shared" si="144"/>
        <v>0</v>
      </c>
      <c r="DA27" s="496"/>
      <c r="DB27" s="497">
        <f t="shared" si="33"/>
        <v>0</v>
      </c>
      <c r="DC27" s="498">
        <f t="shared" si="145"/>
        <v>0</v>
      </c>
      <c r="DD27" s="496"/>
      <c r="DE27" s="497">
        <f t="shared" si="34"/>
        <v>0</v>
      </c>
      <c r="DF27" s="498">
        <f t="shared" si="146"/>
        <v>0</v>
      </c>
      <c r="DG27" s="496"/>
      <c r="DH27" s="497">
        <f t="shared" si="35"/>
        <v>0</v>
      </c>
      <c r="DI27" s="498">
        <f t="shared" si="203"/>
        <v>0</v>
      </c>
      <c r="DJ27" s="496"/>
      <c r="DK27" s="497">
        <f t="shared" si="36"/>
        <v>0</v>
      </c>
      <c r="DL27" s="498">
        <f t="shared" si="147"/>
        <v>0</v>
      </c>
      <c r="DM27" s="496"/>
      <c r="DN27" s="497">
        <f t="shared" si="37"/>
        <v>0</v>
      </c>
      <c r="DO27" s="498">
        <f t="shared" si="148"/>
        <v>0</v>
      </c>
      <c r="DP27" s="496"/>
      <c r="DQ27" s="497">
        <f t="shared" si="38"/>
        <v>0</v>
      </c>
      <c r="DR27" s="498">
        <f t="shared" si="149"/>
        <v>0</v>
      </c>
      <c r="DS27" s="496"/>
      <c r="DT27" s="497">
        <f t="shared" si="39"/>
        <v>0</v>
      </c>
      <c r="DU27" s="498">
        <f t="shared" si="150"/>
        <v>0</v>
      </c>
      <c r="DV27" s="496"/>
      <c r="DW27" s="497">
        <f t="shared" si="40"/>
        <v>0</v>
      </c>
      <c r="DX27" s="498">
        <f t="shared" si="151"/>
        <v>0</v>
      </c>
      <c r="DY27" s="496">
        <v>0</v>
      </c>
      <c r="DZ27" s="497">
        <f t="shared" si="41"/>
        <v>0</v>
      </c>
      <c r="EA27" s="498">
        <f t="shared" si="152"/>
        <v>0</v>
      </c>
      <c r="EB27" s="496">
        <v>21.802325581395365</v>
      </c>
      <c r="EC27" s="497">
        <f t="shared" si="42"/>
        <v>0.42588489796252155</v>
      </c>
      <c r="ED27" s="498">
        <f t="shared" si="153"/>
        <v>0</v>
      </c>
      <c r="EE27" s="496">
        <v>7</v>
      </c>
      <c r="EF27" s="497">
        <f t="shared" si="43"/>
        <v>0.13673744457250014</v>
      </c>
      <c r="EG27" s="498">
        <f t="shared" si="154"/>
        <v>0</v>
      </c>
      <c r="EH27" s="496"/>
      <c r="EI27" s="497">
        <f t="shared" si="44"/>
        <v>0</v>
      </c>
      <c r="EJ27" s="498">
        <f t="shared" si="155"/>
        <v>0</v>
      </c>
      <c r="EK27" s="496"/>
      <c r="EL27" s="497">
        <f t="shared" si="45"/>
        <v>0</v>
      </c>
      <c r="EM27" s="498">
        <f t="shared" si="156"/>
        <v>0</v>
      </c>
      <c r="EN27" s="496"/>
      <c r="EO27" s="497">
        <f t="shared" si="46"/>
        <v>0</v>
      </c>
      <c r="EP27" s="498">
        <f t="shared" si="157"/>
        <v>0</v>
      </c>
      <c r="EQ27" s="496"/>
      <c r="ER27" s="497">
        <f t="shared" si="47"/>
        <v>0</v>
      </c>
      <c r="ES27" s="498">
        <f t="shared" si="158"/>
        <v>0</v>
      </c>
      <c r="ET27" s="496"/>
      <c r="EU27" s="497">
        <f t="shared" si="48"/>
        <v>0</v>
      </c>
      <c r="EV27" s="498">
        <f t="shared" si="159"/>
        <v>0</v>
      </c>
      <c r="EW27" s="496"/>
      <c r="EX27" s="497">
        <f t="shared" si="49"/>
        <v>0</v>
      </c>
      <c r="EY27" s="498">
        <f t="shared" si="160"/>
        <v>0</v>
      </c>
      <c r="EZ27" s="496"/>
      <c r="FA27" s="497">
        <f t="shared" si="50"/>
        <v>0</v>
      </c>
      <c r="FB27" s="498">
        <f t="shared" si="161"/>
        <v>0</v>
      </c>
      <c r="FC27" s="496"/>
      <c r="FD27" s="497">
        <f t="shared" si="51"/>
        <v>0</v>
      </c>
      <c r="FE27" s="498">
        <f t="shared" si="162"/>
        <v>0</v>
      </c>
      <c r="FF27" s="496"/>
      <c r="FG27" s="497">
        <f t="shared" si="52"/>
        <v>0</v>
      </c>
      <c r="FH27" s="498">
        <f t="shared" si="163"/>
        <v>0</v>
      </c>
      <c r="FI27" s="496"/>
      <c r="FJ27" s="497">
        <f t="shared" si="53"/>
        <v>0</v>
      </c>
      <c r="FK27" s="498">
        <f t="shared" si="164"/>
        <v>0</v>
      </c>
      <c r="FL27" s="496"/>
      <c r="FM27" s="497">
        <f t="shared" si="54"/>
        <v>0</v>
      </c>
      <c r="FN27" s="498">
        <f t="shared" si="165"/>
        <v>0</v>
      </c>
      <c r="FO27" s="496"/>
      <c r="FP27" s="497">
        <f t="shared" si="55"/>
        <v>0</v>
      </c>
      <c r="FQ27" s="498">
        <f t="shared" si="166"/>
        <v>0</v>
      </c>
      <c r="FR27" s="496"/>
      <c r="FS27" s="497">
        <f t="shared" si="56"/>
        <v>0</v>
      </c>
      <c r="FT27" s="498">
        <f t="shared" si="167"/>
        <v>0</v>
      </c>
      <c r="FU27" s="496"/>
      <c r="FV27" s="497">
        <f t="shared" si="57"/>
        <v>0</v>
      </c>
      <c r="FW27" s="498">
        <f t="shared" si="168"/>
        <v>0</v>
      </c>
      <c r="FX27" s="496"/>
      <c r="FY27" s="497">
        <f t="shared" si="58"/>
        <v>0</v>
      </c>
      <c r="FZ27" s="498">
        <f t="shared" si="169"/>
        <v>0</v>
      </c>
      <c r="GA27" s="496"/>
      <c r="GB27" s="497">
        <f t="shared" si="59"/>
        <v>0</v>
      </c>
      <c r="GC27" s="498">
        <f t="shared" si="170"/>
        <v>0</v>
      </c>
      <c r="GD27" s="496"/>
      <c r="GE27" s="497">
        <f t="shared" si="60"/>
        <v>0</v>
      </c>
      <c r="GF27" s="498">
        <f t="shared" si="171"/>
        <v>0</v>
      </c>
      <c r="GG27" s="496"/>
      <c r="GH27" s="497">
        <f t="shared" si="61"/>
        <v>0</v>
      </c>
      <c r="GI27" s="498">
        <f t="shared" si="172"/>
        <v>0</v>
      </c>
      <c r="GJ27" s="496"/>
      <c r="GK27" s="497">
        <f t="shared" si="62"/>
        <v>0</v>
      </c>
      <c r="GL27" s="498">
        <f t="shared" si="173"/>
        <v>0</v>
      </c>
      <c r="GM27" s="496"/>
      <c r="GN27" s="497">
        <f t="shared" si="63"/>
        <v>0</v>
      </c>
      <c r="GO27" s="498">
        <f t="shared" si="174"/>
        <v>0</v>
      </c>
      <c r="GP27" s="496"/>
      <c r="GQ27" s="497">
        <f t="shared" si="64"/>
        <v>0</v>
      </c>
      <c r="GR27" s="498">
        <f t="shared" si="175"/>
        <v>0</v>
      </c>
      <c r="GS27" s="496"/>
      <c r="GT27" s="497">
        <f t="shared" si="65"/>
        <v>0</v>
      </c>
      <c r="GU27" s="498">
        <f t="shared" si="176"/>
        <v>0</v>
      </c>
      <c r="GV27" s="496"/>
      <c r="GW27" s="497">
        <f t="shared" si="66"/>
        <v>0</v>
      </c>
      <c r="GX27" s="498">
        <f t="shared" si="177"/>
        <v>0</v>
      </c>
      <c r="GY27" s="496"/>
      <c r="GZ27" s="497">
        <f t="shared" si="67"/>
        <v>0</v>
      </c>
      <c r="HA27" s="498">
        <f t="shared" si="178"/>
        <v>0</v>
      </c>
      <c r="HB27" s="496"/>
      <c r="HC27" s="497">
        <f t="shared" si="68"/>
        <v>0</v>
      </c>
      <c r="HD27" s="498">
        <f t="shared" si="179"/>
        <v>0</v>
      </c>
      <c r="HE27" s="496"/>
      <c r="HF27" s="497">
        <f t="shared" si="69"/>
        <v>0</v>
      </c>
      <c r="HG27" s="498">
        <f t="shared" si="180"/>
        <v>0</v>
      </c>
      <c r="HH27" s="496"/>
      <c r="HI27" s="497">
        <f t="shared" si="70"/>
        <v>0</v>
      </c>
      <c r="HJ27" s="498">
        <f t="shared" si="181"/>
        <v>0</v>
      </c>
      <c r="HK27" s="496"/>
      <c r="HL27" s="497">
        <f t="shared" si="71"/>
        <v>0</v>
      </c>
      <c r="HM27" s="498">
        <f t="shared" si="182"/>
        <v>0</v>
      </c>
      <c r="HN27" s="496"/>
      <c r="HO27" s="497">
        <f t="shared" si="72"/>
        <v>0</v>
      </c>
      <c r="HP27" s="498">
        <f t="shared" si="183"/>
        <v>0</v>
      </c>
      <c r="HQ27" s="496"/>
      <c r="HR27" s="497">
        <f t="shared" si="73"/>
        <v>0</v>
      </c>
      <c r="HS27" s="498">
        <f t="shared" si="184"/>
        <v>0</v>
      </c>
      <c r="HT27" s="496"/>
      <c r="HU27" s="497">
        <f t="shared" si="74"/>
        <v>0</v>
      </c>
      <c r="HV27" s="498">
        <f t="shared" si="185"/>
        <v>0</v>
      </c>
      <c r="HW27" s="496"/>
      <c r="HX27" s="497">
        <f t="shared" si="75"/>
        <v>0</v>
      </c>
      <c r="HY27" s="498">
        <f t="shared" si="186"/>
        <v>0</v>
      </c>
      <c r="HZ27" s="496"/>
      <c r="IA27" s="497">
        <f t="shared" si="76"/>
        <v>0</v>
      </c>
      <c r="IB27" s="498">
        <f t="shared" si="187"/>
        <v>0</v>
      </c>
      <c r="IC27" s="496"/>
      <c r="ID27" s="497">
        <f t="shared" si="77"/>
        <v>0</v>
      </c>
      <c r="IE27" s="498">
        <f t="shared" si="188"/>
        <v>0</v>
      </c>
      <c r="IF27" s="496"/>
      <c r="IG27" s="497">
        <f t="shared" si="78"/>
        <v>0</v>
      </c>
      <c r="IH27" s="498">
        <f t="shared" si="189"/>
        <v>0</v>
      </c>
      <c r="II27" s="496"/>
      <c r="IJ27" s="497">
        <f t="shared" si="79"/>
        <v>0</v>
      </c>
      <c r="IK27" s="498">
        <f t="shared" si="190"/>
        <v>0</v>
      </c>
      <c r="IL27" s="496"/>
      <c r="IM27" s="497">
        <f t="shared" si="80"/>
        <v>0</v>
      </c>
      <c r="IN27" s="498">
        <f t="shared" si="191"/>
        <v>0</v>
      </c>
      <c r="IO27" s="496"/>
      <c r="IP27" s="497">
        <f t="shared" si="81"/>
        <v>0</v>
      </c>
      <c r="IQ27" s="498">
        <f t="shared" si="192"/>
        <v>0</v>
      </c>
      <c r="IR27" s="496"/>
      <c r="IS27" s="497">
        <f t="shared" si="82"/>
        <v>0</v>
      </c>
      <c r="IT27" s="498">
        <f t="shared" si="193"/>
        <v>0</v>
      </c>
      <c r="IU27" s="496"/>
      <c r="IV27" s="497">
        <f t="shared" si="83"/>
        <v>0</v>
      </c>
      <c r="IW27" s="498">
        <f t="shared" si="194"/>
        <v>0</v>
      </c>
      <c r="IX27" s="496"/>
      <c r="IY27" s="497">
        <f t="shared" si="84"/>
        <v>0</v>
      </c>
      <c r="IZ27" s="498">
        <f t="shared" si="195"/>
        <v>0</v>
      </c>
      <c r="JA27" s="496"/>
      <c r="JB27" s="497">
        <f t="shared" si="85"/>
        <v>0</v>
      </c>
      <c r="JC27" s="498">
        <f t="shared" si="196"/>
        <v>0</v>
      </c>
      <c r="JD27" s="496"/>
      <c r="JE27" s="497">
        <f t="shared" si="86"/>
        <v>0</v>
      </c>
      <c r="JF27" s="498">
        <f t="shared" si="197"/>
        <v>0</v>
      </c>
      <c r="JG27" s="496"/>
      <c r="JH27" s="497">
        <f t="shared" si="87"/>
        <v>0</v>
      </c>
      <c r="JI27" s="498">
        <f t="shared" si="198"/>
        <v>0</v>
      </c>
      <c r="JJ27" s="496"/>
      <c r="JK27" s="498" t="str">
        <f t="shared" si="88"/>
        <v>0</v>
      </c>
      <c r="JL27" s="498" t="str">
        <f t="shared" si="89"/>
        <v>0</v>
      </c>
      <c r="JM27" s="496"/>
      <c r="JN27" s="498" t="str">
        <f t="shared" si="90"/>
        <v>0</v>
      </c>
      <c r="JO27" s="498" t="str">
        <f t="shared" si="91"/>
        <v>0</v>
      </c>
      <c r="JP27" s="496"/>
      <c r="JQ27" s="498" t="str">
        <f t="shared" si="92"/>
        <v>0</v>
      </c>
      <c r="JR27" s="498" t="str">
        <f t="shared" si="93"/>
        <v>0</v>
      </c>
      <c r="JS27" s="496"/>
      <c r="JT27" s="498" t="str">
        <f t="shared" si="94"/>
        <v>0</v>
      </c>
      <c r="JU27" s="498" t="str">
        <f t="shared" si="95"/>
        <v>0</v>
      </c>
      <c r="JV27" s="496"/>
      <c r="JW27" s="498" t="str">
        <f t="shared" si="96"/>
        <v>0</v>
      </c>
      <c r="JX27" s="498" t="str">
        <f t="shared" si="97"/>
        <v>0</v>
      </c>
      <c r="JY27" s="496"/>
      <c r="JZ27" s="498" t="str">
        <f t="shared" si="98"/>
        <v>0</v>
      </c>
      <c r="KA27" s="498" t="str">
        <f t="shared" si="99"/>
        <v>0</v>
      </c>
      <c r="KB27" s="496"/>
      <c r="KC27" s="498" t="str">
        <f t="shared" si="100"/>
        <v>0</v>
      </c>
      <c r="KD27" s="498" t="str">
        <f t="shared" si="101"/>
        <v>0</v>
      </c>
      <c r="KE27" s="496"/>
      <c r="KF27" s="498" t="str">
        <f t="shared" si="102"/>
        <v>0</v>
      </c>
      <c r="KG27" s="498" t="str">
        <f t="shared" si="103"/>
        <v>0</v>
      </c>
      <c r="KH27" s="496"/>
      <c r="KI27" s="498" t="str">
        <f t="shared" si="104"/>
        <v>0</v>
      </c>
      <c r="KJ27" s="498" t="str">
        <f t="shared" si="105"/>
        <v>0</v>
      </c>
      <c r="KK27" s="496"/>
      <c r="KL27" s="498" t="str">
        <f t="shared" si="106"/>
        <v>0</v>
      </c>
      <c r="KM27" s="498" t="str">
        <f t="shared" si="107"/>
        <v>0</v>
      </c>
      <c r="KN27" s="496"/>
      <c r="KO27" s="498" t="str">
        <f t="shared" si="108"/>
        <v>0</v>
      </c>
      <c r="KP27" s="498" t="str">
        <f t="shared" si="109"/>
        <v>0</v>
      </c>
      <c r="KQ27" s="496"/>
      <c r="KR27" s="498" t="str">
        <f t="shared" si="110"/>
        <v>0</v>
      </c>
      <c r="KS27" s="498" t="str">
        <f t="shared" si="111"/>
        <v>0</v>
      </c>
      <c r="KT27" s="498">
        <f t="shared" si="201"/>
        <v>0</v>
      </c>
      <c r="KU27" s="498">
        <f t="shared" si="202"/>
        <v>0</v>
      </c>
      <c r="KV27" s="262">
        <f t="shared" si="199"/>
        <v>377.73266000795047</v>
      </c>
    </row>
    <row r="28" spans="1:308" ht="15" customHeight="1">
      <c r="A28" s="264">
        <f t="shared" si="200"/>
        <v>46010</v>
      </c>
      <c r="B28" s="265" t="str">
        <f>+Report1!B27</f>
        <v>Toilet</v>
      </c>
      <c r="C28" s="392" t="str">
        <f>+Report1!C27</f>
        <v>18/16</v>
      </c>
      <c r="D28" s="266">
        <f>+Report1!P27</f>
        <v>59.561999999999998</v>
      </c>
      <c r="E28" s="267">
        <f>+Report1!R27</f>
        <v>55.948</v>
      </c>
      <c r="F28" s="496"/>
      <c r="G28" s="497">
        <f t="shared" si="0"/>
        <v>0</v>
      </c>
      <c r="H28" s="498">
        <f t="shared" si="112"/>
        <v>0</v>
      </c>
      <c r="I28" s="496">
        <v>139.53488372093022</v>
      </c>
      <c r="J28" s="497">
        <f t="shared" si="1"/>
        <v>2.4940102187912028</v>
      </c>
      <c r="K28" s="498">
        <f t="shared" si="113"/>
        <v>0</v>
      </c>
      <c r="L28" s="496"/>
      <c r="M28" s="497">
        <f t="shared" si="2"/>
        <v>0</v>
      </c>
      <c r="N28" s="498">
        <f t="shared" si="114"/>
        <v>0</v>
      </c>
      <c r="O28" s="496">
        <v>15.000000000000028</v>
      </c>
      <c r="P28" s="497">
        <f t="shared" si="3"/>
        <v>0.26810609852005485</v>
      </c>
      <c r="Q28" s="498">
        <f t="shared" si="115"/>
        <v>0</v>
      </c>
      <c r="R28" s="496">
        <v>7.6875</v>
      </c>
      <c r="S28" s="497">
        <f t="shared" si="4"/>
        <v>0.13740437549152784</v>
      </c>
      <c r="T28" s="498">
        <f t="shared" si="116"/>
        <v>0</v>
      </c>
      <c r="U28" s="496">
        <v>3.1249999999999716</v>
      </c>
      <c r="V28" s="497">
        <f t="shared" si="5"/>
        <v>5.585543719167748E-2</v>
      </c>
      <c r="W28" s="498">
        <f t="shared" si="117"/>
        <v>0</v>
      </c>
      <c r="X28" s="496"/>
      <c r="Y28" s="497">
        <f t="shared" si="6"/>
        <v>0</v>
      </c>
      <c r="Z28" s="498">
        <f t="shared" si="118"/>
        <v>0</v>
      </c>
      <c r="AA28" s="496"/>
      <c r="AB28" s="497">
        <f t="shared" si="7"/>
        <v>0</v>
      </c>
      <c r="AC28" s="498">
        <f t="shared" si="119"/>
        <v>0</v>
      </c>
      <c r="AD28" s="496"/>
      <c r="AE28" s="497">
        <f t="shared" si="8"/>
        <v>0</v>
      </c>
      <c r="AF28" s="498">
        <f t="shared" si="120"/>
        <v>0</v>
      </c>
      <c r="AG28" s="496"/>
      <c r="AH28" s="497">
        <f t="shared" si="9"/>
        <v>0</v>
      </c>
      <c r="AI28" s="498">
        <f t="shared" si="121"/>
        <v>0</v>
      </c>
      <c r="AJ28" s="496"/>
      <c r="AK28" s="497">
        <f t="shared" si="10"/>
        <v>0</v>
      </c>
      <c r="AL28" s="498">
        <f t="shared" si="122"/>
        <v>0</v>
      </c>
      <c r="AM28" s="496"/>
      <c r="AN28" s="497">
        <f t="shared" si="11"/>
        <v>0</v>
      </c>
      <c r="AO28" s="498">
        <f t="shared" si="123"/>
        <v>0</v>
      </c>
      <c r="AP28" s="496">
        <v>57.692307692307622</v>
      </c>
      <c r="AQ28" s="497">
        <f t="shared" si="12"/>
        <v>1.0311773020002077</v>
      </c>
      <c r="AR28" s="498">
        <f t="shared" si="124"/>
        <v>0</v>
      </c>
      <c r="AS28" s="496"/>
      <c r="AT28" s="497">
        <f t="shared" si="13"/>
        <v>0</v>
      </c>
      <c r="AU28" s="498">
        <f t="shared" si="125"/>
        <v>0</v>
      </c>
      <c r="AV28" s="496">
        <v>2.7750000000000341</v>
      </c>
      <c r="AW28" s="497">
        <f t="shared" si="14"/>
        <v>4.9599628226210661E-2</v>
      </c>
      <c r="AX28" s="498">
        <f t="shared" si="126"/>
        <v>0</v>
      </c>
      <c r="AY28" s="496">
        <v>46.666666666666629</v>
      </c>
      <c r="AZ28" s="497">
        <f t="shared" si="15"/>
        <v>0.83410786206239063</v>
      </c>
      <c r="BA28" s="498">
        <f t="shared" si="127"/>
        <v>0</v>
      </c>
      <c r="BB28" s="496"/>
      <c r="BC28" s="497">
        <f t="shared" si="16"/>
        <v>0</v>
      </c>
      <c r="BD28" s="498">
        <f t="shared" si="128"/>
        <v>0</v>
      </c>
      <c r="BE28" s="496"/>
      <c r="BF28" s="497">
        <f t="shared" si="17"/>
        <v>0</v>
      </c>
      <c r="BG28" s="498">
        <f t="shared" si="129"/>
        <v>0</v>
      </c>
      <c r="BH28" s="496"/>
      <c r="BI28" s="497">
        <f t="shared" si="18"/>
        <v>0</v>
      </c>
      <c r="BJ28" s="498">
        <f t="shared" si="130"/>
        <v>0</v>
      </c>
      <c r="BK28" s="496"/>
      <c r="BL28" s="497">
        <f t="shared" si="19"/>
        <v>0</v>
      </c>
      <c r="BM28" s="498">
        <f t="shared" si="131"/>
        <v>0</v>
      </c>
      <c r="BN28" s="496">
        <v>25.308641975308632</v>
      </c>
      <c r="BO28" s="497">
        <f t="shared" si="20"/>
        <v>0.45236008392272525</v>
      </c>
      <c r="BP28" s="498">
        <f t="shared" si="132"/>
        <v>0</v>
      </c>
      <c r="BQ28" s="496">
        <v>74.358974358974365</v>
      </c>
      <c r="BR28" s="497">
        <f t="shared" si="21"/>
        <v>1.3290729670224917</v>
      </c>
      <c r="BS28" s="498">
        <f t="shared" si="133"/>
        <v>0</v>
      </c>
      <c r="BT28" s="496"/>
      <c r="BU28" s="497">
        <f t="shared" si="22"/>
        <v>0</v>
      </c>
      <c r="BV28" s="498">
        <f t="shared" si="134"/>
        <v>0</v>
      </c>
      <c r="BW28" s="496"/>
      <c r="BX28" s="497">
        <f t="shared" si="23"/>
        <v>0</v>
      </c>
      <c r="BY28" s="498">
        <f t="shared" si="135"/>
        <v>0</v>
      </c>
      <c r="BZ28" s="496"/>
      <c r="CA28" s="497">
        <f t="shared" si="24"/>
        <v>0</v>
      </c>
      <c r="CB28" s="498">
        <f t="shared" si="136"/>
        <v>0</v>
      </c>
      <c r="CC28" s="496">
        <v>0</v>
      </c>
      <c r="CD28" s="497">
        <f t="shared" si="25"/>
        <v>0</v>
      </c>
      <c r="CE28" s="498">
        <f t="shared" si="137"/>
        <v>0</v>
      </c>
      <c r="CF28" s="496">
        <v>7.1999999999999984</v>
      </c>
      <c r="CG28" s="497">
        <f t="shared" si="26"/>
        <v>0.12869092728962606</v>
      </c>
      <c r="CH28" s="498">
        <f t="shared" si="138"/>
        <v>0</v>
      </c>
      <c r="CI28" s="496"/>
      <c r="CJ28" s="497">
        <f t="shared" si="27"/>
        <v>0</v>
      </c>
      <c r="CK28" s="498">
        <f t="shared" si="139"/>
        <v>0</v>
      </c>
      <c r="CL28" s="496"/>
      <c r="CM28" s="497">
        <f t="shared" si="28"/>
        <v>0</v>
      </c>
      <c r="CN28" s="498">
        <f t="shared" si="140"/>
        <v>0</v>
      </c>
      <c r="CO28" s="496"/>
      <c r="CP28" s="497">
        <f t="shared" si="29"/>
        <v>0</v>
      </c>
      <c r="CQ28" s="498">
        <f t="shared" si="141"/>
        <v>0</v>
      </c>
      <c r="CR28" s="496"/>
      <c r="CS28" s="497">
        <f t="shared" si="30"/>
        <v>0</v>
      </c>
      <c r="CT28" s="498">
        <f t="shared" si="142"/>
        <v>0</v>
      </c>
      <c r="CU28" s="496"/>
      <c r="CV28" s="497">
        <f t="shared" si="31"/>
        <v>0</v>
      </c>
      <c r="CW28" s="498">
        <f t="shared" si="143"/>
        <v>0</v>
      </c>
      <c r="CX28" s="496"/>
      <c r="CY28" s="497">
        <f t="shared" si="32"/>
        <v>0</v>
      </c>
      <c r="CZ28" s="498">
        <f t="shared" si="144"/>
        <v>0</v>
      </c>
      <c r="DA28" s="496"/>
      <c r="DB28" s="497">
        <f t="shared" si="33"/>
        <v>0</v>
      </c>
      <c r="DC28" s="498">
        <f t="shared" si="145"/>
        <v>0</v>
      </c>
      <c r="DD28" s="496"/>
      <c r="DE28" s="497">
        <f t="shared" si="34"/>
        <v>0</v>
      </c>
      <c r="DF28" s="498">
        <f t="shared" si="146"/>
        <v>0</v>
      </c>
      <c r="DG28" s="496"/>
      <c r="DH28" s="497">
        <f t="shared" si="35"/>
        <v>0</v>
      </c>
      <c r="DI28" s="498">
        <f t="shared" si="203"/>
        <v>0</v>
      </c>
      <c r="DJ28" s="496"/>
      <c r="DK28" s="497">
        <f t="shared" si="36"/>
        <v>0</v>
      </c>
      <c r="DL28" s="498">
        <f t="shared" si="147"/>
        <v>0</v>
      </c>
      <c r="DM28" s="496"/>
      <c r="DN28" s="497">
        <f t="shared" si="37"/>
        <v>0</v>
      </c>
      <c r="DO28" s="498">
        <f t="shared" si="148"/>
        <v>0</v>
      </c>
      <c r="DP28" s="496"/>
      <c r="DQ28" s="497">
        <f t="shared" si="38"/>
        <v>0</v>
      </c>
      <c r="DR28" s="498">
        <f t="shared" si="149"/>
        <v>0</v>
      </c>
      <c r="DS28" s="496"/>
      <c r="DT28" s="497">
        <f t="shared" si="39"/>
        <v>0</v>
      </c>
      <c r="DU28" s="498">
        <f t="shared" si="150"/>
        <v>0</v>
      </c>
      <c r="DV28" s="496"/>
      <c r="DW28" s="497">
        <f t="shared" si="40"/>
        <v>0</v>
      </c>
      <c r="DX28" s="498">
        <f t="shared" si="151"/>
        <v>0</v>
      </c>
      <c r="DY28" s="496">
        <v>0</v>
      </c>
      <c r="DZ28" s="497">
        <f t="shared" si="41"/>
        <v>0</v>
      </c>
      <c r="EA28" s="498">
        <f t="shared" si="152"/>
        <v>0</v>
      </c>
      <c r="EB28" s="496">
        <v>21.802325581395365</v>
      </c>
      <c r="EC28" s="497">
        <f t="shared" si="42"/>
        <v>0.38968909668612578</v>
      </c>
      <c r="ED28" s="498">
        <f t="shared" si="153"/>
        <v>0</v>
      </c>
      <c r="EE28" s="496">
        <v>7</v>
      </c>
      <c r="EF28" s="497">
        <f t="shared" si="43"/>
        <v>0.1251161793093587</v>
      </c>
      <c r="EG28" s="498">
        <f t="shared" si="154"/>
        <v>0</v>
      </c>
      <c r="EH28" s="496"/>
      <c r="EI28" s="497">
        <f t="shared" si="44"/>
        <v>0</v>
      </c>
      <c r="EJ28" s="498">
        <f t="shared" si="155"/>
        <v>0</v>
      </c>
      <c r="EK28" s="496"/>
      <c r="EL28" s="497">
        <f t="shared" si="45"/>
        <v>0</v>
      </c>
      <c r="EM28" s="498">
        <f t="shared" si="156"/>
        <v>0</v>
      </c>
      <c r="EN28" s="496"/>
      <c r="EO28" s="497">
        <f t="shared" si="46"/>
        <v>0</v>
      </c>
      <c r="EP28" s="498">
        <f t="shared" si="157"/>
        <v>0</v>
      </c>
      <c r="EQ28" s="496"/>
      <c r="ER28" s="497">
        <f t="shared" si="47"/>
        <v>0</v>
      </c>
      <c r="ES28" s="498">
        <f t="shared" si="158"/>
        <v>0</v>
      </c>
      <c r="ET28" s="496"/>
      <c r="EU28" s="497">
        <f t="shared" si="48"/>
        <v>0</v>
      </c>
      <c r="EV28" s="498">
        <f t="shared" si="159"/>
        <v>0</v>
      </c>
      <c r="EW28" s="496"/>
      <c r="EX28" s="497">
        <f t="shared" si="49"/>
        <v>0</v>
      </c>
      <c r="EY28" s="498">
        <f t="shared" si="160"/>
        <v>0</v>
      </c>
      <c r="EZ28" s="496"/>
      <c r="FA28" s="497">
        <f t="shared" si="50"/>
        <v>0</v>
      </c>
      <c r="FB28" s="498">
        <f t="shared" si="161"/>
        <v>0</v>
      </c>
      <c r="FC28" s="496"/>
      <c r="FD28" s="497">
        <f t="shared" si="51"/>
        <v>0</v>
      </c>
      <c r="FE28" s="498">
        <f t="shared" si="162"/>
        <v>0</v>
      </c>
      <c r="FF28" s="496"/>
      <c r="FG28" s="497">
        <f t="shared" si="52"/>
        <v>0</v>
      </c>
      <c r="FH28" s="498">
        <f t="shared" si="163"/>
        <v>0</v>
      </c>
      <c r="FI28" s="496"/>
      <c r="FJ28" s="497">
        <f t="shared" si="53"/>
        <v>0</v>
      </c>
      <c r="FK28" s="498">
        <f t="shared" si="164"/>
        <v>0</v>
      </c>
      <c r="FL28" s="496"/>
      <c r="FM28" s="497">
        <f t="shared" si="54"/>
        <v>0</v>
      </c>
      <c r="FN28" s="498">
        <f t="shared" si="165"/>
        <v>0</v>
      </c>
      <c r="FO28" s="496"/>
      <c r="FP28" s="497">
        <f t="shared" si="55"/>
        <v>0</v>
      </c>
      <c r="FQ28" s="498">
        <f t="shared" si="166"/>
        <v>0</v>
      </c>
      <c r="FR28" s="496"/>
      <c r="FS28" s="497">
        <f t="shared" si="56"/>
        <v>0</v>
      </c>
      <c r="FT28" s="498">
        <f t="shared" si="167"/>
        <v>0</v>
      </c>
      <c r="FU28" s="496"/>
      <c r="FV28" s="497">
        <f t="shared" si="57"/>
        <v>0</v>
      </c>
      <c r="FW28" s="498">
        <f t="shared" si="168"/>
        <v>0</v>
      </c>
      <c r="FX28" s="496"/>
      <c r="FY28" s="497">
        <f t="shared" si="58"/>
        <v>0</v>
      </c>
      <c r="FZ28" s="498">
        <f t="shared" si="169"/>
        <v>0</v>
      </c>
      <c r="GA28" s="496"/>
      <c r="GB28" s="497">
        <f t="shared" si="59"/>
        <v>0</v>
      </c>
      <c r="GC28" s="498">
        <f t="shared" si="170"/>
        <v>0</v>
      </c>
      <c r="GD28" s="496"/>
      <c r="GE28" s="497">
        <f t="shared" si="60"/>
        <v>0</v>
      </c>
      <c r="GF28" s="498">
        <f t="shared" si="171"/>
        <v>0</v>
      </c>
      <c r="GG28" s="496"/>
      <c r="GH28" s="497">
        <f t="shared" si="61"/>
        <v>0</v>
      </c>
      <c r="GI28" s="498">
        <f t="shared" si="172"/>
        <v>0</v>
      </c>
      <c r="GJ28" s="496"/>
      <c r="GK28" s="497">
        <f t="shared" si="62"/>
        <v>0</v>
      </c>
      <c r="GL28" s="498">
        <f t="shared" si="173"/>
        <v>0</v>
      </c>
      <c r="GM28" s="496"/>
      <c r="GN28" s="497">
        <f t="shared" si="63"/>
        <v>0</v>
      </c>
      <c r="GO28" s="498">
        <f t="shared" si="174"/>
        <v>0</v>
      </c>
      <c r="GP28" s="496"/>
      <c r="GQ28" s="497">
        <f t="shared" si="64"/>
        <v>0</v>
      </c>
      <c r="GR28" s="498">
        <f t="shared" si="175"/>
        <v>0</v>
      </c>
      <c r="GS28" s="496"/>
      <c r="GT28" s="497">
        <f t="shared" si="65"/>
        <v>0</v>
      </c>
      <c r="GU28" s="498">
        <f t="shared" si="176"/>
        <v>0</v>
      </c>
      <c r="GV28" s="496"/>
      <c r="GW28" s="497">
        <f t="shared" si="66"/>
        <v>0</v>
      </c>
      <c r="GX28" s="498">
        <f t="shared" si="177"/>
        <v>0</v>
      </c>
      <c r="GY28" s="496"/>
      <c r="GZ28" s="497">
        <f t="shared" si="67"/>
        <v>0</v>
      </c>
      <c r="HA28" s="498">
        <f t="shared" si="178"/>
        <v>0</v>
      </c>
      <c r="HB28" s="496"/>
      <c r="HC28" s="497">
        <f t="shared" si="68"/>
        <v>0</v>
      </c>
      <c r="HD28" s="498">
        <f t="shared" si="179"/>
        <v>0</v>
      </c>
      <c r="HE28" s="496"/>
      <c r="HF28" s="497">
        <f t="shared" si="69"/>
        <v>0</v>
      </c>
      <c r="HG28" s="498">
        <f t="shared" si="180"/>
        <v>0</v>
      </c>
      <c r="HH28" s="496"/>
      <c r="HI28" s="497">
        <f t="shared" si="70"/>
        <v>0</v>
      </c>
      <c r="HJ28" s="498">
        <f t="shared" si="181"/>
        <v>0</v>
      </c>
      <c r="HK28" s="496"/>
      <c r="HL28" s="497">
        <f t="shared" si="71"/>
        <v>0</v>
      </c>
      <c r="HM28" s="498">
        <f t="shared" si="182"/>
        <v>0</v>
      </c>
      <c r="HN28" s="496"/>
      <c r="HO28" s="497">
        <f t="shared" si="72"/>
        <v>0</v>
      </c>
      <c r="HP28" s="498">
        <f t="shared" si="183"/>
        <v>0</v>
      </c>
      <c r="HQ28" s="496"/>
      <c r="HR28" s="497">
        <f t="shared" si="73"/>
        <v>0</v>
      </c>
      <c r="HS28" s="498">
        <f t="shared" si="184"/>
        <v>0</v>
      </c>
      <c r="HT28" s="496"/>
      <c r="HU28" s="497">
        <f t="shared" si="74"/>
        <v>0</v>
      </c>
      <c r="HV28" s="498">
        <f t="shared" si="185"/>
        <v>0</v>
      </c>
      <c r="HW28" s="496"/>
      <c r="HX28" s="497">
        <f t="shared" si="75"/>
        <v>0</v>
      </c>
      <c r="HY28" s="498">
        <f t="shared" si="186"/>
        <v>0</v>
      </c>
      <c r="HZ28" s="496"/>
      <c r="IA28" s="497">
        <f t="shared" si="76"/>
        <v>0</v>
      </c>
      <c r="IB28" s="498">
        <f t="shared" si="187"/>
        <v>0</v>
      </c>
      <c r="IC28" s="496"/>
      <c r="ID28" s="497">
        <f t="shared" si="77"/>
        <v>0</v>
      </c>
      <c r="IE28" s="498">
        <f t="shared" si="188"/>
        <v>0</v>
      </c>
      <c r="IF28" s="496"/>
      <c r="IG28" s="497">
        <f t="shared" si="78"/>
        <v>0</v>
      </c>
      <c r="IH28" s="498">
        <f t="shared" si="189"/>
        <v>0</v>
      </c>
      <c r="II28" s="496"/>
      <c r="IJ28" s="497">
        <f t="shared" si="79"/>
        <v>0</v>
      </c>
      <c r="IK28" s="498">
        <f t="shared" si="190"/>
        <v>0</v>
      </c>
      <c r="IL28" s="496"/>
      <c r="IM28" s="497">
        <f t="shared" si="80"/>
        <v>0</v>
      </c>
      <c r="IN28" s="498">
        <f t="shared" si="191"/>
        <v>0</v>
      </c>
      <c r="IO28" s="496"/>
      <c r="IP28" s="497">
        <f t="shared" si="81"/>
        <v>0</v>
      </c>
      <c r="IQ28" s="498">
        <f t="shared" si="192"/>
        <v>0</v>
      </c>
      <c r="IR28" s="496"/>
      <c r="IS28" s="497">
        <f t="shared" si="82"/>
        <v>0</v>
      </c>
      <c r="IT28" s="498">
        <f t="shared" si="193"/>
        <v>0</v>
      </c>
      <c r="IU28" s="496"/>
      <c r="IV28" s="497">
        <f t="shared" si="83"/>
        <v>0</v>
      </c>
      <c r="IW28" s="498">
        <f t="shared" si="194"/>
        <v>0</v>
      </c>
      <c r="IX28" s="496"/>
      <c r="IY28" s="497">
        <f t="shared" si="84"/>
        <v>0</v>
      </c>
      <c r="IZ28" s="498">
        <f t="shared" si="195"/>
        <v>0</v>
      </c>
      <c r="JA28" s="496"/>
      <c r="JB28" s="497">
        <f t="shared" si="85"/>
        <v>0</v>
      </c>
      <c r="JC28" s="498">
        <f t="shared" si="196"/>
        <v>0</v>
      </c>
      <c r="JD28" s="496"/>
      <c r="JE28" s="497">
        <f t="shared" si="86"/>
        <v>0</v>
      </c>
      <c r="JF28" s="498">
        <f t="shared" si="197"/>
        <v>0</v>
      </c>
      <c r="JG28" s="496"/>
      <c r="JH28" s="497">
        <f t="shared" si="87"/>
        <v>0</v>
      </c>
      <c r="JI28" s="498">
        <f t="shared" si="198"/>
        <v>0</v>
      </c>
      <c r="JJ28" s="496"/>
      <c r="JK28" s="498" t="str">
        <f t="shared" si="88"/>
        <v>0</v>
      </c>
      <c r="JL28" s="498" t="str">
        <f t="shared" si="89"/>
        <v>0</v>
      </c>
      <c r="JM28" s="496"/>
      <c r="JN28" s="498" t="str">
        <f t="shared" si="90"/>
        <v>0</v>
      </c>
      <c r="JO28" s="498" t="str">
        <f t="shared" si="91"/>
        <v>0</v>
      </c>
      <c r="JP28" s="496"/>
      <c r="JQ28" s="498" t="str">
        <f t="shared" si="92"/>
        <v>0</v>
      </c>
      <c r="JR28" s="498" t="str">
        <f t="shared" si="93"/>
        <v>0</v>
      </c>
      <c r="JS28" s="496"/>
      <c r="JT28" s="498" t="str">
        <f t="shared" si="94"/>
        <v>0</v>
      </c>
      <c r="JU28" s="498" t="str">
        <f t="shared" si="95"/>
        <v>0</v>
      </c>
      <c r="JV28" s="496"/>
      <c r="JW28" s="498" t="str">
        <f t="shared" si="96"/>
        <v>0</v>
      </c>
      <c r="JX28" s="498" t="str">
        <f t="shared" si="97"/>
        <v>0</v>
      </c>
      <c r="JY28" s="496"/>
      <c r="JZ28" s="498" t="str">
        <f t="shared" si="98"/>
        <v>0</v>
      </c>
      <c r="KA28" s="498" t="str">
        <f t="shared" si="99"/>
        <v>0</v>
      </c>
      <c r="KB28" s="496"/>
      <c r="KC28" s="498" t="str">
        <f t="shared" si="100"/>
        <v>0</v>
      </c>
      <c r="KD28" s="498" t="str">
        <f t="shared" si="101"/>
        <v>0</v>
      </c>
      <c r="KE28" s="496"/>
      <c r="KF28" s="498" t="str">
        <f t="shared" si="102"/>
        <v>0</v>
      </c>
      <c r="KG28" s="498" t="str">
        <f t="shared" si="103"/>
        <v>0</v>
      </c>
      <c r="KH28" s="496"/>
      <c r="KI28" s="498" t="str">
        <f t="shared" si="104"/>
        <v>0</v>
      </c>
      <c r="KJ28" s="498" t="str">
        <f t="shared" si="105"/>
        <v>0</v>
      </c>
      <c r="KK28" s="496"/>
      <c r="KL28" s="498" t="str">
        <f t="shared" si="106"/>
        <v>0</v>
      </c>
      <c r="KM28" s="498" t="str">
        <f t="shared" si="107"/>
        <v>0</v>
      </c>
      <c r="KN28" s="496"/>
      <c r="KO28" s="498" t="str">
        <f t="shared" si="108"/>
        <v>0</v>
      </c>
      <c r="KP28" s="498" t="str">
        <f t="shared" si="109"/>
        <v>0</v>
      </c>
      <c r="KQ28" s="496"/>
      <c r="KR28" s="498" t="str">
        <f t="shared" si="110"/>
        <v>0</v>
      </c>
      <c r="KS28" s="498" t="str">
        <f t="shared" si="111"/>
        <v>0</v>
      </c>
      <c r="KT28" s="498">
        <f t="shared" si="201"/>
        <v>0</v>
      </c>
      <c r="KU28" s="498">
        <f t="shared" si="202"/>
        <v>0</v>
      </c>
      <c r="KV28" s="262">
        <f t="shared" si="199"/>
        <v>408.1512999955828</v>
      </c>
    </row>
    <row r="29" spans="1:308" ht="15" customHeight="1">
      <c r="A29" s="264">
        <f t="shared" si="200"/>
        <v>46011</v>
      </c>
      <c r="B29" s="265" t="str">
        <f>+Report1!B28</f>
        <v>Toilet</v>
      </c>
      <c r="C29" s="392" t="str">
        <f>+Report1!C28</f>
        <v>16/15</v>
      </c>
      <c r="D29" s="266">
        <f>+Report1!P28</f>
        <v>54.966999999999999</v>
      </c>
      <c r="E29" s="267">
        <f>+Report1!R28</f>
        <v>61.436999999999998</v>
      </c>
      <c r="F29" s="496"/>
      <c r="G29" s="497">
        <f t="shared" si="0"/>
        <v>0</v>
      </c>
      <c r="H29" s="498">
        <f t="shared" si="112"/>
        <v>0</v>
      </c>
      <c r="I29" s="496">
        <v>265.39922325581392</v>
      </c>
      <c r="J29" s="497">
        <f t="shared" si="1"/>
        <v>4.3198597466642887</v>
      </c>
      <c r="K29" s="498">
        <f t="shared" si="113"/>
        <v>0</v>
      </c>
      <c r="L29" s="496"/>
      <c r="M29" s="497">
        <f t="shared" si="2"/>
        <v>0</v>
      </c>
      <c r="N29" s="498">
        <f t="shared" si="114"/>
        <v>0</v>
      </c>
      <c r="O29" s="496">
        <v>11.999999999999972</v>
      </c>
      <c r="P29" s="497">
        <f t="shared" si="3"/>
        <v>0.19532203720884764</v>
      </c>
      <c r="Q29" s="498">
        <f t="shared" si="115"/>
        <v>0</v>
      </c>
      <c r="R29" s="496">
        <v>10.249999999999993</v>
      </c>
      <c r="S29" s="497">
        <f t="shared" si="4"/>
        <v>0.16683757344922431</v>
      </c>
      <c r="T29" s="498">
        <f t="shared" si="116"/>
        <v>0</v>
      </c>
      <c r="U29" s="496">
        <v>3.1250000000000284</v>
      </c>
      <c r="V29" s="497">
        <f t="shared" si="5"/>
        <v>5.0865113856471321E-2</v>
      </c>
      <c r="W29" s="498">
        <f t="shared" si="117"/>
        <v>0</v>
      </c>
      <c r="X29" s="496"/>
      <c r="Y29" s="497">
        <f t="shared" si="6"/>
        <v>0</v>
      </c>
      <c r="Z29" s="498">
        <f t="shared" si="118"/>
        <v>0</v>
      </c>
      <c r="AA29" s="496"/>
      <c r="AB29" s="497">
        <f t="shared" si="7"/>
        <v>0</v>
      </c>
      <c r="AC29" s="498">
        <f t="shared" si="119"/>
        <v>0</v>
      </c>
      <c r="AD29" s="496"/>
      <c r="AE29" s="497">
        <f t="shared" si="8"/>
        <v>0</v>
      </c>
      <c r="AF29" s="498">
        <f t="shared" si="120"/>
        <v>0</v>
      </c>
      <c r="AG29" s="496"/>
      <c r="AH29" s="497">
        <f t="shared" si="9"/>
        <v>0</v>
      </c>
      <c r="AI29" s="498">
        <f t="shared" si="121"/>
        <v>0</v>
      </c>
      <c r="AJ29" s="496"/>
      <c r="AK29" s="497">
        <f t="shared" si="10"/>
        <v>0</v>
      </c>
      <c r="AL29" s="498">
        <f t="shared" si="122"/>
        <v>0</v>
      </c>
      <c r="AM29" s="496"/>
      <c r="AN29" s="497">
        <f t="shared" si="11"/>
        <v>0</v>
      </c>
      <c r="AO29" s="498">
        <f t="shared" si="123"/>
        <v>0</v>
      </c>
      <c r="AP29" s="496">
        <v>70.229323076923038</v>
      </c>
      <c r="AQ29" s="497">
        <f t="shared" si="12"/>
        <v>1.1431112045985814</v>
      </c>
      <c r="AR29" s="498">
        <f t="shared" si="124"/>
        <v>0</v>
      </c>
      <c r="AS29" s="496"/>
      <c r="AT29" s="497">
        <f t="shared" si="13"/>
        <v>0</v>
      </c>
      <c r="AU29" s="498">
        <f t="shared" si="125"/>
        <v>0</v>
      </c>
      <c r="AV29" s="496">
        <v>2.7749999999999773</v>
      </c>
      <c r="AW29" s="497">
        <f t="shared" si="14"/>
        <v>4.5168221104545755E-2</v>
      </c>
      <c r="AX29" s="498">
        <f t="shared" si="126"/>
        <v>0</v>
      </c>
      <c r="AY29" s="496">
        <v>47.346266666666622</v>
      </c>
      <c r="AZ29" s="497">
        <f t="shared" si="15"/>
        <v>0.77064743829722515</v>
      </c>
      <c r="BA29" s="498">
        <f t="shared" si="127"/>
        <v>0</v>
      </c>
      <c r="BB29" s="496"/>
      <c r="BC29" s="497">
        <f t="shared" si="16"/>
        <v>0</v>
      </c>
      <c r="BD29" s="498">
        <f t="shared" si="128"/>
        <v>0</v>
      </c>
      <c r="BE29" s="496"/>
      <c r="BF29" s="497">
        <f t="shared" si="17"/>
        <v>0</v>
      </c>
      <c r="BG29" s="498">
        <f t="shared" si="129"/>
        <v>0</v>
      </c>
      <c r="BH29" s="496"/>
      <c r="BI29" s="497">
        <f t="shared" si="18"/>
        <v>0</v>
      </c>
      <c r="BJ29" s="498">
        <f t="shared" si="130"/>
        <v>0</v>
      </c>
      <c r="BK29" s="496"/>
      <c r="BL29" s="497">
        <f t="shared" si="19"/>
        <v>0</v>
      </c>
      <c r="BM29" s="498">
        <f t="shared" si="131"/>
        <v>0</v>
      </c>
      <c r="BN29" s="496">
        <v>27.839506172839506</v>
      </c>
      <c r="BO29" s="497">
        <f t="shared" si="20"/>
        <v>0.45313908838060951</v>
      </c>
      <c r="BP29" s="498">
        <f t="shared" si="132"/>
        <v>0</v>
      </c>
      <c r="BQ29" s="496">
        <v>58.532847692307712</v>
      </c>
      <c r="BR29" s="497">
        <f t="shared" si="21"/>
        <v>0.95272958790806372</v>
      </c>
      <c r="BS29" s="498">
        <f t="shared" si="133"/>
        <v>0</v>
      </c>
      <c r="BT29" s="496"/>
      <c r="BU29" s="497">
        <f t="shared" si="22"/>
        <v>0</v>
      </c>
      <c r="BV29" s="498">
        <f t="shared" si="134"/>
        <v>0</v>
      </c>
      <c r="BW29" s="496"/>
      <c r="BX29" s="497">
        <f t="shared" si="23"/>
        <v>0</v>
      </c>
      <c r="BY29" s="498">
        <f t="shared" si="135"/>
        <v>0</v>
      </c>
      <c r="BZ29" s="496"/>
      <c r="CA29" s="497">
        <f t="shared" si="24"/>
        <v>0</v>
      </c>
      <c r="CB29" s="498">
        <f t="shared" si="136"/>
        <v>0</v>
      </c>
      <c r="CC29" s="496">
        <v>0</v>
      </c>
      <c r="CD29" s="497">
        <f t="shared" si="25"/>
        <v>0</v>
      </c>
      <c r="CE29" s="498">
        <f t="shared" si="137"/>
        <v>0</v>
      </c>
      <c r="CF29" s="496">
        <v>7.1999999999999984</v>
      </c>
      <c r="CG29" s="497">
        <f t="shared" si="26"/>
        <v>0.11719322232530884</v>
      </c>
      <c r="CH29" s="498">
        <f t="shared" si="138"/>
        <v>0</v>
      </c>
      <c r="CI29" s="496"/>
      <c r="CJ29" s="497">
        <f t="shared" si="27"/>
        <v>0</v>
      </c>
      <c r="CK29" s="498">
        <f t="shared" si="139"/>
        <v>0</v>
      </c>
      <c r="CL29" s="496"/>
      <c r="CM29" s="497">
        <f t="shared" si="28"/>
        <v>0</v>
      </c>
      <c r="CN29" s="498">
        <f t="shared" si="140"/>
        <v>0</v>
      </c>
      <c r="CO29" s="496"/>
      <c r="CP29" s="497">
        <f t="shared" si="29"/>
        <v>0</v>
      </c>
      <c r="CQ29" s="498">
        <f t="shared" si="141"/>
        <v>0</v>
      </c>
      <c r="CR29" s="496"/>
      <c r="CS29" s="497">
        <f t="shared" si="30"/>
        <v>0</v>
      </c>
      <c r="CT29" s="498">
        <f t="shared" si="142"/>
        <v>0</v>
      </c>
      <c r="CU29" s="496"/>
      <c r="CV29" s="497">
        <f t="shared" si="31"/>
        <v>0</v>
      </c>
      <c r="CW29" s="498">
        <f t="shared" si="143"/>
        <v>0</v>
      </c>
      <c r="CX29" s="496"/>
      <c r="CY29" s="497">
        <f t="shared" si="32"/>
        <v>0</v>
      </c>
      <c r="CZ29" s="498">
        <f t="shared" si="144"/>
        <v>0</v>
      </c>
      <c r="DA29" s="496"/>
      <c r="DB29" s="497">
        <f t="shared" si="33"/>
        <v>0</v>
      </c>
      <c r="DC29" s="498">
        <f t="shared" si="145"/>
        <v>0</v>
      </c>
      <c r="DD29" s="496"/>
      <c r="DE29" s="497">
        <f t="shared" si="34"/>
        <v>0</v>
      </c>
      <c r="DF29" s="498">
        <f t="shared" si="146"/>
        <v>0</v>
      </c>
      <c r="DG29" s="496"/>
      <c r="DH29" s="497">
        <f t="shared" si="35"/>
        <v>0</v>
      </c>
      <c r="DI29" s="498">
        <f t="shared" si="203"/>
        <v>0</v>
      </c>
      <c r="DJ29" s="496"/>
      <c r="DK29" s="497">
        <f t="shared" si="36"/>
        <v>0</v>
      </c>
      <c r="DL29" s="498">
        <f t="shared" si="147"/>
        <v>0</v>
      </c>
      <c r="DM29" s="496"/>
      <c r="DN29" s="497">
        <f t="shared" si="37"/>
        <v>0</v>
      </c>
      <c r="DO29" s="498">
        <f t="shared" si="148"/>
        <v>0</v>
      </c>
      <c r="DP29" s="496"/>
      <c r="DQ29" s="497">
        <f t="shared" si="38"/>
        <v>0</v>
      </c>
      <c r="DR29" s="498">
        <f t="shared" si="149"/>
        <v>0</v>
      </c>
      <c r="DS29" s="496"/>
      <c r="DT29" s="497">
        <f t="shared" si="39"/>
        <v>0</v>
      </c>
      <c r="DU29" s="498">
        <f t="shared" si="150"/>
        <v>0</v>
      </c>
      <c r="DV29" s="496"/>
      <c r="DW29" s="497">
        <f t="shared" si="40"/>
        <v>0</v>
      </c>
      <c r="DX29" s="498">
        <f t="shared" si="151"/>
        <v>0</v>
      </c>
      <c r="DY29" s="496">
        <v>0</v>
      </c>
      <c r="DZ29" s="497">
        <f t="shared" si="41"/>
        <v>0</v>
      </c>
      <c r="EA29" s="498">
        <f t="shared" si="152"/>
        <v>0</v>
      </c>
      <c r="EB29" s="496">
        <v>21.802325581395365</v>
      </c>
      <c r="EC29" s="497">
        <f t="shared" si="42"/>
        <v>0.3548728873707272</v>
      </c>
      <c r="ED29" s="498">
        <f t="shared" si="153"/>
        <v>0</v>
      </c>
      <c r="EE29" s="496">
        <v>7</v>
      </c>
      <c r="EF29" s="497">
        <f t="shared" si="43"/>
        <v>0.11393785503849473</v>
      </c>
      <c r="EG29" s="498">
        <f t="shared" si="154"/>
        <v>0</v>
      </c>
      <c r="EH29" s="496"/>
      <c r="EI29" s="497">
        <f t="shared" si="44"/>
        <v>0</v>
      </c>
      <c r="EJ29" s="498">
        <f t="shared" si="155"/>
        <v>0</v>
      </c>
      <c r="EK29" s="496"/>
      <c r="EL29" s="497">
        <f t="shared" si="45"/>
        <v>0</v>
      </c>
      <c r="EM29" s="498">
        <f t="shared" si="156"/>
        <v>0</v>
      </c>
      <c r="EN29" s="496"/>
      <c r="EO29" s="497">
        <f t="shared" si="46"/>
        <v>0</v>
      </c>
      <c r="EP29" s="498">
        <f t="shared" si="157"/>
        <v>0</v>
      </c>
      <c r="EQ29" s="496"/>
      <c r="ER29" s="497">
        <f t="shared" si="47"/>
        <v>0</v>
      </c>
      <c r="ES29" s="498">
        <f t="shared" si="158"/>
        <v>0</v>
      </c>
      <c r="ET29" s="496"/>
      <c r="EU29" s="497">
        <f t="shared" si="48"/>
        <v>0</v>
      </c>
      <c r="EV29" s="498">
        <f t="shared" si="159"/>
        <v>0</v>
      </c>
      <c r="EW29" s="496"/>
      <c r="EX29" s="497">
        <f t="shared" si="49"/>
        <v>0</v>
      </c>
      <c r="EY29" s="498">
        <f t="shared" si="160"/>
        <v>0</v>
      </c>
      <c r="EZ29" s="496"/>
      <c r="FA29" s="497">
        <f t="shared" si="50"/>
        <v>0</v>
      </c>
      <c r="FB29" s="498">
        <f t="shared" si="161"/>
        <v>0</v>
      </c>
      <c r="FC29" s="496"/>
      <c r="FD29" s="497">
        <f t="shared" si="51"/>
        <v>0</v>
      </c>
      <c r="FE29" s="498">
        <f t="shared" si="162"/>
        <v>0</v>
      </c>
      <c r="FF29" s="496"/>
      <c r="FG29" s="497">
        <f t="shared" si="52"/>
        <v>0</v>
      </c>
      <c r="FH29" s="498">
        <f t="shared" si="163"/>
        <v>0</v>
      </c>
      <c r="FI29" s="496"/>
      <c r="FJ29" s="497">
        <f t="shared" si="53"/>
        <v>0</v>
      </c>
      <c r="FK29" s="498">
        <f t="shared" si="164"/>
        <v>0</v>
      </c>
      <c r="FL29" s="496"/>
      <c r="FM29" s="497">
        <f t="shared" si="54"/>
        <v>0</v>
      </c>
      <c r="FN29" s="498">
        <f t="shared" si="165"/>
        <v>0</v>
      </c>
      <c r="FO29" s="496"/>
      <c r="FP29" s="497">
        <f t="shared" si="55"/>
        <v>0</v>
      </c>
      <c r="FQ29" s="498">
        <f t="shared" si="166"/>
        <v>0</v>
      </c>
      <c r="FR29" s="496"/>
      <c r="FS29" s="497">
        <f t="shared" si="56"/>
        <v>0</v>
      </c>
      <c r="FT29" s="498">
        <f t="shared" si="167"/>
        <v>0</v>
      </c>
      <c r="FU29" s="496"/>
      <c r="FV29" s="497">
        <f t="shared" si="57"/>
        <v>0</v>
      </c>
      <c r="FW29" s="498">
        <f t="shared" si="168"/>
        <v>0</v>
      </c>
      <c r="FX29" s="496"/>
      <c r="FY29" s="497">
        <f t="shared" si="58"/>
        <v>0</v>
      </c>
      <c r="FZ29" s="498">
        <f t="shared" si="169"/>
        <v>0</v>
      </c>
      <c r="GA29" s="496"/>
      <c r="GB29" s="497">
        <f t="shared" si="59"/>
        <v>0</v>
      </c>
      <c r="GC29" s="498">
        <f t="shared" si="170"/>
        <v>0</v>
      </c>
      <c r="GD29" s="496"/>
      <c r="GE29" s="497">
        <f t="shared" si="60"/>
        <v>0</v>
      </c>
      <c r="GF29" s="498">
        <f t="shared" si="171"/>
        <v>0</v>
      </c>
      <c r="GG29" s="496"/>
      <c r="GH29" s="497">
        <f t="shared" si="61"/>
        <v>0</v>
      </c>
      <c r="GI29" s="498">
        <f t="shared" si="172"/>
        <v>0</v>
      </c>
      <c r="GJ29" s="496"/>
      <c r="GK29" s="497">
        <f t="shared" si="62"/>
        <v>0</v>
      </c>
      <c r="GL29" s="498">
        <f t="shared" si="173"/>
        <v>0</v>
      </c>
      <c r="GM29" s="496"/>
      <c r="GN29" s="497">
        <f t="shared" si="63"/>
        <v>0</v>
      </c>
      <c r="GO29" s="498">
        <f t="shared" si="174"/>
        <v>0</v>
      </c>
      <c r="GP29" s="496"/>
      <c r="GQ29" s="497">
        <f t="shared" si="64"/>
        <v>0</v>
      </c>
      <c r="GR29" s="498">
        <f t="shared" si="175"/>
        <v>0</v>
      </c>
      <c r="GS29" s="496"/>
      <c r="GT29" s="497">
        <f t="shared" si="65"/>
        <v>0</v>
      </c>
      <c r="GU29" s="498">
        <f t="shared" si="176"/>
        <v>0</v>
      </c>
      <c r="GV29" s="496"/>
      <c r="GW29" s="497">
        <f t="shared" si="66"/>
        <v>0</v>
      </c>
      <c r="GX29" s="498">
        <f t="shared" si="177"/>
        <v>0</v>
      </c>
      <c r="GY29" s="496"/>
      <c r="GZ29" s="497">
        <f t="shared" si="67"/>
        <v>0</v>
      </c>
      <c r="HA29" s="498">
        <f t="shared" si="178"/>
        <v>0</v>
      </c>
      <c r="HB29" s="496"/>
      <c r="HC29" s="497">
        <f t="shared" si="68"/>
        <v>0</v>
      </c>
      <c r="HD29" s="498">
        <f t="shared" si="179"/>
        <v>0</v>
      </c>
      <c r="HE29" s="496"/>
      <c r="HF29" s="497">
        <f t="shared" si="69"/>
        <v>0</v>
      </c>
      <c r="HG29" s="498">
        <f t="shared" si="180"/>
        <v>0</v>
      </c>
      <c r="HH29" s="496"/>
      <c r="HI29" s="497">
        <f t="shared" si="70"/>
        <v>0</v>
      </c>
      <c r="HJ29" s="498">
        <f t="shared" si="181"/>
        <v>0</v>
      </c>
      <c r="HK29" s="496"/>
      <c r="HL29" s="497">
        <f t="shared" si="71"/>
        <v>0</v>
      </c>
      <c r="HM29" s="498">
        <f t="shared" si="182"/>
        <v>0</v>
      </c>
      <c r="HN29" s="496"/>
      <c r="HO29" s="497">
        <f t="shared" si="72"/>
        <v>0</v>
      </c>
      <c r="HP29" s="498">
        <f t="shared" si="183"/>
        <v>0</v>
      </c>
      <c r="HQ29" s="496"/>
      <c r="HR29" s="497">
        <f t="shared" si="73"/>
        <v>0</v>
      </c>
      <c r="HS29" s="498">
        <f t="shared" si="184"/>
        <v>0</v>
      </c>
      <c r="HT29" s="496"/>
      <c r="HU29" s="497">
        <f t="shared" si="74"/>
        <v>0</v>
      </c>
      <c r="HV29" s="498">
        <f t="shared" si="185"/>
        <v>0</v>
      </c>
      <c r="HW29" s="496"/>
      <c r="HX29" s="497">
        <f t="shared" si="75"/>
        <v>0</v>
      </c>
      <c r="HY29" s="498">
        <f t="shared" si="186"/>
        <v>0</v>
      </c>
      <c r="HZ29" s="496"/>
      <c r="IA29" s="497">
        <f t="shared" si="76"/>
        <v>0</v>
      </c>
      <c r="IB29" s="498">
        <f t="shared" si="187"/>
        <v>0</v>
      </c>
      <c r="IC29" s="496"/>
      <c r="ID29" s="497">
        <f t="shared" si="77"/>
        <v>0</v>
      </c>
      <c r="IE29" s="498">
        <f t="shared" si="188"/>
        <v>0</v>
      </c>
      <c r="IF29" s="496"/>
      <c r="IG29" s="497">
        <f t="shared" si="78"/>
        <v>0</v>
      </c>
      <c r="IH29" s="498">
        <f t="shared" si="189"/>
        <v>0</v>
      </c>
      <c r="II29" s="496"/>
      <c r="IJ29" s="497">
        <f t="shared" si="79"/>
        <v>0</v>
      </c>
      <c r="IK29" s="498">
        <f t="shared" si="190"/>
        <v>0</v>
      </c>
      <c r="IL29" s="496"/>
      <c r="IM29" s="497">
        <f t="shared" si="80"/>
        <v>0</v>
      </c>
      <c r="IN29" s="498">
        <f t="shared" si="191"/>
        <v>0</v>
      </c>
      <c r="IO29" s="496"/>
      <c r="IP29" s="497">
        <f t="shared" si="81"/>
        <v>0</v>
      </c>
      <c r="IQ29" s="498">
        <f t="shared" si="192"/>
        <v>0</v>
      </c>
      <c r="IR29" s="496"/>
      <c r="IS29" s="497">
        <f t="shared" si="82"/>
        <v>0</v>
      </c>
      <c r="IT29" s="498">
        <f t="shared" si="193"/>
        <v>0</v>
      </c>
      <c r="IU29" s="496"/>
      <c r="IV29" s="497">
        <f t="shared" si="83"/>
        <v>0</v>
      </c>
      <c r="IW29" s="498">
        <f t="shared" si="194"/>
        <v>0</v>
      </c>
      <c r="IX29" s="496"/>
      <c r="IY29" s="497">
        <f t="shared" si="84"/>
        <v>0</v>
      </c>
      <c r="IZ29" s="498">
        <f t="shared" si="195"/>
        <v>0</v>
      </c>
      <c r="JA29" s="496"/>
      <c r="JB29" s="497">
        <f t="shared" si="85"/>
        <v>0</v>
      </c>
      <c r="JC29" s="498">
        <f t="shared" si="196"/>
        <v>0</v>
      </c>
      <c r="JD29" s="496"/>
      <c r="JE29" s="497">
        <f t="shared" si="86"/>
        <v>0</v>
      </c>
      <c r="JF29" s="498">
        <f t="shared" si="197"/>
        <v>0</v>
      </c>
      <c r="JG29" s="496"/>
      <c r="JH29" s="497">
        <f t="shared" si="87"/>
        <v>0</v>
      </c>
      <c r="JI29" s="498">
        <f t="shared" si="198"/>
        <v>0</v>
      </c>
      <c r="JJ29" s="496"/>
      <c r="JK29" s="498" t="str">
        <f t="shared" si="88"/>
        <v>0</v>
      </c>
      <c r="JL29" s="498" t="str">
        <f t="shared" si="89"/>
        <v>0</v>
      </c>
      <c r="JM29" s="496"/>
      <c r="JN29" s="498" t="str">
        <f t="shared" si="90"/>
        <v>0</v>
      </c>
      <c r="JO29" s="498" t="str">
        <f t="shared" si="91"/>
        <v>0</v>
      </c>
      <c r="JP29" s="496"/>
      <c r="JQ29" s="498" t="str">
        <f t="shared" si="92"/>
        <v>0</v>
      </c>
      <c r="JR29" s="498" t="str">
        <f t="shared" si="93"/>
        <v>0</v>
      </c>
      <c r="JS29" s="496"/>
      <c r="JT29" s="498" t="str">
        <f t="shared" si="94"/>
        <v>0</v>
      </c>
      <c r="JU29" s="498" t="str">
        <f t="shared" si="95"/>
        <v>0</v>
      </c>
      <c r="JV29" s="496"/>
      <c r="JW29" s="498" t="str">
        <f t="shared" si="96"/>
        <v>0</v>
      </c>
      <c r="JX29" s="498" t="str">
        <f t="shared" si="97"/>
        <v>0</v>
      </c>
      <c r="JY29" s="496"/>
      <c r="JZ29" s="498" t="str">
        <f t="shared" si="98"/>
        <v>0</v>
      </c>
      <c r="KA29" s="498" t="str">
        <f t="shared" si="99"/>
        <v>0</v>
      </c>
      <c r="KB29" s="496"/>
      <c r="KC29" s="498" t="str">
        <f t="shared" si="100"/>
        <v>0</v>
      </c>
      <c r="KD29" s="498" t="str">
        <f t="shared" si="101"/>
        <v>0</v>
      </c>
      <c r="KE29" s="496"/>
      <c r="KF29" s="498" t="str">
        <f t="shared" si="102"/>
        <v>0</v>
      </c>
      <c r="KG29" s="498" t="str">
        <f t="shared" si="103"/>
        <v>0</v>
      </c>
      <c r="KH29" s="496"/>
      <c r="KI29" s="498" t="str">
        <f t="shared" si="104"/>
        <v>0</v>
      </c>
      <c r="KJ29" s="498" t="str">
        <f t="shared" si="105"/>
        <v>0</v>
      </c>
      <c r="KK29" s="496"/>
      <c r="KL29" s="498" t="str">
        <f t="shared" si="106"/>
        <v>0</v>
      </c>
      <c r="KM29" s="498" t="str">
        <f t="shared" si="107"/>
        <v>0</v>
      </c>
      <c r="KN29" s="496"/>
      <c r="KO29" s="498" t="str">
        <f t="shared" si="108"/>
        <v>0</v>
      </c>
      <c r="KP29" s="498" t="str">
        <f t="shared" si="109"/>
        <v>0</v>
      </c>
      <c r="KQ29" s="496"/>
      <c r="KR29" s="498" t="str">
        <f t="shared" si="110"/>
        <v>0</v>
      </c>
      <c r="KS29" s="498" t="str">
        <f t="shared" si="111"/>
        <v>0</v>
      </c>
      <c r="KT29" s="498">
        <f t="shared" si="201"/>
        <v>0</v>
      </c>
      <c r="KU29" s="498">
        <f t="shared" si="202"/>
        <v>0</v>
      </c>
      <c r="KV29" s="262">
        <f t="shared" si="199"/>
        <v>533.49949244594609</v>
      </c>
    </row>
    <row r="30" spans="1:308" ht="15" customHeight="1">
      <c r="A30" s="264">
        <f t="shared" si="200"/>
        <v>46012</v>
      </c>
      <c r="B30" s="265" t="str">
        <f>+Report1!B29</f>
        <v>Toilet</v>
      </c>
      <c r="C30" s="392" t="str">
        <f>+Report1!C29</f>
        <v>15</v>
      </c>
      <c r="D30" s="266">
        <f>+Report1!P29</f>
        <v>53.402999999999999</v>
      </c>
      <c r="E30" s="267">
        <f>+Report1!R29</f>
        <v>49.655999999999999</v>
      </c>
      <c r="F30" s="496"/>
      <c r="G30" s="497">
        <f t="shared" si="0"/>
        <v>0</v>
      </c>
      <c r="H30" s="498">
        <f t="shared" si="112"/>
        <v>0</v>
      </c>
      <c r="I30" s="496">
        <v>257.85599999999999</v>
      </c>
      <c r="J30" s="497">
        <f t="shared" si="1"/>
        <v>5.1928467858869016</v>
      </c>
      <c r="K30" s="498">
        <f t="shared" si="113"/>
        <v>0</v>
      </c>
      <c r="L30" s="496"/>
      <c r="M30" s="497">
        <f t="shared" si="2"/>
        <v>0</v>
      </c>
      <c r="N30" s="498">
        <f t="shared" si="114"/>
        <v>0</v>
      </c>
      <c r="O30" s="496">
        <v>9.0000000000000284</v>
      </c>
      <c r="P30" s="497">
        <f t="shared" si="3"/>
        <v>0.18124697921701363</v>
      </c>
      <c r="Q30" s="498">
        <f t="shared" si="115"/>
        <v>0</v>
      </c>
      <c r="R30" s="496">
        <v>5.1250000000000071</v>
      </c>
      <c r="S30" s="497">
        <f t="shared" si="4"/>
        <v>0.10321008538746591</v>
      </c>
      <c r="T30" s="498">
        <f t="shared" si="116"/>
        <v>0</v>
      </c>
      <c r="U30" s="496">
        <v>4.6875</v>
      </c>
      <c r="V30" s="497">
        <f t="shared" si="5"/>
        <v>9.4399468342194301E-2</v>
      </c>
      <c r="W30" s="498">
        <f t="shared" si="117"/>
        <v>0</v>
      </c>
      <c r="X30" s="496"/>
      <c r="Y30" s="497">
        <f t="shared" si="6"/>
        <v>0</v>
      </c>
      <c r="Z30" s="498">
        <f t="shared" si="118"/>
        <v>0</v>
      </c>
      <c r="AA30" s="496"/>
      <c r="AB30" s="497">
        <f t="shared" si="7"/>
        <v>0</v>
      </c>
      <c r="AC30" s="498">
        <f t="shared" si="119"/>
        <v>0</v>
      </c>
      <c r="AD30" s="496"/>
      <c r="AE30" s="497">
        <f t="shared" si="8"/>
        <v>0</v>
      </c>
      <c r="AF30" s="498">
        <f t="shared" si="120"/>
        <v>0</v>
      </c>
      <c r="AG30" s="496"/>
      <c r="AH30" s="497">
        <f t="shared" si="9"/>
        <v>0</v>
      </c>
      <c r="AI30" s="498">
        <f t="shared" si="121"/>
        <v>0</v>
      </c>
      <c r="AJ30" s="496"/>
      <c r="AK30" s="497">
        <f t="shared" si="10"/>
        <v>0</v>
      </c>
      <c r="AL30" s="498">
        <f t="shared" si="122"/>
        <v>0</v>
      </c>
      <c r="AM30" s="496"/>
      <c r="AN30" s="497">
        <f t="shared" si="11"/>
        <v>0</v>
      </c>
      <c r="AO30" s="498">
        <f t="shared" si="123"/>
        <v>0</v>
      </c>
      <c r="AP30" s="496">
        <v>68.233900000000006</v>
      </c>
      <c r="AQ30" s="497">
        <f t="shared" si="12"/>
        <v>1.3741320283550831</v>
      </c>
      <c r="AR30" s="498">
        <f t="shared" si="124"/>
        <v>0</v>
      </c>
      <c r="AS30" s="496"/>
      <c r="AT30" s="497">
        <f t="shared" si="13"/>
        <v>0</v>
      </c>
      <c r="AU30" s="498">
        <f t="shared" si="125"/>
        <v>0</v>
      </c>
      <c r="AV30" s="496">
        <v>2.7750000000000341</v>
      </c>
      <c r="AW30" s="497">
        <f t="shared" si="14"/>
        <v>5.5884485258579711E-2</v>
      </c>
      <c r="AX30" s="498">
        <f t="shared" si="126"/>
        <v>0</v>
      </c>
      <c r="AY30" s="496">
        <v>45.990799999999979</v>
      </c>
      <c r="AZ30" s="497">
        <f t="shared" si="15"/>
        <v>0.92618817464153336</v>
      </c>
      <c r="BA30" s="498">
        <f t="shared" si="127"/>
        <v>0</v>
      </c>
      <c r="BB30" s="496"/>
      <c r="BC30" s="497">
        <f t="shared" si="16"/>
        <v>0</v>
      </c>
      <c r="BD30" s="498">
        <f t="shared" si="128"/>
        <v>0</v>
      </c>
      <c r="BE30" s="496"/>
      <c r="BF30" s="497">
        <f t="shared" si="17"/>
        <v>0</v>
      </c>
      <c r="BG30" s="498">
        <f t="shared" si="129"/>
        <v>0</v>
      </c>
      <c r="BH30" s="496"/>
      <c r="BI30" s="497">
        <f t="shared" si="18"/>
        <v>0</v>
      </c>
      <c r="BJ30" s="498">
        <f t="shared" si="130"/>
        <v>0</v>
      </c>
      <c r="BK30" s="496"/>
      <c r="BL30" s="497">
        <f t="shared" si="19"/>
        <v>0</v>
      </c>
      <c r="BM30" s="498">
        <f t="shared" si="131"/>
        <v>0</v>
      </c>
      <c r="BN30" s="496">
        <v>25.308641975308646</v>
      </c>
      <c r="BO30" s="497">
        <f t="shared" si="20"/>
        <v>0.50967943401217675</v>
      </c>
      <c r="BP30" s="498">
        <f t="shared" si="132"/>
        <v>0</v>
      </c>
      <c r="BQ30" s="496">
        <v>56.851767692307646</v>
      </c>
      <c r="BR30" s="497">
        <f t="shared" si="21"/>
        <v>1.1449123508197931</v>
      </c>
      <c r="BS30" s="498">
        <f t="shared" si="133"/>
        <v>0</v>
      </c>
      <c r="BT30" s="496"/>
      <c r="BU30" s="497">
        <f t="shared" si="22"/>
        <v>0</v>
      </c>
      <c r="BV30" s="498">
        <f t="shared" si="134"/>
        <v>0</v>
      </c>
      <c r="BW30" s="496"/>
      <c r="BX30" s="497">
        <f t="shared" si="23"/>
        <v>0</v>
      </c>
      <c r="BY30" s="498">
        <f t="shared" si="135"/>
        <v>0</v>
      </c>
      <c r="BZ30" s="496"/>
      <c r="CA30" s="497">
        <f t="shared" si="24"/>
        <v>0</v>
      </c>
      <c r="CB30" s="498">
        <f t="shared" si="136"/>
        <v>0</v>
      </c>
      <c r="CC30" s="496">
        <v>0</v>
      </c>
      <c r="CD30" s="497">
        <f t="shared" si="25"/>
        <v>0</v>
      </c>
      <c r="CE30" s="498">
        <f t="shared" si="137"/>
        <v>0</v>
      </c>
      <c r="CF30" s="496">
        <v>7.200000000000002</v>
      </c>
      <c r="CG30" s="497">
        <f t="shared" si="26"/>
        <v>0.14499758337361049</v>
      </c>
      <c r="CH30" s="498">
        <f t="shared" si="138"/>
        <v>0</v>
      </c>
      <c r="CI30" s="496"/>
      <c r="CJ30" s="497">
        <f t="shared" si="27"/>
        <v>0</v>
      </c>
      <c r="CK30" s="498">
        <f t="shared" si="139"/>
        <v>0</v>
      </c>
      <c r="CL30" s="496"/>
      <c r="CM30" s="497">
        <f t="shared" si="28"/>
        <v>0</v>
      </c>
      <c r="CN30" s="498">
        <f t="shared" si="140"/>
        <v>0</v>
      </c>
      <c r="CO30" s="496"/>
      <c r="CP30" s="497">
        <f t="shared" si="29"/>
        <v>0</v>
      </c>
      <c r="CQ30" s="498">
        <f t="shared" si="141"/>
        <v>0</v>
      </c>
      <c r="CR30" s="496"/>
      <c r="CS30" s="497">
        <f t="shared" si="30"/>
        <v>0</v>
      </c>
      <c r="CT30" s="498">
        <f t="shared" si="142"/>
        <v>0</v>
      </c>
      <c r="CU30" s="496"/>
      <c r="CV30" s="497">
        <f t="shared" si="31"/>
        <v>0</v>
      </c>
      <c r="CW30" s="498">
        <f t="shared" si="143"/>
        <v>0</v>
      </c>
      <c r="CX30" s="496"/>
      <c r="CY30" s="497">
        <f t="shared" si="32"/>
        <v>0</v>
      </c>
      <c r="CZ30" s="498">
        <f t="shared" si="144"/>
        <v>0</v>
      </c>
      <c r="DA30" s="496"/>
      <c r="DB30" s="497">
        <f t="shared" si="33"/>
        <v>0</v>
      </c>
      <c r="DC30" s="498">
        <f t="shared" si="145"/>
        <v>0</v>
      </c>
      <c r="DD30" s="496"/>
      <c r="DE30" s="497">
        <f t="shared" si="34"/>
        <v>0</v>
      </c>
      <c r="DF30" s="498">
        <f t="shared" si="146"/>
        <v>0</v>
      </c>
      <c r="DG30" s="496"/>
      <c r="DH30" s="497">
        <f t="shared" si="35"/>
        <v>0</v>
      </c>
      <c r="DI30" s="498">
        <f t="shared" si="203"/>
        <v>0</v>
      </c>
      <c r="DJ30" s="496"/>
      <c r="DK30" s="497">
        <f t="shared" si="36"/>
        <v>0</v>
      </c>
      <c r="DL30" s="498">
        <f t="shared" si="147"/>
        <v>0</v>
      </c>
      <c r="DM30" s="496"/>
      <c r="DN30" s="497">
        <f t="shared" si="37"/>
        <v>0</v>
      </c>
      <c r="DO30" s="498">
        <f t="shared" si="148"/>
        <v>0</v>
      </c>
      <c r="DP30" s="496"/>
      <c r="DQ30" s="497">
        <f t="shared" si="38"/>
        <v>0</v>
      </c>
      <c r="DR30" s="498">
        <f t="shared" si="149"/>
        <v>0</v>
      </c>
      <c r="DS30" s="496"/>
      <c r="DT30" s="497">
        <f t="shared" si="39"/>
        <v>0</v>
      </c>
      <c r="DU30" s="498">
        <f t="shared" si="150"/>
        <v>0</v>
      </c>
      <c r="DV30" s="496"/>
      <c r="DW30" s="497">
        <f t="shared" si="40"/>
        <v>0</v>
      </c>
      <c r="DX30" s="498">
        <f t="shared" si="151"/>
        <v>0</v>
      </c>
      <c r="DY30" s="496">
        <v>0</v>
      </c>
      <c r="DZ30" s="497">
        <f t="shared" si="41"/>
        <v>0</v>
      </c>
      <c r="EA30" s="498">
        <f t="shared" si="152"/>
        <v>0</v>
      </c>
      <c r="EB30" s="496">
        <v>14.534883720930225</v>
      </c>
      <c r="EC30" s="497">
        <f t="shared" si="42"/>
        <v>0.292711529743238</v>
      </c>
      <c r="ED30" s="498">
        <f t="shared" si="153"/>
        <v>0</v>
      </c>
      <c r="EE30" s="496">
        <v>7</v>
      </c>
      <c r="EF30" s="497">
        <f t="shared" si="43"/>
        <v>0.1409698727243435</v>
      </c>
      <c r="EG30" s="498">
        <f t="shared" si="154"/>
        <v>0</v>
      </c>
      <c r="EH30" s="496"/>
      <c r="EI30" s="497">
        <f t="shared" si="44"/>
        <v>0</v>
      </c>
      <c r="EJ30" s="498">
        <f t="shared" si="155"/>
        <v>0</v>
      </c>
      <c r="EK30" s="496"/>
      <c r="EL30" s="497">
        <f t="shared" si="45"/>
        <v>0</v>
      </c>
      <c r="EM30" s="498">
        <f t="shared" si="156"/>
        <v>0</v>
      </c>
      <c r="EN30" s="496"/>
      <c r="EO30" s="497">
        <f t="shared" si="46"/>
        <v>0</v>
      </c>
      <c r="EP30" s="498">
        <f t="shared" si="157"/>
        <v>0</v>
      </c>
      <c r="EQ30" s="496"/>
      <c r="ER30" s="497">
        <f t="shared" si="47"/>
        <v>0</v>
      </c>
      <c r="ES30" s="498">
        <f t="shared" si="158"/>
        <v>0</v>
      </c>
      <c r="ET30" s="496"/>
      <c r="EU30" s="497">
        <f t="shared" si="48"/>
        <v>0</v>
      </c>
      <c r="EV30" s="498">
        <f t="shared" si="159"/>
        <v>0</v>
      </c>
      <c r="EW30" s="496"/>
      <c r="EX30" s="497">
        <f t="shared" si="49"/>
        <v>0</v>
      </c>
      <c r="EY30" s="498">
        <f t="shared" si="160"/>
        <v>0</v>
      </c>
      <c r="EZ30" s="496"/>
      <c r="FA30" s="497">
        <f t="shared" si="50"/>
        <v>0</v>
      </c>
      <c r="FB30" s="498">
        <f t="shared" si="161"/>
        <v>0</v>
      </c>
      <c r="FC30" s="496"/>
      <c r="FD30" s="497">
        <f t="shared" si="51"/>
        <v>0</v>
      </c>
      <c r="FE30" s="498">
        <f t="shared" si="162"/>
        <v>0</v>
      </c>
      <c r="FF30" s="496"/>
      <c r="FG30" s="497">
        <f t="shared" si="52"/>
        <v>0</v>
      </c>
      <c r="FH30" s="498">
        <f t="shared" si="163"/>
        <v>0</v>
      </c>
      <c r="FI30" s="496"/>
      <c r="FJ30" s="497">
        <f t="shared" si="53"/>
        <v>0</v>
      </c>
      <c r="FK30" s="498">
        <f t="shared" si="164"/>
        <v>0</v>
      </c>
      <c r="FL30" s="496"/>
      <c r="FM30" s="497">
        <f t="shared" si="54"/>
        <v>0</v>
      </c>
      <c r="FN30" s="498">
        <f t="shared" si="165"/>
        <v>0</v>
      </c>
      <c r="FO30" s="496"/>
      <c r="FP30" s="497">
        <f t="shared" si="55"/>
        <v>0</v>
      </c>
      <c r="FQ30" s="498">
        <f t="shared" si="166"/>
        <v>0</v>
      </c>
      <c r="FR30" s="496"/>
      <c r="FS30" s="497">
        <f t="shared" si="56"/>
        <v>0</v>
      </c>
      <c r="FT30" s="498">
        <f t="shared" si="167"/>
        <v>0</v>
      </c>
      <c r="FU30" s="496"/>
      <c r="FV30" s="497">
        <f t="shared" si="57"/>
        <v>0</v>
      </c>
      <c r="FW30" s="498">
        <f t="shared" si="168"/>
        <v>0</v>
      </c>
      <c r="FX30" s="496"/>
      <c r="FY30" s="497">
        <f t="shared" si="58"/>
        <v>0</v>
      </c>
      <c r="FZ30" s="498">
        <f t="shared" si="169"/>
        <v>0</v>
      </c>
      <c r="GA30" s="496"/>
      <c r="GB30" s="497">
        <f t="shared" si="59"/>
        <v>0</v>
      </c>
      <c r="GC30" s="498">
        <f t="shared" si="170"/>
        <v>0</v>
      </c>
      <c r="GD30" s="496"/>
      <c r="GE30" s="497">
        <f t="shared" si="60"/>
        <v>0</v>
      </c>
      <c r="GF30" s="498">
        <f t="shared" si="171"/>
        <v>0</v>
      </c>
      <c r="GG30" s="496"/>
      <c r="GH30" s="497">
        <f t="shared" si="61"/>
        <v>0</v>
      </c>
      <c r="GI30" s="498">
        <f t="shared" si="172"/>
        <v>0</v>
      </c>
      <c r="GJ30" s="496"/>
      <c r="GK30" s="497">
        <f t="shared" si="62"/>
        <v>0</v>
      </c>
      <c r="GL30" s="498">
        <f t="shared" si="173"/>
        <v>0</v>
      </c>
      <c r="GM30" s="496"/>
      <c r="GN30" s="497">
        <f t="shared" si="63"/>
        <v>0</v>
      </c>
      <c r="GO30" s="498">
        <f t="shared" si="174"/>
        <v>0</v>
      </c>
      <c r="GP30" s="496"/>
      <c r="GQ30" s="497">
        <f t="shared" si="64"/>
        <v>0</v>
      </c>
      <c r="GR30" s="498">
        <f t="shared" si="175"/>
        <v>0</v>
      </c>
      <c r="GS30" s="496"/>
      <c r="GT30" s="497">
        <f t="shared" si="65"/>
        <v>0</v>
      </c>
      <c r="GU30" s="498">
        <f t="shared" si="176"/>
        <v>0</v>
      </c>
      <c r="GV30" s="496"/>
      <c r="GW30" s="497">
        <f t="shared" si="66"/>
        <v>0</v>
      </c>
      <c r="GX30" s="498">
        <f t="shared" si="177"/>
        <v>0</v>
      </c>
      <c r="GY30" s="496"/>
      <c r="GZ30" s="497">
        <f t="shared" si="67"/>
        <v>0</v>
      </c>
      <c r="HA30" s="498">
        <f t="shared" si="178"/>
        <v>0</v>
      </c>
      <c r="HB30" s="496"/>
      <c r="HC30" s="497">
        <f t="shared" si="68"/>
        <v>0</v>
      </c>
      <c r="HD30" s="498">
        <f t="shared" si="179"/>
        <v>0</v>
      </c>
      <c r="HE30" s="496"/>
      <c r="HF30" s="497">
        <f t="shared" si="69"/>
        <v>0</v>
      </c>
      <c r="HG30" s="498">
        <f t="shared" si="180"/>
        <v>0</v>
      </c>
      <c r="HH30" s="496"/>
      <c r="HI30" s="497">
        <f t="shared" si="70"/>
        <v>0</v>
      </c>
      <c r="HJ30" s="498">
        <f t="shared" si="181"/>
        <v>0</v>
      </c>
      <c r="HK30" s="496"/>
      <c r="HL30" s="497">
        <f t="shared" si="71"/>
        <v>0</v>
      </c>
      <c r="HM30" s="498">
        <f t="shared" si="182"/>
        <v>0</v>
      </c>
      <c r="HN30" s="496"/>
      <c r="HO30" s="497">
        <f t="shared" si="72"/>
        <v>0</v>
      </c>
      <c r="HP30" s="498">
        <f t="shared" si="183"/>
        <v>0</v>
      </c>
      <c r="HQ30" s="496"/>
      <c r="HR30" s="497">
        <f t="shared" si="73"/>
        <v>0</v>
      </c>
      <c r="HS30" s="498">
        <f t="shared" si="184"/>
        <v>0</v>
      </c>
      <c r="HT30" s="496"/>
      <c r="HU30" s="497">
        <f t="shared" si="74"/>
        <v>0</v>
      </c>
      <c r="HV30" s="498">
        <f t="shared" si="185"/>
        <v>0</v>
      </c>
      <c r="HW30" s="496"/>
      <c r="HX30" s="497">
        <f t="shared" si="75"/>
        <v>0</v>
      </c>
      <c r="HY30" s="498">
        <f t="shared" si="186"/>
        <v>0</v>
      </c>
      <c r="HZ30" s="496"/>
      <c r="IA30" s="497">
        <f t="shared" si="76"/>
        <v>0</v>
      </c>
      <c r="IB30" s="498">
        <f t="shared" si="187"/>
        <v>0</v>
      </c>
      <c r="IC30" s="496"/>
      <c r="ID30" s="497">
        <f t="shared" si="77"/>
        <v>0</v>
      </c>
      <c r="IE30" s="498">
        <f t="shared" si="188"/>
        <v>0</v>
      </c>
      <c r="IF30" s="496"/>
      <c r="IG30" s="497">
        <f t="shared" si="78"/>
        <v>0</v>
      </c>
      <c r="IH30" s="498">
        <f t="shared" si="189"/>
        <v>0</v>
      </c>
      <c r="II30" s="496"/>
      <c r="IJ30" s="497">
        <f t="shared" si="79"/>
        <v>0</v>
      </c>
      <c r="IK30" s="498">
        <f t="shared" si="190"/>
        <v>0</v>
      </c>
      <c r="IL30" s="496"/>
      <c r="IM30" s="497">
        <f t="shared" si="80"/>
        <v>0</v>
      </c>
      <c r="IN30" s="498">
        <f t="shared" si="191"/>
        <v>0</v>
      </c>
      <c r="IO30" s="496"/>
      <c r="IP30" s="497">
        <f t="shared" si="81"/>
        <v>0</v>
      </c>
      <c r="IQ30" s="498">
        <f t="shared" si="192"/>
        <v>0</v>
      </c>
      <c r="IR30" s="496"/>
      <c r="IS30" s="497">
        <f t="shared" si="82"/>
        <v>0</v>
      </c>
      <c r="IT30" s="498">
        <f t="shared" si="193"/>
        <v>0</v>
      </c>
      <c r="IU30" s="496"/>
      <c r="IV30" s="497">
        <f t="shared" si="83"/>
        <v>0</v>
      </c>
      <c r="IW30" s="498">
        <f t="shared" si="194"/>
        <v>0</v>
      </c>
      <c r="IX30" s="496"/>
      <c r="IY30" s="497">
        <f t="shared" si="84"/>
        <v>0</v>
      </c>
      <c r="IZ30" s="498">
        <f t="shared" si="195"/>
        <v>0</v>
      </c>
      <c r="JA30" s="496"/>
      <c r="JB30" s="497">
        <f t="shared" si="85"/>
        <v>0</v>
      </c>
      <c r="JC30" s="498">
        <f t="shared" si="196"/>
        <v>0</v>
      </c>
      <c r="JD30" s="496"/>
      <c r="JE30" s="497">
        <f t="shared" si="86"/>
        <v>0</v>
      </c>
      <c r="JF30" s="498">
        <f t="shared" si="197"/>
        <v>0</v>
      </c>
      <c r="JG30" s="496"/>
      <c r="JH30" s="497">
        <f t="shared" si="87"/>
        <v>0</v>
      </c>
      <c r="JI30" s="498">
        <f t="shared" si="198"/>
        <v>0</v>
      </c>
      <c r="JJ30" s="496"/>
      <c r="JK30" s="498" t="str">
        <f t="shared" si="88"/>
        <v>0</v>
      </c>
      <c r="JL30" s="498" t="str">
        <f t="shared" si="89"/>
        <v>0</v>
      </c>
      <c r="JM30" s="496"/>
      <c r="JN30" s="498" t="str">
        <f t="shared" si="90"/>
        <v>0</v>
      </c>
      <c r="JO30" s="498" t="str">
        <f t="shared" si="91"/>
        <v>0</v>
      </c>
      <c r="JP30" s="496"/>
      <c r="JQ30" s="498" t="str">
        <f t="shared" si="92"/>
        <v>0</v>
      </c>
      <c r="JR30" s="498" t="str">
        <f t="shared" si="93"/>
        <v>0</v>
      </c>
      <c r="JS30" s="496"/>
      <c r="JT30" s="498" t="str">
        <f t="shared" si="94"/>
        <v>0</v>
      </c>
      <c r="JU30" s="498" t="str">
        <f t="shared" si="95"/>
        <v>0</v>
      </c>
      <c r="JV30" s="496"/>
      <c r="JW30" s="498" t="str">
        <f t="shared" si="96"/>
        <v>0</v>
      </c>
      <c r="JX30" s="498" t="str">
        <f t="shared" si="97"/>
        <v>0</v>
      </c>
      <c r="JY30" s="496"/>
      <c r="JZ30" s="498" t="str">
        <f t="shared" si="98"/>
        <v>0</v>
      </c>
      <c r="KA30" s="498" t="str">
        <f t="shared" si="99"/>
        <v>0</v>
      </c>
      <c r="KB30" s="496"/>
      <c r="KC30" s="498" t="str">
        <f t="shared" si="100"/>
        <v>0</v>
      </c>
      <c r="KD30" s="498" t="str">
        <f t="shared" si="101"/>
        <v>0</v>
      </c>
      <c r="KE30" s="496"/>
      <c r="KF30" s="498" t="str">
        <f t="shared" si="102"/>
        <v>0</v>
      </c>
      <c r="KG30" s="498" t="str">
        <f t="shared" si="103"/>
        <v>0</v>
      </c>
      <c r="KH30" s="496"/>
      <c r="KI30" s="498" t="str">
        <f t="shared" si="104"/>
        <v>0</v>
      </c>
      <c r="KJ30" s="498" t="str">
        <f t="shared" si="105"/>
        <v>0</v>
      </c>
      <c r="KK30" s="496"/>
      <c r="KL30" s="498" t="str">
        <f t="shared" si="106"/>
        <v>0</v>
      </c>
      <c r="KM30" s="498" t="str">
        <f t="shared" si="107"/>
        <v>0</v>
      </c>
      <c r="KN30" s="496"/>
      <c r="KO30" s="498" t="str">
        <f t="shared" si="108"/>
        <v>0</v>
      </c>
      <c r="KP30" s="498" t="str">
        <f t="shared" si="109"/>
        <v>0</v>
      </c>
      <c r="KQ30" s="496"/>
      <c r="KR30" s="498" t="str">
        <f t="shared" si="110"/>
        <v>0</v>
      </c>
      <c r="KS30" s="498" t="str">
        <f t="shared" si="111"/>
        <v>0</v>
      </c>
      <c r="KT30" s="498">
        <f t="shared" si="201"/>
        <v>0</v>
      </c>
      <c r="KU30" s="498">
        <f t="shared" si="202"/>
        <v>0</v>
      </c>
      <c r="KV30" s="262">
        <f t="shared" si="199"/>
        <v>504.56349338854653</v>
      </c>
    </row>
    <row r="31" spans="1:308" ht="15" customHeight="1">
      <c r="A31" s="264">
        <f t="shared" si="200"/>
        <v>46013</v>
      </c>
      <c r="B31" s="265" t="str">
        <f>+Report1!B30</f>
        <v>Toilet</v>
      </c>
      <c r="C31" s="392" t="str">
        <f>+Report1!C30</f>
        <v>15/13,5</v>
      </c>
      <c r="D31" s="266">
        <f>+Report1!P30</f>
        <v>54.656000000000006</v>
      </c>
      <c r="E31" s="267">
        <f>+Report1!R30</f>
        <v>55.546999999999997</v>
      </c>
      <c r="F31" s="496"/>
      <c r="G31" s="497">
        <f t="shared" si="0"/>
        <v>0</v>
      </c>
      <c r="H31" s="498">
        <f t="shared" si="112"/>
        <v>0</v>
      </c>
      <c r="I31" s="496">
        <v>186.04710232558136</v>
      </c>
      <c r="J31" s="497">
        <f t="shared" si="1"/>
        <v>3.3493636438616194</v>
      </c>
      <c r="K31" s="498">
        <f t="shared" si="113"/>
        <v>0</v>
      </c>
      <c r="L31" s="496"/>
      <c r="M31" s="497">
        <f t="shared" si="2"/>
        <v>0</v>
      </c>
      <c r="N31" s="498">
        <f t="shared" si="114"/>
        <v>0</v>
      </c>
      <c r="O31" s="496">
        <v>11.999999999999972</v>
      </c>
      <c r="P31" s="497">
        <f t="shared" si="3"/>
        <v>0.2160332691234445</v>
      </c>
      <c r="Q31" s="498">
        <f t="shared" si="115"/>
        <v>0</v>
      </c>
      <c r="R31" s="496">
        <v>10.249999999999993</v>
      </c>
      <c r="S31" s="497">
        <f t="shared" si="4"/>
        <v>0.18452841737627582</v>
      </c>
      <c r="T31" s="498">
        <f t="shared" si="116"/>
        <v>0</v>
      </c>
      <c r="U31" s="496">
        <v>4.6874999999999716</v>
      </c>
      <c r="V31" s="497">
        <f t="shared" si="5"/>
        <v>8.4387995751345202E-2</v>
      </c>
      <c r="W31" s="498">
        <f t="shared" si="117"/>
        <v>0</v>
      </c>
      <c r="X31" s="496"/>
      <c r="Y31" s="497">
        <f t="shared" si="6"/>
        <v>0</v>
      </c>
      <c r="Z31" s="498">
        <f t="shared" si="118"/>
        <v>0</v>
      </c>
      <c r="AA31" s="496"/>
      <c r="AB31" s="497">
        <f t="shared" si="7"/>
        <v>0</v>
      </c>
      <c r="AC31" s="498">
        <f t="shared" si="119"/>
        <v>0</v>
      </c>
      <c r="AD31" s="496"/>
      <c r="AE31" s="497">
        <f t="shared" si="8"/>
        <v>0</v>
      </c>
      <c r="AF31" s="498">
        <f t="shared" si="120"/>
        <v>0</v>
      </c>
      <c r="AG31" s="496"/>
      <c r="AH31" s="497">
        <f t="shared" si="9"/>
        <v>0</v>
      </c>
      <c r="AI31" s="498">
        <f t="shared" si="121"/>
        <v>0</v>
      </c>
      <c r="AJ31" s="496"/>
      <c r="AK31" s="497">
        <f t="shared" si="10"/>
        <v>0</v>
      </c>
      <c r="AL31" s="498">
        <f t="shared" si="122"/>
        <v>0</v>
      </c>
      <c r="AM31" s="496"/>
      <c r="AN31" s="497">
        <f t="shared" si="11"/>
        <v>0</v>
      </c>
      <c r="AO31" s="498">
        <f t="shared" si="123"/>
        <v>0</v>
      </c>
      <c r="AP31" s="496">
        <v>74.99831538461541</v>
      </c>
      <c r="AQ31" s="497">
        <f t="shared" si="12"/>
        <v>1.3501776042741356</v>
      </c>
      <c r="AR31" s="498">
        <f t="shared" si="124"/>
        <v>0</v>
      </c>
      <c r="AS31" s="496"/>
      <c r="AT31" s="497">
        <f t="shared" si="13"/>
        <v>0</v>
      </c>
      <c r="AU31" s="498">
        <f t="shared" si="125"/>
        <v>0</v>
      </c>
      <c r="AV31" s="496">
        <v>2.7749999999999773</v>
      </c>
      <c r="AW31" s="497">
        <f t="shared" si="14"/>
        <v>4.9957693484796249E-2</v>
      </c>
      <c r="AX31" s="498">
        <f t="shared" si="126"/>
        <v>0</v>
      </c>
      <c r="AY31" s="496">
        <v>51.329600000000084</v>
      </c>
      <c r="AZ31" s="497">
        <f t="shared" si="15"/>
        <v>0.92407510756656686</v>
      </c>
      <c r="BA31" s="498">
        <f t="shared" si="127"/>
        <v>0</v>
      </c>
      <c r="BB31" s="496"/>
      <c r="BC31" s="497">
        <f t="shared" si="16"/>
        <v>0</v>
      </c>
      <c r="BD31" s="498">
        <f t="shared" si="128"/>
        <v>0</v>
      </c>
      <c r="BE31" s="496"/>
      <c r="BF31" s="497">
        <f t="shared" si="17"/>
        <v>0</v>
      </c>
      <c r="BG31" s="498">
        <f t="shared" si="129"/>
        <v>0</v>
      </c>
      <c r="BH31" s="496"/>
      <c r="BI31" s="497">
        <f t="shared" si="18"/>
        <v>0</v>
      </c>
      <c r="BJ31" s="498">
        <f t="shared" si="130"/>
        <v>0</v>
      </c>
      <c r="BK31" s="496"/>
      <c r="BL31" s="497">
        <f t="shared" si="19"/>
        <v>0</v>
      </c>
      <c r="BM31" s="498">
        <f t="shared" si="131"/>
        <v>0</v>
      </c>
      <c r="BN31" s="496">
        <v>25.308641975308603</v>
      </c>
      <c r="BO31" s="497">
        <f t="shared" si="20"/>
        <v>0.45562572191673006</v>
      </c>
      <c r="BP31" s="498">
        <f t="shared" si="132"/>
        <v>0</v>
      </c>
      <c r="BQ31" s="496">
        <v>56.410256410256409</v>
      </c>
      <c r="BR31" s="497">
        <f t="shared" si="21"/>
        <v>1.0155410086999552</v>
      </c>
      <c r="BS31" s="498">
        <f t="shared" si="133"/>
        <v>0</v>
      </c>
      <c r="BT31" s="496"/>
      <c r="BU31" s="497">
        <f t="shared" si="22"/>
        <v>0</v>
      </c>
      <c r="BV31" s="498">
        <f t="shared" si="134"/>
        <v>0</v>
      </c>
      <c r="BW31" s="496"/>
      <c r="BX31" s="497">
        <f t="shared" si="23"/>
        <v>0</v>
      </c>
      <c r="BY31" s="498">
        <f t="shared" si="135"/>
        <v>0</v>
      </c>
      <c r="BZ31" s="496"/>
      <c r="CA31" s="497">
        <f t="shared" si="24"/>
        <v>0</v>
      </c>
      <c r="CB31" s="498">
        <f t="shared" si="136"/>
        <v>0</v>
      </c>
      <c r="CC31" s="496">
        <v>0</v>
      </c>
      <c r="CD31" s="497">
        <f t="shared" si="25"/>
        <v>0</v>
      </c>
      <c r="CE31" s="498">
        <f t="shared" si="137"/>
        <v>0</v>
      </c>
      <c r="CF31" s="496">
        <v>7.2000000000000055</v>
      </c>
      <c r="CG31" s="497">
        <f t="shared" si="26"/>
        <v>0.12961996147406712</v>
      </c>
      <c r="CH31" s="498">
        <f t="shared" si="138"/>
        <v>0</v>
      </c>
      <c r="CI31" s="496"/>
      <c r="CJ31" s="497">
        <f t="shared" si="27"/>
        <v>0</v>
      </c>
      <c r="CK31" s="498">
        <f t="shared" si="139"/>
        <v>0</v>
      </c>
      <c r="CL31" s="496"/>
      <c r="CM31" s="497">
        <f t="shared" si="28"/>
        <v>0</v>
      </c>
      <c r="CN31" s="498">
        <f t="shared" si="140"/>
        <v>0</v>
      </c>
      <c r="CO31" s="496"/>
      <c r="CP31" s="497">
        <f t="shared" si="29"/>
        <v>0</v>
      </c>
      <c r="CQ31" s="498">
        <f t="shared" si="141"/>
        <v>0</v>
      </c>
      <c r="CR31" s="496"/>
      <c r="CS31" s="497">
        <f t="shared" si="30"/>
        <v>0</v>
      </c>
      <c r="CT31" s="498">
        <f t="shared" si="142"/>
        <v>0</v>
      </c>
      <c r="CU31" s="496"/>
      <c r="CV31" s="497">
        <f t="shared" si="31"/>
        <v>0</v>
      </c>
      <c r="CW31" s="498">
        <f t="shared" si="143"/>
        <v>0</v>
      </c>
      <c r="CX31" s="496"/>
      <c r="CY31" s="497">
        <f t="shared" si="32"/>
        <v>0</v>
      </c>
      <c r="CZ31" s="498">
        <f t="shared" si="144"/>
        <v>0</v>
      </c>
      <c r="DA31" s="496"/>
      <c r="DB31" s="497">
        <f t="shared" si="33"/>
        <v>0</v>
      </c>
      <c r="DC31" s="498">
        <f t="shared" si="145"/>
        <v>0</v>
      </c>
      <c r="DD31" s="496"/>
      <c r="DE31" s="497">
        <f t="shared" si="34"/>
        <v>0</v>
      </c>
      <c r="DF31" s="498">
        <f t="shared" si="146"/>
        <v>0</v>
      </c>
      <c r="DG31" s="496"/>
      <c r="DH31" s="497">
        <f t="shared" si="35"/>
        <v>0</v>
      </c>
      <c r="DI31" s="498">
        <f t="shared" si="203"/>
        <v>0</v>
      </c>
      <c r="DJ31" s="496"/>
      <c r="DK31" s="497">
        <f t="shared" si="36"/>
        <v>0</v>
      </c>
      <c r="DL31" s="498">
        <f t="shared" si="147"/>
        <v>0</v>
      </c>
      <c r="DM31" s="496"/>
      <c r="DN31" s="497">
        <f t="shared" si="37"/>
        <v>0</v>
      </c>
      <c r="DO31" s="498">
        <f t="shared" si="148"/>
        <v>0</v>
      </c>
      <c r="DP31" s="496"/>
      <c r="DQ31" s="497">
        <f t="shared" si="38"/>
        <v>0</v>
      </c>
      <c r="DR31" s="498">
        <f t="shared" si="149"/>
        <v>0</v>
      </c>
      <c r="DS31" s="496"/>
      <c r="DT31" s="497">
        <f t="shared" si="39"/>
        <v>0</v>
      </c>
      <c r="DU31" s="498">
        <f t="shared" si="150"/>
        <v>0</v>
      </c>
      <c r="DV31" s="496"/>
      <c r="DW31" s="497">
        <f t="shared" si="40"/>
        <v>0</v>
      </c>
      <c r="DX31" s="498">
        <f t="shared" si="151"/>
        <v>0</v>
      </c>
      <c r="DY31" s="496">
        <v>0</v>
      </c>
      <c r="DZ31" s="497">
        <f t="shared" si="41"/>
        <v>0</v>
      </c>
      <c r="EA31" s="498">
        <f t="shared" si="152"/>
        <v>0</v>
      </c>
      <c r="EB31" s="496">
        <v>21.802325581395365</v>
      </c>
      <c r="EC31" s="497">
        <f t="shared" si="42"/>
        <v>0.39250230582021289</v>
      </c>
      <c r="ED31" s="498">
        <f t="shared" si="153"/>
        <v>0</v>
      </c>
      <c r="EE31" s="496">
        <v>7</v>
      </c>
      <c r="EF31" s="497">
        <f t="shared" si="43"/>
        <v>0.12601940698867625</v>
      </c>
      <c r="EG31" s="498">
        <f t="shared" si="154"/>
        <v>0</v>
      </c>
      <c r="EH31" s="496"/>
      <c r="EI31" s="497">
        <f t="shared" si="44"/>
        <v>0</v>
      </c>
      <c r="EJ31" s="498">
        <f t="shared" si="155"/>
        <v>0</v>
      </c>
      <c r="EK31" s="496"/>
      <c r="EL31" s="497">
        <f t="shared" si="45"/>
        <v>0</v>
      </c>
      <c r="EM31" s="498">
        <f t="shared" si="156"/>
        <v>0</v>
      </c>
      <c r="EN31" s="496"/>
      <c r="EO31" s="497">
        <f t="shared" si="46"/>
        <v>0</v>
      </c>
      <c r="EP31" s="498">
        <f t="shared" si="157"/>
        <v>0</v>
      </c>
      <c r="EQ31" s="496"/>
      <c r="ER31" s="497">
        <f t="shared" si="47"/>
        <v>0</v>
      </c>
      <c r="ES31" s="498">
        <f t="shared" si="158"/>
        <v>0</v>
      </c>
      <c r="ET31" s="496"/>
      <c r="EU31" s="497">
        <f t="shared" si="48"/>
        <v>0</v>
      </c>
      <c r="EV31" s="498">
        <f t="shared" si="159"/>
        <v>0</v>
      </c>
      <c r="EW31" s="496"/>
      <c r="EX31" s="497">
        <f t="shared" si="49"/>
        <v>0</v>
      </c>
      <c r="EY31" s="498">
        <f t="shared" si="160"/>
        <v>0</v>
      </c>
      <c r="EZ31" s="496"/>
      <c r="FA31" s="497">
        <f t="shared" si="50"/>
        <v>0</v>
      </c>
      <c r="FB31" s="498">
        <f t="shared" si="161"/>
        <v>0</v>
      </c>
      <c r="FC31" s="496"/>
      <c r="FD31" s="497">
        <f t="shared" si="51"/>
        <v>0</v>
      </c>
      <c r="FE31" s="498">
        <f t="shared" si="162"/>
        <v>0</v>
      </c>
      <c r="FF31" s="496"/>
      <c r="FG31" s="497">
        <f t="shared" si="52"/>
        <v>0</v>
      </c>
      <c r="FH31" s="498">
        <f t="shared" si="163"/>
        <v>0</v>
      </c>
      <c r="FI31" s="496"/>
      <c r="FJ31" s="497">
        <f t="shared" si="53"/>
        <v>0</v>
      </c>
      <c r="FK31" s="498">
        <f t="shared" si="164"/>
        <v>0</v>
      </c>
      <c r="FL31" s="496"/>
      <c r="FM31" s="497">
        <f t="shared" si="54"/>
        <v>0</v>
      </c>
      <c r="FN31" s="498">
        <f t="shared" si="165"/>
        <v>0</v>
      </c>
      <c r="FO31" s="496"/>
      <c r="FP31" s="497">
        <f t="shared" si="55"/>
        <v>0</v>
      </c>
      <c r="FQ31" s="498">
        <f t="shared" si="166"/>
        <v>0</v>
      </c>
      <c r="FR31" s="496"/>
      <c r="FS31" s="497">
        <f t="shared" si="56"/>
        <v>0</v>
      </c>
      <c r="FT31" s="498">
        <f t="shared" si="167"/>
        <v>0</v>
      </c>
      <c r="FU31" s="496"/>
      <c r="FV31" s="497">
        <f t="shared" si="57"/>
        <v>0</v>
      </c>
      <c r="FW31" s="498">
        <f t="shared" si="168"/>
        <v>0</v>
      </c>
      <c r="FX31" s="496"/>
      <c r="FY31" s="497">
        <f t="shared" si="58"/>
        <v>0</v>
      </c>
      <c r="FZ31" s="498">
        <f t="shared" si="169"/>
        <v>0</v>
      </c>
      <c r="GA31" s="496"/>
      <c r="GB31" s="497">
        <f t="shared" si="59"/>
        <v>0</v>
      </c>
      <c r="GC31" s="498">
        <f t="shared" si="170"/>
        <v>0</v>
      </c>
      <c r="GD31" s="496"/>
      <c r="GE31" s="497">
        <f t="shared" si="60"/>
        <v>0</v>
      </c>
      <c r="GF31" s="498">
        <f t="shared" si="171"/>
        <v>0</v>
      </c>
      <c r="GG31" s="496"/>
      <c r="GH31" s="497">
        <f t="shared" si="61"/>
        <v>0</v>
      </c>
      <c r="GI31" s="498">
        <f t="shared" si="172"/>
        <v>0</v>
      </c>
      <c r="GJ31" s="496"/>
      <c r="GK31" s="497">
        <f t="shared" si="62"/>
        <v>0</v>
      </c>
      <c r="GL31" s="498">
        <f t="shared" si="173"/>
        <v>0</v>
      </c>
      <c r="GM31" s="496"/>
      <c r="GN31" s="497">
        <f t="shared" si="63"/>
        <v>0</v>
      </c>
      <c r="GO31" s="498">
        <f t="shared" si="174"/>
        <v>0</v>
      </c>
      <c r="GP31" s="496"/>
      <c r="GQ31" s="497">
        <f t="shared" si="64"/>
        <v>0</v>
      </c>
      <c r="GR31" s="498">
        <f t="shared" si="175"/>
        <v>0</v>
      </c>
      <c r="GS31" s="496"/>
      <c r="GT31" s="497">
        <f t="shared" si="65"/>
        <v>0</v>
      </c>
      <c r="GU31" s="498">
        <f t="shared" si="176"/>
        <v>0</v>
      </c>
      <c r="GV31" s="496"/>
      <c r="GW31" s="497">
        <f t="shared" si="66"/>
        <v>0</v>
      </c>
      <c r="GX31" s="498">
        <f t="shared" si="177"/>
        <v>0</v>
      </c>
      <c r="GY31" s="496"/>
      <c r="GZ31" s="497">
        <f t="shared" si="67"/>
        <v>0</v>
      </c>
      <c r="HA31" s="498">
        <f t="shared" si="178"/>
        <v>0</v>
      </c>
      <c r="HB31" s="496"/>
      <c r="HC31" s="497">
        <f t="shared" si="68"/>
        <v>0</v>
      </c>
      <c r="HD31" s="498">
        <f t="shared" si="179"/>
        <v>0</v>
      </c>
      <c r="HE31" s="496"/>
      <c r="HF31" s="497">
        <f t="shared" si="69"/>
        <v>0</v>
      </c>
      <c r="HG31" s="498">
        <f t="shared" si="180"/>
        <v>0</v>
      </c>
      <c r="HH31" s="496"/>
      <c r="HI31" s="497">
        <f t="shared" si="70"/>
        <v>0</v>
      </c>
      <c r="HJ31" s="498">
        <f t="shared" si="181"/>
        <v>0</v>
      </c>
      <c r="HK31" s="496"/>
      <c r="HL31" s="497">
        <f t="shared" si="71"/>
        <v>0</v>
      </c>
      <c r="HM31" s="498">
        <f t="shared" si="182"/>
        <v>0</v>
      </c>
      <c r="HN31" s="496"/>
      <c r="HO31" s="497">
        <f t="shared" si="72"/>
        <v>0</v>
      </c>
      <c r="HP31" s="498">
        <f t="shared" si="183"/>
        <v>0</v>
      </c>
      <c r="HQ31" s="496"/>
      <c r="HR31" s="497">
        <f t="shared" si="73"/>
        <v>0</v>
      </c>
      <c r="HS31" s="498">
        <f t="shared" si="184"/>
        <v>0</v>
      </c>
      <c r="HT31" s="496"/>
      <c r="HU31" s="497">
        <f t="shared" si="74"/>
        <v>0</v>
      </c>
      <c r="HV31" s="498">
        <f t="shared" si="185"/>
        <v>0</v>
      </c>
      <c r="HW31" s="496"/>
      <c r="HX31" s="497">
        <f t="shared" si="75"/>
        <v>0</v>
      </c>
      <c r="HY31" s="498">
        <f t="shared" si="186"/>
        <v>0</v>
      </c>
      <c r="HZ31" s="496"/>
      <c r="IA31" s="497">
        <f t="shared" si="76"/>
        <v>0</v>
      </c>
      <c r="IB31" s="498">
        <f t="shared" si="187"/>
        <v>0</v>
      </c>
      <c r="IC31" s="496"/>
      <c r="ID31" s="497">
        <f t="shared" si="77"/>
        <v>0</v>
      </c>
      <c r="IE31" s="498">
        <f t="shared" si="188"/>
        <v>0</v>
      </c>
      <c r="IF31" s="496"/>
      <c r="IG31" s="497">
        <f t="shared" si="78"/>
        <v>0</v>
      </c>
      <c r="IH31" s="498">
        <f t="shared" si="189"/>
        <v>0</v>
      </c>
      <c r="II31" s="496"/>
      <c r="IJ31" s="497">
        <f t="shared" si="79"/>
        <v>0</v>
      </c>
      <c r="IK31" s="498">
        <f t="shared" si="190"/>
        <v>0</v>
      </c>
      <c r="IL31" s="496"/>
      <c r="IM31" s="497">
        <f t="shared" si="80"/>
        <v>0</v>
      </c>
      <c r="IN31" s="498">
        <f t="shared" si="191"/>
        <v>0</v>
      </c>
      <c r="IO31" s="496"/>
      <c r="IP31" s="497">
        <f t="shared" si="81"/>
        <v>0</v>
      </c>
      <c r="IQ31" s="498">
        <f t="shared" si="192"/>
        <v>0</v>
      </c>
      <c r="IR31" s="496"/>
      <c r="IS31" s="497">
        <f t="shared" si="82"/>
        <v>0</v>
      </c>
      <c r="IT31" s="498">
        <f t="shared" si="193"/>
        <v>0</v>
      </c>
      <c r="IU31" s="496"/>
      <c r="IV31" s="497">
        <f t="shared" si="83"/>
        <v>0</v>
      </c>
      <c r="IW31" s="498">
        <f t="shared" si="194"/>
        <v>0</v>
      </c>
      <c r="IX31" s="496"/>
      <c r="IY31" s="497">
        <f t="shared" si="84"/>
        <v>0</v>
      </c>
      <c r="IZ31" s="498">
        <f t="shared" si="195"/>
        <v>0</v>
      </c>
      <c r="JA31" s="496"/>
      <c r="JB31" s="497">
        <f t="shared" si="85"/>
        <v>0</v>
      </c>
      <c r="JC31" s="498">
        <f t="shared" si="196"/>
        <v>0</v>
      </c>
      <c r="JD31" s="496"/>
      <c r="JE31" s="497">
        <f t="shared" si="86"/>
        <v>0</v>
      </c>
      <c r="JF31" s="498">
        <f t="shared" si="197"/>
        <v>0</v>
      </c>
      <c r="JG31" s="496"/>
      <c r="JH31" s="497">
        <f t="shared" si="87"/>
        <v>0</v>
      </c>
      <c r="JI31" s="498">
        <f t="shared" si="198"/>
        <v>0</v>
      </c>
      <c r="JJ31" s="496"/>
      <c r="JK31" s="498" t="str">
        <f t="shared" si="88"/>
        <v>0</v>
      </c>
      <c r="JL31" s="498" t="str">
        <f t="shared" si="89"/>
        <v>0</v>
      </c>
      <c r="JM31" s="496"/>
      <c r="JN31" s="498" t="str">
        <f t="shared" si="90"/>
        <v>0</v>
      </c>
      <c r="JO31" s="498" t="str">
        <f t="shared" si="91"/>
        <v>0</v>
      </c>
      <c r="JP31" s="496"/>
      <c r="JQ31" s="498" t="str">
        <f t="shared" si="92"/>
        <v>0</v>
      </c>
      <c r="JR31" s="498" t="str">
        <f t="shared" si="93"/>
        <v>0</v>
      </c>
      <c r="JS31" s="496"/>
      <c r="JT31" s="498" t="str">
        <f t="shared" si="94"/>
        <v>0</v>
      </c>
      <c r="JU31" s="498" t="str">
        <f t="shared" si="95"/>
        <v>0</v>
      </c>
      <c r="JV31" s="496"/>
      <c r="JW31" s="498" t="str">
        <f t="shared" si="96"/>
        <v>0</v>
      </c>
      <c r="JX31" s="498" t="str">
        <f t="shared" si="97"/>
        <v>0</v>
      </c>
      <c r="JY31" s="496"/>
      <c r="JZ31" s="498" t="str">
        <f t="shared" si="98"/>
        <v>0</v>
      </c>
      <c r="KA31" s="498" t="str">
        <f t="shared" si="99"/>
        <v>0</v>
      </c>
      <c r="KB31" s="496"/>
      <c r="KC31" s="498" t="str">
        <f t="shared" si="100"/>
        <v>0</v>
      </c>
      <c r="KD31" s="498" t="str">
        <f t="shared" si="101"/>
        <v>0</v>
      </c>
      <c r="KE31" s="496"/>
      <c r="KF31" s="498" t="str">
        <f t="shared" si="102"/>
        <v>0</v>
      </c>
      <c r="KG31" s="498" t="str">
        <f t="shared" si="103"/>
        <v>0</v>
      </c>
      <c r="KH31" s="496"/>
      <c r="KI31" s="498" t="str">
        <f t="shared" si="104"/>
        <v>0</v>
      </c>
      <c r="KJ31" s="498" t="str">
        <f t="shared" si="105"/>
        <v>0</v>
      </c>
      <c r="KK31" s="496"/>
      <c r="KL31" s="498" t="str">
        <f t="shared" si="106"/>
        <v>0</v>
      </c>
      <c r="KM31" s="498" t="str">
        <f t="shared" si="107"/>
        <v>0</v>
      </c>
      <c r="KN31" s="496"/>
      <c r="KO31" s="498" t="str">
        <f t="shared" si="108"/>
        <v>0</v>
      </c>
      <c r="KP31" s="498" t="str">
        <f t="shared" si="109"/>
        <v>0</v>
      </c>
      <c r="KQ31" s="496"/>
      <c r="KR31" s="498" t="str">
        <f t="shared" si="110"/>
        <v>0</v>
      </c>
      <c r="KS31" s="498" t="str">
        <f t="shared" si="111"/>
        <v>0</v>
      </c>
      <c r="KT31" s="498">
        <f t="shared" si="201"/>
        <v>0</v>
      </c>
      <c r="KU31" s="498">
        <f t="shared" si="202"/>
        <v>0</v>
      </c>
      <c r="KV31" s="262">
        <f t="shared" si="199"/>
        <v>459.80874167715717</v>
      </c>
    </row>
    <row r="32" spans="1:308" ht="15" customHeight="1">
      <c r="A32" s="264">
        <f t="shared" si="200"/>
        <v>46014</v>
      </c>
      <c r="B32" s="265" t="str">
        <f>+Report1!B31</f>
        <v>Toilet</v>
      </c>
      <c r="C32" s="392" t="str">
        <f>+Report1!C31</f>
        <v>13,5/14,5</v>
      </c>
      <c r="D32" s="266">
        <f>+Report1!P31</f>
        <v>53.445999999999998</v>
      </c>
      <c r="E32" s="267">
        <f>+Report1!R31</f>
        <v>50.734999999999999</v>
      </c>
      <c r="F32" s="496"/>
      <c r="G32" s="497">
        <f t="shared" si="0"/>
        <v>0</v>
      </c>
      <c r="H32" s="498">
        <f t="shared" si="112"/>
        <v>0</v>
      </c>
      <c r="I32" s="496">
        <v>0</v>
      </c>
      <c r="J32" s="497">
        <f t="shared" si="1"/>
        <v>0</v>
      </c>
      <c r="K32" s="498">
        <f t="shared" si="113"/>
        <v>0</v>
      </c>
      <c r="L32" s="496"/>
      <c r="M32" s="497">
        <f t="shared" si="2"/>
        <v>0</v>
      </c>
      <c r="N32" s="498">
        <f t="shared" si="114"/>
        <v>0</v>
      </c>
      <c r="O32" s="496">
        <v>9</v>
      </c>
      <c r="P32" s="497">
        <f t="shared" si="3"/>
        <v>0.17739233270917512</v>
      </c>
      <c r="Q32" s="498">
        <f t="shared" si="115"/>
        <v>0</v>
      </c>
      <c r="R32" s="496">
        <v>7.6875000000000071</v>
      </c>
      <c r="S32" s="497">
        <f t="shared" si="4"/>
        <v>0.15152261752242055</v>
      </c>
      <c r="T32" s="498">
        <f t="shared" si="116"/>
        <v>0</v>
      </c>
      <c r="U32" s="496">
        <v>3.125</v>
      </c>
      <c r="V32" s="497">
        <f t="shared" si="5"/>
        <v>6.1594559968463587E-2</v>
      </c>
      <c r="W32" s="498">
        <f t="shared" si="117"/>
        <v>0</v>
      </c>
      <c r="X32" s="496"/>
      <c r="Y32" s="497">
        <f t="shared" si="6"/>
        <v>0</v>
      </c>
      <c r="Z32" s="498">
        <f t="shared" si="118"/>
        <v>0</v>
      </c>
      <c r="AA32" s="496"/>
      <c r="AB32" s="497">
        <f t="shared" si="7"/>
        <v>0</v>
      </c>
      <c r="AC32" s="498">
        <f t="shared" si="119"/>
        <v>0</v>
      </c>
      <c r="AD32" s="496"/>
      <c r="AE32" s="497">
        <f t="shared" si="8"/>
        <v>0</v>
      </c>
      <c r="AF32" s="498">
        <f t="shared" si="120"/>
        <v>0</v>
      </c>
      <c r="AG32" s="496"/>
      <c r="AH32" s="497">
        <f t="shared" si="9"/>
        <v>0</v>
      </c>
      <c r="AI32" s="498">
        <f t="shared" si="121"/>
        <v>0</v>
      </c>
      <c r="AJ32" s="496"/>
      <c r="AK32" s="497">
        <f t="shared" si="10"/>
        <v>0</v>
      </c>
      <c r="AL32" s="498">
        <f t="shared" si="122"/>
        <v>0</v>
      </c>
      <c r="AM32" s="496"/>
      <c r="AN32" s="497">
        <f t="shared" si="11"/>
        <v>0</v>
      </c>
      <c r="AO32" s="498">
        <f t="shared" si="123"/>
        <v>0</v>
      </c>
      <c r="AP32" s="496">
        <v>28.846153846153811</v>
      </c>
      <c r="AQ32" s="497">
        <f t="shared" si="12"/>
        <v>0.56856516893966313</v>
      </c>
      <c r="AR32" s="498">
        <f t="shared" si="124"/>
        <v>0</v>
      </c>
      <c r="AS32" s="496"/>
      <c r="AT32" s="497">
        <f t="shared" si="13"/>
        <v>0</v>
      </c>
      <c r="AU32" s="498">
        <f t="shared" si="125"/>
        <v>0</v>
      </c>
      <c r="AV32" s="496">
        <v>2.7750000000000341</v>
      </c>
      <c r="AW32" s="497">
        <f t="shared" si="14"/>
        <v>5.4695969251996338E-2</v>
      </c>
      <c r="AX32" s="498">
        <f t="shared" si="126"/>
        <v>0</v>
      </c>
      <c r="AY32" s="496">
        <v>42.000000000000114</v>
      </c>
      <c r="AZ32" s="497">
        <f t="shared" si="15"/>
        <v>0.82783088597615284</v>
      </c>
      <c r="BA32" s="498">
        <f t="shared" si="127"/>
        <v>0</v>
      </c>
      <c r="BB32" s="496"/>
      <c r="BC32" s="497">
        <f t="shared" si="16"/>
        <v>0</v>
      </c>
      <c r="BD32" s="498">
        <f t="shared" si="128"/>
        <v>0</v>
      </c>
      <c r="BE32" s="496"/>
      <c r="BF32" s="497">
        <f t="shared" si="17"/>
        <v>0</v>
      </c>
      <c r="BG32" s="498">
        <f t="shared" si="129"/>
        <v>0</v>
      </c>
      <c r="BH32" s="496"/>
      <c r="BI32" s="497">
        <f t="shared" si="18"/>
        <v>0</v>
      </c>
      <c r="BJ32" s="498">
        <f t="shared" si="130"/>
        <v>0</v>
      </c>
      <c r="BK32" s="496"/>
      <c r="BL32" s="497">
        <f t="shared" si="19"/>
        <v>0</v>
      </c>
      <c r="BM32" s="498">
        <f t="shared" si="131"/>
        <v>0</v>
      </c>
      <c r="BN32" s="496">
        <v>27.839506172839492</v>
      </c>
      <c r="BO32" s="497">
        <f t="shared" si="20"/>
        <v>0.54872388238571979</v>
      </c>
      <c r="BP32" s="498">
        <f t="shared" si="132"/>
        <v>0</v>
      </c>
      <c r="BQ32" s="496">
        <v>41.025641025641022</v>
      </c>
      <c r="BR32" s="497">
        <f t="shared" si="21"/>
        <v>0.80862601804752188</v>
      </c>
      <c r="BS32" s="498">
        <f t="shared" si="133"/>
        <v>0</v>
      </c>
      <c r="BT32" s="496"/>
      <c r="BU32" s="497">
        <f t="shared" si="22"/>
        <v>0</v>
      </c>
      <c r="BV32" s="498">
        <f t="shared" si="134"/>
        <v>0</v>
      </c>
      <c r="BW32" s="496"/>
      <c r="BX32" s="497">
        <f t="shared" si="23"/>
        <v>0</v>
      </c>
      <c r="BY32" s="498">
        <f t="shared" si="135"/>
        <v>0</v>
      </c>
      <c r="BZ32" s="496"/>
      <c r="CA32" s="497">
        <f t="shared" si="24"/>
        <v>0</v>
      </c>
      <c r="CB32" s="498">
        <f t="shared" si="136"/>
        <v>0</v>
      </c>
      <c r="CC32" s="496">
        <v>0</v>
      </c>
      <c r="CD32" s="497">
        <f t="shared" si="25"/>
        <v>0</v>
      </c>
      <c r="CE32" s="498">
        <f t="shared" si="137"/>
        <v>0</v>
      </c>
      <c r="CF32" s="496">
        <v>7.1999999999999984</v>
      </c>
      <c r="CG32" s="497">
        <f t="shared" si="26"/>
        <v>0.14191386616734006</v>
      </c>
      <c r="CH32" s="498">
        <f t="shared" si="138"/>
        <v>0</v>
      </c>
      <c r="CI32" s="496"/>
      <c r="CJ32" s="497">
        <f t="shared" si="27"/>
        <v>0</v>
      </c>
      <c r="CK32" s="498">
        <f t="shared" si="139"/>
        <v>0</v>
      </c>
      <c r="CL32" s="496"/>
      <c r="CM32" s="497">
        <f t="shared" si="28"/>
        <v>0</v>
      </c>
      <c r="CN32" s="498">
        <f t="shared" si="140"/>
        <v>0</v>
      </c>
      <c r="CO32" s="496"/>
      <c r="CP32" s="497">
        <f t="shared" si="29"/>
        <v>0</v>
      </c>
      <c r="CQ32" s="498">
        <f t="shared" si="141"/>
        <v>0</v>
      </c>
      <c r="CR32" s="496"/>
      <c r="CS32" s="497">
        <f t="shared" si="30"/>
        <v>0</v>
      </c>
      <c r="CT32" s="498">
        <f t="shared" si="142"/>
        <v>0</v>
      </c>
      <c r="CU32" s="496"/>
      <c r="CV32" s="497">
        <f t="shared" si="31"/>
        <v>0</v>
      </c>
      <c r="CW32" s="498">
        <f t="shared" si="143"/>
        <v>0</v>
      </c>
      <c r="CX32" s="496"/>
      <c r="CY32" s="497">
        <f t="shared" si="32"/>
        <v>0</v>
      </c>
      <c r="CZ32" s="498">
        <f t="shared" si="144"/>
        <v>0</v>
      </c>
      <c r="DA32" s="496"/>
      <c r="DB32" s="497">
        <f t="shared" si="33"/>
        <v>0</v>
      </c>
      <c r="DC32" s="498">
        <f t="shared" si="145"/>
        <v>0</v>
      </c>
      <c r="DD32" s="496"/>
      <c r="DE32" s="497">
        <f t="shared" si="34"/>
        <v>0</v>
      </c>
      <c r="DF32" s="498">
        <f t="shared" si="146"/>
        <v>0</v>
      </c>
      <c r="DG32" s="496"/>
      <c r="DH32" s="497">
        <f t="shared" si="35"/>
        <v>0</v>
      </c>
      <c r="DI32" s="498">
        <f t="shared" si="203"/>
        <v>0</v>
      </c>
      <c r="DJ32" s="496"/>
      <c r="DK32" s="497">
        <f t="shared" si="36"/>
        <v>0</v>
      </c>
      <c r="DL32" s="498">
        <f t="shared" si="147"/>
        <v>0</v>
      </c>
      <c r="DM32" s="496"/>
      <c r="DN32" s="497">
        <f t="shared" si="37"/>
        <v>0</v>
      </c>
      <c r="DO32" s="498">
        <f t="shared" si="148"/>
        <v>0</v>
      </c>
      <c r="DP32" s="496"/>
      <c r="DQ32" s="497">
        <f t="shared" si="38"/>
        <v>0</v>
      </c>
      <c r="DR32" s="498">
        <f t="shared" si="149"/>
        <v>0</v>
      </c>
      <c r="DS32" s="496"/>
      <c r="DT32" s="497">
        <f t="shared" si="39"/>
        <v>0</v>
      </c>
      <c r="DU32" s="498">
        <f t="shared" si="150"/>
        <v>0</v>
      </c>
      <c r="DV32" s="496"/>
      <c r="DW32" s="497">
        <f t="shared" si="40"/>
        <v>0</v>
      </c>
      <c r="DX32" s="498">
        <f t="shared" si="151"/>
        <v>0</v>
      </c>
      <c r="DY32" s="496">
        <v>0</v>
      </c>
      <c r="DZ32" s="497">
        <f t="shared" si="41"/>
        <v>0</v>
      </c>
      <c r="EA32" s="498">
        <f t="shared" si="152"/>
        <v>0</v>
      </c>
      <c r="EB32" s="496">
        <v>21.802325581395337</v>
      </c>
      <c r="EC32" s="497">
        <f t="shared" si="42"/>
        <v>0.42972948815207129</v>
      </c>
      <c r="ED32" s="498">
        <f t="shared" si="153"/>
        <v>0</v>
      </c>
      <c r="EE32" s="496">
        <v>8</v>
      </c>
      <c r="EF32" s="497">
        <f t="shared" si="43"/>
        <v>0.15768207351926677</v>
      </c>
      <c r="EG32" s="498">
        <f t="shared" si="154"/>
        <v>0</v>
      </c>
      <c r="EH32" s="496"/>
      <c r="EI32" s="497">
        <f t="shared" si="44"/>
        <v>0</v>
      </c>
      <c r="EJ32" s="498">
        <f t="shared" si="155"/>
        <v>0</v>
      </c>
      <c r="EK32" s="496"/>
      <c r="EL32" s="497">
        <f t="shared" si="45"/>
        <v>0</v>
      </c>
      <c r="EM32" s="498">
        <f t="shared" si="156"/>
        <v>0</v>
      </c>
      <c r="EN32" s="496"/>
      <c r="EO32" s="497">
        <f t="shared" si="46"/>
        <v>0</v>
      </c>
      <c r="EP32" s="498">
        <f t="shared" si="157"/>
        <v>0</v>
      </c>
      <c r="EQ32" s="496"/>
      <c r="ER32" s="497">
        <f t="shared" si="47"/>
        <v>0</v>
      </c>
      <c r="ES32" s="498">
        <f t="shared" si="158"/>
        <v>0</v>
      </c>
      <c r="ET32" s="496"/>
      <c r="EU32" s="497">
        <f t="shared" si="48"/>
        <v>0</v>
      </c>
      <c r="EV32" s="498">
        <f t="shared" si="159"/>
        <v>0</v>
      </c>
      <c r="EW32" s="496"/>
      <c r="EX32" s="497">
        <f t="shared" si="49"/>
        <v>0</v>
      </c>
      <c r="EY32" s="498">
        <f t="shared" si="160"/>
        <v>0</v>
      </c>
      <c r="EZ32" s="496"/>
      <c r="FA32" s="497">
        <f t="shared" si="50"/>
        <v>0</v>
      </c>
      <c r="FB32" s="498">
        <f t="shared" si="161"/>
        <v>0</v>
      </c>
      <c r="FC32" s="496"/>
      <c r="FD32" s="497">
        <f t="shared" si="51"/>
        <v>0</v>
      </c>
      <c r="FE32" s="498">
        <f t="shared" si="162"/>
        <v>0</v>
      </c>
      <c r="FF32" s="496"/>
      <c r="FG32" s="497">
        <f t="shared" si="52"/>
        <v>0</v>
      </c>
      <c r="FH32" s="498">
        <f t="shared" si="163"/>
        <v>0</v>
      </c>
      <c r="FI32" s="496"/>
      <c r="FJ32" s="497">
        <f t="shared" si="53"/>
        <v>0</v>
      </c>
      <c r="FK32" s="498">
        <f t="shared" si="164"/>
        <v>0</v>
      </c>
      <c r="FL32" s="496"/>
      <c r="FM32" s="497">
        <f t="shared" si="54"/>
        <v>0</v>
      </c>
      <c r="FN32" s="498">
        <f t="shared" si="165"/>
        <v>0</v>
      </c>
      <c r="FO32" s="496"/>
      <c r="FP32" s="497">
        <f t="shared" si="55"/>
        <v>0</v>
      </c>
      <c r="FQ32" s="498">
        <f t="shared" si="166"/>
        <v>0</v>
      </c>
      <c r="FR32" s="496"/>
      <c r="FS32" s="497">
        <f t="shared" si="56"/>
        <v>0</v>
      </c>
      <c r="FT32" s="498">
        <f t="shared" si="167"/>
        <v>0</v>
      </c>
      <c r="FU32" s="496"/>
      <c r="FV32" s="497">
        <f t="shared" si="57"/>
        <v>0</v>
      </c>
      <c r="FW32" s="498">
        <f t="shared" si="168"/>
        <v>0</v>
      </c>
      <c r="FX32" s="496"/>
      <c r="FY32" s="497">
        <f t="shared" si="58"/>
        <v>0</v>
      </c>
      <c r="FZ32" s="498">
        <f t="shared" si="169"/>
        <v>0</v>
      </c>
      <c r="GA32" s="496"/>
      <c r="GB32" s="497">
        <f t="shared" si="59"/>
        <v>0</v>
      </c>
      <c r="GC32" s="498">
        <f t="shared" si="170"/>
        <v>0</v>
      </c>
      <c r="GD32" s="496"/>
      <c r="GE32" s="497">
        <f t="shared" si="60"/>
        <v>0</v>
      </c>
      <c r="GF32" s="498">
        <f t="shared" si="171"/>
        <v>0</v>
      </c>
      <c r="GG32" s="496"/>
      <c r="GH32" s="497">
        <f t="shared" si="61"/>
        <v>0</v>
      </c>
      <c r="GI32" s="498">
        <f t="shared" si="172"/>
        <v>0</v>
      </c>
      <c r="GJ32" s="496"/>
      <c r="GK32" s="497">
        <f t="shared" si="62"/>
        <v>0</v>
      </c>
      <c r="GL32" s="498">
        <f t="shared" si="173"/>
        <v>0</v>
      </c>
      <c r="GM32" s="496"/>
      <c r="GN32" s="497">
        <f t="shared" si="63"/>
        <v>0</v>
      </c>
      <c r="GO32" s="498">
        <f t="shared" si="174"/>
        <v>0</v>
      </c>
      <c r="GP32" s="496"/>
      <c r="GQ32" s="497">
        <f t="shared" si="64"/>
        <v>0</v>
      </c>
      <c r="GR32" s="498">
        <f t="shared" si="175"/>
        <v>0</v>
      </c>
      <c r="GS32" s="496"/>
      <c r="GT32" s="497">
        <f t="shared" si="65"/>
        <v>0</v>
      </c>
      <c r="GU32" s="498">
        <f t="shared" si="176"/>
        <v>0</v>
      </c>
      <c r="GV32" s="496"/>
      <c r="GW32" s="497">
        <f t="shared" si="66"/>
        <v>0</v>
      </c>
      <c r="GX32" s="498">
        <f t="shared" si="177"/>
        <v>0</v>
      </c>
      <c r="GY32" s="496"/>
      <c r="GZ32" s="497">
        <f t="shared" si="67"/>
        <v>0</v>
      </c>
      <c r="HA32" s="498">
        <f t="shared" si="178"/>
        <v>0</v>
      </c>
      <c r="HB32" s="496"/>
      <c r="HC32" s="497">
        <f t="shared" si="68"/>
        <v>0</v>
      </c>
      <c r="HD32" s="498">
        <f t="shared" si="179"/>
        <v>0</v>
      </c>
      <c r="HE32" s="496"/>
      <c r="HF32" s="497">
        <f t="shared" si="69"/>
        <v>0</v>
      </c>
      <c r="HG32" s="498">
        <f t="shared" si="180"/>
        <v>0</v>
      </c>
      <c r="HH32" s="496"/>
      <c r="HI32" s="497">
        <f t="shared" si="70"/>
        <v>0</v>
      </c>
      <c r="HJ32" s="498">
        <f t="shared" si="181"/>
        <v>0</v>
      </c>
      <c r="HK32" s="496"/>
      <c r="HL32" s="497">
        <f t="shared" si="71"/>
        <v>0</v>
      </c>
      <c r="HM32" s="498">
        <f t="shared" si="182"/>
        <v>0</v>
      </c>
      <c r="HN32" s="496"/>
      <c r="HO32" s="497">
        <f t="shared" si="72"/>
        <v>0</v>
      </c>
      <c r="HP32" s="498">
        <f t="shared" si="183"/>
        <v>0</v>
      </c>
      <c r="HQ32" s="496"/>
      <c r="HR32" s="497">
        <f t="shared" si="73"/>
        <v>0</v>
      </c>
      <c r="HS32" s="498">
        <f t="shared" si="184"/>
        <v>0</v>
      </c>
      <c r="HT32" s="496"/>
      <c r="HU32" s="497">
        <f t="shared" si="74"/>
        <v>0</v>
      </c>
      <c r="HV32" s="498">
        <f t="shared" si="185"/>
        <v>0</v>
      </c>
      <c r="HW32" s="496"/>
      <c r="HX32" s="497">
        <f t="shared" si="75"/>
        <v>0</v>
      </c>
      <c r="HY32" s="498">
        <f t="shared" si="186"/>
        <v>0</v>
      </c>
      <c r="HZ32" s="496"/>
      <c r="IA32" s="497">
        <f t="shared" si="76"/>
        <v>0</v>
      </c>
      <c r="IB32" s="498">
        <f t="shared" si="187"/>
        <v>0</v>
      </c>
      <c r="IC32" s="496"/>
      <c r="ID32" s="497">
        <f t="shared" si="77"/>
        <v>0</v>
      </c>
      <c r="IE32" s="498">
        <f t="shared" si="188"/>
        <v>0</v>
      </c>
      <c r="IF32" s="496"/>
      <c r="IG32" s="497">
        <f t="shared" si="78"/>
        <v>0</v>
      </c>
      <c r="IH32" s="498">
        <f t="shared" si="189"/>
        <v>0</v>
      </c>
      <c r="II32" s="496"/>
      <c r="IJ32" s="497">
        <f t="shared" si="79"/>
        <v>0</v>
      </c>
      <c r="IK32" s="498">
        <f t="shared" si="190"/>
        <v>0</v>
      </c>
      <c r="IL32" s="496"/>
      <c r="IM32" s="497">
        <f t="shared" si="80"/>
        <v>0</v>
      </c>
      <c r="IN32" s="498">
        <f t="shared" si="191"/>
        <v>0</v>
      </c>
      <c r="IO32" s="496"/>
      <c r="IP32" s="497">
        <f t="shared" si="81"/>
        <v>0</v>
      </c>
      <c r="IQ32" s="498">
        <f t="shared" si="192"/>
        <v>0</v>
      </c>
      <c r="IR32" s="496"/>
      <c r="IS32" s="497">
        <f t="shared" si="82"/>
        <v>0</v>
      </c>
      <c r="IT32" s="498">
        <f t="shared" si="193"/>
        <v>0</v>
      </c>
      <c r="IU32" s="496"/>
      <c r="IV32" s="497">
        <f t="shared" si="83"/>
        <v>0</v>
      </c>
      <c r="IW32" s="498">
        <f t="shared" si="194"/>
        <v>0</v>
      </c>
      <c r="IX32" s="496"/>
      <c r="IY32" s="497">
        <f t="shared" si="84"/>
        <v>0</v>
      </c>
      <c r="IZ32" s="498">
        <f t="shared" si="195"/>
        <v>0</v>
      </c>
      <c r="JA32" s="496"/>
      <c r="JB32" s="497">
        <f t="shared" si="85"/>
        <v>0</v>
      </c>
      <c r="JC32" s="498">
        <f t="shared" si="196"/>
        <v>0</v>
      </c>
      <c r="JD32" s="496"/>
      <c r="JE32" s="497">
        <f t="shared" si="86"/>
        <v>0</v>
      </c>
      <c r="JF32" s="498">
        <f t="shared" si="197"/>
        <v>0</v>
      </c>
      <c r="JG32" s="496"/>
      <c r="JH32" s="497">
        <f t="shared" si="87"/>
        <v>0</v>
      </c>
      <c r="JI32" s="498">
        <f t="shared" si="198"/>
        <v>0</v>
      </c>
      <c r="JJ32" s="496"/>
      <c r="JK32" s="498" t="str">
        <f t="shared" si="88"/>
        <v>0</v>
      </c>
      <c r="JL32" s="498" t="str">
        <f t="shared" si="89"/>
        <v>0</v>
      </c>
      <c r="JM32" s="496"/>
      <c r="JN32" s="498" t="str">
        <f t="shared" si="90"/>
        <v>0</v>
      </c>
      <c r="JO32" s="498" t="str">
        <f t="shared" si="91"/>
        <v>0</v>
      </c>
      <c r="JP32" s="496"/>
      <c r="JQ32" s="498" t="str">
        <f t="shared" si="92"/>
        <v>0</v>
      </c>
      <c r="JR32" s="498" t="str">
        <f t="shared" si="93"/>
        <v>0</v>
      </c>
      <c r="JS32" s="496"/>
      <c r="JT32" s="498" t="str">
        <f t="shared" si="94"/>
        <v>0</v>
      </c>
      <c r="JU32" s="498" t="str">
        <f t="shared" si="95"/>
        <v>0</v>
      </c>
      <c r="JV32" s="496"/>
      <c r="JW32" s="498" t="str">
        <f t="shared" si="96"/>
        <v>0</v>
      </c>
      <c r="JX32" s="498" t="str">
        <f t="shared" si="97"/>
        <v>0</v>
      </c>
      <c r="JY32" s="496"/>
      <c r="JZ32" s="498" t="str">
        <f t="shared" si="98"/>
        <v>0</v>
      </c>
      <c r="KA32" s="498" t="str">
        <f t="shared" si="99"/>
        <v>0</v>
      </c>
      <c r="KB32" s="496"/>
      <c r="KC32" s="498" t="str">
        <f t="shared" si="100"/>
        <v>0</v>
      </c>
      <c r="KD32" s="498" t="str">
        <f t="shared" si="101"/>
        <v>0</v>
      </c>
      <c r="KE32" s="496"/>
      <c r="KF32" s="498" t="str">
        <f t="shared" si="102"/>
        <v>0</v>
      </c>
      <c r="KG32" s="498" t="str">
        <f t="shared" si="103"/>
        <v>0</v>
      </c>
      <c r="KH32" s="496"/>
      <c r="KI32" s="498" t="str">
        <f t="shared" si="104"/>
        <v>0</v>
      </c>
      <c r="KJ32" s="498" t="str">
        <f t="shared" si="105"/>
        <v>0</v>
      </c>
      <c r="KK32" s="496"/>
      <c r="KL32" s="498" t="str">
        <f t="shared" si="106"/>
        <v>0</v>
      </c>
      <c r="KM32" s="498" t="str">
        <f t="shared" si="107"/>
        <v>0</v>
      </c>
      <c r="KN32" s="496"/>
      <c r="KO32" s="498" t="str">
        <f t="shared" si="108"/>
        <v>0</v>
      </c>
      <c r="KP32" s="498" t="str">
        <f t="shared" si="109"/>
        <v>0</v>
      </c>
      <c r="KQ32" s="496"/>
      <c r="KR32" s="498" t="str">
        <f t="shared" si="110"/>
        <v>0</v>
      </c>
      <c r="KS32" s="498" t="str">
        <f t="shared" si="111"/>
        <v>0</v>
      </c>
      <c r="KT32" s="498">
        <f t="shared" si="201"/>
        <v>0</v>
      </c>
      <c r="KU32" s="498">
        <f t="shared" si="202"/>
        <v>0</v>
      </c>
      <c r="KV32" s="262">
        <f t="shared" si="199"/>
        <v>199.3011266260298</v>
      </c>
    </row>
    <row r="33" spans="1:308" ht="15" customHeight="1">
      <c r="A33" s="264">
        <f t="shared" si="200"/>
        <v>46015</v>
      </c>
      <c r="B33" s="265" t="str">
        <f>+Report1!B32</f>
        <v>Toilet/Facial</v>
      </c>
      <c r="C33" s="392" t="str">
        <f>+Report1!C32</f>
        <v>14,5/116/13/12</v>
      </c>
      <c r="D33" s="266">
        <f>+Report1!P32</f>
        <v>50.457999999999998</v>
      </c>
      <c r="E33" s="267">
        <f>+Report1!R32</f>
        <v>52.133000000000003</v>
      </c>
      <c r="F33" s="496"/>
      <c r="G33" s="497">
        <f t="shared" si="0"/>
        <v>0</v>
      </c>
      <c r="H33" s="498">
        <f t="shared" si="112"/>
        <v>0</v>
      </c>
      <c r="I33" s="496">
        <v>372.09302325581393</v>
      </c>
      <c r="J33" s="497">
        <f t="shared" si="1"/>
        <v>7.137379841095159</v>
      </c>
      <c r="K33" s="498">
        <f t="shared" si="113"/>
        <v>0</v>
      </c>
      <c r="L33" s="496"/>
      <c r="M33" s="497">
        <f t="shared" si="2"/>
        <v>0</v>
      </c>
      <c r="N33" s="498">
        <f t="shared" si="114"/>
        <v>0</v>
      </c>
      <c r="O33" s="496">
        <v>10.5</v>
      </c>
      <c r="P33" s="497">
        <f t="shared" si="3"/>
        <v>0.20140793739090401</v>
      </c>
      <c r="Q33" s="498">
        <f t="shared" si="115"/>
        <v>0</v>
      </c>
      <c r="R33" s="496">
        <v>7.6875</v>
      </c>
      <c r="S33" s="497">
        <f t="shared" si="4"/>
        <v>0.14745938273262615</v>
      </c>
      <c r="T33" s="498">
        <f t="shared" si="116"/>
        <v>0</v>
      </c>
      <c r="U33" s="496">
        <v>3.1250000000000142</v>
      </c>
      <c r="V33" s="497">
        <f t="shared" si="5"/>
        <v>5.9942838509197897E-2</v>
      </c>
      <c r="W33" s="498">
        <f t="shared" si="117"/>
        <v>0</v>
      </c>
      <c r="X33" s="496"/>
      <c r="Y33" s="497">
        <f t="shared" si="6"/>
        <v>0</v>
      </c>
      <c r="Z33" s="498">
        <f t="shared" si="118"/>
        <v>0</v>
      </c>
      <c r="AA33" s="496"/>
      <c r="AB33" s="497">
        <f t="shared" si="7"/>
        <v>0</v>
      </c>
      <c r="AC33" s="498">
        <f t="shared" si="119"/>
        <v>0</v>
      </c>
      <c r="AD33" s="496"/>
      <c r="AE33" s="497">
        <f t="shared" si="8"/>
        <v>0</v>
      </c>
      <c r="AF33" s="498">
        <f t="shared" si="120"/>
        <v>0</v>
      </c>
      <c r="AG33" s="496"/>
      <c r="AH33" s="497">
        <f t="shared" si="9"/>
        <v>0</v>
      </c>
      <c r="AI33" s="498">
        <f t="shared" si="121"/>
        <v>0</v>
      </c>
      <c r="AJ33" s="496"/>
      <c r="AK33" s="497">
        <f t="shared" si="10"/>
        <v>0</v>
      </c>
      <c r="AL33" s="498">
        <f t="shared" si="122"/>
        <v>0</v>
      </c>
      <c r="AM33" s="496"/>
      <c r="AN33" s="497">
        <f t="shared" si="11"/>
        <v>0</v>
      </c>
      <c r="AO33" s="498">
        <f t="shared" si="123"/>
        <v>0</v>
      </c>
      <c r="AP33" s="496">
        <v>51.923076923076962</v>
      </c>
      <c r="AQ33" s="497">
        <f t="shared" si="12"/>
        <v>0.99597331676820744</v>
      </c>
      <c r="AR33" s="498">
        <f t="shared" si="124"/>
        <v>0</v>
      </c>
      <c r="AS33" s="496"/>
      <c r="AT33" s="497">
        <f t="shared" si="13"/>
        <v>0</v>
      </c>
      <c r="AU33" s="498">
        <f t="shared" si="125"/>
        <v>0</v>
      </c>
      <c r="AV33" s="496">
        <v>5.5500000000000114</v>
      </c>
      <c r="AW33" s="497">
        <f t="shared" si="14"/>
        <v>0.1064584811923352</v>
      </c>
      <c r="AX33" s="498">
        <f t="shared" si="126"/>
        <v>0</v>
      </c>
      <c r="AY33" s="496">
        <v>67.666666666666629</v>
      </c>
      <c r="AZ33" s="497">
        <f t="shared" si="15"/>
        <v>1.2979622631858252</v>
      </c>
      <c r="BA33" s="498">
        <f t="shared" si="127"/>
        <v>0</v>
      </c>
      <c r="BB33" s="496"/>
      <c r="BC33" s="497">
        <f t="shared" si="16"/>
        <v>0</v>
      </c>
      <c r="BD33" s="498">
        <f t="shared" si="128"/>
        <v>0</v>
      </c>
      <c r="BE33" s="496"/>
      <c r="BF33" s="497">
        <f t="shared" si="17"/>
        <v>0</v>
      </c>
      <c r="BG33" s="498">
        <f t="shared" si="129"/>
        <v>0</v>
      </c>
      <c r="BH33" s="496"/>
      <c r="BI33" s="497">
        <f t="shared" si="18"/>
        <v>0</v>
      </c>
      <c r="BJ33" s="498">
        <f t="shared" si="130"/>
        <v>0</v>
      </c>
      <c r="BK33" s="496"/>
      <c r="BL33" s="497">
        <f t="shared" si="19"/>
        <v>0</v>
      </c>
      <c r="BM33" s="498">
        <f t="shared" si="131"/>
        <v>0</v>
      </c>
      <c r="BN33" s="496">
        <v>25.308641975308646</v>
      </c>
      <c r="BO33" s="497">
        <f t="shared" si="20"/>
        <v>0.4854629884201685</v>
      </c>
      <c r="BP33" s="498">
        <f t="shared" si="132"/>
        <v>0</v>
      </c>
      <c r="BQ33" s="496">
        <v>47.435897435897445</v>
      </c>
      <c r="BR33" s="497">
        <f t="shared" si="21"/>
        <v>0.90990154865243589</v>
      </c>
      <c r="BS33" s="498">
        <f t="shared" si="133"/>
        <v>0</v>
      </c>
      <c r="BT33" s="496"/>
      <c r="BU33" s="497">
        <f t="shared" si="22"/>
        <v>0</v>
      </c>
      <c r="BV33" s="498">
        <f t="shared" si="134"/>
        <v>0</v>
      </c>
      <c r="BW33" s="496"/>
      <c r="BX33" s="497">
        <f t="shared" si="23"/>
        <v>0</v>
      </c>
      <c r="BY33" s="498">
        <f t="shared" si="135"/>
        <v>0</v>
      </c>
      <c r="BZ33" s="496"/>
      <c r="CA33" s="497">
        <f t="shared" si="24"/>
        <v>0</v>
      </c>
      <c r="CB33" s="498">
        <f t="shared" si="136"/>
        <v>0</v>
      </c>
      <c r="CC33" s="496">
        <v>0</v>
      </c>
      <c r="CD33" s="497">
        <f t="shared" si="25"/>
        <v>0</v>
      </c>
      <c r="CE33" s="498">
        <f t="shared" si="137"/>
        <v>0</v>
      </c>
      <c r="CF33" s="496">
        <v>7.1999999999999984</v>
      </c>
      <c r="CG33" s="497">
        <f t="shared" si="26"/>
        <v>0.1381082999251913</v>
      </c>
      <c r="CH33" s="498">
        <f t="shared" si="138"/>
        <v>0</v>
      </c>
      <c r="CI33" s="496"/>
      <c r="CJ33" s="497">
        <f t="shared" si="27"/>
        <v>0</v>
      </c>
      <c r="CK33" s="498">
        <f t="shared" si="139"/>
        <v>0</v>
      </c>
      <c r="CL33" s="496"/>
      <c r="CM33" s="497">
        <f t="shared" si="28"/>
        <v>0</v>
      </c>
      <c r="CN33" s="498">
        <f t="shared" si="140"/>
        <v>0</v>
      </c>
      <c r="CO33" s="496"/>
      <c r="CP33" s="497">
        <f t="shared" si="29"/>
        <v>0</v>
      </c>
      <c r="CQ33" s="498">
        <f t="shared" si="141"/>
        <v>0</v>
      </c>
      <c r="CR33" s="496"/>
      <c r="CS33" s="497">
        <f t="shared" si="30"/>
        <v>0</v>
      </c>
      <c r="CT33" s="498">
        <f t="shared" si="142"/>
        <v>0</v>
      </c>
      <c r="CU33" s="496"/>
      <c r="CV33" s="497">
        <f t="shared" si="31"/>
        <v>0</v>
      </c>
      <c r="CW33" s="498">
        <f t="shared" si="143"/>
        <v>0</v>
      </c>
      <c r="CX33" s="496"/>
      <c r="CY33" s="497">
        <f t="shared" si="32"/>
        <v>0</v>
      </c>
      <c r="CZ33" s="498">
        <f t="shared" si="144"/>
        <v>0</v>
      </c>
      <c r="DA33" s="496"/>
      <c r="DB33" s="497">
        <f t="shared" si="33"/>
        <v>0</v>
      </c>
      <c r="DC33" s="498">
        <f t="shared" si="145"/>
        <v>0</v>
      </c>
      <c r="DD33" s="496"/>
      <c r="DE33" s="497">
        <f t="shared" si="34"/>
        <v>0</v>
      </c>
      <c r="DF33" s="498">
        <f t="shared" si="146"/>
        <v>0</v>
      </c>
      <c r="DG33" s="496"/>
      <c r="DH33" s="497">
        <f t="shared" si="35"/>
        <v>0</v>
      </c>
      <c r="DI33" s="498">
        <f t="shared" si="203"/>
        <v>0</v>
      </c>
      <c r="DJ33" s="496"/>
      <c r="DK33" s="497">
        <f t="shared" si="36"/>
        <v>0</v>
      </c>
      <c r="DL33" s="498">
        <f t="shared" si="147"/>
        <v>0</v>
      </c>
      <c r="DM33" s="496"/>
      <c r="DN33" s="497">
        <f t="shared" si="37"/>
        <v>0</v>
      </c>
      <c r="DO33" s="498">
        <f t="shared" si="148"/>
        <v>0</v>
      </c>
      <c r="DP33" s="496"/>
      <c r="DQ33" s="497">
        <f t="shared" si="38"/>
        <v>0</v>
      </c>
      <c r="DR33" s="498">
        <f t="shared" si="149"/>
        <v>0</v>
      </c>
      <c r="DS33" s="496"/>
      <c r="DT33" s="497">
        <f t="shared" si="39"/>
        <v>0</v>
      </c>
      <c r="DU33" s="498">
        <f t="shared" si="150"/>
        <v>0</v>
      </c>
      <c r="DV33" s="496"/>
      <c r="DW33" s="497">
        <f t="shared" si="40"/>
        <v>0</v>
      </c>
      <c r="DX33" s="498">
        <f t="shared" si="151"/>
        <v>0</v>
      </c>
      <c r="DY33" s="496">
        <v>0</v>
      </c>
      <c r="DZ33" s="497">
        <f t="shared" si="41"/>
        <v>0</v>
      </c>
      <c r="EA33" s="498">
        <f t="shared" si="152"/>
        <v>0</v>
      </c>
      <c r="EB33" s="496">
        <v>5.6686046511627524</v>
      </c>
      <c r="EC33" s="497">
        <f t="shared" si="42"/>
        <v>0.10873352101668333</v>
      </c>
      <c r="ED33" s="498">
        <f t="shared" si="153"/>
        <v>0</v>
      </c>
      <c r="EE33" s="496">
        <v>7</v>
      </c>
      <c r="EF33" s="497">
        <f t="shared" si="43"/>
        <v>0.13427195826060268</v>
      </c>
      <c r="EG33" s="498">
        <f t="shared" si="154"/>
        <v>0</v>
      </c>
      <c r="EH33" s="496"/>
      <c r="EI33" s="497">
        <f t="shared" si="44"/>
        <v>0</v>
      </c>
      <c r="EJ33" s="498">
        <f t="shared" si="155"/>
        <v>0</v>
      </c>
      <c r="EK33" s="496"/>
      <c r="EL33" s="497">
        <f t="shared" si="45"/>
        <v>0</v>
      </c>
      <c r="EM33" s="498">
        <f t="shared" si="156"/>
        <v>0</v>
      </c>
      <c r="EN33" s="496"/>
      <c r="EO33" s="497">
        <f t="shared" si="46"/>
        <v>0</v>
      </c>
      <c r="EP33" s="498">
        <f t="shared" si="157"/>
        <v>0</v>
      </c>
      <c r="EQ33" s="496"/>
      <c r="ER33" s="497">
        <f t="shared" si="47"/>
        <v>0</v>
      </c>
      <c r="ES33" s="498">
        <f t="shared" si="158"/>
        <v>0</v>
      </c>
      <c r="ET33" s="496"/>
      <c r="EU33" s="497">
        <f t="shared" si="48"/>
        <v>0</v>
      </c>
      <c r="EV33" s="498">
        <f t="shared" si="159"/>
        <v>0</v>
      </c>
      <c r="EW33" s="496"/>
      <c r="EX33" s="497">
        <f t="shared" si="49"/>
        <v>0</v>
      </c>
      <c r="EY33" s="498">
        <f t="shared" si="160"/>
        <v>0</v>
      </c>
      <c r="EZ33" s="496"/>
      <c r="FA33" s="497">
        <f t="shared" si="50"/>
        <v>0</v>
      </c>
      <c r="FB33" s="498">
        <f t="shared" si="161"/>
        <v>0</v>
      </c>
      <c r="FC33" s="496"/>
      <c r="FD33" s="497">
        <f t="shared" si="51"/>
        <v>0</v>
      </c>
      <c r="FE33" s="498">
        <f t="shared" si="162"/>
        <v>0</v>
      </c>
      <c r="FF33" s="496"/>
      <c r="FG33" s="497">
        <f t="shared" si="52"/>
        <v>0</v>
      </c>
      <c r="FH33" s="498">
        <f t="shared" si="163"/>
        <v>0</v>
      </c>
      <c r="FI33" s="496"/>
      <c r="FJ33" s="497">
        <f t="shared" si="53"/>
        <v>0</v>
      </c>
      <c r="FK33" s="498">
        <f t="shared" si="164"/>
        <v>0</v>
      </c>
      <c r="FL33" s="496"/>
      <c r="FM33" s="497">
        <f t="shared" si="54"/>
        <v>0</v>
      </c>
      <c r="FN33" s="498">
        <f t="shared" si="165"/>
        <v>0</v>
      </c>
      <c r="FO33" s="496"/>
      <c r="FP33" s="497">
        <f t="shared" si="55"/>
        <v>0</v>
      </c>
      <c r="FQ33" s="498">
        <f t="shared" si="166"/>
        <v>0</v>
      </c>
      <c r="FR33" s="496"/>
      <c r="FS33" s="497">
        <f t="shared" si="56"/>
        <v>0</v>
      </c>
      <c r="FT33" s="498">
        <f t="shared" si="167"/>
        <v>0</v>
      </c>
      <c r="FU33" s="496"/>
      <c r="FV33" s="497">
        <f t="shared" si="57"/>
        <v>0</v>
      </c>
      <c r="FW33" s="498">
        <f t="shared" si="168"/>
        <v>0</v>
      </c>
      <c r="FX33" s="496"/>
      <c r="FY33" s="497">
        <f t="shared" si="58"/>
        <v>0</v>
      </c>
      <c r="FZ33" s="498">
        <f t="shared" si="169"/>
        <v>0</v>
      </c>
      <c r="GA33" s="496"/>
      <c r="GB33" s="497">
        <f t="shared" si="59"/>
        <v>0</v>
      </c>
      <c r="GC33" s="498">
        <f t="shared" si="170"/>
        <v>0</v>
      </c>
      <c r="GD33" s="496"/>
      <c r="GE33" s="497">
        <f t="shared" si="60"/>
        <v>0</v>
      </c>
      <c r="GF33" s="498">
        <f t="shared" si="171"/>
        <v>0</v>
      </c>
      <c r="GG33" s="496"/>
      <c r="GH33" s="497">
        <f t="shared" si="61"/>
        <v>0</v>
      </c>
      <c r="GI33" s="498">
        <f t="shared" si="172"/>
        <v>0</v>
      </c>
      <c r="GJ33" s="496"/>
      <c r="GK33" s="497">
        <f t="shared" si="62"/>
        <v>0</v>
      </c>
      <c r="GL33" s="498">
        <f t="shared" si="173"/>
        <v>0</v>
      </c>
      <c r="GM33" s="496"/>
      <c r="GN33" s="497">
        <f t="shared" si="63"/>
        <v>0</v>
      </c>
      <c r="GO33" s="498">
        <f t="shared" si="174"/>
        <v>0</v>
      </c>
      <c r="GP33" s="496"/>
      <c r="GQ33" s="497">
        <f t="shared" si="64"/>
        <v>0</v>
      </c>
      <c r="GR33" s="498">
        <f t="shared" si="175"/>
        <v>0</v>
      </c>
      <c r="GS33" s="496"/>
      <c r="GT33" s="497">
        <f t="shared" si="65"/>
        <v>0</v>
      </c>
      <c r="GU33" s="498">
        <f t="shared" si="176"/>
        <v>0</v>
      </c>
      <c r="GV33" s="496"/>
      <c r="GW33" s="497">
        <f t="shared" si="66"/>
        <v>0</v>
      </c>
      <c r="GX33" s="498">
        <f t="shared" si="177"/>
        <v>0</v>
      </c>
      <c r="GY33" s="496"/>
      <c r="GZ33" s="497">
        <f t="shared" si="67"/>
        <v>0</v>
      </c>
      <c r="HA33" s="498">
        <f t="shared" si="178"/>
        <v>0</v>
      </c>
      <c r="HB33" s="496"/>
      <c r="HC33" s="497">
        <f t="shared" si="68"/>
        <v>0</v>
      </c>
      <c r="HD33" s="498">
        <f t="shared" si="179"/>
        <v>0</v>
      </c>
      <c r="HE33" s="496"/>
      <c r="HF33" s="497">
        <f t="shared" si="69"/>
        <v>0</v>
      </c>
      <c r="HG33" s="498">
        <f t="shared" si="180"/>
        <v>0</v>
      </c>
      <c r="HH33" s="496"/>
      <c r="HI33" s="497">
        <f t="shared" si="70"/>
        <v>0</v>
      </c>
      <c r="HJ33" s="498">
        <f t="shared" si="181"/>
        <v>0</v>
      </c>
      <c r="HK33" s="496"/>
      <c r="HL33" s="497">
        <f t="shared" si="71"/>
        <v>0</v>
      </c>
      <c r="HM33" s="498">
        <f t="shared" si="182"/>
        <v>0</v>
      </c>
      <c r="HN33" s="496"/>
      <c r="HO33" s="497">
        <f t="shared" si="72"/>
        <v>0</v>
      </c>
      <c r="HP33" s="498">
        <f t="shared" si="183"/>
        <v>0</v>
      </c>
      <c r="HQ33" s="496"/>
      <c r="HR33" s="497">
        <f t="shared" si="73"/>
        <v>0</v>
      </c>
      <c r="HS33" s="498">
        <f t="shared" si="184"/>
        <v>0</v>
      </c>
      <c r="HT33" s="496"/>
      <c r="HU33" s="497">
        <f t="shared" si="74"/>
        <v>0</v>
      </c>
      <c r="HV33" s="498">
        <f t="shared" si="185"/>
        <v>0</v>
      </c>
      <c r="HW33" s="496"/>
      <c r="HX33" s="497">
        <f t="shared" si="75"/>
        <v>0</v>
      </c>
      <c r="HY33" s="498">
        <f t="shared" si="186"/>
        <v>0</v>
      </c>
      <c r="HZ33" s="496"/>
      <c r="IA33" s="497">
        <f t="shared" si="76"/>
        <v>0</v>
      </c>
      <c r="IB33" s="498">
        <f t="shared" si="187"/>
        <v>0</v>
      </c>
      <c r="IC33" s="496"/>
      <c r="ID33" s="497">
        <f t="shared" si="77"/>
        <v>0</v>
      </c>
      <c r="IE33" s="498">
        <f t="shared" si="188"/>
        <v>0</v>
      </c>
      <c r="IF33" s="496"/>
      <c r="IG33" s="497">
        <f t="shared" si="78"/>
        <v>0</v>
      </c>
      <c r="IH33" s="498">
        <f t="shared" si="189"/>
        <v>0</v>
      </c>
      <c r="II33" s="496"/>
      <c r="IJ33" s="497">
        <f t="shared" si="79"/>
        <v>0</v>
      </c>
      <c r="IK33" s="498">
        <f t="shared" si="190"/>
        <v>0</v>
      </c>
      <c r="IL33" s="496"/>
      <c r="IM33" s="497">
        <f t="shared" si="80"/>
        <v>0</v>
      </c>
      <c r="IN33" s="498">
        <f t="shared" si="191"/>
        <v>0</v>
      </c>
      <c r="IO33" s="496"/>
      <c r="IP33" s="497">
        <f t="shared" si="81"/>
        <v>0</v>
      </c>
      <c r="IQ33" s="498">
        <f t="shared" si="192"/>
        <v>0</v>
      </c>
      <c r="IR33" s="496"/>
      <c r="IS33" s="497">
        <f t="shared" si="82"/>
        <v>0</v>
      </c>
      <c r="IT33" s="498">
        <f t="shared" si="193"/>
        <v>0</v>
      </c>
      <c r="IU33" s="496"/>
      <c r="IV33" s="497">
        <f t="shared" si="83"/>
        <v>0</v>
      </c>
      <c r="IW33" s="498">
        <f t="shared" si="194"/>
        <v>0</v>
      </c>
      <c r="IX33" s="496"/>
      <c r="IY33" s="497">
        <f t="shared" si="84"/>
        <v>0</v>
      </c>
      <c r="IZ33" s="498">
        <f t="shared" si="195"/>
        <v>0</v>
      </c>
      <c r="JA33" s="496"/>
      <c r="JB33" s="497">
        <f t="shared" si="85"/>
        <v>0</v>
      </c>
      <c r="JC33" s="498">
        <f t="shared" si="196"/>
        <v>0</v>
      </c>
      <c r="JD33" s="496"/>
      <c r="JE33" s="497">
        <f t="shared" si="86"/>
        <v>0</v>
      </c>
      <c r="JF33" s="498">
        <f t="shared" si="197"/>
        <v>0</v>
      </c>
      <c r="JG33" s="496"/>
      <c r="JH33" s="497">
        <f t="shared" si="87"/>
        <v>0</v>
      </c>
      <c r="JI33" s="498">
        <f t="shared" si="198"/>
        <v>0</v>
      </c>
      <c r="JJ33" s="496"/>
      <c r="JK33" s="498" t="str">
        <f t="shared" si="88"/>
        <v>0</v>
      </c>
      <c r="JL33" s="498" t="str">
        <f t="shared" si="89"/>
        <v>0</v>
      </c>
      <c r="JM33" s="496"/>
      <c r="JN33" s="498" t="str">
        <f t="shared" si="90"/>
        <v>0</v>
      </c>
      <c r="JO33" s="498" t="str">
        <f t="shared" si="91"/>
        <v>0</v>
      </c>
      <c r="JP33" s="496"/>
      <c r="JQ33" s="498" t="str">
        <f t="shared" si="92"/>
        <v>0</v>
      </c>
      <c r="JR33" s="498" t="str">
        <f t="shared" si="93"/>
        <v>0</v>
      </c>
      <c r="JS33" s="496"/>
      <c r="JT33" s="498" t="str">
        <f t="shared" si="94"/>
        <v>0</v>
      </c>
      <c r="JU33" s="498" t="str">
        <f t="shared" si="95"/>
        <v>0</v>
      </c>
      <c r="JV33" s="496"/>
      <c r="JW33" s="498" t="str">
        <f t="shared" si="96"/>
        <v>0</v>
      </c>
      <c r="JX33" s="498" t="str">
        <f t="shared" si="97"/>
        <v>0</v>
      </c>
      <c r="JY33" s="496"/>
      <c r="JZ33" s="498" t="str">
        <f t="shared" si="98"/>
        <v>0</v>
      </c>
      <c r="KA33" s="498" t="str">
        <f t="shared" si="99"/>
        <v>0</v>
      </c>
      <c r="KB33" s="496"/>
      <c r="KC33" s="498" t="str">
        <f t="shared" si="100"/>
        <v>0</v>
      </c>
      <c r="KD33" s="498" t="str">
        <f t="shared" si="101"/>
        <v>0</v>
      </c>
      <c r="KE33" s="496"/>
      <c r="KF33" s="498" t="str">
        <f t="shared" si="102"/>
        <v>0</v>
      </c>
      <c r="KG33" s="498" t="str">
        <f t="shared" si="103"/>
        <v>0</v>
      </c>
      <c r="KH33" s="496"/>
      <c r="KI33" s="498" t="str">
        <f t="shared" si="104"/>
        <v>0</v>
      </c>
      <c r="KJ33" s="498" t="str">
        <f t="shared" si="105"/>
        <v>0</v>
      </c>
      <c r="KK33" s="496"/>
      <c r="KL33" s="498" t="str">
        <f t="shared" si="106"/>
        <v>0</v>
      </c>
      <c r="KM33" s="498" t="str">
        <f t="shared" si="107"/>
        <v>0</v>
      </c>
      <c r="KN33" s="496"/>
      <c r="KO33" s="498" t="str">
        <f t="shared" si="108"/>
        <v>0</v>
      </c>
      <c r="KP33" s="498" t="str">
        <f t="shared" si="109"/>
        <v>0</v>
      </c>
      <c r="KQ33" s="496"/>
      <c r="KR33" s="498" t="str">
        <f t="shared" si="110"/>
        <v>0</v>
      </c>
      <c r="KS33" s="498" t="str">
        <f t="shared" si="111"/>
        <v>0</v>
      </c>
      <c r="KT33" s="498">
        <f t="shared" si="201"/>
        <v>0</v>
      </c>
      <c r="KU33" s="498">
        <f t="shared" si="202"/>
        <v>0</v>
      </c>
      <c r="KV33" s="262">
        <f t="shared" si="199"/>
        <v>611.15841090792651</v>
      </c>
    </row>
    <row r="34" spans="1:308" ht="15" customHeight="1">
      <c r="A34" s="264">
        <f t="shared" si="200"/>
        <v>46016</v>
      </c>
      <c r="B34" s="265" t="str">
        <f>+Report1!B33</f>
        <v>Facial</v>
      </c>
      <c r="C34" s="392" t="str">
        <f>+Report1!C33</f>
        <v>12/12,5</v>
      </c>
      <c r="D34" s="266">
        <f>+Report1!P33</f>
        <v>50.438000000000002</v>
      </c>
      <c r="E34" s="267">
        <f>+Report1!R33</f>
        <v>46.787999999999997</v>
      </c>
      <c r="F34" s="496"/>
      <c r="G34" s="497">
        <f t="shared" si="0"/>
        <v>0</v>
      </c>
      <c r="H34" s="498">
        <f t="shared" si="112"/>
        <v>0</v>
      </c>
      <c r="I34" s="496">
        <v>372.09302325581393</v>
      </c>
      <c r="J34" s="497">
        <f t="shared" si="1"/>
        <v>7.9527447904551156</v>
      </c>
      <c r="K34" s="498">
        <f t="shared" si="113"/>
        <v>0</v>
      </c>
      <c r="L34" s="496"/>
      <c r="M34" s="497">
        <f t="shared" si="2"/>
        <v>0</v>
      </c>
      <c r="N34" s="498">
        <f t="shared" si="114"/>
        <v>0</v>
      </c>
      <c r="O34" s="496">
        <v>10.5</v>
      </c>
      <c r="P34" s="497">
        <f t="shared" si="3"/>
        <v>0.22441651705565532</v>
      </c>
      <c r="Q34" s="498">
        <f t="shared" si="115"/>
        <v>0</v>
      </c>
      <c r="R34" s="496">
        <v>7.6875</v>
      </c>
      <c r="S34" s="497">
        <f t="shared" si="4"/>
        <v>0.16430494998717621</v>
      </c>
      <c r="T34" s="498">
        <f t="shared" si="116"/>
        <v>0</v>
      </c>
      <c r="U34" s="496">
        <v>3.1250000000000142</v>
      </c>
      <c r="V34" s="497">
        <f t="shared" si="5"/>
        <v>6.6790630076088195E-2</v>
      </c>
      <c r="W34" s="498">
        <f t="shared" si="117"/>
        <v>0</v>
      </c>
      <c r="X34" s="496"/>
      <c r="Y34" s="497">
        <f t="shared" si="6"/>
        <v>0</v>
      </c>
      <c r="Z34" s="498">
        <f t="shared" si="118"/>
        <v>0</v>
      </c>
      <c r="AA34" s="496"/>
      <c r="AB34" s="497">
        <f t="shared" si="7"/>
        <v>0</v>
      </c>
      <c r="AC34" s="498">
        <f t="shared" si="119"/>
        <v>0</v>
      </c>
      <c r="AD34" s="496"/>
      <c r="AE34" s="497">
        <f t="shared" si="8"/>
        <v>0</v>
      </c>
      <c r="AF34" s="498">
        <f t="shared" si="120"/>
        <v>0</v>
      </c>
      <c r="AG34" s="496"/>
      <c r="AH34" s="497">
        <f t="shared" si="9"/>
        <v>0</v>
      </c>
      <c r="AI34" s="498">
        <f t="shared" si="121"/>
        <v>0</v>
      </c>
      <c r="AJ34" s="496"/>
      <c r="AK34" s="497">
        <f t="shared" si="10"/>
        <v>0</v>
      </c>
      <c r="AL34" s="498">
        <f t="shared" si="122"/>
        <v>0</v>
      </c>
      <c r="AM34" s="496"/>
      <c r="AN34" s="497">
        <f t="shared" si="11"/>
        <v>0</v>
      </c>
      <c r="AO34" s="498">
        <f t="shared" si="123"/>
        <v>0</v>
      </c>
      <c r="AP34" s="496">
        <v>51.923076923076962</v>
      </c>
      <c r="AQ34" s="497">
        <f t="shared" si="12"/>
        <v>1.1097520074180767</v>
      </c>
      <c r="AR34" s="498">
        <f t="shared" si="124"/>
        <v>0</v>
      </c>
      <c r="AS34" s="496"/>
      <c r="AT34" s="497">
        <f t="shared" si="13"/>
        <v>0</v>
      </c>
      <c r="AU34" s="498">
        <f t="shared" si="125"/>
        <v>0</v>
      </c>
      <c r="AV34" s="496">
        <v>5.5500000000000114</v>
      </c>
      <c r="AW34" s="497">
        <f t="shared" si="14"/>
        <v>0.11862015901513234</v>
      </c>
      <c r="AX34" s="498">
        <f t="shared" si="126"/>
        <v>0</v>
      </c>
      <c r="AY34" s="496">
        <v>67.666666666666629</v>
      </c>
      <c r="AZ34" s="497">
        <f t="shared" si="15"/>
        <v>1.446239776580889</v>
      </c>
      <c r="BA34" s="498">
        <f t="shared" si="127"/>
        <v>0</v>
      </c>
      <c r="BB34" s="496"/>
      <c r="BC34" s="497">
        <f t="shared" si="16"/>
        <v>0</v>
      </c>
      <c r="BD34" s="498">
        <f t="shared" si="128"/>
        <v>0</v>
      </c>
      <c r="BE34" s="496"/>
      <c r="BF34" s="497">
        <f t="shared" si="17"/>
        <v>0</v>
      </c>
      <c r="BG34" s="498">
        <f t="shared" si="129"/>
        <v>0</v>
      </c>
      <c r="BH34" s="496"/>
      <c r="BI34" s="497">
        <f t="shared" si="18"/>
        <v>0</v>
      </c>
      <c r="BJ34" s="498">
        <f t="shared" si="130"/>
        <v>0</v>
      </c>
      <c r="BK34" s="496"/>
      <c r="BL34" s="497">
        <f t="shared" si="19"/>
        <v>0</v>
      </c>
      <c r="BM34" s="498">
        <f t="shared" si="131"/>
        <v>0</v>
      </c>
      <c r="BN34" s="496">
        <v>25.308641975308646</v>
      </c>
      <c r="BO34" s="497">
        <f t="shared" si="20"/>
        <v>0.54092164604831683</v>
      </c>
      <c r="BP34" s="498">
        <f t="shared" si="132"/>
        <v>0</v>
      </c>
      <c r="BQ34" s="496">
        <v>47.435897435897445</v>
      </c>
      <c r="BR34" s="497">
        <f t="shared" si="21"/>
        <v>1.0138475129498472</v>
      </c>
      <c r="BS34" s="498">
        <f t="shared" si="133"/>
        <v>0</v>
      </c>
      <c r="BT34" s="496"/>
      <c r="BU34" s="497">
        <f t="shared" si="22"/>
        <v>0</v>
      </c>
      <c r="BV34" s="498">
        <f t="shared" si="134"/>
        <v>0</v>
      </c>
      <c r="BW34" s="496"/>
      <c r="BX34" s="497">
        <f t="shared" si="23"/>
        <v>0</v>
      </c>
      <c r="BY34" s="498">
        <f t="shared" si="135"/>
        <v>0</v>
      </c>
      <c r="BZ34" s="496"/>
      <c r="CA34" s="497">
        <f t="shared" si="24"/>
        <v>0</v>
      </c>
      <c r="CB34" s="498">
        <f t="shared" si="136"/>
        <v>0</v>
      </c>
      <c r="CC34" s="496">
        <v>0</v>
      </c>
      <c r="CD34" s="497">
        <f t="shared" si="25"/>
        <v>0</v>
      </c>
      <c r="CE34" s="498">
        <f t="shared" si="137"/>
        <v>0</v>
      </c>
      <c r="CF34" s="496">
        <v>7.1999999999999984</v>
      </c>
      <c r="CG34" s="497">
        <f t="shared" si="26"/>
        <v>0.15388561169530646</v>
      </c>
      <c r="CH34" s="498">
        <f t="shared" si="138"/>
        <v>0</v>
      </c>
      <c r="CI34" s="496"/>
      <c r="CJ34" s="497">
        <f t="shared" si="27"/>
        <v>0</v>
      </c>
      <c r="CK34" s="498">
        <f t="shared" si="139"/>
        <v>0</v>
      </c>
      <c r="CL34" s="496"/>
      <c r="CM34" s="497">
        <f t="shared" si="28"/>
        <v>0</v>
      </c>
      <c r="CN34" s="498">
        <f t="shared" si="140"/>
        <v>0</v>
      </c>
      <c r="CO34" s="496"/>
      <c r="CP34" s="497">
        <f t="shared" si="29"/>
        <v>0</v>
      </c>
      <c r="CQ34" s="498">
        <f t="shared" si="141"/>
        <v>0</v>
      </c>
      <c r="CR34" s="496"/>
      <c r="CS34" s="497">
        <f t="shared" si="30"/>
        <v>0</v>
      </c>
      <c r="CT34" s="498">
        <f t="shared" si="142"/>
        <v>0</v>
      </c>
      <c r="CU34" s="496"/>
      <c r="CV34" s="497">
        <f t="shared" si="31"/>
        <v>0</v>
      </c>
      <c r="CW34" s="498">
        <f t="shared" si="143"/>
        <v>0</v>
      </c>
      <c r="CX34" s="496"/>
      <c r="CY34" s="497">
        <f t="shared" si="32"/>
        <v>0</v>
      </c>
      <c r="CZ34" s="498">
        <f t="shared" si="144"/>
        <v>0</v>
      </c>
      <c r="DA34" s="496"/>
      <c r="DB34" s="497">
        <f t="shared" si="33"/>
        <v>0</v>
      </c>
      <c r="DC34" s="498">
        <f t="shared" si="145"/>
        <v>0</v>
      </c>
      <c r="DD34" s="496"/>
      <c r="DE34" s="497">
        <f t="shared" si="34"/>
        <v>0</v>
      </c>
      <c r="DF34" s="498">
        <f t="shared" si="146"/>
        <v>0</v>
      </c>
      <c r="DG34" s="496"/>
      <c r="DH34" s="497">
        <f t="shared" si="35"/>
        <v>0</v>
      </c>
      <c r="DI34" s="498">
        <f t="shared" si="203"/>
        <v>0</v>
      </c>
      <c r="DJ34" s="496"/>
      <c r="DK34" s="497">
        <f t="shared" si="36"/>
        <v>0</v>
      </c>
      <c r="DL34" s="498">
        <f t="shared" si="147"/>
        <v>0</v>
      </c>
      <c r="DM34" s="496"/>
      <c r="DN34" s="497">
        <f t="shared" si="37"/>
        <v>0</v>
      </c>
      <c r="DO34" s="498">
        <f t="shared" si="148"/>
        <v>0</v>
      </c>
      <c r="DP34" s="496"/>
      <c r="DQ34" s="497">
        <f t="shared" si="38"/>
        <v>0</v>
      </c>
      <c r="DR34" s="498">
        <f t="shared" si="149"/>
        <v>0</v>
      </c>
      <c r="DS34" s="496"/>
      <c r="DT34" s="497">
        <f t="shared" si="39"/>
        <v>0</v>
      </c>
      <c r="DU34" s="498">
        <f t="shared" si="150"/>
        <v>0</v>
      </c>
      <c r="DV34" s="496"/>
      <c r="DW34" s="497">
        <f t="shared" si="40"/>
        <v>0</v>
      </c>
      <c r="DX34" s="498">
        <f t="shared" si="151"/>
        <v>0</v>
      </c>
      <c r="DY34" s="496">
        <v>0</v>
      </c>
      <c r="DZ34" s="497">
        <f t="shared" si="41"/>
        <v>0</v>
      </c>
      <c r="EA34" s="498">
        <f t="shared" si="152"/>
        <v>0</v>
      </c>
      <c r="EB34" s="496">
        <v>5.6686046511627524</v>
      </c>
      <c r="EC34" s="497">
        <f t="shared" si="42"/>
        <v>0.12115509641708884</v>
      </c>
      <c r="ED34" s="498">
        <f t="shared" si="153"/>
        <v>0</v>
      </c>
      <c r="EE34" s="496">
        <v>7</v>
      </c>
      <c r="EF34" s="497">
        <f t="shared" si="43"/>
        <v>0.14961101137043686</v>
      </c>
      <c r="EG34" s="498">
        <f t="shared" si="154"/>
        <v>0</v>
      </c>
      <c r="EH34" s="496"/>
      <c r="EI34" s="497">
        <f t="shared" si="44"/>
        <v>0</v>
      </c>
      <c r="EJ34" s="498">
        <f t="shared" si="155"/>
        <v>0</v>
      </c>
      <c r="EK34" s="496"/>
      <c r="EL34" s="497">
        <f t="shared" si="45"/>
        <v>0</v>
      </c>
      <c r="EM34" s="498">
        <f t="shared" si="156"/>
        <v>0</v>
      </c>
      <c r="EN34" s="496"/>
      <c r="EO34" s="497">
        <f t="shared" si="46"/>
        <v>0</v>
      </c>
      <c r="EP34" s="498">
        <f t="shared" si="157"/>
        <v>0</v>
      </c>
      <c r="EQ34" s="496"/>
      <c r="ER34" s="497">
        <f t="shared" si="47"/>
        <v>0</v>
      </c>
      <c r="ES34" s="498">
        <f t="shared" si="158"/>
        <v>0</v>
      </c>
      <c r="ET34" s="496"/>
      <c r="EU34" s="497">
        <f t="shared" si="48"/>
        <v>0</v>
      </c>
      <c r="EV34" s="498">
        <f t="shared" si="159"/>
        <v>0</v>
      </c>
      <c r="EW34" s="496"/>
      <c r="EX34" s="497">
        <f t="shared" si="49"/>
        <v>0</v>
      </c>
      <c r="EY34" s="498">
        <f t="shared" si="160"/>
        <v>0</v>
      </c>
      <c r="EZ34" s="496"/>
      <c r="FA34" s="497">
        <f t="shared" si="50"/>
        <v>0</v>
      </c>
      <c r="FB34" s="498">
        <f t="shared" si="161"/>
        <v>0</v>
      </c>
      <c r="FC34" s="496"/>
      <c r="FD34" s="497">
        <f t="shared" si="51"/>
        <v>0</v>
      </c>
      <c r="FE34" s="498">
        <f t="shared" si="162"/>
        <v>0</v>
      </c>
      <c r="FF34" s="496"/>
      <c r="FG34" s="497">
        <f t="shared" si="52"/>
        <v>0</v>
      </c>
      <c r="FH34" s="498">
        <f t="shared" si="163"/>
        <v>0</v>
      </c>
      <c r="FI34" s="496"/>
      <c r="FJ34" s="497">
        <f t="shared" si="53"/>
        <v>0</v>
      </c>
      <c r="FK34" s="498">
        <f t="shared" si="164"/>
        <v>0</v>
      </c>
      <c r="FL34" s="496"/>
      <c r="FM34" s="497">
        <f t="shared" si="54"/>
        <v>0</v>
      </c>
      <c r="FN34" s="498">
        <f t="shared" si="165"/>
        <v>0</v>
      </c>
      <c r="FO34" s="496"/>
      <c r="FP34" s="497">
        <f t="shared" si="55"/>
        <v>0</v>
      </c>
      <c r="FQ34" s="498">
        <f t="shared" si="166"/>
        <v>0</v>
      </c>
      <c r="FR34" s="496"/>
      <c r="FS34" s="497">
        <f t="shared" si="56"/>
        <v>0</v>
      </c>
      <c r="FT34" s="498">
        <f t="shared" si="167"/>
        <v>0</v>
      </c>
      <c r="FU34" s="496"/>
      <c r="FV34" s="497">
        <f t="shared" si="57"/>
        <v>0</v>
      </c>
      <c r="FW34" s="498">
        <f t="shared" si="168"/>
        <v>0</v>
      </c>
      <c r="FX34" s="496"/>
      <c r="FY34" s="497">
        <f t="shared" si="58"/>
        <v>0</v>
      </c>
      <c r="FZ34" s="498">
        <f t="shared" si="169"/>
        <v>0</v>
      </c>
      <c r="GA34" s="496"/>
      <c r="GB34" s="497">
        <f t="shared" si="59"/>
        <v>0</v>
      </c>
      <c r="GC34" s="498">
        <f t="shared" si="170"/>
        <v>0</v>
      </c>
      <c r="GD34" s="496"/>
      <c r="GE34" s="497">
        <f t="shared" si="60"/>
        <v>0</v>
      </c>
      <c r="GF34" s="498">
        <f t="shared" si="171"/>
        <v>0</v>
      </c>
      <c r="GG34" s="496"/>
      <c r="GH34" s="497">
        <f t="shared" si="61"/>
        <v>0</v>
      </c>
      <c r="GI34" s="498">
        <f t="shared" si="172"/>
        <v>0</v>
      </c>
      <c r="GJ34" s="496"/>
      <c r="GK34" s="497">
        <f t="shared" si="62"/>
        <v>0</v>
      </c>
      <c r="GL34" s="498">
        <f t="shared" si="173"/>
        <v>0</v>
      </c>
      <c r="GM34" s="496"/>
      <c r="GN34" s="497">
        <f t="shared" si="63"/>
        <v>0</v>
      </c>
      <c r="GO34" s="498">
        <f t="shared" si="174"/>
        <v>0</v>
      </c>
      <c r="GP34" s="496"/>
      <c r="GQ34" s="497">
        <f t="shared" si="64"/>
        <v>0</v>
      </c>
      <c r="GR34" s="498">
        <f t="shared" si="175"/>
        <v>0</v>
      </c>
      <c r="GS34" s="496"/>
      <c r="GT34" s="497">
        <f t="shared" si="65"/>
        <v>0</v>
      </c>
      <c r="GU34" s="498">
        <f t="shared" si="176"/>
        <v>0</v>
      </c>
      <c r="GV34" s="496"/>
      <c r="GW34" s="497">
        <f t="shared" si="66"/>
        <v>0</v>
      </c>
      <c r="GX34" s="498">
        <f t="shared" si="177"/>
        <v>0</v>
      </c>
      <c r="GY34" s="496"/>
      <c r="GZ34" s="497">
        <f t="shared" si="67"/>
        <v>0</v>
      </c>
      <c r="HA34" s="498">
        <f t="shared" si="178"/>
        <v>0</v>
      </c>
      <c r="HB34" s="496"/>
      <c r="HC34" s="497">
        <f t="shared" si="68"/>
        <v>0</v>
      </c>
      <c r="HD34" s="498">
        <f t="shared" si="179"/>
        <v>0</v>
      </c>
      <c r="HE34" s="496"/>
      <c r="HF34" s="497">
        <f t="shared" si="69"/>
        <v>0</v>
      </c>
      <c r="HG34" s="498">
        <f t="shared" si="180"/>
        <v>0</v>
      </c>
      <c r="HH34" s="496"/>
      <c r="HI34" s="497">
        <f t="shared" si="70"/>
        <v>0</v>
      </c>
      <c r="HJ34" s="498">
        <f t="shared" si="181"/>
        <v>0</v>
      </c>
      <c r="HK34" s="496"/>
      <c r="HL34" s="497">
        <f t="shared" si="71"/>
        <v>0</v>
      </c>
      <c r="HM34" s="498">
        <f t="shared" si="182"/>
        <v>0</v>
      </c>
      <c r="HN34" s="496"/>
      <c r="HO34" s="497">
        <f t="shared" si="72"/>
        <v>0</v>
      </c>
      <c r="HP34" s="498">
        <f t="shared" si="183"/>
        <v>0</v>
      </c>
      <c r="HQ34" s="496"/>
      <c r="HR34" s="497">
        <f t="shared" si="73"/>
        <v>0</v>
      </c>
      <c r="HS34" s="498">
        <f t="shared" si="184"/>
        <v>0</v>
      </c>
      <c r="HT34" s="496"/>
      <c r="HU34" s="497">
        <f t="shared" si="74"/>
        <v>0</v>
      </c>
      <c r="HV34" s="498">
        <f t="shared" si="185"/>
        <v>0</v>
      </c>
      <c r="HW34" s="496"/>
      <c r="HX34" s="497">
        <f t="shared" si="75"/>
        <v>0</v>
      </c>
      <c r="HY34" s="498">
        <f t="shared" si="186"/>
        <v>0</v>
      </c>
      <c r="HZ34" s="496"/>
      <c r="IA34" s="497">
        <f t="shared" si="76"/>
        <v>0</v>
      </c>
      <c r="IB34" s="498">
        <f t="shared" si="187"/>
        <v>0</v>
      </c>
      <c r="IC34" s="496"/>
      <c r="ID34" s="497">
        <f t="shared" si="77"/>
        <v>0</v>
      </c>
      <c r="IE34" s="498">
        <f t="shared" si="188"/>
        <v>0</v>
      </c>
      <c r="IF34" s="496"/>
      <c r="IG34" s="497">
        <f t="shared" si="78"/>
        <v>0</v>
      </c>
      <c r="IH34" s="498">
        <f t="shared" si="189"/>
        <v>0</v>
      </c>
      <c r="II34" s="496"/>
      <c r="IJ34" s="497">
        <f t="shared" si="79"/>
        <v>0</v>
      </c>
      <c r="IK34" s="498">
        <f t="shared" si="190"/>
        <v>0</v>
      </c>
      <c r="IL34" s="496"/>
      <c r="IM34" s="497">
        <f t="shared" si="80"/>
        <v>0</v>
      </c>
      <c r="IN34" s="498">
        <f t="shared" si="191"/>
        <v>0</v>
      </c>
      <c r="IO34" s="496"/>
      <c r="IP34" s="497">
        <f t="shared" si="81"/>
        <v>0</v>
      </c>
      <c r="IQ34" s="498">
        <f t="shared" si="192"/>
        <v>0</v>
      </c>
      <c r="IR34" s="496"/>
      <c r="IS34" s="497">
        <f t="shared" si="82"/>
        <v>0</v>
      </c>
      <c r="IT34" s="498">
        <f t="shared" si="193"/>
        <v>0</v>
      </c>
      <c r="IU34" s="496"/>
      <c r="IV34" s="497">
        <f t="shared" si="83"/>
        <v>0</v>
      </c>
      <c r="IW34" s="498">
        <f t="shared" si="194"/>
        <v>0</v>
      </c>
      <c r="IX34" s="496"/>
      <c r="IY34" s="497">
        <f t="shared" si="84"/>
        <v>0</v>
      </c>
      <c r="IZ34" s="498">
        <f t="shared" si="195"/>
        <v>0</v>
      </c>
      <c r="JA34" s="496"/>
      <c r="JB34" s="497">
        <f t="shared" si="85"/>
        <v>0</v>
      </c>
      <c r="JC34" s="498">
        <f t="shared" si="196"/>
        <v>0</v>
      </c>
      <c r="JD34" s="496"/>
      <c r="JE34" s="497">
        <f t="shared" si="86"/>
        <v>0</v>
      </c>
      <c r="JF34" s="498">
        <f t="shared" si="197"/>
        <v>0</v>
      </c>
      <c r="JG34" s="496"/>
      <c r="JH34" s="497">
        <f t="shared" si="87"/>
        <v>0</v>
      </c>
      <c r="JI34" s="498">
        <f t="shared" si="198"/>
        <v>0</v>
      </c>
      <c r="JJ34" s="496"/>
      <c r="JK34" s="498" t="str">
        <f t="shared" si="88"/>
        <v>0</v>
      </c>
      <c r="JL34" s="498" t="str">
        <f t="shared" si="89"/>
        <v>0</v>
      </c>
      <c r="JM34" s="496"/>
      <c r="JN34" s="498" t="str">
        <f t="shared" si="90"/>
        <v>0</v>
      </c>
      <c r="JO34" s="498" t="str">
        <f t="shared" si="91"/>
        <v>0</v>
      </c>
      <c r="JP34" s="496"/>
      <c r="JQ34" s="498" t="str">
        <f t="shared" si="92"/>
        <v>0</v>
      </c>
      <c r="JR34" s="498" t="str">
        <f t="shared" si="93"/>
        <v>0</v>
      </c>
      <c r="JS34" s="496"/>
      <c r="JT34" s="498" t="str">
        <f t="shared" si="94"/>
        <v>0</v>
      </c>
      <c r="JU34" s="498" t="str">
        <f t="shared" si="95"/>
        <v>0</v>
      </c>
      <c r="JV34" s="496"/>
      <c r="JW34" s="498" t="str">
        <f t="shared" si="96"/>
        <v>0</v>
      </c>
      <c r="JX34" s="498" t="str">
        <f t="shared" si="97"/>
        <v>0</v>
      </c>
      <c r="JY34" s="496"/>
      <c r="JZ34" s="498" t="str">
        <f t="shared" si="98"/>
        <v>0</v>
      </c>
      <c r="KA34" s="498" t="str">
        <f t="shared" si="99"/>
        <v>0</v>
      </c>
      <c r="KB34" s="496"/>
      <c r="KC34" s="498" t="str">
        <f t="shared" si="100"/>
        <v>0</v>
      </c>
      <c r="KD34" s="498" t="str">
        <f t="shared" si="101"/>
        <v>0</v>
      </c>
      <c r="KE34" s="496"/>
      <c r="KF34" s="498" t="str">
        <f t="shared" si="102"/>
        <v>0</v>
      </c>
      <c r="KG34" s="498" t="str">
        <f t="shared" si="103"/>
        <v>0</v>
      </c>
      <c r="KH34" s="496"/>
      <c r="KI34" s="498" t="str">
        <f t="shared" si="104"/>
        <v>0</v>
      </c>
      <c r="KJ34" s="498" t="str">
        <f t="shared" si="105"/>
        <v>0</v>
      </c>
      <c r="KK34" s="496"/>
      <c r="KL34" s="498" t="str">
        <f t="shared" si="106"/>
        <v>0</v>
      </c>
      <c r="KM34" s="498" t="str">
        <f t="shared" si="107"/>
        <v>0</v>
      </c>
      <c r="KN34" s="496"/>
      <c r="KO34" s="498" t="str">
        <f t="shared" si="108"/>
        <v>0</v>
      </c>
      <c r="KP34" s="498" t="str">
        <f t="shared" si="109"/>
        <v>0</v>
      </c>
      <c r="KQ34" s="496"/>
      <c r="KR34" s="498" t="str">
        <f t="shared" si="110"/>
        <v>0</v>
      </c>
      <c r="KS34" s="498" t="str">
        <f t="shared" si="111"/>
        <v>0</v>
      </c>
      <c r="KT34" s="498">
        <f t="shared" si="201"/>
        <v>0</v>
      </c>
      <c r="KU34" s="498">
        <f t="shared" si="202"/>
        <v>0</v>
      </c>
      <c r="KV34" s="262">
        <f t="shared" si="199"/>
        <v>611.15841090792651</v>
      </c>
    </row>
    <row r="35" spans="1:308" ht="15" customHeight="1">
      <c r="A35" s="264">
        <f t="shared" si="200"/>
        <v>46017</v>
      </c>
      <c r="B35" s="265" t="str">
        <f>+Report1!B34</f>
        <v>Facial</v>
      </c>
      <c r="C35" s="392" t="str">
        <f>+Report1!C34</f>
        <v>12,5</v>
      </c>
      <c r="D35" s="266">
        <f>+Report1!P34</f>
        <v>48.58</v>
      </c>
      <c r="E35" s="267">
        <f>+Report1!R34</f>
        <v>47.401000000000003</v>
      </c>
      <c r="F35" s="496"/>
      <c r="G35" s="497">
        <f t="shared" si="0"/>
        <v>0</v>
      </c>
      <c r="H35" s="498">
        <f t="shared" si="112"/>
        <v>0</v>
      </c>
      <c r="I35" s="496">
        <v>372.09302325581405</v>
      </c>
      <c r="J35" s="497">
        <f t="shared" si="1"/>
        <v>7.8498981721021499</v>
      </c>
      <c r="K35" s="498">
        <f t="shared" si="113"/>
        <v>0</v>
      </c>
      <c r="L35" s="496"/>
      <c r="M35" s="497">
        <f t="shared" si="2"/>
        <v>0</v>
      </c>
      <c r="N35" s="498">
        <f t="shared" si="114"/>
        <v>0</v>
      </c>
      <c r="O35" s="496">
        <v>12</v>
      </c>
      <c r="P35" s="497">
        <f t="shared" si="3"/>
        <v>0.25315921605029429</v>
      </c>
      <c r="Q35" s="498">
        <f t="shared" si="115"/>
        <v>0</v>
      </c>
      <c r="R35" s="496">
        <v>12.8125</v>
      </c>
      <c r="S35" s="497">
        <f t="shared" si="4"/>
        <v>0.27030020463703297</v>
      </c>
      <c r="T35" s="498">
        <f t="shared" si="116"/>
        <v>0</v>
      </c>
      <c r="U35" s="496">
        <v>3.125</v>
      </c>
      <c r="V35" s="497">
        <f t="shared" si="5"/>
        <v>6.5926879179764142E-2</v>
      </c>
      <c r="W35" s="498">
        <f t="shared" si="117"/>
        <v>0</v>
      </c>
      <c r="X35" s="496"/>
      <c r="Y35" s="497">
        <f t="shared" si="6"/>
        <v>0</v>
      </c>
      <c r="Z35" s="498">
        <f t="shared" si="118"/>
        <v>0</v>
      </c>
      <c r="AA35" s="496"/>
      <c r="AB35" s="497">
        <f t="shared" si="7"/>
        <v>0</v>
      </c>
      <c r="AC35" s="498">
        <f t="shared" si="119"/>
        <v>0</v>
      </c>
      <c r="AD35" s="496"/>
      <c r="AE35" s="497">
        <f t="shared" si="8"/>
        <v>0</v>
      </c>
      <c r="AF35" s="498">
        <f t="shared" si="120"/>
        <v>0</v>
      </c>
      <c r="AG35" s="496"/>
      <c r="AH35" s="497">
        <f t="shared" si="9"/>
        <v>0</v>
      </c>
      <c r="AI35" s="498">
        <f t="shared" si="121"/>
        <v>0</v>
      </c>
      <c r="AJ35" s="496"/>
      <c r="AK35" s="497">
        <f t="shared" si="10"/>
        <v>0</v>
      </c>
      <c r="AL35" s="498">
        <f t="shared" si="122"/>
        <v>0</v>
      </c>
      <c r="AM35" s="496"/>
      <c r="AN35" s="497">
        <f t="shared" si="11"/>
        <v>0</v>
      </c>
      <c r="AO35" s="498">
        <f t="shared" si="123"/>
        <v>0</v>
      </c>
      <c r="AP35" s="496">
        <v>63.461538461538566</v>
      </c>
      <c r="AQ35" s="497">
        <f t="shared" si="12"/>
        <v>1.3388227771890584</v>
      </c>
      <c r="AR35" s="498">
        <f t="shared" si="124"/>
        <v>0</v>
      </c>
      <c r="AS35" s="496"/>
      <c r="AT35" s="497">
        <f t="shared" si="13"/>
        <v>0</v>
      </c>
      <c r="AU35" s="498">
        <f t="shared" si="125"/>
        <v>0</v>
      </c>
      <c r="AV35" s="496">
        <v>5.5500000000000114</v>
      </c>
      <c r="AW35" s="497">
        <f t="shared" si="14"/>
        <v>0.11708613742326135</v>
      </c>
      <c r="AX35" s="498">
        <f t="shared" si="126"/>
        <v>0</v>
      </c>
      <c r="AY35" s="496">
        <v>74.666666666666686</v>
      </c>
      <c r="AZ35" s="497">
        <f t="shared" si="15"/>
        <v>1.5752128998684982</v>
      </c>
      <c r="BA35" s="498">
        <f t="shared" si="127"/>
        <v>0</v>
      </c>
      <c r="BB35" s="496"/>
      <c r="BC35" s="497">
        <f t="shared" si="16"/>
        <v>0</v>
      </c>
      <c r="BD35" s="498">
        <f t="shared" si="128"/>
        <v>0</v>
      </c>
      <c r="BE35" s="496"/>
      <c r="BF35" s="497">
        <f t="shared" si="17"/>
        <v>0</v>
      </c>
      <c r="BG35" s="498">
        <f t="shared" si="129"/>
        <v>0</v>
      </c>
      <c r="BH35" s="496"/>
      <c r="BI35" s="497">
        <f t="shared" si="18"/>
        <v>0</v>
      </c>
      <c r="BJ35" s="498">
        <f t="shared" si="130"/>
        <v>0</v>
      </c>
      <c r="BK35" s="496"/>
      <c r="BL35" s="497">
        <f t="shared" si="19"/>
        <v>0</v>
      </c>
      <c r="BM35" s="498">
        <f t="shared" si="131"/>
        <v>0</v>
      </c>
      <c r="BN35" s="496">
        <v>25.30864197530866</v>
      </c>
      <c r="BO35" s="497">
        <f t="shared" si="20"/>
        <v>0.53392633014722601</v>
      </c>
      <c r="BP35" s="498">
        <f t="shared" si="132"/>
        <v>0</v>
      </c>
      <c r="BQ35" s="496">
        <v>0</v>
      </c>
      <c r="BR35" s="497">
        <f t="shared" si="21"/>
        <v>0</v>
      </c>
      <c r="BS35" s="498">
        <f t="shared" si="133"/>
        <v>0</v>
      </c>
      <c r="BT35" s="496"/>
      <c r="BU35" s="497">
        <f t="shared" si="22"/>
        <v>0</v>
      </c>
      <c r="BV35" s="498">
        <f t="shared" si="134"/>
        <v>0</v>
      </c>
      <c r="BW35" s="496"/>
      <c r="BX35" s="497">
        <f t="shared" si="23"/>
        <v>0</v>
      </c>
      <c r="BY35" s="498">
        <f t="shared" si="135"/>
        <v>0</v>
      </c>
      <c r="BZ35" s="496"/>
      <c r="CA35" s="497">
        <f t="shared" si="24"/>
        <v>0</v>
      </c>
      <c r="CB35" s="498">
        <f t="shared" si="136"/>
        <v>0</v>
      </c>
      <c r="CC35" s="496">
        <v>0</v>
      </c>
      <c r="CD35" s="497">
        <f t="shared" si="25"/>
        <v>0</v>
      </c>
      <c r="CE35" s="498">
        <f t="shared" si="137"/>
        <v>0</v>
      </c>
      <c r="CF35" s="496">
        <v>7.1999999999999913</v>
      </c>
      <c r="CG35" s="497">
        <f t="shared" si="26"/>
        <v>0.15189552963017638</v>
      </c>
      <c r="CH35" s="498">
        <f t="shared" si="138"/>
        <v>0</v>
      </c>
      <c r="CI35" s="496"/>
      <c r="CJ35" s="497">
        <f t="shared" si="27"/>
        <v>0</v>
      </c>
      <c r="CK35" s="498">
        <f t="shared" si="139"/>
        <v>0</v>
      </c>
      <c r="CL35" s="496"/>
      <c r="CM35" s="497">
        <f t="shared" si="28"/>
        <v>0</v>
      </c>
      <c r="CN35" s="498">
        <f t="shared" si="140"/>
        <v>0</v>
      </c>
      <c r="CO35" s="496"/>
      <c r="CP35" s="497">
        <f t="shared" si="29"/>
        <v>0</v>
      </c>
      <c r="CQ35" s="498">
        <f t="shared" si="141"/>
        <v>0</v>
      </c>
      <c r="CR35" s="496"/>
      <c r="CS35" s="497">
        <f t="shared" si="30"/>
        <v>0</v>
      </c>
      <c r="CT35" s="498">
        <f t="shared" si="142"/>
        <v>0</v>
      </c>
      <c r="CU35" s="496"/>
      <c r="CV35" s="497">
        <f t="shared" si="31"/>
        <v>0</v>
      </c>
      <c r="CW35" s="498">
        <f t="shared" si="143"/>
        <v>0</v>
      </c>
      <c r="CX35" s="496"/>
      <c r="CY35" s="497">
        <f t="shared" si="32"/>
        <v>0</v>
      </c>
      <c r="CZ35" s="498">
        <f t="shared" si="144"/>
        <v>0</v>
      </c>
      <c r="DA35" s="496"/>
      <c r="DB35" s="497">
        <f t="shared" si="33"/>
        <v>0</v>
      </c>
      <c r="DC35" s="498">
        <f t="shared" si="145"/>
        <v>0</v>
      </c>
      <c r="DD35" s="496"/>
      <c r="DE35" s="497">
        <f t="shared" si="34"/>
        <v>0</v>
      </c>
      <c r="DF35" s="498">
        <f t="shared" si="146"/>
        <v>0</v>
      </c>
      <c r="DG35" s="496"/>
      <c r="DH35" s="497">
        <f t="shared" si="35"/>
        <v>0</v>
      </c>
      <c r="DI35" s="498">
        <f t="shared" si="203"/>
        <v>0</v>
      </c>
      <c r="DJ35" s="496"/>
      <c r="DK35" s="497">
        <f t="shared" si="36"/>
        <v>0</v>
      </c>
      <c r="DL35" s="498">
        <f t="shared" si="147"/>
        <v>0</v>
      </c>
      <c r="DM35" s="496"/>
      <c r="DN35" s="497">
        <f t="shared" si="37"/>
        <v>0</v>
      </c>
      <c r="DO35" s="498">
        <f t="shared" si="148"/>
        <v>0</v>
      </c>
      <c r="DP35" s="496"/>
      <c r="DQ35" s="497">
        <f t="shared" si="38"/>
        <v>0</v>
      </c>
      <c r="DR35" s="498">
        <f t="shared" si="149"/>
        <v>0</v>
      </c>
      <c r="DS35" s="496"/>
      <c r="DT35" s="497">
        <f t="shared" si="39"/>
        <v>0</v>
      </c>
      <c r="DU35" s="498">
        <f t="shared" si="150"/>
        <v>0</v>
      </c>
      <c r="DV35" s="496"/>
      <c r="DW35" s="497">
        <f t="shared" si="40"/>
        <v>0</v>
      </c>
      <c r="DX35" s="498">
        <f t="shared" si="151"/>
        <v>0</v>
      </c>
      <c r="DY35" s="496">
        <v>0</v>
      </c>
      <c r="DZ35" s="497">
        <f t="shared" si="41"/>
        <v>0</v>
      </c>
      <c r="EA35" s="498">
        <f t="shared" si="152"/>
        <v>0</v>
      </c>
      <c r="EB35" s="496">
        <v>14.534883720930225</v>
      </c>
      <c r="EC35" s="497">
        <f t="shared" si="42"/>
        <v>0.30663664734773999</v>
      </c>
      <c r="ED35" s="498">
        <f t="shared" si="153"/>
        <v>0</v>
      </c>
      <c r="EE35" s="496">
        <v>7</v>
      </c>
      <c r="EF35" s="497">
        <f t="shared" si="43"/>
        <v>0.14767620936267167</v>
      </c>
      <c r="EG35" s="498">
        <f t="shared" si="154"/>
        <v>0</v>
      </c>
      <c r="EH35" s="496"/>
      <c r="EI35" s="497">
        <f t="shared" si="44"/>
        <v>0</v>
      </c>
      <c r="EJ35" s="498">
        <f t="shared" si="155"/>
        <v>0</v>
      </c>
      <c r="EK35" s="496"/>
      <c r="EL35" s="497">
        <f t="shared" si="45"/>
        <v>0</v>
      </c>
      <c r="EM35" s="498">
        <f t="shared" si="156"/>
        <v>0</v>
      </c>
      <c r="EN35" s="496"/>
      <c r="EO35" s="497">
        <f t="shared" si="46"/>
        <v>0</v>
      </c>
      <c r="EP35" s="498">
        <f t="shared" si="157"/>
        <v>0</v>
      </c>
      <c r="EQ35" s="496"/>
      <c r="ER35" s="497">
        <f t="shared" si="47"/>
        <v>0</v>
      </c>
      <c r="ES35" s="498">
        <f t="shared" si="158"/>
        <v>0</v>
      </c>
      <c r="ET35" s="496"/>
      <c r="EU35" s="497">
        <f t="shared" si="48"/>
        <v>0</v>
      </c>
      <c r="EV35" s="498">
        <f t="shared" si="159"/>
        <v>0</v>
      </c>
      <c r="EW35" s="496"/>
      <c r="EX35" s="497">
        <f t="shared" si="49"/>
        <v>0</v>
      </c>
      <c r="EY35" s="498">
        <f t="shared" si="160"/>
        <v>0</v>
      </c>
      <c r="EZ35" s="496"/>
      <c r="FA35" s="497">
        <f t="shared" si="50"/>
        <v>0</v>
      </c>
      <c r="FB35" s="498">
        <f t="shared" si="161"/>
        <v>0</v>
      </c>
      <c r="FC35" s="496"/>
      <c r="FD35" s="497">
        <f t="shared" si="51"/>
        <v>0</v>
      </c>
      <c r="FE35" s="498">
        <f t="shared" si="162"/>
        <v>0</v>
      </c>
      <c r="FF35" s="496"/>
      <c r="FG35" s="497">
        <f t="shared" si="52"/>
        <v>0</v>
      </c>
      <c r="FH35" s="498">
        <f t="shared" si="163"/>
        <v>0</v>
      </c>
      <c r="FI35" s="496"/>
      <c r="FJ35" s="497">
        <f t="shared" si="53"/>
        <v>0</v>
      </c>
      <c r="FK35" s="498">
        <f t="shared" si="164"/>
        <v>0</v>
      </c>
      <c r="FL35" s="496"/>
      <c r="FM35" s="497">
        <f t="shared" si="54"/>
        <v>0</v>
      </c>
      <c r="FN35" s="498">
        <f t="shared" si="165"/>
        <v>0</v>
      </c>
      <c r="FO35" s="496"/>
      <c r="FP35" s="497">
        <f t="shared" si="55"/>
        <v>0</v>
      </c>
      <c r="FQ35" s="498">
        <f t="shared" si="166"/>
        <v>0</v>
      </c>
      <c r="FR35" s="496"/>
      <c r="FS35" s="497">
        <f t="shared" si="56"/>
        <v>0</v>
      </c>
      <c r="FT35" s="498">
        <f t="shared" si="167"/>
        <v>0</v>
      </c>
      <c r="FU35" s="496"/>
      <c r="FV35" s="497">
        <f t="shared" si="57"/>
        <v>0</v>
      </c>
      <c r="FW35" s="498">
        <f t="shared" si="168"/>
        <v>0</v>
      </c>
      <c r="FX35" s="496"/>
      <c r="FY35" s="497">
        <f t="shared" si="58"/>
        <v>0</v>
      </c>
      <c r="FZ35" s="498">
        <f t="shared" si="169"/>
        <v>0</v>
      </c>
      <c r="GA35" s="496"/>
      <c r="GB35" s="497">
        <f t="shared" si="59"/>
        <v>0</v>
      </c>
      <c r="GC35" s="498">
        <f t="shared" si="170"/>
        <v>0</v>
      </c>
      <c r="GD35" s="496"/>
      <c r="GE35" s="497">
        <f t="shared" si="60"/>
        <v>0</v>
      </c>
      <c r="GF35" s="498">
        <f t="shared" si="171"/>
        <v>0</v>
      </c>
      <c r="GG35" s="496"/>
      <c r="GH35" s="497">
        <f t="shared" si="61"/>
        <v>0</v>
      </c>
      <c r="GI35" s="498">
        <f t="shared" si="172"/>
        <v>0</v>
      </c>
      <c r="GJ35" s="496"/>
      <c r="GK35" s="497">
        <f t="shared" si="62"/>
        <v>0</v>
      </c>
      <c r="GL35" s="498">
        <f t="shared" si="173"/>
        <v>0</v>
      </c>
      <c r="GM35" s="496"/>
      <c r="GN35" s="497">
        <f t="shared" si="63"/>
        <v>0</v>
      </c>
      <c r="GO35" s="498">
        <f t="shared" si="174"/>
        <v>0</v>
      </c>
      <c r="GP35" s="496"/>
      <c r="GQ35" s="497">
        <f t="shared" si="64"/>
        <v>0</v>
      </c>
      <c r="GR35" s="498">
        <f t="shared" si="175"/>
        <v>0</v>
      </c>
      <c r="GS35" s="496"/>
      <c r="GT35" s="497">
        <f t="shared" si="65"/>
        <v>0</v>
      </c>
      <c r="GU35" s="498">
        <f t="shared" si="176"/>
        <v>0</v>
      </c>
      <c r="GV35" s="496"/>
      <c r="GW35" s="497">
        <f t="shared" si="66"/>
        <v>0</v>
      </c>
      <c r="GX35" s="498">
        <f t="shared" si="177"/>
        <v>0</v>
      </c>
      <c r="GY35" s="496"/>
      <c r="GZ35" s="497">
        <f t="shared" si="67"/>
        <v>0</v>
      </c>
      <c r="HA35" s="498">
        <f t="shared" si="178"/>
        <v>0</v>
      </c>
      <c r="HB35" s="496"/>
      <c r="HC35" s="497">
        <f t="shared" si="68"/>
        <v>0</v>
      </c>
      <c r="HD35" s="498">
        <f t="shared" si="179"/>
        <v>0</v>
      </c>
      <c r="HE35" s="496"/>
      <c r="HF35" s="497">
        <f t="shared" si="69"/>
        <v>0</v>
      </c>
      <c r="HG35" s="498">
        <f t="shared" si="180"/>
        <v>0</v>
      </c>
      <c r="HH35" s="496"/>
      <c r="HI35" s="497">
        <f t="shared" si="70"/>
        <v>0</v>
      </c>
      <c r="HJ35" s="498">
        <f t="shared" si="181"/>
        <v>0</v>
      </c>
      <c r="HK35" s="496"/>
      <c r="HL35" s="497">
        <f t="shared" si="71"/>
        <v>0</v>
      </c>
      <c r="HM35" s="498">
        <f t="shared" si="182"/>
        <v>0</v>
      </c>
      <c r="HN35" s="496"/>
      <c r="HO35" s="497">
        <f t="shared" si="72"/>
        <v>0</v>
      </c>
      <c r="HP35" s="498">
        <f t="shared" si="183"/>
        <v>0</v>
      </c>
      <c r="HQ35" s="496"/>
      <c r="HR35" s="497">
        <f t="shared" si="73"/>
        <v>0</v>
      </c>
      <c r="HS35" s="498">
        <f t="shared" si="184"/>
        <v>0</v>
      </c>
      <c r="HT35" s="496"/>
      <c r="HU35" s="497">
        <f t="shared" si="74"/>
        <v>0</v>
      </c>
      <c r="HV35" s="498">
        <f t="shared" si="185"/>
        <v>0</v>
      </c>
      <c r="HW35" s="496"/>
      <c r="HX35" s="497">
        <f t="shared" si="75"/>
        <v>0</v>
      </c>
      <c r="HY35" s="498">
        <f t="shared" si="186"/>
        <v>0</v>
      </c>
      <c r="HZ35" s="496"/>
      <c r="IA35" s="497">
        <f t="shared" si="76"/>
        <v>0</v>
      </c>
      <c r="IB35" s="498">
        <f t="shared" si="187"/>
        <v>0</v>
      </c>
      <c r="IC35" s="496"/>
      <c r="ID35" s="497">
        <f t="shared" si="77"/>
        <v>0</v>
      </c>
      <c r="IE35" s="498">
        <f t="shared" si="188"/>
        <v>0</v>
      </c>
      <c r="IF35" s="496"/>
      <c r="IG35" s="497">
        <f t="shared" si="78"/>
        <v>0</v>
      </c>
      <c r="IH35" s="498">
        <f t="shared" si="189"/>
        <v>0</v>
      </c>
      <c r="II35" s="496"/>
      <c r="IJ35" s="497">
        <f t="shared" si="79"/>
        <v>0</v>
      </c>
      <c r="IK35" s="498">
        <f t="shared" si="190"/>
        <v>0</v>
      </c>
      <c r="IL35" s="496"/>
      <c r="IM35" s="497">
        <f t="shared" si="80"/>
        <v>0</v>
      </c>
      <c r="IN35" s="498">
        <f t="shared" si="191"/>
        <v>0</v>
      </c>
      <c r="IO35" s="496"/>
      <c r="IP35" s="497">
        <f t="shared" si="81"/>
        <v>0</v>
      </c>
      <c r="IQ35" s="498">
        <f t="shared" si="192"/>
        <v>0</v>
      </c>
      <c r="IR35" s="496"/>
      <c r="IS35" s="497">
        <f t="shared" si="82"/>
        <v>0</v>
      </c>
      <c r="IT35" s="498">
        <f t="shared" si="193"/>
        <v>0</v>
      </c>
      <c r="IU35" s="496"/>
      <c r="IV35" s="497">
        <f t="shared" si="83"/>
        <v>0</v>
      </c>
      <c r="IW35" s="498">
        <f t="shared" si="194"/>
        <v>0</v>
      </c>
      <c r="IX35" s="496"/>
      <c r="IY35" s="497">
        <f t="shared" si="84"/>
        <v>0</v>
      </c>
      <c r="IZ35" s="498">
        <f t="shared" si="195"/>
        <v>0</v>
      </c>
      <c r="JA35" s="496"/>
      <c r="JB35" s="497">
        <f t="shared" si="85"/>
        <v>0</v>
      </c>
      <c r="JC35" s="498">
        <f t="shared" si="196"/>
        <v>0</v>
      </c>
      <c r="JD35" s="496"/>
      <c r="JE35" s="497">
        <f t="shared" si="86"/>
        <v>0</v>
      </c>
      <c r="JF35" s="498">
        <f t="shared" si="197"/>
        <v>0</v>
      </c>
      <c r="JG35" s="496"/>
      <c r="JH35" s="497">
        <f t="shared" si="87"/>
        <v>0</v>
      </c>
      <c r="JI35" s="498">
        <f t="shared" si="198"/>
        <v>0</v>
      </c>
      <c r="JJ35" s="496"/>
      <c r="JK35" s="498" t="str">
        <f t="shared" si="88"/>
        <v>0</v>
      </c>
      <c r="JL35" s="498" t="str">
        <f t="shared" si="89"/>
        <v>0</v>
      </c>
      <c r="JM35" s="496"/>
      <c r="JN35" s="498" t="str">
        <f t="shared" si="90"/>
        <v>0</v>
      </c>
      <c r="JO35" s="498" t="str">
        <f t="shared" si="91"/>
        <v>0</v>
      </c>
      <c r="JP35" s="496"/>
      <c r="JQ35" s="498" t="str">
        <f t="shared" si="92"/>
        <v>0</v>
      </c>
      <c r="JR35" s="498" t="str">
        <f t="shared" si="93"/>
        <v>0</v>
      </c>
      <c r="JS35" s="496"/>
      <c r="JT35" s="498" t="str">
        <f t="shared" si="94"/>
        <v>0</v>
      </c>
      <c r="JU35" s="498" t="str">
        <f t="shared" si="95"/>
        <v>0</v>
      </c>
      <c r="JV35" s="496"/>
      <c r="JW35" s="498" t="str">
        <f t="shared" si="96"/>
        <v>0</v>
      </c>
      <c r="JX35" s="498" t="str">
        <f t="shared" si="97"/>
        <v>0</v>
      </c>
      <c r="JY35" s="496"/>
      <c r="JZ35" s="498" t="str">
        <f t="shared" si="98"/>
        <v>0</v>
      </c>
      <c r="KA35" s="498" t="str">
        <f t="shared" si="99"/>
        <v>0</v>
      </c>
      <c r="KB35" s="496"/>
      <c r="KC35" s="498" t="str">
        <f t="shared" si="100"/>
        <v>0</v>
      </c>
      <c r="KD35" s="498" t="str">
        <f t="shared" si="101"/>
        <v>0</v>
      </c>
      <c r="KE35" s="496"/>
      <c r="KF35" s="498" t="str">
        <f t="shared" si="102"/>
        <v>0</v>
      </c>
      <c r="KG35" s="498" t="str">
        <f t="shared" si="103"/>
        <v>0</v>
      </c>
      <c r="KH35" s="496"/>
      <c r="KI35" s="498" t="str">
        <f t="shared" si="104"/>
        <v>0</v>
      </c>
      <c r="KJ35" s="498" t="str">
        <f t="shared" si="105"/>
        <v>0</v>
      </c>
      <c r="KK35" s="496"/>
      <c r="KL35" s="498" t="str">
        <f t="shared" si="106"/>
        <v>0</v>
      </c>
      <c r="KM35" s="498" t="str">
        <f t="shared" si="107"/>
        <v>0</v>
      </c>
      <c r="KN35" s="496"/>
      <c r="KO35" s="498" t="str">
        <f t="shared" si="108"/>
        <v>0</v>
      </c>
      <c r="KP35" s="498" t="str">
        <f t="shared" si="109"/>
        <v>0</v>
      </c>
      <c r="KQ35" s="496"/>
      <c r="KR35" s="498" t="str">
        <f t="shared" si="110"/>
        <v>0</v>
      </c>
      <c r="KS35" s="498" t="str">
        <f t="shared" si="111"/>
        <v>0</v>
      </c>
      <c r="KT35" s="498">
        <f t="shared" si="201"/>
        <v>0</v>
      </c>
      <c r="KU35" s="498">
        <f t="shared" si="202"/>
        <v>0</v>
      </c>
      <c r="KV35" s="262">
        <f t="shared" si="199"/>
        <v>597.75225408025824</v>
      </c>
    </row>
    <row r="36" spans="1:308" ht="15" customHeight="1">
      <c r="A36" s="264">
        <f t="shared" si="200"/>
        <v>46018</v>
      </c>
      <c r="B36" s="265" t="str">
        <f>+Report1!B35</f>
        <v>Facial</v>
      </c>
      <c r="C36" s="392" t="str">
        <f>+Report1!C35</f>
        <v>12,5/12</v>
      </c>
      <c r="D36" s="266">
        <f>+Report1!P35</f>
        <v>47.981999999999999</v>
      </c>
      <c r="E36" s="267">
        <f>+Report1!R35</f>
        <v>50.04</v>
      </c>
      <c r="F36" s="496"/>
      <c r="G36" s="497">
        <f t="shared" si="0"/>
        <v>0</v>
      </c>
      <c r="H36" s="498">
        <f t="shared" si="112"/>
        <v>0</v>
      </c>
      <c r="I36" s="496">
        <v>389.53488372093028</v>
      </c>
      <c r="J36" s="497">
        <f t="shared" si="1"/>
        <v>7.7844700983399342</v>
      </c>
      <c r="K36" s="498">
        <f t="shared" si="113"/>
        <v>0</v>
      </c>
      <c r="L36" s="496"/>
      <c r="M36" s="497">
        <f t="shared" si="2"/>
        <v>0</v>
      </c>
      <c r="N36" s="498">
        <f t="shared" si="114"/>
        <v>0</v>
      </c>
      <c r="O36" s="496">
        <v>9</v>
      </c>
      <c r="P36" s="497">
        <f t="shared" si="3"/>
        <v>0.17985611510791366</v>
      </c>
      <c r="Q36" s="498">
        <f t="shared" si="115"/>
        <v>0</v>
      </c>
      <c r="R36" s="496">
        <v>12.8125</v>
      </c>
      <c r="S36" s="497">
        <f t="shared" si="4"/>
        <v>0.25604516386890486</v>
      </c>
      <c r="T36" s="498">
        <f t="shared" si="116"/>
        <v>0</v>
      </c>
      <c r="U36" s="496">
        <v>2.3437499999999716</v>
      </c>
      <c r="V36" s="497">
        <f t="shared" si="5"/>
        <v>4.6837529976018616E-2</v>
      </c>
      <c r="W36" s="498">
        <f t="shared" si="117"/>
        <v>0</v>
      </c>
      <c r="X36" s="496"/>
      <c r="Y36" s="497">
        <f t="shared" si="6"/>
        <v>0</v>
      </c>
      <c r="Z36" s="498">
        <f t="shared" si="118"/>
        <v>0</v>
      </c>
      <c r="AA36" s="496"/>
      <c r="AB36" s="497">
        <f t="shared" si="7"/>
        <v>0</v>
      </c>
      <c r="AC36" s="498">
        <f t="shared" si="119"/>
        <v>0</v>
      </c>
      <c r="AD36" s="496"/>
      <c r="AE36" s="497">
        <f t="shared" si="8"/>
        <v>0</v>
      </c>
      <c r="AF36" s="498">
        <f t="shared" si="120"/>
        <v>0</v>
      </c>
      <c r="AG36" s="496"/>
      <c r="AH36" s="497">
        <f t="shared" si="9"/>
        <v>0</v>
      </c>
      <c r="AI36" s="498">
        <f t="shared" si="121"/>
        <v>0</v>
      </c>
      <c r="AJ36" s="496"/>
      <c r="AK36" s="497">
        <f t="shared" si="10"/>
        <v>0</v>
      </c>
      <c r="AL36" s="498">
        <f t="shared" si="122"/>
        <v>0</v>
      </c>
      <c r="AM36" s="496"/>
      <c r="AN36" s="497">
        <f t="shared" si="11"/>
        <v>0</v>
      </c>
      <c r="AO36" s="498">
        <f t="shared" si="123"/>
        <v>0</v>
      </c>
      <c r="AP36" s="496">
        <v>56.249999999999943</v>
      </c>
      <c r="AQ36" s="497">
        <f t="shared" si="12"/>
        <v>1.1241007194244592</v>
      </c>
      <c r="AR36" s="498">
        <f t="shared" si="124"/>
        <v>0</v>
      </c>
      <c r="AS36" s="496"/>
      <c r="AT36" s="497">
        <f t="shared" si="13"/>
        <v>0</v>
      </c>
      <c r="AU36" s="498">
        <f t="shared" si="125"/>
        <v>0</v>
      </c>
      <c r="AV36" s="496">
        <v>8.3249999999999886</v>
      </c>
      <c r="AW36" s="497">
        <f t="shared" si="14"/>
        <v>0.16636690647481991</v>
      </c>
      <c r="AX36" s="498">
        <f t="shared" si="126"/>
        <v>0</v>
      </c>
      <c r="AY36" s="496">
        <v>73.5</v>
      </c>
      <c r="AZ36" s="497">
        <f t="shared" si="15"/>
        <v>1.4688249400479616</v>
      </c>
      <c r="BA36" s="498">
        <f t="shared" si="127"/>
        <v>0</v>
      </c>
      <c r="BB36" s="496"/>
      <c r="BC36" s="497">
        <f t="shared" si="16"/>
        <v>0</v>
      </c>
      <c r="BD36" s="498">
        <f t="shared" si="128"/>
        <v>0</v>
      </c>
      <c r="BE36" s="496"/>
      <c r="BF36" s="497">
        <f t="shared" si="17"/>
        <v>0</v>
      </c>
      <c r="BG36" s="498">
        <f t="shared" si="129"/>
        <v>0</v>
      </c>
      <c r="BH36" s="496"/>
      <c r="BI36" s="497">
        <f t="shared" si="18"/>
        <v>0</v>
      </c>
      <c r="BJ36" s="498">
        <f t="shared" si="130"/>
        <v>0</v>
      </c>
      <c r="BK36" s="496"/>
      <c r="BL36" s="497">
        <f t="shared" si="19"/>
        <v>0</v>
      </c>
      <c r="BM36" s="498">
        <f t="shared" si="131"/>
        <v>0</v>
      </c>
      <c r="BN36" s="496">
        <v>26.574074074074069</v>
      </c>
      <c r="BO36" s="497">
        <f t="shared" si="20"/>
        <v>0.53105663617254339</v>
      </c>
      <c r="BP36" s="498">
        <f t="shared" si="132"/>
        <v>0</v>
      </c>
      <c r="BQ36" s="496">
        <v>0</v>
      </c>
      <c r="BR36" s="497">
        <f t="shared" si="21"/>
        <v>0</v>
      </c>
      <c r="BS36" s="498">
        <f t="shared" si="133"/>
        <v>0</v>
      </c>
      <c r="BT36" s="496"/>
      <c r="BU36" s="497">
        <f t="shared" si="22"/>
        <v>0</v>
      </c>
      <c r="BV36" s="498">
        <f t="shared" si="134"/>
        <v>0</v>
      </c>
      <c r="BW36" s="496"/>
      <c r="BX36" s="497">
        <f t="shared" si="23"/>
        <v>0</v>
      </c>
      <c r="BY36" s="498">
        <f t="shared" si="135"/>
        <v>0</v>
      </c>
      <c r="BZ36" s="496"/>
      <c r="CA36" s="497">
        <f t="shared" si="24"/>
        <v>0</v>
      </c>
      <c r="CB36" s="498">
        <f t="shared" si="136"/>
        <v>0</v>
      </c>
      <c r="CC36" s="496">
        <v>0</v>
      </c>
      <c r="CD36" s="497">
        <f t="shared" si="25"/>
        <v>0</v>
      </c>
      <c r="CE36" s="498">
        <f t="shared" si="137"/>
        <v>0</v>
      </c>
      <c r="CF36" s="496">
        <v>7</v>
      </c>
      <c r="CG36" s="497">
        <f t="shared" si="26"/>
        <v>0.13988808952837731</v>
      </c>
      <c r="CH36" s="498">
        <f t="shared" si="138"/>
        <v>0</v>
      </c>
      <c r="CI36" s="496"/>
      <c r="CJ36" s="497">
        <f t="shared" si="27"/>
        <v>0</v>
      </c>
      <c r="CK36" s="498">
        <f t="shared" si="139"/>
        <v>0</v>
      </c>
      <c r="CL36" s="496"/>
      <c r="CM36" s="497">
        <f t="shared" si="28"/>
        <v>0</v>
      </c>
      <c r="CN36" s="498">
        <f t="shared" si="140"/>
        <v>0</v>
      </c>
      <c r="CO36" s="496"/>
      <c r="CP36" s="497">
        <f t="shared" si="29"/>
        <v>0</v>
      </c>
      <c r="CQ36" s="498">
        <f t="shared" si="141"/>
        <v>0</v>
      </c>
      <c r="CR36" s="496"/>
      <c r="CS36" s="497">
        <f t="shared" si="30"/>
        <v>0</v>
      </c>
      <c r="CT36" s="498">
        <f t="shared" si="142"/>
        <v>0</v>
      </c>
      <c r="CU36" s="496"/>
      <c r="CV36" s="497">
        <f t="shared" si="31"/>
        <v>0</v>
      </c>
      <c r="CW36" s="498">
        <f t="shared" si="143"/>
        <v>0</v>
      </c>
      <c r="CX36" s="496"/>
      <c r="CY36" s="497">
        <f t="shared" si="32"/>
        <v>0</v>
      </c>
      <c r="CZ36" s="498">
        <f t="shared" si="144"/>
        <v>0</v>
      </c>
      <c r="DA36" s="496"/>
      <c r="DB36" s="497">
        <f t="shared" si="33"/>
        <v>0</v>
      </c>
      <c r="DC36" s="498">
        <f t="shared" si="145"/>
        <v>0</v>
      </c>
      <c r="DD36" s="496"/>
      <c r="DE36" s="497">
        <f t="shared" si="34"/>
        <v>0</v>
      </c>
      <c r="DF36" s="498">
        <f t="shared" si="146"/>
        <v>0</v>
      </c>
      <c r="DG36" s="496"/>
      <c r="DH36" s="497">
        <f t="shared" si="35"/>
        <v>0</v>
      </c>
      <c r="DI36" s="498">
        <f t="shared" si="203"/>
        <v>0</v>
      </c>
      <c r="DJ36" s="496"/>
      <c r="DK36" s="497">
        <f t="shared" si="36"/>
        <v>0</v>
      </c>
      <c r="DL36" s="498">
        <f t="shared" si="147"/>
        <v>0</v>
      </c>
      <c r="DM36" s="496"/>
      <c r="DN36" s="497">
        <f t="shared" si="37"/>
        <v>0</v>
      </c>
      <c r="DO36" s="498">
        <f t="shared" si="148"/>
        <v>0</v>
      </c>
      <c r="DP36" s="496"/>
      <c r="DQ36" s="497">
        <f t="shared" si="38"/>
        <v>0</v>
      </c>
      <c r="DR36" s="498">
        <f t="shared" si="149"/>
        <v>0</v>
      </c>
      <c r="DS36" s="496"/>
      <c r="DT36" s="497">
        <f t="shared" si="39"/>
        <v>0</v>
      </c>
      <c r="DU36" s="498">
        <f t="shared" si="150"/>
        <v>0</v>
      </c>
      <c r="DV36" s="496"/>
      <c r="DW36" s="497">
        <f t="shared" si="40"/>
        <v>0</v>
      </c>
      <c r="DX36" s="498">
        <f t="shared" si="151"/>
        <v>0</v>
      </c>
      <c r="DY36" s="496">
        <v>0</v>
      </c>
      <c r="DZ36" s="497">
        <f t="shared" si="41"/>
        <v>0</v>
      </c>
      <c r="EA36" s="498">
        <f t="shared" si="152"/>
        <v>0</v>
      </c>
      <c r="EB36" s="496">
        <v>14.534883720930225</v>
      </c>
      <c r="EC36" s="497">
        <f t="shared" si="42"/>
        <v>0.29046530217686301</v>
      </c>
      <c r="ED36" s="498">
        <f t="shared" si="153"/>
        <v>0</v>
      </c>
      <c r="EE36" s="496">
        <v>6</v>
      </c>
      <c r="EF36" s="497">
        <f t="shared" si="43"/>
        <v>0.11990407673860912</v>
      </c>
      <c r="EG36" s="498">
        <f t="shared" si="154"/>
        <v>0</v>
      </c>
      <c r="EH36" s="496"/>
      <c r="EI36" s="497">
        <f t="shared" si="44"/>
        <v>0</v>
      </c>
      <c r="EJ36" s="498">
        <f t="shared" si="155"/>
        <v>0</v>
      </c>
      <c r="EK36" s="496"/>
      <c r="EL36" s="497">
        <f t="shared" si="45"/>
        <v>0</v>
      </c>
      <c r="EM36" s="498">
        <f t="shared" si="156"/>
        <v>0</v>
      </c>
      <c r="EN36" s="496"/>
      <c r="EO36" s="497">
        <f t="shared" si="46"/>
        <v>0</v>
      </c>
      <c r="EP36" s="498">
        <f t="shared" si="157"/>
        <v>0</v>
      </c>
      <c r="EQ36" s="496"/>
      <c r="ER36" s="497">
        <f t="shared" si="47"/>
        <v>0</v>
      </c>
      <c r="ES36" s="498">
        <f t="shared" si="158"/>
        <v>0</v>
      </c>
      <c r="ET36" s="496"/>
      <c r="EU36" s="497">
        <f t="shared" si="48"/>
        <v>0</v>
      </c>
      <c r="EV36" s="498">
        <f t="shared" si="159"/>
        <v>0</v>
      </c>
      <c r="EW36" s="496"/>
      <c r="EX36" s="497">
        <f t="shared" si="49"/>
        <v>0</v>
      </c>
      <c r="EY36" s="498">
        <f t="shared" si="160"/>
        <v>0</v>
      </c>
      <c r="EZ36" s="496"/>
      <c r="FA36" s="497">
        <f t="shared" si="50"/>
        <v>0</v>
      </c>
      <c r="FB36" s="498">
        <f t="shared" si="161"/>
        <v>0</v>
      </c>
      <c r="FC36" s="496"/>
      <c r="FD36" s="497">
        <f t="shared" si="51"/>
        <v>0</v>
      </c>
      <c r="FE36" s="498">
        <f t="shared" si="162"/>
        <v>0</v>
      </c>
      <c r="FF36" s="496"/>
      <c r="FG36" s="497">
        <f t="shared" si="52"/>
        <v>0</v>
      </c>
      <c r="FH36" s="498">
        <f t="shared" si="163"/>
        <v>0</v>
      </c>
      <c r="FI36" s="496"/>
      <c r="FJ36" s="497">
        <f t="shared" si="53"/>
        <v>0</v>
      </c>
      <c r="FK36" s="498">
        <f t="shared" si="164"/>
        <v>0</v>
      </c>
      <c r="FL36" s="496"/>
      <c r="FM36" s="497">
        <f t="shared" si="54"/>
        <v>0</v>
      </c>
      <c r="FN36" s="498">
        <f t="shared" si="165"/>
        <v>0</v>
      </c>
      <c r="FO36" s="496"/>
      <c r="FP36" s="497">
        <f t="shared" si="55"/>
        <v>0</v>
      </c>
      <c r="FQ36" s="498">
        <f t="shared" si="166"/>
        <v>0</v>
      </c>
      <c r="FR36" s="496"/>
      <c r="FS36" s="497">
        <f t="shared" si="56"/>
        <v>0</v>
      </c>
      <c r="FT36" s="498">
        <f t="shared" si="167"/>
        <v>0</v>
      </c>
      <c r="FU36" s="496"/>
      <c r="FV36" s="497">
        <f t="shared" si="57"/>
        <v>0</v>
      </c>
      <c r="FW36" s="498">
        <f t="shared" si="168"/>
        <v>0</v>
      </c>
      <c r="FX36" s="496"/>
      <c r="FY36" s="497">
        <f t="shared" si="58"/>
        <v>0</v>
      </c>
      <c r="FZ36" s="498">
        <f t="shared" si="169"/>
        <v>0</v>
      </c>
      <c r="GA36" s="496"/>
      <c r="GB36" s="497">
        <f t="shared" si="59"/>
        <v>0</v>
      </c>
      <c r="GC36" s="498">
        <f t="shared" si="170"/>
        <v>0</v>
      </c>
      <c r="GD36" s="496"/>
      <c r="GE36" s="497">
        <f t="shared" si="60"/>
        <v>0</v>
      </c>
      <c r="GF36" s="498">
        <f t="shared" si="171"/>
        <v>0</v>
      </c>
      <c r="GG36" s="496"/>
      <c r="GH36" s="497">
        <f t="shared" si="61"/>
        <v>0</v>
      </c>
      <c r="GI36" s="498">
        <f t="shared" si="172"/>
        <v>0</v>
      </c>
      <c r="GJ36" s="496"/>
      <c r="GK36" s="497">
        <f t="shared" si="62"/>
        <v>0</v>
      </c>
      <c r="GL36" s="498">
        <f t="shared" si="173"/>
        <v>0</v>
      </c>
      <c r="GM36" s="496"/>
      <c r="GN36" s="497">
        <f t="shared" si="63"/>
        <v>0</v>
      </c>
      <c r="GO36" s="498">
        <f t="shared" si="174"/>
        <v>0</v>
      </c>
      <c r="GP36" s="496"/>
      <c r="GQ36" s="497">
        <f t="shared" si="64"/>
        <v>0</v>
      </c>
      <c r="GR36" s="498">
        <f t="shared" si="175"/>
        <v>0</v>
      </c>
      <c r="GS36" s="496"/>
      <c r="GT36" s="497">
        <f t="shared" si="65"/>
        <v>0</v>
      </c>
      <c r="GU36" s="498">
        <f t="shared" si="176"/>
        <v>0</v>
      </c>
      <c r="GV36" s="496"/>
      <c r="GW36" s="497">
        <f t="shared" si="66"/>
        <v>0</v>
      </c>
      <c r="GX36" s="498">
        <f t="shared" si="177"/>
        <v>0</v>
      </c>
      <c r="GY36" s="496"/>
      <c r="GZ36" s="497">
        <f t="shared" si="67"/>
        <v>0</v>
      </c>
      <c r="HA36" s="498">
        <f t="shared" si="178"/>
        <v>0</v>
      </c>
      <c r="HB36" s="496"/>
      <c r="HC36" s="497">
        <f t="shared" si="68"/>
        <v>0</v>
      </c>
      <c r="HD36" s="498">
        <f t="shared" si="179"/>
        <v>0</v>
      </c>
      <c r="HE36" s="496"/>
      <c r="HF36" s="497">
        <f t="shared" si="69"/>
        <v>0</v>
      </c>
      <c r="HG36" s="498">
        <f t="shared" si="180"/>
        <v>0</v>
      </c>
      <c r="HH36" s="496"/>
      <c r="HI36" s="497">
        <f t="shared" si="70"/>
        <v>0</v>
      </c>
      <c r="HJ36" s="498">
        <f t="shared" si="181"/>
        <v>0</v>
      </c>
      <c r="HK36" s="496"/>
      <c r="HL36" s="497">
        <f t="shared" si="71"/>
        <v>0</v>
      </c>
      <c r="HM36" s="498">
        <f t="shared" si="182"/>
        <v>0</v>
      </c>
      <c r="HN36" s="496"/>
      <c r="HO36" s="497">
        <f t="shared" si="72"/>
        <v>0</v>
      </c>
      <c r="HP36" s="498">
        <f t="shared" si="183"/>
        <v>0</v>
      </c>
      <c r="HQ36" s="496"/>
      <c r="HR36" s="497">
        <f t="shared" si="73"/>
        <v>0</v>
      </c>
      <c r="HS36" s="498">
        <f t="shared" si="184"/>
        <v>0</v>
      </c>
      <c r="HT36" s="496"/>
      <c r="HU36" s="497">
        <f t="shared" si="74"/>
        <v>0</v>
      </c>
      <c r="HV36" s="498">
        <f t="shared" si="185"/>
        <v>0</v>
      </c>
      <c r="HW36" s="496"/>
      <c r="HX36" s="497">
        <f t="shared" si="75"/>
        <v>0</v>
      </c>
      <c r="HY36" s="498">
        <f t="shared" si="186"/>
        <v>0</v>
      </c>
      <c r="HZ36" s="496"/>
      <c r="IA36" s="497">
        <f t="shared" si="76"/>
        <v>0</v>
      </c>
      <c r="IB36" s="498">
        <f t="shared" si="187"/>
        <v>0</v>
      </c>
      <c r="IC36" s="496"/>
      <c r="ID36" s="497">
        <f t="shared" si="77"/>
        <v>0</v>
      </c>
      <c r="IE36" s="498">
        <f t="shared" si="188"/>
        <v>0</v>
      </c>
      <c r="IF36" s="496"/>
      <c r="IG36" s="497">
        <f t="shared" si="78"/>
        <v>0</v>
      </c>
      <c r="IH36" s="498">
        <f t="shared" si="189"/>
        <v>0</v>
      </c>
      <c r="II36" s="496"/>
      <c r="IJ36" s="497">
        <f t="shared" si="79"/>
        <v>0</v>
      </c>
      <c r="IK36" s="498">
        <f t="shared" si="190"/>
        <v>0</v>
      </c>
      <c r="IL36" s="496"/>
      <c r="IM36" s="497">
        <f t="shared" si="80"/>
        <v>0</v>
      </c>
      <c r="IN36" s="498">
        <f t="shared" si="191"/>
        <v>0</v>
      </c>
      <c r="IO36" s="496"/>
      <c r="IP36" s="497">
        <f t="shared" si="81"/>
        <v>0</v>
      </c>
      <c r="IQ36" s="498">
        <f t="shared" si="192"/>
        <v>0</v>
      </c>
      <c r="IR36" s="496"/>
      <c r="IS36" s="497">
        <f t="shared" si="82"/>
        <v>0</v>
      </c>
      <c r="IT36" s="498">
        <f t="shared" si="193"/>
        <v>0</v>
      </c>
      <c r="IU36" s="496"/>
      <c r="IV36" s="497">
        <f t="shared" si="83"/>
        <v>0</v>
      </c>
      <c r="IW36" s="498">
        <f t="shared" si="194"/>
        <v>0</v>
      </c>
      <c r="IX36" s="496"/>
      <c r="IY36" s="497">
        <f t="shared" si="84"/>
        <v>0</v>
      </c>
      <c r="IZ36" s="498">
        <f t="shared" si="195"/>
        <v>0</v>
      </c>
      <c r="JA36" s="496"/>
      <c r="JB36" s="497">
        <f t="shared" si="85"/>
        <v>0</v>
      </c>
      <c r="JC36" s="498">
        <f t="shared" si="196"/>
        <v>0</v>
      </c>
      <c r="JD36" s="496"/>
      <c r="JE36" s="497">
        <f t="shared" si="86"/>
        <v>0</v>
      </c>
      <c r="JF36" s="498">
        <f t="shared" si="197"/>
        <v>0</v>
      </c>
      <c r="JG36" s="496"/>
      <c r="JH36" s="497">
        <f t="shared" si="87"/>
        <v>0</v>
      </c>
      <c r="JI36" s="498">
        <f t="shared" si="198"/>
        <v>0</v>
      </c>
      <c r="JJ36" s="496"/>
      <c r="JK36" s="498" t="str">
        <f t="shared" si="88"/>
        <v>0</v>
      </c>
      <c r="JL36" s="498" t="str">
        <f t="shared" si="89"/>
        <v>0</v>
      </c>
      <c r="JM36" s="496"/>
      <c r="JN36" s="498" t="str">
        <f t="shared" si="90"/>
        <v>0</v>
      </c>
      <c r="JO36" s="498" t="str">
        <f t="shared" si="91"/>
        <v>0</v>
      </c>
      <c r="JP36" s="496"/>
      <c r="JQ36" s="498" t="str">
        <f t="shared" si="92"/>
        <v>0</v>
      </c>
      <c r="JR36" s="498" t="str">
        <f t="shared" si="93"/>
        <v>0</v>
      </c>
      <c r="JS36" s="496"/>
      <c r="JT36" s="498" t="str">
        <f t="shared" si="94"/>
        <v>0</v>
      </c>
      <c r="JU36" s="498" t="str">
        <f t="shared" si="95"/>
        <v>0</v>
      </c>
      <c r="JV36" s="496"/>
      <c r="JW36" s="498" t="str">
        <f t="shared" si="96"/>
        <v>0</v>
      </c>
      <c r="JX36" s="498" t="str">
        <f t="shared" si="97"/>
        <v>0</v>
      </c>
      <c r="JY36" s="496"/>
      <c r="JZ36" s="498" t="str">
        <f t="shared" si="98"/>
        <v>0</v>
      </c>
      <c r="KA36" s="498" t="str">
        <f t="shared" si="99"/>
        <v>0</v>
      </c>
      <c r="KB36" s="496"/>
      <c r="KC36" s="498" t="str">
        <f t="shared" si="100"/>
        <v>0</v>
      </c>
      <c r="KD36" s="498" t="str">
        <f t="shared" si="101"/>
        <v>0</v>
      </c>
      <c r="KE36" s="496"/>
      <c r="KF36" s="498" t="str">
        <f t="shared" si="102"/>
        <v>0</v>
      </c>
      <c r="KG36" s="498" t="str">
        <f t="shared" si="103"/>
        <v>0</v>
      </c>
      <c r="KH36" s="496"/>
      <c r="KI36" s="498" t="str">
        <f t="shared" si="104"/>
        <v>0</v>
      </c>
      <c r="KJ36" s="498" t="str">
        <f t="shared" si="105"/>
        <v>0</v>
      </c>
      <c r="KK36" s="496"/>
      <c r="KL36" s="498" t="str">
        <f t="shared" si="106"/>
        <v>0</v>
      </c>
      <c r="KM36" s="498" t="str">
        <f t="shared" si="107"/>
        <v>0</v>
      </c>
      <c r="KN36" s="496"/>
      <c r="KO36" s="498" t="str">
        <f t="shared" si="108"/>
        <v>0</v>
      </c>
      <c r="KP36" s="498" t="str">
        <f t="shared" si="109"/>
        <v>0</v>
      </c>
      <c r="KQ36" s="496"/>
      <c r="KR36" s="498" t="str">
        <f t="shared" si="110"/>
        <v>0</v>
      </c>
      <c r="KS36" s="498" t="str">
        <f t="shared" si="111"/>
        <v>0</v>
      </c>
      <c r="KT36" s="498">
        <f t="shared" si="201"/>
        <v>0</v>
      </c>
      <c r="KU36" s="498">
        <f t="shared" si="202"/>
        <v>0</v>
      </c>
      <c r="KV36" s="262">
        <f t="shared" si="199"/>
        <v>605.8750915159344</v>
      </c>
    </row>
    <row r="37" spans="1:308" ht="15" customHeight="1">
      <c r="A37" s="264">
        <f t="shared" si="200"/>
        <v>46019</v>
      </c>
      <c r="B37" s="265" t="str">
        <f>+Report1!B36</f>
        <v>Facial</v>
      </c>
      <c r="C37" s="392" t="str">
        <f>+Report1!C36</f>
        <v>12</v>
      </c>
      <c r="D37" s="266">
        <f>+Report1!P36</f>
        <v>48.460999999999999</v>
      </c>
      <c r="E37" s="267">
        <f>+Report1!R36</f>
        <v>47.351999999999997</v>
      </c>
      <c r="F37" s="496"/>
      <c r="G37" s="497">
        <f>+F37/$E37</f>
        <v>0</v>
      </c>
      <c r="H37" s="498">
        <f>+F37*$H$9</f>
        <v>0</v>
      </c>
      <c r="I37" s="496">
        <v>389.53488372093028</v>
      </c>
      <c r="J37" s="497">
        <f>+I37/$E37</f>
        <v>8.2263660187728149</v>
      </c>
      <c r="K37" s="498">
        <f>+I37*$H$9</f>
        <v>0</v>
      </c>
      <c r="L37" s="496"/>
      <c r="M37" s="497">
        <f>+L37/$E37</f>
        <v>0</v>
      </c>
      <c r="N37" s="498">
        <f>+L37*$H$9</f>
        <v>0</v>
      </c>
      <c r="O37" s="496">
        <v>9</v>
      </c>
      <c r="P37" s="497">
        <f>+O37/$E37</f>
        <v>0.19006588950836292</v>
      </c>
      <c r="Q37" s="498">
        <f>+O37*$H$9</f>
        <v>0</v>
      </c>
      <c r="R37" s="496">
        <v>12.8125</v>
      </c>
      <c r="S37" s="497">
        <f>+R37/$E37</f>
        <v>0.27057991214732219</v>
      </c>
      <c r="T37" s="498">
        <f>+R37*$H$9</f>
        <v>0</v>
      </c>
      <c r="U37" s="496">
        <v>2.3437499999999716</v>
      </c>
      <c r="V37" s="497">
        <f>+U37/$E37</f>
        <v>4.9496325392802243E-2</v>
      </c>
      <c r="W37" s="498">
        <f>+U37*$H$9</f>
        <v>0</v>
      </c>
      <c r="X37" s="496"/>
      <c r="Y37" s="497">
        <f>+X37/$E37</f>
        <v>0</v>
      </c>
      <c r="Z37" s="498">
        <f>+X37*$H$9</f>
        <v>0</v>
      </c>
      <c r="AA37" s="496"/>
      <c r="AB37" s="497">
        <f>+AA37/$E37</f>
        <v>0</v>
      </c>
      <c r="AC37" s="498">
        <f>+AA37*$H$9</f>
        <v>0</v>
      </c>
      <c r="AD37" s="496"/>
      <c r="AE37" s="497">
        <f>+AD37/$E37</f>
        <v>0</v>
      </c>
      <c r="AF37" s="498">
        <f>+AD37*$H$9</f>
        <v>0</v>
      </c>
      <c r="AG37" s="496"/>
      <c r="AH37" s="497">
        <f>+AG37/$E37</f>
        <v>0</v>
      </c>
      <c r="AI37" s="498">
        <f>+AG37*$H$9</f>
        <v>0</v>
      </c>
      <c r="AJ37" s="496"/>
      <c r="AK37" s="497">
        <f>+AJ37/$E37</f>
        <v>0</v>
      </c>
      <c r="AL37" s="498">
        <f>+AJ37*$H$9</f>
        <v>0</v>
      </c>
      <c r="AM37" s="496"/>
      <c r="AN37" s="497">
        <f>+AM37/$E37</f>
        <v>0</v>
      </c>
      <c r="AO37" s="498">
        <f>+AM37*$H$9</f>
        <v>0</v>
      </c>
      <c r="AP37" s="496">
        <v>56.249999999999943</v>
      </c>
      <c r="AQ37" s="497">
        <f>+AP37/$E37</f>
        <v>1.1879118094272669</v>
      </c>
      <c r="AR37" s="498">
        <f>+AP37*$H$9</f>
        <v>0</v>
      </c>
      <c r="AS37" s="496"/>
      <c r="AT37" s="497">
        <f>+AS37/$E37</f>
        <v>0</v>
      </c>
      <c r="AU37" s="498">
        <f>+AS37*$H$9</f>
        <v>0</v>
      </c>
      <c r="AV37" s="496">
        <v>8.3249999999999886</v>
      </c>
      <c r="AW37" s="497">
        <f>+AV37/$E37</f>
        <v>0.17581094779523546</v>
      </c>
      <c r="AX37" s="498">
        <f>+AV37*$H$9</f>
        <v>0</v>
      </c>
      <c r="AY37" s="496">
        <v>73.5</v>
      </c>
      <c r="AZ37" s="497">
        <f>+AY37/$E37</f>
        <v>1.552204764318297</v>
      </c>
      <c r="BA37" s="498">
        <f>+AY37*$H$9</f>
        <v>0</v>
      </c>
      <c r="BB37" s="496"/>
      <c r="BC37" s="497">
        <f>+BB37/$E37</f>
        <v>0</v>
      </c>
      <c r="BD37" s="498">
        <f>+BB37*$H$9</f>
        <v>0</v>
      </c>
      <c r="BE37" s="496"/>
      <c r="BF37" s="497">
        <f>+BE37/$E37</f>
        <v>0</v>
      </c>
      <c r="BG37" s="498">
        <f>+BE37*$H$9</f>
        <v>0</v>
      </c>
      <c r="BH37" s="496"/>
      <c r="BI37" s="497">
        <f>+BH37/$E37</f>
        <v>0</v>
      </c>
      <c r="BJ37" s="498">
        <f>+BH37*$H$9</f>
        <v>0</v>
      </c>
      <c r="BK37" s="496"/>
      <c r="BL37" s="497">
        <f>+BK37/$E37</f>
        <v>0</v>
      </c>
      <c r="BM37" s="498">
        <f>+BK37*$H$9</f>
        <v>0</v>
      </c>
      <c r="BN37" s="496">
        <v>26.574074074074069</v>
      </c>
      <c r="BO37" s="497">
        <f>+BN37/$E37</f>
        <v>0.56120278075000152</v>
      </c>
      <c r="BP37" s="498">
        <f>+BN37*$H$9</f>
        <v>0</v>
      </c>
      <c r="BQ37" s="496">
        <v>0</v>
      </c>
      <c r="BR37" s="497">
        <f>+BQ37/$E37</f>
        <v>0</v>
      </c>
      <c r="BS37" s="498">
        <f>+BQ37*$H$9</f>
        <v>0</v>
      </c>
      <c r="BT37" s="496"/>
      <c r="BU37" s="497">
        <f>+BT37/$E37</f>
        <v>0</v>
      </c>
      <c r="BV37" s="498">
        <f>+BT37*$H$9</f>
        <v>0</v>
      </c>
      <c r="BW37" s="496"/>
      <c r="BX37" s="497">
        <f>+BW37/$E37</f>
        <v>0</v>
      </c>
      <c r="BY37" s="498">
        <f>+BW37*$H$9</f>
        <v>0</v>
      </c>
      <c r="BZ37" s="496"/>
      <c r="CA37" s="497">
        <f>+BZ37/$E37</f>
        <v>0</v>
      </c>
      <c r="CB37" s="498">
        <f>+BZ37*$H$9</f>
        <v>0</v>
      </c>
      <c r="CC37" s="496">
        <v>0</v>
      </c>
      <c r="CD37" s="497">
        <f>+CC37/$E37</f>
        <v>0</v>
      </c>
      <c r="CE37" s="498">
        <f>+CC37*$H$9</f>
        <v>0</v>
      </c>
      <c r="CF37" s="496">
        <v>7</v>
      </c>
      <c r="CG37" s="497">
        <f>+CF37/$E37</f>
        <v>0.14782902517317115</v>
      </c>
      <c r="CH37" s="498">
        <f>+CF37*$H$9</f>
        <v>0</v>
      </c>
      <c r="CI37" s="496"/>
      <c r="CJ37" s="497">
        <f>+CI37/$E37</f>
        <v>0</v>
      </c>
      <c r="CK37" s="498">
        <f>+CI37*$H$9</f>
        <v>0</v>
      </c>
      <c r="CL37" s="496"/>
      <c r="CM37" s="497">
        <f>+CL37/$E37</f>
        <v>0</v>
      </c>
      <c r="CN37" s="498">
        <f>+CL37*$H$9</f>
        <v>0</v>
      </c>
      <c r="CO37" s="496"/>
      <c r="CP37" s="497">
        <f>+CO37/$E37</f>
        <v>0</v>
      </c>
      <c r="CQ37" s="498">
        <f>+CO37*$H$9</f>
        <v>0</v>
      </c>
      <c r="CR37" s="496"/>
      <c r="CS37" s="497">
        <f>+CR37/$E37</f>
        <v>0</v>
      </c>
      <c r="CT37" s="498">
        <f>+CR37*$H$9</f>
        <v>0</v>
      </c>
      <c r="CU37" s="496"/>
      <c r="CV37" s="497">
        <f>+CU37/$E37</f>
        <v>0</v>
      </c>
      <c r="CW37" s="498">
        <f>+CU37*$H$9</f>
        <v>0</v>
      </c>
      <c r="CX37" s="496"/>
      <c r="CY37" s="497">
        <f>+CX37/$E37</f>
        <v>0</v>
      </c>
      <c r="CZ37" s="498">
        <f>+CX37*$H$9</f>
        <v>0</v>
      </c>
      <c r="DA37" s="496"/>
      <c r="DB37" s="497">
        <f>+DA37/$E37</f>
        <v>0</v>
      </c>
      <c r="DC37" s="498">
        <f>+DA37*$H$9</f>
        <v>0</v>
      </c>
      <c r="DD37" s="496"/>
      <c r="DE37" s="497">
        <f>+DD37/$E37</f>
        <v>0</v>
      </c>
      <c r="DF37" s="498">
        <f>+DD37*$H$9</f>
        <v>0</v>
      </c>
      <c r="DG37" s="496"/>
      <c r="DH37" s="497">
        <f>+DG37/$E37</f>
        <v>0</v>
      </c>
      <c r="DI37" s="498">
        <f>+DG37*$H$9</f>
        <v>0</v>
      </c>
      <c r="DJ37" s="496"/>
      <c r="DK37" s="497">
        <f>+DJ37/$E37</f>
        <v>0</v>
      </c>
      <c r="DL37" s="498">
        <f>+DJ37*$H$9</f>
        <v>0</v>
      </c>
      <c r="DM37" s="496"/>
      <c r="DN37" s="497">
        <f>+DM37/$E37</f>
        <v>0</v>
      </c>
      <c r="DO37" s="498">
        <f>+DM37*$H$9</f>
        <v>0</v>
      </c>
      <c r="DP37" s="496"/>
      <c r="DQ37" s="497">
        <f>+DP37/$E37</f>
        <v>0</v>
      </c>
      <c r="DR37" s="498">
        <f>+DP37*$H$9</f>
        <v>0</v>
      </c>
      <c r="DS37" s="496"/>
      <c r="DT37" s="497">
        <f>+DS37/$E37</f>
        <v>0</v>
      </c>
      <c r="DU37" s="498">
        <f>+DS37*$H$9</f>
        <v>0</v>
      </c>
      <c r="DV37" s="496"/>
      <c r="DW37" s="497">
        <f>+DV37/$E37</f>
        <v>0</v>
      </c>
      <c r="DX37" s="498">
        <f>+DV37*$H$9</f>
        <v>0</v>
      </c>
      <c r="DY37" s="496">
        <v>4.3099999999999996</v>
      </c>
      <c r="DZ37" s="497">
        <f>+DY37/$E37</f>
        <v>9.1020442642338231E-2</v>
      </c>
      <c r="EA37" s="498">
        <f>+DY37*$H$9</f>
        <v>0</v>
      </c>
      <c r="EB37" s="496">
        <v>14.534883720930225</v>
      </c>
      <c r="EC37" s="497">
        <f>+EB37/$E37</f>
        <v>0.30695395592435853</v>
      </c>
      <c r="ED37" s="498">
        <f>+EB37*$H$9</f>
        <v>0</v>
      </c>
      <c r="EE37" s="496">
        <v>6</v>
      </c>
      <c r="EF37" s="497">
        <f>+EE37/$E37</f>
        <v>0.12671059300557527</v>
      </c>
      <c r="EG37" s="498">
        <f>+EE37*$H$9</f>
        <v>0</v>
      </c>
      <c r="EH37" s="496"/>
      <c r="EI37" s="497">
        <f>+EH37/$E37</f>
        <v>0</v>
      </c>
      <c r="EJ37" s="498">
        <f>+EH37*$H$9</f>
        <v>0</v>
      </c>
      <c r="EK37" s="496"/>
      <c r="EL37" s="497">
        <f>+EK37/$E37</f>
        <v>0</v>
      </c>
      <c r="EM37" s="498">
        <f>+EK37*$H$9</f>
        <v>0</v>
      </c>
      <c r="EN37" s="496"/>
      <c r="EO37" s="497">
        <f>+EN37/$E37</f>
        <v>0</v>
      </c>
      <c r="EP37" s="498">
        <f>+EN37*$H$9</f>
        <v>0</v>
      </c>
      <c r="EQ37" s="496"/>
      <c r="ER37" s="497">
        <f>+EQ37/$E37</f>
        <v>0</v>
      </c>
      <c r="ES37" s="498">
        <f>+EQ37*$H$9</f>
        <v>0</v>
      </c>
      <c r="ET37" s="496"/>
      <c r="EU37" s="497">
        <f>+ET37/$E37</f>
        <v>0</v>
      </c>
      <c r="EV37" s="498">
        <f>+ET37*$H$9</f>
        <v>0</v>
      </c>
      <c r="EW37" s="496"/>
      <c r="EX37" s="497">
        <f>+EW37/$E37</f>
        <v>0</v>
      </c>
      <c r="EY37" s="498">
        <f>+EW37*$H$9</f>
        <v>0</v>
      </c>
      <c r="EZ37" s="496"/>
      <c r="FA37" s="497">
        <f>+EZ37/$E37</f>
        <v>0</v>
      </c>
      <c r="FB37" s="498">
        <f>+EZ37*$H$9</f>
        <v>0</v>
      </c>
      <c r="FC37" s="496"/>
      <c r="FD37" s="497">
        <f>+FC37/$E37</f>
        <v>0</v>
      </c>
      <c r="FE37" s="498">
        <f>+FC37*$H$9</f>
        <v>0</v>
      </c>
      <c r="FF37" s="496"/>
      <c r="FG37" s="497">
        <f>+FF37/$E37</f>
        <v>0</v>
      </c>
      <c r="FH37" s="498">
        <f>+FF37*$H$9</f>
        <v>0</v>
      </c>
      <c r="FI37" s="496"/>
      <c r="FJ37" s="497">
        <f>+FI37/$E37</f>
        <v>0</v>
      </c>
      <c r="FK37" s="498">
        <f>+FI37*$H$9</f>
        <v>0</v>
      </c>
      <c r="FL37" s="496"/>
      <c r="FM37" s="497">
        <f>+FL37/$E37</f>
        <v>0</v>
      </c>
      <c r="FN37" s="498">
        <f>+FL37*$H$9</f>
        <v>0</v>
      </c>
      <c r="FO37" s="496"/>
      <c r="FP37" s="497">
        <f>+FO37/$E37</f>
        <v>0</v>
      </c>
      <c r="FQ37" s="498">
        <f>+FO37*$H$9</f>
        <v>0</v>
      </c>
      <c r="FR37" s="496"/>
      <c r="FS37" s="497">
        <f>+FR37/$E37</f>
        <v>0</v>
      </c>
      <c r="FT37" s="498">
        <f>+FR37*$H$9</f>
        <v>0</v>
      </c>
      <c r="FU37" s="496"/>
      <c r="FV37" s="497">
        <f>+FU37/$E37</f>
        <v>0</v>
      </c>
      <c r="FW37" s="498">
        <f>+FU37*$H$9</f>
        <v>0</v>
      </c>
      <c r="FX37" s="496"/>
      <c r="FY37" s="497">
        <f>+FX37/$E37</f>
        <v>0</v>
      </c>
      <c r="FZ37" s="498">
        <f>+FX37*$H$9</f>
        <v>0</v>
      </c>
      <c r="GA37" s="496"/>
      <c r="GB37" s="497">
        <f>+GA37/$E37</f>
        <v>0</v>
      </c>
      <c r="GC37" s="498">
        <f>+GA37*$H$9</f>
        <v>0</v>
      </c>
      <c r="GD37" s="496"/>
      <c r="GE37" s="497">
        <f>+GD37/$E37</f>
        <v>0</v>
      </c>
      <c r="GF37" s="498">
        <f>+GD37*$H$9</f>
        <v>0</v>
      </c>
      <c r="GG37" s="496"/>
      <c r="GH37" s="497">
        <f>+GG37/$E37</f>
        <v>0</v>
      </c>
      <c r="GI37" s="498">
        <f>+GG37*$H$9</f>
        <v>0</v>
      </c>
      <c r="GJ37" s="496"/>
      <c r="GK37" s="497">
        <f>+GJ37/$E37</f>
        <v>0</v>
      </c>
      <c r="GL37" s="498">
        <f>+GJ37*$H$9</f>
        <v>0</v>
      </c>
      <c r="GM37" s="496"/>
      <c r="GN37" s="497">
        <f>+GM37/$E37</f>
        <v>0</v>
      </c>
      <c r="GO37" s="498">
        <f>+GM37*$H$9</f>
        <v>0</v>
      </c>
      <c r="GP37" s="496"/>
      <c r="GQ37" s="497">
        <f>+GP37/$E37</f>
        <v>0</v>
      </c>
      <c r="GR37" s="498">
        <f>+GP37*$H$9</f>
        <v>0</v>
      </c>
      <c r="GS37" s="496"/>
      <c r="GT37" s="497">
        <f>+GS37/$E37</f>
        <v>0</v>
      </c>
      <c r="GU37" s="498">
        <f>+GS37*$H$9</f>
        <v>0</v>
      </c>
      <c r="GV37" s="496"/>
      <c r="GW37" s="497">
        <f>+GV37/$E37</f>
        <v>0</v>
      </c>
      <c r="GX37" s="498">
        <f>+GV37*$H$9</f>
        <v>0</v>
      </c>
      <c r="GY37" s="496"/>
      <c r="GZ37" s="497">
        <f>+GY37/$E37</f>
        <v>0</v>
      </c>
      <c r="HA37" s="498">
        <f>+GY37*$H$9</f>
        <v>0</v>
      </c>
      <c r="HB37" s="496"/>
      <c r="HC37" s="497">
        <f>+HB37/$E37</f>
        <v>0</v>
      </c>
      <c r="HD37" s="498">
        <f>+HB37*$H$9</f>
        <v>0</v>
      </c>
      <c r="HE37" s="496"/>
      <c r="HF37" s="497">
        <f>+HE37/$E37</f>
        <v>0</v>
      </c>
      <c r="HG37" s="498">
        <f>+HE37*$H$9</f>
        <v>0</v>
      </c>
      <c r="HH37" s="496"/>
      <c r="HI37" s="497">
        <f>+HH37/$E37</f>
        <v>0</v>
      </c>
      <c r="HJ37" s="498">
        <f>+HH37*$H$9</f>
        <v>0</v>
      </c>
      <c r="HK37" s="496"/>
      <c r="HL37" s="497">
        <f>+HK37/$E37</f>
        <v>0</v>
      </c>
      <c r="HM37" s="498">
        <f>+HK37*$H$9</f>
        <v>0</v>
      </c>
      <c r="HN37" s="496"/>
      <c r="HO37" s="497">
        <f>+HN37/$E37</f>
        <v>0</v>
      </c>
      <c r="HP37" s="498">
        <f>+HN37*$H$9</f>
        <v>0</v>
      </c>
      <c r="HQ37" s="496"/>
      <c r="HR37" s="497">
        <f>+HQ37/$E37</f>
        <v>0</v>
      </c>
      <c r="HS37" s="498">
        <f>+HQ37*$H$9</f>
        <v>0</v>
      </c>
      <c r="HT37" s="496"/>
      <c r="HU37" s="497">
        <f>+HT37/$E37</f>
        <v>0</v>
      </c>
      <c r="HV37" s="498">
        <f>+HT37*$H$9</f>
        <v>0</v>
      </c>
      <c r="HW37" s="496"/>
      <c r="HX37" s="497">
        <f>+HW37/$E37</f>
        <v>0</v>
      </c>
      <c r="HY37" s="498">
        <f>+HW37*$H$9</f>
        <v>0</v>
      </c>
      <c r="HZ37" s="496"/>
      <c r="IA37" s="497">
        <f>+HZ37/$E37</f>
        <v>0</v>
      </c>
      <c r="IB37" s="498">
        <f>+HZ37*$H$9</f>
        <v>0</v>
      </c>
      <c r="IC37" s="496"/>
      <c r="ID37" s="497">
        <f>+IC37/$E37</f>
        <v>0</v>
      </c>
      <c r="IE37" s="498">
        <f>+IC37*$H$9</f>
        <v>0</v>
      </c>
      <c r="IF37" s="496"/>
      <c r="IG37" s="497">
        <f>+IF37/$E37</f>
        <v>0</v>
      </c>
      <c r="IH37" s="498">
        <f>+IF37*$H$9</f>
        <v>0</v>
      </c>
      <c r="II37" s="496"/>
      <c r="IJ37" s="497">
        <f>+II37/$E37</f>
        <v>0</v>
      </c>
      <c r="IK37" s="498">
        <f>+II37*$H$9</f>
        <v>0</v>
      </c>
      <c r="IL37" s="496"/>
      <c r="IM37" s="497">
        <f>+IL37/$E37</f>
        <v>0</v>
      </c>
      <c r="IN37" s="498">
        <f>+IL37*$H$9</f>
        <v>0</v>
      </c>
      <c r="IO37" s="496"/>
      <c r="IP37" s="497">
        <f>+IO37/$E37</f>
        <v>0</v>
      </c>
      <c r="IQ37" s="498">
        <f>+IO37*$H$9</f>
        <v>0</v>
      </c>
      <c r="IR37" s="496"/>
      <c r="IS37" s="497">
        <f>+IR37/$E37</f>
        <v>0</v>
      </c>
      <c r="IT37" s="498">
        <f>+IR37*$H$9</f>
        <v>0</v>
      </c>
      <c r="IU37" s="496"/>
      <c r="IV37" s="497">
        <f>+IU37/$E37</f>
        <v>0</v>
      </c>
      <c r="IW37" s="498">
        <f>+IU37*$H$9</f>
        <v>0</v>
      </c>
      <c r="IX37" s="496"/>
      <c r="IY37" s="497">
        <f>+IX37/$E37</f>
        <v>0</v>
      </c>
      <c r="IZ37" s="498">
        <f>+IX37*$H$9</f>
        <v>0</v>
      </c>
      <c r="JA37" s="496"/>
      <c r="JB37" s="497">
        <f>+JA37/$E37</f>
        <v>0</v>
      </c>
      <c r="JC37" s="498">
        <f>+JA37*$H$9</f>
        <v>0</v>
      </c>
      <c r="JD37" s="496"/>
      <c r="JE37" s="497">
        <f>+JD37/$E37</f>
        <v>0</v>
      </c>
      <c r="JF37" s="498">
        <f>+JD37*$H$9</f>
        <v>0</v>
      </c>
      <c r="JG37" s="496"/>
      <c r="JH37" s="497">
        <f>+JG37/$E37</f>
        <v>0</v>
      </c>
      <c r="JI37" s="498">
        <f>+JG37*$H$9</f>
        <v>0</v>
      </c>
      <c r="JJ37" s="496"/>
      <c r="JK37" s="498" t="str">
        <f>IFERROR((JJ37/$L37),"0")</f>
        <v>0</v>
      </c>
      <c r="JL37" s="498" t="str">
        <f>IFERROR(((JJ37*JL$9)/$L37),"0")</f>
        <v>0</v>
      </c>
      <c r="JM37" s="496"/>
      <c r="JN37" s="498" t="str">
        <f>IFERROR((JM37/$L37),"0")</f>
        <v>0</v>
      </c>
      <c r="JO37" s="498" t="str">
        <f>IFERROR(((JM37*JO$9)/$L37),"0")</f>
        <v>0</v>
      </c>
      <c r="JP37" s="496"/>
      <c r="JQ37" s="498" t="str">
        <f>IFERROR((JP37/$L37),"0")</f>
        <v>0</v>
      </c>
      <c r="JR37" s="498" t="str">
        <f>IFERROR(((JP37*JR$9)/$L37),"0")</f>
        <v>0</v>
      </c>
      <c r="JS37" s="496"/>
      <c r="JT37" s="498" t="str">
        <f>IFERROR((JS37/$L37),"0")</f>
        <v>0</v>
      </c>
      <c r="JU37" s="498" t="str">
        <f>IFERROR(((JS37*JU$9)/$L37),"0")</f>
        <v>0</v>
      </c>
      <c r="JV37" s="496"/>
      <c r="JW37" s="498" t="str">
        <f>IFERROR((JV37/$L37),"0")</f>
        <v>0</v>
      </c>
      <c r="JX37" s="498" t="str">
        <f>IFERROR(((JV37*JX$9)/$L37),"0")</f>
        <v>0</v>
      </c>
      <c r="JY37" s="496"/>
      <c r="JZ37" s="498" t="str">
        <f>IFERROR((JY37/$L37),"0")</f>
        <v>0</v>
      </c>
      <c r="KA37" s="498" t="str">
        <f>IFERROR(((JY37*KA$9)/$L37),"0")</f>
        <v>0</v>
      </c>
      <c r="KB37" s="496"/>
      <c r="KC37" s="498" t="str">
        <f>IFERROR((KB37/$L37),"0")</f>
        <v>0</v>
      </c>
      <c r="KD37" s="498" t="str">
        <f>IFERROR(((KB37*KD$9)/$L37),"0")</f>
        <v>0</v>
      </c>
      <c r="KE37" s="496"/>
      <c r="KF37" s="498" t="str">
        <f>IFERROR((KE37/$L37),"0")</f>
        <v>0</v>
      </c>
      <c r="KG37" s="498" t="str">
        <f>IFERROR(((KE37*KG$9)/$L37),"0")</f>
        <v>0</v>
      </c>
      <c r="KH37" s="496"/>
      <c r="KI37" s="498" t="str">
        <f>IFERROR((KH37/$L37),"0")</f>
        <v>0</v>
      </c>
      <c r="KJ37" s="498" t="str">
        <f>IFERROR(((KH37*KJ$9)/$L37),"0")</f>
        <v>0</v>
      </c>
      <c r="KK37" s="496"/>
      <c r="KL37" s="498" t="str">
        <f>IFERROR((KK37/$L37),"0")</f>
        <v>0</v>
      </c>
      <c r="KM37" s="498" t="str">
        <f>IFERROR(((KK37*KM$9)/$L37),"0")</f>
        <v>0</v>
      </c>
      <c r="KN37" s="496"/>
      <c r="KO37" s="498" t="str">
        <f>IFERROR((KN37/$L37),"0")</f>
        <v>0</v>
      </c>
      <c r="KP37" s="498" t="str">
        <f>IFERROR(((KN37*KP$9)/$L37),"0")</f>
        <v>0</v>
      </c>
      <c r="KQ37" s="496"/>
      <c r="KR37" s="498" t="str">
        <f>IFERROR((KQ37/$L37),"0")</f>
        <v>0</v>
      </c>
      <c r="KS37" s="498" t="str">
        <f>IFERROR(((KQ37*KS$9)/$L37),"0")</f>
        <v>0</v>
      </c>
      <c r="KT37" s="498">
        <f>H37+K37+N37+Q37+T37+W37+Z37+AC37+AF37+AI37+AL37+AO37+AR37+AU37+AX37+BA37+BD37+BG37+BJ37+BM37+BP37+BS37+BV37+BY37+CB37+CE37+CH37+CK37+CN37+CQ37+CT37+CW37+CZ37+DC37+DF37+DI37+DL37+DO37+DR37+DU37+DX37+EA37+ED37+EG37+EJ37+EM37+EP37+ES37+EV37+EY37+FB37+FE37+FH37+FK37+FN37+FQ37+FT37+FW37+FZ37+GC37</f>
        <v>0</v>
      </c>
      <c r="KU37" s="498">
        <f>GF37+GI37+GL37+GO37+GR37+GU37+GX37+HA37+HD37+HG37+HJ37+HM37+HP37+HS37+HV37+HY37+IB37+IE37+IH37+IK37+IN37+IQ37+IT37+IW37+IZ37+JC37+JF37+JI37+JL37+JO37+JR37+JU37+JX37++KA37+KD37+KG37+KJ37++KM37+KP37+KS37</f>
        <v>0</v>
      </c>
      <c r="KV37" s="262">
        <f>+F37+I37+L37+O37+R37+U37+X37+AA37+AD37+AG37+AJ37+AM37+AP37+AS37+AV37+AY37+BB37+BE37+BH37+BK37+BN37+BQ37+BT37+BW37+BZ37+CC37+CF37+CI37+CL37+CO37+CR37+CU37+CX37+DA37+DD37+DJ37+DM37+DP37+DS37+DV37+DY37+EB37+EE37+EH37+EK37+EN37</f>
        <v>610.18509151593435</v>
      </c>
    </row>
    <row r="38" spans="1:308" ht="15" customHeight="1">
      <c r="A38" s="264">
        <f t="shared" si="200"/>
        <v>46020</v>
      </c>
      <c r="B38" s="265" t="str">
        <f>+Report1!B37</f>
        <v>Facial</v>
      </c>
      <c r="C38" s="392" t="str">
        <f>+Report1!C37</f>
        <v>12</v>
      </c>
      <c r="D38" s="266">
        <f>+Report1!P37</f>
        <v>47.242000000000004</v>
      </c>
      <c r="E38" s="267">
        <f>+Report1!R37</f>
        <v>45.203000000000003</v>
      </c>
      <c r="F38" s="496"/>
      <c r="G38" s="497">
        <f t="shared" si="0"/>
        <v>0</v>
      </c>
      <c r="H38" s="498">
        <f t="shared" si="112"/>
        <v>0</v>
      </c>
      <c r="I38" s="496">
        <v>406.97674418604652</v>
      </c>
      <c r="J38" s="497">
        <f t="shared" si="1"/>
        <v>9.0033127046002814</v>
      </c>
      <c r="K38" s="498">
        <f t="shared" si="113"/>
        <v>0</v>
      </c>
      <c r="L38" s="496"/>
      <c r="M38" s="497">
        <f t="shared" si="2"/>
        <v>0</v>
      </c>
      <c r="N38" s="498">
        <f t="shared" si="114"/>
        <v>0</v>
      </c>
      <c r="O38" s="496">
        <v>12</v>
      </c>
      <c r="P38" s="497">
        <f t="shared" si="3"/>
        <v>0.2654691060327854</v>
      </c>
      <c r="Q38" s="498">
        <f t="shared" si="115"/>
        <v>0</v>
      </c>
      <c r="R38" s="496">
        <v>10.249999999999972</v>
      </c>
      <c r="S38" s="497">
        <f t="shared" si="4"/>
        <v>0.22675486140300358</v>
      </c>
      <c r="T38" s="498">
        <f t="shared" si="116"/>
        <v>0</v>
      </c>
      <c r="U38" s="496">
        <v>4.6875000000000284</v>
      </c>
      <c r="V38" s="497">
        <f t="shared" si="5"/>
        <v>0.10369886954405744</v>
      </c>
      <c r="W38" s="498">
        <f t="shared" si="117"/>
        <v>0</v>
      </c>
      <c r="X38" s="496"/>
      <c r="Y38" s="497">
        <f t="shared" si="6"/>
        <v>0</v>
      </c>
      <c r="Z38" s="498">
        <f t="shared" si="118"/>
        <v>0</v>
      </c>
      <c r="AA38" s="496"/>
      <c r="AB38" s="497">
        <f t="shared" si="7"/>
        <v>0</v>
      </c>
      <c r="AC38" s="498">
        <f t="shared" si="119"/>
        <v>0</v>
      </c>
      <c r="AD38" s="496"/>
      <c r="AE38" s="497">
        <f t="shared" si="8"/>
        <v>0</v>
      </c>
      <c r="AF38" s="498">
        <f t="shared" si="120"/>
        <v>0</v>
      </c>
      <c r="AG38" s="496"/>
      <c r="AH38" s="497">
        <f t="shared" si="9"/>
        <v>0</v>
      </c>
      <c r="AI38" s="498">
        <f t="shared" si="121"/>
        <v>0</v>
      </c>
      <c r="AJ38" s="496"/>
      <c r="AK38" s="497">
        <f t="shared" si="10"/>
        <v>0</v>
      </c>
      <c r="AL38" s="498">
        <f t="shared" si="122"/>
        <v>0</v>
      </c>
      <c r="AM38" s="496"/>
      <c r="AN38" s="497">
        <f t="shared" si="11"/>
        <v>0</v>
      </c>
      <c r="AO38" s="498">
        <f t="shared" si="123"/>
        <v>0</v>
      </c>
      <c r="AP38" s="496">
        <v>54.807692307692321</v>
      </c>
      <c r="AQ38" s="497">
        <f t="shared" si="12"/>
        <v>1.2124790900535876</v>
      </c>
      <c r="AR38" s="498">
        <f t="shared" si="124"/>
        <v>0</v>
      </c>
      <c r="AS38" s="496"/>
      <c r="AT38" s="497">
        <f t="shared" si="13"/>
        <v>0</v>
      </c>
      <c r="AU38" s="498">
        <f t="shared" si="125"/>
        <v>0</v>
      </c>
      <c r="AV38" s="496">
        <v>5.5500000000000114</v>
      </c>
      <c r="AW38" s="497">
        <f t="shared" si="14"/>
        <v>0.1227794615401635</v>
      </c>
      <c r="AX38" s="498">
        <f t="shared" si="126"/>
        <v>0</v>
      </c>
      <c r="AY38" s="496">
        <v>70</v>
      </c>
      <c r="AZ38" s="497">
        <f t="shared" si="15"/>
        <v>1.5485697851912483</v>
      </c>
      <c r="BA38" s="498">
        <f t="shared" si="127"/>
        <v>0</v>
      </c>
      <c r="BB38" s="496"/>
      <c r="BC38" s="497">
        <f t="shared" si="16"/>
        <v>0</v>
      </c>
      <c r="BD38" s="498">
        <f t="shared" si="128"/>
        <v>0</v>
      </c>
      <c r="BE38" s="496"/>
      <c r="BF38" s="497">
        <f t="shared" si="17"/>
        <v>0</v>
      </c>
      <c r="BG38" s="498">
        <f t="shared" si="129"/>
        <v>0</v>
      </c>
      <c r="BH38" s="496"/>
      <c r="BI38" s="497">
        <f t="shared" si="18"/>
        <v>0</v>
      </c>
      <c r="BJ38" s="498">
        <f t="shared" si="130"/>
        <v>0</v>
      </c>
      <c r="BK38" s="496"/>
      <c r="BL38" s="497">
        <f t="shared" si="19"/>
        <v>0</v>
      </c>
      <c r="BM38" s="498">
        <f t="shared" si="131"/>
        <v>0</v>
      </c>
      <c r="BN38" s="496">
        <v>25.30864197530866</v>
      </c>
      <c r="BO38" s="497">
        <f t="shared" si="20"/>
        <v>0.55988854667408483</v>
      </c>
      <c r="BP38" s="498">
        <f t="shared" si="132"/>
        <v>0</v>
      </c>
      <c r="BQ38" s="496">
        <v>0</v>
      </c>
      <c r="BR38" s="497">
        <f t="shared" si="21"/>
        <v>0</v>
      </c>
      <c r="BS38" s="498">
        <f t="shared" si="133"/>
        <v>0</v>
      </c>
      <c r="BT38" s="496"/>
      <c r="BU38" s="497">
        <f t="shared" si="22"/>
        <v>0</v>
      </c>
      <c r="BV38" s="498">
        <f t="shared" si="134"/>
        <v>0</v>
      </c>
      <c r="BW38" s="496"/>
      <c r="BX38" s="497">
        <f t="shared" si="23"/>
        <v>0</v>
      </c>
      <c r="BY38" s="498">
        <f t="shared" si="135"/>
        <v>0</v>
      </c>
      <c r="BZ38" s="496"/>
      <c r="CA38" s="497">
        <f t="shared" si="24"/>
        <v>0</v>
      </c>
      <c r="CB38" s="498">
        <f t="shared" si="136"/>
        <v>0</v>
      </c>
      <c r="CC38" s="496">
        <v>0</v>
      </c>
      <c r="CD38" s="497">
        <f t="shared" si="25"/>
        <v>0</v>
      </c>
      <c r="CE38" s="498">
        <f t="shared" si="137"/>
        <v>0</v>
      </c>
      <c r="CF38" s="496">
        <v>6</v>
      </c>
      <c r="CG38" s="497">
        <f t="shared" si="26"/>
        <v>0.1327345530163927</v>
      </c>
      <c r="CH38" s="498">
        <f t="shared" si="138"/>
        <v>0</v>
      </c>
      <c r="CI38" s="496"/>
      <c r="CJ38" s="497">
        <f t="shared" si="27"/>
        <v>0</v>
      </c>
      <c r="CK38" s="498">
        <f t="shared" si="139"/>
        <v>0</v>
      </c>
      <c r="CL38" s="496"/>
      <c r="CM38" s="497">
        <f t="shared" si="28"/>
        <v>0</v>
      </c>
      <c r="CN38" s="498">
        <f t="shared" si="140"/>
        <v>0</v>
      </c>
      <c r="CO38" s="496"/>
      <c r="CP38" s="497">
        <f t="shared" si="29"/>
        <v>0</v>
      </c>
      <c r="CQ38" s="498">
        <f t="shared" si="141"/>
        <v>0</v>
      </c>
      <c r="CR38" s="496"/>
      <c r="CS38" s="497">
        <f t="shared" si="30"/>
        <v>0</v>
      </c>
      <c r="CT38" s="498">
        <f t="shared" si="142"/>
        <v>0</v>
      </c>
      <c r="CU38" s="496"/>
      <c r="CV38" s="497">
        <f t="shared" si="31"/>
        <v>0</v>
      </c>
      <c r="CW38" s="498">
        <f t="shared" si="143"/>
        <v>0</v>
      </c>
      <c r="CX38" s="496"/>
      <c r="CY38" s="497">
        <f t="shared" si="32"/>
        <v>0</v>
      </c>
      <c r="CZ38" s="498">
        <f t="shared" si="144"/>
        <v>0</v>
      </c>
      <c r="DA38" s="496"/>
      <c r="DB38" s="497">
        <f t="shared" si="33"/>
        <v>0</v>
      </c>
      <c r="DC38" s="498">
        <f t="shared" si="145"/>
        <v>0</v>
      </c>
      <c r="DD38" s="496"/>
      <c r="DE38" s="497">
        <f t="shared" si="34"/>
        <v>0</v>
      </c>
      <c r="DF38" s="498">
        <f t="shared" si="146"/>
        <v>0</v>
      </c>
      <c r="DG38" s="496"/>
      <c r="DH38" s="497">
        <f t="shared" si="35"/>
        <v>0</v>
      </c>
      <c r="DI38" s="498">
        <f t="shared" si="203"/>
        <v>0</v>
      </c>
      <c r="DJ38" s="496"/>
      <c r="DK38" s="497">
        <f t="shared" si="36"/>
        <v>0</v>
      </c>
      <c r="DL38" s="498">
        <f t="shared" si="147"/>
        <v>0</v>
      </c>
      <c r="DM38" s="496"/>
      <c r="DN38" s="497">
        <f t="shared" si="37"/>
        <v>0</v>
      </c>
      <c r="DO38" s="498">
        <f t="shared" si="148"/>
        <v>0</v>
      </c>
      <c r="DP38" s="496"/>
      <c r="DQ38" s="497">
        <f t="shared" si="38"/>
        <v>0</v>
      </c>
      <c r="DR38" s="498">
        <f t="shared" si="149"/>
        <v>0</v>
      </c>
      <c r="DS38" s="496"/>
      <c r="DT38" s="497">
        <f t="shared" si="39"/>
        <v>0</v>
      </c>
      <c r="DU38" s="498">
        <f t="shared" si="150"/>
        <v>0</v>
      </c>
      <c r="DV38" s="496"/>
      <c r="DW38" s="497">
        <f t="shared" si="40"/>
        <v>0</v>
      </c>
      <c r="DX38" s="498">
        <f t="shared" si="151"/>
        <v>0</v>
      </c>
      <c r="DY38" s="496">
        <v>0</v>
      </c>
      <c r="DZ38" s="497">
        <f t="shared" si="41"/>
        <v>0</v>
      </c>
      <c r="EA38" s="498">
        <f t="shared" si="152"/>
        <v>0</v>
      </c>
      <c r="EB38" s="496">
        <v>14.534883720930225</v>
      </c>
      <c r="EC38" s="497">
        <f t="shared" si="42"/>
        <v>0.32154688230715273</v>
      </c>
      <c r="ED38" s="498">
        <f t="shared" si="153"/>
        <v>0</v>
      </c>
      <c r="EE38" s="496">
        <v>8</v>
      </c>
      <c r="EF38" s="497">
        <f t="shared" si="43"/>
        <v>0.17697940402185694</v>
      </c>
      <c r="EG38" s="498">
        <f t="shared" si="154"/>
        <v>0</v>
      </c>
      <c r="EH38" s="496"/>
      <c r="EI38" s="497">
        <f t="shared" si="44"/>
        <v>0</v>
      </c>
      <c r="EJ38" s="498">
        <f t="shared" si="155"/>
        <v>0</v>
      </c>
      <c r="EK38" s="496"/>
      <c r="EL38" s="497">
        <f t="shared" si="45"/>
        <v>0</v>
      </c>
      <c r="EM38" s="498">
        <f t="shared" si="156"/>
        <v>0</v>
      </c>
      <c r="EN38" s="496"/>
      <c r="EO38" s="497">
        <f t="shared" si="46"/>
        <v>0</v>
      </c>
      <c r="EP38" s="498">
        <f t="shared" si="157"/>
        <v>0</v>
      </c>
      <c r="EQ38" s="496"/>
      <c r="ER38" s="497">
        <f t="shared" si="47"/>
        <v>0</v>
      </c>
      <c r="ES38" s="498">
        <f t="shared" si="158"/>
        <v>0</v>
      </c>
      <c r="ET38" s="496"/>
      <c r="EU38" s="497">
        <f t="shared" si="48"/>
        <v>0</v>
      </c>
      <c r="EV38" s="498">
        <f t="shared" si="159"/>
        <v>0</v>
      </c>
      <c r="EW38" s="496"/>
      <c r="EX38" s="497">
        <f t="shared" si="49"/>
        <v>0</v>
      </c>
      <c r="EY38" s="498">
        <f t="shared" si="160"/>
        <v>0</v>
      </c>
      <c r="EZ38" s="496"/>
      <c r="FA38" s="497">
        <f t="shared" si="50"/>
        <v>0</v>
      </c>
      <c r="FB38" s="498">
        <f t="shared" si="161"/>
        <v>0</v>
      </c>
      <c r="FC38" s="496"/>
      <c r="FD38" s="497">
        <f t="shared" si="51"/>
        <v>0</v>
      </c>
      <c r="FE38" s="498">
        <f t="shared" si="162"/>
        <v>0</v>
      </c>
      <c r="FF38" s="496"/>
      <c r="FG38" s="497">
        <f t="shared" si="52"/>
        <v>0</v>
      </c>
      <c r="FH38" s="498">
        <f t="shared" si="163"/>
        <v>0</v>
      </c>
      <c r="FI38" s="496"/>
      <c r="FJ38" s="497">
        <f t="shared" si="53"/>
        <v>0</v>
      </c>
      <c r="FK38" s="498">
        <f t="shared" si="164"/>
        <v>0</v>
      </c>
      <c r="FL38" s="496"/>
      <c r="FM38" s="497">
        <f t="shared" si="54"/>
        <v>0</v>
      </c>
      <c r="FN38" s="498">
        <f t="shared" si="165"/>
        <v>0</v>
      </c>
      <c r="FO38" s="496"/>
      <c r="FP38" s="497">
        <f t="shared" si="55"/>
        <v>0</v>
      </c>
      <c r="FQ38" s="498">
        <f t="shared" si="166"/>
        <v>0</v>
      </c>
      <c r="FR38" s="496"/>
      <c r="FS38" s="497">
        <f t="shared" si="56"/>
        <v>0</v>
      </c>
      <c r="FT38" s="498">
        <f t="shared" si="167"/>
        <v>0</v>
      </c>
      <c r="FU38" s="496"/>
      <c r="FV38" s="497">
        <f t="shared" si="57"/>
        <v>0</v>
      </c>
      <c r="FW38" s="498">
        <f t="shared" si="168"/>
        <v>0</v>
      </c>
      <c r="FX38" s="496"/>
      <c r="FY38" s="497">
        <f t="shared" si="58"/>
        <v>0</v>
      </c>
      <c r="FZ38" s="498">
        <f t="shared" si="169"/>
        <v>0</v>
      </c>
      <c r="GA38" s="496"/>
      <c r="GB38" s="497">
        <f t="shared" si="59"/>
        <v>0</v>
      </c>
      <c r="GC38" s="498">
        <f t="shared" si="170"/>
        <v>0</v>
      </c>
      <c r="GD38" s="496"/>
      <c r="GE38" s="497">
        <f t="shared" si="60"/>
        <v>0</v>
      </c>
      <c r="GF38" s="498">
        <f t="shared" si="171"/>
        <v>0</v>
      </c>
      <c r="GG38" s="496"/>
      <c r="GH38" s="497">
        <f t="shared" si="61"/>
        <v>0</v>
      </c>
      <c r="GI38" s="498">
        <f t="shared" si="172"/>
        <v>0</v>
      </c>
      <c r="GJ38" s="496"/>
      <c r="GK38" s="497">
        <f t="shared" si="62"/>
        <v>0</v>
      </c>
      <c r="GL38" s="498">
        <f t="shared" si="173"/>
        <v>0</v>
      </c>
      <c r="GM38" s="496"/>
      <c r="GN38" s="497">
        <f t="shared" si="63"/>
        <v>0</v>
      </c>
      <c r="GO38" s="498">
        <f t="shared" si="174"/>
        <v>0</v>
      </c>
      <c r="GP38" s="496"/>
      <c r="GQ38" s="497">
        <f t="shared" si="64"/>
        <v>0</v>
      </c>
      <c r="GR38" s="498">
        <f t="shared" si="175"/>
        <v>0</v>
      </c>
      <c r="GS38" s="496"/>
      <c r="GT38" s="497">
        <f t="shared" si="65"/>
        <v>0</v>
      </c>
      <c r="GU38" s="498">
        <f t="shared" si="176"/>
        <v>0</v>
      </c>
      <c r="GV38" s="496"/>
      <c r="GW38" s="497">
        <f t="shared" si="66"/>
        <v>0</v>
      </c>
      <c r="GX38" s="498">
        <f t="shared" si="177"/>
        <v>0</v>
      </c>
      <c r="GY38" s="496"/>
      <c r="GZ38" s="497">
        <f t="shared" si="67"/>
        <v>0</v>
      </c>
      <c r="HA38" s="498">
        <f t="shared" si="178"/>
        <v>0</v>
      </c>
      <c r="HB38" s="496"/>
      <c r="HC38" s="497">
        <f t="shared" si="68"/>
        <v>0</v>
      </c>
      <c r="HD38" s="498">
        <f t="shared" si="179"/>
        <v>0</v>
      </c>
      <c r="HE38" s="496"/>
      <c r="HF38" s="497">
        <f t="shared" si="69"/>
        <v>0</v>
      </c>
      <c r="HG38" s="498">
        <f t="shared" si="180"/>
        <v>0</v>
      </c>
      <c r="HH38" s="496"/>
      <c r="HI38" s="497">
        <f t="shared" si="70"/>
        <v>0</v>
      </c>
      <c r="HJ38" s="498">
        <f t="shared" si="181"/>
        <v>0</v>
      </c>
      <c r="HK38" s="496"/>
      <c r="HL38" s="497">
        <f t="shared" si="71"/>
        <v>0</v>
      </c>
      <c r="HM38" s="498">
        <f t="shared" si="182"/>
        <v>0</v>
      </c>
      <c r="HN38" s="496"/>
      <c r="HO38" s="497">
        <f t="shared" si="72"/>
        <v>0</v>
      </c>
      <c r="HP38" s="498">
        <f t="shared" si="183"/>
        <v>0</v>
      </c>
      <c r="HQ38" s="496"/>
      <c r="HR38" s="497">
        <f t="shared" si="73"/>
        <v>0</v>
      </c>
      <c r="HS38" s="498">
        <f t="shared" si="184"/>
        <v>0</v>
      </c>
      <c r="HT38" s="496"/>
      <c r="HU38" s="497">
        <f t="shared" si="74"/>
        <v>0</v>
      </c>
      <c r="HV38" s="498">
        <f t="shared" si="185"/>
        <v>0</v>
      </c>
      <c r="HW38" s="496"/>
      <c r="HX38" s="497">
        <f t="shared" si="75"/>
        <v>0</v>
      </c>
      <c r="HY38" s="498">
        <f t="shared" si="186"/>
        <v>0</v>
      </c>
      <c r="HZ38" s="496"/>
      <c r="IA38" s="497">
        <f t="shared" si="76"/>
        <v>0</v>
      </c>
      <c r="IB38" s="498">
        <f t="shared" si="187"/>
        <v>0</v>
      </c>
      <c r="IC38" s="496"/>
      <c r="ID38" s="497">
        <f t="shared" si="77"/>
        <v>0</v>
      </c>
      <c r="IE38" s="498">
        <f t="shared" si="188"/>
        <v>0</v>
      </c>
      <c r="IF38" s="496"/>
      <c r="IG38" s="497">
        <f t="shared" si="78"/>
        <v>0</v>
      </c>
      <c r="IH38" s="498">
        <f t="shared" si="189"/>
        <v>0</v>
      </c>
      <c r="II38" s="496"/>
      <c r="IJ38" s="497">
        <f t="shared" si="79"/>
        <v>0</v>
      </c>
      <c r="IK38" s="498">
        <f t="shared" si="190"/>
        <v>0</v>
      </c>
      <c r="IL38" s="496"/>
      <c r="IM38" s="497">
        <f t="shared" si="80"/>
        <v>0</v>
      </c>
      <c r="IN38" s="498">
        <f t="shared" si="191"/>
        <v>0</v>
      </c>
      <c r="IO38" s="496"/>
      <c r="IP38" s="497">
        <f t="shared" si="81"/>
        <v>0</v>
      </c>
      <c r="IQ38" s="498">
        <f t="shared" si="192"/>
        <v>0</v>
      </c>
      <c r="IR38" s="496"/>
      <c r="IS38" s="497">
        <f t="shared" si="82"/>
        <v>0</v>
      </c>
      <c r="IT38" s="498">
        <f t="shared" si="193"/>
        <v>0</v>
      </c>
      <c r="IU38" s="496"/>
      <c r="IV38" s="497">
        <f t="shared" si="83"/>
        <v>0</v>
      </c>
      <c r="IW38" s="498">
        <f t="shared" si="194"/>
        <v>0</v>
      </c>
      <c r="IX38" s="496"/>
      <c r="IY38" s="497">
        <f t="shared" si="84"/>
        <v>0</v>
      </c>
      <c r="IZ38" s="498">
        <f t="shared" si="195"/>
        <v>0</v>
      </c>
      <c r="JA38" s="496"/>
      <c r="JB38" s="497">
        <f t="shared" si="85"/>
        <v>0</v>
      </c>
      <c r="JC38" s="498">
        <f t="shared" si="196"/>
        <v>0</v>
      </c>
      <c r="JD38" s="496"/>
      <c r="JE38" s="497">
        <f t="shared" si="86"/>
        <v>0</v>
      </c>
      <c r="JF38" s="498">
        <f t="shared" si="197"/>
        <v>0</v>
      </c>
      <c r="JG38" s="496"/>
      <c r="JH38" s="497">
        <f t="shared" si="87"/>
        <v>0</v>
      </c>
      <c r="JI38" s="498">
        <f t="shared" si="198"/>
        <v>0</v>
      </c>
      <c r="JJ38" s="496"/>
      <c r="JK38" s="498" t="str">
        <f t="shared" si="88"/>
        <v>0</v>
      </c>
      <c r="JL38" s="498" t="str">
        <f t="shared" si="89"/>
        <v>0</v>
      </c>
      <c r="JM38" s="496"/>
      <c r="JN38" s="498" t="str">
        <f t="shared" si="90"/>
        <v>0</v>
      </c>
      <c r="JO38" s="498" t="str">
        <f t="shared" si="91"/>
        <v>0</v>
      </c>
      <c r="JP38" s="496"/>
      <c r="JQ38" s="498" t="str">
        <f t="shared" si="92"/>
        <v>0</v>
      </c>
      <c r="JR38" s="498" t="str">
        <f t="shared" si="93"/>
        <v>0</v>
      </c>
      <c r="JS38" s="496"/>
      <c r="JT38" s="498" t="str">
        <f t="shared" si="94"/>
        <v>0</v>
      </c>
      <c r="JU38" s="498" t="str">
        <f t="shared" si="95"/>
        <v>0</v>
      </c>
      <c r="JV38" s="496"/>
      <c r="JW38" s="498" t="str">
        <f t="shared" si="96"/>
        <v>0</v>
      </c>
      <c r="JX38" s="498" t="str">
        <f t="shared" si="97"/>
        <v>0</v>
      </c>
      <c r="JY38" s="496"/>
      <c r="JZ38" s="498" t="str">
        <f t="shared" si="98"/>
        <v>0</v>
      </c>
      <c r="KA38" s="498" t="str">
        <f t="shared" si="99"/>
        <v>0</v>
      </c>
      <c r="KB38" s="496"/>
      <c r="KC38" s="498" t="str">
        <f t="shared" si="100"/>
        <v>0</v>
      </c>
      <c r="KD38" s="498" t="str">
        <f t="shared" si="101"/>
        <v>0</v>
      </c>
      <c r="KE38" s="496"/>
      <c r="KF38" s="498" t="str">
        <f t="shared" si="102"/>
        <v>0</v>
      </c>
      <c r="KG38" s="498" t="str">
        <f t="shared" si="103"/>
        <v>0</v>
      </c>
      <c r="KH38" s="496"/>
      <c r="KI38" s="498" t="str">
        <f t="shared" si="104"/>
        <v>0</v>
      </c>
      <c r="KJ38" s="498" t="str">
        <f t="shared" si="105"/>
        <v>0</v>
      </c>
      <c r="KK38" s="496"/>
      <c r="KL38" s="498" t="str">
        <f t="shared" si="106"/>
        <v>0</v>
      </c>
      <c r="KM38" s="498" t="str">
        <f t="shared" si="107"/>
        <v>0</v>
      </c>
      <c r="KN38" s="496"/>
      <c r="KO38" s="498" t="str">
        <f t="shared" si="108"/>
        <v>0</v>
      </c>
      <c r="KP38" s="498" t="str">
        <f t="shared" si="109"/>
        <v>0</v>
      </c>
      <c r="KQ38" s="496"/>
      <c r="KR38" s="498" t="str">
        <f t="shared" si="110"/>
        <v>0</v>
      </c>
      <c r="KS38" s="498" t="str">
        <f t="shared" si="111"/>
        <v>0</v>
      </c>
      <c r="KT38" s="498">
        <f t="shared" si="201"/>
        <v>0</v>
      </c>
      <c r="KU38" s="498">
        <f t="shared" si="202"/>
        <v>0</v>
      </c>
      <c r="KV38" s="262">
        <f t="shared" si="199"/>
        <v>618.11546218997773</v>
      </c>
    </row>
    <row r="39" spans="1:308" ht="15" customHeight="1">
      <c r="A39" s="264">
        <f t="shared" si="200"/>
        <v>46021</v>
      </c>
      <c r="B39" s="265" t="str">
        <f>+Report1!B38</f>
        <v>Facial/Toilet</v>
      </c>
      <c r="C39" s="392" t="str">
        <f>+Report1!C38</f>
        <v>12/15</v>
      </c>
      <c r="D39" s="266">
        <f>+Report1!P38</f>
        <v>48.118000000000002</v>
      </c>
      <c r="E39" s="267">
        <f>+Report1!R38</f>
        <v>46.945999999999998</v>
      </c>
      <c r="F39" s="496"/>
      <c r="G39" s="497">
        <f t="shared" si="0"/>
        <v>0</v>
      </c>
      <c r="H39" s="498">
        <f t="shared" si="112"/>
        <v>0</v>
      </c>
      <c r="I39" s="496">
        <v>325.5813953488373</v>
      </c>
      <c r="J39" s="497">
        <f t="shared" si="1"/>
        <v>6.935231869570087</v>
      </c>
      <c r="K39" s="498">
        <f t="shared" si="113"/>
        <v>0</v>
      </c>
      <c r="L39" s="496"/>
      <c r="M39" s="497">
        <f t="shared" si="2"/>
        <v>0</v>
      </c>
      <c r="N39" s="498">
        <f t="shared" si="114"/>
        <v>0</v>
      </c>
      <c r="O39" s="496">
        <v>9</v>
      </c>
      <c r="P39" s="497">
        <f t="shared" si="3"/>
        <v>0.19170962382311593</v>
      </c>
      <c r="Q39" s="498">
        <f t="shared" si="115"/>
        <v>0</v>
      </c>
      <c r="R39" s="496">
        <v>10.25</v>
      </c>
      <c r="S39" s="497">
        <f t="shared" si="4"/>
        <v>0.21833596046521536</v>
      </c>
      <c r="T39" s="498">
        <f t="shared" si="116"/>
        <v>0</v>
      </c>
      <c r="U39" s="496">
        <v>4.6875</v>
      </c>
      <c r="V39" s="497">
        <f t="shared" si="5"/>
        <v>9.9848762407872882E-2</v>
      </c>
      <c r="W39" s="498">
        <f t="shared" si="117"/>
        <v>0</v>
      </c>
      <c r="X39" s="496"/>
      <c r="Y39" s="497">
        <f t="shared" si="6"/>
        <v>0</v>
      </c>
      <c r="Z39" s="498">
        <f t="shared" si="118"/>
        <v>0</v>
      </c>
      <c r="AA39" s="496"/>
      <c r="AB39" s="497">
        <f t="shared" si="7"/>
        <v>0</v>
      </c>
      <c r="AC39" s="498">
        <f t="shared" si="119"/>
        <v>0</v>
      </c>
      <c r="AD39" s="496"/>
      <c r="AE39" s="497">
        <f t="shared" si="8"/>
        <v>0</v>
      </c>
      <c r="AF39" s="498">
        <f t="shared" si="120"/>
        <v>0</v>
      </c>
      <c r="AG39" s="496"/>
      <c r="AH39" s="497">
        <f t="shared" si="9"/>
        <v>0</v>
      </c>
      <c r="AI39" s="498">
        <f t="shared" si="121"/>
        <v>0</v>
      </c>
      <c r="AJ39" s="496"/>
      <c r="AK39" s="497">
        <f t="shared" si="10"/>
        <v>0</v>
      </c>
      <c r="AL39" s="498">
        <f t="shared" si="122"/>
        <v>0</v>
      </c>
      <c r="AM39" s="496"/>
      <c r="AN39" s="497">
        <f t="shared" si="11"/>
        <v>0</v>
      </c>
      <c r="AO39" s="498">
        <f t="shared" si="123"/>
        <v>0</v>
      </c>
      <c r="AP39" s="496">
        <v>46.153846153846189</v>
      </c>
      <c r="AQ39" s="497">
        <f t="shared" si="12"/>
        <v>0.98312627601597991</v>
      </c>
      <c r="AR39" s="498">
        <f t="shared" si="124"/>
        <v>0</v>
      </c>
      <c r="AS39" s="496"/>
      <c r="AT39" s="497">
        <f t="shared" si="13"/>
        <v>0</v>
      </c>
      <c r="AU39" s="498">
        <f t="shared" si="125"/>
        <v>0</v>
      </c>
      <c r="AV39" s="496">
        <v>8.3249999999999318</v>
      </c>
      <c r="AW39" s="497">
        <f t="shared" si="14"/>
        <v>0.17733140203638079</v>
      </c>
      <c r="AX39" s="498">
        <f t="shared" si="126"/>
        <v>0</v>
      </c>
      <c r="AY39" s="496">
        <v>51.333333333333371</v>
      </c>
      <c r="AZ39" s="497">
        <f t="shared" si="15"/>
        <v>1.0934548914355509</v>
      </c>
      <c r="BA39" s="498">
        <f t="shared" si="127"/>
        <v>0</v>
      </c>
      <c r="BB39" s="496"/>
      <c r="BC39" s="497">
        <f t="shared" si="16"/>
        <v>0</v>
      </c>
      <c r="BD39" s="498">
        <f t="shared" si="128"/>
        <v>0</v>
      </c>
      <c r="BE39" s="496"/>
      <c r="BF39" s="497">
        <f t="shared" si="17"/>
        <v>0</v>
      </c>
      <c r="BG39" s="498">
        <f t="shared" si="129"/>
        <v>0</v>
      </c>
      <c r="BH39" s="496"/>
      <c r="BI39" s="497">
        <f t="shared" si="18"/>
        <v>0</v>
      </c>
      <c r="BJ39" s="498">
        <f t="shared" si="130"/>
        <v>0</v>
      </c>
      <c r="BK39" s="496"/>
      <c r="BL39" s="497">
        <f t="shared" si="19"/>
        <v>0</v>
      </c>
      <c r="BM39" s="498">
        <f t="shared" si="131"/>
        <v>0</v>
      </c>
      <c r="BN39" s="496">
        <v>30.370370370370381</v>
      </c>
      <c r="BO39" s="497">
        <f t="shared" si="20"/>
        <v>0.64692136434137903</v>
      </c>
      <c r="BP39" s="498">
        <f t="shared" si="132"/>
        <v>0</v>
      </c>
      <c r="BQ39" s="496">
        <v>30.769230769230774</v>
      </c>
      <c r="BR39" s="497">
        <f t="shared" si="21"/>
        <v>0.65541751734398612</v>
      </c>
      <c r="BS39" s="498">
        <f t="shared" si="133"/>
        <v>0</v>
      </c>
      <c r="BT39" s="496"/>
      <c r="BU39" s="497">
        <f t="shared" si="22"/>
        <v>0</v>
      </c>
      <c r="BV39" s="498">
        <f t="shared" si="134"/>
        <v>0</v>
      </c>
      <c r="BW39" s="496"/>
      <c r="BX39" s="497">
        <f t="shared" si="23"/>
        <v>0</v>
      </c>
      <c r="BY39" s="498">
        <f t="shared" si="135"/>
        <v>0</v>
      </c>
      <c r="BZ39" s="496"/>
      <c r="CA39" s="497">
        <f t="shared" si="24"/>
        <v>0</v>
      </c>
      <c r="CB39" s="498">
        <f t="shared" si="136"/>
        <v>0</v>
      </c>
      <c r="CC39" s="496">
        <v>0</v>
      </c>
      <c r="CD39" s="497">
        <f t="shared" si="25"/>
        <v>0</v>
      </c>
      <c r="CE39" s="498">
        <f t="shared" si="137"/>
        <v>0</v>
      </c>
      <c r="CF39" s="496">
        <v>6</v>
      </c>
      <c r="CG39" s="497">
        <f t="shared" si="26"/>
        <v>0.12780641588207728</v>
      </c>
      <c r="CH39" s="498">
        <f t="shared" si="138"/>
        <v>0</v>
      </c>
      <c r="CI39" s="496"/>
      <c r="CJ39" s="497">
        <f t="shared" si="27"/>
        <v>0</v>
      </c>
      <c r="CK39" s="498">
        <f t="shared" si="139"/>
        <v>0</v>
      </c>
      <c r="CL39" s="496"/>
      <c r="CM39" s="497">
        <f t="shared" si="28"/>
        <v>0</v>
      </c>
      <c r="CN39" s="498">
        <f t="shared" si="140"/>
        <v>0</v>
      </c>
      <c r="CO39" s="496"/>
      <c r="CP39" s="497">
        <f t="shared" si="29"/>
        <v>0</v>
      </c>
      <c r="CQ39" s="498">
        <f t="shared" si="141"/>
        <v>0</v>
      </c>
      <c r="CR39" s="496"/>
      <c r="CS39" s="497">
        <f t="shared" si="30"/>
        <v>0</v>
      </c>
      <c r="CT39" s="498">
        <f t="shared" si="142"/>
        <v>0</v>
      </c>
      <c r="CU39" s="496"/>
      <c r="CV39" s="497">
        <f t="shared" si="31"/>
        <v>0</v>
      </c>
      <c r="CW39" s="498">
        <f t="shared" si="143"/>
        <v>0</v>
      </c>
      <c r="CX39" s="496"/>
      <c r="CY39" s="497">
        <f t="shared" si="32"/>
        <v>0</v>
      </c>
      <c r="CZ39" s="498">
        <f t="shared" si="144"/>
        <v>0</v>
      </c>
      <c r="DA39" s="496"/>
      <c r="DB39" s="497">
        <f t="shared" si="33"/>
        <v>0</v>
      </c>
      <c r="DC39" s="498">
        <f t="shared" si="145"/>
        <v>0</v>
      </c>
      <c r="DD39" s="496"/>
      <c r="DE39" s="497">
        <f t="shared" si="34"/>
        <v>0</v>
      </c>
      <c r="DF39" s="498">
        <f t="shared" si="146"/>
        <v>0</v>
      </c>
      <c r="DG39" s="496"/>
      <c r="DH39" s="497">
        <f t="shared" si="35"/>
        <v>0</v>
      </c>
      <c r="DI39" s="498">
        <f t="shared" si="203"/>
        <v>0</v>
      </c>
      <c r="DJ39" s="496"/>
      <c r="DK39" s="497">
        <f t="shared" si="36"/>
        <v>0</v>
      </c>
      <c r="DL39" s="498">
        <f t="shared" si="147"/>
        <v>0</v>
      </c>
      <c r="DM39" s="496"/>
      <c r="DN39" s="497">
        <f t="shared" si="37"/>
        <v>0</v>
      </c>
      <c r="DO39" s="498">
        <f t="shared" si="148"/>
        <v>0</v>
      </c>
      <c r="DP39" s="496"/>
      <c r="DQ39" s="497">
        <f t="shared" si="38"/>
        <v>0</v>
      </c>
      <c r="DR39" s="498">
        <f t="shared" si="149"/>
        <v>0</v>
      </c>
      <c r="DS39" s="496"/>
      <c r="DT39" s="497">
        <f t="shared" si="39"/>
        <v>0</v>
      </c>
      <c r="DU39" s="498">
        <f t="shared" si="150"/>
        <v>0</v>
      </c>
      <c r="DV39" s="496"/>
      <c r="DW39" s="497">
        <f t="shared" si="40"/>
        <v>0</v>
      </c>
      <c r="DX39" s="498">
        <f t="shared" si="151"/>
        <v>0</v>
      </c>
      <c r="DY39" s="496">
        <v>2.1566265060241001</v>
      </c>
      <c r="DZ39" s="497">
        <f t="shared" si="41"/>
        <v>4.5938450688537899E-2</v>
      </c>
      <c r="EA39" s="498">
        <f t="shared" si="152"/>
        <v>0</v>
      </c>
      <c r="EB39" s="496">
        <v>21.802325581395394</v>
      </c>
      <c r="EC39" s="497">
        <f t="shared" si="42"/>
        <v>0.464412848408712</v>
      </c>
      <c r="ED39" s="498">
        <f t="shared" si="153"/>
        <v>0</v>
      </c>
      <c r="EE39" s="496">
        <v>9</v>
      </c>
      <c r="EF39" s="497">
        <f t="shared" si="43"/>
        <v>0.19170962382311593</v>
      </c>
      <c r="EG39" s="498">
        <f t="shared" si="154"/>
        <v>0</v>
      </c>
      <c r="EH39" s="496"/>
      <c r="EI39" s="497">
        <f t="shared" si="44"/>
        <v>0</v>
      </c>
      <c r="EJ39" s="498">
        <f t="shared" si="155"/>
        <v>0</v>
      </c>
      <c r="EK39" s="496"/>
      <c r="EL39" s="497">
        <f t="shared" si="45"/>
        <v>0</v>
      </c>
      <c r="EM39" s="498">
        <f t="shared" si="156"/>
        <v>0</v>
      </c>
      <c r="EN39" s="496"/>
      <c r="EO39" s="497">
        <f t="shared" si="46"/>
        <v>0</v>
      </c>
      <c r="EP39" s="498">
        <f t="shared" si="157"/>
        <v>0</v>
      </c>
      <c r="EQ39" s="496"/>
      <c r="ER39" s="497">
        <f t="shared" si="47"/>
        <v>0</v>
      </c>
      <c r="ES39" s="498">
        <f t="shared" si="158"/>
        <v>0</v>
      </c>
      <c r="ET39" s="496"/>
      <c r="EU39" s="497">
        <f t="shared" si="48"/>
        <v>0</v>
      </c>
      <c r="EV39" s="498">
        <f t="shared" si="159"/>
        <v>0</v>
      </c>
      <c r="EW39" s="496"/>
      <c r="EX39" s="497">
        <f t="shared" si="49"/>
        <v>0</v>
      </c>
      <c r="EY39" s="498">
        <f t="shared" si="160"/>
        <v>0</v>
      </c>
      <c r="EZ39" s="496"/>
      <c r="FA39" s="497">
        <f t="shared" si="50"/>
        <v>0</v>
      </c>
      <c r="FB39" s="498">
        <f t="shared" si="161"/>
        <v>0</v>
      </c>
      <c r="FC39" s="496"/>
      <c r="FD39" s="497">
        <f t="shared" si="51"/>
        <v>0</v>
      </c>
      <c r="FE39" s="498">
        <f t="shared" si="162"/>
        <v>0</v>
      </c>
      <c r="FF39" s="496"/>
      <c r="FG39" s="497">
        <f t="shared" si="52"/>
        <v>0</v>
      </c>
      <c r="FH39" s="498">
        <f t="shared" si="163"/>
        <v>0</v>
      </c>
      <c r="FI39" s="496"/>
      <c r="FJ39" s="497">
        <f t="shared" si="53"/>
        <v>0</v>
      </c>
      <c r="FK39" s="498">
        <f t="shared" si="164"/>
        <v>0</v>
      </c>
      <c r="FL39" s="496"/>
      <c r="FM39" s="497">
        <f t="shared" si="54"/>
        <v>0</v>
      </c>
      <c r="FN39" s="498">
        <f t="shared" si="165"/>
        <v>0</v>
      </c>
      <c r="FO39" s="496"/>
      <c r="FP39" s="497">
        <f t="shared" si="55"/>
        <v>0</v>
      </c>
      <c r="FQ39" s="498">
        <f t="shared" si="166"/>
        <v>0</v>
      </c>
      <c r="FR39" s="496"/>
      <c r="FS39" s="497">
        <f t="shared" si="56"/>
        <v>0</v>
      </c>
      <c r="FT39" s="498">
        <f t="shared" si="167"/>
        <v>0</v>
      </c>
      <c r="FU39" s="496"/>
      <c r="FV39" s="497">
        <f t="shared" si="57"/>
        <v>0</v>
      </c>
      <c r="FW39" s="498">
        <f t="shared" si="168"/>
        <v>0</v>
      </c>
      <c r="FX39" s="496"/>
      <c r="FY39" s="497">
        <f t="shared" si="58"/>
        <v>0</v>
      </c>
      <c r="FZ39" s="498">
        <f t="shared" si="169"/>
        <v>0</v>
      </c>
      <c r="GA39" s="496"/>
      <c r="GB39" s="497">
        <f t="shared" si="59"/>
        <v>0</v>
      </c>
      <c r="GC39" s="498">
        <f t="shared" si="170"/>
        <v>0</v>
      </c>
      <c r="GD39" s="496"/>
      <c r="GE39" s="497">
        <f t="shared" si="60"/>
        <v>0</v>
      </c>
      <c r="GF39" s="498">
        <f t="shared" si="171"/>
        <v>0</v>
      </c>
      <c r="GG39" s="496"/>
      <c r="GH39" s="497">
        <f t="shared" si="61"/>
        <v>0</v>
      </c>
      <c r="GI39" s="498">
        <f t="shared" si="172"/>
        <v>0</v>
      </c>
      <c r="GJ39" s="496"/>
      <c r="GK39" s="497">
        <f t="shared" si="62"/>
        <v>0</v>
      </c>
      <c r="GL39" s="498">
        <f t="shared" si="173"/>
        <v>0</v>
      </c>
      <c r="GM39" s="496"/>
      <c r="GN39" s="497">
        <f t="shared" si="63"/>
        <v>0</v>
      </c>
      <c r="GO39" s="498">
        <f t="shared" si="174"/>
        <v>0</v>
      </c>
      <c r="GP39" s="496"/>
      <c r="GQ39" s="497">
        <f t="shared" si="64"/>
        <v>0</v>
      </c>
      <c r="GR39" s="498">
        <f t="shared" si="175"/>
        <v>0</v>
      </c>
      <c r="GS39" s="496"/>
      <c r="GT39" s="497">
        <f t="shared" si="65"/>
        <v>0</v>
      </c>
      <c r="GU39" s="498">
        <f t="shared" si="176"/>
        <v>0</v>
      </c>
      <c r="GV39" s="496"/>
      <c r="GW39" s="497">
        <f t="shared" si="66"/>
        <v>0</v>
      </c>
      <c r="GX39" s="498">
        <f t="shared" si="177"/>
        <v>0</v>
      </c>
      <c r="GY39" s="496"/>
      <c r="GZ39" s="497">
        <f t="shared" si="67"/>
        <v>0</v>
      </c>
      <c r="HA39" s="498">
        <f t="shared" si="178"/>
        <v>0</v>
      </c>
      <c r="HB39" s="496"/>
      <c r="HC39" s="497">
        <f t="shared" si="68"/>
        <v>0</v>
      </c>
      <c r="HD39" s="498">
        <f t="shared" si="179"/>
        <v>0</v>
      </c>
      <c r="HE39" s="496"/>
      <c r="HF39" s="497">
        <f t="shared" si="69"/>
        <v>0</v>
      </c>
      <c r="HG39" s="498">
        <f t="shared" si="180"/>
        <v>0</v>
      </c>
      <c r="HH39" s="496"/>
      <c r="HI39" s="497">
        <f t="shared" si="70"/>
        <v>0</v>
      </c>
      <c r="HJ39" s="498">
        <f t="shared" si="181"/>
        <v>0</v>
      </c>
      <c r="HK39" s="496"/>
      <c r="HL39" s="497">
        <f t="shared" si="71"/>
        <v>0</v>
      </c>
      <c r="HM39" s="498">
        <f t="shared" si="182"/>
        <v>0</v>
      </c>
      <c r="HN39" s="496"/>
      <c r="HO39" s="497">
        <f t="shared" si="72"/>
        <v>0</v>
      </c>
      <c r="HP39" s="498">
        <f t="shared" si="183"/>
        <v>0</v>
      </c>
      <c r="HQ39" s="496"/>
      <c r="HR39" s="497">
        <f t="shared" si="73"/>
        <v>0</v>
      </c>
      <c r="HS39" s="498">
        <f t="shared" si="184"/>
        <v>0</v>
      </c>
      <c r="HT39" s="496"/>
      <c r="HU39" s="497">
        <f t="shared" si="74"/>
        <v>0</v>
      </c>
      <c r="HV39" s="498">
        <f t="shared" si="185"/>
        <v>0</v>
      </c>
      <c r="HW39" s="496"/>
      <c r="HX39" s="497">
        <f t="shared" si="75"/>
        <v>0</v>
      </c>
      <c r="HY39" s="498">
        <f t="shared" si="186"/>
        <v>0</v>
      </c>
      <c r="HZ39" s="496"/>
      <c r="IA39" s="497">
        <f t="shared" si="76"/>
        <v>0</v>
      </c>
      <c r="IB39" s="498">
        <f t="shared" si="187"/>
        <v>0</v>
      </c>
      <c r="IC39" s="496"/>
      <c r="ID39" s="497">
        <f t="shared" si="77"/>
        <v>0</v>
      </c>
      <c r="IE39" s="498">
        <f t="shared" si="188"/>
        <v>0</v>
      </c>
      <c r="IF39" s="496"/>
      <c r="IG39" s="497">
        <f t="shared" si="78"/>
        <v>0</v>
      </c>
      <c r="IH39" s="498">
        <f t="shared" si="189"/>
        <v>0</v>
      </c>
      <c r="II39" s="496"/>
      <c r="IJ39" s="497">
        <f t="shared" si="79"/>
        <v>0</v>
      </c>
      <c r="IK39" s="498">
        <f t="shared" si="190"/>
        <v>0</v>
      </c>
      <c r="IL39" s="496"/>
      <c r="IM39" s="497">
        <f t="shared" si="80"/>
        <v>0</v>
      </c>
      <c r="IN39" s="498">
        <f t="shared" si="191"/>
        <v>0</v>
      </c>
      <c r="IO39" s="496"/>
      <c r="IP39" s="497">
        <f t="shared" si="81"/>
        <v>0</v>
      </c>
      <c r="IQ39" s="498">
        <f t="shared" si="192"/>
        <v>0</v>
      </c>
      <c r="IR39" s="496"/>
      <c r="IS39" s="497">
        <f t="shared" si="82"/>
        <v>0</v>
      </c>
      <c r="IT39" s="498">
        <f t="shared" si="193"/>
        <v>0</v>
      </c>
      <c r="IU39" s="496"/>
      <c r="IV39" s="497">
        <f t="shared" si="83"/>
        <v>0</v>
      </c>
      <c r="IW39" s="498">
        <f t="shared" si="194"/>
        <v>0</v>
      </c>
      <c r="IX39" s="496"/>
      <c r="IY39" s="497">
        <f t="shared" si="84"/>
        <v>0</v>
      </c>
      <c r="IZ39" s="498">
        <f t="shared" si="195"/>
        <v>0</v>
      </c>
      <c r="JA39" s="496"/>
      <c r="JB39" s="497">
        <f t="shared" si="85"/>
        <v>0</v>
      </c>
      <c r="JC39" s="498">
        <f t="shared" si="196"/>
        <v>0</v>
      </c>
      <c r="JD39" s="496"/>
      <c r="JE39" s="497">
        <f t="shared" si="86"/>
        <v>0</v>
      </c>
      <c r="JF39" s="498">
        <f t="shared" si="197"/>
        <v>0</v>
      </c>
      <c r="JG39" s="496"/>
      <c r="JH39" s="497">
        <f t="shared" si="87"/>
        <v>0</v>
      </c>
      <c r="JI39" s="498">
        <f t="shared" si="198"/>
        <v>0</v>
      </c>
      <c r="JJ39" s="496"/>
      <c r="JK39" s="498" t="str">
        <f t="shared" si="88"/>
        <v>0</v>
      </c>
      <c r="JL39" s="498" t="str">
        <f t="shared" si="89"/>
        <v>0</v>
      </c>
      <c r="JM39" s="496"/>
      <c r="JN39" s="498" t="str">
        <f t="shared" si="90"/>
        <v>0</v>
      </c>
      <c r="JO39" s="498" t="str">
        <f t="shared" si="91"/>
        <v>0</v>
      </c>
      <c r="JP39" s="496"/>
      <c r="JQ39" s="498" t="str">
        <f t="shared" si="92"/>
        <v>0</v>
      </c>
      <c r="JR39" s="498" t="str">
        <f t="shared" si="93"/>
        <v>0</v>
      </c>
      <c r="JS39" s="496"/>
      <c r="JT39" s="498" t="str">
        <f t="shared" si="94"/>
        <v>0</v>
      </c>
      <c r="JU39" s="498" t="str">
        <f t="shared" si="95"/>
        <v>0</v>
      </c>
      <c r="JV39" s="496"/>
      <c r="JW39" s="498" t="str">
        <f t="shared" si="96"/>
        <v>0</v>
      </c>
      <c r="JX39" s="498" t="str">
        <f t="shared" si="97"/>
        <v>0</v>
      </c>
      <c r="JY39" s="496"/>
      <c r="JZ39" s="498" t="str">
        <f t="shared" si="98"/>
        <v>0</v>
      </c>
      <c r="KA39" s="498" t="str">
        <f t="shared" si="99"/>
        <v>0</v>
      </c>
      <c r="KB39" s="496"/>
      <c r="KC39" s="498" t="str">
        <f t="shared" si="100"/>
        <v>0</v>
      </c>
      <c r="KD39" s="498" t="str">
        <f t="shared" si="101"/>
        <v>0</v>
      </c>
      <c r="KE39" s="496"/>
      <c r="KF39" s="498" t="str">
        <f t="shared" si="102"/>
        <v>0</v>
      </c>
      <c r="KG39" s="498" t="str">
        <f t="shared" si="103"/>
        <v>0</v>
      </c>
      <c r="KH39" s="496"/>
      <c r="KI39" s="498" t="str">
        <f t="shared" si="104"/>
        <v>0</v>
      </c>
      <c r="KJ39" s="498" t="str">
        <f t="shared" si="105"/>
        <v>0</v>
      </c>
      <c r="KK39" s="496"/>
      <c r="KL39" s="498" t="str">
        <f t="shared" si="106"/>
        <v>0</v>
      </c>
      <c r="KM39" s="498" t="str">
        <f t="shared" si="107"/>
        <v>0</v>
      </c>
      <c r="KN39" s="496"/>
      <c r="KO39" s="498" t="str">
        <f t="shared" si="108"/>
        <v>0</v>
      </c>
      <c r="KP39" s="498" t="str">
        <f t="shared" si="109"/>
        <v>0</v>
      </c>
      <c r="KQ39" s="496"/>
      <c r="KR39" s="498" t="str">
        <f t="shared" si="110"/>
        <v>0</v>
      </c>
      <c r="KS39" s="498" t="str">
        <f t="shared" si="111"/>
        <v>0</v>
      </c>
      <c r="KT39" s="498">
        <f t="shared" si="201"/>
        <v>0</v>
      </c>
      <c r="KU39" s="498">
        <f t="shared" si="202"/>
        <v>0</v>
      </c>
      <c r="KV39" s="262">
        <f t="shared" si="199"/>
        <v>555.4296280630374</v>
      </c>
    </row>
    <row r="40" spans="1:308" ht="15" customHeight="1">
      <c r="A40" s="264">
        <f t="shared" si="200"/>
        <v>46022</v>
      </c>
      <c r="B40" s="265" t="str">
        <f>+Report1!B39</f>
        <v>Toilet</v>
      </c>
      <c r="C40" s="392" t="str">
        <f>+Report1!C39</f>
        <v>15</v>
      </c>
      <c r="D40" s="266">
        <f>+Report1!P39</f>
        <v>55.849000000000004</v>
      </c>
      <c r="E40" s="267">
        <f>+Report1!R39</f>
        <v>53.325000000000003</v>
      </c>
      <c r="F40" s="496"/>
      <c r="G40" s="497">
        <f t="shared" si="0"/>
        <v>0</v>
      </c>
      <c r="H40" s="498">
        <f t="shared" si="112"/>
        <v>0</v>
      </c>
      <c r="I40" s="496">
        <v>209.30232558139528</v>
      </c>
      <c r="J40" s="497">
        <f t="shared" si="1"/>
        <v>3.925031890884112</v>
      </c>
      <c r="K40" s="498">
        <f t="shared" si="113"/>
        <v>0</v>
      </c>
      <c r="L40" s="496"/>
      <c r="M40" s="497">
        <f t="shared" si="2"/>
        <v>0</v>
      </c>
      <c r="N40" s="498">
        <f t="shared" si="114"/>
        <v>0</v>
      </c>
      <c r="O40" s="496">
        <v>9</v>
      </c>
      <c r="P40" s="497">
        <f t="shared" si="3"/>
        <v>0.16877637130801687</v>
      </c>
      <c r="Q40" s="498">
        <f t="shared" si="115"/>
        <v>0</v>
      </c>
      <c r="R40" s="496">
        <v>7.6875</v>
      </c>
      <c r="S40" s="497">
        <f t="shared" si="4"/>
        <v>0.14416315049226441</v>
      </c>
      <c r="T40" s="498">
        <f t="shared" si="116"/>
        <v>0</v>
      </c>
      <c r="U40" s="496">
        <v>4.6874999999999858</v>
      </c>
      <c r="V40" s="497">
        <f t="shared" si="5"/>
        <v>8.7904360056258513E-2</v>
      </c>
      <c r="W40" s="498">
        <f t="shared" si="117"/>
        <v>0</v>
      </c>
      <c r="X40" s="496"/>
      <c r="Y40" s="497">
        <f t="shared" si="6"/>
        <v>0</v>
      </c>
      <c r="Z40" s="498">
        <f t="shared" si="118"/>
        <v>0</v>
      </c>
      <c r="AA40" s="496"/>
      <c r="AB40" s="497">
        <f t="shared" si="7"/>
        <v>0</v>
      </c>
      <c r="AC40" s="498">
        <f t="shared" si="119"/>
        <v>0</v>
      </c>
      <c r="AD40" s="496"/>
      <c r="AE40" s="497">
        <f t="shared" si="8"/>
        <v>0</v>
      </c>
      <c r="AF40" s="498">
        <f t="shared" si="120"/>
        <v>0</v>
      </c>
      <c r="AG40" s="496"/>
      <c r="AH40" s="497">
        <f t="shared" si="9"/>
        <v>0</v>
      </c>
      <c r="AI40" s="498">
        <f t="shared" si="121"/>
        <v>0</v>
      </c>
      <c r="AJ40" s="496"/>
      <c r="AK40" s="497">
        <f t="shared" si="10"/>
        <v>0</v>
      </c>
      <c r="AL40" s="498">
        <f t="shared" si="122"/>
        <v>0</v>
      </c>
      <c r="AM40" s="496"/>
      <c r="AN40" s="497">
        <f t="shared" si="11"/>
        <v>0</v>
      </c>
      <c r="AO40" s="498">
        <f t="shared" si="123"/>
        <v>0</v>
      </c>
      <c r="AP40" s="496">
        <v>51.923076923077019</v>
      </c>
      <c r="AQ40" s="497">
        <f t="shared" si="12"/>
        <v>0.9737098344693299</v>
      </c>
      <c r="AR40" s="498">
        <f t="shared" si="124"/>
        <v>0</v>
      </c>
      <c r="AS40" s="496"/>
      <c r="AT40" s="497">
        <f t="shared" si="13"/>
        <v>0</v>
      </c>
      <c r="AU40" s="498">
        <f t="shared" si="125"/>
        <v>0</v>
      </c>
      <c r="AV40" s="496">
        <v>2.7750000000000341</v>
      </c>
      <c r="AW40" s="497">
        <f t="shared" si="14"/>
        <v>5.2039381153305843E-2</v>
      </c>
      <c r="AX40" s="498">
        <f t="shared" si="126"/>
        <v>0</v>
      </c>
      <c r="AY40" s="496">
        <v>56</v>
      </c>
      <c r="AZ40" s="497">
        <f t="shared" si="15"/>
        <v>1.0501640881387717</v>
      </c>
      <c r="BA40" s="498">
        <f t="shared" si="127"/>
        <v>0</v>
      </c>
      <c r="BB40" s="496"/>
      <c r="BC40" s="497">
        <f t="shared" si="16"/>
        <v>0</v>
      </c>
      <c r="BD40" s="498">
        <f t="shared" si="128"/>
        <v>0</v>
      </c>
      <c r="BE40" s="496"/>
      <c r="BF40" s="497">
        <f t="shared" si="17"/>
        <v>0</v>
      </c>
      <c r="BG40" s="498">
        <f t="shared" si="129"/>
        <v>0</v>
      </c>
      <c r="BH40" s="496"/>
      <c r="BI40" s="497">
        <f t="shared" si="18"/>
        <v>0</v>
      </c>
      <c r="BJ40" s="498">
        <f t="shared" si="130"/>
        <v>0</v>
      </c>
      <c r="BK40" s="496"/>
      <c r="BL40" s="497">
        <f t="shared" si="19"/>
        <v>0</v>
      </c>
      <c r="BM40" s="498">
        <f t="shared" si="131"/>
        <v>0</v>
      </c>
      <c r="BN40" s="496">
        <v>32.901234567901213</v>
      </c>
      <c r="BO40" s="497">
        <f t="shared" si="20"/>
        <v>0.6169945535471395</v>
      </c>
      <c r="BP40" s="498">
        <f t="shared" si="132"/>
        <v>0</v>
      </c>
      <c r="BQ40" s="496">
        <v>43.589743589743591</v>
      </c>
      <c r="BR40" s="497">
        <f t="shared" si="21"/>
        <v>0.81743541659153474</v>
      </c>
      <c r="BS40" s="498">
        <f t="shared" si="133"/>
        <v>0</v>
      </c>
      <c r="BT40" s="496"/>
      <c r="BU40" s="497">
        <f t="shared" si="22"/>
        <v>0</v>
      </c>
      <c r="BV40" s="498">
        <f t="shared" si="134"/>
        <v>0</v>
      </c>
      <c r="BW40" s="496"/>
      <c r="BX40" s="497">
        <f t="shared" si="23"/>
        <v>0</v>
      </c>
      <c r="BY40" s="498">
        <f t="shared" si="135"/>
        <v>0</v>
      </c>
      <c r="BZ40" s="496"/>
      <c r="CA40" s="497">
        <f t="shared" si="24"/>
        <v>0</v>
      </c>
      <c r="CB40" s="498">
        <f t="shared" si="136"/>
        <v>0</v>
      </c>
      <c r="CC40" s="496">
        <v>0</v>
      </c>
      <c r="CD40" s="497">
        <f t="shared" si="25"/>
        <v>0</v>
      </c>
      <c r="CE40" s="498">
        <f t="shared" si="137"/>
        <v>0</v>
      </c>
      <c r="CF40" s="496">
        <v>6</v>
      </c>
      <c r="CG40" s="497">
        <f t="shared" si="26"/>
        <v>0.11251758087201125</v>
      </c>
      <c r="CH40" s="498">
        <f t="shared" si="138"/>
        <v>0</v>
      </c>
      <c r="CI40" s="496"/>
      <c r="CJ40" s="497">
        <f t="shared" si="27"/>
        <v>0</v>
      </c>
      <c r="CK40" s="498">
        <f t="shared" si="139"/>
        <v>0</v>
      </c>
      <c r="CL40" s="496"/>
      <c r="CM40" s="497">
        <f t="shared" si="28"/>
        <v>0</v>
      </c>
      <c r="CN40" s="498">
        <f t="shared" si="140"/>
        <v>0</v>
      </c>
      <c r="CO40" s="496"/>
      <c r="CP40" s="497">
        <f t="shared" si="29"/>
        <v>0</v>
      </c>
      <c r="CQ40" s="498">
        <f t="shared" si="141"/>
        <v>0</v>
      </c>
      <c r="CR40" s="496"/>
      <c r="CS40" s="497">
        <f t="shared" si="30"/>
        <v>0</v>
      </c>
      <c r="CT40" s="498">
        <f t="shared" si="142"/>
        <v>0</v>
      </c>
      <c r="CU40" s="496"/>
      <c r="CV40" s="497">
        <f t="shared" si="31"/>
        <v>0</v>
      </c>
      <c r="CW40" s="498">
        <f t="shared" si="143"/>
        <v>0</v>
      </c>
      <c r="CX40" s="496"/>
      <c r="CY40" s="497">
        <f t="shared" si="32"/>
        <v>0</v>
      </c>
      <c r="CZ40" s="498">
        <f t="shared" si="144"/>
        <v>0</v>
      </c>
      <c r="DA40" s="496"/>
      <c r="DB40" s="497">
        <f t="shared" si="33"/>
        <v>0</v>
      </c>
      <c r="DC40" s="498">
        <f t="shared" si="145"/>
        <v>0</v>
      </c>
      <c r="DD40" s="496"/>
      <c r="DE40" s="497">
        <f t="shared" si="34"/>
        <v>0</v>
      </c>
      <c r="DF40" s="498">
        <f t="shared" si="146"/>
        <v>0</v>
      </c>
      <c r="DG40" s="496"/>
      <c r="DH40" s="497">
        <f t="shared" si="35"/>
        <v>0</v>
      </c>
      <c r="DI40" s="498">
        <f t="shared" si="203"/>
        <v>0</v>
      </c>
      <c r="DJ40" s="496"/>
      <c r="DK40" s="497">
        <f t="shared" si="36"/>
        <v>0</v>
      </c>
      <c r="DL40" s="498">
        <f t="shared" si="147"/>
        <v>0</v>
      </c>
      <c r="DM40" s="496"/>
      <c r="DN40" s="497">
        <f t="shared" si="37"/>
        <v>0</v>
      </c>
      <c r="DO40" s="498">
        <f t="shared" si="148"/>
        <v>0</v>
      </c>
      <c r="DP40" s="496"/>
      <c r="DQ40" s="497">
        <f t="shared" si="38"/>
        <v>0</v>
      </c>
      <c r="DR40" s="498">
        <f t="shared" si="149"/>
        <v>0</v>
      </c>
      <c r="DS40" s="496"/>
      <c r="DT40" s="497">
        <f t="shared" si="39"/>
        <v>0</v>
      </c>
      <c r="DU40" s="498">
        <f t="shared" si="150"/>
        <v>0</v>
      </c>
      <c r="DV40" s="496"/>
      <c r="DW40" s="497">
        <f t="shared" si="40"/>
        <v>0</v>
      </c>
      <c r="DX40" s="498">
        <f t="shared" si="151"/>
        <v>0</v>
      </c>
      <c r="DY40" s="496">
        <v>0</v>
      </c>
      <c r="DZ40" s="497">
        <f t="shared" si="41"/>
        <v>0</v>
      </c>
      <c r="EA40" s="498">
        <f t="shared" si="152"/>
        <v>0</v>
      </c>
      <c r="EB40" s="496">
        <v>21.80232558139528</v>
      </c>
      <c r="EC40" s="497">
        <f t="shared" si="42"/>
        <v>0.40885748863376048</v>
      </c>
      <c r="ED40" s="498">
        <f t="shared" si="153"/>
        <v>0</v>
      </c>
      <c r="EE40" s="496">
        <v>18</v>
      </c>
      <c r="EF40" s="497">
        <f t="shared" si="43"/>
        <v>0.33755274261603374</v>
      </c>
      <c r="EG40" s="498">
        <f t="shared" si="154"/>
        <v>0</v>
      </c>
      <c r="EH40" s="496"/>
      <c r="EI40" s="497">
        <f t="shared" si="44"/>
        <v>0</v>
      </c>
      <c r="EJ40" s="498">
        <f t="shared" si="155"/>
        <v>0</v>
      </c>
      <c r="EK40" s="496"/>
      <c r="EL40" s="497">
        <f t="shared" si="45"/>
        <v>0</v>
      </c>
      <c r="EM40" s="498">
        <f t="shared" si="156"/>
        <v>0</v>
      </c>
      <c r="EN40" s="496"/>
      <c r="EO40" s="497">
        <f t="shared" si="46"/>
        <v>0</v>
      </c>
      <c r="EP40" s="498">
        <f t="shared" si="157"/>
        <v>0</v>
      </c>
      <c r="EQ40" s="496"/>
      <c r="ER40" s="497">
        <f t="shared" si="47"/>
        <v>0</v>
      </c>
      <c r="ES40" s="498">
        <f t="shared" si="158"/>
        <v>0</v>
      </c>
      <c r="ET40" s="496"/>
      <c r="EU40" s="497">
        <f t="shared" si="48"/>
        <v>0</v>
      </c>
      <c r="EV40" s="498">
        <f t="shared" si="159"/>
        <v>0</v>
      </c>
      <c r="EW40" s="496"/>
      <c r="EX40" s="497">
        <f t="shared" si="49"/>
        <v>0</v>
      </c>
      <c r="EY40" s="498">
        <f t="shared" si="160"/>
        <v>0</v>
      </c>
      <c r="EZ40" s="496"/>
      <c r="FA40" s="497">
        <f t="shared" si="50"/>
        <v>0</v>
      </c>
      <c r="FB40" s="498">
        <f t="shared" si="161"/>
        <v>0</v>
      </c>
      <c r="FC40" s="496"/>
      <c r="FD40" s="497">
        <f t="shared" si="51"/>
        <v>0</v>
      </c>
      <c r="FE40" s="498">
        <f t="shared" si="162"/>
        <v>0</v>
      </c>
      <c r="FF40" s="496"/>
      <c r="FG40" s="497">
        <f t="shared" si="52"/>
        <v>0</v>
      </c>
      <c r="FH40" s="498">
        <f t="shared" si="163"/>
        <v>0</v>
      </c>
      <c r="FI40" s="496"/>
      <c r="FJ40" s="497">
        <f t="shared" si="53"/>
        <v>0</v>
      </c>
      <c r="FK40" s="498">
        <f t="shared" si="164"/>
        <v>0</v>
      </c>
      <c r="FL40" s="496"/>
      <c r="FM40" s="497">
        <f t="shared" si="54"/>
        <v>0</v>
      </c>
      <c r="FN40" s="498">
        <f t="shared" si="165"/>
        <v>0</v>
      </c>
      <c r="FO40" s="496"/>
      <c r="FP40" s="497">
        <f t="shared" si="55"/>
        <v>0</v>
      </c>
      <c r="FQ40" s="498">
        <f t="shared" si="166"/>
        <v>0</v>
      </c>
      <c r="FR40" s="496"/>
      <c r="FS40" s="497">
        <f t="shared" si="56"/>
        <v>0</v>
      </c>
      <c r="FT40" s="498">
        <f t="shared" si="167"/>
        <v>0</v>
      </c>
      <c r="FU40" s="496"/>
      <c r="FV40" s="497">
        <f t="shared" si="57"/>
        <v>0</v>
      </c>
      <c r="FW40" s="498">
        <f t="shared" si="168"/>
        <v>0</v>
      </c>
      <c r="FX40" s="496"/>
      <c r="FY40" s="497">
        <f t="shared" si="58"/>
        <v>0</v>
      </c>
      <c r="FZ40" s="498">
        <f t="shared" si="169"/>
        <v>0</v>
      </c>
      <c r="GA40" s="496"/>
      <c r="GB40" s="497">
        <f t="shared" si="59"/>
        <v>0</v>
      </c>
      <c r="GC40" s="498">
        <f t="shared" si="170"/>
        <v>0</v>
      </c>
      <c r="GD40" s="496"/>
      <c r="GE40" s="497">
        <f t="shared" si="60"/>
        <v>0</v>
      </c>
      <c r="GF40" s="498">
        <f t="shared" si="171"/>
        <v>0</v>
      </c>
      <c r="GG40" s="496"/>
      <c r="GH40" s="497">
        <f t="shared" si="61"/>
        <v>0</v>
      </c>
      <c r="GI40" s="498">
        <f t="shared" si="172"/>
        <v>0</v>
      </c>
      <c r="GJ40" s="496"/>
      <c r="GK40" s="497">
        <f t="shared" si="62"/>
        <v>0</v>
      </c>
      <c r="GL40" s="498">
        <f t="shared" si="173"/>
        <v>0</v>
      </c>
      <c r="GM40" s="496"/>
      <c r="GN40" s="497">
        <f t="shared" si="63"/>
        <v>0</v>
      </c>
      <c r="GO40" s="498">
        <f t="shared" si="174"/>
        <v>0</v>
      </c>
      <c r="GP40" s="496"/>
      <c r="GQ40" s="497">
        <f t="shared" si="64"/>
        <v>0</v>
      </c>
      <c r="GR40" s="498">
        <f t="shared" si="175"/>
        <v>0</v>
      </c>
      <c r="GS40" s="496"/>
      <c r="GT40" s="497">
        <f t="shared" si="65"/>
        <v>0</v>
      </c>
      <c r="GU40" s="498">
        <f t="shared" si="176"/>
        <v>0</v>
      </c>
      <c r="GV40" s="496"/>
      <c r="GW40" s="497">
        <f t="shared" si="66"/>
        <v>0</v>
      </c>
      <c r="GX40" s="498">
        <f t="shared" si="177"/>
        <v>0</v>
      </c>
      <c r="GY40" s="496"/>
      <c r="GZ40" s="497">
        <f t="shared" si="67"/>
        <v>0</v>
      </c>
      <c r="HA40" s="498">
        <f t="shared" si="178"/>
        <v>0</v>
      </c>
      <c r="HB40" s="496"/>
      <c r="HC40" s="497">
        <f t="shared" si="68"/>
        <v>0</v>
      </c>
      <c r="HD40" s="498">
        <f t="shared" si="179"/>
        <v>0</v>
      </c>
      <c r="HE40" s="496"/>
      <c r="HF40" s="497">
        <f t="shared" si="69"/>
        <v>0</v>
      </c>
      <c r="HG40" s="498">
        <f t="shared" si="180"/>
        <v>0</v>
      </c>
      <c r="HH40" s="496"/>
      <c r="HI40" s="497">
        <f t="shared" si="70"/>
        <v>0</v>
      </c>
      <c r="HJ40" s="498">
        <f t="shared" si="181"/>
        <v>0</v>
      </c>
      <c r="HK40" s="496"/>
      <c r="HL40" s="497">
        <f t="shared" si="71"/>
        <v>0</v>
      </c>
      <c r="HM40" s="498">
        <f t="shared" si="182"/>
        <v>0</v>
      </c>
      <c r="HN40" s="496"/>
      <c r="HO40" s="497">
        <f t="shared" si="72"/>
        <v>0</v>
      </c>
      <c r="HP40" s="498">
        <f t="shared" si="183"/>
        <v>0</v>
      </c>
      <c r="HQ40" s="496"/>
      <c r="HR40" s="497">
        <f t="shared" si="73"/>
        <v>0</v>
      </c>
      <c r="HS40" s="498">
        <f t="shared" si="184"/>
        <v>0</v>
      </c>
      <c r="HT40" s="496"/>
      <c r="HU40" s="497">
        <f t="shared" si="74"/>
        <v>0</v>
      </c>
      <c r="HV40" s="498">
        <f t="shared" si="185"/>
        <v>0</v>
      </c>
      <c r="HW40" s="496"/>
      <c r="HX40" s="497">
        <f t="shared" si="75"/>
        <v>0</v>
      </c>
      <c r="HY40" s="498">
        <f t="shared" si="186"/>
        <v>0</v>
      </c>
      <c r="HZ40" s="496"/>
      <c r="IA40" s="497">
        <f t="shared" si="76"/>
        <v>0</v>
      </c>
      <c r="IB40" s="498">
        <f t="shared" si="187"/>
        <v>0</v>
      </c>
      <c r="IC40" s="496"/>
      <c r="ID40" s="497">
        <f t="shared" si="77"/>
        <v>0</v>
      </c>
      <c r="IE40" s="498">
        <f t="shared" si="188"/>
        <v>0</v>
      </c>
      <c r="IF40" s="496"/>
      <c r="IG40" s="497">
        <f t="shared" si="78"/>
        <v>0</v>
      </c>
      <c r="IH40" s="498">
        <f t="shared" si="189"/>
        <v>0</v>
      </c>
      <c r="II40" s="496"/>
      <c r="IJ40" s="497">
        <f t="shared" si="79"/>
        <v>0</v>
      </c>
      <c r="IK40" s="498">
        <f t="shared" si="190"/>
        <v>0</v>
      </c>
      <c r="IL40" s="496"/>
      <c r="IM40" s="497">
        <f t="shared" si="80"/>
        <v>0</v>
      </c>
      <c r="IN40" s="498">
        <f t="shared" si="191"/>
        <v>0</v>
      </c>
      <c r="IO40" s="496"/>
      <c r="IP40" s="497">
        <f t="shared" si="81"/>
        <v>0</v>
      </c>
      <c r="IQ40" s="498">
        <f t="shared" si="192"/>
        <v>0</v>
      </c>
      <c r="IR40" s="496"/>
      <c r="IS40" s="497">
        <f t="shared" si="82"/>
        <v>0</v>
      </c>
      <c r="IT40" s="498">
        <f t="shared" si="193"/>
        <v>0</v>
      </c>
      <c r="IU40" s="496"/>
      <c r="IV40" s="497">
        <f t="shared" si="83"/>
        <v>0</v>
      </c>
      <c r="IW40" s="498">
        <f t="shared" si="194"/>
        <v>0</v>
      </c>
      <c r="IX40" s="496"/>
      <c r="IY40" s="497">
        <f t="shared" si="84"/>
        <v>0</v>
      </c>
      <c r="IZ40" s="498">
        <f t="shared" si="195"/>
        <v>0</v>
      </c>
      <c r="JA40" s="496"/>
      <c r="JB40" s="497">
        <f t="shared" si="85"/>
        <v>0</v>
      </c>
      <c r="JC40" s="498">
        <f t="shared" si="196"/>
        <v>0</v>
      </c>
      <c r="JD40" s="496"/>
      <c r="JE40" s="497">
        <f t="shared" si="86"/>
        <v>0</v>
      </c>
      <c r="JF40" s="498">
        <f t="shared" si="197"/>
        <v>0</v>
      </c>
      <c r="JG40" s="496"/>
      <c r="JH40" s="497">
        <f t="shared" si="87"/>
        <v>0</v>
      </c>
      <c r="JI40" s="498">
        <f t="shared" si="198"/>
        <v>0</v>
      </c>
      <c r="JJ40" s="496"/>
      <c r="JK40" s="498" t="str">
        <f t="shared" si="88"/>
        <v>0</v>
      </c>
      <c r="JL40" s="498" t="str">
        <f t="shared" si="89"/>
        <v>0</v>
      </c>
      <c r="JM40" s="496"/>
      <c r="JN40" s="498" t="str">
        <f t="shared" si="90"/>
        <v>0</v>
      </c>
      <c r="JO40" s="498" t="str">
        <f t="shared" si="91"/>
        <v>0</v>
      </c>
      <c r="JP40" s="496"/>
      <c r="JQ40" s="498" t="str">
        <f t="shared" si="92"/>
        <v>0</v>
      </c>
      <c r="JR40" s="498" t="str">
        <f t="shared" si="93"/>
        <v>0</v>
      </c>
      <c r="JS40" s="496"/>
      <c r="JT40" s="498" t="str">
        <f t="shared" si="94"/>
        <v>0</v>
      </c>
      <c r="JU40" s="498" t="str">
        <f t="shared" si="95"/>
        <v>0</v>
      </c>
      <c r="JV40" s="496"/>
      <c r="JW40" s="498" t="str">
        <f t="shared" si="96"/>
        <v>0</v>
      </c>
      <c r="JX40" s="498" t="str">
        <f t="shared" si="97"/>
        <v>0</v>
      </c>
      <c r="JY40" s="496"/>
      <c r="JZ40" s="498" t="str">
        <f t="shared" si="98"/>
        <v>0</v>
      </c>
      <c r="KA40" s="498" t="str">
        <f t="shared" si="99"/>
        <v>0</v>
      </c>
      <c r="KB40" s="496"/>
      <c r="KC40" s="498" t="str">
        <f t="shared" si="100"/>
        <v>0</v>
      </c>
      <c r="KD40" s="498" t="str">
        <f t="shared" si="101"/>
        <v>0</v>
      </c>
      <c r="KE40" s="496"/>
      <c r="KF40" s="498" t="str">
        <f t="shared" si="102"/>
        <v>0</v>
      </c>
      <c r="KG40" s="498" t="str">
        <f t="shared" si="103"/>
        <v>0</v>
      </c>
      <c r="KH40" s="496"/>
      <c r="KI40" s="498" t="str">
        <f t="shared" si="104"/>
        <v>0</v>
      </c>
      <c r="KJ40" s="498" t="str">
        <f t="shared" si="105"/>
        <v>0</v>
      </c>
      <c r="KK40" s="496"/>
      <c r="KL40" s="498" t="str">
        <f t="shared" si="106"/>
        <v>0</v>
      </c>
      <c r="KM40" s="498" t="str">
        <f t="shared" si="107"/>
        <v>0</v>
      </c>
      <c r="KN40" s="496"/>
      <c r="KO40" s="498" t="str">
        <f t="shared" si="108"/>
        <v>0</v>
      </c>
      <c r="KP40" s="498" t="str">
        <f t="shared" si="109"/>
        <v>0</v>
      </c>
      <c r="KQ40" s="496"/>
      <c r="KR40" s="498" t="str">
        <f t="shared" si="110"/>
        <v>0</v>
      </c>
      <c r="KS40" s="498" t="str">
        <f t="shared" si="111"/>
        <v>0</v>
      </c>
      <c r="KT40" s="498">
        <f t="shared" si="201"/>
        <v>0</v>
      </c>
      <c r="KU40" s="498">
        <f t="shared" si="202"/>
        <v>0</v>
      </c>
      <c r="KV40" s="262">
        <f t="shared" si="199"/>
        <v>463.66870624351242</v>
      </c>
    </row>
    <row r="41" spans="1:308" s="268" customFormat="1" ht="15" customHeight="1" thickBot="1">
      <c r="A41" s="702" t="s">
        <v>27</v>
      </c>
      <c r="B41" s="703"/>
      <c r="C41" s="704"/>
      <c r="D41" s="269">
        <f>SUM(D10:D40)</f>
        <v>1572.6529999999998</v>
      </c>
      <c r="E41" s="269">
        <f>SUM(E10:E40)</f>
        <v>1534.7249999999999</v>
      </c>
      <c r="F41" s="496"/>
      <c r="G41" s="497"/>
      <c r="H41" s="498"/>
      <c r="I41" s="496"/>
      <c r="J41" s="497"/>
      <c r="K41" s="498"/>
      <c r="L41" s="496"/>
      <c r="M41" s="497"/>
      <c r="N41" s="498"/>
      <c r="O41" s="496"/>
      <c r="P41" s="497"/>
      <c r="Q41" s="498"/>
      <c r="R41" s="496"/>
      <c r="S41" s="497"/>
      <c r="T41" s="498"/>
      <c r="U41" s="496"/>
      <c r="V41" s="497"/>
      <c r="W41" s="498"/>
      <c r="X41" s="496"/>
      <c r="Y41" s="497"/>
      <c r="Z41" s="498"/>
      <c r="AA41" s="496"/>
      <c r="AB41" s="497"/>
      <c r="AC41" s="498"/>
      <c r="AD41" s="496"/>
      <c r="AE41" s="497"/>
      <c r="AF41" s="498"/>
      <c r="AG41" s="496"/>
      <c r="AH41" s="497"/>
      <c r="AI41" s="498"/>
      <c r="AJ41" s="496"/>
      <c r="AK41" s="497"/>
      <c r="AL41" s="498"/>
      <c r="AM41" s="496"/>
      <c r="AN41" s="497"/>
      <c r="AO41" s="498"/>
      <c r="AP41" s="496"/>
      <c r="AQ41" s="497"/>
      <c r="AR41" s="498"/>
      <c r="AS41" s="496"/>
      <c r="AT41" s="497"/>
      <c r="AU41" s="498"/>
      <c r="AV41" s="496"/>
      <c r="AW41" s="497"/>
      <c r="AX41" s="498"/>
      <c r="AY41" s="496"/>
      <c r="AZ41" s="497"/>
      <c r="BA41" s="498"/>
      <c r="BB41" s="496"/>
      <c r="BC41" s="497"/>
      <c r="BD41" s="498"/>
      <c r="BE41" s="496"/>
      <c r="BF41" s="497"/>
      <c r="BG41" s="498"/>
      <c r="BH41" s="496"/>
      <c r="BI41" s="497"/>
      <c r="BJ41" s="498"/>
      <c r="BK41" s="496"/>
      <c r="BL41" s="497"/>
      <c r="BM41" s="498"/>
      <c r="BN41" s="496"/>
      <c r="BO41" s="497"/>
      <c r="BP41" s="498"/>
      <c r="BQ41" s="496"/>
      <c r="BR41" s="497"/>
      <c r="BS41" s="498"/>
      <c r="BT41" s="496"/>
      <c r="BU41" s="497"/>
      <c r="BV41" s="498"/>
      <c r="BW41" s="496"/>
      <c r="BX41" s="497"/>
      <c r="BY41" s="498"/>
      <c r="BZ41" s="496"/>
      <c r="CA41" s="497"/>
      <c r="CB41" s="498"/>
      <c r="CC41" s="496"/>
      <c r="CD41" s="497"/>
      <c r="CE41" s="498"/>
      <c r="CF41" s="496"/>
      <c r="CG41" s="497"/>
      <c r="CH41" s="498"/>
      <c r="CI41" s="496"/>
      <c r="CJ41" s="497"/>
      <c r="CK41" s="498"/>
      <c r="CL41" s="496"/>
      <c r="CM41" s="497"/>
      <c r="CN41" s="498"/>
      <c r="CO41" s="496"/>
      <c r="CP41" s="497"/>
      <c r="CQ41" s="498"/>
      <c r="CR41" s="496"/>
      <c r="CS41" s="497"/>
      <c r="CT41" s="498"/>
      <c r="CU41" s="496"/>
      <c r="CV41" s="497"/>
      <c r="CW41" s="498"/>
      <c r="CX41" s="496"/>
      <c r="CY41" s="497"/>
      <c r="CZ41" s="498"/>
      <c r="DA41" s="496"/>
      <c r="DB41" s="497"/>
      <c r="DC41" s="498"/>
      <c r="DD41" s="496"/>
      <c r="DE41" s="497"/>
      <c r="DF41" s="498"/>
      <c r="DG41" s="496"/>
      <c r="DH41" s="497"/>
      <c r="DI41" s="498"/>
      <c r="DJ41" s="496"/>
      <c r="DK41" s="497"/>
      <c r="DL41" s="498"/>
      <c r="DM41" s="496"/>
      <c r="DN41" s="497"/>
      <c r="DO41" s="498"/>
      <c r="DP41" s="496"/>
      <c r="DQ41" s="497"/>
      <c r="DR41" s="498"/>
      <c r="DS41" s="496"/>
      <c r="DT41" s="497"/>
      <c r="DU41" s="498"/>
      <c r="DV41" s="496"/>
      <c r="DW41" s="497"/>
      <c r="DX41" s="498"/>
      <c r="DY41" s="496"/>
      <c r="DZ41" s="497"/>
      <c r="EA41" s="498"/>
      <c r="EB41" s="496"/>
      <c r="EC41" s="497"/>
      <c r="ED41" s="498"/>
      <c r="EE41" s="496"/>
      <c r="EF41" s="497"/>
      <c r="EG41" s="498"/>
      <c r="EH41" s="496"/>
      <c r="EI41" s="497"/>
      <c r="EJ41" s="498"/>
      <c r="EK41" s="496"/>
      <c r="EL41" s="497"/>
      <c r="EM41" s="498"/>
      <c r="EN41" s="496"/>
      <c r="EO41" s="497"/>
      <c r="EP41" s="498"/>
      <c r="EQ41" s="496"/>
      <c r="ER41" s="497"/>
      <c r="ES41" s="498"/>
      <c r="ET41" s="496"/>
      <c r="EU41" s="497"/>
      <c r="EV41" s="498"/>
      <c r="EW41" s="496"/>
      <c r="EX41" s="497"/>
      <c r="EY41" s="498"/>
      <c r="EZ41" s="496"/>
      <c r="FA41" s="497"/>
      <c r="FB41" s="498"/>
      <c r="FC41" s="496"/>
      <c r="FD41" s="497"/>
      <c r="FE41" s="498"/>
      <c r="FF41" s="496"/>
      <c r="FG41" s="497"/>
      <c r="FH41" s="498"/>
      <c r="FI41" s="496"/>
      <c r="FJ41" s="497"/>
      <c r="FK41" s="498"/>
      <c r="FL41" s="496"/>
      <c r="FM41" s="497"/>
      <c r="FN41" s="498"/>
      <c r="FO41" s="496"/>
      <c r="FP41" s="497"/>
      <c r="FQ41" s="498"/>
      <c r="FR41" s="496"/>
      <c r="FS41" s="497"/>
      <c r="FT41" s="498"/>
      <c r="FU41" s="496"/>
      <c r="FV41" s="497"/>
      <c r="FW41" s="498"/>
      <c r="FX41" s="496"/>
      <c r="FY41" s="497"/>
      <c r="FZ41" s="498"/>
      <c r="GA41" s="496"/>
      <c r="GB41" s="497"/>
      <c r="GC41" s="498"/>
      <c r="GD41" s="496"/>
      <c r="GE41" s="497"/>
      <c r="GF41" s="498"/>
      <c r="GG41" s="496"/>
      <c r="GH41" s="497"/>
      <c r="GI41" s="498"/>
      <c r="GJ41" s="496"/>
      <c r="GK41" s="497"/>
      <c r="GL41" s="498"/>
      <c r="GM41" s="496"/>
      <c r="GN41" s="497"/>
      <c r="GO41" s="498"/>
      <c r="GP41" s="496"/>
      <c r="GQ41" s="497"/>
      <c r="GR41" s="498"/>
      <c r="GS41" s="496"/>
      <c r="GT41" s="497"/>
      <c r="GU41" s="498"/>
      <c r="GV41" s="496"/>
      <c r="GW41" s="497"/>
      <c r="GX41" s="498"/>
      <c r="GY41" s="496"/>
      <c r="GZ41" s="497"/>
      <c r="HA41" s="498"/>
      <c r="HB41" s="496"/>
      <c r="HC41" s="497"/>
      <c r="HD41" s="498"/>
      <c r="HE41" s="496"/>
      <c r="HF41" s="497"/>
      <c r="HG41" s="498"/>
      <c r="HH41" s="496"/>
      <c r="HI41" s="497"/>
      <c r="HJ41" s="498"/>
      <c r="HK41" s="496"/>
      <c r="HL41" s="497"/>
      <c r="HM41" s="498"/>
      <c r="HN41" s="496"/>
      <c r="HO41" s="497"/>
      <c r="HP41" s="498"/>
      <c r="HQ41" s="496"/>
      <c r="HR41" s="497"/>
      <c r="HS41" s="498"/>
      <c r="HT41" s="496"/>
      <c r="HU41" s="497"/>
      <c r="HV41" s="498"/>
      <c r="HW41" s="496"/>
      <c r="HX41" s="497"/>
      <c r="HY41" s="498"/>
      <c r="HZ41" s="496"/>
      <c r="IA41" s="497"/>
      <c r="IB41" s="498"/>
      <c r="IC41" s="496"/>
      <c r="ID41" s="497"/>
      <c r="IE41" s="498"/>
      <c r="IF41" s="496"/>
      <c r="IG41" s="497"/>
      <c r="IH41" s="498"/>
      <c r="II41" s="496"/>
      <c r="IJ41" s="497"/>
      <c r="IK41" s="498"/>
      <c r="IL41" s="496"/>
      <c r="IM41" s="497"/>
      <c r="IN41" s="498"/>
      <c r="IO41" s="496"/>
      <c r="IP41" s="497"/>
      <c r="IQ41" s="498"/>
      <c r="IR41" s="496"/>
      <c r="IS41" s="497"/>
      <c r="IT41" s="498"/>
      <c r="IU41" s="496"/>
      <c r="IV41" s="497"/>
      <c r="IW41" s="498"/>
      <c r="IX41" s="496"/>
      <c r="IY41" s="497"/>
      <c r="IZ41" s="498"/>
      <c r="JA41" s="496"/>
      <c r="JB41" s="497"/>
      <c r="JC41" s="498"/>
      <c r="JD41" s="496"/>
      <c r="JE41" s="497"/>
      <c r="JF41" s="498"/>
      <c r="JG41" s="496"/>
      <c r="JH41" s="497"/>
      <c r="JI41" s="498"/>
      <c r="JJ41" s="496"/>
      <c r="JK41" s="498"/>
      <c r="JL41" s="498"/>
      <c r="JM41" s="496"/>
      <c r="JN41" s="498"/>
      <c r="JO41" s="498"/>
      <c r="JP41" s="496"/>
      <c r="JQ41" s="498"/>
      <c r="JR41" s="498"/>
      <c r="JS41" s="496"/>
      <c r="JT41" s="498"/>
      <c r="JU41" s="498"/>
      <c r="JV41" s="496"/>
      <c r="JW41" s="498"/>
      <c r="JX41" s="498"/>
      <c r="JY41" s="496"/>
      <c r="JZ41" s="498"/>
      <c r="KA41" s="498"/>
      <c r="KB41" s="496"/>
      <c r="KC41" s="498"/>
      <c r="KD41" s="498"/>
      <c r="KE41" s="496"/>
      <c r="KF41" s="498"/>
      <c r="KG41" s="498"/>
      <c r="KH41" s="496"/>
      <c r="KI41" s="498"/>
      <c r="KJ41" s="498"/>
      <c r="KK41" s="496"/>
      <c r="KL41" s="498"/>
      <c r="KM41" s="498"/>
      <c r="KN41" s="496"/>
      <c r="KO41" s="498"/>
      <c r="KP41" s="498"/>
      <c r="KQ41" s="496"/>
      <c r="KR41" s="498"/>
      <c r="KS41" s="498"/>
      <c r="KT41" s="498"/>
      <c r="KU41" s="498"/>
      <c r="KV41" s="515">
        <f>SUM(KV10:KV40)</f>
        <v>15845.242801216154</v>
      </c>
    </row>
    <row r="42" spans="1:308" ht="15" customHeight="1" thickTop="1" thickBot="1">
      <c r="F42" s="499">
        <f>SUM(F10:F40)</f>
        <v>0</v>
      </c>
      <c r="G42" s="499">
        <f>IFERROR((F42/$L$42),0)</f>
        <v>0</v>
      </c>
      <c r="H42" s="499">
        <f>IFERROR(((F42*H$9)/$L$42),0)</f>
        <v>0</v>
      </c>
      <c r="I42" s="499">
        <f>SUM(I10:I40)</f>
        <v>8709.3004046511633</v>
      </c>
      <c r="J42" s="499">
        <f>IFERROR((I42/$L$42),0)</f>
        <v>0</v>
      </c>
      <c r="K42" s="499">
        <f>IFERROR(((I42*K$9)/$L$42),0)</f>
        <v>0</v>
      </c>
      <c r="L42" s="499">
        <f>SUM(L10:L40)</f>
        <v>0</v>
      </c>
      <c r="M42" s="499">
        <f>IFERROR((L42/$L$42),0)</f>
        <v>0</v>
      </c>
      <c r="N42" s="499">
        <f>IFERROR(((L42*N$9)/$L$42),0)</f>
        <v>0</v>
      </c>
      <c r="O42" s="499">
        <f>SUM(O10:O40)</f>
        <v>312</v>
      </c>
      <c r="P42" s="499">
        <f>IFERROR((O42/$L$42),0)</f>
        <v>0</v>
      </c>
      <c r="Q42" s="499">
        <f>IFERROR(((O42*Q$9)/$L$42),0)</f>
        <v>0</v>
      </c>
      <c r="R42" s="499">
        <f>SUM(R10:R40)</f>
        <v>284.4375</v>
      </c>
      <c r="S42" s="499">
        <f>IFERROR((R42/$L$42),0)</f>
        <v>0</v>
      </c>
      <c r="T42" s="499">
        <f>IFERROR(((R42*T$9)/$L$42),0)</f>
        <v>0</v>
      </c>
      <c r="U42" s="499">
        <f>SUM(U10:U40)</f>
        <v>123.43749999999996</v>
      </c>
      <c r="V42" s="499">
        <f>IFERROR((U42/$L$42),0)</f>
        <v>0</v>
      </c>
      <c r="W42" s="499">
        <f>IFERROR(((U42*W$9)/$L$42),0)</f>
        <v>0</v>
      </c>
      <c r="X42" s="499">
        <f>SUM(X10:X40)</f>
        <v>0</v>
      </c>
      <c r="Y42" s="499">
        <f>IFERROR((X42/$L$42),0)</f>
        <v>0</v>
      </c>
      <c r="Z42" s="499">
        <f>IFERROR(((X42*Z$9)/$L$42),0)</f>
        <v>0</v>
      </c>
      <c r="AA42" s="499">
        <f>SUM(AA10:AA40)</f>
        <v>0</v>
      </c>
      <c r="AB42" s="499">
        <f>IFERROR((AA42/$L$42),0)</f>
        <v>0</v>
      </c>
      <c r="AC42" s="499">
        <f>IFERROR(((AA42*AC$9)/$L$42),0)</f>
        <v>0</v>
      </c>
      <c r="AD42" s="499">
        <f>SUM(AD10:AD40)</f>
        <v>0</v>
      </c>
      <c r="AE42" s="499">
        <f>IFERROR((AD42/$L$42),0)</f>
        <v>0</v>
      </c>
      <c r="AF42" s="499">
        <f>IFERROR(((AD42*AF$9)/$L$42),0)</f>
        <v>0</v>
      </c>
      <c r="AG42" s="499">
        <f>SUM(AG10:AG40)</f>
        <v>0</v>
      </c>
      <c r="AH42" s="499">
        <f>IFERROR((AG42/$L$42),0)</f>
        <v>0</v>
      </c>
      <c r="AI42" s="499">
        <f>IFERROR(((AG42*AI$9)/$L$42),0)</f>
        <v>0</v>
      </c>
      <c r="AJ42" s="499">
        <f>SUM(AJ10:AJ40)</f>
        <v>0</v>
      </c>
      <c r="AK42" s="499">
        <f>IFERROR((AJ42/$L$42),0)</f>
        <v>0</v>
      </c>
      <c r="AL42" s="499">
        <f>IFERROR(((AJ42*AL$9)/$L$42),0)</f>
        <v>0</v>
      </c>
      <c r="AM42" s="499">
        <f>SUM(AM10:AM40)</f>
        <v>0</v>
      </c>
      <c r="AN42" s="499">
        <f>IFERROR((AM42/$L$42),0)</f>
        <v>0</v>
      </c>
      <c r="AO42" s="499">
        <f>IFERROR(((AM42*AO$9)/$L$42),0)</f>
        <v>0</v>
      </c>
      <c r="AP42" s="499">
        <f>SUM(AP10:AP40)</f>
        <v>1710.5748769230772</v>
      </c>
      <c r="AQ42" s="499">
        <f>IFERROR((AP42/$L$42),0)</f>
        <v>0</v>
      </c>
      <c r="AR42" s="499">
        <f>IFERROR(((AP42*AR$9)/$L$42),0)</f>
        <v>0</v>
      </c>
      <c r="AS42" s="499">
        <f>SUM(AS10:AS40)</f>
        <v>0</v>
      </c>
      <c r="AT42" s="499">
        <f>IFERROR((AS42/$L$42),0)</f>
        <v>0</v>
      </c>
      <c r="AU42" s="499">
        <f>IFERROR(((AS42*AU$9)/$L$42),0)</f>
        <v>0</v>
      </c>
      <c r="AV42" s="499">
        <f>SUM(AV10:AV40)</f>
        <v>430.12149999999991</v>
      </c>
      <c r="AW42" s="499">
        <f>IFERROR((AV42/$L$42),0)</f>
        <v>0</v>
      </c>
      <c r="AX42" s="499">
        <f>IFERROR(((AV42*AX$9)/$L$42),0)</f>
        <v>0</v>
      </c>
      <c r="AY42" s="499">
        <f>SUM(AY10:AY40)</f>
        <v>2011.3325333333332</v>
      </c>
      <c r="AZ42" s="499">
        <f>IFERROR((AY42/$L$42),0)</f>
        <v>0</v>
      </c>
      <c r="BA42" s="499">
        <f>IFERROR(((AY42*BA$9)/$L$42),0)</f>
        <v>0</v>
      </c>
      <c r="BB42" s="499">
        <f>SUM(BB10:BB40)</f>
        <v>0</v>
      </c>
      <c r="BC42" s="499">
        <f>IFERROR((BB42/$L$42),0)</f>
        <v>0</v>
      </c>
      <c r="BD42" s="499">
        <f>IFERROR(((BB42*BD$9)/$L$42),0)</f>
        <v>0</v>
      </c>
      <c r="BE42" s="499">
        <f>SUM(BE10:BE40)</f>
        <v>0</v>
      </c>
      <c r="BF42" s="499">
        <f>IFERROR((BE42/$L$42),0)</f>
        <v>0</v>
      </c>
      <c r="BG42" s="499">
        <f>IFERROR(((BE42*BG$9)/$L$42),0)</f>
        <v>0</v>
      </c>
      <c r="BH42" s="499">
        <f>SUM(BH10:BH40)</f>
        <v>0</v>
      </c>
      <c r="BI42" s="499">
        <f>IFERROR((BH42/$L$42),0)</f>
        <v>0</v>
      </c>
      <c r="BJ42" s="499">
        <f>IFERROR(((BH42*BJ$9)/$L$42),0)</f>
        <v>0</v>
      </c>
      <c r="BK42" s="499">
        <f>SUM(BK10:BK40)</f>
        <v>0</v>
      </c>
      <c r="BL42" s="499">
        <f>IFERROR((BK42/$L$42),0)</f>
        <v>0</v>
      </c>
      <c r="BM42" s="499">
        <f>IFERROR(((BK42*BM$9)/$L$42),0)</f>
        <v>0</v>
      </c>
      <c r="BN42" s="499">
        <f>SUM(BN10:BN40)</f>
        <v>789.62962962962956</v>
      </c>
      <c r="BO42" s="499">
        <f>IFERROR((BN42/$L$42),0)</f>
        <v>0</v>
      </c>
      <c r="BP42" s="499">
        <f>IFERROR(((BN42*BP$9)/$L$42),0)</f>
        <v>0</v>
      </c>
      <c r="BQ42" s="499">
        <f>SUM(BQ10:BQ40)</f>
        <v>512.8189743589744</v>
      </c>
      <c r="BR42" s="499">
        <f>IFERROR((BQ42/$L$42),0)</f>
        <v>0</v>
      </c>
      <c r="BS42" s="499">
        <f>IFERROR(((BQ42*BS$9)/$L$42),0)</f>
        <v>0</v>
      </c>
      <c r="BT42" s="499">
        <f>SUM(BT10:BT40)</f>
        <v>0</v>
      </c>
      <c r="BU42" s="499">
        <f>IFERROR((BT42/$L$42),0)</f>
        <v>0</v>
      </c>
      <c r="BV42" s="499">
        <f>IFERROR(((BT42*BV$9)/$L$42),0)</f>
        <v>0</v>
      </c>
      <c r="BW42" s="499">
        <f>SUM(BW10:BW40)</f>
        <v>0</v>
      </c>
      <c r="BX42" s="499">
        <f>IFERROR((BW42/$L$42),0)</f>
        <v>0</v>
      </c>
      <c r="BY42" s="499">
        <f>IFERROR(((BW42*BY$9)/$L$42),0)</f>
        <v>0</v>
      </c>
      <c r="BZ42" s="499">
        <f>SUM(BZ10:BZ40)</f>
        <v>0</v>
      </c>
      <c r="CA42" s="499">
        <f>IFERROR((BZ42/$L$42),0)</f>
        <v>0</v>
      </c>
      <c r="CB42" s="499">
        <f>IFERROR(((BZ42*CB$9)/$L$42),0)</f>
        <v>0</v>
      </c>
      <c r="CC42" s="499">
        <f>SUM(CC10:CC40)</f>
        <v>25</v>
      </c>
      <c r="CD42" s="499">
        <f>IFERROR((CC42/$L$42),0)</f>
        <v>0</v>
      </c>
      <c r="CE42" s="499">
        <f>IFERROR(((CC42*CE$9)/$L$42),0)</f>
        <v>0</v>
      </c>
      <c r="CF42" s="499">
        <f>SUM(CF10:CF40)</f>
        <v>225.59999999999994</v>
      </c>
      <c r="CG42" s="499">
        <f>IFERROR((CF42/$L$42),0)</f>
        <v>0</v>
      </c>
      <c r="CH42" s="499">
        <f>IFERROR(((CF42*CH$9)/$L$42),0)</f>
        <v>0</v>
      </c>
      <c r="CI42" s="499">
        <f>SUM(CI10:CI40)</f>
        <v>0</v>
      </c>
      <c r="CJ42" s="499">
        <f>IFERROR((CI42/$L$42),0)</f>
        <v>0</v>
      </c>
      <c r="CK42" s="499">
        <f>IFERROR(((CI42*CK$9)/$L$42),0)</f>
        <v>0</v>
      </c>
      <c r="CL42" s="499">
        <f>SUM(CL10:CL40)</f>
        <v>0</v>
      </c>
      <c r="CM42" s="499">
        <f>IFERROR((CL42/$L$42),0)</f>
        <v>0</v>
      </c>
      <c r="CN42" s="499">
        <f>IFERROR(((CL42*CN$9)/$L$42),0)</f>
        <v>0</v>
      </c>
      <c r="CO42" s="499">
        <f>SUM(CO10:CO40)</f>
        <v>0</v>
      </c>
      <c r="CP42" s="499">
        <f>IFERROR((CO42/$L$42),0)</f>
        <v>0</v>
      </c>
      <c r="CQ42" s="499">
        <f>IFERROR(((CO42*CQ$9)/$L$42),0)</f>
        <v>0</v>
      </c>
      <c r="CR42" s="499">
        <f>SUM(CR10:CR40)</f>
        <v>0</v>
      </c>
      <c r="CS42" s="499">
        <f>IFERROR((CR42/$L$42),0)</f>
        <v>0</v>
      </c>
      <c r="CT42" s="499">
        <f>IFERROR(((CR42*CT$9)/$L$42),0)</f>
        <v>0</v>
      </c>
      <c r="CU42" s="499">
        <f>SUM(CU10:CU40)</f>
        <v>0</v>
      </c>
      <c r="CV42" s="499">
        <f>IFERROR((CU42/$L$42),0)</f>
        <v>0</v>
      </c>
      <c r="CW42" s="499">
        <f>IFERROR(((CU42*CW$9)/$L$42),0)</f>
        <v>0</v>
      </c>
      <c r="CX42" s="499">
        <f>SUM(CX10:CX40)</f>
        <v>0</v>
      </c>
      <c r="CY42" s="499">
        <f>IFERROR((CX42/$L$42),0)</f>
        <v>0</v>
      </c>
      <c r="CZ42" s="499">
        <f>IFERROR(((CX42*CZ$9)/$L$42),0)</f>
        <v>0</v>
      </c>
      <c r="DA42" s="499">
        <f>SUM(DA10:DA40)</f>
        <v>0</v>
      </c>
      <c r="DB42" s="499">
        <f>IFERROR((DA42/$L$42),0)</f>
        <v>0</v>
      </c>
      <c r="DC42" s="499">
        <f>IFERROR(((DA42*DC$9)/$L$42),0)</f>
        <v>0</v>
      </c>
      <c r="DD42" s="499">
        <f>SUM(DD10:DD40)</f>
        <v>0</v>
      </c>
      <c r="DE42" s="499">
        <f>IFERROR((DD42/$L$42),0)</f>
        <v>0</v>
      </c>
      <c r="DF42" s="499">
        <f>IFERROR(((DD42*DF$9)/$L$42),0)</f>
        <v>0</v>
      </c>
      <c r="DG42" s="499">
        <f>SUM(DG15:DG40)</f>
        <v>0</v>
      </c>
      <c r="DH42" s="499">
        <f>IFERROR((DG42/$L$42),0)</f>
        <v>0</v>
      </c>
      <c r="DI42" s="499">
        <f>IFERROR(((DG42*DI$9)/$L$42),0)</f>
        <v>0</v>
      </c>
      <c r="DJ42" s="499">
        <f>SUM(DJ10:DJ40)</f>
        <v>0</v>
      </c>
      <c r="DK42" s="499">
        <f>IFERROR((DJ42/$L$42),0)</f>
        <v>0</v>
      </c>
      <c r="DL42" s="499">
        <f>IFERROR(((DJ42*DL$9)/$L$42),0)</f>
        <v>0</v>
      </c>
      <c r="DM42" s="499">
        <f>SUM(DM10:DM40)</f>
        <v>0</v>
      </c>
      <c r="DN42" s="499">
        <f>IFERROR((DM42/$L$42),0)</f>
        <v>0</v>
      </c>
      <c r="DO42" s="499">
        <f>IFERROR(((DM42*DO$9)/$L$42),0)</f>
        <v>0</v>
      </c>
      <c r="DP42" s="499">
        <f>SUM(DP10:DP40)</f>
        <v>0</v>
      </c>
      <c r="DQ42" s="499">
        <f>IFERROR((DP42/$L$42),0)</f>
        <v>0</v>
      </c>
      <c r="DR42" s="499">
        <f>IFERROR(((DP42*DR$9)/$L$42),0)</f>
        <v>0</v>
      </c>
      <c r="DS42" s="499">
        <f>SUM(DS10:DS40)</f>
        <v>0</v>
      </c>
      <c r="DT42" s="499">
        <f>IFERROR((DS42/$L$42),0)</f>
        <v>0</v>
      </c>
      <c r="DU42" s="499">
        <f>IFERROR(((DS42*DU$9)/$L$42),0)</f>
        <v>0</v>
      </c>
      <c r="DV42" s="499">
        <f>SUM(DV10:DV40)</f>
        <v>0</v>
      </c>
      <c r="DW42" s="499">
        <f>IFERROR((DV42/$L$42),0)</f>
        <v>0</v>
      </c>
      <c r="DX42" s="499">
        <f>IFERROR(((DV42*DX$9)/$L$42),0)</f>
        <v>0</v>
      </c>
      <c r="DY42" s="499">
        <f>SUM(DY10:DY40)</f>
        <v>6.4666265060240997</v>
      </c>
      <c r="DZ42" s="499">
        <f>IFERROR((DY42/$L$42),0)</f>
        <v>0</v>
      </c>
      <c r="EA42" s="499">
        <f>IFERROR(((DY42*EA$9)/$L$42),0)</f>
        <v>0</v>
      </c>
      <c r="EB42" s="499">
        <f>SUM(EB10:EB40)</f>
        <v>505.52325581395354</v>
      </c>
      <c r="EC42" s="499">
        <f>IFERROR((EB42/$L$42),0)</f>
        <v>0</v>
      </c>
      <c r="ED42" s="499">
        <f>IFERROR(((EB42*ED$9)/$L$42),0)</f>
        <v>0</v>
      </c>
      <c r="EE42" s="499">
        <f>SUM(EE10:EE40)</f>
        <v>199</v>
      </c>
      <c r="EF42" s="499">
        <f>IFERROR((EE42/$L$42),0)</f>
        <v>0</v>
      </c>
      <c r="EG42" s="499">
        <f>IFERROR(((EE42*EG$9)/$L$42),0)</f>
        <v>0</v>
      </c>
      <c r="EH42" s="499">
        <f>SUM(EH10:EH40)</f>
        <v>0</v>
      </c>
      <c r="EI42" s="499">
        <f>IFERROR((EH42/$L$42),0)</f>
        <v>0</v>
      </c>
      <c r="EJ42" s="499">
        <f>IFERROR(((EH42*EJ$9)/$L$42),0)</f>
        <v>0</v>
      </c>
      <c r="EK42" s="499">
        <f>SUM(EK10:EK40)</f>
        <v>0</v>
      </c>
      <c r="EL42" s="499">
        <f>IFERROR((EK42/$L$42),0)</f>
        <v>0</v>
      </c>
      <c r="EM42" s="499">
        <f>IFERROR(((EK42*EM$9)/$L$42),0)</f>
        <v>0</v>
      </c>
      <c r="EN42" s="499">
        <f>SUM(EN10:EN40)</f>
        <v>0</v>
      </c>
      <c r="EO42" s="499">
        <f>IFERROR((EN42/$L$42),0)</f>
        <v>0</v>
      </c>
      <c r="EP42" s="499">
        <f>IFERROR(((EN42*EP$9)/$L$42),0)</f>
        <v>0</v>
      </c>
      <c r="EQ42" s="499">
        <f>SUM(EQ10:EQ40)</f>
        <v>0</v>
      </c>
      <c r="ER42" s="499">
        <f>IFERROR((EQ42/$L$42),0)</f>
        <v>0</v>
      </c>
      <c r="ES42" s="499">
        <f>IFERROR(((EQ42*ES$9)/$L$42),0)</f>
        <v>0</v>
      </c>
      <c r="ET42" s="499">
        <f>SUM(ET10:ET40)</f>
        <v>0</v>
      </c>
      <c r="EU42" s="499">
        <f>IFERROR((ET42/$L$42),0)</f>
        <v>0</v>
      </c>
      <c r="EV42" s="499">
        <f>IFERROR(((ET42*EV$9)/$L$42),0)</f>
        <v>0</v>
      </c>
      <c r="EW42" s="499">
        <f>SUM(EW10:EW40)</f>
        <v>0</v>
      </c>
      <c r="EX42" s="499">
        <f>IFERROR((EW42/$L$42),0)</f>
        <v>0</v>
      </c>
      <c r="EY42" s="499">
        <f>IFERROR(((EW42*EY$9)/$L$42),0)</f>
        <v>0</v>
      </c>
      <c r="EZ42" s="499">
        <f>SUM(EZ10:EZ40)</f>
        <v>0</v>
      </c>
      <c r="FA42" s="499">
        <f>IFERROR((EZ42/$L$42),0)</f>
        <v>0</v>
      </c>
      <c r="FB42" s="499">
        <f>IFERROR(((EZ42*FB$9)/$L$42),0)</f>
        <v>0</v>
      </c>
      <c r="FC42" s="499">
        <f>SUM(FC10:FC40)</f>
        <v>0</v>
      </c>
      <c r="FD42" s="499">
        <f>IFERROR((FC42/$L$42),0)</f>
        <v>0</v>
      </c>
      <c r="FE42" s="499">
        <f>IFERROR(((FC42*FE$9)/$L$42),0)</f>
        <v>0</v>
      </c>
      <c r="FF42" s="499">
        <f>SUM(FF10:FF40)</f>
        <v>0</v>
      </c>
      <c r="FG42" s="499">
        <f>IFERROR((FF42/$L$42),0)</f>
        <v>0</v>
      </c>
      <c r="FH42" s="499">
        <f>IFERROR(((FF42*FH$9)/$L$42),0)</f>
        <v>0</v>
      </c>
      <c r="FI42" s="499">
        <f>SUM(FI10:FI40)</f>
        <v>0</v>
      </c>
      <c r="FJ42" s="499">
        <f>IFERROR((FI42/$L$42),0)</f>
        <v>0</v>
      </c>
      <c r="FK42" s="499">
        <f>IFERROR(((FI42*FK$9)/$L$42),0)</f>
        <v>0</v>
      </c>
      <c r="FL42" s="499">
        <f>SUM(FL10:FL40)</f>
        <v>0</v>
      </c>
      <c r="FM42" s="499">
        <f>IFERROR((FL42/$L$42),0)</f>
        <v>0</v>
      </c>
      <c r="FN42" s="499">
        <f>IFERROR(((FL42*FN$9)/$L$42),0)</f>
        <v>0</v>
      </c>
      <c r="FO42" s="499">
        <f>SUM(FO10:FO40)</f>
        <v>0</v>
      </c>
      <c r="FP42" s="499">
        <f>IFERROR((FO42/$L$42),0)</f>
        <v>0</v>
      </c>
      <c r="FQ42" s="499">
        <f>IFERROR(((FO42*FQ$9)/$L$42),0)</f>
        <v>0</v>
      </c>
      <c r="FR42" s="499">
        <f>SUM(FR10:FR40)</f>
        <v>0</v>
      </c>
      <c r="FS42" s="499">
        <f>IFERROR((FR42/$L$42),0)</f>
        <v>0</v>
      </c>
      <c r="FT42" s="499">
        <f>IFERROR(((FR42*FT$9)/$L$42),0)</f>
        <v>0</v>
      </c>
      <c r="FU42" s="499">
        <f>SUM(FU10:FU40)</f>
        <v>0</v>
      </c>
      <c r="FV42" s="499">
        <f>IFERROR((FU42/$L$42),0)</f>
        <v>0</v>
      </c>
      <c r="FW42" s="499">
        <f>IFERROR(((FU42*FW$9)/$L$42),0)</f>
        <v>0</v>
      </c>
      <c r="FX42" s="499">
        <f>SUM(FX10:FX40)</f>
        <v>0</v>
      </c>
      <c r="FY42" s="499">
        <f>IFERROR((FX42/$L$42),0)</f>
        <v>0</v>
      </c>
      <c r="FZ42" s="499">
        <f>IFERROR(((FX42*FZ$9)/$L$42),0)</f>
        <v>0</v>
      </c>
      <c r="GA42" s="499">
        <f>SUM(GA10:GA40)</f>
        <v>0</v>
      </c>
      <c r="GB42" s="499">
        <f>IFERROR((GA42/$L$42),0)</f>
        <v>0</v>
      </c>
      <c r="GC42" s="499">
        <f>IFERROR(((GA42*GC$9)/$L$42),0)</f>
        <v>0</v>
      </c>
      <c r="GD42" s="499">
        <f>SUM(GD10:GD40)</f>
        <v>0</v>
      </c>
      <c r="GE42" s="499">
        <f>IFERROR((GD42/$L$42),0)</f>
        <v>0</v>
      </c>
      <c r="GF42" s="499">
        <f>IFERROR(((GD42*GF$9)/$L$42),0)</f>
        <v>0</v>
      </c>
      <c r="GG42" s="499">
        <f>SUM(GG10:GG40)</f>
        <v>0</v>
      </c>
      <c r="GH42" s="499">
        <f>IFERROR((GG42/$L$42),0)</f>
        <v>0</v>
      </c>
      <c r="GI42" s="499">
        <f>IFERROR(((GG42*GI$9)/$L$42),0)</f>
        <v>0</v>
      </c>
      <c r="GJ42" s="499">
        <f>SUM(GJ10:GJ40)</f>
        <v>0</v>
      </c>
      <c r="GK42" s="499">
        <f>IFERROR((GJ42/$L$42),0)</f>
        <v>0</v>
      </c>
      <c r="GL42" s="499">
        <f>IFERROR(((GJ42*GL$9)/$L$42),0)</f>
        <v>0</v>
      </c>
      <c r="GM42" s="499">
        <f>SUM(GM10:GM40)</f>
        <v>0</v>
      </c>
      <c r="GN42" s="499">
        <f>IFERROR((GM42/$L$42),0)</f>
        <v>0</v>
      </c>
      <c r="GO42" s="499">
        <f>IFERROR(((GM42*GO$9)/$L$42),0)</f>
        <v>0</v>
      </c>
      <c r="GP42" s="499">
        <f>SUM(GP10:GP40)</f>
        <v>0</v>
      </c>
      <c r="GQ42" s="499">
        <f>IFERROR((GP42/$L$42),0)</f>
        <v>0</v>
      </c>
      <c r="GR42" s="499">
        <f>IFERROR(((GP42*GR$9)/$L$42),0)</f>
        <v>0</v>
      </c>
      <c r="GS42" s="499">
        <f>SUM(GS10:GS40)</f>
        <v>0</v>
      </c>
      <c r="GT42" s="499">
        <f>IFERROR((GS42/$L$42),0)</f>
        <v>0</v>
      </c>
      <c r="GU42" s="499">
        <f>IFERROR(((GS42*GU$9)/$L$42),0)</f>
        <v>0</v>
      </c>
      <c r="GV42" s="499">
        <f>SUM(GV10:GV40)</f>
        <v>0</v>
      </c>
      <c r="GW42" s="499">
        <f>IFERROR((GV42/$L$42),0)</f>
        <v>0</v>
      </c>
      <c r="GX42" s="499">
        <f>IFERROR(((GV42*GX$9)/$L$42),0)</f>
        <v>0</v>
      </c>
      <c r="GY42" s="499">
        <f>SUM(GY10:GY40)</f>
        <v>0</v>
      </c>
      <c r="GZ42" s="499">
        <f>IFERROR((GY42/$L$42),0)</f>
        <v>0</v>
      </c>
      <c r="HA42" s="499">
        <f>IFERROR(((GY42*HA$9)/$L$42),0)</f>
        <v>0</v>
      </c>
      <c r="HB42" s="499">
        <f>SUM(HB10:HB40)</f>
        <v>0</v>
      </c>
      <c r="HC42" s="499">
        <f>IFERROR((HB42/$L$42),0)</f>
        <v>0</v>
      </c>
      <c r="HD42" s="499">
        <f>IFERROR(((HB42*HD$9)/$L$42),0)</f>
        <v>0</v>
      </c>
      <c r="HE42" s="499">
        <f>SUM(HE10:HE40)</f>
        <v>0</v>
      </c>
      <c r="HF42" s="499">
        <f>IFERROR((HE42/$L$42),0)</f>
        <v>0</v>
      </c>
      <c r="HG42" s="499">
        <f>IFERROR(((HE42*HG$9)/$L$42),0)</f>
        <v>0</v>
      </c>
      <c r="HH42" s="499">
        <f>SUM(HH10:HH40)</f>
        <v>0</v>
      </c>
      <c r="HI42" s="499">
        <f>IFERROR((HH42/$L$42),0)</f>
        <v>0</v>
      </c>
      <c r="HJ42" s="499">
        <f>IFERROR(((HH42*HJ$9)/$L$42),0)</f>
        <v>0</v>
      </c>
      <c r="HK42" s="499">
        <f>SUM(HK10:HK40)</f>
        <v>0</v>
      </c>
      <c r="HL42" s="499">
        <f>IFERROR((HK42/$L$42),0)</f>
        <v>0</v>
      </c>
      <c r="HM42" s="499">
        <f>IFERROR(((HK42*HM$9)/$L$42),0)</f>
        <v>0</v>
      </c>
      <c r="HN42" s="499">
        <f>SUM(HN10:HN40)</f>
        <v>0</v>
      </c>
      <c r="HO42" s="499">
        <f>IFERROR((HN42/$L$42),0)</f>
        <v>0</v>
      </c>
      <c r="HP42" s="499">
        <f>IFERROR(((HN42*HP$9)/$L$42),0)</f>
        <v>0</v>
      </c>
      <c r="HQ42" s="499">
        <f>SUM(HQ10:HQ40)</f>
        <v>0</v>
      </c>
      <c r="HR42" s="499">
        <f>IFERROR((HQ42/$L$42),0)</f>
        <v>0</v>
      </c>
      <c r="HS42" s="499">
        <f>IFERROR(((HQ42*HS$9)/$L$42),0)</f>
        <v>0</v>
      </c>
      <c r="HT42" s="499">
        <f>SUM(HT10:HT40)</f>
        <v>0</v>
      </c>
      <c r="HU42" s="499">
        <f>IFERROR((HT42/$L$42),0)</f>
        <v>0</v>
      </c>
      <c r="HV42" s="499">
        <f>IFERROR(((HT42*HV$9)/$L$42),0)</f>
        <v>0</v>
      </c>
      <c r="HW42" s="499">
        <f>SUM(HW10:HW40)</f>
        <v>0</v>
      </c>
      <c r="HX42" s="499">
        <f>IFERROR((HW42/$L$42),0)</f>
        <v>0</v>
      </c>
      <c r="HY42" s="499">
        <f>IFERROR(((HW42*HY$9)/$L$42),0)</f>
        <v>0</v>
      </c>
      <c r="HZ42" s="499">
        <f>SUM(HZ10:HZ40)</f>
        <v>0</v>
      </c>
      <c r="IA42" s="499">
        <f>IFERROR((HZ42/$L$42),0)</f>
        <v>0</v>
      </c>
      <c r="IB42" s="499">
        <f>IFERROR(((HZ42*IB$9)/$L$42),0)</f>
        <v>0</v>
      </c>
      <c r="IC42" s="499">
        <f>SUM(IC10:IC40)</f>
        <v>0</v>
      </c>
      <c r="ID42" s="499">
        <f>IFERROR((IC42/$L$42),0)</f>
        <v>0</v>
      </c>
      <c r="IE42" s="499">
        <f>IFERROR(((IC42*IE$9)/$L$42),0)</f>
        <v>0</v>
      </c>
      <c r="IF42" s="499">
        <f>SUM(IF10:IF40)</f>
        <v>0</v>
      </c>
      <c r="IG42" s="499">
        <f>IFERROR((IF42/$L$42),0)</f>
        <v>0</v>
      </c>
      <c r="IH42" s="499">
        <f>IFERROR(((IF42*IH$9)/$L$42),0)</f>
        <v>0</v>
      </c>
      <c r="II42" s="499">
        <f>SUM(II10:II40)</f>
        <v>0</v>
      </c>
      <c r="IJ42" s="499">
        <f>IFERROR((II42/$L$42),0)</f>
        <v>0</v>
      </c>
      <c r="IK42" s="499">
        <f>IFERROR(((II42*IK$9)/$L$42),0)</f>
        <v>0</v>
      </c>
      <c r="IL42" s="499">
        <f>SUM(IL10:IL40)</f>
        <v>0</v>
      </c>
      <c r="IM42" s="499">
        <f>IFERROR((IL42/$L$42),0)</f>
        <v>0</v>
      </c>
      <c r="IN42" s="499">
        <f>IFERROR(((IL42*IN$9)/$L$42),0)</f>
        <v>0</v>
      </c>
      <c r="IO42" s="499">
        <f>SUM(IO10:IO40)</f>
        <v>0</v>
      </c>
      <c r="IP42" s="499">
        <f>IFERROR((IO42/$L$42),0)</f>
        <v>0</v>
      </c>
      <c r="IQ42" s="499">
        <f>IFERROR(((IO42*IQ$9)/$L$42),0)</f>
        <v>0</v>
      </c>
      <c r="IR42" s="499">
        <f>SUM(IR10:IR40)</f>
        <v>0</v>
      </c>
      <c r="IS42" s="499">
        <f>IFERROR((IR42/$L$42),0)</f>
        <v>0</v>
      </c>
      <c r="IT42" s="499">
        <f>IFERROR(((IR42*IT$9)/$L$42),0)</f>
        <v>0</v>
      </c>
      <c r="IU42" s="499">
        <f>SUM(IU10:IU40)</f>
        <v>0</v>
      </c>
      <c r="IV42" s="499">
        <f>IFERROR((IU42/$L$42),0)</f>
        <v>0</v>
      </c>
      <c r="IW42" s="499">
        <f>IFERROR(((IU42*IW$9)/$L$42),0)</f>
        <v>0</v>
      </c>
      <c r="IX42" s="499">
        <f>SUM(IX10:IX40)</f>
        <v>0</v>
      </c>
      <c r="IY42" s="499">
        <f>IFERROR((IX42/$L$42),0)</f>
        <v>0</v>
      </c>
      <c r="IZ42" s="499">
        <f>IFERROR(((IX42*IZ$9)/$L$42),0)</f>
        <v>0</v>
      </c>
      <c r="JA42" s="499">
        <f>SUM(JA10:JA40)</f>
        <v>0</v>
      </c>
      <c r="JB42" s="499">
        <f>IFERROR((JA42/$L$42),0)</f>
        <v>0</v>
      </c>
      <c r="JC42" s="499">
        <f>IFERROR(((JA42*JC$9)/$L$42),0)</f>
        <v>0</v>
      </c>
      <c r="JD42" s="499">
        <f>SUM(JD10:JD40)</f>
        <v>0</v>
      </c>
      <c r="JE42" s="499">
        <f>IFERROR((JD42/$L$42),0)</f>
        <v>0</v>
      </c>
      <c r="JF42" s="499">
        <f>IFERROR(((JD42*JF$9)/$L$42),0)</f>
        <v>0</v>
      </c>
      <c r="JG42" s="499">
        <f>SUM(JG10:JG40)</f>
        <v>0</v>
      </c>
      <c r="JH42" s="499">
        <f>IFERROR((JG42/$L$42),0)</f>
        <v>0</v>
      </c>
      <c r="JI42" s="499">
        <f>IFERROR(((JG42*JI$9)/$L$42),0)</f>
        <v>0</v>
      </c>
      <c r="JJ42" s="499">
        <f>SUM(JJ10:JJ40)</f>
        <v>0</v>
      </c>
      <c r="JK42" s="499">
        <f>IFERROR((JJ42/$L$42),0)</f>
        <v>0</v>
      </c>
      <c r="JL42" s="499">
        <f>IFERROR(((JJ42*JL$9)/$L$42),0)</f>
        <v>0</v>
      </c>
      <c r="JM42" s="499">
        <f>SUM(JM10:JM40)</f>
        <v>0</v>
      </c>
      <c r="JN42" s="499">
        <f>IFERROR((JM42/$L$42),0)</f>
        <v>0</v>
      </c>
      <c r="JO42" s="499">
        <f>IFERROR(((JM42*JO$9)/$L$42),0)</f>
        <v>0</v>
      </c>
      <c r="JP42" s="499">
        <f>SUM(JP10:JP40)</f>
        <v>0</v>
      </c>
      <c r="JQ42" s="499">
        <f>IFERROR((JP42/$L$42),0)</f>
        <v>0</v>
      </c>
      <c r="JR42" s="499">
        <f>IFERROR(((JP42*JR$9)/$L$42),0)</f>
        <v>0</v>
      </c>
      <c r="JS42" s="499">
        <f>SUM(JS10:JS40)</f>
        <v>0</v>
      </c>
      <c r="JT42" s="499">
        <f>IFERROR((JS42/$L$42),0)</f>
        <v>0</v>
      </c>
      <c r="JU42" s="499">
        <f>IFERROR(((JS42*JU$9)/$L$42),0)</f>
        <v>0</v>
      </c>
      <c r="JV42" s="499">
        <f>SUM(JV10:JV40)</f>
        <v>0</v>
      </c>
      <c r="JW42" s="499">
        <f>IFERROR((JV42/$L$42),0)</f>
        <v>0</v>
      </c>
      <c r="JX42" s="499">
        <f>IFERROR(((JV42*JX$9)/$L$42),0)</f>
        <v>0</v>
      </c>
      <c r="JY42" s="499">
        <f>SUM(JY10:JY40)</f>
        <v>0</v>
      </c>
      <c r="JZ42" s="499">
        <f>IFERROR((JY42/$L$42),0)</f>
        <v>0</v>
      </c>
      <c r="KA42" s="499">
        <f>IFERROR(((JY42*KA$9)/$L$42),0)</f>
        <v>0</v>
      </c>
      <c r="KB42" s="499">
        <f>SUM(KB10:KB40)</f>
        <v>0</v>
      </c>
      <c r="KC42" s="499">
        <f>IFERROR((KB42/$L$42),0)</f>
        <v>0</v>
      </c>
      <c r="KD42" s="499">
        <f>IFERROR(((KB42*KD$9)/$L$42),0)</f>
        <v>0</v>
      </c>
      <c r="KE42" s="499">
        <f>SUM(KE10:KE40)</f>
        <v>0</v>
      </c>
      <c r="KF42" s="499">
        <f>IFERROR((KE42/$L$42),0)</f>
        <v>0</v>
      </c>
      <c r="KG42" s="499">
        <f>IFERROR(((KE42*KG$9)/$L$42),0)</f>
        <v>0</v>
      </c>
      <c r="KH42" s="499">
        <f>SUM(KH10:KH40)</f>
        <v>0</v>
      </c>
      <c r="KI42" s="499">
        <f>IFERROR((KH42/$L$42),0)</f>
        <v>0</v>
      </c>
      <c r="KJ42" s="499">
        <f>IFERROR(((KH42*KJ$9)/$L$42),0)</f>
        <v>0</v>
      </c>
      <c r="KK42" s="499">
        <f>SUM(KK10:KK40)</f>
        <v>0</v>
      </c>
      <c r="KL42" s="499">
        <f>IFERROR((KK42/$L$42),0)</f>
        <v>0</v>
      </c>
      <c r="KM42" s="499">
        <f>IFERROR(((KK42*KM$9)/$L$42),0)</f>
        <v>0</v>
      </c>
      <c r="KN42" s="499">
        <f>SUM(KN10:KN40)</f>
        <v>0</v>
      </c>
      <c r="KO42" s="499">
        <f>IFERROR((KN42/$L$42),0)</f>
        <v>0</v>
      </c>
      <c r="KP42" s="499">
        <f>IFERROR(((KN42*KP$9)/$L$42),0)</f>
        <v>0</v>
      </c>
      <c r="KQ42" s="499">
        <f>SUM(KQ10:KQ40)</f>
        <v>0</v>
      </c>
      <c r="KR42" s="499">
        <f>IFERROR((KQ42/$L$42),0)</f>
        <v>0</v>
      </c>
      <c r="KS42" s="499">
        <f>IFERROR(((KQ42*KS$9)/$L$42),0)</f>
        <v>0</v>
      </c>
      <c r="KT42" s="500">
        <f t="shared" si="201"/>
        <v>0</v>
      </c>
      <c r="KU42" s="500">
        <f t="shared" si="202"/>
        <v>0</v>
      </c>
      <c r="KV42" s="262">
        <f>+F42+I42+L42+O42+R42+U42+X42+AA42+AD42+AG42+AJ42+AM42+AP42+AS42+AV42+AY42+BB42+BE42+BH42+BK42+BN42+BQ42+BT42+BW42+BZ42+CC42+CF42+CI42+CL42+CO42+CR42+CU42+CX42+DA42+DD42+DJ42+DM42+DP42+DS42+DV42+DY42+EB42+EE42+EH42+EK42+EN42</f>
        <v>15845.242801216154</v>
      </c>
    </row>
    <row r="43" spans="1:308" ht="15" customHeight="1" thickTop="1">
      <c r="A43" s="270" t="s">
        <v>139</v>
      </c>
      <c r="B43" s="271" t="s">
        <v>140</v>
      </c>
      <c r="C43" s="272" t="s">
        <v>148</v>
      </c>
      <c r="D43" s="259"/>
      <c r="E43" s="259"/>
    </row>
    <row r="44" spans="1:308" ht="15" customHeight="1">
      <c r="A44" s="273"/>
      <c r="B44" s="271" t="s">
        <v>141</v>
      </c>
      <c r="C44" s="272" t="s">
        <v>147</v>
      </c>
      <c r="D44" s="259"/>
      <c r="E44" s="259"/>
    </row>
    <row r="45" spans="1:308" ht="15" customHeight="1">
      <c r="A45" s="273"/>
      <c r="B45" s="274" t="s">
        <v>142</v>
      </c>
      <c r="C45" s="272" t="s">
        <v>143</v>
      </c>
      <c r="D45" s="259"/>
      <c r="E45" s="259"/>
    </row>
  </sheetData>
  <mergeCells count="210">
    <mergeCell ref="A6:A9"/>
    <mergeCell ref="B6:B9"/>
    <mergeCell ref="C6:C9"/>
    <mergeCell ref="D6:D9"/>
    <mergeCell ref="E6:E9"/>
    <mergeCell ref="CL7:CN7"/>
    <mergeCell ref="CO7:CQ7"/>
    <mergeCell ref="AP8:AQ8"/>
    <mergeCell ref="AS8:AT8"/>
    <mergeCell ref="AV8:AW8"/>
    <mergeCell ref="AY8:AZ8"/>
    <mergeCell ref="BB8:BC8"/>
    <mergeCell ref="BE8:BF8"/>
    <mergeCell ref="AY7:BA7"/>
    <mergeCell ref="BB7:BD7"/>
    <mergeCell ref="BE7:BG7"/>
    <mergeCell ref="AJ8:AK8"/>
    <mergeCell ref="AM8:AN8"/>
    <mergeCell ref="BW7:BY7"/>
    <mergeCell ref="BZ7:CB7"/>
    <mergeCell ref="CC7:CE7"/>
    <mergeCell ref="CF7:CH7"/>
    <mergeCell ref="CI7:CK7"/>
    <mergeCell ref="BH7:BJ7"/>
    <mergeCell ref="BK7:BM7"/>
    <mergeCell ref="BN7:BP7"/>
    <mergeCell ref="BQ7:BS7"/>
    <mergeCell ref="BT7:BV7"/>
    <mergeCell ref="A41:C41"/>
    <mergeCell ref="GD6:KS6"/>
    <mergeCell ref="KT6:KT9"/>
    <mergeCell ref="KU6:KU9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F6:GC6"/>
    <mergeCell ref="AS7:AU7"/>
    <mergeCell ref="AV7:AX7"/>
    <mergeCell ref="DG7:DI7"/>
    <mergeCell ref="DJ7:DL7"/>
    <mergeCell ref="DM7:DO7"/>
    <mergeCell ref="DP7:DR7"/>
    <mergeCell ref="DS7:DU7"/>
    <mergeCell ref="CR7:CT7"/>
    <mergeCell ref="CU7:CW7"/>
    <mergeCell ref="CX7:CZ7"/>
    <mergeCell ref="DA7:DC7"/>
    <mergeCell ref="DD7:DF7"/>
    <mergeCell ref="EK7:EM7"/>
    <mergeCell ref="EN7:EP7"/>
    <mergeCell ref="EQ7:ES7"/>
    <mergeCell ref="ET7:EV7"/>
    <mergeCell ref="EW7:EY7"/>
    <mergeCell ref="DV7:DX7"/>
    <mergeCell ref="DY7:EA7"/>
    <mergeCell ref="EB7:ED7"/>
    <mergeCell ref="EE7:EG7"/>
    <mergeCell ref="EH7:EJ7"/>
    <mergeCell ref="FO7:FQ7"/>
    <mergeCell ref="FR7:FT7"/>
    <mergeCell ref="FU7:FW7"/>
    <mergeCell ref="FX7:FZ7"/>
    <mergeCell ref="GA7:GC7"/>
    <mergeCell ref="EZ7:FB7"/>
    <mergeCell ref="FC7:FE7"/>
    <mergeCell ref="FF7:FH7"/>
    <mergeCell ref="FI7:FK7"/>
    <mergeCell ref="FL7:FN7"/>
    <mergeCell ref="GS7:GU7"/>
    <mergeCell ref="GV7:GX7"/>
    <mergeCell ref="GY7:HA7"/>
    <mergeCell ref="HB7:HD7"/>
    <mergeCell ref="HE7:HG7"/>
    <mergeCell ref="GD7:GF7"/>
    <mergeCell ref="GG7:GI7"/>
    <mergeCell ref="GJ7:GL7"/>
    <mergeCell ref="GM7:GO7"/>
    <mergeCell ref="GP7:GR7"/>
    <mergeCell ref="HW7:HY7"/>
    <mergeCell ref="HZ7:IB7"/>
    <mergeCell ref="IC7:IE7"/>
    <mergeCell ref="IF7:IH7"/>
    <mergeCell ref="II7:IK7"/>
    <mergeCell ref="HH7:HJ7"/>
    <mergeCell ref="HK7:HM7"/>
    <mergeCell ref="HN7:HP7"/>
    <mergeCell ref="HQ7:HS7"/>
    <mergeCell ref="HT7:HV7"/>
    <mergeCell ref="JA7:JC7"/>
    <mergeCell ref="JD7:JF7"/>
    <mergeCell ref="JG7:JI7"/>
    <mergeCell ref="JJ7:JL7"/>
    <mergeCell ref="JM7:JO7"/>
    <mergeCell ref="IL7:IN7"/>
    <mergeCell ref="IO7:IQ7"/>
    <mergeCell ref="IR7:IT7"/>
    <mergeCell ref="IU7:IW7"/>
    <mergeCell ref="IX7:IZ7"/>
    <mergeCell ref="KE7:KG7"/>
    <mergeCell ref="KH7:KJ7"/>
    <mergeCell ref="KK7:KM7"/>
    <mergeCell ref="KN7:KP7"/>
    <mergeCell ref="KQ7:KS7"/>
    <mergeCell ref="JP7:JR7"/>
    <mergeCell ref="JS7:JU7"/>
    <mergeCell ref="JV7:JX7"/>
    <mergeCell ref="JY7:KA7"/>
    <mergeCell ref="KB7:KD7"/>
    <mergeCell ref="U8:V8"/>
    <mergeCell ref="X8:Y8"/>
    <mergeCell ref="AA8:AB8"/>
    <mergeCell ref="AD8:AE8"/>
    <mergeCell ref="AG8:AH8"/>
    <mergeCell ref="F8:G8"/>
    <mergeCell ref="I8:J8"/>
    <mergeCell ref="L8:M8"/>
    <mergeCell ref="O8:P8"/>
    <mergeCell ref="R8:S8"/>
    <mergeCell ref="BW8:BX8"/>
    <mergeCell ref="BZ8:CA8"/>
    <mergeCell ref="CC8:CD8"/>
    <mergeCell ref="CF8:CG8"/>
    <mergeCell ref="CI8:CJ8"/>
    <mergeCell ref="BH8:BI8"/>
    <mergeCell ref="BK8:BL8"/>
    <mergeCell ref="BN8:BO8"/>
    <mergeCell ref="BQ8:BR8"/>
    <mergeCell ref="BT8:BU8"/>
    <mergeCell ref="DA8:DB8"/>
    <mergeCell ref="DD8:DE8"/>
    <mergeCell ref="DG8:DH8"/>
    <mergeCell ref="DJ8:DK8"/>
    <mergeCell ref="DM8:DN8"/>
    <mergeCell ref="CL8:CM8"/>
    <mergeCell ref="CO8:CP8"/>
    <mergeCell ref="CR8:CS8"/>
    <mergeCell ref="CU8:CV8"/>
    <mergeCell ref="CX8:CY8"/>
    <mergeCell ref="EE8:EF8"/>
    <mergeCell ref="EH8:EI8"/>
    <mergeCell ref="EK8:EL8"/>
    <mergeCell ref="EN8:EO8"/>
    <mergeCell ref="EQ8:ER8"/>
    <mergeCell ref="DP8:DQ8"/>
    <mergeCell ref="DS8:DT8"/>
    <mergeCell ref="DV8:DW8"/>
    <mergeCell ref="DY8:DZ8"/>
    <mergeCell ref="EB8:EC8"/>
    <mergeCell ref="FI8:FJ8"/>
    <mergeCell ref="FL8:FM8"/>
    <mergeCell ref="FO8:FP8"/>
    <mergeCell ref="FR8:FS8"/>
    <mergeCell ref="FU8:FV8"/>
    <mergeCell ref="ET8:EU8"/>
    <mergeCell ref="EW8:EX8"/>
    <mergeCell ref="EZ8:FA8"/>
    <mergeCell ref="FC8:FD8"/>
    <mergeCell ref="FF8:FG8"/>
    <mergeCell ref="GM8:GN8"/>
    <mergeCell ref="GP8:GQ8"/>
    <mergeCell ref="GS8:GT8"/>
    <mergeCell ref="GV8:GW8"/>
    <mergeCell ref="GY8:GZ8"/>
    <mergeCell ref="FX8:FY8"/>
    <mergeCell ref="GA8:GB8"/>
    <mergeCell ref="GD8:GE8"/>
    <mergeCell ref="GG8:GH8"/>
    <mergeCell ref="GJ8:GK8"/>
    <mergeCell ref="HQ8:HR8"/>
    <mergeCell ref="HT8:HU8"/>
    <mergeCell ref="HW8:HX8"/>
    <mergeCell ref="HZ8:IA8"/>
    <mergeCell ref="IC8:ID8"/>
    <mergeCell ref="HB8:HC8"/>
    <mergeCell ref="HE8:HF8"/>
    <mergeCell ref="HH8:HI8"/>
    <mergeCell ref="HK8:HL8"/>
    <mergeCell ref="HN8:HO8"/>
    <mergeCell ref="IU8:IV8"/>
    <mergeCell ref="IX8:IY8"/>
    <mergeCell ref="JA8:JB8"/>
    <mergeCell ref="JD8:JE8"/>
    <mergeCell ref="JG8:JH8"/>
    <mergeCell ref="IF8:IG8"/>
    <mergeCell ref="II8:IJ8"/>
    <mergeCell ref="IL8:IM8"/>
    <mergeCell ref="IO8:IP8"/>
    <mergeCell ref="IR8:IS8"/>
    <mergeCell ref="KN8:KO8"/>
    <mergeCell ref="KQ8:KR8"/>
    <mergeCell ref="JY8:JZ8"/>
    <mergeCell ref="KB8:KC8"/>
    <mergeCell ref="KE8:KF8"/>
    <mergeCell ref="KH8:KI8"/>
    <mergeCell ref="KK8:KL8"/>
    <mergeCell ref="JJ8:JK8"/>
    <mergeCell ref="JM8:JN8"/>
    <mergeCell ref="JP8:JQ8"/>
    <mergeCell ref="JS8:JT8"/>
    <mergeCell ref="JV8:JW8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5"/>
  <sheetViews>
    <sheetView zoomScale="85" workbookViewId="0">
      <pane xSplit="5" ySplit="9" topLeftCell="F31" activePane="bottomRight" state="frozen"/>
      <selection pane="topRight"/>
      <selection pane="bottomLeft"/>
      <selection pane="bottomRight" activeCell="CP42" sqref="A4:CP42"/>
    </sheetView>
  </sheetViews>
  <sheetFormatPr defaultColWidth="9.140625" defaultRowHeight="12.75"/>
  <cols>
    <col min="1" max="1" width="8" customWidth="1"/>
    <col min="3" max="3" width="10.7109375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bestFit="1" customWidth="1"/>
    <col min="28" max="28" width="8.28515625" bestFit="1" customWidth="1"/>
    <col min="29" max="29" width="14.42578125" bestFit="1" customWidth="1"/>
    <col min="30" max="30" width="8" bestFit="1" customWidth="1"/>
    <col min="31" max="31" width="12.7109375" hidden="1" customWidth="1"/>
    <col min="32" max="32" width="8.7109375" hidden="1" customWidth="1"/>
    <col min="33" max="33" width="12.140625" hidden="1" customWidth="1"/>
    <col min="34" max="34" width="21.42578125" hidden="1" customWidth="1"/>
    <col min="35" max="35" width="10.28515625" hidden="1" customWidth="1"/>
    <col min="36" max="36" width="7.7109375" hidden="1" customWidth="1"/>
    <col min="37" max="37" width="10.28515625" hidden="1" customWidth="1"/>
    <col min="38" max="38" width="7.7109375" hidden="1" customWidth="1"/>
    <col min="39" max="39" width="10.28515625" hidden="1" customWidth="1"/>
    <col min="40" max="40" width="7.7109375" hidden="1" customWidth="1"/>
    <col min="41" max="41" width="11.28515625" hidden="1" customWidth="1"/>
    <col min="42" max="42" width="8.85546875" hidden="1" customWidth="1"/>
    <col min="43" max="43" width="12.85546875" hidden="1" customWidth="1"/>
    <col min="44" max="44" width="7.7109375" hidden="1" customWidth="1"/>
    <col min="45" max="45" width="12.42578125" hidden="1" customWidth="1"/>
    <col min="46" max="46" width="7.7109375" hidden="1" customWidth="1"/>
    <col min="47" max="47" width="15.140625" hidden="1" customWidth="1"/>
    <col min="48" max="48" width="12.28515625" hidden="1" customWidth="1"/>
    <col min="49" max="49" width="14.42578125" hidden="1" customWidth="1"/>
    <col min="50" max="50" width="9.42578125" hidden="1" customWidth="1"/>
    <col min="51" max="51" width="15" hidden="1" customWidth="1"/>
    <col min="52" max="52" width="9.28515625" hidden="1" customWidth="1"/>
    <col min="53" max="53" width="14.42578125" hidden="1" customWidth="1"/>
    <col min="54" max="54" width="8.140625" hidden="1" customWidth="1"/>
    <col min="55" max="55" width="11.42578125" hidden="1" customWidth="1"/>
    <col min="56" max="56" width="8.5703125" hidden="1" customWidth="1"/>
    <col min="57" max="57" width="11.42578125" hidden="1" customWidth="1"/>
    <col min="58" max="58" width="8" hidden="1" customWidth="1"/>
    <col min="59" max="59" width="12.140625" hidden="1" customWidth="1"/>
    <col min="60" max="60" width="8" hidden="1" customWidth="1"/>
    <col min="61" max="61" width="12.140625" hidden="1" customWidth="1"/>
    <col min="62" max="62" width="9.140625" hidden="1" customWidth="1"/>
    <col min="63" max="63" width="12.28515625" hidden="1" customWidth="1"/>
    <col min="64" max="64" width="7.7109375" hidden="1" customWidth="1"/>
    <col min="65" max="65" width="11.42578125" hidden="1" customWidth="1"/>
    <col min="66" max="66" width="7.7109375" hidden="1" customWidth="1"/>
    <col min="67" max="67" width="10.5703125" bestFit="1" customWidth="1"/>
    <col min="68" max="68" width="8.140625" customWidth="1"/>
    <col min="69" max="69" width="13.140625" customWidth="1"/>
    <col min="70" max="70" width="8.140625" customWidth="1"/>
    <col min="71" max="71" width="12.140625" hidden="1" customWidth="1"/>
    <col min="72" max="72" width="7.7109375" hidden="1" customWidth="1"/>
    <col min="73" max="73" width="12.140625" hidden="1" customWidth="1"/>
    <col min="74" max="74" width="7.7109375" hidden="1" customWidth="1"/>
    <col min="75" max="75" width="13.28515625" hidden="1" customWidth="1"/>
    <col min="76" max="76" width="8.85546875" hidden="1" customWidth="1"/>
    <col min="77" max="77" width="15.28515625" hidden="1" customWidth="1"/>
    <col min="78" max="78" width="7.7109375" hidden="1" customWidth="1"/>
    <col min="79" max="79" width="10.28515625" hidden="1" customWidth="1"/>
    <col min="80" max="80" width="8.140625" hidden="1" customWidth="1"/>
    <col min="81" max="81" width="11.42578125" hidden="1" customWidth="1"/>
    <col min="82" max="82" width="7.7109375" hidden="1" customWidth="1"/>
    <col min="83" max="83" width="13.140625" bestFit="1" customWidth="1"/>
    <col min="84" max="84" width="9.28515625" customWidth="1"/>
    <col min="85" max="85" width="14.42578125" customWidth="1"/>
    <col min="86" max="86" width="10" customWidth="1"/>
    <col min="87" max="87" width="15.42578125" hidden="1" customWidth="1"/>
    <col min="88" max="88" width="8.7109375" hidden="1" customWidth="1"/>
    <col min="89" max="89" width="12.85546875" hidden="1" customWidth="1"/>
    <col min="90" max="90" width="8.42578125" hidden="1" customWidth="1"/>
    <col min="91" max="91" width="13.140625" bestFit="1" customWidth="1"/>
    <col min="92" max="92" width="14.42578125" bestFit="1" customWidth="1"/>
    <col min="93" max="93" width="8.85546875" bestFit="1" customWidth="1"/>
    <col min="94" max="94" width="10.28515625" bestFit="1" customWidth="1"/>
    <col min="95" max="95" width="13.28515625" bestFit="1" customWidth="1"/>
    <col min="96" max="96" width="10.42578125" bestFit="1" customWidth="1"/>
    <col min="98" max="98" width="15.42578125" bestFit="1" customWidth="1"/>
    <col min="99" max="99" width="10.42578125" bestFit="1" customWidth="1"/>
    <col min="102" max="102" width="10.42578125" bestFit="1" customWidth="1"/>
  </cols>
  <sheetData>
    <row r="1" spans="1:94" ht="15.75">
      <c r="A1" s="150"/>
      <c r="AT1" s="3"/>
      <c r="AY1" s="251"/>
    </row>
    <row r="2" spans="1:94" ht="15.75">
      <c r="A2" s="150"/>
      <c r="AY2" s="251"/>
      <c r="BC2" s="19"/>
    </row>
    <row r="3" spans="1:94" ht="15">
      <c r="A3" s="152"/>
      <c r="AY3" s="251"/>
    </row>
    <row r="4" spans="1:94" ht="15.75">
      <c r="A4" s="153" t="s">
        <v>275</v>
      </c>
      <c r="G4" s="13"/>
      <c r="AU4" s="13"/>
      <c r="AY4" s="251"/>
      <c r="BX4" s="19"/>
    </row>
    <row r="5" spans="1:94" ht="15.75">
      <c r="A5" s="153"/>
      <c r="G5" s="13"/>
      <c r="AU5" s="13"/>
      <c r="AY5" s="13"/>
    </row>
    <row r="6" spans="1:94" ht="18">
      <c r="A6" s="252"/>
      <c r="AU6" s="13"/>
      <c r="AY6" s="13"/>
      <c r="CF6" s="13"/>
      <c r="CG6" s="13"/>
      <c r="CH6" s="13"/>
      <c r="CN6" s="13"/>
    </row>
    <row r="7" spans="1:94" ht="13.5" thickBot="1">
      <c r="A7" s="253"/>
      <c r="B7" s="253"/>
      <c r="C7" s="253"/>
      <c r="D7" s="253"/>
      <c r="E7" s="253"/>
      <c r="F7" s="253"/>
      <c r="G7">
        <v>214.10599999999999</v>
      </c>
      <c r="K7">
        <v>250</v>
      </c>
      <c r="O7">
        <v>228.40600000000001</v>
      </c>
      <c r="S7">
        <v>197.22</v>
      </c>
      <c r="W7" s="253">
        <v>250</v>
      </c>
      <c r="AA7" s="253"/>
      <c r="AB7" s="253"/>
      <c r="AC7" s="254"/>
      <c r="AD7" s="254"/>
      <c r="AE7" s="253"/>
      <c r="AF7" s="253"/>
      <c r="AG7" s="253"/>
      <c r="AH7" s="253"/>
      <c r="AI7" s="253"/>
      <c r="AJ7" s="253"/>
      <c r="AK7" s="253"/>
      <c r="AL7" s="253"/>
      <c r="AU7" s="253">
        <v>250.83</v>
      </c>
      <c r="AV7" s="253"/>
      <c r="AW7" s="253"/>
      <c r="AX7" s="253"/>
      <c r="AY7" s="253">
        <v>246.74</v>
      </c>
      <c r="AZ7" s="253"/>
      <c r="BA7" s="253"/>
      <c r="BB7" s="253"/>
      <c r="BC7" s="253">
        <v>250</v>
      </c>
      <c r="BD7" s="253"/>
      <c r="BE7" s="253"/>
      <c r="BF7" s="253"/>
      <c r="BG7">
        <v>248.881</v>
      </c>
      <c r="BH7" s="253"/>
      <c r="BI7" s="253"/>
      <c r="BJ7" s="253"/>
      <c r="BN7" s="253"/>
      <c r="BO7" s="253"/>
      <c r="BP7" s="253"/>
      <c r="BQ7" s="253"/>
      <c r="BR7" s="253"/>
      <c r="BS7" s="253">
        <v>250</v>
      </c>
      <c r="BT7" s="253"/>
      <c r="BU7" s="253"/>
      <c r="BV7" s="253"/>
      <c r="BW7" s="253">
        <v>250.51599999999999</v>
      </c>
      <c r="BX7" s="253"/>
      <c r="BY7" s="253"/>
      <c r="BZ7" s="253"/>
      <c r="CA7" s="253">
        <v>258.14</v>
      </c>
      <c r="CB7" s="253"/>
      <c r="CC7" s="253"/>
      <c r="CD7" s="253"/>
      <c r="CE7" s="254"/>
      <c r="CF7" s="254"/>
      <c r="CG7" s="253"/>
      <c r="CH7" s="253"/>
      <c r="CI7" s="253"/>
      <c r="CJ7" s="253"/>
      <c r="CK7" s="253"/>
      <c r="CL7" s="253"/>
      <c r="CM7" s="253"/>
      <c r="CN7" s="253"/>
      <c r="CO7" s="253"/>
      <c r="CP7" s="253"/>
    </row>
    <row r="8" spans="1:94" ht="38.25" customHeight="1" thickTop="1">
      <c r="A8" s="737" t="s">
        <v>28</v>
      </c>
      <c r="B8" s="737" t="s">
        <v>4</v>
      </c>
      <c r="C8" s="737" t="s">
        <v>5</v>
      </c>
      <c r="D8" s="739" t="s">
        <v>40</v>
      </c>
      <c r="E8" s="741" t="s">
        <v>38</v>
      </c>
      <c r="F8" s="742"/>
      <c r="G8" s="746" t="s">
        <v>380</v>
      </c>
      <c r="H8" s="747"/>
      <c r="I8" s="747"/>
      <c r="J8" s="748"/>
      <c r="K8" s="723" t="s">
        <v>363</v>
      </c>
      <c r="L8" s="724"/>
      <c r="M8" s="724"/>
      <c r="N8" s="728"/>
      <c r="O8" s="743" t="s">
        <v>364</v>
      </c>
      <c r="P8" s="744"/>
      <c r="Q8" s="744"/>
      <c r="R8" s="745"/>
      <c r="S8" s="723" t="s">
        <v>422</v>
      </c>
      <c r="T8" s="724"/>
      <c r="U8" s="724"/>
      <c r="V8" s="728"/>
      <c r="W8" s="723" t="s">
        <v>226</v>
      </c>
      <c r="X8" s="724"/>
      <c r="Y8" s="724"/>
      <c r="Z8" s="728"/>
      <c r="AA8" s="723" t="s">
        <v>41</v>
      </c>
      <c r="AB8" s="724"/>
      <c r="AC8" s="724"/>
      <c r="AD8" s="724"/>
      <c r="AE8" s="723" t="s">
        <v>42</v>
      </c>
      <c r="AF8" s="724"/>
      <c r="AG8" s="724"/>
      <c r="AH8" s="728"/>
      <c r="AI8" s="723" t="s">
        <v>43</v>
      </c>
      <c r="AJ8" s="724"/>
      <c r="AK8" s="724"/>
      <c r="AL8" s="724"/>
      <c r="AM8" s="723" t="s">
        <v>93</v>
      </c>
      <c r="AN8" s="724"/>
      <c r="AO8" s="724"/>
      <c r="AP8" s="728"/>
      <c r="AQ8" s="725" t="s">
        <v>44</v>
      </c>
      <c r="AR8" s="726"/>
      <c r="AS8" s="726"/>
      <c r="AT8" s="727"/>
      <c r="AU8" s="729" t="s">
        <v>188</v>
      </c>
      <c r="AV8" s="729"/>
      <c r="AW8" s="729"/>
      <c r="AX8" s="730"/>
      <c r="AY8" s="734" t="s">
        <v>385</v>
      </c>
      <c r="AZ8" s="735"/>
      <c r="BA8" s="735"/>
      <c r="BB8" s="736"/>
      <c r="BC8" s="731" t="s">
        <v>397</v>
      </c>
      <c r="BD8" s="732"/>
      <c r="BE8" s="732"/>
      <c r="BF8" s="733"/>
      <c r="BG8" s="720" t="s">
        <v>386</v>
      </c>
      <c r="BH8" s="721"/>
      <c r="BI8" s="721"/>
      <c r="BJ8" s="722"/>
      <c r="BK8" s="723" t="s">
        <v>45</v>
      </c>
      <c r="BL8" s="724"/>
      <c r="BM8" s="724"/>
      <c r="BN8" s="728"/>
      <c r="BO8" s="723" t="s">
        <v>91</v>
      </c>
      <c r="BP8" s="724"/>
      <c r="BQ8" s="724"/>
      <c r="BR8" s="728"/>
      <c r="BS8" s="723" t="s">
        <v>398</v>
      </c>
      <c r="BT8" s="724"/>
      <c r="BU8" s="724"/>
      <c r="BV8" s="728"/>
      <c r="BW8" s="723" t="s">
        <v>531</v>
      </c>
      <c r="BX8" s="724"/>
      <c r="BY8" s="724"/>
      <c r="BZ8" s="728"/>
      <c r="CA8" s="723" t="s">
        <v>423</v>
      </c>
      <c r="CB8" s="724"/>
      <c r="CC8" s="724"/>
      <c r="CD8" s="728"/>
      <c r="CE8" s="723" t="s">
        <v>92</v>
      </c>
      <c r="CF8" s="724"/>
      <c r="CG8" s="724"/>
      <c r="CH8" s="724"/>
      <c r="CI8" s="723" t="s">
        <v>399</v>
      </c>
      <c r="CJ8" s="724"/>
      <c r="CK8" s="724"/>
      <c r="CL8" s="728"/>
      <c r="CM8" s="723" t="s">
        <v>46</v>
      </c>
      <c r="CN8" s="728"/>
      <c r="CO8" s="723" t="s">
        <v>47</v>
      </c>
      <c r="CP8" s="728"/>
    </row>
    <row r="9" spans="1:94">
      <c r="A9" s="738"/>
      <c r="B9" s="738"/>
      <c r="C9" s="738"/>
      <c r="D9" s="740"/>
      <c r="E9" s="2" t="s">
        <v>36</v>
      </c>
      <c r="F9" s="559" t="s">
        <v>37</v>
      </c>
      <c r="G9" s="8" t="s">
        <v>36</v>
      </c>
      <c r="H9" s="8" t="s">
        <v>10</v>
      </c>
      <c r="I9" s="560" t="s">
        <v>37</v>
      </c>
      <c r="J9" s="560" t="s">
        <v>10</v>
      </c>
      <c r="K9" s="8" t="s">
        <v>36</v>
      </c>
      <c r="L9" s="8" t="s">
        <v>10</v>
      </c>
      <c r="M9" s="560" t="s">
        <v>37</v>
      </c>
      <c r="N9" s="560" t="s">
        <v>10</v>
      </c>
      <c r="O9" s="8" t="s">
        <v>36</v>
      </c>
      <c r="P9" s="8" t="s">
        <v>10</v>
      </c>
      <c r="Q9" s="560" t="s">
        <v>37</v>
      </c>
      <c r="R9" s="560" t="s">
        <v>10</v>
      </c>
      <c r="S9" s="8" t="s">
        <v>36</v>
      </c>
      <c r="T9" s="8" t="s">
        <v>10</v>
      </c>
      <c r="U9" s="560" t="s">
        <v>37</v>
      </c>
      <c r="V9" s="560" t="s">
        <v>10</v>
      </c>
      <c r="W9" s="8" t="s">
        <v>36</v>
      </c>
      <c r="X9" s="8" t="s">
        <v>10</v>
      </c>
      <c r="Y9" s="560" t="s">
        <v>37</v>
      </c>
      <c r="Z9" s="560" t="s">
        <v>10</v>
      </c>
      <c r="AA9" s="560" t="s">
        <v>36</v>
      </c>
      <c r="AB9" s="560" t="s">
        <v>10</v>
      </c>
      <c r="AC9" s="560" t="s">
        <v>37</v>
      </c>
      <c r="AD9" s="560" t="s">
        <v>10</v>
      </c>
      <c r="AE9" s="560" t="s">
        <v>36</v>
      </c>
      <c r="AF9" s="560" t="s">
        <v>10</v>
      </c>
      <c r="AG9" s="560" t="s">
        <v>37</v>
      </c>
      <c r="AH9" s="560" t="s">
        <v>10</v>
      </c>
      <c r="AI9" s="560" t="s">
        <v>36</v>
      </c>
      <c r="AJ9" s="560" t="s">
        <v>10</v>
      </c>
      <c r="AK9" s="560" t="s">
        <v>37</v>
      </c>
      <c r="AL9" s="560" t="s">
        <v>10</v>
      </c>
      <c r="AM9" s="560" t="s">
        <v>36</v>
      </c>
      <c r="AN9" s="560" t="s">
        <v>10</v>
      </c>
      <c r="AO9" s="560" t="s">
        <v>37</v>
      </c>
      <c r="AP9" s="560" t="s">
        <v>10</v>
      </c>
      <c r="AQ9" s="560" t="s">
        <v>36</v>
      </c>
      <c r="AR9" s="560" t="s">
        <v>10</v>
      </c>
      <c r="AS9" s="560" t="s">
        <v>37</v>
      </c>
      <c r="AT9" s="560" t="s">
        <v>10</v>
      </c>
      <c r="AU9" s="560" t="s">
        <v>36</v>
      </c>
      <c r="AV9" s="560" t="s">
        <v>10</v>
      </c>
      <c r="AW9" s="560" t="s">
        <v>37</v>
      </c>
      <c r="AX9" s="560" t="s">
        <v>10</v>
      </c>
      <c r="AY9" s="560" t="s">
        <v>36</v>
      </c>
      <c r="AZ9" s="560" t="s">
        <v>10</v>
      </c>
      <c r="BA9" s="560" t="s">
        <v>37</v>
      </c>
      <c r="BB9" s="560" t="s">
        <v>10</v>
      </c>
      <c r="BC9" s="560" t="s">
        <v>36</v>
      </c>
      <c r="BD9" s="560" t="s">
        <v>10</v>
      </c>
      <c r="BE9" s="560" t="s">
        <v>37</v>
      </c>
      <c r="BF9" s="560" t="s">
        <v>10</v>
      </c>
      <c r="BG9" s="560" t="s">
        <v>36</v>
      </c>
      <c r="BH9" s="560" t="s">
        <v>10</v>
      </c>
      <c r="BI9" s="560" t="s">
        <v>37</v>
      </c>
      <c r="BJ9" s="560" t="s">
        <v>10</v>
      </c>
      <c r="BK9" s="560" t="s">
        <v>36</v>
      </c>
      <c r="BL9" s="560" t="s">
        <v>10</v>
      </c>
      <c r="BM9" s="560" t="s">
        <v>37</v>
      </c>
      <c r="BN9" s="560" t="s">
        <v>10</v>
      </c>
      <c r="BO9" s="560" t="s">
        <v>36</v>
      </c>
      <c r="BP9" s="560" t="s">
        <v>10</v>
      </c>
      <c r="BQ9" s="560" t="s">
        <v>37</v>
      </c>
      <c r="BR9" s="560" t="s">
        <v>10</v>
      </c>
      <c r="BS9" s="560" t="s">
        <v>36</v>
      </c>
      <c r="BT9" s="560" t="s">
        <v>10</v>
      </c>
      <c r="BU9" s="560" t="s">
        <v>37</v>
      </c>
      <c r="BV9" s="560" t="s">
        <v>10</v>
      </c>
      <c r="BW9" s="560" t="s">
        <v>36</v>
      </c>
      <c r="BX9" s="560" t="s">
        <v>10</v>
      </c>
      <c r="BY9" s="560" t="s">
        <v>37</v>
      </c>
      <c r="BZ9" s="560" t="s">
        <v>10</v>
      </c>
      <c r="CA9" s="560" t="s">
        <v>36</v>
      </c>
      <c r="CB9" s="560" t="s">
        <v>10</v>
      </c>
      <c r="CC9" s="560" t="s">
        <v>37</v>
      </c>
      <c r="CD9" s="560" t="s">
        <v>10</v>
      </c>
      <c r="CE9" s="560" t="s">
        <v>36</v>
      </c>
      <c r="CF9" s="560" t="s">
        <v>10</v>
      </c>
      <c r="CG9" s="560" t="s">
        <v>37</v>
      </c>
      <c r="CH9" s="560" t="s">
        <v>10</v>
      </c>
      <c r="CI9" s="560" t="s">
        <v>36</v>
      </c>
      <c r="CJ9" s="560" t="s">
        <v>10</v>
      </c>
      <c r="CK9" s="560" t="s">
        <v>37</v>
      </c>
      <c r="CL9" s="560" t="s">
        <v>10</v>
      </c>
      <c r="CM9" s="560" t="s">
        <v>36</v>
      </c>
      <c r="CN9" s="560" t="s">
        <v>37</v>
      </c>
      <c r="CO9" s="560" t="s">
        <v>36</v>
      </c>
      <c r="CP9" s="560" t="s">
        <v>37</v>
      </c>
    </row>
    <row r="10" spans="1:94">
      <c r="A10" s="15">
        <f>+Chem!A10</f>
        <v>45992</v>
      </c>
      <c r="B10" s="5" t="str">
        <f>+Chem!B10</f>
        <v>Facial/Toilet</v>
      </c>
      <c r="C10" s="15" t="str">
        <f>+Chem!C10</f>
        <v>15/12,5/14</v>
      </c>
      <c r="D10" s="7">
        <f>+Chem!D10</f>
        <v>54.085000000000008</v>
      </c>
      <c r="E10" s="6">
        <f>+Chem!E10</f>
        <v>54.765000000000001</v>
      </c>
      <c r="F10" s="6">
        <f>+E10</f>
        <v>54.765000000000001</v>
      </c>
      <c r="G10" s="98"/>
      <c r="H10" s="9">
        <f t="shared" ref="H10:H40" si="0">G10/CM10*100</f>
        <v>0</v>
      </c>
      <c r="I10" s="7">
        <f>G10</f>
        <v>0</v>
      </c>
      <c r="J10" s="9">
        <f t="shared" ref="J10:J40" si="1">I10/CN10*100</f>
        <v>0</v>
      </c>
      <c r="K10" s="99">
        <v>0</v>
      </c>
      <c r="L10" s="9">
        <f t="shared" ref="L10:L40" si="2">+K10/CM10*100</f>
        <v>0</v>
      </c>
      <c r="M10" s="9">
        <f>+K10</f>
        <v>0</v>
      </c>
      <c r="N10" s="9">
        <f t="shared" ref="N10:N40" si="3">+M10/CN10*100</f>
        <v>0</v>
      </c>
      <c r="O10" s="98"/>
      <c r="P10" s="9">
        <f t="shared" ref="P10:P40" si="4">+O10/CM10*100</f>
        <v>0</v>
      </c>
      <c r="Q10" s="9">
        <f>+O10</f>
        <v>0</v>
      </c>
      <c r="R10" s="9">
        <f t="shared" ref="R10:R40" si="5">+Q10/CN10*100</f>
        <v>0</v>
      </c>
      <c r="S10" s="98">
        <f>36*S7</f>
        <v>7099.92</v>
      </c>
      <c r="T10" s="9">
        <f t="shared" ref="T10:T40" si="6">+S10/CM10*100</f>
        <v>12.804456433879027</v>
      </c>
      <c r="U10" s="9">
        <f>+S10</f>
        <v>7099.92</v>
      </c>
      <c r="V10" s="9">
        <f t="shared" ref="V10:V40" si="7">+U10/CN10*100</f>
        <v>12.804456433879027</v>
      </c>
      <c r="W10" s="98">
        <f>9*W7</f>
        <v>2250</v>
      </c>
      <c r="X10" s="9">
        <f t="shared" ref="X10:X40" si="8">+W10/CM10*100</f>
        <v>4.0577959999870146</v>
      </c>
      <c r="Y10" s="9">
        <f>+W10</f>
        <v>2250</v>
      </c>
      <c r="Z10" s="9">
        <f t="shared" ref="Z10:Z40" si="9">+Y10/CN10*100</f>
        <v>4.0577959999870146</v>
      </c>
      <c r="AA10" s="9">
        <f>G10+K10+W10+S10+O10</f>
        <v>9349.92</v>
      </c>
      <c r="AB10" s="9">
        <f t="shared" ref="AB10:AB39" si="10">AA10/CM10*100</f>
        <v>16.86225243386604</v>
      </c>
      <c r="AC10" s="9">
        <f>AA10</f>
        <v>9349.92</v>
      </c>
      <c r="AD10" s="9">
        <f t="shared" ref="AD10:AD39" si="11">AC10/CN10*100</f>
        <v>16.86225243386604</v>
      </c>
      <c r="AE10" s="98"/>
      <c r="AF10" s="9">
        <f>AE10/CM10*100</f>
        <v>0</v>
      </c>
      <c r="AG10" s="9">
        <f>AE10</f>
        <v>0</v>
      </c>
      <c r="AH10" s="9">
        <f>AG10/CN10*100</f>
        <v>0</v>
      </c>
      <c r="AI10" s="98"/>
      <c r="AJ10" s="9">
        <f t="shared" ref="AJ10:AJ39" si="12">AI10/CM10*100</f>
        <v>0</v>
      </c>
      <c r="AK10" s="9">
        <f>AI10</f>
        <v>0</v>
      </c>
      <c r="AL10" s="9">
        <f t="shared" ref="AL10:AL39" si="13">AK10/CN10*100</f>
        <v>0</v>
      </c>
      <c r="AM10" s="98"/>
      <c r="AN10" s="9">
        <f t="shared" ref="AN10:AN39" si="14">AM10/CM10*100</f>
        <v>0</v>
      </c>
      <c r="AO10" s="9">
        <f>AM10</f>
        <v>0</v>
      </c>
      <c r="AP10" s="9">
        <f t="shared" ref="AP10:AP39" si="15">AO10/CN10*100</f>
        <v>0</v>
      </c>
      <c r="AQ10" s="98"/>
      <c r="AR10" s="9">
        <f t="shared" ref="AR10:AR39" si="16">AQ10/CM10*100</f>
        <v>0</v>
      </c>
      <c r="AS10" s="9">
        <f>AQ10</f>
        <v>0</v>
      </c>
      <c r="AT10" s="9">
        <f t="shared" ref="AT10:AT39" si="17">AS10/CN10*100</f>
        <v>0</v>
      </c>
      <c r="AU10" s="98">
        <v>0</v>
      </c>
      <c r="AV10" s="9">
        <f t="shared" ref="AV10:AV39" si="18">AU10/CM10*100</f>
        <v>0</v>
      </c>
      <c r="AW10" s="9">
        <f>AU10</f>
        <v>0</v>
      </c>
      <c r="AX10" s="9">
        <f t="shared" ref="AX10:AX39" si="19">AW10/CN10*100</f>
        <v>0</v>
      </c>
      <c r="AY10" s="98"/>
      <c r="AZ10" s="9">
        <f t="shared" ref="AZ10:AZ39" si="20">AY10/CM10*100</f>
        <v>0</v>
      </c>
      <c r="BA10" s="9">
        <f>AY10</f>
        <v>0</v>
      </c>
      <c r="BB10" s="9">
        <f t="shared" ref="BB10:BB39" si="21">BA10/CN10*100</f>
        <v>0</v>
      </c>
      <c r="BC10" s="99"/>
      <c r="BD10" s="9">
        <f t="shared" ref="BD10:BD39" si="22">BC10/CM10*100</f>
        <v>0</v>
      </c>
      <c r="BE10" s="9">
        <f>BC10</f>
        <v>0</v>
      </c>
      <c r="BF10" s="9">
        <f t="shared" ref="BF10:BF39" si="23">BE10/CN10</f>
        <v>0</v>
      </c>
      <c r="BG10" s="98"/>
      <c r="BH10" s="9">
        <f t="shared" ref="BH10:BH39" si="24">BG10/CM10*100</f>
        <v>0</v>
      </c>
      <c r="BI10" s="9">
        <f>BG10</f>
        <v>0</v>
      </c>
      <c r="BJ10" s="9">
        <f t="shared" ref="BJ10:BJ39" si="25">BI10/CN10*100</f>
        <v>0</v>
      </c>
      <c r="BK10" s="98"/>
      <c r="BL10" s="9"/>
      <c r="BM10" s="9"/>
      <c r="BN10" s="9"/>
      <c r="BO10" s="9">
        <f>AI10+AM10+AQ10+AU10+AY10+BC10+BG10</f>
        <v>0</v>
      </c>
      <c r="BP10" s="9">
        <f t="shared" ref="BP10:BP39" si="26">BO10/CM10*100</f>
        <v>0</v>
      </c>
      <c r="BQ10" s="9">
        <f>BO10</f>
        <v>0</v>
      </c>
      <c r="BR10" s="9">
        <f t="shared" ref="BR10:BR39" si="27">BQ10/CN10*100</f>
        <v>0</v>
      </c>
      <c r="BS10" s="98">
        <f>45*BS7</f>
        <v>11250</v>
      </c>
      <c r="BT10" s="9">
        <f t="shared" ref="BT10:BT39" si="28">+BS10/CM10*100</f>
        <v>20.288979999935076</v>
      </c>
      <c r="BU10" s="9">
        <f>+BS10</f>
        <v>11250</v>
      </c>
      <c r="BV10" s="9">
        <f t="shared" ref="BV10:BV39" si="29">+BU10/CN10*100</f>
        <v>20.288979999935076</v>
      </c>
      <c r="BW10" s="99">
        <v>0</v>
      </c>
      <c r="BX10" s="9">
        <f t="shared" ref="BX10:BX39" si="30">BW10/CM10*100</f>
        <v>0</v>
      </c>
      <c r="BY10" s="9">
        <f>BW10</f>
        <v>0</v>
      </c>
      <c r="BZ10" s="9">
        <f t="shared" ref="BZ10:BZ39" si="31">BY10/CN10*100</f>
        <v>0</v>
      </c>
      <c r="CA10" s="98">
        <f>135*CA7</f>
        <v>34848.9</v>
      </c>
      <c r="CB10" s="14">
        <f t="shared" ref="CB10:CB39" si="32">CA10/CM10*100</f>
        <v>62.84876756619888</v>
      </c>
      <c r="CC10" s="9">
        <f>CA10</f>
        <v>34848.9</v>
      </c>
      <c r="CD10" s="9">
        <f t="shared" ref="CD10:CD39" si="33">CC10/CN10*100</f>
        <v>62.84876756619888</v>
      </c>
      <c r="CE10" s="9">
        <f>BS10+BW10+CA10</f>
        <v>46098.9</v>
      </c>
      <c r="CF10" s="9">
        <f t="shared" ref="CF10:CF39" si="34">CE10/CM10*100</f>
        <v>83.137747566133953</v>
      </c>
      <c r="CG10" s="9">
        <f>CE10</f>
        <v>46098.9</v>
      </c>
      <c r="CH10" s="9">
        <f t="shared" ref="CH10:CH39" si="35">CG10/CN10*100</f>
        <v>83.137747566133953</v>
      </c>
      <c r="CI10" s="98"/>
      <c r="CJ10" s="9">
        <f t="shared" ref="CJ10:CJ39" si="36">CI10/CM10*100</f>
        <v>0</v>
      </c>
      <c r="CK10" s="9">
        <f>CI10</f>
        <v>0</v>
      </c>
      <c r="CL10" s="9">
        <f t="shared" ref="CL10:CL39" si="37">CK10/CN10*100</f>
        <v>0</v>
      </c>
      <c r="CM10" s="9">
        <f>AA10+BO10+CE10+CI10</f>
        <v>55448.82</v>
      </c>
      <c r="CN10" s="9">
        <f>CM10</f>
        <v>55448.82</v>
      </c>
      <c r="CO10" s="9">
        <f t="shared" ref="CO10:CO40" si="38">CM10/1000/E10</f>
        <v>1.0124864420706656</v>
      </c>
      <c r="CP10" s="9">
        <f t="shared" ref="CP10:CP40" si="39">(CN10/1000)/F10</f>
        <v>1.0124864420706656</v>
      </c>
    </row>
    <row r="11" spans="1:94">
      <c r="A11" s="15">
        <f>+Chem!A11</f>
        <v>45993</v>
      </c>
      <c r="B11" s="5" t="str">
        <f>+Chem!B11</f>
        <v>Toilet</v>
      </c>
      <c r="C11" s="15" t="str">
        <f>+Chem!C11</f>
        <v>14</v>
      </c>
      <c r="D11" s="7">
        <f>+Chem!D11</f>
        <v>53.726999999999997</v>
      </c>
      <c r="E11" s="6">
        <f>+Chem!E11</f>
        <v>53.106000000000002</v>
      </c>
      <c r="F11" s="6">
        <f t="shared" ref="F11:F39" si="40">+E11+F10</f>
        <v>107.87100000000001</v>
      </c>
      <c r="G11" s="98"/>
      <c r="H11" s="9">
        <f t="shared" si="0"/>
        <v>0</v>
      </c>
      <c r="I11" s="7">
        <f t="shared" ref="I11:I39" si="41">G11+I10</f>
        <v>0</v>
      </c>
      <c r="J11" s="9">
        <f t="shared" si="1"/>
        <v>0</v>
      </c>
      <c r="K11" s="99">
        <v>0</v>
      </c>
      <c r="L11" s="9">
        <f t="shared" si="2"/>
        <v>0</v>
      </c>
      <c r="M11" s="9">
        <f t="shared" ref="M11:M39" si="42">+K11+M10</f>
        <v>0</v>
      </c>
      <c r="N11" s="9">
        <f t="shared" si="3"/>
        <v>0</v>
      </c>
      <c r="O11" s="98"/>
      <c r="P11" s="9">
        <f t="shared" si="4"/>
        <v>0</v>
      </c>
      <c r="Q11" s="9">
        <f t="shared" ref="Q11:Q39" si="43">+O11+Q10</f>
        <v>0</v>
      </c>
      <c r="R11" s="9">
        <f t="shared" si="5"/>
        <v>0</v>
      </c>
      <c r="S11" s="98">
        <f>48*S7</f>
        <v>9466.56</v>
      </c>
      <c r="T11" s="9">
        <f t="shared" si="6"/>
        <v>16.143872171834584</v>
      </c>
      <c r="U11" s="9">
        <f t="shared" ref="U11:U39" si="44">+S11+U10</f>
        <v>16566.48</v>
      </c>
      <c r="V11" s="9">
        <f t="shared" si="7"/>
        <v>14.520849516082123</v>
      </c>
      <c r="W11" s="98">
        <v>0</v>
      </c>
      <c r="X11" s="9">
        <f t="shared" si="8"/>
        <v>0</v>
      </c>
      <c r="Y11" s="9">
        <f t="shared" ref="Y11:Y39" si="45">+W11+Y10</f>
        <v>2250</v>
      </c>
      <c r="Z11" s="9">
        <f t="shared" si="9"/>
        <v>1.9721697917230927</v>
      </c>
      <c r="AA11" s="9">
        <f t="shared" ref="AA11:AA40" si="46">G11+K11+W11+S11+O11</f>
        <v>9466.56</v>
      </c>
      <c r="AB11" s="9">
        <f t="shared" si="10"/>
        <v>16.143872171834584</v>
      </c>
      <c r="AC11" s="9">
        <f t="shared" ref="AC11:AC39" si="47">AA11+AC10</f>
        <v>18816.48</v>
      </c>
      <c r="AD11" s="9">
        <f t="shared" si="11"/>
        <v>16.493019307805216</v>
      </c>
      <c r="AE11" s="98"/>
      <c r="AF11" s="9"/>
      <c r="AG11" s="9"/>
      <c r="AH11" s="9"/>
      <c r="AI11" s="98"/>
      <c r="AJ11" s="9">
        <f t="shared" si="12"/>
        <v>0</v>
      </c>
      <c r="AK11" s="9">
        <f t="shared" ref="AK11:AK39" si="48">AI11+AK10</f>
        <v>0</v>
      </c>
      <c r="AL11" s="9">
        <f t="shared" si="13"/>
        <v>0</v>
      </c>
      <c r="AM11" s="98"/>
      <c r="AN11" s="9">
        <f t="shared" si="14"/>
        <v>0</v>
      </c>
      <c r="AO11" s="9">
        <f t="shared" ref="AO11:AO39" si="49">AM11+AO10</f>
        <v>0</v>
      </c>
      <c r="AP11" s="9">
        <f t="shared" si="15"/>
        <v>0</v>
      </c>
      <c r="AQ11" s="98"/>
      <c r="AR11" s="9">
        <f t="shared" si="16"/>
        <v>0</v>
      </c>
      <c r="AS11" s="9">
        <f t="shared" ref="AS11:AS39" si="50">AQ11+AS10</f>
        <v>0</v>
      </c>
      <c r="AT11" s="9">
        <f t="shared" si="17"/>
        <v>0</v>
      </c>
      <c r="AU11" s="98">
        <v>0</v>
      </c>
      <c r="AV11" s="9">
        <f t="shared" si="18"/>
        <v>0</v>
      </c>
      <c r="AW11" s="9">
        <f t="shared" ref="AW11:AW39" si="51">AU11+AW10</f>
        <v>0</v>
      </c>
      <c r="AX11" s="9">
        <f t="shared" si="19"/>
        <v>0</v>
      </c>
      <c r="AY11" s="98"/>
      <c r="AZ11" s="9">
        <f t="shared" si="20"/>
        <v>0</v>
      </c>
      <c r="BA11" s="9">
        <f t="shared" ref="BA11:BA39" si="52">AY11+BA10</f>
        <v>0</v>
      </c>
      <c r="BB11" s="9">
        <f t="shared" si="21"/>
        <v>0</v>
      </c>
      <c r="BC11" s="99"/>
      <c r="BD11" s="9">
        <f t="shared" si="22"/>
        <v>0</v>
      </c>
      <c r="BE11" s="9">
        <f t="shared" ref="BE11:BE39" si="53">BC11+BE10</f>
        <v>0</v>
      </c>
      <c r="BF11" s="9">
        <f t="shared" si="23"/>
        <v>0</v>
      </c>
      <c r="BG11" s="98"/>
      <c r="BH11" s="9">
        <f t="shared" si="24"/>
        <v>0</v>
      </c>
      <c r="BI11" s="9">
        <f t="shared" ref="BI11:BI39" si="54">BG11+BI10</f>
        <v>0</v>
      </c>
      <c r="BJ11" s="9">
        <f t="shared" si="25"/>
        <v>0</v>
      </c>
      <c r="BK11" s="98"/>
      <c r="BL11" s="9"/>
      <c r="BM11" s="9"/>
      <c r="BN11" s="9"/>
      <c r="BO11" s="9">
        <f t="shared" ref="BO11:BO39" si="55">AI11+AM11+AQ11+AU11+AY11+BC11+BG11</f>
        <v>0</v>
      </c>
      <c r="BP11" s="9">
        <f t="shared" si="26"/>
        <v>0</v>
      </c>
      <c r="BQ11" s="9">
        <f t="shared" ref="BQ11:BQ39" si="56">BO11+BQ10</f>
        <v>0</v>
      </c>
      <c r="BR11" s="9">
        <f t="shared" si="27"/>
        <v>0</v>
      </c>
      <c r="BS11" s="98">
        <f>48*BS7</f>
        <v>12000</v>
      </c>
      <c r="BT11" s="9">
        <f t="shared" si="28"/>
        <v>20.464293900003277</v>
      </c>
      <c r="BU11" s="9">
        <f t="shared" ref="BU11:BU39" si="57">+BS11+BU10</f>
        <v>23250</v>
      </c>
      <c r="BV11" s="9">
        <f t="shared" si="29"/>
        <v>20.379087847805291</v>
      </c>
      <c r="BW11" s="99">
        <v>0</v>
      </c>
      <c r="BX11" s="9">
        <f t="shared" si="30"/>
        <v>0</v>
      </c>
      <c r="BY11" s="9">
        <f t="shared" ref="BY11:BY39" si="58">BW11+BY10</f>
        <v>0</v>
      </c>
      <c r="BZ11" s="9">
        <f t="shared" si="31"/>
        <v>0</v>
      </c>
      <c r="CA11" s="98">
        <f>144*CA7</f>
        <v>37172.159999999996</v>
      </c>
      <c r="CB11" s="14">
        <f t="shared" si="32"/>
        <v>63.391833928162143</v>
      </c>
      <c r="CC11" s="9">
        <f t="shared" ref="CC11:CC39" si="59">CA11+CC10</f>
        <v>72021.06</v>
      </c>
      <c r="CD11" s="9">
        <f t="shared" si="33"/>
        <v>63.1278928443895</v>
      </c>
      <c r="CE11" s="9">
        <f t="shared" ref="CE11:CE39" si="60">BS11+BW11+CA11</f>
        <v>49172.159999999996</v>
      </c>
      <c r="CF11" s="9">
        <f t="shared" si="34"/>
        <v>83.856127828165413</v>
      </c>
      <c r="CG11" s="9">
        <f t="shared" ref="CG11:CG39" si="61">CE11+CG10</f>
        <v>95271.06</v>
      </c>
      <c r="CH11" s="9">
        <f t="shared" si="35"/>
        <v>83.506980692194787</v>
      </c>
      <c r="CI11" s="98"/>
      <c r="CJ11" s="9">
        <f t="shared" si="36"/>
        <v>0</v>
      </c>
      <c r="CK11" s="9">
        <f t="shared" ref="CK11:CK39" si="62">CI11+CK10</f>
        <v>0</v>
      </c>
      <c r="CL11" s="9">
        <f t="shared" si="37"/>
        <v>0</v>
      </c>
      <c r="CM11" s="9">
        <f t="shared" ref="CM11:CM39" si="63">AA11+BO11+CE11+CI11</f>
        <v>58638.719999999994</v>
      </c>
      <c r="CN11" s="9">
        <f t="shared" ref="CN11:CN39" si="64">CM11+CN10</f>
        <v>114087.54</v>
      </c>
      <c r="CO11" s="9">
        <f t="shared" si="38"/>
        <v>1.1041825782397467</v>
      </c>
      <c r="CP11" s="9">
        <f t="shared" si="39"/>
        <v>1.0576293906610672</v>
      </c>
    </row>
    <row r="12" spans="1:94">
      <c r="A12" s="15">
        <f>+Chem!A12</f>
        <v>45994</v>
      </c>
      <c r="B12" s="5" t="str">
        <f>+Chem!B12</f>
        <v>Toilet</v>
      </c>
      <c r="C12" s="15" t="str">
        <f>+Chem!C12</f>
        <v>14</v>
      </c>
      <c r="D12" s="7">
        <f>+Chem!D12</f>
        <v>54.988</v>
      </c>
      <c r="E12" s="6">
        <f>+Chem!E12</f>
        <v>57.095999999999997</v>
      </c>
      <c r="F12" s="6">
        <f t="shared" si="40"/>
        <v>164.96700000000001</v>
      </c>
      <c r="G12" s="98"/>
      <c r="H12" s="9">
        <f t="shared" si="0"/>
        <v>0</v>
      </c>
      <c r="I12" s="7">
        <f t="shared" si="41"/>
        <v>0</v>
      </c>
      <c r="J12" s="9">
        <f t="shared" si="1"/>
        <v>0</v>
      </c>
      <c r="K12" s="99">
        <v>0</v>
      </c>
      <c r="L12" s="9">
        <f t="shared" si="2"/>
        <v>0</v>
      </c>
      <c r="M12" s="9">
        <f t="shared" si="42"/>
        <v>0</v>
      </c>
      <c r="N12" s="9">
        <f t="shared" si="3"/>
        <v>0</v>
      </c>
      <c r="O12" s="98"/>
      <c r="P12" s="9">
        <f t="shared" si="4"/>
        <v>0</v>
      </c>
      <c r="Q12" s="9">
        <f t="shared" si="43"/>
        <v>0</v>
      </c>
      <c r="R12" s="9">
        <f t="shared" si="5"/>
        <v>0</v>
      </c>
      <c r="S12" s="98">
        <f>48*S7</f>
        <v>9466.56</v>
      </c>
      <c r="T12" s="9">
        <f t="shared" si="6"/>
        <v>16.143872171834584</v>
      </c>
      <c r="U12" s="9">
        <f t="shared" si="44"/>
        <v>26033.040000000001</v>
      </c>
      <c r="V12" s="9">
        <f t="shared" si="7"/>
        <v>15.071848368626753</v>
      </c>
      <c r="W12" s="98">
        <v>0</v>
      </c>
      <c r="X12" s="9">
        <f t="shared" si="8"/>
        <v>0</v>
      </c>
      <c r="Y12" s="9">
        <f t="shared" si="45"/>
        <v>2250</v>
      </c>
      <c r="Z12" s="9">
        <f t="shared" si="9"/>
        <v>1.3026392165267748</v>
      </c>
      <c r="AA12" s="9">
        <f t="shared" si="46"/>
        <v>9466.56</v>
      </c>
      <c r="AB12" s="9">
        <f t="shared" si="10"/>
        <v>16.143872171834584</v>
      </c>
      <c r="AC12" s="9">
        <f t="shared" si="47"/>
        <v>28283.040000000001</v>
      </c>
      <c r="AD12" s="9">
        <f t="shared" si="11"/>
        <v>16.374487585153528</v>
      </c>
      <c r="AE12" s="98"/>
      <c r="AF12" s="9"/>
      <c r="AG12" s="9"/>
      <c r="AH12" s="9"/>
      <c r="AI12" s="98"/>
      <c r="AJ12" s="9">
        <f t="shared" si="12"/>
        <v>0</v>
      </c>
      <c r="AK12" s="9">
        <f t="shared" si="48"/>
        <v>0</v>
      </c>
      <c r="AL12" s="9">
        <f t="shared" si="13"/>
        <v>0</v>
      </c>
      <c r="AM12" s="98"/>
      <c r="AN12" s="9">
        <f t="shared" si="14"/>
        <v>0</v>
      </c>
      <c r="AO12" s="9">
        <f t="shared" si="49"/>
        <v>0</v>
      </c>
      <c r="AP12" s="9">
        <f t="shared" si="15"/>
        <v>0</v>
      </c>
      <c r="AQ12" s="98"/>
      <c r="AR12" s="9">
        <f t="shared" si="16"/>
        <v>0</v>
      </c>
      <c r="AS12" s="9">
        <f t="shared" si="50"/>
        <v>0</v>
      </c>
      <c r="AT12" s="9">
        <f t="shared" si="17"/>
        <v>0</v>
      </c>
      <c r="AU12" s="98">
        <v>0</v>
      </c>
      <c r="AV12" s="9">
        <f t="shared" si="18"/>
        <v>0</v>
      </c>
      <c r="AW12" s="9">
        <f t="shared" si="51"/>
        <v>0</v>
      </c>
      <c r="AX12" s="9">
        <f t="shared" si="19"/>
        <v>0</v>
      </c>
      <c r="AY12" s="98"/>
      <c r="AZ12" s="9">
        <f t="shared" si="20"/>
        <v>0</v>
      </c>
      <c r="BA12" s="9">
        <f t="shared" si="52"/>
        <v>0</v>
      </c>
      <c r="BB12" s="9">
        <f t="shared" si="21"/>
        <v>0</v>
      </c>
      <c r="BC12" s="99"/>
      <c r="BD12" s="9">
        <f t="shared" si="22"/>
        <v>0</v>
      </c>
      <c r="BE12" s="9">
        <f t="shared" si="53"/>
        <v>0</v>
      </c>
      <c r="BF12" s="9">
        <f t="shared" si="23"/>
        <v>0</v>
      </c>
      <c r="BG12" s="98"/>
      <c r="BH12" s="9">
        <f t="shared" si="24"/>
        <v>0</v>
      </c>
      <c r="BI12" s="9">
        <f t="shared" si="54"/>
        <v>0</v>
      </c>
      <c r="BJ12" s="9">
        <f t="shared" si="25"/>
        <v>0</v>
      </c>
      <c r="BK12" s="98"/>
      <c r="BL12" s="9"/>
      <c r="BM12" s="9"/>
      <c r="BN12" s="9"/>
      <c r="BO12" s="9">
        <f t="shared" si="55"/>
        <v>0</v>
      </c>
      <c r="BP12" s="9">
        <f t="shared" si="26"/>
        <v>0</v>
      </c>
      <c r="BQ12" s="9">
        <f t="shared" si="56"/>
        <v>0</v>
      </c>
      <c r="BR12" s="9">
        <f t="shared" si="27"/>
        <v>0</v>
      </c>
      <c r="BS12" s="98">
        <f>48*BS7</f>
        <v>12000</v>
      </c>
      <c r="BT12" s="9">
        <f t="shared" si="28"/>
        <v>20.464293900003277</v>
      </c>
      <c r="BU12" s="9">
        <f t="shared" si="57"/>
        <v>35250</v>
      </c>
      <c r="BV12" s="9">
        <f t="shared" si="29"/>
        <v>20.408014392252806</v>
      </c>
      <c r="BW12" s="99">
        <v>0</v>
      </c>
      <c r="BX12" s="9">
        <f t="shared" si="30"/>
        <v>0</v>
      </c>
      <c r="BY12" s="9">
        <f t="shared" si="58"/>
        <v>0</v>
      </c>
      <c r="BZ12" s="9">
        <f t="shared" si="31"/>
        <v>0</v>
      </c>
      <c r="CA12" s="98">
        <f>144*CA7</f>
        <v>37172.159999999996</v>
      </c>
      <c r="CB12" s="14">
        <f t="shared" si="32"/>
        <v>63.391833928162143</v>
      </c>
      <c r="CC12" s="9">
        <f t="shared" si="59"/>
        <v>109193.22</v>
      </c>
      <c r="CD12" s="9">
        <f t="shared" si="33"/>
        <v>63.217498022593674</v>
      </c>
      <c r="CE12" s="9">
        <f t="shared" si="60"/>
        <v>49172.159999999996</v>
      </c>
      <c r="CF12" s="9">
        <f t="shared" si="34"/>
        <v>83.856127828165413</v>
      </c>
      <c r="CG12" s="9">
        <f t="shared" si="61"/>
        <v>144443.22</v>
      </c>
      <c r="CH12" s="9">
        <f t="shared" si="35"/>
        <v>83.625512414846483</v>
      </c>
      <c r="CI12" s="98"/>
      <c r="CJ12" s="9">
        <f t="shared" si="36"/>
        <v>0</v>
      </c>
      <c r="CK12" s="9">
        <f t="shared" si="62"/>
        <v>0</v>
      </c>
      <c r="CL12" s="9">
        <f t="shared" si="37"/>
        <v>0</v>
      </c>
      <c r="CM12" s="9">
        <f t="shared" si="63"/>
        <v>58638.719999999994</v>
      </c>
      <c r="CN12" s="9">
        <f t="shared" si="64"/>
        <v>172726.25999999998</v>
      </c>
      <c r="CO12" s="9">
        <f t="shared" si="38"/>
        <v>1.027019756200084</v>
      </c>
      <c r="CP12" s="9">
        <f t="shared" si="39"/>
        <v>1.0470352252268633</v>
      </c>
    </row>
    <row r="13" spans="1:94">
      <c r="A13" s="15">
        <f>+Chem!A13</f>
        <v>45995</v>
      </c>
      <c r="B13" s="5" t="str">
        <f>+Chem!B13</f>
        <v>Toilet</v>
      </c>
      <c r="C13" s="15" t="str">
        <f>+Chem!C13</f>
        <v>14</v>
      </c>
      <c r="D13" s="7">
        <f>+Chem!D13</f>
        <v>48.894000000000005</v>
      </c>
      <c r="E13" s="6">
        <f>+Chem!E13</f>
        <v>41.052</v>
      </c>
      <c r="F13" s="6">
        <f t="shared" si="40"/>
        <v>206.01900000000001</v>
      </c>
      <c r="G13" s="98"/>
      <c r="H13" s="9">
        <f t="shared" si="0"/>
        <v>0</v>
      </c>
      <c r="I13" s="7">
        <f t="shared" si="41"/>
        <v>0</v>
      </c>
      <c r="J13" s="9">
        <f t="shared" si="1"/>
        <v>0</v>
      </c>
      <c r="K13" s="99">
        <v>0</v>
      </c>
      <c r="L13" s="9">
        <f t="shared" si="2"/>
        <v>0</v>
      </c>
      <c r="M13" s="9">
        <f t="shared" si="42"/>
        <v>0</v>
      </c>
      <c r="N13" s="9">
        <f t="shared" si="3"/>
        <v>0</v>
      </c>
      <c r="O13" s="98"/>
      <c r="P13" s="9">
        <f t="shared" si="4"/>
        <v>0</v>
      </c>
      <c r="Q13" s="9">
        <f t="shared" si="43"/>
        <v>0</v>
      </c>
      <c r="R13" s="9">
        <f t="shared" si="5"/>
        <v>0</v>
      </c>
      <c r="S13" s="98">
        <f>39*S7</f>
        <v>7691.58</v>
      </c>
      <c r="T13" s="9">
        <f t="shared" si="6"/>
        <v>14.583505556520427</v>
      </c>
      <c r="U13" s="9">
        <f t="shared" si="44"/>
        <v>33724.620000000003</v>
      </c>
      <c r="V13" s="9">
        <f t="shared" si="7"/>
        <v>14.957614809026035</v>
      </c>
      <c r="W13" s="98">
        <f>4*W7</f>
        <v>1000</v>
      </c>
      <c r="X13" s="9">
        <f t="shared" si="8"/>
        <v>1.8960350872669107</v>
      </c>
      <c r="Y13" s="9">
        <f t="shared" si="45"/>
        <v>3250</v>
      </c>
      <c r="Z13" s="9">
        <f t="shared" si="9"/>
        <v>1.441446875586281</v>
      </c>
      <c r="AA13" s="9">
        <f t="shared" si="46"/>
        <v>8691.58</v>
      </c>
      <c r="AB13" s="9">
        <f t="shared" si="10"/>
        <v>16.479540643787338</v>
      </c>
      <c r="AC13" s="9">
        <f t="shared" si="47"/>
        <v>36974.620000000003</v>
      </c>
      <c r="AD13" s="9">
        <f t="shared" si="11"/>
        <v>16.399061684612313</v>
      </c>
      <c r="AE13" s="98"/>
      <c r="AF13" s="9"/>
      <c r="AG13" s="9"/>
      <c r="AH13" s="9"/>
      <c r="AI13" s="98"/>
      <c r="AJ13" s="9">
        <f t="shared" si="12"/>
        <v>0</v>
      </c>
      <c r="AK13" s="9">
        <f t="shared" si="48"/>
        <v>0</v>
      </c>
      <c r="AL13" s="9">
        <f t="shared" si="13"/>
        <v>0</v>
      </c>
      <c r="AM13" s="98"/>
      <c r="AN13" s="9">
        <f t="shared" si="14"/>
        <v>0</v>
      </c>
      <c r="AO13" s="9">
        <f t="shared" si="49"/>
        <v>0</v>
      </c>
      <c r="AP13" s="9">
        <f t="shared" si="15"/>
        <v>0</v>
      </c>
      <c r="AQ13" s="98"/>
      <c r="AR13" s="9">
        <f t="shared" si="16"/>
        <v>0</v>
      </c>
      <c r="AS13" s="9">
        <f t="shared" si="50"/>
        <v>0</v>
      </c>
      <c r="AT13" s="9">
        <f t="shared" si="17"/>
        <v>0</v>
      </c>
      <c r="AU13" s="98">
        <v>0</v>
      </c>
      <c r="AV13" s="9">
        <f t="shared" si="18"/>
        <v>0</v>
      </c>
      <c r="AW13" s="9">
        <f t="shared" si="51"/>
        <v>0</v>
      </c>
      <c r="AX13" s="9">
        <f t="shared" si="19"/>
        <v>0</v>
      </c>
      <c r="AY13" s="98"/>
      <c r="AZ13" s="9">
        <f t="shared" si="20"/>
        <v>0</v>
      </c>
      <c r="BA13" s="9">
        <f t="shared" si="52"/>
        <v>0</v>
      </c>
      <c r="BB13" s="9">
        <f t="shared" si="21"/>
        <v>0</v>
      </c>
      <c r="BC13" s="99"/>
      <c r="BD13" s="9">
        <f t="shared" si="22"/>
        <v>0</v>
      </c>
      <c r="BE13" s="9">
        <f t="shared" si="53"/>
        <v>0</v>
      </c>
      <c r="BF13" s="9">
        <f t="shared" si="23"/>
        <v>0</v>
      </c>
      <c r="BG13" s="98"/>
      <c r="BH13" s="9">
        <f t="shared" si="24"/>
        <v>0</v>
      </c>
      <c r="BI13" s="9">
        <f t="shared" si="54"/>
        <v>0</v>
      </c>
      <c r="BJ13" s="9">
        <f t="shared" si="25"/>
        <v>0</v>
      </c>
      <c r="BK13" s="98"/>
      <c r="BL13" s="9"/>
      <c r="BM13" s="9"/>
      <c r="BN13" s="9"/>
      <c r="BO13" s="9">
        <f t="shared" si="55"/>
        <v>0</v>
      </c>
      <c r="BP13" s="9">
        <f t="shared" si="26"/>
        <v>0</v>
      </c>
      <c r="BQ13" s="9">
        <f t="shared" si="56"/>
        <v>0</v>
      </c>
      <c r="BR13" s="9">
        <f t="shared" si="27"/>
        <v>0</v>
      </c>
      <c r="BS13" s="98">
        <f>43*BS7</f>
        <v>10750</v>
      </c>
      <c r="BT13" s="9">
        <f t="shared" si="28"/>
        <v>20.382377188119293</v>
      </c>
      <c r="BU13" s="9">
        <f t="shared" si="57"/>
        <v>46000</v>
      </c>
      <c r="BV13" s="9">
        <f t="shared" si="29"/>
        <v>20.402017315990438</v>
      </c>
      <c r="BW13" s="99">
        <v>0</v>
      </c>
      <c r="BX13" s="9">
        <f t="shared" si="30"/>
        <v>0</v>
      </c>
      <c r="BY13" s="9">
        <f t="shared" si="58"/>
        <v>0</v>
      </c>
      <c r="BZ13" s="9">
        <f t="shared" si="31"/>
        <v>0</v>
      </c>
      <c r="CA13" s="98">
        <f>129*CA7</f>
        <v>33300.06</v>
      </c>
      <c r="CB13" s="14">
        <f t="shared" si="32"/>
        <v>63.138082168093369</v>
      </c>
      <c r="CC13" s="9">
        <f t="shared" si="59"/>
        <v>142493.28</v>
      </c>
      <c r="CD13" s="9">
        <f t="shared" si="33"/>
        <v>63.198920999397266</v>
      </c>
      <c r="CE13" s="9">
        <f t="shared" si="60"/>
        <v>44050.06</v>
      </c>
      <c r="CF13" s="9">
        <f t="shared" si="34"/>
        <v>83.520459356212655</v>
      </c>
      <c r="CG13" s="9">
        <f t="shared" si="61"/>
        <v>188493.28</v>
      </c>
      <c r="CH13" s="9">
        <f t="shared" si="35"/>
        <v>83.600938315387708</v>
      </c>
      <c r="CI13" s="98"/>
      <c r="CJ13" s="9">
        <f t="shared" si="36"/>
        <v>0</v>
      </c>
      <c r="CK13" s="9">
        <f t="shared" si="62"/>
        <v>0</v>
      </c>
      <c r="CL13" s="9">
        <f t="shared" si="37"/>
        <v>0</v>
      </c>
      <c r="CM13" s="9">
        <f>AA13+BO13+CE13+CI13</f>
        <v>52741.64</v>
      </c>
      <c r="CN13" s="9">
        <f t="shared" si="64"/>
        <v>225467.89999999997</v>
      </c>
      <c r="CO13" s="9">
        <f t="shared" si="38"/>
        <v>1.2847520218259767</v>
      </c>
      <c r="CP13" s="9">
        <f t="shared" si="39"/>
        <v>1.094403428809964</v>
      </c>
    </row>
    <row r="14" spans="1:94">
      <c r="A14" s="15">
        <f>+Chem!A14</f>
        <v>45996</v>
      </c>
      <c r="B14" s="5" t="str">
        <f>+Chem!B14</f>
        <v>Toilet</v>
      </c>
      <c r="C14" s="15" t="str">
        <f>+Chem!C14</f>
        <v>14/18/12,5</v>
      </c>
      <c r="D14" s="7">
        <f>+Chem!D14</f>
        <v>53.947000000000003</v>
      </c>
      <c r="E14" s="6">
        <f>+Chem!E14</f>
        <v>52.134</v>
      </c>
      <c r="F14" s="6">
        <f t="shared" si="40"/>
        <v>258.15300000000002</v>
      </c>
      <c r="G14" s="99"/>
      <c r="H14" s="89">
        <f t="shared" si="0"/>
        <v>0</v>
      </c>
      <c r="I14" s="7">
        <f t="shared" si="41"/>
        <v>0</v>
      </c>
      <c r="J14" s="89">
        <f t="shared" si="1"/>
        <v>0</v>
      </c>
      <c r="K14" s="99">
        <v>0</v>
      </c>
      <c r="L14" s="89">
        <f t="shared" si="2"/>
        <v>0</v>
      </c>
      <c r="M14" s="89">
        <f t="shared" si="42"/>
        <v>0</v>
      </c>
      <c r="N14" s="89">
        <f t="shared" si="3"/>
        <v>0</v>
      </c>
      <c r="O14" s="99"/>
      <c r="P14" s="89">
        <f t="shared" si="4"/>
        <v>0</v>
      </c>
      <c r="Q14" s="89">
        <f t="shared" si="43"/>
        <v>0</v>
      </c>
      <c r="R14" s="89">
        <f t="shared" si="5"/>
        <v>0</v>
      </c>
      <c r="S14" s="98">
        <f>43*S7</f>
        <v>8480.4599999999991</v>
      </c>
      <c r="T14" s="89">
        <f t="shared" si="6"/>
        <v>16.143872171834584</v>
      </c>
      <c r="U14" s="89">
        <f t="shared" si="44"/>
        <v>42205.08</v>
      </c>
      <c r="V14" s="89">
        <f t="shared" si="7"/>
        <v>15.181769738115779</v>
      </c>
      <c r="W14" s="99"/>
      <c r="X14" s="89">
        <f t="shared" si="8"/>
        <v>0</v>
      </c>
      <c r="Y14" s="89">
        <f t="shared" si="45"/>
        <v>3250</v>
      </c>
      <c r="Z14" s="89">
        <f t="shared" si="9"/>
        <v>1.1690713925640297</v>
      </c>
      <c r="AA14" s="9">
        <f t="shared" si="46"/>
        <v>8480.4599999999991</v>
      </c>
      <c r="AB14" s="89">
        <f t="shared" si="10"/>
        <v>16.143872171834584</v>
      </c>
      <c r="AC14" s="89">
        <f t="shared" si="47"/>
        <v>45455.08</v>
      </c>
      <c r="AD14" s="89">
        <f t="shared" si="11"/>
        <v>16.350841130679807</v>
      </c>
      <c r="AE14" s="99"/>
      <c r="AF14" s="89"/>
      <c r="AG14" s="89"/>
      <c r="AH14" s="89"/>
      <c r="AI14" s="99"/>
      <c r="AJ14" s="89">
        <f t="shared" si="12"/>
        <v>0</v>
      </c>
      <c r="AK14" s="89">
        <f t="shared" si="48"/>
        <v>0</v>
      </c>
      <c r="AL14" s="89">
        <f t="shared" si="13"/>
        <v>0</v>
      </c>
      <c r="AM14" s="99"/>
      <c r="AN14" s="89">
        <f t="shared" si="14"/>
        <v>0</v>
      </c>
      <c r="AO14" s="89">
        <f t="shared" si="49"/>
        <v>0</v>
      </c>
      <c r="AP14" s="89">
        <f t="shared" si="15"/>
        <v>0</v>
      </c>
      <c r="AQ14" s="99"/>
      <c r="AR14" s="89">
        <f t="shared" si="16"/>
        <v>0</v>
      </c>
      <c r="AS14" s="89">
        <f t="shared" si="50"/>
        <v>0</v>
      </c>
      <c r="AT14" s="89">
        <f t="shared" si="17"/>
        <v>0</v>
      </c>
      <c r="AU14" s="98">
        <v>0</v>
      </c>
      <c r="AV14" s="89">
        <f t="shared" si="18"/>
        <v>0</v>
      </c>
      <c r="AW14" s="89">
        <f t="shared" si="51"/>
        <v>0</v>
      </c>
      <c r="AX14" s="89">
        <f t="shared" si="19"/>
        <v>0</v>
      </c>
      <c r="AY14" s="99"/>
      <c r="AZ14" s="89">
        <f t="shared" si="20"/>
        <v>0</v>
      </c>
      <c r="BA14" s="89">
        <f t="shared" si="52"/>
        <v>0</v>
      </c>
      <c r="BB14" s="89">
        <f t="shared" si="21"/>
        <v>0</v>
      </c>
      <c r="BC14" s="99"/>
      <c r="BD14" s="89">
        <f t="shared" si="22"/>
        <v>0</v>
      </c>
      <c r="BE14" s="89">
        <f t="shared" si="53"/>
        <v>0</v>
      </c>
      <c r="BF14" s="89">
        <f t="shared" si="23"/>
        <v>0</v>
      </c>
      <c r="BG14" s="99"/>
      <c r="BH14" s="89">
        <f t="shared" si="24"/>
        <v>0</v>
      </c>
      <c r="BI14" s="89">
        <f t="shared" si="54"/>
        <v>0</v>
      </c>
      <c r="BJ14" s="89">
        <f t="shared" si="25"/>
        <v>0</v>
      </c>
      <c r="BK14" s="99"/>
      <c r="BL14" s="89"/>
      <c r="BM14" s="89"/>
      <c r="BN14" s="89"/>
      <c r="BO14" s="89">
        <f t="shared" si="55"/>
        <v>0</v>
      </c>
      <c r="BP14" s="89">
        <f t="shared" si="26"/>
        <v>0</v>
      </c>
      <c r="BQ14" s="89">
        <f t="shared" si="56"/>
        <v>0</v>
      </c>
      <c r="BR14" s="89">
        <f t="shared" si="27"/>
        <v>0</v>
      </c>
      <c r="BS14" s="99">
        <f>43*BS7</f>
        <v>10750</v>
      </c>
      <c r="BT14" s="89">
        <f t="shared" si="28"/>
        <v>20.464293900003273</v>
      </c>
      <c r="BU14" s="89">
        <f t="shared" si="57"/>
        <v>56750</v>
      </c>
      <c r="BV14" s="89">
        <f t="shared" si="29"/>
        <v>20.413785085541132</v>
      </c>
      <c r="BW14" s="99">
        <v>0</v>
      </c>
      <c r="BX14" s="89">
        <f t="shared" si="30"/>
        <v>0</v>
      </c>
      <c r="BY14" s="89">
        <f t="shared" si="58"/>
        <v>0</v>
      </c>
      <c r="BZ14" s="89">
        <f t="shared" si="31"/>
        <v>0</v>
      </c>
      <c r="CA14" s="99">
        <f>129*CA7</f>
        <v>33300.06</v>
      </c>
      <c r="CB14" s="90">
        <f t="shared" si="32"/>
        <v>63.391833928162143</v>
      </c>
      <c r="CC14" s="89">
        <f t="shared" si="59"/>
        <v>175793.34</v>
      </c>
      <c r="CD14" s="89">
        <f t="shared" si="33"/>
        <v>63.23537378377906</v>
      </c>
      <c r="CE14" s="89">
        <f t="shared" si="60"/>
        <v>44050.06</v>
      </c>
      <c r="CF14" s="89">
        <f t="shared" si="34"/>
        <v>83.856127828165413</v>
      </c>
      <c r="CG14" s="89">
        <f t="shared" si="61"/>
        <v>232543.34</v>
      </c>
      <c r="CH14" s="89">
        <f t="shared" si="35"/>
        <v>83.649158869320189</v>
      </c>
      <c r="CI14" s="99"/>
      <c r="CJ14" s="89">
        <f t="shared" si="36"/>
        <v>0</v>
      </c>
      <c r="CK14" s="89">
        <f t="shared" si="62"/>
        <v>0</v>
      </c>
      <c r="CL14" s="89">
        <f t="shared" si="37"/>
        <v>0</v>
      </c>
      <c r="CM14" s="89">
        <f t="shared" si="63"/>
        <v>52530.52</v>
      </c>
      <c r="CN14" s="89">
        <f t="shared" si="64"/>
        <v>277998.42</v>
      </c>
      <c r="CO14" s="89">
        <f t="shared" si="38"/>
        <v>1.0076057850922622</v>
      </c>
      <c r="CP14" s="89">
        <f t="shared" si="39"/>
        <v>1.0768746441064019</v>
      </c>
    </row>
    <row r="15" spans="1:94">
      <c r="A15" s="15">
        <f>+Chem!A15</f>
        <v>45997</v>
      </c>
      <c r="B15" s="5" t="str">
        <f>+Chem!B15</f>
        <v>Toilet/Facial</v>
      </c>
      <c r="C15" s="15" t="str">
        <f>+Chem!C15</f>
        <v>12,5/13/12</v>
      </c>
      <c r="D15" s="7">
        <f>+Chem!D15</f>
        <v>48.966000000000001</v>
      </c>
      <c r="E15" s="6">
        <f>+Chem!E15</f>
        <v>46.978999999999999</v>
      </c>
      <c r="F15" s="6">
        <f t="shared" si="40"/>
        <v>305.13200000000001</v>
      </c>
      <c r="G15" s="99"/>
      <c r="H15" s="89">
        <f t="shared" si="0"/>
        <v>0</v>
      </c>
      <c r="I15" s="7">
        <f t="shared" si="41"/>
        <v>0</v>
      </c>
      <c r="J15" s="89">
        <f t="shared" si="1"/>
        <v>0</v>
      </c>
      <c r="K15" s="99">
        <v>0</v>
      </c>
      <c r="L15" s="89">
        <f t="shared" si="2"/>
        <v>0</v>
      </c>
      <c r="M15" s="89">
        <f t="shared" si="42"/>
        <v>0</v>
      </c>
      <c r="N15" s="89">
        <f t="shared" si="3"/>
        <v>0</v>
      </c>
      <c r="O15" s="99"/>
      <c r="P15" s="89">
        <f t="shared" si="4"/>
        <v>0</v>
      </c>
      <c r="Q15" s="89">
        <f t="shared" si="43"/>
        <v>0</v>
      </c>
      <c r="R15" s="89">
        <f t="shared" si="5"/>
        <v>0</v>
      </c>
      <c r="S15" s="98">
        <f>39*S7</f>
        <v>7691.58</v>
      </c>
      <c r="T15" s="89">
        <f t="shared" si="6"/>
        <v>16.143872171834584</v>
      </c>
      <c r="U15" s="89">
        <f t="shared" si="44"/>
        <v>49896.66</v>
      </c>
      <c r="V15" s="89">
        <f t="shared" si="7"/>
        <v>15.322532650694914</v>
      </c>
      <c r="W15" s="99"/>
      <c r="X15" s="89">
        <f t="shared" si="8"/>
        <v>0</v>
      </c>
      <c r="Y15" s="89">
        <f t="shared" si="45"/>
        <v>3250</v>
      </c>
      <c r="Z15" s="89">
        <f t="shared" si="9"/>
        <v>0.998027345212254</v>
      </c>
      <c r="AA15" s="9">
        <f t="shared" si="46"/>
        <v>7691.58</v>
      </c>
      <c r="AB15" s="89">
        <f t="shared" si="10"/>
        <v>16.143872171834584</v>
      </c>
      <c r="AC15" s="89">
        <f t="shared" si="47"/>
        <v>53146.66</v>
      </c>
      <c r="AD15" s="89">
        <f t="shared" si="11"/>
        <v>16.320559995907168</v>
      </c>
      <c r="AE15" s="99"/>
      <c r="AF15" s="89"/>
      <c r="AG15" s="89"/>
      <c r="AH15" s="89"/>
      <c r="AI15" s="99"/>
      <c r="AJ15" s="89">
        <f t="shared" si="12"/>
        <v>0</v>
      </c>
      <c r="AK15" s="89">
        <f t="shared" si="48"/>
        <v>0</v>
      </c>
      <c r="AL15" s="89">
        <f t="shared" si="13"/>
        <v>0</v>
      </c>
      <c r="AM15" s="99"/>
      <c r="AN15" s="89">
        <f t="shared" si="14"/>
        <v>0</v>
      </c>
      <c r="AO15" s="89">
        <f t="shared" si="49"/>
        <v>0</v>
      </c>
      <c r="AP15" s="89">
        <f t="shared" si="15"/>
        <v>0</v>
      </c>
      <c r="AQ15" s="99"/>
      <c r="AR15" s="89">
        <f t="shared" si="16"/>
        <v>0</v>
      </c>
      <c r="AS15" s="89">
        <f t="shared" si="50"/>
        <v>0</v>
      </c>
      <c r="AT15" s="89">
        <f t="shared" si="17"/>
        <v>0</v>
      </c>
      <c r="AU15" s="98">
        <v>0</v>
      </c>
      <c r="AV15" s="89">
        <f t="shared" si="18"/>
        <v>0</v>
      </c>
      <c r="AW15" s="89">
        <f t="shared" si="51"/>
        <v>0</v>
      </c>
      <c r="AX15" s="89">
        <f t="shared" si="19"/>
        <v>0</v>
      </c>
      <c r="AY15" s="99"/>
      <c r="AZ15" s="89">
        <f t="shared" si="20"/>
        <v>0</v>
      </c>
      <c r="BA15" s="89">
        <f t="shared" si="52"/>
        <v>0</v>
      </c>
      <c r="BB15" s="89">
        <f t="shared" si="21"/>
        <v>0</v>
      </c>
      <c r="BC15" s="99"/>
      <c r="BD15" s="89">
        <f t="shared" si="22"/>
        <v>0</v>
      </c>
      <c r="BE15" s="89">
        <f t="shared" si="53"/>
        <v>0</v>
      </c>
      <c r="BF15" s="89">
        <f t="shared" si="23"/>
        <v>0</v>
      </c>
      <c r="BG15" s="99"/>
      <c r="BH15" s="89">
        <f t="shared" si="24"/>
        <v>0</v>
      </c>
      <c r="BI15" s="89">
        <f t="shared" si="54"/>
        <v>0</v>
      </c>
      <c r="BJ15" s="89">
        <f t="shared" si="25"/>
        <v>0</v>
      </c>
      <c r="BK15" s="99"/>
      <c r="BL15" s="89"/>
      <c r="BM15" s="89"/>
      <c r="BN15" s="89"/>
      <c r="BO15" s="89">
        <f t="shared" si="55"/>
        <v>0</v>
      </c>
      <c r="BP15" s="89">
        <f t="shared" si="26"/>
        <v>0</v>
      </c>
      <c r="BQ15" s="89">
        <f t="shared" si="56"/>
        <v>0</v>
      </c>
      <c r="BR15" s="89">
        <f t="shared" si="27"/>
        <v>0</v>
      </c>
      <c r="BS15" s="99">
        <f>39*BS7</f>
        <v>9750</v>
      </c>
      <c r="BT15" s="89">
        <f t="shared" si="28"/>
        <v>20.464293900003273</v>
      </c>
      <c r="BU15" s="89">
        <f t="shared" si="57"/>
        <v>66500</v>
      </c>
      <c r="BV15" s="89">
        <f t="shared" si="29"/>
        <v>20.421174909727657</v>
      </c>
      <c r="BW15" s="99">
        <v>0</v>
      </c>
      <c r="BX15" s="89">
        <f t="shared" si="30"/>
        <v>0</v>
      </c>
      <c r="BY15" s="89">
        <f t="shared" si="58"/>
        <v>0</v>
      </c>
      <c r="BZ15" s="89">
        <f t="shared" si="31"/>
        <v>0</v>
      </c>
      <c r="CA15" s="99">
        <f>117*CA7</f>
        <v>30202.379999999997</v>
      </c>
      <c r="CB15" s="90">
        <f t="shared" si="32"/>
        <v>63.391833928162136</v>
      </c>
      <c r="CC15" s="89">
        <f t="shared" si="59"/>
        <v>205995.72</v>
      </c>
      <c r="CD15" s="89">
        <f t="shared" si="33"/>
        <v>63.258265094365171</v>
      </c>
      <c r="CE15" s="89">
        <f t="shared" si="60"/>
        <v>39952.379999999997</v>
      </c>
      <c r="CF15" s="89">
        <f t="shared" si="34"/>
        <v>83.856127828165413</v>
      </c>
      <c r="CG15" s="89">
        <f t="shared" si="61"/>
        <v>272495.71999999997</v>
      </c>
      <c r="CH15" s="89">
        <f t="shared" si="35"/>
        <v>83.679440004092825</v>
      </c>
      <c r="CI15" s="99"/>
      <c r="CJ15" s="89">
        <f t="shared" si="36"/>
        <v>0</v>
      </c>
      <c r="CK15" s="89">
        <f t="shared" si="62"/>
        <v>0</v>
      </c>
      <c r="CL15" s="89">
        <f t="shared" si="37"/>
        <v>0</v>
      </c>
      <c r="CM15" s="89">
        <f t="shared" si="63"/>
        <v>47643.96</v>
      </c>
      <c r="CN15" s="89">
        <f t="shared" si="64"/>
        <v>325642.38</v>
      </c>
      <c r="CO15" s="89">
        <f t="shared" si="38"/>
        <v>1.0141544094169737</v>
      </c>
      <c r="CP15" s="89">
        <f t="shared" si="39"/>
        <v>1.0672180564477014</v>
      </c>
    </row>
    <row r="16" spans="1:94">
      <c r="A16" s="15">
        <f>+Chem!A16</f>
        <v>45998</v>
      </c>
      <c r="B16" s="5" t="str">
        <f>+Chem!B16</f>
        <v>Facial</v>
      </c>
      <c r="C16" s="15" t="str">
        <f>+Chem!C16</f>
        <v>12</v>
      </c>
      <c r="D16" s="7">
        <f>+Chem!D16</f>
        <v>49.021999999999998</v>
      </c>
      <c r="E16" s="6">
        <f>+Chem!E16</f>
        <v>44.481000000000002</v>
      </c>
      <c r="F16" s="6">
        <f t="shared" si="40"/>
        <v>349.613</v>
      </c>
      <c r="G16" s="99"/>
      <c r="H16" s="89">
        <f t="shared" si="0"/>
        <v>0</v>
      </c>
      <c r="I16" s="7">
        <f t="shared" si="41"/>
        <v>0</v>
      </c>
      <c r="J16" s="89">
        <f t="shared" si="1"/>
        <v>0</v>
      </c>
      <c r="K16" s="99">
        <v>0</v>
      </c>
      <c r="L16" s="89">
        <f t="shared" si="2"/>
        <v>0</v>
      </c>
      <c r="M16" s="89">
        <f t="shared" si="42"/>
        <v>0</v>
      </c>
      <c r="N16" s="89">
        <f t="shared" si="3"/>
        <v>0</v>
      </c>
      <c r="O16" s="99"/>
      <c r="P16" s="89">
        <f t="shared" si="4"/>
        <v>0</v>
      </c>
      <c r="Q16" s="89">
        <f t="shared" si="43"/>
        <v>0</v>
      </c>
      <c r="R16" s="89">
        <f t="shared" si="5"/>
        <v>0</v>
      </c>
      <c r="S16" s="98">
        <f>37*S7</f>
        <v>7297.14</v>
      </c>
      <c r="T16" s="89">
        <f t="shared" si="6"/>
        <v>16.143872171834587</v>
      </c>
      <c r="U16" s="89">
        <f t="shared" si="44"/>
        <v>57193.8</v>
      </c>
      <c r="V16" s="89">
        <f t="shared" si="7"/>
        <v>15.422642667224244</v>
      </c>
      <c r="W16" s="99"/>
      <c r="X16" s="89">
        <f t="shared" si="8"/>
        <v>0</v>
      </c>
      <c r="Y16" s="89">
        <f t="shared" si="45"/>
        <v>3250</v>
      </c>
      <c r="Z16" s="89">
        <f t="shared" si="9"/>
        <v>0.87638150758436728</v>
      </c>
      <c r="AA16" s="9">
        <f t="shared" si="46"/>
        <v>7297.14</v>
      </c>
      <c r="AB16" s="89">
        <f t="shared" si="10"/>
        <v>16.143872171834587</v>
      </c>
      <c r="AC16" s="89">
        <f t="shared" si="47"/>
        <v>60443.8</v>
      </c>
      <c r="AD16" s="89">
        <f t="shared" si="11"/>
        <v>16.299024174808611</v>
      </c>
      <c r="AE16" s="99"/>
      <c r="AF16" s="89"/>
      <c r="AG16" s="89"/>
      <c r="AH16" s="89"/>
      <c r="AI16" s="99"/>
      <c r="AJ16" s="89">
        <f t="shared" si="12"/>
        <v>0</v>
      </c>
      <c r="AK16" s="89">
        <f t="shared" si="48"/>
        <v>0</v>
      </c>
      <c r="AL16" s="89">
        <f t="shared" si="13"/>
        <v>0</v>
      </c>
      <c r="AM16" s="99"/>
      <c r="AN16" s="89">
        <f t="shared" si="14"/>
        <v>0</v>
      </c>
      <c r="AO16" s="89">
        <f t="shared" si="49"/>
        <v>0</v>
      </c>
      <c r="AP16" s="89">
        <f t="shared" si="15"/>
        <v>0</v>
      </c>
      <c r="AQ16" s="99"/>
      <c r="AR16" s="89">
        <f t="shared" si="16"/>
        <v>0</v>
      </c>
      <c r="AS16" s="89">
        <f t="shared" si="50"/>
        <v>0</v>
      </c>
      <c r="AT16" s="89">
        <f t="shared" si="17"/>
        <v>0</v>
      </c>
      <c r="AU16" s="98">
        <v>0</v>
      </c>
      <c r="AV16" s="89">
        <f t="shared" si="18"/>
        <v>0</v>
      </c>
      <c r="AW16" s="89">
        <f t="shared" si="51"/>
        <v>0</v>
      </c>
      <c r="AX16" s="89">
        <f t="shared" si="19"/>
        <v>0</v>
      </c>
      <c r="AY16" s="99"/>
      <c r="AZ16" s="89">
        <f t="shared" si="20"/>
        <v>0</v>
      </c>
      <c r="BA16" s="89">
        <f t="shared" si="52"/>
        <v>0</v>
      </c>
      <c r="BB16" s="89">
        <f t="shared" si="21"/>
        <v>0</v>
      </c>
      <c r="BC16" s="99"/>
      <c r="BD16" s="89">
        <f t="shared" si="22"/>
        <v>0</v>
      </c>
      <c r="BE16" s="89">
        <f t="shared" si="53"/>
        <v>0</v>
      </c>
      <c r="BF16" s="89">
        <f t="shared" si="23"/>
        <v>0</v>
      </c>
      <c r="BG16" s="99"/>
      <c r="BH16" s="89">
        <f t="shared" si="24"/>
        <v>0</v>
      </c>
      <c r="BI16" s="89">
        <f t="shared" si="54"/>
        <v>0</v>
      </c>
      <c r="BJ16" s="89">
        <f t="shared" si="25"/>
        <v>0</v>
      </c>
      <c r="BK16" s="99"/>
      <c r="BL16" s="89"/>
      <c r="BM16" s="89"/>
      <c r="BN16" s="89"/>
      <c r="BO16" s="89">
        <f t="shared" si="55"/>
        <v>0</v>
      </c>
      <c r="BP16" s="89">
        <f t="shared" si="26"/>
        <v>0</v>
      </c>
      <c r="BQ16" s="89">
        <f t="shared" si="56"/>
        <v>0</v>
      </c>
      <c r="BR16" s="89">
        <f t="shared" si="27"/>
        <v>0</v>
      </c>
      <c r="BS16" s="99">
        <f>37*BS7</f>
        <v>9250</v>
      </c>
      <c r="BT16" s="89">
        <f t="shared" si="28"/>
        <v>20.464293900003277</v>
      </c>
      <c r="BU16" s="89">
        <f t="shared" si="57"/>
        <v>75750</v>
      </c>
      <c r="BV16" s="89">
        <f t="shared" si="29"/>
        <v>20.426430522927948</v>
      </c>
      <c r="BW16" s="99">
        <v>0</v>
      </c>
      <c r="BX16" s="89">
        <f t="shared" si="30"/>
        <v>0</v>
      </c>
      <c r="BY16" s="89">
        <f t="shared" si="58"/>
        <v>0</v>
      </c>
      <c r="BZ16" s="89">
        <f t="shared" si="31"/>
        <v>0</v>
      </c>
      <c r="CA16" s="99">
        <f>111*CA7</f>
        <v>28653.539999999997</v>
      </c>
      <c r="CB16" s="90">
        <f t="shared" si="32"/>
        <v>63.391833928162143</v>
      </c>
      <c r="CC16" s="89">
        <f t="shared" si="59"/>
        <v>234649.26</v>
      </c>
      <c r="CD16" s="89">
        <f t="shared" si="33"/>
        <v>63.274545302263441</v>
      </c>
      <c r="CE16" s="89">
        <f t="shared" si="60"/>
        <v>37903.539999999994</v>
      </c>
      <c r="CF16" s="89">
        <f t="shared" si="34"/>
        <v>83.856127828165413</v>
      </c>
      <c r="CG16" s="89">
        <f t="shared" si="61"/>
        <v>310399.25999999995</v>
      </c>
      <c r="CH16" s="89">
        <f t="shared" si="35"/>
        <v>83.700975825191378</v>
      </c>
      <c r="CI16" s="99"/>
      <c r="CJ16" s="89">
        <f t="shared" si="36"/>
        <v>0</v>
      </c>
      <c r="CK16" s="89">
        <f t="shared" si="62"/>
        <v>0</v>
      </c>
      <c r="CL16" s="89">
        <f t="shared" si="37"/>
        <v>0</v>
      </c>
      <c r="CM16" s="89">
        <f t="shared" si="63"/>
        <v>45200.679999999993</v>
      </c>
      <c r="CN16" s="89">
        <f t="shared" si="64"/>
        <v>370843.06</v>
      </c>
      <c r="CO16" s="89">
        <f t="shared" si="38"/>
        <v>1.0161794923675276</v>
      </c>
      <c r="CP16" s="89">
        <f t="shared" si="39"/>
        <v>1.0607244581866235</v>
      </c>
    </row>
    <row r="17" spans="1:103">
      <c r="A17" s="15">
        <f>+Chem!A17</f>
        <v>45999</v>
      </c>
      <c r="B17" s="5" t="str">
        <f>+Chem!B17</f>
        <v>Facial</v>
      </c>
      <c r="C17" s="15" t="str">
        <f>+Chem!C17</f>
        <v>12</v>
      </c>
      <c r="D17" s="7">
        <f>+Chem!D17</f>
        <v>47.912999999999997</v>
      </c>
      <c r="E17" s="6">
        <f>+Chem!E17</f>
        <v>54.173999999999999</v>
      </c>
      <c r="F17" s="6">
        <f t="shared" si="40"/>
        <v>403.78699999999998</v>
      </c>
      <c r="G17" s="99"/>
      <c r="H17" s="89">
        <f t="shared" si="0"/>
        <v>0</v>
      </c>
      <c r="I17" s="7">
        <f t="shared" si="41"/>
        <v>0</v>
      </c>
      <c r="J17" s="89">
        <f t="shared" si="1"/>
        <v>0</v>
      </c>
      <c r="K17" s="99">
        <v>0</v>
      </c>
      <c r="L17" s="89">
        <f t="shared" si="2"/>
        <v>0</v>
      </c>
      <c r="M17" s="89">
        <f t="shared" si="42"/>
        <v>0</v>
      </c>
      <c r="N17" s="89">
        <f t="shared" si="3"/>
        <v>0</v>
      </c>
      <c r="O17" s="99"/>
      <c r="P17" s="89">
        <f t="shared" si="4"/>
        <v>0</v>
      </c>
      <c r="Q17" s="89">
        <f t="shared" si="43"/>
        <v>0</v>
      </c>
      <c r="R17" s="89">
        <f t="shared" si="5"/>
        <v>0</v>
      </c>
      <c r="S17" s="98">
        <f>39*S7</f>
        <v>7691.58</v>
      </c>
      <c r="T17" s="89">
        <f t="shared" si="6"/>
        <v>16.143872171834584</v>
      </c>
      <c r="U17" s="89">
        <f t="shared" si="44"/>
        <v>64885.380000000005</v>
      </c>
      <c r="V17" s="89">
        <f t="shared" si="7"/>
        <v>15.504753289600238</v>
      </c>
      <c r="W17" s="99"/>
      <c r="X17" s="89">
        <f t="shared" si="8"/>
        <v>0</v>
      </c>
      <c r="Y17" s="89">
        <f t="shared" si="45"/>
        <v>3250</v>
      </c>
      <c r="Z17" s="89">
        <f t="shared" si="9"/>
        <v>0.77660712153031641</v>
      </c>
      <c r="AA17" s="9">
        <f t="shared" si="46"/>
        <v>7691.58</v>
      </c>
      <c r="AB17" s="89">
        <f t="shared" si="10"/>
        <v>16.143872171834584</v>
      </c>
      <c r="AC17" s="89">
        <f t="shared" si="47"/>
        <v>68135.38</v>
      </c>
      <c r="AD17" s="89">
        <f t="shared" si="11"/>
        <v>16.281360411130557</v>
      </c>
      <c r="AE17" s="99"/>
      <c r="AF17" s="89"/>
      <c r="AG17" s="89"/>
      <c r="AH17" s="89"/>
      <c r="AI17" s="99"/>
      <c r="AJ17" s="89">
        <f t="shared" si="12"/>
        <v>0</v>
      </c>
      <c r="AK17" s="89">
        <f t="shared" si="48"/>
        <v>0</v>
      </c>
      <c r="AL17" s="89">
        <f t="shared" si="13"/>
        <v>0</v>
      </c>
      <c r="AM17" s="99"/>
      <c r="AN17" s="89">
        <f t="shared" si="14"/>
        <v>0</v>
      </c>
      <c r="AO17" s="89">
        <f t="shared" si="49"/>
        <v>0</v>
      </c>
      <c r="AP17" s="89">
        <f t="shared" si="15"/>
        <v>0</v>
      </c>
      <c r="AQ17" s="99"/>
      <c r="AR17" s="89">
        <f t="shared" si="16"/>
        <v>0</v>
      </c>
      <c r="AS17" s="89">
        <f t="shared" si="50"/>
        <v>0</v>
      </c>
      <c r="AT17" s="89">
        <f t="shared" si="17"/>
        <v>0</v>
      </c>
      <c r="AU17" s="98">
        <v>0</v>
      </c>
      <c r="AV17" s="89">
        <f t="shared" si="18"/>
        <v>0</v>
      </c>
      <c r="AW17" s="89">
        <f t="shared" si="51"/>
        <v>0</v>
      </c>
      <c r="AX17" s="89">
        <f t="shared" si="19"/>
        <v>0</v>
      </c>
      <c r="AY17" s="99"/>
      <c r="AZ17" s="89">
        <f t="shared" si="20"/>
        <v>0</v>
      </c>
      <c r="BA17" s="89">
        <f t="shared" si="52"/>
        <v>0</v>
      </c>
      <c r="BB17" s="89">
        <f t="shared" si="21"/>
        <v>0</v>
      </c>
      <c r="BC17" s="99"/>
      <c r="BD17" s="89">
        <f t="shared" si="22"/>
        <v>0</v>
      </c>
      <c r="BE17" s="89">
        <f t="shared" si="53"/>
        <v>0</v>
      </c>
      <c r="BF17" s="89">
        <f t="shared" si="23"/>
        <v>0</v>
      </c>
      <c r="BG17" s="99"/>
      <c r="BH17" s="89">
        <f t="shared" si="24"/>
        <v>0</v>
      </c>
      <c r="BI17" s="89">
        <f t="shared" si="54"/>
        <v>0</v>
      </c>
      <c r="BJ17" s="89">
        <f t="shared" si="25"/>
        <v>0</v>
      </c>
      <c r="BK17" s="99"/>
      <c r="BL17" s="89"/>
      <c r="BM17" s="89"/>
      <c r="BN17" s="89"/>
      <c r="BO17" s="89">
        <f t="shared" si="55"/>
        <v>0</v>
      </c>
      <c r="BP17" s="89">
        <f t="shared" si="26"/>
        <v>0</v>
      </c>
      <c r="BQ17" s="89">
        <f t="shared" si="56"/>
        <v>0</v>
      </c>
      <c r="BR17" s="89">
        <f t="shared" si="27"/>
        <v>0</v>
      </c>
      <c r="BS17" s="99">
        <f>39*BS7</f>
        <v>9750</v>
      </c>
      <c r="BT17" s="89">
        <f t="shared" si="28"/>
        <v>20.464293900003273</v>
      </c>
      <c r="BU17" s="89">
        <f t="shared" si="57"/>
        <v>85500</v>
      </c>
      <c r="BV17" s="89">
        <f t="shared" si="29"/>
        <v>20.430741197182172</v>
      </c>
      <c r="BW17" s="99">
        <v>0</v>
      </c>
      <c r="BX17" s="89">
        <f t="shared" si="30"/>
        <v>0</v>
      </c>
      <c r="BY17" s="89">
        <f t="shared" si="58"/>
        <v>0</v>
      </c>
      <c r="BZ17" s="89">
        <f t="shared" si="31"/>
        <v>0</v>
      </c>
      <c r="CA17" s="99">
        <f>117*CA7</f>
        <v>30202.379999999997</v>
      </c>
      <c r="CB17" s="90">
        <f t="shared" si="32"/>
        <v>63.391833928162136</v>
      </c>
      <c r="CC17" s="89">
        <f t="shared" si="59"/>
        <v>264851.64</v>
      </c>
      <c r="CD17" s="89">
        <f t="shared" si="33"/>
        <v>63.287898391687271</v>
      </c>
      <c r="CE17" s="89">
        <f t="shared" si="60"/>
        <v>39952.379999999997</v>
      </c>
      <c r="CF17" s="89">
        <f t="shared" si="34"/>
        <v>83.856127828165413</v>
      </c>
      <c r="CG17" s="89">
        <f t="shared" si="61"/>
        <v>350351.63999999996</v>
      </c>
      <c r="CH17" s="89">
        <f t="shared" si="35"/>
        <v>83.718639588869436</v>
      </c>
      <c r="CI17" s="99"/>
      <c r="CJ17" s="89">
        <f t="shared" si="36"/>
        <v>0</v>
      </c>
      <c r="CK17" s="89">
        <f t="shared" si="62"/>
        <v>0</v>
      </c>
      <c r="CL17" s="89">
        <f t="shared" si="37"/>
        <v>0</v>
      </c>
      <c r="CM17" s="89">
        <f t="shared" si="63"/>
        <v>47643.96</v>
      </c>
      <c r="CN17" s="89">
        <f t="shared" si="64"/>
        <v>418487.02</v>
      </c>
      <c r="CO17" s="89">
        <f t="shared" si="38"/>
        <v>0.87946173441134123</v>
      </c>
      <c r="CP17" s="89">
        <f t="shared" si="39"/>
        <v>1.0364053820454846</v>
      </c>
    </row>
    <row r="18" spans="1:103">
      <c r="A18" s="15">
        <f>+Chem!A18</f>
        <v>46000</v>
      </c>
      <c r="B18" s="5" t="str">
        <f>+Chem!B18</f>
        <v>Facial</v>
      </c>
      <c r="C18" s="15" t="str">
        <f>+Chem!C18</f>
        <v>12</v>
      </c>
      <c r="D18" s="7">
        <f>+Chem!D18</f>
        <v>47.442999999999998</v>
      </c>
      <c r="E18" s="6">
        <f>+Chem!E18</f>
        <v>49.234000000000002</v>
      </c>
      <c r="F18" s="6">
        <f t="shared" si="40"/>
        <v>453.02099999999996</v>
      </c>
      <c r="G18" s="98"/>
      <c r="H18" s="9">
        <f t="shared" si="0"/>
        <v>0</v>
      </c>
      <c r="I18" s="7">
        <f t="shared" si="41"/>
        <v>0</v>
      </c>
      <c r="J18" s="9">
        <f t="shared" si="1"/>
        <v>0</v>
      </c>
      <c r="K18" s="98">
        <f>37*K7</f>
        <v>9250</v>
      </c>
      <c r="L18" s="9">
        <f t="shared" si="2"/>
        <v>18.754173056939941</v>
      </c>
      <c r="M18" s="9">
        <f t="shared" si="42"/>
        <v>9250</v>
      </c>
      <c r="N18" s="9">
        <f t="shared" si="3"/>
        <v>1.9773011133492118</v>
      </c>
      <c r="O18" s="98"/>
      <c r="P18" s="9">
        <f t="shared" si="4"/>
        <v>0</v>
      </c>
      <c r="Q18" s="9">
        <f t="shared" si="43"/>
        <v>0</v>
      </c>
      <c r="R18" s="9">
        <f t="shared" si="5"/>
        <v>0</v>
      </c>
      <c r="S18" s="98">
        <f>2*S7</f>
        <v>394.44</v>
      </c>
      <c r="T18" s="9">
        <f t="shared" si="6"/>
        <v>0.79971848871128548</v>
      </c>
      <c r="U18" s="9">
        <f t="shared" si="44"/>
        <v>65279.820000000007</v>
      </c>
      <c r="V18" s="9">
        <f t="shared" si="7"/>
        <v>13.954363325971475</v>
      </c>
      <c r="W18" s="98"/>
      <c r="X18" s="9">
        <f t="shared" si="8"/>
        <v>0</v>
      </c>
      <c r="Y18" s="9">
        <f t="shared" si="45"/>
        <v>3250</v>
      </c>
      <c r="Z18" s="9">
        <f t="shared" si="9"/>
        <v>0.69472741820377704</v>
      </c>
      <c r="AA18" s="9">
        <f t="shared" si="46"/>
        <v>9644.44</v>
      </c>
      <c r="AB18" s="9">
        <f t="shared" si="10"/>
        <v>19.553891545651229</v>
      </c>
      <c r="AC18" s="9">
        <f t="shared" si="47"/>
        <v>77779.820000000007</v>
      </c>
      <c r="AD18" s="9">
        <f t="shared" si="11"/>
        <v>16.626391857524464</v>
      </c>
      <c r="AE18" s="98"/>
      <c r="AF18" s="9"/>
      <c r="AG18" s="9"/>
      <c r="AH18" s="9"/>
      <c r="AI18" s="98"/>
      <c r="AJ18" s="9">
        <f t="shared" si="12"/>
        <v>0</v>
      </c>
      <c r="AK18" s="9">
        <f t="shared" si="48"/>
        <v>0</v>
      </c>
      <c r="AL18" s="9">
        <f t="shared" si="13"/>
        <v>0</v>
      </c>
      <c r="AM18" s="98"/>
      <c r="AN18" s="9">
        <f t="shared" si="14"/>
        <v>0</v>
      </c>
      <c r="AO18" s="9">
        <f t="shared" si="49"/>
        <v>0</v>
      </c>
      <c r="AP18" s="9">
        <f t="shared" si="15"/>
        <v>0</v>
      </c>
      <c r="AQ18" s="98"/>
      <c r="AR18" s="9">
        <f t="shared" si="16"/>
        <v>0</v>
      </c>
      <c r="AS18" s="9">
        <f t="shared" si="50"/>
        <v>0</v>
      </c>
      <c r="AT18" s="9">
        <f t="shared" si="17"/>
        <v>0</v>
      </c>
      <c r="AU18" s="98">
        <v>0</v>
      </c>
      <c r="AV18" s="9">
        <f t="shared" si="18"/>
        <v>0</v>
      </c>
      <c r="AW18" s="9">
        <f t="shared" si="51"/>
        <v>0</v>
      </c>
      <c r="AX18" s="9">
        <f t="shared" si="19"/>
        <v>0</v>
      </c>
      <c r="AY18" s="98"/>
      <c r="AZ18" s="9">
        <f t="shared" si="20"/>
        <v>0</v>
      </c>
      <c r="BA18" s="9">
        <f t="shared" si="52"/>
        <v>0</v>
      </c>
      <c r="BB18" s="9">
        <f t="shared" si="21"/>
        <v>0</v>
      </c>
      <c r="BC18" s="98"/>
      <c r="BD18" s="9">
        <f t="shared" si="22"/>
        <v>0</v>
      </c>
      <c r="BE18" s="9">
        <f t="shared" si="53"/>
        <v>0</v>
      </c>
      <c r="BF18" s="9">
        <f t="shared" si="23"/>
        <v>0</v>
      </c>
      <c r="BG18" s="98"/>
      <c r="BH18" s="9">
        <f t="shared" si="24"/>
        <v>0</v>
      </c>
      <c r="BI18" s="9">
        <f t="shared" si="54"/>
        <v>0</v>
      </c>
      <c r="BJ18" s="9">
        <f t="shared" si="25"/>
        <v>0</v>
      </c>
      <c r="BK18" s="98"/>
      <c r="BL18" s="9"/>
      <c r="BM18" s="9"/>
      <c r="BN18" s="9"/>
      <c r="BO18" s="9">
        <f t="shared" si="55"/>
        <v>0</v>
      </c>
      <c r="BP18" s="9">
        <f t="shared" si="26"/>
        <v>0</v>
      </c>
      <c r="BQ18" s="9">
        <f t="shared" si="56"/>
        <v>0</v>
      </c>
      <c r="BR18" s="9">
        <f t="shared" si="27"/>
        <v>0</v>
      </c>
      <c r="BS18" s="98">
        <f>39*BS7</f>
        <v>9750</v>
      </c>
      <c r="BT18" s="9">
        <f t="shared" si="28"/>
        <v>19.767912141098858</v>
      </c>
      <c r="BU18" s="9">
        <f t="shared" si="57"/>
        <v>95250</v>
      </c>
      <c r="BV18" s="9">
        <f t="shared" si="29"/>
        <v>20.360857410433773</v>
      </c>
      <c r="BW18" s="98">
        <f>36*BW7</f>
        <v>9018.5759999999991</v>
      </c>
      <c r="BX18" s="9">
        <f t="shared" si="30"/>
        <v>18.284965949315151</v>
      </c>
      <c r="BY18" s="9">
        <f t="shared" si="58"/>
        <v>9018.5759999999991</v>
      </c>
      <c r="BZ18" s="9">
        <f t="shared" si="31"/>
        <v>1.9278313908783218</v>
      </c>
      <c r="CA18" s="98">
        <f>81*CA7</f>
        <v>20909.34</v>
      </c>
      <c r="CB18" s="14">
        <f t="shared" si="32"/>
        <v>42.393230363934762</v>
      </c>
      <c r="CC18" s="9">
        <f t="shared" si="59"/>
        <v>285760.98000000004</v>
      </c>
      <c r="CD18" s="9">
        <f t="shared" si="33"/>
        <v>61.084919341163449</v>
      </c>
      <c r="CE18" s="9">
        <f t="shared" si="60"/>
        <v>39677.915999999997</v>
      </c>
      <c r="CF18" s="9">
        <f t="shared" si="34"/>
        <v>80.446108454348774</v>
      </c>
      <c r="CG18" s="9">
        <f t="shared" si="61"/>
        <v>390029.55599999998</v>
      </c>
      <c r="CH18" s="9">
        <f t="shared" si="35"/>
        <v>83.373608142475518</v>
      </c>
      <c r="CI18" s="98"/>
      <c r="CJ18" s="9">
        <f t="shared" si="36"/>
        <v>0</v>
      </c>
      <c r="CK18" s="9">
        <f t="shared" si="62"/>
        <v>0</v>
      </c>
      <c r="CL18" s="9">
        <f t="shared" si="37"/>
        <v>0</v>
      </c>
      <c r="CM18" s="9">
        <f t="shared" si="63"/>
        <v>49322.356</v>
      </c>
      <c r="CN18" s="9">
        <f t="shared" si="64"/>
        <v>467809.37600000005</v>
      </c>
      <c r="CO18" s="9">
        <f t="shared" si="38"/>
        <v>1.0017946134784905</v>
      </c>
      <c r="CP18" s="9">
        <f t="shared" si="39"/>
        <v>1.0326439083397903</v>
      </c>
    </row>
    <row r="19" spans="1:103">
      <c r="A19" s="15">
        <f>+Chem!A19</f>
        <v>46001</v>
      </c>
      <c r="B19" s="5" t="str">
        <f>+Chem!B19</f>
        <v>Facial</v>
      </c>
      <c r="C19" s="15" t="str">
        <f>+Chem!C19</f>
        <v>12</v>
      </c>
      <c r="D19" s="7">
        <f>+Chem!D19</f>
        <v>49.963000000000001</v>
      </c>
      <c r="E19" s="6">
        <f>+Chem!E19</f>
        <v>49.491</v>
      </c>
      <c r="F19" s="6">
        <f t="shared" si="40"/>
        <v>502.51199999999994</v>
      </c>
      <c r="G19" s="98"/>
      <c r="H19" s="9">
        <f t="shared" si="0"/>
        <v>0</v>
      </c>
      <c r="I19" s="7">
        <f t="shared" si="41"/>
        <v>0</v>
      </c>
      <c r="J19" s="9">
        <f t="shared" si="1"/>
        <v>0</v>
      </c>
      <c r="K19" s="98">
        <f>39*K7</f>
        <v>9750</v>
      </c>
      <c r="L19" s="9">
        <f t="shared" si="2"/>
        <v>19.975262634753122</v>
      </c>
      <c r="M19" s="9">
        <f t="shared" si="42"/>
        <v>19000</v>
      </c>
      <c r="N19" s="9">
        <f t="shared" si="3"/>
        <v>3.6777533328052336</v>
      </c>
      <c r="O19" s="98"/>
      <c r="P19" s="9">
        <f t="shared" si="4"/>
        <v>0</v>
      </c>
      <c r="Q19" s="9">
        <f t="shared" si="43"/>
        <v>0</v>
      </c>
      <c r="R19" s="9">
        <f t="shared" si="5"/>
        <v>0</v>
      </c>
      <c r="S19" s="98"/>
      <c r="T19" s="9">
        <f t="shared" si="6"/>
        <v>0</v>
      </c>
      <c r="U19" s="9">
        <f t="shared" si="44"/>
        <v>65279.820000000007</v>
      </c>
      <c r="V19" s="9">
        <f t="shared" si="7"/>
        <v>12.635951345785568</v>
      </c>
      <c r="W19" s="98"/>
      <c r="X19" s="9">
        <f t="shared" si="8"/>
        <v>0</v>
      </c>
      <c r="Y19" s="9">
        <f t="shared" si="45"/>
        <v>3250</v>
      </c>
      <c r="Z19" s="9">
        <f t="shared" si="9"/>
        <v>0.62908938587457941</v>
      </c>
      <c r="AA19" s="9">
        <f t="shared" si="46"/>
        <v>9750</v>
      </c>
      <c r="AB19" s="9">
        <f t="shared" si="10"/>
        <v>19.975262634753122</v>
      </c>
      <c r="AC19" s="9">
        <f t="shared" si="47"/>
        <v>87529.82</v>
      </c>
      <c r="AD19" s="9">
        <f t="shared" si="11"/>
        <v>16.942794064465382</v>
      </c>
      <c r="AE19" s="98"/>
      <c r="AF19" s="9"/>
      <c r="AG19" s="9"/>
      <c r="AH19" s="9"/>
      <c r="AI19" s="98"/>
      <c r="AJ19" s="9">
        <f t="shared" si="12"/>
        <v>0</v>
      </c>
      <c r="AK19" s="9">
        <f t="shared" si="48"/>
        <v>0</v>
      </c>
      <c r="AL19" s="9">
        <f t="shared" si="13"/>
        <v>0</v>
      </c>
      <c r="AM19" s="98"/>
      <c r="AN19" s="9">
        <f t="shared" si="14"/>
        <v>0</v>
      </c>
      <c r="AO19" s="9">
        <f t="shared" si="49"/>
        <v>0</v>
      </c>
      <c r="AP19" s="9">
        <f t="shared" si="15"/>
        <v>0</v>
      </c>
      <c r="AQ19" s="98"/>
      <c r="AR19" s="9">
        <f t="shared" si="16"/>
        <v>0</v>
      </c>
      <c r="AS19" s="9">
        <f t="shared" si="50"/>
        <v>0</v>
      </c>
      <c r="AT19" s="9">
        <f t="shared" si="17"/>
        <v>0</v>
      </c>
      <c r="AU19" s="98">
        <v>0</v>
      </c>
      <c r="AV19" s="9">
        <f t="shared" si="18"/>
        <v>0</v>
      </c>
      <c r="AW19" s="9">
        <f t="shared" si="51"/>
        <v>0</v>
      </c>
      <c r="AX19" s="9">
        <f t="shared" si="19"/>
        <v>0</v>
      </c>
      <c r="AY19" s="98"/>
      <c r="AZ19" s="9">
        <f t="shared" si="20"/>
        <v>0</v>
      </c>
      <c r="BA19" s="9">
        <f t="shared" si="52"/>
        <v>0</v>
      </c>
      <c r="BB19" s="9">
        <f t="shared" si="21"/>
        <v>0</v>
      </c>
      <c r="BC19" s="98"/>
      <c r="BD19" s="9">
        <f t="shared" si="22"/>
        <v>0</v>
      </c>
      <c r="BE19" s="9">
        <f t="shared" si="53"/>
        <v>0</v>
      </c>
      <c r="BF19" s="9">
        <f t="shared" si="23"/>
        <v>0</v>
      </c>
      <c r="BG19" s="98"/>
      <c r="BH19" s="9">
        <f t="shared" si="24"/>
        <v>0</v>
      </c>
      <c r="BI19" s="9">
        <f t="shared" si="54"/>
        <v>0</v>
      </c>
      <c r="BJ19" s="9">
        <f t="shared" si="25"/>
        <v>0</v>
      </c>
      <c r="BK19" s="98"/>
      <c r="BL19" s="9"/>
      <c r="BM19" s="9"/>
      <c r="BN19" s="9"/>
      <c r="BO19" s="9">
        <f t="shared" si="55"/>
        <v>0</v>
      </c>
      <c r="BP19" s="9">
        <f t="shared" si="26"/>
        <v>0</v>
      </c>
      <c r="BQ19" s="9">
        <f t="shared" si="56"/>
        <v>0</v>
      </c>
      <c r="BR19" s="9">
        <f t="shared" si="27"/>
        <v>0</v>
      </c>
      <c r="BS19" s="98">
        <f>39*BS7</f>
        <v>9750</v>
      </c>
      <c r="BT19" s="9">
        <f t="shared" si="28"/>
        <v>19.975262634753122</v>
      </c>
      <c r="BU19" s="9">
        <f t="shared" si="57"/>
        <v>105000</v>
      </c>
      <c r="BV19" s="9">
        <f t="shared" si="29"/>
        <v>20.324426312871026</v>
      </c>
      <c r="BW19" s="98">
        <f>117*BW7</f>
        <v>29310.371999999999</v>
      </c>
      <c r="BX19" s="9">
        <f t="shared" si="30"/>
        <v>60.049474730493756</v>
      </c>
      <c r="BY19" s="9">
        <f t="shared" si="58"/>
        <v>38328.947999999997</v>
      </c>
      <c r="BZ19" s="9">
        <f t="shared" si="31"/>
        <v>7.4191798026272888</v>
      </c>
      <c r="CA19" s="98"/>
      <c r="CB19" s="14">
        <f t="shared" si="32"/>
        <v>0</v>
      </c>
      <c r="CC19" s="9">
        <f t="shared" si="59"/>
        <v>285760.98000000004</v>
      </c>
      <c r="CD19" s="9">
        <f t="shared" si="33"/>
        <v>55.313599820036309</v>
      </c>
      <c r="CE19" s="9">
        <f t="shared" si="60"/>
        <v>39060.372000000003</v>
      </c>
      <c r="CF19" s="9">
        <f t="shared" si="34"/>
        <v>80.024737365246878</v>
      </c>
      <c r="CG19" s="9">
        <f t="shared" si="61"/>
        <v>429089.92799999996</v>
      </c>
      <c r="CH19" s="9">
        <f t="shared" si="35"/>
        <v>83.057205935534611</v>
      </c>
      <c r="CI19" s="98"/>
      <c r="CJ19" s="9">
        <f t="shared" si="36"/>
        <v>0</v>
      </c>
      <c r="CK19" s="9">
        <f t="shared" si="62"/>
        <v>0</v>
      </c>
      <c r="CL19" s="9">
        <f t="shared" si="37"/>
        <v>0</v>
      </c>
      <c r="CM19" s="9">
        <f t="shared" si="63"/>
        <v>48810.372000000003</v>
      </c>
      <c r="CN19" s="9">
        <f t="shared" si="64"/>
        <v>516619.74800000002</v>
      </c>
      <c r="CO19" s="9">
        <f t="shared" si="38"/>
        <v>0.98624743892829003</v>
      </c>
      <c r="CP19" s="9">
        <f t="shared" si="39"/>
        <v>1.0280744499633843</v>
      </c>
    </row>
    <row r="20" spans="1:103">
      <c r="A20" s="15">
        <f>+Chem!A20</f>
        <v>46002</v>
      </c>
      <c r="B20" s="5" t="str">
        <f>+Chem!B20</f>
        <v>Facial</v>
      </c>
      <c r="C20" s="15" t="str">
        <f>+Chem!C20</f>
        <v>12</v>
      </c>
      <c r="D20" s="7">
        <f>+Chem!D20</f>
        <v>46.855000000000004</v>
      </c>
      <c r="E20" s="6">
        <f>+Chem!E20</f>
        <v>42.121000000000002</v>
      </c>
      <c r="F20" s="6">
        <f t="shared" si="40"/>
        <v>544.63299999999992</v>
      </c>
      <c r="G20" s="98"/>
      <c r="H20" s="9">
        <f t="shared" si="0"/>
        <v>0</v>
      </c>
      <c r="I20" s="7">
        <f t="shared" si="41"/>
        <v>0</v>
      </c>
      <c r="J20" s="9">
        <f t="shared" si="1"/>
        <v>0</v>
      </c>
      <c r="K20" s="98">
        <f>34.75*K7</f>
        <v>8687.5</v>
      </c>
      <c r="L20" s="9">
        <f t="shared" si="2"/>
        <v>18.197871346548215</v>
      </c>
      <c r="M20" s="9">
        <f t="shared" si="42"/>
        <v>27687.5</v>
      </c>
      <c r="N20" s="9">
        <f t="shared" si="3"/>
        <v>4.9060097308866863</v>
      </c>
      <c r="O20" s="98"/>
      <c r="P20" s="9">
        <f t="shared" si="4"/>
        <v>0</v>
      </c>
      <c r="Q20" s="9">
        <f t="shared" si="43"/>
        <v>0</v>
      </c>
      <c r="R20" s="9">
        <f t="shared" si="5"/>
        <v>0</v>
      </c>
      <c r="S20" s="98"/>
      <c r="T20" s="9">
        <f t="shared" si="6"/>
        <v>0</v>
      </c>
      <c r="U20" s="9">
        <f t="shared" si="44"/>
        <v>65279.820000000007</v>
      </c>
      <c r="V20" s="9">
        <f t="shared" si="7"/>
        <v>11.567076556226864</v>
      </c>
      <c r="W20" s="98"/>
      <c r="X20" s="9">
        <f t="shared" si="8"/>
        <v>0</v>
      </c>
      <c r="Y20" s="9">
        <f t="shared" si="45"/>
        <v>3250</v>
      </c>
      <c r="Z20" s="9">
        <f t="shared" si="9"/>
        <v>0.57587473139076217</v>
      </c>
      <c r="AA20" s="9">
        <f t="shared" si="46"/>
        <v>8687.5</v>
      </c>
      <c r="AB20" s="9">
        <f t="shared" si="10"/>
        <v>18.197871346548215</v>
      </c>
      <c r="AC20" s="9">
        <f t="shared" si="47"/>
        <v>96217.32</v>
      </c>
      <c r="AD20" s="9">
        <f t="shared" si="11"/>
        <v>17.048961018504315</v>
      </c>
      <c r="AE20" s="98"/>
      <c r="AF20" s="9"/>
      <c r="AG20" s="9"/>
      <c r="AH20" s="9"/>
      <c r="AI20" s="98"/>
      <c r="AJ20" s="9">
        <f t="shared" si="12"/>
        <v>0</v>
      </c>
      <c r="AK20" s="9">
        <f t="shared" si="48"/>
        <v>0</v>
      </c>
      <c r="AL20" s="9">
        <f t="shared" si="13"/>
        <v>0</v>
      </c>
      <c r="AM20" s="98"/>
      <c r="AN20" s="9">
        <f t="shared" si="14"/>
        <v>0</v>
      </c>
      <c r="AO20" s="9">
        <f t="shared" si="49"/>
        <v>0</v>
      </c>
      <c r="AP20" s="9">
        <f t="shared" si="15"/>
        <v>0</v>
      </c>
      <c r="AQ20" s="98"/>
      <c r="AR20" s="9">
        <f t="shared" si="16"/>
        <v>0</v>
      </c>
      <c r="AS20" s="9">
        <f t="shared" si="50"/>
        <v>0</v>
      </c>
      <c r="AT20" s="9">
        <f t="shared" si="17"/>
        <v>0</v>
      </c>
      <c r="AU20" s="98">
        <v>0</v>
      </c>
      <c r="AV20" s="9">
        <f t="shared" si="18"/>
        <v>0</v>
      </c>
      <c r="AW20" s="9">
        <f t="shared" si="51"/>
        <v>0</v>
      </c>
      <c r="AX20" s="9">
        <f t="shared" si="19"/>
        <v>0</v>
      </c>
      <c r="AY20" s="98"/>
      <c r="AZ20" s="9">
        <f t="shared" si="20"/>
        <v>0</v>
      </c>
      <c r="BA20" s="9">
        <f t="shared" si="52"/>
        <v>0</v>
      </c>
      <c r="BB20" s="9">
        <f t="shared" si="21"/>
        <v>0</v>
      </c>
      <c r="BC20" s="98"/>
      <c r="BD20" s="9">
        <f t="shared" si="22"/>
        <v>0</v>
      </c>
      <c r="BE20" s="9">
        <f t="shared" si="53"/>
        <v>0</v>
      </c>
      <c r="BF20" s="9">
        <f t="shared" si="23"/>
        <v>0</v>
      </c>
      <c r="BG20" s="98"/>
      <c r="BH20" s="9">
        <f t="shared" si="24"/>
        <v>0</v>
      </c>
      <c r="BI20" s="9">
        <f t="shared" si="54"/>
        <v>0</v>
      </c>
      <c r="BJ20" s="9">
        <f t="shared" si="25"/>
        <v>0</v>
      </c>
      <c r="BK20" s="98"/>
      <c r="BL20" s="9"/>
      <c r="BM20" s="9"/>
      <c r="BN20" s="9"/>
      <c r="BO20" s="9">
        <f t="shared" si="55"/>
        <v>0</v>
      </c>
      <c r="BP20" s="9">
        <f t="shared" si="26"/>
        <v>0</v>
      </c>
      <c r="BQ20" s="9">
        <f t="shared" si="56"/>
        <v>0</v>
      </c>
      <c r="BR20" s="9">
        <f t="shared" si="27"/>
        <v>0</v>
      </c>
      <c r="BS20" s="98">
        <f>56*BS7</f>
        <v>14000</v>
      </c>
      <c r="BT20" s="9">
        <f t="shared" si="28"/>
        <v>29.32606605486907</v>
      </c>
      <c r="BU20" s="9">
        <f t="shared" si="57"/>
        <v>119000</v>
      </c>
      <c r="BV20" s="9">
        <f t="shared" si="29"/>
        <v>21.085874780154061</v>
      </c>
      <c r="BW20" s="98">
        <f>100*BW7</f>
        <v>25051.599999999999</v>
      </c>
      <c r="BX20" s="9">
        <f t="shared" si="30"/>
        <v>52.476062598582708</v>
      </c>
      <c r="BY20" s="9">
        <f t="shared" si="58"/>
        <v>63380.547999999995</v>
      </c>
      <c r="BZ20" s="9">
        <f t="shared" si="31"/>
        <v>11.230540324584402</v>
      </c>
      <c r="CA20" s="98"/>
      <c r="CB20" s="14">
        <f t="shared" si="32"/>
        <v>0</v>
      </c>
      <c r="CC20" s="9">
        <f t="shared" si="59"/>
        <v>285760.98000000004</v>
      </c>
      <c r="CD20" s="9">
        <f t="shared" si="33"/>
        <v>50.634623876757232</v>
      </c>
      <c r="CE20" s="9">
        <f t="shared" si="60"/>
        <v>39051.599999999999</v>
      </c>
      <c r="CF20" s="9">
        <f t="shared" si="34"/>
        <v>81.802128653451774</v>
      </c>
      <c r="CG20" s="9">
        <f t="shared" si="61"/>
        <v>468141.52799999993</v>
      </c>
      <c r="CH20" s="9">
        <f t="shared" si="35"/>
        <v>82.951038981495671</v>
      </c>
      <c r="CI20" s="98"/>
      <c r="CJ20" s="9">
        <f t="shared" si="36"/>
        <v>0</v>
      </c>
      <c r="CK20" s="9">
        <f t="shared" si="62"/>
        <v>0</v>
      </c>
      <c r="CL20" s="9">
        <f t="shared" si="37"/>
        <v>0</v>
      </c>
      <c r="CM20" s="9">
        <f t="shared" si="63"/>
        <v>47739.1</v>
      </c>
      <c r="CN20" s="9">
        <f t="shared" si="64"/>
        <v>564358.848</v>
      </c>
      <c r="CO20" s="9">
        <f t="shared" si="38"/>
        <v>1.1333800242159493</v>
      </c>
      <c r="CP20" s="9">
        <f t="shared" si="39"/>
        <v>1.036218605923622</v>
      </c>
    </row>
    <row r="21" spans="1:103">
      <c r="A21" s="15">
        <f>+Chem!A21</f>
        <v>46003</v>
      </c>
      <c r="B21" s="5" t="str">
        <f>+Chem!B21</f>
        <v>Facial</v>
      </c>
      <c r="C21" s="15" t="str">
        <f>+Chem!C21</f>
        <v>12</v>
      </c>
      <c r="D21" s="7">
        <f>+Chem!D21</f>
        <v>46.277999999999999</v>
      </c>
      <c r="E21" s="6">
        <f>+Chem!E21</f>
        <v>42.796999999999997</v>
      </c>
      <c r="F21" s="6">
        <f t="shared" si="40"/>
        <v>587.42999999999995</v>
      </c>
      <c r="G21" s="98"/>
      <c r="H21" s="9">
        <f t="shared" si="0"/>
        <v>0</v>
      </c>
      <c r="I21" s="7">
        <f t="shared" si="41"/>
        <v>0</v>
      </c>
      <c r="J21" s="9">
        <f t="shared" si="1"/>
        <v>0</v>
      </c>
      <c r="K21" s="98">
        <f>30.75*K7</f>
        <v>7687.5</v>
      </c>
      <c r="L21" s="9">
        <f t="shared" si="2"/>
        <v>15.775763715238631</v>
      </c>
      <c r="M21" s="9">
        <f t="shared" si="42"/>
        <v>35375</v>
      </c>
      <c r="N21" s="9">
        <f t="shared" si="3"/>
        <v>5.7699648204225467</v>
      </c>
      <c r="O21" s="98"/>
      <c r="P21" s="9">
        <f t="shared" si="4"/>
        <v>0</v>
      </c>
      <c r="Q21" s="9">
        <f t="shared" si="43"/>
        <v>0</v>
      </c>
      <c r="R21" s="9">
        <f t="shared" si="5"/>
        <v>0</v>
      </c>
      <c r="S21" s="98"/>
      <c r="T21" s="9">
        <f t="shared" si="6"/>
        <v>0</v>
      </c>
      <c r="U21" s="9">
        <f t="shared" si="44"/>
        <v>65279.820000000007</v>
      </c>
      <c r="V21" s="9">
        <f t="shared" si="7"/>
        <v>10.647696533809645</v>
      </c>
      <c r="W21" s="98"/>
      <c r="X21" s="9">
        <f t="shared" si="8"/>
        <v>0</v>
      </c>
      <c r="Y21" s="9">
        <f t="shared" si="45"/>
        <v>3250</v>
      </c>
      <c r="Z21" s="9">
        <f t="shared" si="9"/>
        <v>0.53010277502115277</v>
      </c>
      <c r="AA21" s="9">
        <f t="shared" si="46"/>
        <v>7687.5</v>
      </c>
      <c r="AB21" s="9">
        <f t="shared" si="10"/>
        <v>15.775763715238631</v>
      </c>
      <c r="AC21" s="9">
        <f t="shared" si="47"/>
        <v>103904.82</v>
      </c>
      <c r="AD21" s="9">
        <f t="shared" si="11"/>
        <v>16.947764129253347</v>
      </c>
      <c r="AE21" s="98"/>
      <c r="AF21" s="9"/>
      <c r="AG21" s="9"/>
      <c r="AH21" s="9"/>
      <c r="AI21" s="98"/>
      <c r="AJ21" s="9">
        <f t="shared" si="12"/>
        <v>0</v>
      </c>
      <c r="AK21" s="9">
        <f t="shared" si="48"/>
        <v>0</v>
      </c>
      <c r="AL21" s="9">
        <f t="shared" si="13"/>
        <v>0</v>
      </c>
      <c r="AM21" s="98"/>
      <c r="AN21" s="9">
        <f t="shared" si="14"/>
        <v>0</v>
      </c>
      <c r="AO21" s="9">
        <f t="shared" si="49"/>
        <v>0</v>
      </c>
      <c r="AP21" s="9">
        <f t="shared" si="15"/>
        <v>0</v>
      </c>
      <c r="AQ21" s="98"/>
      <c r="AR21" s="9">
        <f t="shared" si="16"/>
        <v>0</v>
      </c>
      <c r="AS21" s="9">
        <f t="shared" si="50"/>
        <v>0</v>
      </c>
      <c r="AT21" s="9">
        <f t="shared" si="17"/>
        <v>0</v>
      </c>
      <c r="AU21" s="98">
        <v>0</v>
      </c>
      <c r="AV21" s="9">
        <f t="shared" si="18"/>
        <v>0</v>
      </c>
      <c r="AW21" s="9">
        <f t="shared" si="51"/>
        <v>0</v>
      </c>
      <c r="AX21" s="9">
        <f t="shared" si="19"/>
        <v>0</v>
      </c>
      <c r="AY21" s="98"/>
      <c r="AZ21" s="9">
        <f t="shared" si="20"/>
        <v>0</v>
      </c>
      <c r="BA21" s="9">
        <f t="shared" si="52"/>
        <v>0</v>
      </c>
      <c r="BB21" s="9">
        <f t="shared" si="21"/>
        <v>0</v>
      </c>
      <c r="BC21" s="98"/>
      <c r="BD21" s="9">
        <f t="shared" si="22"/>
        <v>0</v>
      </c>
      <c r="BE21" s="9">
        <f t="shared" si="53"/>
        <v>0</v>
      </c>
      <c r="BF21" s="9">
        <f t="shared" si="23"/>
        <v>0</v>
      </c>
      <c r="BG21" s="98"/>
      <c r="BH21" s="9">
        <f t="shared" si="24"/>
        <v>0</v>
      </c>
      <c r="BI21" s="9">
        <f t="shared" si="54"/>
        <v>0</v>
      </c>
      <c r="BJ21" s="9">
        <f t="shared" si="25"/>
        <v>0</v>
      </c>
      <c r="BK21" s="98"/>
      <c r="BL21" s="9"/>
      <c r="BM21" s="9"/>
      <c r="BN21" s="9"/>
      <c r="BO21" s="9">
        <f t="shared" si="55"/>
        <v>0</v>
      </c>
      <c r="BP21" s="9">
        <f t="shared" si="26"/>
        <v>0</v>
      </c>
      <c r="BQ21" s="9">
        <f t="shared" si="56"/>
        <v>0</v>
      </c>
      <c r="BR21" s="9">
        <f t="shared" si="27"/>
        <v>0</v>
      </c>
      <c r="BS21" s="98">
        <f>82*BS7</f>
        <v>20500</v>
      </c>
      <c r="BT21" s="9">
        <f t="shared" si="28"/>
        <v>42.068703240636353</v>
      </c>
      <c r="BU21" s="9">
        <f t="shared" si="57"/>
        <v>139500</v>
      </c>
      <c r="BV21" s="9">
        <f t="shared" si="29"/>
        <v>22.753642189369476</v>
      </c>
      <c r="BW21" s="98">
        <f>82*BW7</f>
        <v>20542.311999999998</v>
      </c>
      <c r="BX21" s="9">
        <f t="shared" si="30"/>
        <v>42.155533044125022</v>
      </c>
      <c r="BY21" s="9">
        <f t="shared" si="58"/>
        <v>83922.859999999986</v>
      </c>
      <c r="BZ21" s="9">
        <f t="shared" si="31"/>
        <v>13.68853568421898</v>
      </c>
      <c r="CA21" s="98"/>
      <c r="CB21" s="14">
        <f t="shared" si="32"/>
        <v>0</v>
      </c>
      <c r="CC21" s="9">
        <f t="shared" si="59"/>
        <v>285760.98000000004</v>
      </c>
      <c r="CD21" s="9">
        <f t="shared" si="33"/>
        <v>46.610057997158194</v>
      </c>
      <c r="CE21" s="9">
        <f t="shared" si="60"/>
        <v>41042.311999999998</v>
      </c>
      <c r="CF21" s="9">
        <f t="shared" si="34"/>
        <v>84.224236284761361</v>
      </c>
      <c r="CG21" s="9">
        <f t="shared" si="61"/>
        <v>509183.83999999991</v>
      </c>
      <c r="CH21" s="9">
        <f t="shared" si="35"/>
        <v>83.052235870746642</v>
      </c>
      <c r="CI21" s="98"/>
      <c r="CJ21" s="9">
        <f t="shared" si="36"/>
        <v>0</v>
      </c>
      <c r="CK21" s="9">
        <f t="shared" si="62"/>
        <v>0</v>
      </c>
      <c r="CL21" s="9">
        <f t="shared" si="37"/>
        <v>0</v>
      </c>
      <c r="CM21" s="9">
        <f t="shared" si="63"/>
        <v>48729.811999999998</v>
      </c>
      <c r="CN21" s="9">
        <f t="shared" si="64"/>
        <v>613088.66</v>
      </c>
      <c r="CO21" s="9">
        <f t="shared" si="38"/>
        <v>1.1386268196368905</v>
      </c>
      <c r="CP21" s="9">
        <f t="shared" si="39"/>
        <v>1.0436795192618695</v>
      </c>
      <c r="CT21" s="13"/>
      <c r="CU21" s="13"/>
      <c r="CX21" s="13"/>
      <c r="CY21" s="13"/>
    </row>
    <row r="22" spans="1:103">
      <c r="A22" s="15">
        <f>+Chem!A22</f>
        <v>46004</v>
      </c>
      <c r="B22" s="5" t="str">
        <f>+Chem!B22</f>
        <v>Facial</v>
      </c>
      <c r="C22" s="15" t="str">
        <f>+Chem!C22</f>
        <v>12</v>
      </c>
      <c r="D22" s="7">
        <f>+Chem!D22</f>
        <v>49.022999999999996</v>
      </c>
      <c r="E22" s="6">
        <f>+Chem!E22</f>
        <v>48.720999999999997</v>
      </c>
      <c r="F22" s="6">
        <f t="shared" si="40"/>
        <v>636.15099999999995</v>
      </c>
      <c r="G22" s="98"/>
      <c r="H22" s="9">
        <f t="shared" si="0"/>
        <v>0</v>
      </c>
      <c r="I22" s="7">
        <f t="shared" si="41"/>
        <v>0</v>
      </c>
      <c r="J22" s="9">
        <f t="shared" si="1"/>
        <v>0</v>
      </c>
      <c r="K22" s="98">
        <f>31.5*K7</f>
        <v>7875</v>
      </c>
      <c r="L22" s="9">
        <f t="shared" si="2"/>
        <v>15.775763715238631</v>
      </c>
      <c r="M22" s="9">
        <f t="shared" si="42"/>
        <v>43250</v>
      </c>
      <c r="N22" s="9">
        <f t="shared" si="3"/>
        <v>6.5233096692897075</v>
      </c>
      <c r="O22" s="98"/>
      <c r="P22" s="9">
        <f t="shared" si="4"/>
        <v>0</v>
      </c>
      <c r="Q22" s="9">
        <f t="shared" si="43"/>
        <v>0</v>
      </c>
      <c r="R22" s="9">
        <f t="shared" si="5"/>
        <v>0</v>
      </c>
      <c r="S22" s="98"/>
      <c r="T22" s="9">
        <f t="shared" si="6"/>
        <v>0</v>
      </c>
      <c r="U22" s="9">
        <f t="shared" si="44"/>
        <v>65279.820000000007</v>
      </c>
      <c r="V22" s="9">
        <f t="shared" si="7"/>
        <v>9.8460226824391128</v>
      </c>
      <c r="W22" s="98"/>
      <c r="X22" s="9">
        <f t="shared" si="8"/>
        <v>0</v>
      </c>
      <c r="Y22" s="9">
        <f t="shared" si="45"/>
        <v>3250</v>
      </c>
      <c r="Z22" s="9">
        <f t="shared" si="9"/>
        <v>0.49019090000442889</v>
      </c>
      <c r="AA22" s="9">
        <f t="shared" si="46"/>
        <v>7875</v>
      </c>
      <c r="AB22" s="9">
        <f t="shared" si="10"/>
        <v>15.775763715238631</v>
      </c>
      <c r="AC22" s="9">
        <f t="shared" si="47"/>
        <v>111779.82</v>
      </c>
      <c r="AD22" s="9">
        <f t="shared" si="11"/>
        <v>16.859523251733251</v>
      </c>
      <c r="AE22" s="98"/>
      <c r="AF22" s="9"/>
      <c r="AG22" s="9"/>
      <c r="AH22" s="9"/>
      <c r="AI22" s="98"/>
      <c r="AJ22" s="9">
        <f t="shared" si="12"/>
        <v>0</v>
      </c>
      <c r="AK22" s="9">
        <f t="shared" si="48"/>
        <v>0</v>
      </c>
      <c r="AL22" s="9">
        <f t="shared" si="13"/>
        <v>0</v>
      </c>
      <c r="AM22" s="98"/>
      <c r="AN22" s="9">
        <f t="shared" si="14"/>
        <v>0</v>
      </c>
      <c r="AO22" s="9">
        <f t="shared" si="49"/>
        <v>0</v>
      </c>
      <c r="AP22" s="9">
        <f t="shared" si="15"/>
        <v>0</v>
      </c>
      <c r="AQ22" s="98"/>
      <c r="AR22" s="9">
        <f t="shared" si="16"/>
        <v>0</v>
      </c>
      <c r="AS22" s="9">
        <f t="shared" si="50"/>
        <v>0</v>
      </c>
      <c r="AT22" s="9">
        <f t="shared" si="17"/>
        <v>0</v>
      </c>
      <c r="AU22" s="98">
        <v>0</v>
      </c>
      <c r="AV22" s="9">
        <f t="shared" si="18"/>
        <v>0</v>
      </c>
      <c r="AW22" s="9">
        <f t="shared" si="51"/>
        <v>0</v>
      </c>
      <c r="AX22" s="9">
        <f t="shared" si="19"/>
        <v>0</v>
      </c>
      <c r="AY22" s="98"/>
      <c r="AZ22" s="9">
        <f t="shared" si="20"/>
        <v>0</v>
      </c>
      <c r="BA22" s="9">
        <f t="shared" si="52"/>
        <v>0</v>
      </c>
      <c r="BB22" s="9">
        <f t="shared" si="21"/>
        <v>0</v>
      </c>
      <c r="BC22" s="98"/>
      <c r="BD22" s="9">
        <f t="shared" si="22"/>
        <v>0</v>
      </c>
      <c r="BE22" s="9">
        <f t="shared" si="53"/>
        <v>0</v>
      </c>
      <c r="BF22" s="9">
        <f t="shared" si="23"/>
        <v>0</v>
      </c>
      <c r="BG22" s="98"/>
      <c r="BH22" s="9">
        <f t="shared" si="24"/>
        <v>0</v>
      </c>
      <c r="BI22" s="9">
        <f t="shared" si="54"/>
        <v>0</v>
      </c>
      <c r="BJ22" s="9">
        <f t="shared" si="25"/>
        <v>0</v>
      </c>
      <c r="BK22" s="98"/>
      <c r="BL22" s="9"/>
      <c r="BM22" s="9"/>
      <c r="BN22" s="9"/>
      <c r="BO22" s="9">
        <f t="shared" si="55"/>
        <v>0</v>
      </c>
      <c r="BP22" s="9">
        <f t="shared" si="26"/>
        <v>0</v>
      </c>
      <c r="BQ22" s="9">
        <f t="shared" si="56"/>
        <v>0</v>
      </c>
      <c r="BR22" s="9">
        <f t="shared" si="27"/>
        <v>0</v>
      </c>
      <c r="BS22" s="98">
        <f>84*BS7</f>
        <v>21000</v>
      </c>
      <c r="BT22" s="9">
        <f t="shared" si="28"/>
        <v>42.068703240636353</v>
      </c>
      <c r="BU22" s="9">
        <f t="shared" si="57"/>
        <v>160500</v>
      </c>
      <c r="BV22" s="9">
        <f t="shared" si="29"/>
        <v>24.207889061757179</v>
      </c>
      <c r="BW22" s="98">
        <f>84*BW7</f>
        <v>21043.344000000001</v>
      </c>
      <c r="BX22" s="9">
        <f t="shared" si="30"/>
        <v>42.155533044125029</v>
      </c>
      <c r="BY22" s="9">
        <f t="shared" si="58"/>
        <v>104966.20399999998</v>
      </c>
      <c r="BZ22" s="9">
        <f t="shared" si="31"/>
        <v>15.831839387325683</v>
      </c>
      <c r="CA22" s="98"/>
      <c r="CB22" s="14">
        <f t="shared" si="32"/>
        <v>0</v>
      </c>
      <c r="CC22" s="9">
        <f t="shared" si="59"/>
        <v>285760.98000000004</v>
      </c>
      <c r="CD22" s="9">
        <f t="shared" si="33"/>
        <v>43.100748299183884</v>
      </c>
      <c r="CE22" s="9">
        <f t="shared" si="60"/>
        <v>42043.343999999997</v>
      </c>
      <c r="CF22" s="9">
        <f t="shared" si="34"/>
        <v>84.224236284761361</v>
      </c>
      <c r="CG22" s="9">
        <f t="shared" si="61"/>
        <v>551227.18399999989</v>
      </c>
      <c r="CH22" s="9">
        <f t="shared" si="35"/>
        <v>83.140476748266721</v>
      </c>
      <c r="CI22" s="98"/>
      <c r="CJ22" s="9">
        <f t="shared" si="36"/>
        <v>0</v>
      </c>
      <c r="CK22" s="9">
        <f t="shared" si="62"/>
        <v>0</v>
      </c>
      <c r="CL22" s="9">
        <f t="shared" si="37"/>
        <v>0</v>
      </c>
      <c r="CM22" s="9">
        <f t="shared" si="63"/>
        <v>49918.343999999997</v>
      </c>
      <c r="CN22" s="9">
        <f t="shared" si="64"/>
        <v>663007.00400000007</v>
      </c>
      <c r="CO22" s="9">
        <f t="shared" si="38"/>
        <v>1.0245755218488948</v>
      </c>
      <c r="CP22" s="9">
        <f t="shared" si="39"/>
        <v>1.0422163983079491</v>
      </c>
      <c r="CT22" s="13"/>
      <c r="CU22" s="13"/>
      <c r="CX22" s="13"/>
      <c r="CY22" s="13"/>
    </row>
    <row r="23" spans="1:103">
      <c r="A23" s="15">
        <f>+Chem!A23</f>
        <v>46005</v>
      </c>
      <c r="B23" s="5" t="str">
        <f>+Chem!B23</f>
        <v>Facial</v>
      </c>
      <c r="C23" s="15" t="str">
        <f>+Chem!C23</f>
        <v>12/13/11,5</v>
      </c>
      <c r="D23" s="7">
        <f>+Chem!D23</f>
        <v>48.05</v>
      </c>
      <c r="E23" s="6">
        <f>+Chem!E23</f>
        <v>46.695999999999998</v>
      </c>
      <c r="F23" s="6">
        <f t="shared" si="40"/>
        <v>682.84699999999998</v>
      </c>
      <c r="G23" s="98"/>
      <c r="H23" s="9">
        <f t="shared" si="0"/>
        <v>0</v>
      </c>
      <c r="I23" s="7">
        <f t="shared" si="41"/>
        <v>0</v>
      </c>
      <c r="J23" s="9">
        <f t="shared" si="1"/>
        <v>0</v>
      </c>
      <c r="K23" s="98">
        <f>33.75*K7</f>
        <v>8437.5</v>
      </c>
      <c r="L23" s="9">
        <f t="shared" si="2"/>
        <v>16.714260958077485</v>
      </c>
      <c r="M23" s="9">
        <f t="shared" si="42"/>
        <v>51687.5</v>
      </c>
      <c r="N23" s="9">
        <f t="shared" si="3"/>
        <v>7.2443420227670074</v>
      </c>
      <c r="O23" s="98"/>
      <c r="P23" s="9">
        <f t="shared" si="4"/>
        <v>0</v>
      </c>
      <c r="Q23" s="9">
        <f t="shared" si="43"/>
        <v>0</v>
      </c>
      <c r="R23" s="9">
        <f t="shared" si="5"/>
        <v>0</v>
      </c>
      <c r="S23" s="98"/>
      <c r="T23" s="9">
        <f t="shared" si="6"/>
        <v>0</v>
      </c>
      <c r="U23" s="9">
        <f t="shared" si="44"/>
        <v>65279.820000000007</v>
      </c>
      <c r="V23" s="9">
        <f t="shared" si="7"/>
        <v>9.149394791093906</v>
      </c>
      <c r="W23" s="98"/>
      <c r="X23" s="9">
        <f t="shared" si="8"/>
        <v>0</v>
      </c>
      <c r="Y23" s="9">
        <f t="shared" si="45"/>
        <v>3250</v>
      </c>
      <c r="Z23" s="9">
        <f t="shared" si="9"/>
        <v>0.45550880917035591</v>
      </c>
      <c r="AA23" s="9">
        <f t="shared" si="46"/>
        <v>8437.5</v>
      </c>
      <c r="AB23" s="9">
        <f t="shared" si="10"/>
        <v>16.714260958077485</v>
      </c>
      <c r="AC23" s="9">
        <f t="shared" si="47"/>
        <v>120217.32</v>
      </c>
      <c r="AD23" s="9">
        <f t="shared" si="11"/>
        <v>16.849245623031265</v>
      </c>
      <c r="AE23" s="98"/>
      <c r="AF23" s="9"/>
      <c r="AG23" s="9"/>
      <c r="AH23" s="9"/>
      <c r="AI23" s="98"/>
      <c r="AJ23" s="9">
        <f t="shared" si="12"/>
        <v>0</v>
      </c>
      <c r="AK23" s="9">
        <f t="shared" si="48"/>
        <v>0</v>
      </c>
      <c r="AL23" s="9">
        <f t="shared" si="13"/>
        <v>0</v>
      </c>
      <c r="AM23" s="98"/>
      <c r="AN23" s="9">
        <f t="shared" si="14"/>
        <v>0</v>
      </c>
      <c r="AO23" s="9">
        <f t="shared" si="49"/>
        <v>0</v>
      </c>
      <c r="AP23" s="9">
        <f t="shared" si="15"/>
        <v>0</v>
      </c>
      <c r="AQ23" s="98"/>
      <c r="AR23" s="9">
        <f t="shared" si="16"/>
        <v>0</v>
      </c>
      <c r="AS23" s="9">
        <f t="shared" si="50"/>
        <v>0</v>
      </c>
      <c r="AT23" s="9">
        <f t="shared" si="17"/>
        <v>0</v>
      </c>
      <c r="AU23" s="98">
        <v>0</v>
      </c>
      <c r="AV23" s="9">
        <f t="shared" si="18"/>
        <v>0</v>
      </c>
      <c r="AW23" s="9">
        <f t="shared" si="51"/>
        <v>0</v>
      </c>
      <c r="AX23" s="9">
        <f t="shared" si="19"/>
        <v>0</v>
      </c>
      <c r="AY23" s="98"/>
      <c r="AZ23" s="9">
        <f t="shared" si="20"/>
        <v>0</v>
      </c>
      <c r="BA23" s="9">
        <f t="shared" si="52"/>
        <v>0</v>
      </c>
      <c r="BB23" s="9">
        <f t="shared" si="21"/>
        <v>0</v>
      </c>
      <c r="BC23" s="98"/>
      <c r="BD23" s="9">
        <f t="shared" si="22"/>
        <v>0</v>
      </c>
      <c r="BE23" s="9">
        <f t="shared" si="53"/>
        <v>0</v>
      </c>
      <c r="BF23" s="9">
        <f t="shared" si="23"/>
        <v>0</v>
      </c>
      <c r="BG23" s="98"/>
      <c r="BH23" s="9">
        <f t="shared" si="24"/>
        <v>0</v>
      </c>
      <c r="BI23" s="9">
        <f t="shared" si="54"/>
        <v>0</v>
      </c>
      <c r="BJ23" s="9">
        <f t="shared" si="25"/>
        <v>0</v>
      </c>
      <c r="BK23" s="98"/>
      <c r="BL23" s="9"/>
      <c r="BM23" s="9"/>
      <c r="BN23" s="9"/>
      <c r="BO23" s="9">
        <f t="shared" si="55"/>
        <v>0</v>
      </c>
      <c r="BP23" s="9">
        <f t="shared" si="26"/>
        <v>0</v>
      </c>
      <c r="BQ23" s="9">
        <f t="shared" si="56"/>
        <v>0</v>
      </c>
      <c r="BR23" s="9">
        <f t="shared" si="27"/>
        <v>0</v>
      </c>
      <c r="BS23" s="98">
        <f>84*BS7</f>
        <v>21000</v>
      </c>
      <c r="BT23" s="9">
        <f t="shared" si="28"/>
        <v>41.599938384548409</v>
      </c>
      <c r="BU23" s="9">
        <f t="shared" si="57"/>
        <v>181500</v>
      </c>
      <c r="BV23" s="9">
        <f t="shared" si="29"/>
        <v>25.438415035206035</v>
      </c>
      <c r="BW23" s="98">
        <f>84*BW7</f>
        <v>21043.344000000001</v>
      </c>
      <c r="BX23" s="9">
        <f t="shared" si="30"/>
        <v>41.685800657374116</v>
      </c>
      <c r="BY23" s="9">
        <f t="shared" si="58"/>
        <v>126009.54799999998</v>
      </c>
      <c r="BZ23" s="9">
        <f t="shared" si="31"/>
        <v>17.661064354946092</v>
      </c>
      <c r="CA23" s="98"/>
      <c r="CB23" s="14">
        <f t="shared" si="32"/>
        <v>0</v>
      </c>
      <c r="CC23" s="9">
        <f t="shared" si="59"/>
        <v>285760.98000000004</v>
      </c>
      <c r="CD23" s="9">
        <f t="shared" si="33"/>
        <v>40.051274986816594</v>
      </c>
      <c r="CE23" s="9">
        <f t="shared" si="60"/>
        <v>42043.343999999997</v>
      </c>
      <c r="CF23" s="9">
        <f t="shared" si="34"/>
        <v>83.285739041922511</v>
      </c>
      <c r="CG23" s="9">
        <f t="shared" si="61"/>
        <v>593270.52799999993</v>
      </c>
      <c r="CH23" s="9">
        <f t="shared" si="35"/>
        <v>83.150754376968706</v>
      </c>
      <c r="CI23" s="98"/>
      <c r="CJ23" s="9">
        <f t="shared" si="36"/>
        <v>0</v>
      </c>
      <c r="CK23" s="9">
        <f t="shared" si="62"/>
        <v>0</v>
      </c>
      <c r="CL23" s="9">
        <f t="shared" si="37"/>
        <v>0</v>
      </c>
      <c r="CM23" s="9">
        <f t="shared" si="63"/>
        <v>50480.843999999997</v>
      </c>
      <c r="CN23" s="9">
        <f t="shared" si="64"/>
        <v>713487.84800000011</v>
      </c>
      <c r="CO23" s="9">
        <f t="shared" si="38"/>
        <v>1.0810528524927188</v>
      </c>
      <c r="CP23" s="9">
        <f t="shared" si="39"/>
        <v>1.0448722012398093</v>
      </c>
      <c r="CX23" s="13"/>
      <c r="CY23" s="13"/>
    </row>
    <row r="24" spans="1:103">
      <c r="A24" s="15">
        <f>+Chem!A24</f>
        <v>46006</v>
      </c>
      <c r="B24" s="5" t="str">
        <f>+Chem!B24</f>
        <v>Facial</v>
      </c>
      <c r="C24" s="15" t="str">
        <f>+Chem!C24</f>
        <v>11,5</v>
      </c>
      <c r="D24" s="7">
        <f>+Chem!D24</f>
        <v>44.035000000000004</v>
      </c>
      <c r="E24" s="6">
        <f>+Chem!E24</f>
        <v>38.723999999999997</v>
      </c>
      <c r="F24" s="6">
        <f t="shared" si="40"/>
        <v>721.57100000000003</v>
      </c>
      <c r="G24" s="98"/>
      <c r="H24" s="9">
        <f t="shared" si="0"/>
        <v>0</v>
      </c>
      <c r="I24" s="7">
        <f t="shared" si="41"/>
        <v>0</v>
      </c>
      <c r="J24" s="9">
        <f t="shared" si="1"/>
        <v>0</v>
      </c>
      <c r="K24" s="98">
        <f>36*K7</f>
        <v>9000</v>
      </c>
      <c r="L24" s="9">
        <f t="shared" si="2"/>
        <v>19.983501621061649</v>
      </c>
      <c r="M24" s="9">
        <f t="shared" si="42"/>
        <v>60687.5</v>
      </c>
      <c r="N24" s="9">
        <f t="shared" si="3"/>
        <v>8.0007250914603993</v>
      </c>
      <c r="O24" s="98"/>
      <c r="P24" s="9">
        <f t="shared" si="4"/>
        <v>0</v>
      </c>
      <c r="Q24" s="9">
        <f t="shared" si="43"/>
        <v>0</v>
      </c>
      <c r="R24" s="9">
        <f t="shared" si="5"/>
        <v>0</v>
      </c>
      <c r="S24" s="98"/>
      <c r="T24" s="9">
        <f t="shared" si="6"/>
        <v>0</v>
      </c>
      <c r="U24" s="9">
        <f t="shared" si="44"/>
        <v>65279.820000000007</v>
      </c>
      <c r="V24" s="9">
        <f t="shared" si="7"/>
        <v>8.606152730628521</v>
      </c>
      <c r="W24" s="98"/>
      <c r="X24" s="9">
        <f t="shared" si="8"/>
        <v>0</v>
      </c>
      <c r="Y24" s="9">
        <f t="shared" si="45"/>
        <v>3250</v>
      </c>
      <c r="Z24" s="9">
        <f t="shared" si="9"/>
        <v>0.42846313569097916</v>
      </c>
      <c r="AA24" s="9">
        <f t="shared" si="46"/>
        <v>9000</v>
      </c>
      <c r="AB24" s="9">
        <f t="shared" si="10"/>
        <v>19.983501621061649</v>
      </c>
      <c r="AC24" s="9">
        <f t="shared" si="47"/>
        <v>129217.32</v>
      </c>
      <c r="AD24" s="9">
        <f t="shared" si="11"/>
        <v>17.035340957779901</v>
      </c>
      <c r="AE24" s="98"/>
      <c r="AF24" s="9"/>
      <c r="AG24" s="9"/>
      <c r="AH24" s="9"/>
      <c r="AI24" s="98"/>
      <c r="AJ24" s="9">
        <f t="shared" si="12"/>
        <v>0</v>
      </c>
      <c r="AK24" s="9">
        <f t="shared" si="48"/>
        <v>0</v>
      </c>
      <c r="AL24" s="9">
        <f t="shared" si="13"/>
        <v>0</v>
      </c>
      <c r="AM24" s="98"/>
      <c r="AN24" s="9">
        <f t="shared" si="14"/>
        <v>0</v>
      </c>
      <c r="AO24" s="9">
        <f t="shared" si="49"/>
        <v>0</v>
      </c>
      <c r="AP24" s="9">
        <f t="shared" si="15"/>
        <v>0</v>
      </c>
      <c r="AQ24" s="98"/>
      <c r="AR24" s="9">
        <f t="shared" si="16"/>
        <v>0</v>
      </c>
      <c r="AS24" s="9">
        <f t="shared" si="50"/>
        <v>0</v>
      </c>
      <c r="AT24" s="9">
        <f t="shared" si="17"/>
        <v>0</v>
      </c>
      <c r="AU24" s="98">
        <v>0</v>
      </c>
      <c r="AV24" s="9">
        <f t="shared" si="18"/>
        <v>0</v>
      </c>
      <c r="AW24" s="9">
        <f t="shared" si="51"/>
        <v>0</v>
      </c>
      <c r="AX24" s="9">
        <f t="shared" si="19"/>
        <v>0</v>
      </c>
      <c r="AY24" s="98"/>
      <c r="AZ24" s="9">
        <f t="shared" si="20"/>
        <v>0</v>
      </c>
      <c r="BA24" s="9">
        <f t="shared" si="52"/>
        <v>0</v>
      </c>
      <c r="BB24" s="9">
        <f t="shared" si="21"/>
        <v>0</v>
      </c>
      <c r="BC24" s="98"/>
      <c r="BD24" s="9">
        <f t="shared" si="22"/>
        <v>0</v>
      </c>
      <c r="BE24" s="9">
        <f t="shared" si="53"/>
        <v>0</v>
      </c>
      <c r="BF24" s="9">
        <f t="shared" si="23"/>
        <v>0</v>
      </c>
      <c r="BG24" s="98"/>
      <c r="BH24" s="9">
        <f t="shared" si="24"/>
        <v>0</v>
      </c>
      <c r="BI24" s="9">
        <f t="shared" si="54"/>
        <v>0</v>
      </c>
      <c r="BJ24" s="9">
        <f t="shared" si="25"/>
        <v>0</v>
      </c>
      <c r="BK24" s="98"/>
      <c r="BL24" s="9"/>
      <c r="BM24" s="9"/>
      <c r="BN24" s="9"/>
      <c r="BO24" s="9">
        <f t="shared" si="55"/>
        <v>0</v>
      </c>
      <c r="BP24" s="9">
        <f t="shared" si="26"/>
        <v>0</v>
      </c>
      <c r="BQ24" s="9">
        <f t="shared" si="56"/>
        <v>0</v>
      </c>
      <c r="BR24" s="9">
        <f t="shared" si="27"/>
        <v>0</v>
      </c>
      <c r="BS24" s="98">
        <f>72*BS7</f>
        <v>18000</v>
      </c>
      <c r="BT24" s="9">
        <f t="shared" si="28"/>
        <v>39.967003242123297</v>
      </c>
      <c r="BU24" s="9">
        <f t="shared" si="57"/>
        <v>199500</v>
      </c>
      <c r="BV24" s="9">
        <f t="shared" si="29"/>
        <v>26.301044790877025</v>
      </c>
      <c r="BW24" s="98">
        <f>72*BW7</f>
        <v>18037.151999999998</v>
      </c>
      <c r="BX24" s="9">
        <f t="shared" si="30"/>
        <v>40.04949513681504</v>
      </c>
      <c r="BY24" s="9">
        <f t="shared" si="58"/>
        <v>144046.69999999998</v>
      </c>
      <c r="BZ24" s="9">
        <f t="shared" si="31"/>
        <v>18.990369467057771</v>
      </c>
      <c r="CA24" s="98"/>
      <c r="CB24" s="14">
        <f t="shared" si="32"/>
        <v>0</v>
      </c>
      <c r="CC24" s="9">
        <f t="shared" si="59"/>
        <v>285760.98000000004</v>
      </c>
      <c r="CD24" s="9">
        <f t="shared" si="33"/>
        <v>37.673244784285295</v>
      </c>
      <c r="CE24" s="9">
        <f t="shared" si="60"/>
        <v>36037.152000000002</v>
      </c>
      <c r="CF24" s="9">
        <f t="shared" si="34"/>
        <v>80.016498378938351</v>
      </c>
      <c r="CG24" s="9">
        <f t="shared" si="61"/>
        <v>629307.67999999993</v>
      </c>
      <c r="CH24" s="9">
        <f t="shared" si="35"/>
        <v>82.964659042220077</v>
      </c>
      <c r="CI24" s="98"/>
      <c r="CJ24" s="9">
        <f t="shared" si="36"/>
        <v>0</v>
      </c>
      <c r="CK24" s="9">
        <f t="shared" si="62"/>
        <v>0</v>
      </c>
      <c r="CL24" s="9">
        <f t="shared" si="37"/>
        <v>0</v>
      </c>
      <c r="CM24" s="9">
        <f t="shared" si="63"/>
        <v>45037.152000000002</v>
      </c>
      <c r="CN24" s="9">
        <f t="shared" si="64"/>
        <v>758525.00000000012</v>
      </c>
      <c r="CO24" s="9">
        <f t="shared" si="38"/>
        <v>1.1630294391075302</v>
      </c>
      <c r="CP24" s="9">
        <f t="shared" si="39"/>
        <v>1.0512132555216327</v>
      </c>
      <c r="CX24" s="13"/>
      <c r="CY24" s="13"/>
    </row>
    <row r="25" spans="1:103">
      <c r="A25" s="15">
        <f>+Chem!A25</f>
        <v>46007</v>
      </c>
      <c r="B25" s="5" t="str">
        <f>+Chem!B25</f>
        <v>Facial/Toilet</v>
      </c>
      <c r="C25" s="15" t="str">
        <f>+Chem!C25</f>
        <v>11,5/12</v>
      </c>
      <c r="D25" s="7">
        <f>+Chem!D25</f>
        <v>47.820999999999998</v>
      </c>
      <c r="E25" s="6">
        <f>+Chem!E25</f>
        <v>45.914000000000001</v>
      </c>
      <c r="F25" s="6">
        <f t="shared" si="40"/>
        <v>767.48500000000001</v>
      </c>
      <c r="G25" s="98"/>
      <c r="H25" s="9">
        <f t="shared" si="0"/>
        <v>0</v>
      </c>
      <c r="I25" s="7">
        <f t="shared" si="41"/>
        <v>0</v>
      </c>
      <c r="J25" s="9">
        <f t="shared" si="1"/>
        <v>0</v>
      </c>
      <c r="K25" s="98">
        <f>38*K7</f>
        <v>9500</v>
      </c>
      <c r="L25" s="9">
        <f t="shared" si="2"/>
        <v>19.983501621061649</v>
      </c>
      <c r="M25" s="9">
        <f t="shared" si="42"/>
        <v>70187.5</v>
      </c>
      <c r="N25" s="9">
        <f t="shared" si="3"/>
        <v>8.70743280830618</v>
      </c>
      <c r="O25" s="98"/>
      <c r="P25" s="9">
        <f t="shared" si="4"/>
        <v>0</v>
      </c>
      <c r="Q25" s="9">
        <f t="shared" si="43"/>
        <v>0</v>
      </c>
      <c r="R25" s="9">
        <f t="shared" si="5"/>
        <v>0</v>
      </c>
      <c r="S25" s="98"/>
      <c r="T25" s="9">
        <f t="shared" si="6"/>
        <v>0</v>
      </c>
      <c r="U25" s="9">
        <f t="shared" si="44"/>
        <v>65279.820000000007</v>
      </c>
      <c r="V25" s="9">
        <f t="shared" si="7"/>
        <v>8.0985880162183008</v>
      </c>
      <c r="W25" s="98"/>
      <c r="X25" s="9">
        <f t="shared" si="8"/>
        <v>0</v>
      </c>
      <c r="Y25" s="9">
        <f t="shared" si="45"/>
        <v>3250</v>
      </c>
      <c r="Z25" s="9">
        <f t="shared" si="9"/>
        <v>0.40319368302041086</v>
      </c>
      <c r="AA25" s="9">
        <f t="shared" si="46"/>
        <v>9500</v>
      </c>
      <c r="AB25" s="9">
        <f t="shared" si="10"/>
        <v>19.983501621061649</v>
      </c>
      <c r="AC25" s="9">
        <f t="shared" si="47"/>
        <v>138717.32</v>
      </c>
      <c r="AD25" s="9">
        <f t="shared" si="11"/>
        <v>17.209214507544889</v>
      </c>
      <c r="AE25" s="98"/>
      <c r="AF25" s="9"/>
      <c r="AG25" s="9"/>
      <c r="AH25" s="9"/>
      <c r="AI25" s="98"/>
      <c r="AJ25" s="9">
        <f t="shared" si="12"/>
        <v>0</v>
      </c>
      <c r="AK25" s="9">
        <f t="shared" si="48"/>
        <v>0</v>
      </c>
      <c r="AL25" s="9">
        <f t="shared" si="13"/>
        <v>0</v>
      </c>
      <c r="AM25" s="98"/>
      <c r="AN25" s="9">
        <f t="shared" si="14"/>
        <v>0</v>
      </c>
      <c r="AO25" s="9">
        <f t="shared" si="49"/>
        <v>0</v>
      </c>
      <c r="AP25" s="9">
        <f t="shared" si="15"/>
        <v>0</v>
      </c>
      <c r="AQ25" s="98"/>
      <c r="AR25" s="9">
        <f t="shared" si="16"/>
        <v>0</v>
      </c>
      <c r="AS25" s="9">
        <f t="shared" si="50"/>
        <v>0</v>
      </c>
      <c r="AT25" s="9">
        <f t="shared" si="17"/>
        <v>0</v>
      </c>
      <c r="AU25" s="98">
        <v>0</v>
      </c>
      <c r="AV25" s="9">
        <f t="shared" si="18"/>
        <v>0</v>
      </c>
      <c r="AW25" s="9">
        <f t="shared" si="51"/>
        <v>0</v>
      </c>
      <c r="AX25" s="9">
        <f t="shared" si="19"/>
        <v>0</v>
      </c>
      <c r="AY25" s="98"/>
      <c r="AZ25" s="9">
        <f t="shared" si="20"/>
        <v>0</v>
      </c>
      <c r="BA25" s="9">
        <f t="shared" si="52"/>
        <v>0</v>
      </c>
      <c r="BB25" s="9">
        <f t="shared" si="21"/>
        <v>0</v>
      </c>
      <c r="BC25" s="98"/>
      <c r="BD25" s="9">
        <f t="shared" si="22"/>
        <v>0</v>
      </c>
      <c r="BE25" s="9">
        <f t="shared" si="53"/>
        <v>0</v>
      </c>
      <c r="BF25" s="9">
        <f t="shared" si="23"/>
        <v>0</v>
      </c>
      <c r="BG25" s="98"/>
      <c r="BH25" s="9">
        <f t="shared" si="24"/>
        <v>0</v>
      </c>
      <c r="BI25" s="9">
        <f t="shared" si="54"/>
        <v>0</v>
      </c>
      <c r="BJ25" s="9">
        <f t="shared" si="25"/>
        <v>0</v>
      </c>
      <c r="BK25" s="98"/>
      <c r="BL25" s="9"/>
      <c r="BM25" s="9"/>
      <c r="BN25" s="9"/>
      <c r="BO25" s="9">
        <f>AI25+AM25+AQ25+AU25+AY25+BC25+BG25</f>
        <v>0</v>
      </c>
      <c r="BP25" s="9">
        <f t="shared" si="26"/>
        <v>0</v>
      </c>
      <c r="BQ25" s="9">
        <f t="shared" si="56"/>
        <v>0</v>
      </c>
      <c r="BR25" s="9">
        <f t="shared" si="27"/>
        <v>0</v>
      </c>
      <c r="BS25" s="98">
        <f>76*BS7</f>
        <v>19000</v>
      </c>
      <c r="BT25" s="9">
        <f t="shared" si="28"/>
        <v>39.967003242123297</v>
      </c>
      <c r="BU25" s="9">
        <f t="shared" si="57"/>
        <v>218500</v>
      </c>
      <c r="BV25" s="9">
        <f t="shared" si="29"/>
        <v>27.107021458449161</v>
      </c>
      <c r="BW25" s="98">
        <f>76*BW7</f>
        <v>19039.216</v>
      </c>
      <c r="BX25" s="9">
        <f t="shared" si="30"/>
        <v>40.049495136815047</v>
      </c>
      <c r="BY25" s="9">
        <f t="shared" si="58"/>
        <v>163085.91599999997</v>
      </c>
      <c r="BZ25" s="9">
        <f t="shared" si="31"/>
        <v>20.232372652553025</v>
      </c>
      <c r="CA25" s="98"/>
      <c r="CB25" s="14">
        <f t="shared" si="32"/>
        <v>0</v>
      </c>
      <c r="CC25" s="9">
        <f t="shared" si="59"/>
        <v>285760.98000000004</v>
      </c>
      <c r="CD25" s="9">
        <f t="shared" si="33"/>
        <v>35.451391381452915</v>
      </c>
      <c r="CE25" s="9">
        <f t="shared" si="60"/>
        <v>38039.216</v>
      </c>
      <c r="CF25" s="9">
        <f t="shared" si="34"/>
        <v>80.016498378938351</v>
      </c>
      <c r="CG25" s="9">
        <f t="shared" si="61"/>
        <v>667346.89599999995</v>
      </c>
      <c r="CH25" s="9">
        <f t="shared" si="35"/>
        <v>82.790785492455086</v>
      </c>
      <c r="CI25" s="98"/>
      <c r="CJ25" s="9">
        <f t="shared" si="36"/>
        <v>0</v>
      </c>
      <c r="CK25" s="9">
        <f t="shared" si="62"/>
        <v>0</v>
      </c>
      <c r="CL25" s="9">
        <f t="shared" si="37"/>
        <v>0</v>
      </c>
      <c r="CM25" s="9">
        <f t="shared" si="63"/>
        <v>47539.216</v>
      </c>
      <c r="CN25" s="9">
        <f t="shared" si="64"/>
        <v>806064.21600000013</v>
      </c>
      <c r="CO25" s="9">
        <f t="shared" si="38"/>
        <v>1.0353969595330401</v>
      </c>
      <c r="CP25" s="9">
        <f t="shared" si="39"/>
        <v>1.0502670618969754</v>
      </c>
      <c r="CX25" s="13"/>
      <c r="CY25" s="13"/>
    </row>
    <row r="26" spans="1:103">
      <c r="A26" s="15">
        <f>+Chem!A26</f>
        <v>46008</v>
      </c>
      <c r="B26" s="5" t="str">
        <f>+Chem!B26</f>
        <v>Toilet</v>
      </c>
      <c r="C26" s="15" t="str">
        <f>+Chem!C26</f>
        <v>12/17/18</v>
      </c>
      <c r="D26" s="7">
        <f>+Chem!D26</f>
        <v>52.367000000000004</v>
      </c>
      <c r="E26" s="6">
        <f>+Chem!E26</f>
        <v>53.536000000000001</v>
      </c>
      <c r="F26" s="6">
        <f t="shared" si="40"/>
        <v>821.02099999999996</v>
      </c>
      <c r="G26" s="98"/>
      <c r="H26" s="9">
        <f t="shared" si="0"/>
        <v>0</v>
      </c>
      <c r="I26" s="7">
        <f t="shared" si="41"/>
        <v>0</v>
      </c>
      <c r="J26" s="9">
        <f t="shared" si="1"/>
        <v>0</v>
      </c>
      <c r="K26" s="98">
        <f>37*K7</f>
        <v>9250</v>
      </c>
      <c r="L26" s="9">
        <f t="shared" si="2"/>
        <v>16.430276726358485</v>
      </c>
      <c r="M26" s="9">
        <f t="shared" si="42"/>
        <v>79437.5</v>
      </c>
      <c r="N26" s="9">
        <f t="shared" si="3"/>
        <v>9.2116110956187889</v>
      </c>
      <c r="O26" s="98"/>
      <c r="P26" s="9">
        <f t="shared" si="4"/>
        <v>0</v>
      </c>
      <c r="Q26" s="9">
        <f t="shared" si="43"/>
        <v>0</v>
      </c>
      <c r="R26" s="9">
        <f t="shared" si="5"/>
        <v>0</v>
      </c>
      <c r="S26" s="98"/>
      <c r="T26" s="9">
        <f t="shared" si="6"/>
        <v>0</v>
      </c>
      <c r="U26" s="9">
        <f t="shared" si="44"/>
        <v>65279.820000000007</v>
      </c>
      <c r="V26" s="9">
        <f t="shared" si="7"/>
        <v>7.5698796441478828</v>
      </c>
      <c r="W26" s="98"/>
      <c r="X26" s="9">
        <f t="shared" si="8"/>
        <v>0</v>
      </c>
      <c r="Y26" s="9">
        <f t="shared" si="45"/>
        <v>3250</v>
      </c>
      <c r="Z26" s="9">
        <f t="shared" si="9"/>
        <v>0.37687157904970653</v>
      </c>
      <c r="AA26" s="9">
        <f t="shared" si="46"/>
        <v>9250</v>
      </c>
      <c r="AB26" s="9">
        <f t="shared" si="10"/>
        <v>16.430276726358485</v>
      </c>
      <c r="AC26" s="9">
        <f t="shared" si="47"/>
        <v>147967.32</v>
      </c>
      <c r="AD26" s="9">
        <f t="shared" si="11"/>
        <v>17.15836231881638</v>
      </c>
      <c r="AE26" s="98"/>
      <c r="AF26" s="9"/>
      <c r="AG26" s="9"/>
      <c r="AH26" s="9"/>
      <c r="AI26" s="98"/>
      <c r="AJ26" s="9">
        <f t="shared" si="12"/>
        <v>0</v>
      </c>
      <c r="AK26" s="9">
        <f t="shared" si="48"/>
        <v>0</v>
      </c>
      <c r="AL26" s="9">
        <f t="shared" si="13"/>
        <v>0</v>
      </c>
      <c r="AM26" s="98"/>
      <c r="AN26" s="9">
        <f t="shared" si="14"/>
        <v>0</v>
      </c>
      <c r="AO26" s="9">
        <f t="shared" si="49"/>
        <v>0</v>
      </c>
      <c r="AP26" s="9">
        <f t="shared" si="15"/>
        <v>0</v>
      </c>
      <c r="AQ26" s="98"/>
      <c r="AR26" s="9">
        <f t="shared" si="16"/>
        <v>0</v>
      </c>
      <c r="AS26" s="9">
        <f t="shared" si="50"/>
        <v>0</v>
      </c>
      <c r="AT26" s="9">
        <f t="shared" si="17"/>
        <v>0</v>
      </c>
      <c r="AU26" s="98">
        <v>0</v>
      </c>
      <c r="AV26" s="9">
        <f t="shared" si="18"/>
        <v>0</v>
      </c>
      <c r="AW26" s="9">
        <f t="shared" si="51"/>
        <v>0</v>
      </c>
      <c r="AX26" s="9">
        <f t="shared" si="19"/>
        <v>0</v>
      </c>
      <c r="AY26" s="98"/>
      <c r="AZ26" s="9">
        <f t="shared" si="20"/>
        <v>0</v>
      </c>
      <c r="BA26" s="9">
        <f t="shared" si="52"/>
        <v>0</v>
      </c>
      <c r="BB26" s="9">
        <f t="shared" si="21"/>
        <v>0</v>
      </c>
      <c r="BC26" s="98"/>
      <c r="BD26" s="9">
        <f t="shared" si="22"/>
        <v>0</v>
      </c>
      <c r="BE26" s="9">
        <f t="shared" si="53"/>
        <v>0</v>
      </c>
      <c r="BF26" s="9">
        <f t="shared" si="23"/>
        <v>0</v>
      </c>
      <c r="BG26" s="98"/>
      <c r="BH26" s="9">
        <f t="shared" si="24"/>
        <v>0</v>
      </c>
      <c r="BI26" s="9">
        <f t="shared" si="54"/>
        <v>0</v>
      </c>
      <c r="BJ26" s="9">
        <f t="shared" si="25"/>
        <v>0</v>
      </c>
      <c r="BK26" s="98"/>
      <c r="BL26" s="9"/>
      <c r="BM26" s="9"/>
      <c r="BN26" s="9"/>
      <c r="BO26" s="9">
        <f t="shared" si="55"/>
        <v>0</v>
      </c>
      <c r="BP26" s="9">
        <f t="shared" si="26"/>
        <v>0</v>
      </c>
      <c r="BQ26" s="9">
        <f t="shared" si="56"/>
        <v>0</v>
      </c>
      <c r="BR26" s="9">
        <f t="shared" si="27"/>
        <v>0</v>
      </c>
      <c r="BS26" s="98">
        <f>94*BS7</f>
        <v>23500</v>
      </c>
      <c r="BT26" s="9">
        <f t="shared" si="28"/>
        <v>41.741784115613441</v>
      </c>
      <c r="BU26" s="9">
        <f t="shared" si="57"/>
        <v>242000</v>
      </c>
      <c r="BV26" s="9">
        <f t="shared" si="29"/>
        <v>28.062437578470455</v>
      </c>
      <c r="BW26" s="98">
        <f>94*BW7</f>
        <v>23548.504000000001</v>
      </c>
      <c r="BX26" s="9">
        <f t="shared" si="30"/>
        <v>41.827939158028073</v>
      </c>
      <c r="BY26" s="9">
        <f t="shared" si="58"/>
        <v>186634.41999999998</v>
      </c>
      <c r="BZ26" s="9">
        <f t="shared" si="31"/>
        <v>21.642218021669578</v>
      </c>
      <c r="CA26" s="98"/>
      <c r="CB26" s="14">
        <f t="shared" si="32"/>
        <v>0</v>
      </c>
      <c r="CC26" s="9">
        <f t="shared" si="59"/>
        <v>285760.98000000004</v>
      </c>
      <c r="CD26" s="9">
        <f t="shared" si="33"/>
        <v>33.136982081043584</v>
      </c>
      <c r="CE26" s="9">
        <f t="shared" si="60"/>
        <v>47048.504000000001</v>
      </c>
      <c r="CF26" s="9">
        <f t="shared" si="34"/>
        <v>83.569723273641515</v>
      </c>
      <c r="CG26" s="9">
        <f t="shared" si="61"/>
        <v>714395.39999999991</v>
      </c>
      <c r="CH26" s="9">
        <f t="shared" si="35"/>
        <v>82.841637681183599</v>
      </c>
      <c r="CI26" s="98"/>
      <c r="CJ26" s="9">
        <f t="shared" si="36"/>
        <v>0</v>
      </c>
      <c r="CK26" s="9">
        <f t="shared" si="62"/>
        <v>0</v>
      </c>
      <c r="CL26" s="9">
        <f t="shared" si="37"/>
        <v>0</v>
      </c>
      <c r="CM26" s="9">
        <f t="shared" si="63"/>
        <v>56298.504000000001</v>
      </c>
      <c r="CN26" s="9">
        <f t="shared" si="64"/>
        <v>862362.72000000009</v>
      </c>
      <c r="CO26" s="9">
        <f t="shared" si="38"/>
        <v>1.0516008667065153</v>
      </c>
      <c r="CP26" s="9">
        <f t="shared" si="39"/>
        <v>1.0503540347932636</v>
      </c>
      <c r="CR26" s="13"/>
      <c r="CX26" s="13"/>
    </row>
    <row r="27" spans="1:103">
      <c r="A27" s="15">
        <f>+Chem!A27</f>
        <v>46009</v>
      </c>
      <c r="B27" s="5" t="str">
        <f>+Chem!B27</f>
        <v>Toilet</v>
      </c>
      <c r="C27" s="15" t="str">
        <f>+Chem!C27</f>
        <v>18</v>
      </c>
      <c r="D27" s="7">
        <f>+Chem!D27</f>
        <v>56.114000000000004</v>
      </c>
      <c r="E27" s="6">
        <f>+Chem!E27</f>
        <v>51.192999999999998</v>
      </c>
      <c r="F27" s="6">
        <f t="shared" si="40"/>
        <v>872.21399999999994</v>
      </c>
      <c r="G27" s="98"/>
      <c r="H27" s="9">
        <f t="shared" si="0"/>
        <v>0</v>
      </c>
      <c r="I27" s="7">
        <f t="shared" si="41"/>
        <v>0</v>
      </c>
      <c r="J27" s="9">
        <f t="shared" si="1"/>
        <v>0</v>
      </c>
      <c r="K27" s="98">
        <f>40.5*K7</f>
        <v>10125</v>
      </c>
      <c r="L27" s="9">
        <f t="shared" si="2"/>
        <v>15.775763715238631</v>
      </c>
      <c r="M27" s="9">
        <f t="shared" si="42"/>
        <v>89562.5</v>
      </c>
      <c r="N27" s="9">
        <f t="shared" si="3"/>
        <v>9.6663033118766375</v>
      </c>
      <c r="O27" s="98"/>
      <c r="P27" s="9">
        <f t="shared" si="4"/>
        <v>0</v>
      </c>
      <c r="Q27" s="9">
        <f t="shared" si="43"/>
        <v>0</v>
      </c>
      <c r="R27" s="9">
        <f t="shared" si="5"/>
        <v>0</v>
      </c>
      <c r="S27" s="98"/>
      <c r="T27" s="9">
        <f t="shared" si="6"/>
        <v>0</v>
      </c>
      <c r="U27" s="9">
        <f t="shared" si="44"/>
        <v>65279.820000000007</v>
      </c>
      <c r="V27" s="9">
        <f t="shared" si="7"/>
        <v>7.0455217335906299</v>
      </c>
      <c r="W27" s="98"/>
      <c r="X27" s="9">
        <f t="shared" si="8"/>
        <v>0</v>
      </c>
      <c r="Y27" s="9">
        <f t="shared" si="45"/>
        <v>3250</v>
      </c>
      <c r="Z27" s="9">
        <f t="shared" si="9"/>
        <v>0.35076606574848929</v>
      </c>
      <c r="AA27" s="9">
        <f t="shared" si="46"/>
        <v>10125</v>
      </c>
      <c r="AB27" s="9">
        <f t="shared" si="10"/>
        <v>15.775763715238631</v>
      </c>
      <c r="AC27" s="9">
        <f t="shared" si="47"/>
        <v>158092.32</v>
      </c>
      <c r="AD27" s="9">
        <f t="shared" si="11"/>
        <v>17.06259111121576</v>
      </c>
      <c r="AE27" s="98"/>
      <c r="AF27" s="9"/>
      <c r="AG27" s="9"/>
      <c r="AH27" s="9"/>
      <c r="AI27" s="98"/>
      <c r="AJ27" s="9">
        <f t="shared" si="12"/>
        <v>0</v>
      </c>
      <c r="AK27" s="9">
        <f t="shared" si="48"/>
        <v>0</v>
      </c>
      <c r="AL27" s="9">
        <f t="shared" si="13"/>
        <v>0</v>
      </c>
      <c r="AM27" s="98"/>
      <c r="AN27" s="9">
        <f t="shared" si="14"/>
        <v>0</v>
      </c>
      <c r="AO27" s="9">
        <f t="shared" si="49"/>
        <v>0</v>
      </c>
      <c r="AP27" s="9">
        <f t="shared" si="15"/>
        <v>0</v>
      </c>
      <c r="AQ27" s="98"/>
      <c r="AR27" s="9">
        <f t="shared" si="16"/>
        <v>0</v>
      </c>
      <c r="AS27" s="9">
        <f t="shared" si="50"/>
        <v>0</v>
      </c>
      <c r="AT27" s="9">
        <f t="shared" si="17"/>
        <v>0</v>
      </c>
      <c r="AU27" s="98">
        <v>0</v>
      </c>
      <c r="AV27" s="9">
        <f t="shared" si="18"/>
        <v>0</v>
      </c>
      <c r="AW27" s="9">
        <f t="shared" si="51"/>
        <v>0</v>
      </c>
      <c r="AX27" s="9">
        <f t="shared" si="19"/>
        <v>0</v>
      </c>
      <c r="AY27" s="98"/>
      <c r="AZ27" s="9">
        <f t="shared" si="20"/>
        <v>0</v>
      </c>
      <c r="BA27" s="9">
        <f t="shared" si="52"/>
        <v>0</v>
      </c>
      <c r="BB27" s="9">
        <f t="shared" si="21"/>
        <v>0</v>
      </c>
      <c r="BC27" s="98"/>
      <c r="BD27" s="9">
        <f t="shared" si="22"/>
        <v>0</v>
      </c>
      <c r="BE27" s="9">
        <f t="shared" si="53"/>
        <v>0</v>
      </c>
      <c r="BF27" s="9">
        <f t="shared" si="23"/>
        <v>0</v>
      </c>
      <c r="BG27" s="98"/>
      <c r="BH27" s="9">
        <f t="shared" si="24"/>
        <v>0</v>
      </c>
      <c r="BI27" s="9">
        <f t="shared" si="54"/>
        <v>0</v>
      </c>
      <c r="BJ27" s="9">
        <f t="shared" si="25"/>
        <v>0</v>
      </c>
      <c r="BK27" s="98"/>
      <c r="BL27" s="9"/>
      <c r="BM27" s="9"/>
      <c r="BN27" s="9"/>
      <c r="BO27" s="9">
        <f t="shared" si="55"/>
        <v>0</v>
      </c>
      <c r="BP27" s="9">
        <f t="shared" si="26"/>
        <v>0</v>
      </c>
      <c r="BQ27" s="9">
        <f t="shared" si="56"/>
        <v>0</v>
      </c>
      <c r="BR27" s="9">
        <f t="shared" si="27"/>
        <v>0</v>
      </c>
      <c r="BS27" s="98">
        <f>108*BS7</f>
        <v>27000</v>
      </c>
      <c r="BT27" s="9">
        <f t="shared" si="28"/>
        <v>42.068703240636346</v>
      </c>
      <c r="BU27" s="9">
        <f t="shared" si="57"/>
        <v>269000</v>
      </c>
      <c r="BV27" s="9">
        <f t="shared" si="29"/>
        <v>29.032637441951881</v>
      </c>
      <c r="BW27" s="98">
        <f>108*BW7</f>
        <v>27055.727999999999</v>
      </c>
      <c r="BX27" s="9">
        <f t="shared" si="30"/>
        <v>42.155533044125022</v>
      </c>
      <c r="BY27" s="9">
        <f t="shared" si="58"/>
        <v>213690.14799999999</v>
      </c>
      <c r="BZ27" s="9">
        <f t="shared" si="31"/>
        <v>23.063154616360741</v>
      </c>
      <c r="CA27" s="98"/>
      <c r="CB27" s="14">
        <f t="shared" si="32"/>
        <v>0</v>
      </c>
      <c r="CC27" s="9">
        <f t="shared" si="59"/>
        <v>285760.98000000004</v>
      </c>
      <c r="CD27" s="9">
        <f t="shared" si="33"/>
        <v>30.841616830471612</v>
      </c>
      <c r="CE27" s="9">
        <f t="shared" si="60"/>
        <v>54055.728000000003</v>
      </c>
      <c r="CF27" s="9">
        <f t="shared" si="34"/>
        <v>84.224236284761361</v>
      </c>
      <c r="CG27" s="9">
        <f t="shared" si="61"/>
        <v>768451.12799999991</v>
      </c>
      <c r="CH27" s="9">
        <f t="shared" si="35"/>
        <v>82.937408888784219</v>
      </c>
      <c r="CI27" s="98"/>
      <c r="CJ27" s="9">
        <f t="shared" si="36"/>
        <v>0</v>
      </c>
      <c r="CK27" s="9">
        <f t="shared" si="62"/>
        <v>0</v>
      </c>
      <c r="CL27" s="9">
        <f t="shared" si="37"/>
        <v>0</v>
      </c>
      <c r="CM27" s="9">
        <f t="shared" si="63"/>
        <v>64180.728000000003</v>
      </c>
      <c r="CN27" s="9">
        <f t="shared" si="64"/>
        <v>926543.44800000009</v>
      </c>
      <c r="CO27" s="9">
        <f t="shared" si="38"/>
        <v>1.2537012482175298</v>
      </c>
      <c r="CP27" s="9">
        <f t="shared" si="39"/>
        <v>1.062289126292401</v>
      </c>
      <c r="CX27" s="13"/>
    </row>
    <row r="28" spans="1:103">
      <c r="A28" s="15">
        <f>+Chem!A28</f>
        <v>46010</v>
      </c>
      <c r="B28" s="5" t="str">
        <f>+Chem!B28</f>
        <v>Toilet</v>
      </c>
      <c r="C28" s="15" t="str">
        <f>+Chem!C28</f>
        <v>18/16</v>
      </c>
      <c r="D28" s="7">
        <f>+Chem!D28</f>
        <v>59.561999999999998</v>
      </c>
      <c r="E28" s="6">
        <f>+Chem!E28</f>
        <v>55.948</v>
      </c>
      <c r="F28" s="6">
        <f t="shared" si="40"/>
        <v>928.16199999999992</v>
      </c>
      <c r="G28" s="98"/>
      <c r="H28" s="9">
        <f t="shared" si="0"/>
        <v>0</v>
      </c>
      <c r="I28" s="7">
        <f t="shared" si="41"/>
        <v>0</v>
      </c>
      <c r="J28" s="9">
        <f t="shared" si="1"/>
        <v>0</v>
      </c>
      <c r="K28" s="98">
        <f>37.5*K7</f>
        <v>9375</v>
      </c>
      <c r="L28" s="9">
        <f t="shared" si="2"/>
        <v>15.775763715238631</v>
      </c>
      <c r="M28" s="9">
        <f t="shared" si="42"/>
        <v>98937.5</v>
      </c>
      <c r="N28" s="9">
        <f t="shared" si="3"/>
        <v>10.034534030794411</v>
      </c>
      <c r="O28" s="98"/>
      <c r="P28" s="9">
        <f t="shared" si="4"/>
        <v>0</v>
      </c>
      <c r="Q28" s="9">
        <f t="shared" si="43"/>
        <v>0</v>
      </c>
      <c r="R28" s="9">
        <f t="shared" si="5"/>
        <v>0</v>
      </c>
      <c r="S28" s="98"/>
      <c r="T28" s="9">
        <f t="shared" si="6"/>
        <v>0</v>
      </c>
      <c r="U28" s="9">
        <f t="shared" si="44"/>
        <v>65279.820000000007</v>
      </c>
      <c r="V28" s="9">
        <f t="shared" si="7"/>
        <v>6.6208725237057102</v>
      </c>
      <c r="W28" s="98"/>
      <c r="X28" s="9">
        <f t="shared" si="8"/>
        <v>0</v>
      </c>
      <c r="Y28" s="9">
        <f t="shared" si="45"/>
        <v>3250</v>
      </c>
      <c r="Z28" s="9">
        <f t="shared" si="9"/>
        <v>0.32962461756241906</v>
      </c>
      <c r="AA28" s="9">
        <f t="shared" si="46"/>
        <v>9375</v>
      </c>
      <c r="AB28" s="9">
        <f t="shared" si="10"/>
        <v>15.775763715238631</v>
      </c>
      <c r="AC28" s="9">
        <f t="shared" si="47"/>
        <v>167467.32</v>
      </c>
      <c r="AD28" s="9">
        <f t="shared" si="11"/>
        <v>16.985031172062541</v>
      </c>
      <c r="AE28" s="98"/>
      <c r="AF28" s="9"/>
      <c r="AG28" s="9"/>
      <c r="AH28" s="9"/>
      <c r="AI28" s="98"/>
      <c r="AJ28" s="9">
        <f t="shared" si="12"/>
        <v>0</v>
      </c>
      <c r="AK28" s="9">
        <f t="shared" si="48"/>
        <v>0</v>
      </c>
      <c r="AL28" s="9">
        <f t="shared" si="13"/>
        <v>0</v>
      </c>
      <c r="AM28" s="98"/>
      <c r="AN28" s="9">
        <f t="shared" si="14"/>
        <v>0</v>
      </c>
      <c r="AO28" s="9">
        <f t="shared" si="49"/>
        <v>0</v>
      </c>
      <c r="AP28" s="9">
        <f t="shared" si="15"/>
        <v>0</v>
      </c>
      <c r="AQ28" s="98"/>
      <c r="AR28" s="9">
        <f t="shared" si="16"/>
        <v>0</v>
      </c>
      <c r="AS28" s="9">
        <f t="shared" si="50"/>
        <v>0</v>
      </c>
      <c r="AT28" s="9">
        <f t="shared" si="17"/>
        <v>0</v>
      </c>
      <c r="AU28" s="98">
        <v>0</v>
      </c>
      <c r="AV28" s="9">
        <f t="shared" si="18"/>
        <v>0</v>
      </c>
      <c r="AW28" s="9">
        <f t="shared" si="51"/>
        <v>0</v>
      </c>
      <c r="AX28" s="9">
        <f t="shared" si="19"/>
        <v>0</v>
      </c>
      <c r="AY28" s="98"/>
      <c r="AZ28" s="9">
        <f t="shared" si="20"/>
        <v>0</v>
      </c>
      <c r="BA28" s="9">
        <f t="shared" si="52"/>
        <v>0</v>
      </c>
      <c r="BB28" s="9">
        <f t="shared" si="21"/>
        <v>0</v>
      </c>
      <c r="BC28" s="98"/>
      <c r="BD28" s="9">
        <f t="shared" si="22"/>
        <v>0</v>
      </c>
      <c r="BE28" s="9">
        <f t="shared" si="53"/>
        <v>0</v>
      </c>
      <c r="BF28" s="9">
        <f t="shared" si="23"/>
        <v>0</v>
      </c>
      <c r="BG28" s="98"/>
      <c r="BH28" s="9">
        <f t="shared" si="24"/>
        <v>0</v>
      </c>
      <c r="BI28" s="9">
        <f t="shared" si="54"/>
        <v>0</v>
      </c>
      <c r="BJ28" s="9">
        <f t="shared" si="25"/>
        <v>0</v>
      </c>
      <c r="BK28" s="98"/>
      <c r="BL28" s="9"/>
      <c r="BM28" s="9"/>
      <c r="BN28" s="9"/>
      <c r="BO28" s="9">
        <f t="shared" si="55"/>
        <v>0</v>
      </c>
      <c r="BP28" s="9">
        <f t="shared" si="26"/>
        <v>0</v>
      </c>
      <c r="BQ28" s="9">
        <f t="shared" si="56"/>
        <v>0</v>
      </c>
      <c r="BR28" s="9">
        <f t="shared" si="27"/>
        <v>0</v>
      </c>
      <c r="BS28" s="98">
        <f>100*BS7</f>
        <v>25000</v>
      </c>
      <c r="BT28" s="9">
        <f t="shared" si="28"/>
        <v>42.068703240636353</v>
      </c>
      <c r="BU28" s="9">
        <f t="shared" si="57"/>
        <v>294000</v>
      </c>
      <c r="BV28" s="9">
        <f t="shared" si="29"/>
        <v>29.81835001949268</v>
      </c>
      <c r="BW28" s="98">
        <f>100*BW7</f>
        <v>25051.599999999999</v>
      </c>
      <c r="BX28" s="9">
        <f t="shared" si="30"/>
        <v>42.155533044125022</v>
      </c>
      <c r="BY28" s="9">
        <f t="shared" si="58"/>
        <v>238741.74799999999</v>
      </c>
      <c r="BZ28" s="9">
        <f t="shared" si="31"/>
        <v>24.213894578671823</v>
      </c>
      <c r="CA28" s="98"/>
      <c r="CB28" s="14">
        <f t="shared" si="32"/>
        <v>0</v>
      </c>
      <c r="CC28" s="9">
        <f t="shared" si="59"/>
        <v>285760.98000000004</v>
      </c>
      <c r="CD28" s="9">
        <f t="shared" si="33"/>
        <v>28.982724229772955</v>
      </c>
      <c r="CE28" s="9">
        <f t="shared" si="60"/>
        <v>50051.6</v>
      </c>
      <c r="CF28" s="9">
        <f t="shared" si="34"/>
        <v>84.224236284761361</v>
      </c>
      <c r="CG28" s="9">
        <f t="shared" si="61"/>
        <v>818502.72799999989</v>
      </c>
      <c r="CH28" s="9">
        <f t="shared" si="35"/>
        <v>83.014968827937437</v>
      </c>
      <c r="CI28" s="98"/>
      <c r="CJ28" s="9">
        <f t="shared" si="36"/>
        <v>0</v>
      </c>
      <c r="CK28" s="9">
        <f t="shared" si="62"/>
        <v>0</v>
      </c>
      <c r="CL28" s="9">
        <f t="shared" si="37"/>
        <v>0</v>
      </c>
      <c r="CM28" s="9">
        <f t="shared" si="63"/>
        <v>59426.6</v>
      </c>
      <c r="CN28" s="9">
        <f t="shared" si="64"/>
        <v>985970.04800000007</v>
      </c>
      <c r="CO28" s="9">
        <f t="shared" si="38"/>
        <v>1.0621755916207907</v>
      </c>
      <c r="CP28" s="9">
        <f t="shared" si="39"/>
        <v>1.062282282618767</v>
      </c>
      <c r="CX28" s="13"/>
    </row>
    <row r="29" spans="1:103">
      <c r="A29" s="15">
        <f>+Chem!A29</f>
        <v>46011</v>
      </c>
      <c r="B29" s="5" t="str">
        <f>+Chem!B29</f>
        <v>Toilet</v>
      </c>
      <c r="C29" s="15" t="str">
        <f>+Chem!C29</f>
        <v>16/15</v>
      </c>
      <c r="D29" s="7">
        <f>+Chem!D29</f>
        <v>54.966999999999999</v>
      </c>
      <c r="E29" s="6">
        <f>+Chem!E29</f>
        <v>61.436999999999998</v>
      </c>
      <c r="F29" s="6">
        <f t="shared" si="40"/>
        <v>989.59899999999993</v>
      </c>
      <c r="G29" s="98"/>
      <c r="H29" s="9">
        <f t="shared" si="0"/>
        <v>0</v>
      </c>
      <c r="I29" s="7">
        <f t="shared" si="41"/>
        <v>0</v>
      </c>
      <c r="J29" s="9">
        <f t="shared" si="1"/>
        <v>0</v>
      </c>
      <c r="K29" s="98">
        <f>36.75*K7</f>
        <v>9187.5</v>
      </c>
      <c r="L29" s="9">
        <f t="shared" si="2"/>
        <v>15.775763715238631</v>
      </c>
      <c r="M29" s="9">
        <f t="shared" si="42"/>
        <v>108125</v>
      </c>
      <c r="N29" s="9">
        <f t="shared" si="3"/>
        <v>10.354736603100678</v>
      </c>
      <c r="O29" s="98"/>
      <c r="P29" s="9">
        <f t="shared" si="4"/>
        <v>0</v>
      </c>
      <c r="Q29" s="9">
        <f t="shared" si="43"/>
        <v>0</v>
      </c>
      <c r="R29" s="9">
        <f t="shared" si="5"/>
        <v>0</v>
      </c>
      <c r="S29" s="98"/>
      <c r="T29" s="9">
        <f t="shared" si="6"/>
        <v>0</v>
      </c>
      <c r="U29" s="9">
        <f t="shared" si="44"/>
        <v>65279.820000000007</v>
      </c>
      <c r="V29" s="9">
        <f t="shared" si="7"/>
        <v>6.251610095702417</v>
      </c>
      <c r="W29" s="98"/>
      <c r="X29" s="9">
        <f t="shared" si="8"/>
        <v>0</v>
      </c>
      <c r="Y29" s="9">
        <f t="shared" si="45"/>
        <v>3250</v>
      </c>
      <c r="Z29" s="9">
        <f t="shared" si="9"/>
        <v>0.31124063778106087</v>
      </c>
      <c r="AA29" s="9">
        <f t="shared" si="46"/>
        <v>9187.5</v>
      </c>
      <c r="AB29" s="9">
        <f t="shared" si="10"/>
        <v>15.775763715238631</v>
      </c>
      <c r="AC29" s="9">
        <f t="shared" si="47"/>
        <v>176654.82</v>
      </c>
      <c r="AD29" s="9">
        <f t="shared" si="11"/>
        <v>16.917587336584155</v>
      </c>
      <c r="AE29" s="98"/>
      <c r="AF29" s="9"/>
      <c r="AG29" s="9"/>
      <c r="AH29" s="9"/>
      <c r="AI29" s="98"/>
      <c r="AJ29" s="9">
        <f t="shared" si="12"/>
        <v>0</v>
      </c>
      <c r="AK29" s="9">
        <f t="shared" si="48"/>
        <v>0</v>
      </c>
      <c r="AL29" s="9">
        <f t="shared" si="13"/>
        <v>0</v>
      </c>
      <c r="AM29" s="98"/>
      <c r="AN29" s="9">
        <f t="shared" si="14"/>
        <v>0</v>
      </c>
      <c r="AO29" s="9">
        <f t="shared" si="49"/>
        <v>0</v>
      </c>
      <c r="AP29" s="9">
        <f t="shared" si="15"/>
        <v>0</v>
      </c>
      <c r="AQ29" s="98"/>
      <c r="AR29" s="9">
        <f t="shared" si="16"/>
        <v>0</v>
      </c>
      <c r="AS29" s="9">
        <f t="shared" si="50"/>
        <v>0</v>
      </c>
      <c r="AT29" s="9">
        <f t="shared" si="17"/>
        <v>0</v>
      </c>
      <c r="AU29" s="98">
        <v>0</v>
      </c>
      <c r="AV29" s="9">
        <f t="shared" si="18"/>
        <v>0</v>
      </c>
      <c r="AW29" s="9">
        <f t="shared" si="51"/>
        <v>0</v>
      </c>
      <c r="AX29" s="9">
        <f t="shared" si="19"/>
        <v>0</v>
      </c>
      <c r="AY29" s="98"/>
      <c r="AZ29" s="9">
        <f t="shared" si="20"/>
        <v>0</v>
      </c>
      <c r="BA29" s="9">
        <f t="shared" si="52"/>
        <v>0</v>
      </c>
      <c r="BB29" s="9">
        <f t="shared" si="21"/>
        <v>0</v>
      </c>
      <c r="BC29" s="98"/>
      <c r="BD29" s="9">
        <f t="shared" si="22"/>
        <v>0</v>
      </c>
      <c r="BE29" s="9">
        <f t="shared" si="53"/>
        <v>0</v>
      </c>
      <c r="BF29" s="9">
        <f t="shared" si="23"/>
        <v>0</v>
      </c>
      <c r="BG29" s="98"/>
      <c r="BH29" s="9">
        <f t="shared" si="24"/>
        <v>0</v>
      </c>
      <c r="BI29" s="9">
        <f t="shared" si="54"/>
        <v>0</v>
      </c>
      <c r="BJ29" s="9">
        <f t="shared" si="25"/>
        <v>0</v>
      </c>
      <c r="BK29" s="98"/>
      <c r="BL29" s="9"/>
      <c r="BM29" s="9"/>
      <c r="BN29" s="9"/>
      <c r="BO29" s="9">
        <f t="shared" si="55"/>
        <v>0</v>
      </c>
      <c r="BP29" s="9">
        <f t="shared" si="26"/>
        <v>0</v>
      </c>
      <c r="BQ29" s="9">
        <f t="shared" si="56"/>
        <v>0</v>
      </c>
      <c r="BR29" s="9">
        <f t="shared" si="27"/>
        <v>0</v>
      </c>
      <c r="BS29" s="98">
        <f>98*BS7</f>
        <v>24500</v>
      </c>
      <c r="BT29" s="9">
        <f t="shared" si="28"/>
        <v>42.068703240636346</v>
      </c>
      <c r="BU29" s="9">
        <f t="shared" si="57"/>
        <v>318500</v>
      </c>
      <c r="BV29" s="9">
        <f t="shared" si="29"/>
        <v>30.501582502543968</v>
      </c>
      <c r="BW29" s="98">
        <f>98*BW7</f>
        <v>24550.567999999999</v>
      </c>
      <c r="BX29" s="9">
        <f t="shared" si="30"/>
        <v>42.155533044125022</v>
      </c>
      <c r="BY29" s="9">
        <f t="shared" si="58"/>
        <v>263292.31599999999</v>
      </c>
      <c r="BZ29" s="9">
        <f t="shared" si="31"/>
        <v>25.214544109136188</v>
      </c>
      <c r="CA29" s="98"/>
      <c r="CB29" s="14">
        <f t="shared" si="32"/>
        <v>0</v>
      </c>
      <c r="CC29" s="9">
        <f t="shared" si="59"/>
        <v>285760.98000000004</v>
      </c>
      <c r="CD29" s="9">
        <f t="shared" si="33"/>
        <v>27.366286051735688</v>
      </c>
      <c r="CE29" s="9">
        <f t="shared" si="60"/>
        <v>49050.567999999999</v>
      </c>
      <c r="CF29" s="9">
        <f t="shared" si="34"/>
        <v>84.224236284761361</v>
      </c>
      <c r="CG29" s="9">
        <f t="shared" si="61"/>
        <v>867553.29599999986</v>
      </c>
      <c r="CH29" s="9">
        <f t="shared" si="35"/>
        <v>83.082412663415823</v>
      </c>
      <c r="CI29" s="98"/>
      <c r="CJ29" s="9">
        <f t="shared" si="36"/>
        <v>0</v>
      </c>
      <c r="CK29" s="9">
        <f t="shared" si="62"/>
        <v>0</v>
      </c>
      <c r="CL29" s="9">
        <f t="shared" si="37"/>
        <v>0</v>
      </c>
      <c r="CM29" s="9">
        <f t="shared" si="63"/>
        <v>58238.067999999999</v>
      </c>
      <c r="CN29" s="9">
        <f t="shared" si="64"/>
        <v>1044208.116</v>
      </c>
      <c r="CO29" s="9">
        <f t="shared" si="38"/>
        <v>0.94793150707228546</v>
      </c>
      <c r="CP29" s="9">
        <f t="shared" si="39"/>
        <v>1.055183075164789</v>
      </c>
      <c r="CX29" s="13"/>
    </row>
    <row r="30" spans="1:103">
      <c r="A30" s="15">
        <f>+Chem!A30</f>
        <v>46012</v>
      </c>
      <c r="B30" s="5" t="str">
        <f>+Chem!B30</f>
        <v>Toilet</v>
      </c>
      <c r="C30" s="15" t="str">
        <f>+Chem!C30</f>
        <v>15</v>
      </c>
      <c r="D30" s="7">
        <f>+Chem!D30</f>
        <v>53.402999999999999</v>
      </c>
      <c r="E30" s="6">
        <f>+Chem!E30</f>
        <v>49.655999999999999</v>
      </c>
      <c r="F30" s="6">
        <f t="shared" si="40"/>
        <v>1039.2549999999999</v>
      </c>
      <c r="G30" s="98"/>
      <c r="H30" s="9">
        <f t="shared" si="0"/>
        <v>0</v>
      </c>
      <c r="I30" s="7">
        <f t="shared" si="41"/>
        <v>0</v>
      </c>
      <c r="J30" s="9">
        <f t="shared" si="1"/>
        <v>0</v>
      </c>
      <c r="K30" s="98">
        <f>36.75*K7</f>
        <v>9187.5</v>
      </c>
      <c r="L30" s="9">
        <f t="shared" si="2"/>
        <v>15.775763715238631</v>
      </c>
      <c r="M30" s="9">
        <f t="shared" si="42"/>
        <v>117312.5</v>
      </c>
      <c r="N30" s="9">
        <f t="shared" si="3"/>
        <v>10.641108990404922</v>
      </c>
      <c r="O30" s="98"/>
      <c r="P30" s="9">
        <f t="shared" si="4"/>
        <v>0</v>
      </c>
      <c r="Q30" s="9">
        <f t="shared" si="43"/>
        <v>0</v>
      </c>
      <c r="R30" s="9">
        <f t="shared" si="5"/>
        <v>0</v>
      </c>
      <c r="S30" s="98"/>
      <c r="T30" s="9">
        <f t="shared" si="6"/>
        <v>0</v>
      </c>
      <c r="U30" s="9">
        <f t="shared" si="44"/>
        <v>65279.820000000007</v>
      </c>
      <c r="V30" s="9">
        <f t="shared" si="7"/>
        <v>5.9213611464593727</v>
      </c>
      <c r="W30" s="98"/>
      <c r="X30" s="9">
        <f t="shared" si="8"/>
        <v>0</v>
      </c>
      <c r="Y30" s="9">
        <f t="shared" si="45"/>
        <v>3250</v>
      </c>
      <c r="Z30" s="9">
        <f t="shared" si="9"/>
        <v>0.29479897043210229</v>
      </c>
      <c r="AA30" s="9">
        <f t="shared" si="46"/>
        <v>9187.5</v>
      </c>
      <c r="AB30" s="9">
        <f t="shared" si="10"/>
        <v>15.775763715238631</v>
      </c>
      <c r="AC30" s="9">
        <f t="shared" si="47"/>
        <v>185842.32</v>
      </c>
      <c r="AD30" s="9">
        <f t="shared" si="11"/>
        <v>16.857269107296396</v>
      </c>
      <c r="AE30" s="98"/>
      <c r="AF30" s="9"/>
      <c r="AG30" s="9"/>
      <c r="AH30" s="9"/>
      <c r="AI30" s="98"/>
      <c r="AJ30" s="9">
        <f t="shared" si="12"/>
        <v>0</v>
      </c>
      <c r="AK30" s="9">
        <f t="shared" si="48"/>
        <v>0</v>
      </c>
      <c r="AL30" s="9">
        <f t="shared" si="13"/>
        <v>0</v>
      </c>
      <c r="AM30" s="98"/>
      <c r="AN30" s="9">
        <f t="shared" si="14"/>
        <v>0</v>
      </c>
      <c r="AO30" s="9">
        <f t="shared" si="49"/>
        <v>0</v>
      </c>
      <c r="AP30" s="9">
        <f t="shared" si="15"/>
        <v>0</v>
      </c>
      <c r="AQ30" s="98"/>
      <c r="AR30" s="9">
        <f t="shared" si="16"/>
        <v>0</v>
      </c>
      <c r="AS30" s="9">
        <f t="shared" si="50"/>
        <v>0</v>
      </c>
      <c r="AT30" s="9">
        <f t="shared" si="17"/>
        <v>0</v>
      </c>
      <c r="AU30" s="98">
        <v>0</v>
      </c>
      <c r="AV30" s="9">
        <f t="shared" si="18"/>
        <v>0</v>
      </c>
      <c r="AW30" s="9">
        <f t="shared" si="51"/>
        <v>0</v>
      </c>
      <c r="AX30" s="9">
        <f t="shared" si="19"/>
        <v>0</v>
      </c>
      <c r="AY30" s="98"/>
      <c r="AZ30" s="9">
        <f t="shared" si="20"/>
        <v>0</v>
      </c>
      <c r="BA30" s="9">
        <f t="shared" si="52"/>
        <v>0</v>
      </c>
      <c r="BB30" s="9">
        <f t="shared" si="21"/>
        <v>0</v>
      </c>
      <c r="BC30" s="98"/>
      <c r="BD30" s="9">
        <f t="shared" si="22"/>
        <v>0</v>
      </c>
      <c r="BE30" s="9">
        <f t="shared" si="53"/>
        <v>0</v>
      </c>
      <c r="BF30" s="9">
        <f t="shared" si="23"/>
        <v>0</v>
      </c>
      <c r="BG30" s="98"/>
      <c r="BH30" s="9">
        <f t="shared" si="24"/>
        <v>0</v>
      </c>
      <c r="BI30" s="9">
        <f t="shared" si="54"/>
        <v>0</v>
      </c>
      <c r="BJ30" s="9">
        <f t="shared" si="25"/>
        <v>0</v>
      </c>
      <c r="BK30" s="98"/>
      <c r="BL30" s="9"/>
      <c r="BM30" s="9"/>
      <c r="BN30" s="9"/>
      <c r="BO30" s="9">
        <f t="shared" si="55"/>
        <v>0</v>
      </c>
      <c r="BP30" s="9">
        <f t="shared" si="26"/>
        <v>0</v>
      </c>
      <c r="BQ30" s="9">
        <f t="shared" si="56"/>
        <v>0</v>
      </c>
      <c r="BR30" s="9">
        <f t="shared" si="27"/>
        <v>0</v>
      </c>
      <c r="BS30" s="98">
        <f>98*BS7</f>
        <v>24500</v>
      </c>
      <c r="BT30" s="9">
        <f t="shared" si="28"/>
        <v>42.068703240636346</v>
      </c>
      <c r="BU30" s="9">
        <f t="shared" si="57"/>
        <v>343000</v>
      </c>
      <c r="BV30" s="9">
        <f t="shared" si="29"/>
        <v>31.112629802526488</v>
      </c>
      <c r="BW30" s="98">
        <f>98*BW7</f>
        <v>24550.567999999999</v>
      </c>
      <c r="BX30" s="9">
        <f t="shared" si="30"/>
        <v>42.155533044125022</v>
      </c>
      <c r="BY30" s="9">
        <f t="shared" si="58"/>
        <v>287842.88399999996</v>
      </c>
      <c r="BZ30" s="9">
        <f t="shared" si="31"/>
        <v>26.109472569048314</v>
      </c>
      <c r="CA30" s="98"/>
      <c r="CB30" s="14">
        <f t="shared" si="32"/>
        <v>0</v>
      </c>
      <c r="CC30" s="9">
        <f t="shared" si="59"/>
        <v>285760.98000000004</v>
      </c>
      <c r="CD30" s="9">
        <f t="shared" si="33"/>
        <v>25.920628521128791</v>
      </c>
      <c r="CE30" s="9">
        <f t="shared" si="60"/>
        <v>49050.567999999999</v>
      </c>
      <c r="CF30" s="9">
        <f t="shared" si="34"/>
        <v>84.224236284761361</v>
      </c>
      <c r="CG30" s="9">
        <f t="shared" si="61"/>
        <v>916603.86399999983</v>
      </c>
      <c r="CH30" s="9">
        <f t="shared" si="35"/>
        <v>83.142730892703582</v>
      </c>
      <c r="CI30" s="98"/>
      <c r="CJ30" s="9">
        <f t="shared" si="36"/>
        <v>0</v>
      </c>
      <c r="CK30" s="9">
        <f t="shared" si="62"/>
        <v>0</v>
      </c>
      <c r="CL30" s="9">
        <f t="shared" si="37"/>
        <v>0</v>
      </c>
      <c r="CM30" s="9">
        <f t="shared" si="63"/>
        <v>58238.067999999999</v>
      </c>
      <c r="CN30" s="9">
        <f t="shared" si="64"/>
        <v>1102446.1840000001</v>
      </c>
      <c r="CO30" s="9">
        <f t="shared" si="38"/>
        <v>1.1728304333816659</v>
      </c>
      <c r="CP30" s="9">
        <f t="shared" si="39"/>
        <v>1.0608043107803189</v>
      </c>
    </row>
    <row r="31" spans="1:103">
      <c r="A31" s="15">
        <f>+Chem!A31</f>
        <v>46013</v>
      </c>
      <c r="B31" s="5" t="str">
        <f>+Chem!B31</f>
        <v>Toilet</v>
      </c>
      <c r="C31" s="15" t="str">
        <f>+Chem!C31</f>
        <v>15/13,5</v>
      </c>
      <c r="D31" s="7">
        <f>+Chem!D31</f>
        <v>54.656000000000006</v>
      </c>
      <c r="E31" s="6">
        <f>+Chem!E31</f>
        <v>55.546999999999997</v>
      </c>
      <c r="F31" s="6">
        <f t="shared" si="40"/>
        <v>1094.8019999999999</v>
      </c>
      <c r="G31" s="98"/>
      <c r="H31" s="9">
        <f t="shared" si="0"/>
        <v>0</v>
      </c>
      <c r="I31" s="7">
        <f t="shared" si="41"/>
        <v>0</v>
      </c>
      <c r="J31" s="9">
        <f t="shared" si="1"/>
        <v>0</v>
      </c>
      <c r="K31" s="98">
        <f>36.75*K7</f>
        <v>9187.5</v>
      </c>
      <c r="L31" s="9">
        <f t="shared" si="2"/>
        <v>15.775763715238631</v>
      </c>
      <c r="M31" s="9">
        <f t="shared" si="42"/>
        <v>126500</v>
      </c>
      <c r="N31" s="9">
        <f t="shared" si="3"/>
        <v>10.898743545630529</v>
      </c>
      <c r="O31" s="98"/>
      <c r="P31" s="9">
        <f t="shared" si="4"/>
        <v>0</v>
      </c>
      <c r="Q31" s="9">
        <f t="shared" si="43"/>
        <v>0</v>
      </c>
      <c r="R31" s="9">
        <f t="shared" si="5"/>
        <v>0</v>
      </c>
      <c r="S31" s="98"/>
      <c r="T31" s="9">
        <f t="shared" si="6"/>
        <v>0</v>
      </c>
      <c r="U31" s="9">
        <f t="shared" si="44"/>
        <v>65279.820000000007</v>
      </c>
      <c r="V31" s="9">
        <f t="shared" si="7"/>
        <v>5.6242530979045284</v>
      </c>
      <c r="W31" s="98"/>
      <c r="X31" s="9">
        <f t="shared" si="8"/>
        <v>0</v>
      </c>
      <c r="Y31" s="9">
        <f t="shared" si="45"/>
        <v>3250</v>
      </c>
      <c r="Z31" s="9">
        <f t="shared" si="9"/>
        <v>0.28000724524347209</v>
      </c>
      <c r="AA31" s="9">
        <f t="shared" si="46"/>
        <v>9187.5</v>
      </c>
      <c r="AB31" s="9">
        <f t="shared" si="10"/>
        <v>15.775763715238631</v>
      </c>
      <c r="AC31" s="9">
        <f t="shared" si="47"/>
        <v>195029.82</v>
      </c>
      <c r="AD31" s="9">
        <f t="shared" si="11"/>
        <v>16.80300388877853</v>
      </c>
      <c r="AE31" s="98"/>
      <c r="AF31" s="9"/>
      <c r="AG31" s="9"/>
      <c r="AH31" s="9"/>
      <c r="AI31" s="98"/>
      <c r="AJ31" s="9">
        <f t="shared" si="12"/>
        <v>0</v>
      </c>
      <c r="AK31" s="9">
        <f t="shared" si="48"/>
        <v>0</v>
      </c>
      <c r="AL31" s="9">
        <f t="shared" si="13"/>
        <v>0</v>
      </c>
      <c r="AM31" s="98"/>
      <c r="AN31" s="9">
        <f t="shared" si="14"/>
        <v>0</v>
      </c>
      <c r="AO31" s="9">
        <f t="shared" si="49"/>
        <v>0</v>
      </c>
      <c r="AP31" s="9">
        <f t="shared" si="15"/>
        <v>0</v>
      </c>
      <c r="AQ31" s="98"/>
      <c r="AR31" s="9">
        <f t="shared" si="16"/>
        <v>0</v>
      </c>
      <c r="AS31" s="9">
        <f t="shared" si="50"/>
        <v>0</v>
      </c>
      <c r="AT31" s="9">
        <f t="shared" si="17"/>
        <v>0</v>
      </c>
      <c r="AU31" s="98">
        <v>0</v>
      </c>
      <c r="AV31" s="9">
        <f t="shared" si="18"/>
        <v>0</v>
      </c>
      <c r="AW31" s="9">
        <f t="shared" si="51"/>
        <v>0</v>
      </c>
      <c r="AX31" s="9">
        <f t="shared" si="19"/>
        <v>0</v>
      </c>
      <c r="AY31" s="98"/>
      <c r="AZ31" s="9">
        <f t="shared" si="20"/>
        <v>0</v>
      </c>
      <c r="BA31" s="9">
        <f t="shared" si="52"/>
        <v>0</v>
      </c>
      <c r="BB31" s="9">
        <f t="shared" si="21"/>
        <v>0</v>
      </c>
      <c r="BC31" s="98"/>
      <c r="BD31" s="9">
        <f t="shared" si="22"/>
        <v>0</v>
      </c>
      <c r="BE31" s="9">
        <f t="shared" si="53"/>
        <v>0</v>
      </c>
      <c r="BF31" s="9">
        <f t="shared" si="23"/>
        <v>0</v>
      </c>
      <c r="BG31" s="98"/>
      <c r="BH31" s="9">
        <f t="shared" si="24"/>
        <v>0</v>
      </c>
      <c r="BI31" s="9">
        <f t="shared" si="54"/>
        <v>0</v>
      </c>
      <c r="BJ31" s="9">
        <f t="shared" si="25"/>
        <v>0</v>
      </c>
      <c r="BK31" s="98"/>
      <c r="BL31" s="9"/>
      <c r="BM31" s="9"/>
      <c r="BN31" s="9"/>
      <c r="BO31" s="9">
        <f t="shared" si="55"/>
        <v>0</v>
      </c>
      <c r="BP31" s="9">
        <f t="shared" si="26"/>
        <v>0</v>
      </c>
      <c r="BQ31" s="9">
        <f t="shared" si="56"/>
        <v>0</v>
      </c>
      <c r="BR31" s="9">
        <f t="shared" si="27"/>
        <v>0</v>
      </c>
      <c r="BS31" s="98">
        <f>98*BS7</f>
        <v>24500</v>
      </c>
      <c r="BT31" s="9">
        <f>+BS31/CM31*100</f>
        <v>42.068703240636346</v>
      </c>
      <c r="BU31" s="9">
        <f>+BS31+BU30</f>
        <v>367500</v>
      </c>
      <c r="BV31" s="9">
        <f>+BU31/CN31*100</f>
        <v>31.662357731377227</v>
      </c>
      <c r="BW31" s="98">
        <f>98*BW7</f>
        <v>24550.567999999999</v>
      </c>
      <c r="BX31" s="9">
        <f t="shared" si="30"/>
        <v>42.155533044125022</v>
      </c>
      <c r="BY31" s="9">
        <f t="shared" si="58"/>
        <v>312393.45199999993</v>
      </c>
      <c r="BZ31" s="9">
        <f t="shared" si="31"/>
        <v>26.914593823575018</v>
      </c>
      <c r="CA31" s="98"/>
      <c r="CB31" s="14">
        <f t="shared" si="32"/>
        <v>0</v>
      </c>
      <c r="CC31" s="9">
        <f t="shared" si="59"/>
        <v>285760.98000000004</v>
      </c>
      <c r="CD31" s="9">
        <f t="shared" si="33"/>
        <v>24.62004455626921</v>
      </c>
      <c r="CE31" s="9">
        <f t="shared" si="60"/>
        <v>49050.567999999999</v>
      </c>
      <c r="CF31" s="9">
        <f t="shared" si="34"/>
        <v>84.224236284761361</v>
      </c>
      <c r="CG31" s="9">
        <f t="shared" si="61"/>
        <v>965654.4319999998</v>
      </c>
      <c r="CH31" s="9">
        <f t="shared" si="35"/>
        <v>83.196996111221438</v>
      </c>
      <c r="CI31" s="98"/>
      <c r="CJ31" s="9">
        <f t="shared" si="36"/>
        <v>0</v>
      </c>
      <c r="CK31" s="9">
        <f t="shared" si="62"/>
        <v>0</v>
      </c>
      <c r="CL31" s="9">
        <f t="shared" si="37"/>
        <v>0</v>
      </c>
      <c r="CM31" s="9">
        <f t="shared" si="63"/>
        <v>58238.067999999999</v>
      </c>
      <c r="CN31" s="9">
        <f t="shared" si="64"/>
        <v>1160684.2520000001</v>
      </c>
      <c r="CO31" s="9">
        <f t="shared" si="38"/>
        <v>1.0484466847894576</v>
      </c>
      <c r="CP31" s="9">
        <f t="shared" si="39"/>
        <v>1.0601773215613417</v>
      </c>
    </row>
    <row r="32" spans="1:103">
      <c r="A32" s="15">
        <f>+Chem!A32</f>
        <v>46014</v>
      </c>
      <c r="B32" s="5" t="str">
        <f>+Chem!B32</f>
        <v>Toilet</v>
      </c>
      <c r="C32" s="15" t="str">
        <f>+Chem!C32</f>
        <v>13,5/14,5</v>
      </c>
      <c r="D32" s="7">
        <f>+Chem!D32</f>
        <v>53.445999999999998</v>
      </c>
      <c r="E32" s="6">
        <f>+Chem!E32</f>
        <v>50.734999999999999</v>
      </c>
      <c r="F32" s="6">
        <f t="shared" si="40"/>
        <v>1145.5369999999998</v>
      </c>
      <c r="G32" s="98"/>
      <c r="H32" s="9">
        <f t="shared" si="0"/>
        <v>0</v>
      </c>
      <c r="I32" s="7">
        <f t="shared" si="41"/>
        <v>0</v>
      </c>
      <c r="J32" s="9">
        <f t="shared" si="1"/>
        <v>0</v>
      </c>
      <c r="K32" s="98">
        <f>34.5*K7</f>
        <v>8625</v>
      </c>
      <c r="L32" s="9">
        <f t="shared" si="2"/>
        <v>15.775763715238632</v>
      </c>
      <c r="M32" s="9">
        <f t="shared" si="42"/>
        <v>135125</v>
      </c>
      <c r="N32" s="9">
        <f t="shared" si="3"/>
        <v>11.118134892550279</v>
      </c>
      <c r="O32" s="98"/>
      <c r="P32" s="9">
        <f t="shared" si="4"/>
        <v>0</v>
      </c>
      <c r="Q32" s="9">
        <f t="shared" si="43"/>
        <v>0</v>
      </c>
      <c r="R32" s="9">
        <f t="shared" si="5"/>
        <v>0</v>
      </c>
      <c r="S32" s="98"/>
      <c r="T32" s="9">
        <f t="shared" si="6"/>
        <v>0</v>
      </c>
      <c r="U32" s="9">
        <f t="shared" si="44"/>
        <v>65279.820000000007</v>
      </c>
      <c r="V32" s="9">
        <f t="shared" si="7"/>
        <v>5.3712476930353494</v>
      </c>
      <c r="W32" s="98"/>
      <c r="X32" s="9">
        <f t="shared" si="8"/>
        <v>0</v>
      </c>
      <c r="Y32" s="9">
        <f t="shared" si="45"/>
        <v>3250</v>
      </c>
      <c r="Z32" s="9">
        <f t="shared" si="9"/>
        <v>0.26741120000583463</v>
      </c>
      <c r="AA32" s="9">
        <f t="shared" si="46"/>
        <v>8625</v>
      </c>
      <c r="AB32" s="9">
        <f t="shared" si="10"/>
        <v>15.775763715238632</v>
      </c>
      <c r="AC32" s="9">
        <f t="shared" si="47"/>
        <v>203654.82</v>
      </c>
      <c r="AD32" s="9">
        <f t="shared" si="11"/>
        <v>16.756793785591462</v>
      </c>
      <c r="AE32" s="98"/>
      <c r="AF32" s="9"/>
      <c r="AG32" s="9"/>
      <c r="AH32" s="9"/>
      <c r="AI32" s="98"/>
      <c r="AJ32" s="9">
        <f t="shared" si="12"/>
        <v>0</v>
      </c>
      <c r="AK32" s="9">
        <f t="shared" si="48"/>
        <v>0</v>
      </c>
      <c r="AL32" s="9">
        <f t="shared" si="13"/>
        <v>0</v>
      </c>
      <c r="AM32" s="98"/>
      <c r="AN32" s="9">
        <f t="shared" si="14"/>
        <v>0</v>
      </c>
      <c r="AO32" s="9">
        <f t="shared" si="49"/>
        <v>0</v>
      </c>
      <c r="AP32" s="9">
        <f t="shared" si="15"/>
        <v>0</v>
      </c>
      <c r="AQ32" s="98"/>
      <c r="AR32" s="9">
        <f t="shared" si="16"/>
        <v>0</v>
      </c>
      <c r="AS32" s="9">
        <f t="shared" si="50"/>
        <v>0</v>
      </c>
      <c r="AT32" s="9">
        <f t="shared" si="17"/>
        <v>0</v>
      </c>
      <c r="AU32" s="98">
        <v>0</v>
      </c>
      <c r="AV32" s="9">
        <f t="shared" si="18"/>
        <v>0</v>
      </c>
      <c r="AW32" s="9">
        <f t="shared" si="51"/>
        <v>0</v>
      </c>
      <c r="AX32" s="9">
        <f t="shared" si="19"/>
        <v>0</v>
      </c>
      <c r="AY32" s="98"/>
      <c r="AZ32" s="9">
        <f t="shared" si="20"/>
        <v>0</v>
      </c>
      <c r="BA32" s="9">
        <f t="shared" si="52"/>
        <v>0</v>
      </c>
      <c r="BB32" s="9">
        <f t="shared" si="21"/>
        <v>0</v>
      </c>
      <c r="BC32" s="98"/>
      <c r="BD32" s="9">
        <f t="shared" si="22"/>
        <v>0</v>
      </c>
      <c r="BE32" s="9">
        <f t="shared" si="53"/>
        <v>0</v>
      </c>
      <c r="BF32" s="9">
        <f t="shared" si="23"/>
        <v>0</v>
      </c>
      <c r="BG32" s="98"/>
      <c r="BH32" s="9">
        <f t="shared" si="24"/>
        <v>0</v>
      </c>
      <c r="BI32" s="9">
        <f t="shared" si="54"/>
        <v>0</v>
      </c>
      <c r="BJ32" s="9">
        <f t="shared" si="25"/>
        <v>0</v>
      </c>
      <c r="BK32" s="98"/>
      <c r="BL32" s="9"/>
      <c r="BM32" s="9"/>
      <c r="BN32" s="9"/>
      <c r="BO32" s="9">
        <f t="shared" si="55"/>
        <v>0</v>
      </c>
      <c r="BP32" s="9">
        <f t="shared" si="26"/>
        <v>0</v>
      </c>
      <c r="BQ32" s="9">
        <f t="shared" si="56"/>
        <v>0</v>
      </c>
      <c r="BR32" s="9">
        <f t="shared" si="27"/>
        <v>0</v>
      </c>
      <c r="BS32" s="98">
        <f>92*BS7</f>
        <v>23000</v>
      </c>
      <c r="BT32" s="9">
        <f t="shared" si="28"/>
        <v>42.068703240636353</v>
      </c>
      <c r="BU32" s="9">
        <f t="shared" si="57"/>
        <v>390500</v>
      </c>
      <c r="BV32" s="9">
        <f t="shared" si="29"/>
        <v>32.13048418531644</v>
      </c>
      <c r="BW32" s="98">
        <f>92*BW7</f>
        <v>23047.471999999998</v>
      </c>
      <c r="BX32" s="9">
        <f t="shared" si="30"/>
        <v>42.155533044125022</v>
      </c>
      <c r="BY32" s="9">
        <f t="shared" si="58"/>
        <v>335440.92399999994</v>
      </c>
      <c r="BZ32" s="9">
        <f t="shared" si="31"/>
        <v>27.6002030824326</v>
      </c>
      <c r="CA32" s="98"/>
      <c r="CB32" s="14">
        <f t="shared" si="32"/>
        <v>0</v>
      </c>
      <c r="CC32" s="9">
        <f t="shared" si="59"/>
        <v>285760.98000000004</v>
      </c>
      <c r="CD32" s="9">
        <f t="shared" si="33"/>
        <v>23.512518946659483</v>
      </c>
      <c r="CE32" s="9">
        <f t="shared" si="60"/>
        <v>46047.471999999994</v>
      </c>
      <c r="CF32" s="9">
        <f t="shared" si="34"/>
        <v>84.224236284761361</v>
      </c>
      <c r="CG32" s="9">
        <f t="shared" si="61"/>
        <v>1011701.9039999997</v>
      </c>
      <c r="CH32" s="9">
        <f t="shared" si="35"/>
        <v>83.243206214408502</v>
      </c>
      <c r="CI32" s="98"/>
      <c r="CJ32" s="9">
        <f t="shared" si="36"/>
        <v>0</v>
      </c>
      <c r="CK32" s="9">
        <f t="shared" si="62"/>
        <v>0</v>
      </c>
      <c r="CL32" s="9">
        <f t="shared" si="37"/>
        <v>0</v>
      </c>
      <c r="CM32" s="9">
        <f t="shared" si="63"/>
        <v>54672.471999999994</v>
      </c>
      <c r="CN32" s="9">
        <f t="shared" si="64"/>
        <v>1215356.7240000002</v>
      </c>
      <c r="CO32" s="9">
        <f t="shared" si="38"/>
        <v>1.0776085936730067</v>
      </c>
      <c r="CP32" s="9">
        <f t="shared" si="39"/>
        <v>1.0609493399165635</v>
      </c>
    </row>
    <row r="33" spans="1:94">
      <c r="A33" s="15">
        <f>+Chem!A33</f>
        <v>46015</v>
      </c>
      <c r="B33" s="5" t="str">
        <f>+Chem!B33</f>
        <v>Toilet/Facial</v>
      </c>
      <c r="C33" s="15" t="str">
        <f>+Chem!C33</f>
        <v>14,5/116/13/12</v>
      </c>
      <c r="D33" s="7">
        <f>+Chem!D33</f>
        <v>50.457999999999998</v>
      </c>
      <c r="E33" s="6">
        <f>+Chem!E33</f>
        <v>52.133000000000003</v>
      </c>
      <c r="F33" s="6">
        <f t="shared" si="40"/>
        <v>1197.6699999999998</v>
      </c>
      <c r="G33" s="98"/>
      <c r="H33" s="9">
        <f t="shared" si="0"/>
        <v>0</v>
      </c>
      <c r="I33" s="7">
        <f t="shared" si="41"/>
        <v>0</v>
      </c>
      <c r="J33" s="9">
        <f t="shared" si="1"/>
        <v>0</v>
      </c>
      <c r="K33" s="98">
        <f>34.5*K7</f>
        <v>8625</v>
      </c>
      <c r="L33" s="9">
        <f t="shared" si="2"/>
        <v>15.775763715238632</v>
      </c>
      <c r="M33" s="9">
        <f t="shared" si="42"/>
        <v>143750</v>
      </c>
      <c r="N33" s="9">
        <f t="shared" si="3"/>
        <v>11.318637433906675</v>
      </c>
      <c r="O33" s="98"/>
      <c r="P33" s="9">
        <f t="shared" si="4"/>
        <v>0</v>
      </c>
      <c r="Q33" s="9">
        <f t="shared" si="43"/>
        <v>0</v>
      </c>
      <c r="R33" s="9">
        <f t="shared" si="5"/>
        <v>0</v>
      </c>
      <c r="S33" s="98"/>
      <c r="T33" s="9">
        <f t="shared" si="6"/>
        <v>0</v>
      </c>
      <c r="U33" s="9">
        <f t="shared" si="44"/>
        <v>65279.820000000007</v>
      </c>
      <c r="V33" s="9">
        <f t="shared" si="7"/>
        <v>5.1400251431700159</v>
      </c>
      <c r="W33" s="98"/>
      <c r="X33" s="9">
        <f t="shared" si="8"/>
        <v>0</v>
      </c>
      <c r="Y33" s="9">
        <f t="shared" si="45"/>
        <v>3250</v>
      </c>
      <c r="Z33" s="9">
        <f t="shared" si="9"/>
        <v>0.25589962894049872</v>
      </c>
      <c r="AA33" s="9">
        <f t="shared" si="46"/>
        <v>8625</v>
      </c>
      <c r="AB33" s="9">
        <f t="shared" si="10"/>
        <v>15.775763715238632</v>
      </c>
      <c r="AC33" s="9">
        <f t="shared" si="47"/>
        <v>212279.82</v>
      </c>
      <c r="AD33" s="9">
        <f t="shared" si="11"/>
        <v>16.714562206017188</v>
      </c>
      <c r="AE33" s="98"/>
      <c r="AF33" s="9"/>
      <c r="AG33" s="9"/>
      <c r="AH33" s="9"/>
      <c r="AI33" s="98"/>
      <c r="AJ33" s="9">
        <f t="shared" si="12"/>
        <v>0</v>
      </c>
      <c r="AK33" s="9">
        <f t="shared" si="48"/>
        <v>0</v>
      </c>
      <c r="AL33" s="9">
        <f t="shared" si="13"/>
        <v>0</v>
      </c>
      <c r="AM33" s="98"/>
      <c r="AN33" s="9">
        <f t="shared" si="14"/>
        <v>0</v>
      </c>
      <c r="AO33" s="9">
        <f t="shared" si="49"/>
        <v>0</v>
      </c>
      <c r="AP33" s="9">
        <f t="shared" si="15"/>
        <v>0</v>
      </c>
      <c r="AQ33" s="98"/>
      <c r="AR33" s="9">
        <f t="shared" si="16"/>
        <v>0</v>
      </c>
      <c r="AS33" s="9">
        <f t="shared" si="50"/>
        <v>0</v>
      </c>
      <c r="AT33" s="9">
        <f t="shared" si="17"/>
        <v>0</v>
      </c>
      <c r="AU33" s="98">
        <v>0</v>
      </c>
      <c r="AV33" s="9">
        <f>AU33/CM33*100</f>
        <v>0</v>
      </c>
      <c r="AW33" s="9">
        <f>AU33+AW32</f>
        <v>0</v>
      </c>
      <c r="AX33" s="9">
        <f t="shared" si="19"/>
        <v>0</v>
      </c>
      <c r="AY33" s="98"/>
      <c r="AZ33" s="9">
        <f t="shared" si="20"/>
        <v>0</v>
      </c>
      <c r="BA33" s="9">
        <f t="shared" si="52"/>
        <v>0</v>
      </c>
      <c r="BB33" s="9">
        <f t="shared" si="21"/>
        <v>0</v>
      </c>
      <c r="BC33" s="98"/>
      <c r="BD33" s="9">
        <f t="shared" si="22"/>
        <v>0</v>
      </c>
      <c r="BE33" s="9">
        <f t="shared" si="53"/>
        <v>0</v>
      </c>
      <c r="BF33" s="9">
        <f t="shared" si="23"/>
        <v>0</v>
      </c>
      <c r="BG33" s="98"/>
      <c r="BH33" s="9">
        <f t="shared" si="24"/>
        <v>0</v>
      </c>
      <c r="BI33" s="9">
        <f t="shared" si="54"/>
        <v>0</v>
      </c>
      <c r="BJ33" s="9">
        <f t="shared" si="25"/>
        <v>0</v>
      </c>
      <c r="BK33" s="98"/>
      <c r="BL33" s="9"/>
      <c r="BM33" s="9"/>
      <c r="BN33" s="9"/>
      <c r="BO33" s="9">
        <f>AI33+AM33+AQ33+AU33+AY33+BC33+BG33</f>
        <v>0</v>
      </c>
      <c r="BP33" s="9">
        <f t="shared" si="26"/>
        <v>0</v>
      </c>
      <c r="BQ33" s="9">
        <f t="shared" si="56"/>
        <v>0</v>
      </c>
      <c r="BR33" s="9">
        <f t="shared" si="27"/>
        <v>0</v>
      </c>
      <c r="BS33" s="98">
        <f>92*BS7</f>
        <v>23000</v>
      </c>
      <c r="BT33" s="9">
        <f t="shared" si="28"/>
        <v>42.068703240636353</v>
      </c>
      <c r="BU33" s="9">
        <f t="shared" si="57"/>
        <v>413500</v>
      </c>
      <c r="BV33" s="9">
        <f t="shared" si="29"/>
        <v>32.558306635968073</v>
      </c>
      <c r="BW33" s="98">
        <f>92*BW7</f>
        <v>23047.471999999998</v>
      </c>
      <c r="BX33" s="9">
        <f t="shared" si="30"/>
        <v>42.155533044125022</v>
      </c>
      <c r="BY33" s="9">
        <f t="shared" si="58"/>
        <v>358488.39599999995</v>
      </c>
      <c r="BZ33" s="9">
        <f t="shared" si="31"/>
        <v>28.226783851038327</v>
      </c>
      <c r="CA33" s="98"/>
      <c r="CB33" s="14">
        <f t="shared" si="32"/>
        <v>0</v>
      </c>
      <c r="CC33" s="9">
        <f t="shared" si="59"/>
        <v>285760.98000000004</v>
      </c>
      <c r="CD33" s="9">
        <f t="shared" si="33"/>
        <v>22.500347306976398</v>
      </c>
      <c r="CE33" s="9">
        <f t="shared" si="60"/>
        <v>46047.471999999994</v>
      </c>
      <c r="CF33" s="9">
        <f t="shared" si="34"/>
        <v>84.224236284761361</v>
      </c>
      <c r="CG33" s="9">
        <f t="shared" si="61"/>
        <v>1057749.3759999997</v>
      </c>
      <c r="CH33" s="9">
        <f t="shared" si="35"/>
        <v>83.28543779398278</v>
      </c>
      <c r="CI33" s="98"/>
      <c r="CJ33" s="9">
        <f t="shared" si="36"/>
        <v>0</v>
      </c>
      <c r="CK33" s="9">
        <f t="shared" si="62"/>
        <v>0</v>
      </c>
      <c r="CL33" s="9">
        <f t="shared" si="37"/>
        <v>0</v>
      </c>
      <c r="CM33" s="9">
        <f t="shared" si="63"/>
        <v>54672.471999999994</v>
      </c>
      <c r="CN33" s="9">
        <f t="shared" si="64"/>
        <v>1270029.1960000002</v>
      </c>
      <c r="CO33" s="9">
        <f t="shared" si="38"/>
        <v>1.0487114111982812</v>
      </c>
      <c r="CP33" s="9">
        <f t="shared" si="39"/>
        <v>1.0604166389740082</v>
      </c>
    </row>
    <row r="34" spans="1:94">
      <c r="A34" s="15">
        <f>+Chem!A34</f>
        <v>46016</v>
      </c>
      <c r="B34" s="5" t="str">
        <f>+Chem!B34</f>
        <v>Facial</v>
      </c>
      <c r="C34" s="15" t="str">
        <f>+Chem!C34</f>
        <v>12/12,5</v>
      </c>
      <c r="D34" s="7">
        <f>+Chem!D34</f>
        <v>50.438000000000002</v>
      </c>
      <c r="E34" s="6">
        <f>+Chem!E34</f>
        <v>46.787999999999997</v>
      </c>
      <c r="F34" s="6">
        <f t="shared" si="40"/>
        <v>1244.4579999999999</v>
      </c>
      <c r="G34" s="98"/>
      <c r="H34" s="9">
        <f t="shared" si="0"/>
        <v>0</v>
      </c>
      <c r="I34" s="7">
        <f t="shared" si="41"/>
        <v>0</v>
      </c>
      <c r="J34" s="9">
        <f t="shared" si="1"/>
        <v>0</v>
      </c>
      <c r="K34" s="98">
        <f>33*K7</f>
        <v>8250</v>
      </c>
      <c r="L34" s="9">
        <f t="shared" si="2"/>
        <v>15.775763715238631</v>
      </c>
      <c r="M34" s="9">
        <f t="shared" si="42"/>
        <v>152000</v>
      </c>
      <c r="N34" s="9">
        <f t="shared" si="3"/>
        <v>11.494908250228699</v>
      </c>
      <c r="O34" s="98"/>
      <c r="P34" s="9">
        <f t="shared" si="4"/>
        <v>0</v>
      </c>
      <c r="Q34" s="9">
        <f t="shared" si="43"/>
        <v>0</v>
      </c>
      <c r="R34" s="9">
        <f t="shared" si="5"/>
        <v>0</v>
      </c>
      <c r="S34" s="98"/>
      <c r="T34" s="9">
        <f t="shared" si="6"/>
        <v>0</v>
      </c>
      <c r="U34" s="9">
        <f t="shared" si="44"/>
        <v>65279.820000000007</v>
      </c>
      <c r="V34" s="9">
        <f t="shared" si="7"/>
        <v>4.9367469834963451</v>
      </c>
      <c r="W34" s="98"/>
      <c r="X34" s="9">
        <f t="shared" si="8"/>
        <v>0</v>
      </c>
      <c r="Y34" s="9">
        <f t="shared" si="45"/>
        <v>3250</v>
      </c>
      <c r="Z34" s="9">
        <f t="shared" si="9"/>
        <v>0.24577928824502152</v>
      </c>
      <c r="AA34" s="9">
        <f t="shared" si="46"/>
        <v>8250</v>
      </c>
      <c r="AB34" s="9">
        <f t="shared" si="10"/>
        <v>15.775763715238631</v>
      </c>
      <c r="AC34" s="9">
        <f t="shared" si="47"/>
        <v>220529.82</v>
      </c>
      <c r="AD34" s="9">
        <f t="shared" si="11"/>
        <v>16.677434521970067</v>
      </c>
      <c r="AE34" s="98"/>
      <c r="AF34" s="9"/>
      <c r="AG34" s="9"/>
      <c r="AH34" s="9"/>
      <c r="AI34" s="98"/>
      <c r="AJ34" s="9">
        <f t="shared" si="12"/>
        <v>0</v>
      </c>
      <c r="AK34" s="9">
        <f t="shared" si="48"/>
        <v>0</v>
      </c>
      <c r="AL34" s="9">
        <f t="shared" si="13"/>
        <v>0</v>
      </c>
      <c r="AM34" s="98"/>
      <c r="AN34" s="9">
        <f t="shared" si="14"/>
        <v>0</v>
      </c>
      <c r="AO34" s="9">
        <f t="shared" si="49"/>
        <v>0</v>
      </c>
      <c r="AP34" s="9">
        <f t="shared" si="15"/>
        <v>0</v>
      </c>
      <c r="AQ34" s="98"/>
      <c r="AR34" s="9">
        <f t="shared" si="16"/>
        <v>0</v>
      </c>
      <c r="AS34" s="9">
        <f t="shared" si="50"/>
        <v>0</v>
      </c>
      <c r="AT34" s="9">
        <f t="shared" si="17"/>
        <v>0</v>
      </c>
      <c r="AU34" s="98">
        <v>0</v>
      </c>
      <c r="AV34" s="9">
        <f>AU34/CM34*100</f>
        <v>0</v>
      </c>
      <c r="AW34" s="9">
        <f>AU34+AW33</f>
        <v>0</v>
      </c>
      <c r="AX34" s="9">
        <f t="shared" si="19"/>
        <v>0</v>
      </c>
      <c r="AY34" s="98"/>
      <c r="AZ34" s="9">
        <f t="shared" si="20"/>
        <v>0</v>
      </c>
      <c r="BA34" s="9">
        <f t="shared" si="52"/>
        <v>0</v>
      </c>
      <c r="BB34" s="9">
        <f t="shared" si="21"/>
        <v>0</v>
      </c>
      <c r="BC34" s="98"/>
      <c r="BD34" s="9">
        <f t="shared" si="22"/>
        <v>0</v>
      </c>
      <c r="BE34" s="9">
        <f t="shared" si="53"/>
        <v>0</v>
      </c>
      <c r="BF34" s="9">
        <f t="shared" si="23"/>
        <v>0</v>
      </c>
      <c r="BG34" s="98"/>
      <c r="BH34" s="9">
        <f t="shared" si="24"/>
        <v>0</v>
      </c>
      <c r="BI34" s="9">
        <f t="shared" si="54"/>
        <v>0</v>
      </c>
      <c r="BJ34" s="9">
        <f t="shared" si="25"/>
        <v>0</v>
      </c>
      <c r="BK34" s="98"/>
      <c r="BL34" s="9"/>
      <c r="BM34" s="9"/>
      <c r="BN34" s="9"/>
      <c r="BO34" s="9">
        <f>AI34+AM34+AQ34+AU34+AY34+BC34+BG34</f>
        <v>0</v>
      </c>
      <c r="BP34" s="9">
        <f t="shared" si="26"/>
        <v>0</v>
      </c>
      <c r="BQ34" s="9">
        <f t="shared" si="56"/>
        <v>0</v>
      </c>
      <c r="BR34" s="9">
        <f t="shared" si="27"/>
        <v>0</v>
      </c>
      <c r="BS34" s="98">
        <f>88*BS7</f>
        <v>22000</v>
      </c>
      <c r="BT34" s="9">
        <f t="shared" si="28"/>
        <v>42.068703240636353</v>
      </c>
      <c r="BU34" s="9">
        <f t="shared" si="57"/>
        <v>435500</v>
      </c>
      <c r="BV34" s="9">
        <f t="shared" si="29"/>
        <v>32.934424624832879</v>
      </c>
      <c r="BW34" s="98">
        <f>88*BW7</f>
        <v>22045.407999999999</v>
      </c>
      <c r="BX34" s="9">
        <f t="shared" si="30"/>
        <v>42.155533044125029</v>
      </c>
      <c r="BY34" s="9">
        <f t="shared" si="58"/>
        <v>380533.80399999995</v>
      </c>
      <c r="BZ34" s="9">
        <f t="shared" si="31"/>
        <v>28.777639230858622</v>
      </c>
      <c r="CA34" s="98"/>
      <c r="CB34" s="14">
        <f t="shared" si="32"/>
        <v>0</v>
      </c>
      <c r="CC34" s="9">
        <f t="shared" si="59"/>
        <v>285760.98000000004</v>
      </c>
      <c r="CD34" s="9">
        <f t="shared" si="33"/>
        <v>21.610501622338411</v>
      </c>
      <c r="CE34" s="9">
        <f t="shared" si="60"/>
        <v>44045.407999999996</v>
      </c>
      <c r="CF34" s="9">
        <f t="shared" si="34"/>
        <v>84.224236284761361</v>
      </c>
      <c r="CG34" s="9">
        <f t="shared" si="61"/>
        <v>1101794.7839999998</v>
      </c>
      <c r="CH34" s="9">
        <f t="shared" si="35"/>
        <v>83.322565478029901</v>
      </c>
      <c r="CI34" s="98"/>
      <c r="CJ34" s="9">
        <f t="shared" si="36"/>
        <v>0</v>
      </c>
      <c r="CK34" s="9">
        <f t="shared" si="62"/>
        <v>0</v>
      </c>
      <c r="CL34" s="9">
        <f t="shared" si="37"/>
        <v>0</v>
      </c>
      <c r="CM34" s="9">
        <f t="shared" si="63"/>
        <v>52295.407999999996</v>
      </c>
      <c r="CN34" s="9">
        <f t="shared" si="64"/>
        <v>1322324.6040000003</v>
      </c>
      <c r="CO34" s="9">
        <f t="shared" si="38"/>
        <v>1.1177098401299479</v>
      </c>
      <c r="CP34" s="9">
        <f t="shared" si="39"/>
        <v>1.0625706966406263</v>
      </c>
    </row>
    <row r="35" spans="1:94">
      <c r="A35" s="15">
        <f>+Chem!A35</f>
        <v>46017</v>
      </c>
      <c r="B35" s="5" t="str">
        <f>+Chem!B35</f>
        <v>Facial</v>
      </c>
      <c r="C35" s="15" t="str">
        <f>+Chem!C35</f>
        <v>12,5</v>
      </c>
      <c r="D35" s="7">
        <f>+Chem!D35</f>
        <v>48.58</v>
      </c>
      <c r="E35" s="6">
        <f>+Chem!E35</f>
        <v>47.401000000000003</v>
      </c>
      <c r="F35" s="6">
        <f t="shared" si="40"/>
        <v>1291.8589999999999</v>
      </c>
      <c r="G35" s="98"/>
      <c r="H35" s="9">
        <f t="shared" si="0"/>
        <v>0</v>
      </c>
      <c r="I35" s="7">
        <f t="shared" si="41"/>
        <v>0</v>
      </c>
      <c r="J35" s="9">
        <f t="shared" si="1"/>
        <v>0</v>
      </c>
      <c r="K35" s="98">
        <f>32.25*K7</f>
        <v>8062.5</v>
      </c>
      <c r="L35" s="9">
        <f t="shared" si="2"/>
        <v>15.775763715238631</v>
      </c>
      <c r="M35" s="9">
        <f t="shared" si="42"/>
        <v>160062.5</v>
      </c>
      <c r="N35" s="9">
        <f t="shared" si="3"/>
        <v>11.654203528231346</v>
      </c>
      <c r="O35" s="98"/>
      <c r="P35" s="9">
        <f t="shared" si="4"/>
        <v>0</v>
      </c>
      <c r="Q35" s="9">
        <f t="shared" si="43"/>
        <v>0</v>
      </c>
      <c r="R35" s="9">
        <f t="shared" si="5"/>
        <v>0</v>
      </c>
      <c r="S35" s="98"/>
      <c r="T35" s="9">
        <f t="shared" si="6"/>
        <v>0</v>
      </c>
      <c r="U35" s="9">
        <f t="shared" si="44"/>
        <v>65279.820000000007</v>
      </c>
      <c r="V35" s="9">
        <f t="shared" si="7"/>
        <v>4.7530452702307358</v>
      </c>
      <c r="W35" s="98"/>
      <c r="X35" s="9">
        <f t="shared" si="8"/>
        <v>0</v>
      </c>
      <c r="Y35" s="9">
        <f t="shared" si="45"/>
        <v>3250</v>
      </c>
      <c r="Z35" s="9">
        <f t="shared" si="9"/>
        <v>0.23663357417728617</v>
      </c>
      <c r="AA35" s="9">
        <f t="shared" si="46"/>
        <v>8062.5</v>
      </c>
      <c r="AB35" s="9">
        <f t="shared" si="10"/>
        <v>15.775763715238631</v>
      </c>
      <c r="AC35" s="9">
        <f t="shared" si="47"/>
        <v>228592.32</v>
      </c>
      <c r="AD35" s="9">
        <f t="shared" si="11"/>
        <v>16.643882372639368</v>
      </c>
      <c r="AE35" s="98"/>
      <c r="AF35" s="9"/>
      <c r="AG35" s="9"/>
      <c r="AH35" s="9"/>
      <c r="AI35" s="98"/>
      <c r="AJ35" s="9">
        <f t="shared" si="12"/>
        <v>0</v>
      </c>
      <c r="AK35" s="9">
        <f t="shared" si="48"/>
        <v>0</v>
      </c>
      <c r="AL35" s="9">
        <f t="shared" si="13"/>
        <v>0</v>
      </c>
      <c r="AM35" s="98"/>
      <c r="AN35" s="9">
        <f t="shared" si="14"/>
        <v>0</v>
      </c>
      <c r="AO35" s="9">
        <f t="shared" si="49"/>
        <v>0</v>
      </c>
      <c r="AP35" s="9">
        <f t="shared" si="15"/>
        <v>0</v>
      </c>
      <c r="AQ35" s="98"/>
      <c r="AR35" s="9">
        <f t="shared" si="16"/>
        <v>0</v>
      </c>
      <c r="AS35" s="9">
        <f t="shared" si="50"/>
        <v>0</v>
      </c>
      <c r="AT35" s="9">
        <f t="shared" si="17"/>
        <v>0</v>
      </c>
      <c r="AU35" s="98">
        <v>0</v>
      </c>
      <c r="AV35" s="9">
        <f>AU35/CM35*100</f>
        <v>0</v>
      </c>
      <c r="AW35" s="9">
        <f>AU35+AW34</f>
        <v>0</v>
      </c>
      <c r="AX35" s="9">
        <f t="shared" si="19"/>
        <v>0</v>
      </c>
      <c r="AY35" s="98"/>
      <c r="AZ35" s="9">
        <f t="shared" si="20"/>
        <v>0</v>
      </c>
      <c r="BA35" s="9">
        <f t="shared" si="52"/>
        <v>0</v>
      </c>
      <c r="BB35" s="9">
        <f t="shared" si="21"/>
        <v>0</v>
      </c>
      <c r="BC35" s="98"/>
      <c r="BD35" s="9">
        <f t="shared" si="22"/>
        <v>0</v>
      </c>
      <c r="BE35" s="9">
        <f t="shared" si="53"/>
        <v>0</v>
      </c>
      <c r="BF35" s="9">
        <f t="shared" si="23"/>
        <v>0</v>
      </c>
      <c r="BG35" s="98"/>
      <c r="BH35" s="9">
        <f t="shared" si="24"/>
        <v>0</v>
      </c>
      <c r="BI35" s="9">
        <f t="shared" si="54"/>
        <v>0</v>
      </c>
      <c r="BJ35" s="9">
        <f t="shared" si="25"/>
        <v>0</v>
      </c>
      <c r="BK35" s="98"/>
      <c r="BL35" s="9"/>
      <c r="BM35" s="9"/>
      <c r="BN35" s="9"/>
      <c r="BO35" s="9">
        <f>AI35+AM35+AQ35+AU35+AY35+BC35+BG35</f>
        <v>0</v>
      </c>
      <c r="BP35" s="9">
        <f t="shared" si="26"/>
        <v>0</v>
      </c>
      <c r="BQ35" s="9">
        <f t="shared" si="56"/>
        <v>0</v>
      </c>
      <c r="BR35" s="9">
        <f t="shared" si="27"/>
        <v>0</v>
      </c>
      <c r="BS35" s="98">
        <f>86*BS7</f>
        <v>21500</v>
      </c>
      <c r="BT35" s="9">
        <f t="shared" si="28"/>
        <v>42.068703240636346</v>
      </c>
      <c r="BU35" s="9">
        <f t="shared" si="57"/>
        <v>457000</v>
      </c>
      <c r="BV35" s="9">
        <f t="shared" si="29"/>
        <v>33.27432104585224</v>
      </c>
      <c r="BW35" s="98">
        <f>86*BW7</f>
        <v>21544.376</v>
      </c>
      <c r="BX35" s="9">
        <f t="shared" si="30"/>
        <v>42.155533044125022</v>
      </c>
      <c r="BY35" s="9">
        <f t="shared" si="58"/>
        <v>402078.17999999993</v>
      </c>
      <c r="BZ35" s="9">
        <f t="shared" si="31"/>
        <v>29.275445179107141</v>
      </c>
      <c r="CA35" s="98"/>
      <c r="CB35" s="14">
        <f t="shared" si="32"/>
        <v>0</v>
      </c>
      <c r="CC35" s="9">
        <f t="shared" si="59"/>
        <v>285760.98000000004</v>
      </c>
      <c r="CD35" s="9">
        <f t="shared" si="33"/>
        <v>20.806351402401233</v>
      </c>
      <c r="CE35" s="9">
        <f t="shared" si="60"/>
        <v>43044.376000000004</v>
      </c>
      <c r="CF35" s="9">
        <f t="shared" si="34"/>
        <v>84.224236284761361</v>
      </c>
      <c r="CG35" s="9">
        <f t="shared" si="61"/>
        <v>1144839.1599999997</v>
      </c>
      <c r="CH35" s="9">
        <f t="shared" si="35"/>
        <v>83.356117627360589</v>
      </c>
      <c r="CI35" s="98"/>
      <c r="CJ35" s="9">
        <f t="shared" si="36"/>
        <v>0</v>
      </c>
      <c r="CK35" s="9">
        <f t="shared" si="62"/>
        <v>0</v>
      </c>
      <c r="CL35" s="9">
        <f t="shared" si="37"/>
        <v>0</v>
      </c>
      <c r="CM35" s="9">
        <f t="shared" si="63"/>
        <v>51106.876000000004</v>
      </c>
      <c r="CN35" s="9">
        <f t="shared" si="64"/>
        <v>1373431.4800000002</v>
      </c>
      <c r="CO35" s="9">
        <f t="shared" si="38"/>
        <v>1.0781813885783</v>
      </c>
      <c r="CP35" s="9">
        <f t="shared" si="39"/>
        <v>1.06314348547326</v>
      </c>
    </row>
    <row r="36" spans="1:94">
      <c r="A36" s="15">
        <f>+Chem!A36</f>
        <v>46018</v>
      </c>
      <c r="B36" s="5" t="str">
        <f>+Chem!B36</f>
        <v>Facial</v>
      </c>
      <c r="C36" s="15" t="str">
        <f>+Chem!C36</f>
        <v>12,5/12</v>
      </c>
      <c r="D36" s="7">
        <f>+Chem!D36</f>
        <v>47.981999999999999</v>
      </c>
      <c r="E36" s="6">
        <f>+Chem!E36</f>
        <v>50.04</v>
      </c>
      <c r="F36" s="6">
        <f t="shared" si="40"/>
        <v>1341.8989999999999</v>
      </c>
      <c r="G36" s="98"/>
      <c r="H36" s="9">
        <f t="shared" si="0"/>
        <v>0</v>
      </c>
      <c r="I36" s="7">
        <f t="shared" si="41"/>
        <v>0</v>
      </c>
      <c r="J36" s="9">
        <f t="shared" si="1"/>
        <v>0</v>
      </c>
      <c r="K36" s="98">
        <f>30*K7</f>
        <v>7500</v>
      </c>
      <c r="L36" s="9">
        <f t="shared" si="2"/>
        <v>15.775763715238631</v>
      </c>
      <c r="M36" s="9">
        <f t="shared" si="42"/>
        <v>167562.5</v>
      </c>
      <c r="N36" s="9">
        <f t="shared" si="3"/>
        <v>11.792097970970252</v>
      </c>
      <c r="O36" s="98"/>
      <c r="P36" s="9">
        <f t="shared" si="4"/>
        <v>0</v>
      </c>
      <c r="Q36" s="9">
        <f t="shared" si="43"/>
        <v>0</v>
      </c>
      <c r="R36" s="9">
        <f t="shared" si="5"/>
        <v>0</v>
      </c>
      <c r="S36" s="98"/>
      <c r="T36" s="9">
        <f t="shared" si="6"/>
        <v>0</v>
      </c>
      <c r="U36" s="9">
        <f t="shared" si="44"/>
        <v>65279.820000000007</v>
      </c>
      <c r="V36" s="9">
        <f t="shared" si="7"/>
        <v>4.5940233224456746</v>
      </c>
      <c r="W36" s="98"/>
      <c r="X36" s="9">
        <f t="shared" si="8"/>
        <v>0</v>
      </c>
      <c r="Y36" s="9">
        <f t="shared" si="45"/>
        <v>3250</v>
      </c>
      <c r="Z36" s="9">
        <f t="shared" si="9"/>
        <v>0.22871655892967288</v>
      </c>
      <c r="AA36" s="9">
        <f t="shared" si="46"/>
        <v>7500</v>
      </c>
      <c r="AB36" s="9">
        <f t="shared" si="10"/>
        <v>15.775763715238631</v>
      </c>
      <c r="AC36" s="9">
        <f t="shared" si="47"/>
        <v>236092.32</v>
      </c>
      <c r="AD36" s="9">
        <f t="shared" si="11"/>
        <v>16.614837852345598</v>
      </c>
      <c r="AE36" s="98"/>
      <c r="AF36" s="9"/>
      <c r="AG36" s="9"/>
      <c r="AH36" s="9"/>
      <c r="AI36" s="98"/>
      <c r="AJ36" s="9">
        <f t="shared" si="12"/>
        <v>0</v>
      </c>
      <c r="AK36" s="9">
        <f t="shared" si="48"/>
        <v>0</v>
      </c>
      <c r="AL36" s="9">
        <f t="shared" si="13"/>
        <v>0</v>
      </c>
      <c r="AM36" s="98"/>
      <c r="AN36" s="9">
        <f t="shared" si="14"/>
        <v>0</v>
      </c>
      <c r="AO36" s="9">
        <f t="shared" si="49"/>
        <v>0</v>
      </c>
      <c r="AP36" s="9">
        <f t="shared" si="15"/>
        <v>0</v>
      </c>
      <c r="AQ36" s="98"/>
      <c r="AR36" s="9">
        <f t="shared" si="16"/>
        <v>0</v>
      </c>
      <c r="AS36" s="9">
        <f t="shared" si="50"/>
        <v>0</v>
      </c>
      <c r="AT36" s="9">
        <f t="shared" si="17"/>
        <v>0</v>
      </c>
      <c r="AU36" s="98">
        <v>0</v>
      </c>
      <c r="AV36" s="9">
        <f t="shared" si="18"/>
        <v>0</v>
      </c>
      <c r="AW36" s="9">
        <f t="shared" si="51"/>
        <v>0</v>
      </c>
      <c r="AX36" s="9">
        <f t="shared" si="19"/>
        <v>0</v>
      </c>
      <c r="AY36" s="98"/>
      <c r="AZ36" s="9">
        <f t="shared" si="20"/>
        <v>0</v>
      </c>
      <c r="BA36" s="9">
        <f t="shared" si="52"/>
        <v>0</v>
      </c>
      <c r="BB36" s="9">
        <f t="shared" si="21"/>
        <v>0</v>
      </c>
      <c r="BC36" s="98"/>
      <c r="BD36" s="9">
        <f t="shared" si="22"/>
        <v>0</v>
      </c>
      <c r="BE36" s="9">
        <f t="shared" si="53"/>
        <v>0</v>
      </c>
      <c r="BF36" s="9">
        <f t="shared" si="23"/>
        <v>0</v>
      </c>
      <c r="BG36" s="98"/>
      <c r="BH36" s="9">
        <f t="shared" si="24"/>
        <v>0</v>
      </c>
      <c r="BI36" s="9">
        <f t="shared" si="54"/>
        <v>0</v>
      </c>
      <c r="BJ36" s="9">
        <f t="shared" si="25"/>
        <v>0</v>
      </c>
      <c r="BK36" s="98"/>
      <c r="BL36" s="9"/>
      <c r="BM36" s="9"/>
      <c r="BN36" s="9"/>
      <c r="BO36" s="9">
        <f t="shared" si="55"/>
        <v>0</v>
      </c>
      <c r="BP36" s="9">
        <f t="shared" si="26"/>
        <v>0</v>
      </c>
      <c r="BQ36" s="9">
        <f t="shared" si="56"/>
        <v>0</v>
      </c>
      <c r="BR36" s="9">
        <f t="shared" si="27"/>
        <v>0</v>
      </c>
      <c r="BS36" s="98">
        <f>80*BS7</f>
        <v>20000</v>
      </c>
      <c r="BT36" s="9">
        <f t="shared" si="28"/>
        <v>42.068703240636353</v>
      </c>
      <c r="BU36" s="9">
        <f t="shared" si="57"/>
        <v>477000</v>
      </c>
      <c r="BV36" s="9">
        <f t="shared" si="29"/>
        <v>33.568553418293526</v>
      </c>
      <c r="BW36" s="98">
        <f>80*BW7</f>
        <v>20041.28</v>
      </c>
      <c r="BX36" s="9">
        <f t="shared" si="30"/>
        <v>42.155533044125022</v>
      </c>
      <c r="BY36" s="9">
        <f t="shared" si="58"/>
        <v>422119.45999999996</v>
      </c>
      <c r="BZ36" s="9">
        <f t="shared" si="31"/>
        <v>29.706372414908209</v>
      </c>
      <c r="CA36" s="98"/>
      <c r="CB36" s="14">
        <f t="shared" si="32"/>
        <v>0</v>
      </c>
      <c r="CC36" s="9">
        <f t="shared" si="59"/>
        <v>285760.98000000004</v>
      </c>
      <c r="CD36" s="9">
        <f t="shared" si="33"/>
        <v>20.110236314452642</v>
      </c>
      <c r="CE36" s="9">
        <f t="shared" si="60"/>
        <v>40041.279999999999</v>
      </c>
      <c r="CF36" s="9">
        <f t="shared" si="34"/>
        <v>84.224236284761361</v>
      </c>
      <c r="CG36" s="9">
        <f t="shared" si="61"/>
        <v>1184880.4399999997</v>
      </c>
      <c r="CH36" s="9">
        <f t="shared" si="35"/>
        <v>83.38516214765437</v>
      </c>
      <c r="CI36" s="98"/>
      <c r="CJ36" s="9">
        <f t="shared" si="36"/>
        <v>0</v>
      </c>
      <c r="CK36" s="9">
        <f t="shared" si="62"/>
        <v>0</v>
      </c>
      <c r="CL36" s="9">
        <f t="shared" si="37"/>
        <v>0</v>
      </c>
      <c r="CM36" s="9">
        <f t="shared" si="63"/>
        <v>47541.279999999999</v>
      </c>
      <c r="CN36" s="9">
        <f t="shared" si="64"/>
        <v>1420972.7600000002</v>
      </c>
      <c r="CO36" s="9">
        <f t="shared" si="38"/>
        <v>0.9500655475619505</v>
      </c>
      <c r="CP36" s="9">
        <f t="shared" si="39"/>
        <v>1.0589267597635892</v>
      </c>
    </row>
    <row r="37" spans="1:94">
      <c r="A37" s="15">
        <f>+Chem!A37</f>
        <v>46019</v>
      </c>
      <c r="B37" s="5" t="str">
        <f>+Chem!B37</f>
        <v>Facial</v>
      </c>
      <c r="C37" s="15" t="str">
        <f>+Chem!C37</f>
        <v>12</v>
      </c>
      <c r="D37" s="7">
        <f>+Chem!D37</f>
        <v>48.460999999999999</v>
      </c>
      <c r="E37" s="6">
        <f>+Chem!E37</f>
        <v>47.351999999999997</v>
      </c>
      <c r="F37" s="6">
        <f t="shared" si="40"/>
        <v>1389.251</v>
      </c>
      <c r="G37" s="98"/>
      <c r="H37" s="9">
        <f t="shared" si="0"/>
        <v>0</v>
      </c>
      <c r="I37" s="7">
        <f t="shared" si="41"/>
        <v>0</v>
      </c>
      <c r="J37" s="9">
        <f t="shared" si="1"/>
        <v>0</v>
      </c>
      <c r="K37" s="98">
        <f>29.25*K7</f>
        <v>7312.5</v>
      </c>
      <c r="L37" s="9">
        <f t="shared" si="2"/>
        <v>15.767645985006407</v>
      </c>
      <c r="M37" s="9">
        <f t="shared" si="42"/>
        <v>174875</v>
      </c>
      <c r="N37" s="9">
        <f t="shared" si="3"/>
        <v>11.91774797038588</v>
      </c>
      <c r="O37" s="98"/>
      <c r="P37" s="9">
        <f t="shared" si="4"/>
        <v>0</v>
      </c>
      <c r="Q37" s="9">
        <f t="shared" si="43"/>
        <v>0</v>
      </c>
      <c r="R37" s="9">
        <f t="shared" si="5"/>
        <v>0</v>
      </c>
      <c r="S37" s="98"/>
      <c r="T37" s="9">
        <f t="shared" si="6"/>
        <v>0</v>
      </c>
      <c r="U37" s="9">
        <f t="shared" si="44"/>
        <v>65279.820000000007</v>
      </c>
      <c r="V37" s="9">
        <f t="shared" si="7"/>
        <v>4.4488259746227632</v>
      </c>
      <c r="W37" s="98"/>
      <c r="X37" s="9">
        <f t="shared" si="8"/>
        <v>0</v>
      </c>
      <c r="Y37" s="9">
        <f t="shared" si="45"/>
        <v>3250</v>
      </c>
      <c r="Z37" s="9">
        <f t="shared" si="9"/>
        <v>0.22148781074341167</v>
      </c>
      <c r="AA37" s="9">
        <f t="shared" si="46"/>
        <v>7312.5</v>
      </c>
      <c r="AB37" s="9">
        <f t="shared" si="10"/>
        <v>15.767645985006407</v>
      </c>
      <c r="AC37" s="9">
        <f t="shared" si="47"/>
        <v>243404.82</v>
      </c>
      <c r="AD37" s="9">
        <f t="shared" si="11"/>
        <v>16.588061755752058</v>
      </c>
      <c r="AE37" s="98"/>
      <c r="AF37" s="9"/>
      <c r="AG37" s="9"/>
      <c r="AH37" s="9"/>
      <c r="AI37" s="98"/>
      <c r="AJ37" s="9">
        <f t="shared" si="12"/>
        <v>0</v>
      </c>
      <c r="AK37" s="9">
        <f t="shared" si="48"/>
        <v>0</v>
      </c>
      <c r="AL37" s="9">
        <f t="shared" si="13"/>
        <v>0</v>
      </c>
      <c r="AM37" s="98"/>
      <c r="AN37" s="9">
        <f t="shared" si="14"/>
        <v>0</v>
      </c>
      <c r="AO37" s="9">
        <f t="shared" si="49"/>
        <v>0</v>
      </c>
      <c r="AP37" s="9">
        <f t="shared" si="15"/>
        <v>0</v>
      </c>
      <c r="AQ37" s="98"/>
      <c r="AR37" s="9">
        <f t="shared" si="16"/>
        <v>0</v>
      </c>
      <c r="AS37" s="9">
        <f t="shared" si="50"/>
        <v>0</v>
      </c>
      <c r="AT37" s="9">
        <f t="shared" si="17"/>
        <v>0</v>
      </c>
      <c r="AU37" s="98">
        <f>76*AU7</f>
        <v>19063.080000000002</v>
      </c>
      <c r="AV37" s="9">
        <f t="shared" si="18"/>
        <v>41.104943155399113</v>
      </c>
      <c r="AW37" s="9">
        <f t="shared" si="51"/>
        <v>19063.080000000002</v>
      </c>
      <c r="AX37" s="9">
        <f t="shared" si="19"/>
        <v>1.299150724685082</v>
      </c>
      <c r="AY37" s="98"/>
      <c r="AZ37" s="9">
        <f t="shared" si="20"/>
        <v>0</v>
      </c>
      <c r="BA37" s="9">
        <f t="shared" si="52"/>
        <v>0</v>
      </c>
      <c r="BB37" s="9">
        <f t="shared" si="21"/>
        <v>0</v>
      </c>
      <c r="BC37" s="98"/>
      <c r="BD37" s="9">
        <f t="shared" si="22"/>
        <v>0</v>
      </c>
      <c r="BE37" s="9">
        <f t="shared" si="53"/>
        <v>0</v>
      </c>
      <c r="BF37" s="9">
        <f t="shared" si="23"/>
        <v>0</v>
      </c>
      <c r="BG37" s="98"/>
      <c r="BH37" s="9">
        <f t="shared" si="24"/>
        <v>0</v>
      </c>
      <c r="BI37" s="9">
        <f t="shared" si="54"/>
        <v>0</v>
      </c>
      <c r="BJ37" s="9">
        <f t="shared" si="25"/>
        <v>0</v>
      </c>
      <c r="BK37" s="98"/>
      <c r="BL37" s="9"/>
      <c r="BM37" s="9"/>
      <c r="BN37" s="9"/>
      <c r="BO37" s="9">
        <f t="shared" si="55"/>
        <v>19063.080000000002</v>
      </c>
      <c r="BP37" s="9">
        <f t="shared" si="26"/>
        <v>41.104943155399113</v>
      </c>
      <c r="BQ37" s="9">
        <f t="shared" si="56"/>
        <v>19063.080000000002</v>
      </c>
      <c r="BR37" s="9">
        <f t="shared" si="27"/>
        <v>1.299150724685082</v>
      </c>
      <c r="BS37" s="98">
        <f>78*BS7</f>
        <v>19500</v>
      </c>
      <c r="BT37" s="9">
        <f t="shared" si="28"/>
        <v>42.04705596001709</v>
      </c>
      <c r="BU37" s="9">
        <f t="shared" si="57"/>
        <v>496500</v>
      </c>
      <c r="BV37" s="9">
        <f t="shared" si="29"/>
        <v>33.836522472031966</v>
      </c>
      <c r="BW37" s="98">
        <f>2*BW7</f>
        <v>501.03199999999998</v>
      </c>
      <c r="BX37" s="9">
        <f t="shared" si="30"/>
        <v>1.0803548995773991</v>
      </c>
      <c r="BY37" s="9">
        <f t="shared" si="58"/>
        <v>422620.49199999997</v>
      </c>
      <c r="BZ37" s="9">
        <f t="shared" si="31"/>
        <v>28.801626937964159</v>
      </c>
      <c r="CA37" s="98"/>
      <c r="CB37" s="14">
        <f t="shared" si="32"/>
        <v>0</v>
      </c>
      <c r="CC37" s="9">
        <f t="shared" si="59"/>
        <v>285760.98000000004</v>
      </c>
      <c r="CD37" s="9">
        <f t="shared" si="33"/>
        <v>19.474638109566726</v>
      </c>
      <c r="CE37" s="9">
        <f t="shared" si="60"/>
        <v>20001.031999999999</v>
      </c>
      <c r="CF37" s="9">
        <f t="shared" si="34"/>
        <v>43.127410859594484</v>
      </c>
      <c r="CG37" s="9">
        <f t="shared" si="61"/>
        <v>1204881.4719999996</v>
      </c>
      <c r="CH37" s="9">
        <f t="shared" si="35"/>
        <v>82.112787519562829</v>
      </c>
      <c r="CI37" s="98"/>
      <c r="CJ37" s="9">
        <f t="shared" si="36"/>
        <v>0</v>
      </c>
      <c r="CK37" s="9">
        <f t="shared" si="62"/>
        <v>0</v>
      </c>
      <c r="CL37" s="9">
        <f t="shared" si="37"/>
        <v>0</v>
      </c>
      <c r="CM37" s="9">
        <f t="shared" si="63"/>
        <v>46376.612000000001</v>
      </c>
      <c r="CN37" s="9">
        <f t="shared" si="64"/>
        <v>1467349.3720000002</v>
      </c>
      <c r="CO37" s="9">
        <f t="shared" si="38"/>
        <v>0.97940133468491308</v>
      </c>
      <c r="CP37" s="9">
        <f t="shared" si="39"/>
        <v>1.0562161711598552</v>
      </c>
    </row>
    <row r="38" spans="1:94">
      <c r="A38" s="15">
        <f>+Chem!A38</f>
        <v>46020</v>
      </c>
      <c r="B38" s="5" t="str">
        <f>+Chem!B38</f>
        <v>Facial</v>
      </c>
      <c r="C38" s="15" t="str">
        <f>+Chem!C38</f>
        <v>12</v>
      </c>
      <c r="D38" s="7">
        <f>+Chem!D38</f>
        <v>47.242000000000004</v>
      </c>
      <c r="E38" s="6">
        <f>+Chem!E38</f>
        <v>45.203000000000003</v>
      </c>
      <c r="F38" s="6">
        <f t="shared" si="40"/>
        <v>1434.454</v>
      </c>
      <c r="G38" s="98"/>
      <c r="H38" s="9">
        <f t="shared" si="0"/>
        <v>0</v>
      </c>
      <c r="I38" s="7">
        <f t="shared" si="41"/>
        <v>0</v>
      </c>
      <c r="J38" s="9">
        <f t="shared" si="1"/>
        <v>0</v>
      </c>
      <c r="K38" s="98">
        <f>30*K7</f>
        <v>7500</v>
      </c>
      <c r="L38" s="9">
        <f t="shared" si="2"/>
        <v>15.767432473342527</v>
      </c>
      <c r="M38" s="9">
        <f t="shared" si="42"/>
        <v>182375</v>
      </c>
      <c r="N38" s="9">
        <f t="shared" si="3"/>
        <v>12.038623095145912</v>
      </c>
      <c r="O38" s="98"/>
      <c r="P38" s="9">
        <f t="shared" si="4"/>
        <v>0</v>
      </c>
      <c r="Q38" s="9">
        <f t="shared" si="43"/>
        <v>0</v>
      </c>
      <c r="R38" s="9">
        <f t="shared" si="5"/>
        <v>0</v>
      </c>
      <c r="S38" s="98"/>
      <c r="T38" s="9">
        <f t="shared" si="6"/>
        <v>0</v>
      </c>
      <c r="U38" s="9">
        <f t="shared" si="44"/>
        <v>65279.820000000007</v>
      </c>
      <c r="V38" s="9">
        <f t="shared" si="7"/>
        <v>4.3091385809401954</v>
      </c>
      <c r="W38" s="98"/>
      <c r="X38" s="9">
        <f t="shared" si="8"/>
        <v>0</v>
      </c>
      <c r="Y38" s="9">
        <f t="shared" si="45"/>
        <v>3250</v>
      </c>
      <c r="Z38" s="9">
        <f t="shared" si="9"/>
        <v>0.21453337935146929</v>
      </c>
      <c r="AA38" s="9">
        <f t="shared" si="46"/>
        <v>7500</v>
      </c>
      <c r="AB38" s="9">
        <f t="shared" si="10"/>
        <v>15.767432473342527</v>
      </c>
      <c r="AC38" s="9">
        <f t="shared" si="47"/>
        <v>250904.82</v>
      </c>
      <c r="AD38" s="9">
        <f t="shared" si="11"/>
        <v>16.562295055437577</v>
      </c>
      <c r="AE38" s="98"/>
      <c r="AF38" s="9"/>
      <c r="AG38" s="9"/>
      <c r="AH38" s="9"/>
      <c r="AI38" s="98"/>
      <c r="AJ38" s="9">
        <f t="shared" si="12"/>
        <v>0</v>
      </c>
      <c r="AK38" s="9">
        <f t="shared" si="48"/>
        <v>0</v>
      </c>
      <c r="AL38" s="9">
        <f t="shared" si="13"/>
        <v>0</v>
      </c>
      <c r="AM38" s="98"/>
      <c r="AN38" s="9">
        <f t="shared" si="14"/>
        <v>0</v>
      </c>
      <c r="AO38" s="9">
        <f t="shared" si="49"/>
        <v>0</v>
      </c>
      <c r="AP38" s="9">
        <f t="shared" si="15"/>
        <v>0</v>
      </c>
      <c r="AQ38" s="98"/>
      <c r="AR38" s="9">
        <f t="shared" si="16"/>
        <v>0</v>
      </c>
      <c r="AS38" s="9">
        <f t="shared" si="50"/>
        <v>0</v>
      </c>
      <c r="AT38" s="9">
        <f t="shared" si="17"/>
        <v>0</v>
      </c>
      <c r="AU38" s="98">
        <f>80*AU7</f>
        <v>20066.400000000001</v>
      </c>
      <c r="AV38" s="9">
        <f t="shared" si="18"/>
        <v>42.186080931077399</v>
      </c>
      <c r="AW38" s="9">
        <f t="shared" si="51"/>
        <v>39129.480000000003</v>
      </c>
      <c r="AX38" s="9">
        <f t="shared" si="19"/>
        <v>2.5829475620509945</v>
      </c>
      <c r="AY38" s="98"/>
      <c r="AZ38" s="9">
        <f t="shared" si="20"/>
        <v>0</v>
      </c>
      <c r="BA38" s="9">
        <f t="shared" si="52"/>
        <v>0</v>
      </c>
      <c r="BB38" s="9">
        <f t="shared" si="21"/>
        <v>0</v>
      </c>
      <c r="BC38" s="98"/>
      <c r="BD38" s="9">
        <f t="shared" si="22"/>
        <v>0</v>
      </c>
      <c r="BE38" s="9">
        <f t="shared" si="53"/>
        <v>0</v>
      </c>
      <c r="BF38" s="9">
        <f t="shared" si="23"/>
        <v>0</v>
      </c>
      <c r="BG38" s="98"/>
      <c r="BH38" s="9">
        <f t="shared" si="24"/>
        <v>0</v>
      </c>
      <c r="BI38" s="9">
        <f t="shared" si="54"/>
        <v>0</v>
      </c>
      <c r="BJ38" s="9">
        <f t="shared" si="25"/>
        <v>0</v>
      </c>
      <c r="BK38" s="98"/>
      <c r="BL38" s="9"/>
      <c r="BM38" s="9"/>
      <c r="BN38" s="9"/>
      <c r="BO38" s="9">
        <f t="shared" si="55"/>
        <v>20066.400000000001</v>
      </c>
      <c r="BP38" s="9">
        <f t="shared" si="26"/>
        <v>42.186080931077399</v>
      </c>
      <c r="BQ38" s="9">
        <f t="shared" si="56"/>
        <v>39129.480000000003</v>
      </c>
      <c r="BR38" s="9">
        <f t="shared" si="27"/>
        <v>2.5829475620509945</v>
      </c>
      <c r="BS38" s="98">
        <f>80*BS7</f>
        <v>20000</v>
      </c>
      <c r="BT38" s="9">
        <f t="shared" si="28"/>
        <v>42.04648659558007</v>
      </c>
      <c r="BU38" s="9">
        <f t="shared" si="57"/>
        <v>516500</v>
      </c>
      <c r="BV38" s="9">
        <f t="shared" si="29"/>
        <v>34.094304749241203</v>
      </c>
      <c r="BW38" s="98"/>
      <c r="BX38" s="9">
        <f t="shared" si="30"/>
        <v>0</v>
      </c>
      <c r="BY38" s="9">
        <f t="shared" si="58"/>
        <v>422620.49199999997</v>
      </c>
      <c r="BZ38" s="9">
        <f t="shared" si="31"/>
        <v>27.897293025212488</v>
      </c>
      <c r="CA38" s="98"/>
      <c r="CB38" s="14">
        <f t="shared" si="32"/>
        <v>0</v>
      </c>
      <c r="CC38" s="9">
        <f t="shared" si="59"/>
        <v>285760.98000000004</v>
      </c>
      <c r="CD38" s="9">
        <f t="shared" si="33"/>
        <v>18.863159608057735</v>
      </c>
      <c r="CE38" s="9">
        <f t="shared" si="60"/>
        <v>20000</v>
      </c>
      <c r="CF38" s="9">
        <f t="shared" si="34"/>
        <v>42.04648659558007</v>
      </c>
      <c r="CG38" s="9">
        <f t="shared" si="61"/>
        <v>1224881.4719999996</v>
      </c>
      <c r="CH38" s="9">
        <f t="shared" si="35"/>
        <v>80.854757382511394</v>
      </c>
      <c r="CI38" s="98"/>
      <c r="CJ38" s="9">
        <f t="shared" si="36"/>
        <v>0</v>
      </c>
      <c r="CK38" s="9">
        <f t="shared" si="62"/>
        <v>0</v>
      </c>
      <c r="CL38" s="9">
        <f t="shared" si="37"/>
        <v>0</v>
      </c>
      <c r="CM38" s="9">
        <f t="shared" si="63"/>
        <v>47566.400000000001</v>
      </c>
      <c r="CN38" s="9">
        <f t="shared" si="64"/>
        <v>1514915.7720000001</v>
      </c>
      <c r="CO38" s="9">
        <f t="shared" si="38"/>
        <v>1.0522841404331571</v>
      </c>
      <c r="CP38" s="9">
        <f t="shared" si="39"/>
        <v>1.0560922636766323</v>
      </c>
    </row>
    <row r="39" spans="1:94">
      <c r="A39" s="15">
        <f>+Chem!A39</f>
        <v>46021</v>
      </c>
      <c r="B39" s="5" t="str">
        <f>+Chem!B39</f>
        <v>Facial/Toilet</v>
      </c>
      <c r="C39" s="15" t="str">
        <f>+Chem!C39</f>
        <v>12/15</v>
      </c>
      <c r="D39" s="7">
        <f>+Chem!D39</f>
        <v>48.118000000000002</v>
      </c>
      <c r="E39" s="6">
        <f>+Chem!E39</f>
        <v>46.945999999999998</v>
      </c>
      <c r="F39" s="6">
        <f t="shared" si="40"/>
        <v>1481.3999999999999</v>
      </c>
      <c r="G39" s="98"/>
      <c r="H39" s="9">
        <f t="shared" si="0"/>
        <v>0</v>
      </c>
      <c r="I39" s="7">
        <f t="shared" si="41"/>
        <v>0</v>
      </c>
      <c r="J39" s="9">
        <f t="shared" si="1"/>
        <v>0</v>
      </c>
      <c r="K39" s="98">
        <f>33.75*K7</f>
        <v>8437.5</v>
      </c>
      <c r="L39" s="9">
        <f t="shared" si="2"/>
        <v>15.767432473342529</v>
      </c>
      <c r="M39" s="9">
        <f t="shared" si="42"/>
        <v>190812.5</v>
      </c>
      <c r="N39" s="9">
        <f t="shared" si="3"/>
        <v>12.165843979222272</v>
      </c>
      <c r="O39" s="98"/>
      <c r="P39" s="9">
        <f t="shared" si="4"/>
        <v>0</v>
      </c>
      <c r="Q39" s="9">
        <f t="shared" si="43"/>
        <v>0</v>
      </c>
      <c r="R39" s="9">
        <f t="shared" si="5"/>
        <v>0</v>
      </c>
      <c r="S39" s="98"/>
      <c r="T39" s="9">
        <f t="shared" si="6"/>
        <v>0</v>
      </c>
      <c r="U39" s="9">
        <f t="shared" si="44"/>
        <v>65279.820000000007</v>
      </c>
      <c r="V39" s="9">
        <f t="shared" si="7"/>
        <v>4.1621178125736717</v>
      </c>
      <c r="W39" s="98"/>
      <c r="X39" s="9">
        <f t="shared" si="8"/>
        <v>0</v>
      </c>
      <c r="Y39" s="9">
        <f t="shared" si="45"/>
        <v>3250</v>
      </c>
      <c r="Z39" s="9">
        <f t="shared" si="9"/>
        <v>0.20721385093991426</v>
      </c>
      <c r="AA39" s="9">
        <f t="shared" si="46"/>
        <v>8437.5</v>
      </c>
      <c r="AB39" s="9">
        <f t="shared" si="10"/>
        <v>15.767432473342529</v>
      </c>
      <c r="AC39" s="9">
        <f t="shared" si="47"/>
        <v>259342.32</v>
      </c>
      <c r="AD39" s="9">
        <f t="shared" si="11"/>
        <v>16.535175642735858</v>
      </c>
      <c r="AE39" s="98"/>
      <c r="AF39" s="9"/>
      <c r="AG39" s="9"/>
      <c r="AH39" s="9"/>
      <c r="AI39" s="98"/>
      <c r="AJ39" s="9">
        <f t="shared" si="12"/>
        <v>0</v>
      </c>
      <c r="AK39" s="9">
        <f t="shared" si="48"/>
        <v>0</v>
      </c>
      <c r="AL39" s="9">
        <f t="shared" si="13"/>
        <v>0</v>
      </c>
      <c r="AM39" s="98"/>
      <c r="AN39" s="9">
        <f t="shared" si="14"/>
        <v>0</v>
      </c>
      <c r="AO39" s="9">
        <f t="shared" si="49"/>
        <v>0</v>
      </c>
      <c r="AP39" s="9">
        <f t="shared" si="15"/>
        <v>0</v>
      </c>
      <c r="AQ39" s="98"/>
      <c r="AR39" s="9">
        <f t="shared" si="16"/>
        <v>0</v>
      </c>
      <c r="AS39" s="9">
        <f t="shared" si="50"/>
        <v>0</v>
      </c>
      <c r="AT39" s="9">
        <f t="shared" si="17"/>
        <v>0</v>
      </c>
      <c r="AU39" s="98">
        <f>90*AU7</f>
        <v>22574.7</v>
      </c>
      <c r="AV39" s="9">
        <f t="shared" si="18"/>
        <v>42.186080931077399</v>
      </c>
      <c r="AW39" s="9">
        <f t="shared" si="51"/>
        <v>61704.180000000008</v>
      </c>
      <c r="AX39" s="9">
        <f t="shared" si="19"/>
        <v>3.9341417713506583</v>
      </c>
      <c r="AY39" s="98"/>
      <c r="AZ39" s="9">
        <f t="shared" si="20"/>
        <v>0</v>
      </c>
      <c r="BA39" s="9">
        <f t="shared" si="52"/>
        <v>0</v>
      </c>
      <c r="BB39" s="9">
        <f t="shared" si="21"/>
        <v>0</v>
      </c>
      <c r="BC39" s="98"/>
      <c r="BD39" s="9">
        <f t="shared" si="22"/>
        <v>0</v>
      </c>
      <c r="BE39" s="9">
        <f t="shared" si="53"/>
        <v>0</v>
      </c>
      <c r="BF39" s="9">
        <f t="shared" si="23"/>
        <v>0</v>
      </c>
      <c r="BG39" s="98"/>
      <c r="BH39" s="9">
        <f t="shared" si="24"/>
        <v>0</v>
      </c>
      <c r="BI39" s="9">
        <f t="shared" si="54"/>
        <v>0</v>
      </c>
      <c r="BJ39" s="9">
        <f t="shared" si="25"/>
        <v>0</v>
      </c>
      <c r="BK39" s="98"/>
      <c r="BL39" s="9"/>
      <c r="BM39" s="9"/>
      <c r="BN39" s="9"/>
      <c r="BO39" s="9">
        <f t="shared" si="55"/>
        <v>22574.7</v>
      </c>
      <c r="BP39" s="9">
        <f t="shared" si="26"/>
        <v>42.186080931077399</v>
      </c>
      <c r="BQ39" s="9">
        <f t="shared" si="56"/>
        <v>61704.180000000008</v>
      </c>
      <c r="BR39" s="9">
        <f t="shared" si="27"/>
        <v>3.9341417713506583</v>
      </c>
      <c r="BS39" s="98">
        <f>90*BS7</f>
        <v>22500</v>
      </c>
      <c r="BT39" s="9">
        <f t="shared" si="28"/>
        <v>42.04648659558007</v>
      </c>
      <c r="BU39" s="9">
        <f t="shared" si="57"/>
        <v>539000</v>
      </c>
      <c r="BV39" s="9">
        <f t="shared" si="29"/>
        <v>34.365620202035011</v>
      </c>
      <c r="BW39" s="98"/>
      <c r="BX39" s="9">
        <f t="shared" si="30"/>
        <v>0</v>
      </c>
      <c r="BY39" s="9">
        <f t="shared" si="58"/>
        <v>422620.49199999997</v>
      </c>
      <c r="BZ39" s="9">
        <f t="shared" si="31"/>
        <v>26.94548296413576</v>
      </c>
      <c r="CA39" s="98"/>
      <c r="CB39" s="14">
        <f t="shared" si="32"/>
        <v>0</v>
      </c>
      <c r="CC39" s="9">
        <f t="shared" si="59"/>
        <v>285760.98000000004</v>
      </c>
      <c r="CD39" s="9">
        <f t="shared" si="33"/>
        <v>18.219579419742715</v>
      </c>
      <c r="CE39" s="9">
        <f t="shared" si="60"/>
        <v>22500</v>
      </c>
      <c r="CF39" s="9">
        <f t="shared" si="34"/>
        <v>42.04648659558007</v>
      </c>
      <c r="CG39" s="9">
        <f t="shared" si="61"/>
        <v>1247381.4719999996</v>
      </c>
      <c r="CH39" s="9">
        <f t="shared" si="35"/>
        <v>79.530682585913453</v>
      </c>
      <c r="CI39" s="98"/>
      <c r="CJ39" s="9">
        <f t="shared" si="36"/>
        <v>0</v>
      </c>
      <c r="CK39" s="9">
        <f t="shared" si="62"/>
        <v>0</v>
      </c>
      <c r="CL39" s="9">
        <f t="shared" si="37"/>
        <v>0</v>
      </c>
      <c r="CM39" s="9">
        <f t="shared" si="63"/>
        <v>53512.2</v>
      </c>
      <c r="CN39" s="9">
        <f t="shared" si="64"/>
        <v>1568427.9720000001</v>
      </c>
      <c r="CO39" s="9">
        <f t="shared" si="38"/>
        <v>1.1398670813274827</v>
      </c>
      <c r="CP39" s="9">
        <f t="shared" si="39"/>
        <v>1.0587471121911707</v>
      </c>
    </row>
    <row r="40" spans="1:94">
      <c r="A40" s="15">
        <f>+Chem!A40</f>
        <v>46022</v>
      </c>
      <c r="B40" s="5" t="str">
        <f>+Chem!B40</f>
        <v>Toilet</v>
      </c>
      <c r="C40" s="15" t="str">
        <f>+Chem!C40</f>
        <v>15</v>
      </c>
      <c r="D40" s="7">
        <f>+Chem!D40</f>
        <v>55.849000000000004</v>
      </c>
      <c r="E40" s="6">
        <f>+Chem!E40</f>
        <v>53.325000000000003</v>
      </c>
      <c r="F40" s="6">
        <f>+E40+F39</f>
        <v>1534.7249999999999</v>
      </c>
      <c r="G40" s="98"/>
      <c r="H40" s="9">
        <f t="shared" si="0"/>
        <v>0</v>
      </c>
      <c r="I40" s="7">
        <f>G40+I39</f>
        <v>0</v>
      </c>
      <c r="J40" s="9">
        <f t="shared" si="1"/>
        <v>0</v>
      </c>
      <c r="K40" s="98">
        <f>35.25*K7</f>
        <v>8812.5</v>
      </c>
      <c r="L40" s="9">
        <f t="shared" si="2"/>
        <v>15.767432473342527</v>
      </c>
      <c r="M40" s="9">
        <f>+K40+M39</f>
        <v>199625</v>
      </c>
      <c r="N40" s="9">
        <f t="shared" si="3"/>
        <v>12.289769585409607</v>
      </c>
      <c r="O40" s="98"/>
      <c r="P40" s="9">
        <f t="shared" si="4"/>
        <v>0</v>
      </c>
      <c r="Q40" s="9">
        <f>+O40+Q39</f>
        <v>0</v>
      </c>
      <c r="R40" s="9">
        <f t="shared" si="5"/>
        <v>0</v>
      </c>
      <c r="S40" s="98"/>
      <c r="T40" s="9">
        <f t="shared" si="6"/>
        <v>0</v>
      </c>
      <c r="U40" s="9">
        <f>+S40+U39</f>
        <v>65279.820000000007</v>
      </c>
      <c r="V40" s="9">
        <f t="shared" si="7"/>
        <v>4.0189051790958743</v>
      </c>
      <c r="W40" s="98"/>
      <c r="X40" s="9">
        <f t="shared" si="8"/>
        <v>0</v>
      </c>
      <c r="Y40" s="9">
        <f>+W40+Y39</f>
        <v>3250</v>
      </c>
      <c r="Z40" s="9">
        <f t="shared" si="9"/>
        <v>0.20008391309996859</v>
      </c>
      <c r="AA40" s="9">
        <f t="shared" si="46"/>
        <v>8812.5</v>
      </c>
      <c r="AB40" s="9">
        <f>AA40/CM40*100</f>
        <v>15.767432473342527</v>
      </c>
      <c r="AC40" s="9">
        <f>AA40+AC39</f>
        <v>268154.82</v>
      </c>
      <c r="AD40" s="9">
        <f>AC40/CN40*100</f>
        <v>16.508758677605449</v>
      </c>
      <c r="AE40" s="98"/>
      <c r="AF40" s="9"/>
      <c r="AG40" s="9"/>
      <c r="AH40" s="9"/>
      <c r="AI40" s="98"/>
      <c r="AJ40" s="9">
        <f>AI40/CM40*100</f>
        <v>0</v>
      </c>
      <c r="AK40" s="9">
        <f>AI40+AK39</f>
        <v>0</v>
      </c>
      <c r="AL40" s="9">
        <f>AK40/CN40*100</f>
        <v>0</v>
      </c>
      <c r="AM40" s="98"/>
      <c r="AN40" s="9">
        <f>AM40/CM40*100</f>
        <v>0</v>
      </c>
      <c r="AO40" s="9">
        <f>AM40+AO39</f>
        <v>0</v>
      </c>
      <c r="AP40" s="9">
        <f>AO40/CN40*100</f>
        <v>0</v>
      </c>
      <c r="AQ40" s="98"/>
      <c r="AR40" s="9">
        <f>AQ40/CM40*100</f>
        <v>0</v>
      </c>
      <c r="AS40" s="9">
        <f>AQ40+AS39</f>
        <v>0</v>
      </c>
      <c r="AT40" s="9">
        <f>AS40/CN40*100</f>
        <v>0</v>
      </c>
      <c r="AU40" s="98">
        <f>94*AU7</f>
        <v>23578.02</v>
      </c>
      <c r="AV40" s="9">
        <f>AU40/CM40*100</f>
        <v>42.186080931077399</v>
      </c>
      <c r="AW40" s="9">
        <f>AU40+AW39</f>
        <v>85282.200000000012</v>
      </c>
      <c r="AX40" s="9">
        <f>AW40/CN40*100</f>
        <v>5.2503373211612736</v>
      </c>
      <c r="AY40" s="98"/>
      <c r="AZ40" s="9">
        <f>AY40/CM40*100</f>
        <v>0</v>
      </c>
      <c r="BA40" s="9">
        <f>AY40+BA39</f>
        <v>0</v>
      </c>
      <c r="BB40" s="9">
        <f>BA40/CN40*100</f>
        <v>0</v>
      </c>
      <c r="BC40" s="98"/>
      <c r="BD40" s="9">
        <f>BC40/CM40*100</f>
        <v>0</v>
      </c>
      <c r="BE40" s="9">
        <f>BC40+BE39</f>
        <v>0</v>
      </c>
      <c r="BF40" s="9">
        <f>BE40/CN40</f>
        <v>0</v>
      </c>
      <c r="BG40" s="98"/>
      <c r="BH40" s="9">
        <f>BG40/CM40*100</f>
        <v>0</v>
      </c>
      <c r="BI40" s="9">
        <f>BG40+BI39</f>
        <v>0</v>
      </c>
      <c r="BJ40" s="9">
        <f>BI40/CN40*100</f>
        <v>0</v>
      </c>
      <c r="BK40" s="98"/>
      <c r="BL40" s="9"/>
      <c r="BM40" s="9"/>
      <c r="BN40" s="9"/>
      <c r="BO40" s="9">
        <f>AI40+AM40+AQ40+AU40+AY40+BC40+BG40</f>
        <v>23578.02</v>
      </c>
      <c r="BP40" s="9">
        <f>BO40/CM40*100</f>
        <v>42.186080931077399</v>
      </c>
      <c r="BQ40" s="9">
        <f>BO40+BQ39</f>
        <v>85282.200000000012</v>
      </c>
      <c r="BR40" s="9">
        <f>BQ40/CN40*100</f>
        <v>5.2503373211612736</v>
      </c>
      <c r="BS40" s="98">
        <f>94*BS7</f>
        <v>23500</v>
      </c>
      <c r="BT40" s="9">
        <f>+BS40/CM40*100</f>
        <v>42.04648659558007</v>
      </c>
      <c r="BU40" s="9">
        <f>+BS40+BU39</f>
        <v>562500</v>
      </c>
      <c r="BV40" s="9">
        <f>+BU40/CN40*100</f>
        <v>34.629908036533017</v>
      </c>
      <c r="BW40" s="98"/>
      <c r="BX40" s="9">
        <f>BW40/CM40*100</f>
        <v>0</v>
      </c>
      <c r="BY40" s="9">
        <f>BW40+BY39</f>
        <v>422620.49199999997</v>
      </c>
      <c r="BZ40" s="9">
        <f>BY40/CN40*100</f>
        <v>26.018326706336602</v>
      </c>
      <c r="CA40" s="98"/>
      <c r="CB40" s="14">
        <f>CA40/CM40*100</f>
        <v>0</v>
      </c>
      <c r="CC40" s="9">
        <f>CA40+CC39</f>
        <v>285760.98000000004</v>
      </c>
      <c r="CD40" s="9">
        <f>CC40/CN40*100</f>
        <v>17.592669258363649</v>
      </c>
      <c r="CE40" s="9">
        <f>BS40+BW40+CA40</f>
        <v>23500</v>
      </c>
      <c r="CF40" s="9">
        <f>CE40/CM40*100</f>
        <v>42.04648659558007</v>
      </c>
      <c r="CG40" s="9">
        <f>CE40+CG39</f>
        <v>1270881.4719999996</v>
      </c>
      <c r="CH40" s="9">
        <f>CG40/CN40*100</f>
        <v>78.240904001233247</v>
      </c>
      <c r="CI40" s="98"/>
      <c r="CJ40" s="9">
        <f>CI40/CM40*100</f>
        <v>0</v>
      </c>
      <c r="CK40" s="9">
        <f>CI40+CK39</f>
        <v>0</v>
      </c>
      <c r="CL40" s="9">
        <f>CK40/CN40*100</f>
        <v>0</v>
      </c>
      <c r="CM40" s="9">
        <f>AA40+BO40+CE40+CI40</f>
        <v>55890.520000000004</v>
      </c>
      <c r="CN40" s="9">
        <f>CM40+CN39</f>
        <v>1624318.4920000001</v>
      </c>
      <c r="CO40" s="9">
        <f t="shared" si="38"/>
        <v>1.0481110173464603</v>
      </c>
      <c r="CP40" s="9">
        <f t="shared" si="39"/>
        <v>1.0583775542849698</v>
      </c>
    </row>
    <row r="41" spans="1:94">
      <c r="A41" s="15"/>
      <c r="B41" s="15"/>
      <c r="C41" s="15"/>
      <c r="D41" s="7"/>
      <c r="E41" s="6"/>
      <c r="F41" s="6"/>
      <c r="G41" s="98"/>
      <c r="H41" s="9"/>
      <c r="I41" s="7"/>
      <c r="J41" s="9"/>
      <c r="K41" s="98"/>
      <c r="L41" s="9"/>
      <c r="M41" s="9"/>
      <c r="N41" s="9"/>
      <c r="O41" s="98"/>
      <c r="P41" s="9"/>
      <c r="Q41" s="9"/>
      <c r="R41" s="9"/>
      <c r="S41" s="98"/>
      <c r="T41" s="9"/>
      <c r="U41" s="9"/>
      <c r="V41" s="9"/>
      <c r="W41" s="98"/>
      <c r="X41" s="9"/>
      <c r="Y41" s="9"/>
      <c r="Z41" s="9"/>
      <c r="AA41" s="9"/>
      <c r="AB41" s="9"/>
      <c r="AC41" s="9"/>
      <c r="AD41" s="9"/>
      <c r="AE41" s="98"/>
      <c r="AF41" s="9"/>
      <c r="AG41" s="9"/>
      <c r="AH41" s="9"/>
      <c r="AI41" s="98"/>
      <c r="AJ41" s="9"/>
      <c r="AK41" s="9"/>
      <c r="AL41" s="9"/>
      <c r="AM41" s="98"/>
      <c r="AN41" s="9"/>
      <c r="AO41" s="9"/>
      <c r="AP41" s="9"/>
      <c r="AQ41" s="98"/>
      <c r="AR41" s="9"/>
      <c r="AS41" s="9"/>
      <c r="AT41" s="9"/>
      <c r="AU41" s="98"/>
      <c r="AV41" s="9"/>
      <c r="AW41" s="9"/>
      <c r="AX41" s="9"/>
      <c r="AY41" s="98"/>
      <c r="AZ41" s="9"/>
      <c r="BA41" s="9"/>
      <c r="BB41" s="9"/>
      <c r="BC41" s="98"/>
      <c r="BD41" s="9"/>
      <c r="BE41" s="9"/>
      <c r="BF41" s="9"/>
      <c r="BG41" s="98"/>
      <c r="BH41" s="9"/>
      <c r="BI41" s="9"/>
      <c r="BJ41" s="9"/>
      <c r="BK41" s="98"/>
      <c r="BL41" s="9"/>
      <c r="BM41" s="9"/>
      <c r="BN41" s="9"/>
      <c r="BO41" s="9"/>
      <c r="BP41" s="9"/>
      <c r="BQ41" s="9"/>
      <c r="BR41" s="9"/>
      <c r="BS41" s="98"/>
      <c r="BT41" s="9"/>
      <c r="BU41" s="9"/>
      <c r="BV41" s="9"/>
      <c r="BW41" s="98"/>
      <c r="BX41" s="9"/>
      <c r="BY41" s="9"/>
      <c r="BZ41" s="9"/>
      <c r="CA41" s="98"/>
      <c r="CB41" s="14"/>
      <c r="CC41" s="9"/>
      <c r="CD41" s="9"/>
      <c r="CE41" s="9"/>
      <c r="CF41" s="9"/>
      <c r="CG41" s="9"/>
      <c r="CH41" s="9"/>
      <c r="CI41" s="98"/>
      <c r="CJ41" s="9"/>
      <c r="CK41" s="9"/>
      <c r="CL41" s="9"/>
      <c r="CM41" s="9"/>
      <c r="CN41" s="9"/>
      <c r="CO41" s="9"/>
      <c r="CP41" s="9"/>
    </row>
    <row r="42" spans="1:94" ht="13.5" thickBot="1">
      <c r="A42" s="10" t="s">
        <v>27</v>
      </c>
      <c r="B42" s="10"/>
      <c r="C42" s="11"/>
      <c r="D42" s="11">
        <f>SUM(D10:D41)</f>
        <v>1572.6529999999998</v>
      </c>
      <c r="E42" s="11">
        <f>SUM(E10:E41)</f>
        <v>1534.7249999999999</v>
      </c>
      <c r="F42" s="11"/>
      <c r="G42" s="11">
        <f>SUM(G10:G41)</f>
        <v>0</v>
      </c>
      <c r="H42" s="11">
        <f>G42/CM42*100</f>
        <v>0</v>
      </c>
      <c r="I42" s="11"/>
      <c r="J42" s="11"/>
      <c r="K42" s="11">
        <f>SUM(K10:K41)</f>
        <v>199625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f>SUM(AA10:AA41)</f>
        <v>268154.82</v>
      </c>
      <c r="AB42" s="18">
        <f>AA42/$CM$42*100</f>
        <v>16.508758677605449</v>
      </c>
      <c r="AC42" s="11"/>
      <c r="AD42" s="11"/>
      <c r="AE42" s="11">
        <f>SUM(AE10:AE41)</f>
        <v>0</v>
      </c>
      <c r="AF42" s="11" t="e">
        <f>AE42/CI42*100</f>
        <v>#DIV/0!</v>
      </c>
      <c r="AG42" s="11"/>
      <c r="AH42" s="11"/>
      <c r="AI42" s="11">
        <f>SUM(AI10:AI41)</f>
        <v>0</v>
      </c>
      <c r="AJ42" s="11">
        <f>AI42/$CM$42*100</f>
        <v>0</v>
      </c>
      <c r="AK42" s="11"/>
      <c r="AL42" s="11"/>
      <c r="AM42" s="11">
        <f>SUM(AM10:AM41)</f>
        <v>0</v>
      </c>
      <c r="AN42" s="11">
        <f>AM42/$CM$42*100</f>
        <v>0</v>
      </c>
      <c r="AO42" s="11"/>
      <c r="AP42" s="11"/>
      <c r="AQ42" s="11">
        <f>SUM(AQ10:AQ41)</f>
        <v>0</v>
      </c>
      <c r="AR42" s="11">
        <f>AQ42/$CM$42*100</f>
        <v>0</v>
      </c>
      <c r="AS42" s="11"/>
      <c r="AT42" s="11"/>
      <c r="AU42" s="11">
        <f>SUM(AU10:AU41)</f>
        <v>85282.200000000012</v>
      </c>
      <c r="AV42" s="11">
        <f>AU42/$CM$42*100</f>
        <v>5.2503373211612736</v>
      </c>
      <c r="AW42" s="11"/>
      <c r="AX42" s="11"/>
      <c r="AY42" s="11">
        <f>SUM(AY10:AY41)</f>
        <v>0</v>
      </c>
      <c r="AZ42" s="11">
        <f>AY42/$CM$42*100</f>
        <v>0</v>
      </c>
      <c r="BA42" s="11"/>
      <c r="BB42" s="11"/>
      <c r="BC42" s="11">
        <f>SUM(BC10:BC41)</f>
        <v>0</v>
      </c>
      <c r="BD42" s="11">
        <f>BC42/$CM$42*100</f>
        <v>0</v>
      </c>
      <c r="BE42" s="11"/>
      <c r="BF42" s="11"/>
      <c r="BG42" s="11">
        <f>SUM(BG10:BG41)</f>
        <v>0</v>
      </c>
      <c r="BH42" s="11">
        <f>BG42/$CM$42*100</f>
        <v>0</v>
      </c>
      <c r="BI42" s="11"/>
      <c r="BJ42" s="11"/>
      <c r="BK42" s="11">
        <f>SUM(BK10:BK41)</f>
        <v>0</v>
      </c>
      <c r="BL42" s="11"/>
      <c r="BM42" s="11"/>
      <c r="BN42" s="11"/>
      <c r="BO42" s="11">
        <f>SUM(BO10:BO41)</f>
        <v>85282.200000000012</v>
      </c>
      <c r="BP42" s="18">
        <f>BO42/$CM$42*100</f>
        <v>5.2503373211612736</v>
      </c>
      <c r="BQ42" s="11"/>
      <c r="BR42" s="11"/>
      <c r="BS42" s="11">
        <f>SUM(BS10:BS41)</f>
        <v>562500</v>
      </c>
      <c r="BT42" s="11">
        <f>BS42/$CM$42*100</f>
        <v>34.629908036533017</v>
      </c>
      <c r="BU42" s="11"/>
      <c r="BV42" s="11"/>
      <c r="BW42" s="11">
        <f>SUM(BW10:BW41)</f>
        <v>422620.49199999997</v>
      </c>
      <c r="BX42" s="11">
        <f>BW42/$CM$42*100</f>
        <v>26.018326706336602</v>
      </c>
      <c r="BY42" s="11"/>
      <c r="BZ42" s="11"/>
      <c r="CA42" s="11">
        <f>SUM(CA10:CA41)</f>
        <v>285760.98000000004</v>
      </c>
      <c r="CB42" s="11">
        <f>CA42/$CM$42*100</f>
        <v>17.592669258363649</v>
      </c>
      <c r="CC42" s="11"/>
      <c r="CD42" s="11"/>
      <c r="CE42" s="11">
        <f>SUM(CE10:CE41)</f>
        <v>1270881.4719999996</v>
      </c>
      <c r="CF42" s="20">
        <f>CE42/$CM$42*100</f>
        <v>78.240904001233247</v>
      </c>
      <c r="CG42" s="11"/>
      <c r="CH42" s="11"/>
      <c r="CI42" s="11">
        <f>SUM(CI10:CI41)</f>
        <v>0</v>
      </c>
      <c r="CJ42" s="11">
        <f>CI42/$CM$42*100</f>
        <v>0</v>
      </c>
      <c r="CK42" s="11"/>
      <c r="CL42" s="11"/>
      <c r="CM42" s="11">
        <f>SUM(CM10:CM41)</f>
        <v>1624318.4920000001</v>
      </c>
      <c r="CN42" s="11">
        <f>CM42/$CM$42*100</f>
        <v>100</v>
      </c>
      <c r="CO42" s="11">
        <f>CM42/1000/E42</f>
        <v>1.0583775542849698</v>
      </c>
      <c r="CP42" s="11"/>
    </row>
    <row r="43" spans="1:94" ht="13.5" thickTop="1"/>
    <row r="44" spans="1:94">
      <c r="AE44" s="13"/>
      <c r="AU44" s="13"/>
      <c r="AY44" s="13"/>
      <c r="CF44" s="13"/>
      <c r="CI44" s="13"/>
      <c r="CJ44" s="13"/>
    </row>
    <row r="45" spans="1:94">
      <c r="E45" s="13"/>
      <c r="F45" s="13"/>
      <c r="G45" s="13"/>
      <c r="I45" s="13"/>
      <c r="AU45" s="13"/>
      <c r="AY45" s="13"/>
      <c r="CI45" s="13"/>
    </row>
  </sheetData>
  <mergeCells count="28">
    <mergeCell ref="AE8:AH8"/>
    <mergeCell ref="A8:A9"/>
    <mergeCell ref="B8:B9"/>
    <mergeCell ref="C8:C9"/>
    <mergeCell ref="K8:N8"/>
    <mergeCell ref="W8:Z8"/>
    <mergeCell ref="D8:D9"/>
    <mergeCell ref="E8:F8"/>
    <mergeCell ref="O8:R8"/>
    <mergeCell ref="G8:J8"/>
    <mergeCell ref="AA8:AD8"/>
    <mergeCell ref="S8:V8"/>
    <mergeCell ref="BG8:BJ8"/>
    <mergeCell ref="AI8:AL8"/>
    <mergeCell ref="AQ8:AT8"/>
    <mergeCell ref="BK8:BN8"/>
    <mergeCell ref="CO8:CP8"/>
    <mergeCell ref="BW8:BZ8"/>
    <mergeCell ref="CE8:CH8"/>
    <mergeCell ref="CI8:CL8"/>
    <mergeCell ref="CM8:CN8"/>
    <mergeCell ref="CA8:CD8"/>
    <mergeCell ref="BS8:BV8"/>
    <mergeCell ref="BO8:BR8"/>
    <mergeCell ref="AM8:AP8"/>
    <mergeCell ref="AU8:AX8"/>
    <mergeCell ref="BC8:BF8"/>
    <mergeCell ref="AY8:BB8"/>
  </mergeCells>
  <phoneticPr fontId="30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selection activeCell="AG4" sqref="AG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7" width="9.140625" hidden="1" customWidth="1"/>
    <col min="28" max="32" width="9.140625" customWidth="1"/>
    <col min="34" max="34" width="10.85546875" bestFit="1" customWidth="1"/>
    <col min="35" max="35" width="16.28515625" bestFit="1" customWidth="1"/>
  </cols>
  <sheetData>
    <row r="1" spans="1:42">
      <c r="A1" s="388" t="s">
        <v>365</v>
      </c>
      <c r="B1">
        <v>3640</v>
      </c>
      <c r="C1">
        <v>3940</v>
      </c>
      <c r="D1">
        <v>3948</v>
      </c>
      <c r="E1">
        <v>3489</v>
      </c>
      <c r="F1">
        <v>4092</v>
      </c>
      <c r="G1">
        <v>3962</v>
      </c>
      <c r="H1">
        <f>6.414+2.483</f>
        <v>8.8970000000000002</v>
      </c>
      <c r="I1">
        <v>3853</v>
      </c>
      <c r="J1">
        <v>3405</v>
      </c>
      <c r="K1">
        <v>3750</v>
      </c>
      <c r="L1">
        <v>3755</v>
      </c>
      <c r="M1">
        <v>3659</v>
      </c>
      <c r="N1">
        <v>3406</v>
      </c>
      <c r="O1">
        <v>3782</v>
      </c>
      <c r="P1">
        <v>3955</v>
      </c>
      <c r="Q1">
        <v>4276</v>
      </c>
      <c r="R1">
        <v>3528</v>
      </c>
      <c r="S1">
        <v>3628</v>
      </c>
      <c r="T1">
        <v>3851</v>
      </c>
      <c r="U1">
        <v>3523</v>
      </c>
      <c r="V1">
        <v>3849</v>
      </c>
      <c r="W1">
        <v>3605</v>
      </c>
      <c r="X1">
        <v>3861</v>
      </c>
      <c r="Y1">
        <v>3457</v>
      </c>
      <c r="Z1">
        <v>3458</v>
      </c>
      <c r="AA1">
        <v>4010</v>
      </c>
      <c r="AB1">
        <v>3346</v>
      </c>
      <c r="AC1">
        <v>3722</v>
      </c>
      <c r="AD1">
        <v>3866</v>
      </c>
      <c r="AE1">
        <v>3529</v>
      </c>
      <c r="AF1">
        <v>3564</v>
      </c>
    </row>
    <row r="2" spans="1:42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56" t="s">
        <v>268</v>
      </c>
      <c r="AH2" s="457" t="s">
        <v>269</v>
      </c>
      <c r="AI2" s="458" t="s">
        <v>270</v>
      </c>
    </row>
    <row r="3" spans="1:42">
      <c r="A3" s="430" t="s">
        <v>199</v>
      </c>
      <c r="B3" s="5">
        <v>8.6039999999999992</v>
      </c>
      <c r="C3" s="5">
        <v>8.0860000000000003</v>
      </c>
      <c r="D3" s="431">
        <v>5.0720000000000001</v>
      </c>
      <c r="E3" s="5">
        <v>10.55</v>
      </c>
      <c r="F3" s="5">
        <f>4.56+2.285</f>
        <v>6.8449999999999998</v>
      </c>
      <c r="G3" s="5">
        <f>3.487+3.483</f>
        <v>6.9700000000000006</v>
      </c>
      <c r="H3" s="5">
        <v>6.4139999999999997</v>
      </c>
      <c r="I3" s="5">
        <v>3.794</v>
      </c>
      <c r="J3" s="5">
        <v>2.4079999999999999</v>
      </c>
      <c r="K3" s="5">
        <v>3.109</v>
      </c>
      <c r="L3" s="5">
        <v>3.3940000000000001</v>
      </c>
      <c r="M3" s="5">
        <v>4.7350000000000003</v>
      </c>
      <c r="N3" s="5">
        <v>3.5209999999999999</v>
      </c>
      <c r="O3" s="5">
        <f>1.428+2.557</f>
        <v>3.9849999999999999</v>
      </c>
      <c r="P3" s="5">
        <v>6.7380000000000004</v>
      </c>
      <c r="Q3" s="5">
        <f>7.26</f>
        <v>7.26</v>
      </c>
      <c r="R3" s="5">
        <v>4.8</v>
      </c>
      <c r="S3" s="5">
        <v>9.3000000000000007</v>
      </c>
      <c r="T3" s="5">
        <v>11.54</v>
      </c>
      <c r="U3" s="5">
        <v>3.3</v>
      </c>
      <c r="V3" s="5">
        <v>5.9340000000000002</v>
      </c>
      <c r="W3" s="5">
        <v>4.3419999999999996</v>
      </c>
      <c r="X3" s="5">
        <v>5.7549999999999999</v>
      </c>
      <c r="Y3" s="5">
        <v>2.1339999999999999</v>
      </c>
      <c r="Z3" s="5">
        <v>4.3449999999999998</v>
      </c>
      <c r="AA3" s="5">
        <v>4.6070000000000002</v>
      </c>
      <c r="AB3" s="5">
        <v>3.36</v>
      </c>
      <c r="AC3" s="5">
        <f>0.651+4.133</f>
        <v>4.7839999999999998</v>
      </c>
      <c r="AD3" s="5">
        <v>3.73</v>
      </c>
      <c r="AE3" s="5">
        <v>3.6909999999999998</v>
      </c>
      <c r="AF3" s="5">
        <v>4.8680000000000003</v>
      </c>
      <c r="AG3" s="5">
        <f>+AF3</f>
        <v>4.8680000000000003</v>
      </c>
      <c r="AH3" s="453">
        <f>+AG3/Efficiency1!$K$137</f>
        <v>2.9547243465344749E-3</v>
      </c>
      <c r="AI3" s="749">
        <f>SUM(AH3:AH4)</f>
        <v>3.2812735861473645E-3</v>
      </c>
    </row>
    <row r="4" spans="1:42">
      <c r="A4" s="430" t="s">
        <v>200</v>
      </c>
      <c r="B4" s="5">
        <v>0.63400000000000001</v>
      </c>
      <c r="C4" s="5">
        <v>1.524</v>
      </c>
      <c r="D4" s="5">
        <v>1.1040000000000001</v>
      </c>
      <c r="E4" s="5">
        <v>0</v>
      </c>
      <c r="F4" s="5">
        <v>0.434</v>
      </c>
      <c r="G4" s="5">
        <v>1.008</v>
      </c>
      <c r="H4" s="5">
        <v>1.032</v>
      </c>
      <c r="I4" s="5">
        <v>0.72899999999999998</v>
      </c>
      <c r="J4" s="5">
        <v>0.998</v>
      </c>
      <c r="K4" s="5">
        <v>0.01</v>
      </c>
      <c r="L4" s="5">
        <v>0.98</v>
      </c>
      <c r="M4" s="5">
        <v>1.75</v>
      </c>
      <c r="N4" s="431">
        <v>3.5000000000000003E-2</v>
      </c>
      <c r="O4" s="431">
        <v>0.5</v>
      </c>
      <c r="P4" s="5">
        <v>1.2</v>
      </c>
      <c r="Q4" s="5">
        <v>0.16500000000000001</v>
      </c>
      <c r="R4" s="5">
        <v>0.86899999999999999</v>
      </c>
      <c r="S4" s="5">
        <v>2.2360000000000002</v>
      </c>
      <c r="T4" s="5">
        <v>0.35299999999999998</v>
      </c>
      <c r="U4" s="5">
        <v>0.22</v>
      </c>
      <c r="V4" s="5">
        <v>2.153</v>
      </c>
      <c r="W4" s="431">
        <v>2.15</v>
      </c>
      <c r="X4" s="5">
        <v>1.3839999999999999</v>
      </c>
      <c r="Y4" s="5">
        <v>0.82399999999999995</v>
      </c>
      <c r="Z4" s="5">
        <v>0.26100000000000001</v>
      </c>
      <c r="AA4" s="5">
        <v>1.56</v>
      </c>
      <c r="AB4" s="5">
        <v>1.867</v>
      </c>
      <c r="AC4" s="5">
        <v>1.095</v>
      </c>
      <c r="AD4" s="5">
        <v>0.16</v>
      </c>
      <c r="AE4" s="5">
        <v>1.774</v>
      </c>
      <c r="AF4" s="5">
        <v>0.53800000000000003</v>
      </c>
      <c r="AG4" s="5">
        <f>+AF4</f>
        <v>0.53800000000000003</v>
      </c>
      <c r="AH4" s="453">
        <f>+AG4/Efficiency1!$K$137</f>
        <v>3.2654923961288979E-4</v>
      </c>
      <c r="AI4" s="750"/>
    </row>
    <row r="5" spans="1:42">
      <c r="A5" s="459"/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1"/>
      <c r="O5" s="461"/>
      <c r="P5" s="460"/>
      <c r="Q5" s="460"/>
      <c r="R5" s="460"/>
      <c r="S5" s="460"/>
      <c r="T5" s="460"/>
      <c r="U5" s="460"/>
      <c r="V5" s="460"/>
      <c r="W5" s="461"/>
      <c r="X5" s="460"/>
      <c r="Y5" s="460"/>
      <c r="Z5" s="460"/>
      <c r="AA5" s="460"/>
      <c r="AB5" s="460"/>
      <c r="AC5" s="460"/>
      <c r="AD5" s="460"/>
      <c r="AE5" s="460"/>
      <c r="AF5" s="460"/>
      <c r="AG5" s="460"/>
      <c r="AH5" s="462"/>
    </row>
    <row r="6" spans="1:42">
      <c r="A6" s="430" t="s">
        <v>366</v>
      </c>
      <c r="B6" s="431">
        <f>0.063+0.27+0.1</f>
        <v>0.43300000000000005</v>
      </c>
      <c r="C6" s="5">
        <f>0.2+0.28+0.21</f>
        <v>0.69000000000000006</v>
      </c>
      <c r="D6" s="5">
        <f>0.35+0.137+0.056</f>
        <v>0.54300000000000004</v>
      </c>
      <c r="E6" s="5">
        <f>0.085+0.245+0.4</f>
        <v>0.73</v>
      </c>
      <c r="F6" s="5">
        <f>0.4+0.4</f>
        <v>0.8</v>
      </c>
      <c r="G6" s="5">
        <f>0.2+0.12</f>
        <v>0.32</v>
      </c>
      <c r="H6" s="5">
        <f>0.248+0.075+0.29</f>
        <v>0.61299999999999999</v>
      </c>
      <c r="I6" s="5">
        <f>0.16+0.075+0.055+0.095</f>
        <v>0.38500000000000001</v>
      </c>
      <c r="J6" s="5">
        <f>0.075+0.03+0.095</f>
        <v>0.2</v>
      </c>
      <c r="K6" s="5">
        <f>0.032+0.159+0.06</f>
        <v>0.251</v>
      </c>
      <c r="L6" s="5">
        <f>1.344+0.35</f>
        <v>1.694</v>
      </c>
      <c r="M6" s="5">
        <f>0.188+0.45+0.2</f>
        <v>0.83800000000000008</v>
      </c>
      <c r="N6" s="5">
        <f>0.672+0.1+0.11</f>
        <v>0.88200000000000001</v>
      </c>
      <c r="O6" s="5">
        <f>0.129+0.126+0.1</f>
        <v>0.35499999999999998</v>
      </c>
      <c r="P6" s="5">
        <f>0.464+0.84+0.123</f>
        <v>1.427</v>
      </c>
      <c r="Q6" s="5">
        <f>0.145+0.35+0.138+0.195</f>
        <v>0.82800000000000007</v>
      </c>
      <c r="R6" s="5">
        <f>0.175+0.08+0.195</f>
        <v>0.45</v>
      </c>
      <c r="S6" s="5">
        <f>0.05+0.201+0.1+0.08</f>
        <v>0.43099999999999999</v>
      </c>
      <c r="T6" s="5">
        <f>0.11+0.108+0.19</f>
        <v>0.40800000000000003</v>
      </c>
      <c r="U6" s="5">
        <f>0.322+0.2+0.21</f>
        <v>0.73199999999999998</v>
      </c>
      <c r="V6" s="5">
        <f>0.664+0.06+0.035</f>
        <v>0.75900000000000001</v>
      </c>
      <c r="W6" s="431">
        <f>0.1+0.085+0.05+0.187</f>
        <v>0.42199999999999999</v>
      </c>
      <c r="X6" s="5">
        <f>0.146+0.185+0.076</f>
        <v>0.40699999999999997</v>
      </c>
      <c r="Y6" s="5">
        <f>0.145+0.27+0.05</f>
        <v>0.46500000000000002</v>
      </c>
      <c r="Z6" s="431">
        <f>0.152+0.08+0.45</f>
        <v>0.68199999999999994</v>
      </c>
      <c r="AA6" s="5">
        <f>0.09+0.22+0.18+0.12</f>
        <v>0.61</v>
      </c>
      <c r="AB6" s="5">
        <f>0.1+0.031</f>
        <v>0.13100000000000001</v>
      </c>
      <c r="AC6" s="5">
        <f>0.12+0.212+0.08</f>
        <v>0.41199999999999998</v>
      </c>
      <c r="AD6" s="5">
        <f>0.22+0.036+0.042+0.1</f>
        <v>0.39800000000000002</v>
      </c>
      <c r="AE6" s="5">
        <f>0.025+0.055</f>
        <v>0.08</v>
      </c>
      <c r="AF6" s="5">
        <f>0.099+0.828+0.14</f>
        <v>1.0669999999999999</v>
      </c>
      <c r="AG6" s="5">
        <f t="shared" ref="AG6:AG37" si="0">+SUM(B6:AF6)</f>
        <v>18.442999999999998</v>
      </c>
      <c r="AH6" s="463">
        <f t="shared" ref="AH6:AH36" si="1">+AG6/$AG$39</f>
        <v>0.47648943316281728</v>
      </c>
    </row>
    <row r="7" spans="1:42">
      <c r="A7" s="430" t="s">
        <v>367</v>
      </c>
      <c r="B7" s="5">
        <f>0.05+0.074+0.11</f>
        <v>0.23399999999999999</v>
      </c>
      <c r="C7" s="5">
        <f>0.25+0.027+0.061+0.11</f>
        <v>0.44800000000000001</v>
      </c>
      <c r="D7" s="5">
        <f>0.2+0.082+0.075</f>
        <v>0.35700000000000004</v>
      </c>
      <c r="E7" s="5">
        <f>0.065+0.075+0.25+0.82</f>
        <v>1.21</v>
      </c>
      <c r="F7" s="5">
        <f>0.45+0.35+0.38+0.4+0.25</f>
        <v>1.83</v>
      </c>
      <c r="G7" s="5">
        <f>0.236+0.065+0.2+0.156</f>
        <v>0.65700000000000003</v>
      </c>
      <c r="H7" s="5">
        <f>0.2+0.078+0.45+0.276</f>
        <v>1.004</v>
      </c>
      <c r="I7" s="5">
        <f>0.03+0.05</f>
        <v>0.08</v>
      </c>
      <c r="J7" s="5">
        <f>0.045+0.03+0.06</f>
        <v>0.13500000000000001</v>
      </c>
      <c r="K7" s="5">
        <f>0.03+0.062+0.04</f>
        <v>0.13200000000000001</v>
      </c>
      <c r="L7" s="5">
        <f>0.5+0.1+0.15</f>
        <v>0.75</v>
      </c>
      <c r="M7" s="5">
        <f>0.1+0.35+0.1</f>
        <v>0.54999999999999993</v>
      </c>
      <c r="N7" s="5">
        <f>0.291+0.167+0.15</f>
        <v>0.60799999999999998</v>
      </c>
      <c r="O7" s="5">
        <f>0.12+0.1+0.06</f>
        <v>0.28000000000000003</v>
      </c>
      <c r="P7" s="5">
        <f>0.34+0.291+0.2+0.1</f>
        <v>0.93099999999999994</v>
      </c>
      <c r="Q7" s="5">
        <f>0.195+0.2+0.244+0.087</f>
        <v>0.72599999999999998</v>
      </c>
      <c r="R7">
        <f>0.177+0.06+0.1</f>
        <v>0.33699999999999997</v>
      </c>
      <c r="S7" s="5">
        <f>0.55+0.08+0.04</f>
        <v>0.67</v>
      </c>
      <c r="T7" s="5">
        <f>0.146+0.08+0.07+0.67</f>
        <v>0.96599999999999997</v>
      </c>
      <c r="U7" s="5">
        <f>0.487+0.272+0.16+0.113</f>
        <v>1.032</v>
      </c>
      <c r="V7" s="5">
        <f>0.27+0.054+0.03</f>
        <v>0.35399999999999998</v>
      </c>
      <c r="W7" s="5">
        <f>0.077+0.15+0.57</f>
        <v>0.79699999999999993</v>
      </c>
      <c r="X7" s="5">
        <f>0.3+0.2+0.21+0.115+0.15+0.1</f>
        <v>1.075</v>
      </c>
      <c r="Y7" s="5">
        <f>0.4+0.3+0.189+0.033</f>
        <v>0.92200000000000004</v>
      </c>
      <c r="Z7" s="5">
        <f>0.073+0.035</f>
        <v>0.108</v>
      </c>
      <c r="AA7" s="5">
        <f>0.025+0.159+0.12</f>
        <v>0.30399999999999999</v>
      </c>
      <c r="AB7" s="5"/>
      <c r="AC7" s="5">
        <f>0.092+0.092+0.065</f>
        <v>0.249</v>
      </c>
      <c r="AD7" s="5">
        <f>0.28+0.144</f>
        <v>0.42400000000000004</v>
      </c>
      <c r="AE7" s="5">
        <f>0.02+0.068</f>
        <v>8.8000000000000009E-2</v>
      </c>
      <c r="AF7" s="5">
        <f>0.05+0.125</f>
        <v>0.17499999999999999</v>
      </c>
      <c r="AG7" s="5">
        <f t="shared" si="0"/>
        <v>17.432999999999996</v>
      </c>
      <c r="AH7" s="453">
        <f t="shared" si="1"/>
        <v>0.45039528755231761</v>
      </c>
      <c r="AP7" s="388"/>
    </row>
    <row r="8" spans="1:42">
      <c r="A8" s="432" t="s">
        <v>201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3">
        <f t="shared" si="1"/>
        <v>0</v>
      </c>
      <c r="AL8" s="388"/>
    </row>
    <row r="9" spans="1:42">
      <c r="A9" s="430" t="s">
        <v>202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53">
        <f t="shared" si="1"/>
        <v>0</v>
      </c>
    </row>
    <row r="10" spans="1:42">
      <c r="A10" s="430" t="s">
        <v>203</v>
      </c>
      <c r="B10" s="5"/>
      <c r="C10" s="5"/>
      <c r="D10" s="5"/>
      <c r="E10" s="5">
        <v>0.4</v>
      </c>
      <c r="F10" s="5">
        <v>0.61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f t="shared" si="0"/>
        <v>1.01</v>
      </c>
      <c r="AH10" s="453">
        <f t="shared" si="1"/>
        <v>2.6094145610499678E-2</v>
      </c>
    </row>
    <row r="11" spans="1:42">
      <c r="A11" s="430" t="s">
        <v>13</v>
      </c>
      <c r="B11" s="5"/>
      <c r="C11" s="5"/>
      <c r="D11" s="5"/>
      <c r="E11" s="5"/>
      <c r="F11" s="5">
        <v>0.4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f t="shared" si="0"/>
        <v>0.4</v>
      </c>
      <c r="AH11" s="453">
        <f t="shared" si="1"/>
        <v>1.03343150932672E-2</v>
      </c>
    </row>
    <row r="12" spans="1:42">
      <c r="A12" s="430" t="s">
        <v>204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>
        <v>0.51</v>
      </c>
      <c r="AA12" s="5"/>
      <c r="AB12" s="5"/>
      <c r="AC12" s="5"/>
      <c r="AD12" s="5"/>
      <c r="AE12" s="5"/>
      <c r="AF12" s="5"/>
      <c r="AG12" s="5">
        <f t="shared" si="0"/>
        <v>0.51</v>
      </c>
      <c r="AH12" s="453">
        <f t="shared" si="1"/>
        <v>1.3176251743915679E-2</v>
      </c>
      <c r="AM12" s="388"/>
      <c r="AN12" s="388"/>
    </row>
    <row r="13" spans="1:42">
      <c r="A13" s="430" t="s">
        <v>205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f t="shared" si="0"/>
        <v>0.5</v>
      </c>
      <c r="AH13" s="453">
        <f t="shared" si="1"/>
        <v>1.2917893866583999E-2</v>
      </c>
    </row>
    <row r="14" spans="1:42">
      <c r="A14" s="430" t="s">
        <v>368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>
        <v>0.41</v>
      </c>
      <c r="AE14" s="5"/>
      <c r="AF14" s="5"/>
      <c r="AG14" s="5">
        <f t="shared" si="0"/>
        <v>0.41</v>
      </c>
      <c r="AH14" s="453">
        <f t="shared" si="1"/>
        <v>1.0592672970598878E-2</v>
      </c>
    </row>
    <row r="15" spans="1:42">
      <c r="A15" s="430" t="s">
        <v>271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3">
        <f t="shared" si="1"/>
        <v>0</v>
      </c>
    </row>
    <row r="16" spans="1:42">
      <c r="A16" s="430" t="s">
        <v>272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3">
        <f t="shared" si="1"/>
        <v>0</v>
      </c>
    </row>
    <row r="17" spans="1:34">
      <c r="A17" s="430" t="s">
        <v>206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53">
        <f t="shared" si="1"/>
        <v>0</v>
      </c>
    </row>
    <row r="18" spans="1:34">
      <c r="A18" s="430" t="s">
        <v>207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31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f t="shared" si="0"/>
        <v>0</v>
      </c>
      <c r="AH18" s="453">
        <f t="shared" si="1"/>
        <v>0</v>
      </c>
    </row>
    <row r="19" spans="1:34">
      <c r="A19" s="430" t="s">
        <v>273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53">
        <f t="shared" si="1"/>
        <v>0</v>
      </c>
    </row>
    <row r="20" spans="1:34">
      <c r="A20" s="430" t="s">
        <v>208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3">
        <f t="shared" si="1"/>
        <v>0</v>
      </c>
    </row>
    <row r="21" spans="1:34">
      <c r="A21" s="430" t="s">
        <v>209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3">
        <f t="shared" si="1"/>
        <v>0</v>
      </c>
    </row>
    <row r="22" spans="1:34">
      <c r="A22" s="430" t="s">
        <v>210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3">
        <f t="shared" si="1"/>
        <v>0</v>
      </c>
    </row>
    <row r="23" spans="1:34">
      <c r="A23" s="430" t="s">
        <v>211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3">
        <f t="shared" si="1"/>
        <v>0</v>
      </c>
    </row>
    <row r="24" spans="1:34">
      <c r="A24" s="430" t="s">
        <v>369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53">
        <f t="shared" si="1"/>
        <v>0</v>
      </c>
    </row>
    <row r="25" spans="1:34">
      <c r="A25" s="430" t="s">
        <v>212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3">
        <f t="shared" si="1"/>
        <v>0</v>
      </c>
    </row>
    <row r="26" spans="1:34">
      <c r="A26" s="430" t="s">
        <v>370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3">
        <f t="shared" si="1"/>
        <v>0</v>
      </c>
    </row>
    <row r="27" spans="1:34">
      <c r="A27" s="430" t="s">
        <v>371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3">
        <f t="shared" si="1"/>
        <v>0</v>
      </c>
    </row>
    <row r="28" spans="1:34">
      <c r="A28" s="430" t="s">
        <v>213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3">
        <f t="shared" si="1"/>
        <v>0</v>
      </c>
    </row>
    <row r="29" spans="1:34">
      <c r="A29" s="430" t="s">
        <v>372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3">
        <f t="shared" si="1"/>
        <v>0</v>
      </c>
    </row>
    <row r="30" spans="1:34">
      <c r="A30" s="430" t="s">
        <v>373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3">
        <f t="shared" si="1"/>
        <v>0</v>
      </c>
    </row>
    <row r="31" spans="1:34">
      <c r="A31" s="430" t="s">
        <v>374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3">
        <f t="shared" si="1"/>
        <v>0</v>
      </c>
    </row>
    <row r="32" spans="1:34">
      <c r="A32" s="430" t="s">
        <v>379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3">
        <f t="shared" si="1"/>
        <v>0</v>
      </c>
    </row>
    <row r="33" spans="1:34">
      <c r="A33" s="430" t="s">
        <v>375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53">
        <f t="shared" si="1"/>
        <v>0</v>
      </c>
    </row>
    <row r="34" spans="1:34">
      <c r="A34" s="430" t="s">
        <v>214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3">
        <f t="shared" si="1"/>
        <v>0</v>
      </c>
    </row>
    <row r="35" spans="1:34">
      <c r="A35" s="430" t="s">
        <v>376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3">
        <f t="shared" si="1"/>
        <v>0</v>
      </c>
    </row>
    <row r="36" spans="1:34">
      <c r="A36" s="430" t="s">
        <v>377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3">
        <f t="shared" si="1"/>
        <v>0</v>
      </c>
    </row>
    <row r="37" spans="1:34">
      <c r="A37" s="430" t="s">
        <v>378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3">
        <f>+AG37/$AG$39</f>
        <v>0</v>
      </c>
    </row>
    <row r="38" spans="1:34">
      <c r="A38" s="46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65">
        <f>+AG39/Efficiency1!$K$137</f>
        <v>2.3493336186722127E-2</v>
      </c>
    </row>
    <row r="39" spans="1:34">
      <c r="A39" s="433" t="s">
        <v>2</v>
      </c>
      <c r="B39" s="5">
        <f t="shared" ref="B39:AF39" si="2">SUM(B3:B37)</f>
        <v>9.9049999999999994</v>
      </c>
      <c r="C39" s="5">
        <f t="shared" si="2"/>
        <v>10.747999999999999</v>
      </c>
      <c r="D39" s="5">
        <f t="shared" si="2"/>
        <v>7.0760000000000005</v>
      </c>
      <c r="E39" s="5">
        <f t="shared" si="2"/>
        <v>12.890000000000002</v>
      </c>
      <c r="F39" s="5">
        <f t="shared" si="2"/>
        <v>10.919</v>
      </c>
      <c r="G39" s="5">
        <f t="shared" si="2"/>
        <v>8.9550000000000001</v>
      </c>
      <c r="H39" s="5">
        <f t="shared" si="2"/>
        <v>9.0629999999999988</v>
      </c>
      <c r="I39" s="5">
        <f t="shared" si="2"/>
        <v>4.9879999999999995</v>
      </c>
      <c r="J39" s="5">
        <f t="shared" si="2"/>
        <v>3.7409999999999997</v>
      </c>
      <c r="K39" s="5">
        <f t="shared" si="2"/>
        <v>3.5019999999999998</v>
      </c>
      <c r="L39" s="5">
        <f t="shared" si="2"/>
        <v>6.8180000000000005</v>
      </c>
      <c r="M39" s="5">
        <f t="shared" si="2"/>
        <v>8.3730000000000011</v>
      </c>
      <c r="N39" s="5">
        <f t="shared" si="2"/>
        <v>5.0459999999999994</v>
      </c>
      <c r="O39" s="6">
        <f t="shared" si="2"/>
        <v>5.12</v>
      </c>
      <c r="P39" s="5">
        <f t="shared" si="2"/>
        <v>10.295999999999999</v>
      </c>
      <c r="Q39" s="5">
        <f t="shared" si="2"/>
        <v>8.9789999999999992</v>
      </c>
      <c r="R39" s="5">
        <f t="shared" si="2"/>
        <v>6.4559999999999995</v>
      </c>
      <c r="S39" s="5">
        <f t="shared" si="2"/>
        <v>12.637</v>
      </c>
      <c r="T39" s="5">
        <f t="shared" si="2"/>
        <v>13.266999999999998</v>
      </c>
      <c r="U39" s="5">
        <f t="shared" si="2"/>
        <v>5.2839999999999998</v>
      </c>
      <c r="V39" s="5">
        <f t="shared" si="2"/>
        <v>9.1999999999999993</v>
      </c>
      <c r="W39" s="5">
        <f t="shared" si="2"/>
        <v>7.7109999999999985</v>
      </c>
      <c r="X39" s="5">
        <f t="shared" si="2"/>
        <v>8.6209999999999987</v>
      </c>
      <c r="Y39" s="5">
        <f t="shared" si="2"/>
        <v>4.3449999999999998</v>
      </c>
      <c r="Z39" s="5">
        <f t="shared" si="2"/>
        <v>5.9059999999999997</v>
      </c>
      <c r="AA39" s="5">
        <f t="shared" si="2"/>
        <v>7.0810000000000004</v>
      </c>
      <c r="AB39" s="5">
        <f t="shared" si="2"/>
        <v>5.3580000000000005</v>
      </c>
      <c r="AC39" s="5">
        <f t="shared" si="2"/>
        <v>6.5399999999999991</v>
      </c>
      <c r="AD39" s="5">
        <f t="shared" si="2"/>
        <v>5.1220000000000008</v>
      </c>
      <c r="AE39" s="5">
        <f t="shared" si="2"/>
        <v>5.633</v>
      </c>
      <c r="AF39" s="5">
        <f t="shared" si="2"/>
        <v>6.6480000000000006</v>
      </c>
      <c r="AG39" s="16">
        <f>SUM(AG6:AG38)</f>
        <v>38.705999999999982</v>
      </c>
      <c r="AH39" s="466">
        <f>SUM(AH6:AH37)</f>
        <v>1.0000000000000004</v>
      </c>
    </row>
  </sheetData>
  <mergeCells count="1">
    <mergeCell ref="AI3:A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0"/>
  <sheetViews>
    <sheetView topLeftCell="B107" workbookViewId="0">
      <selection activeCell="M124" sqref="M124:Q130"/>
    </sheetView>
  </sheetViews>
  <sheetFormatPr defaultColWidth="9.140625" defaultRowHeight="12.75"/>
  <cols>
    <col min="1" max="1" width="9.140625" style="441"/>
    <col min="2" max="2" width="10.85546875" style="454" bestFit="1" customWidth="1"/>
    <col min="3" max="3" width="11.85546875" style="444" customWidth="1"/>
    <col min="4" max="4" width="43.42578125" style="441" customWidth="1"/>
    <col min="5" max="6" width="23.140625" style="441" bestFit="1" customWidth="1"/>
    <col min="7" max="7" width="9.140625" style="441"/>
    <col min="8" max="8" width="30.7109375" style="441" bestFit="1" customWidth="1"/>
    <col min="9" max="9" width="9.140625" style="441"/>
    <col min="10" max="10" width="12" style="441" customWidth="1"/>
    <col min="11" max="12" width="9.140625" style="441"/>
    <col min="13" max="13" width="10.85546875" style="454" bestFit="1" customWidth="1"/>
    <col min="14" max="14" width="11.85546875" style="444" customWidth="1"/>
    <col min="15" max="15" width="43.5703125" style="441" customWidth="1"/>
    <col min="16" max="17" width="23.140625" style="441" bestFit="1" customWidth="1"/>
    <col min="18" max="18" width="9.140625" style="441"/>
    <col min="19" max="19" width="30.7109375" style="441" bestFit="1" customWidth="1"/>
    <col min="20" max="20" width="9.140625" style="441"/>
    <col min="21" max="21" width="12" style="441" customWidth="1"/>
    <col min="22" max="16384" width="9.140625" style="441"/>
  </cols>
  <sheetData>
    <row r="1" spans="1:21" ht="30">
      <c r="A1" s="437" t="s">
        <v>223</v>
      </c>
      <c r="B1" s="438" t="s">
        <v>7</v>
      </c>
      <c r="C1" s="439" t="s">
        <v>228</v>
      </c>
      <c r="D1" s="440" t="s">
        <v>130</v>
      </c>
      <c r="E1" s="440" t="s">
        <v>229</v>
      </c>
      <c r="F1" s="440" t="s">
        <v>230</v>
      </c>
      <c r="H1" s="442" t="s">
        <v>231</v>
      </c>
      <c r="I1" s="443" t="s">
        <v>232</v>
      </c>
      <c r="J1" s="443" t="s">
        <v>233</v>
      </c>
      <c r="L1" s="437" t="s">
        <v>358</v>
      </c>
      <c r="M1" s="438" t="s">
        <v>7</v>
      </c>
      <c r="N1" s="439" t="s">
        <v>228</v>
      </c>
      <c r="O1" s="440" t="s">
        <v>130</v>
      </c>
      <c r="P1" s="440" t="s">
        <v>229</v>
      </c>
      <c r="Q1" s="440" t="s">
        <v>230</v>
      </c>
      <c r="S1" s="442" t="s">
        <v>231</v>
      </c>
      <c r="T1" s="443" t="s">
        <v>232</v>
      </c>
      <c r="U1" s="443" t="s">
        <v>233</v>
      </c>
    </row>
    <row r="2" spans="1:21">
      <c r="B2" s="41">
        <v>45992</v>
      </c>
      <c r="C2" s="444">
        <v>0</v>
      </c>
      <c r="D2" s="445" t="s">
        <v>392</v>
      </c>
      <c r="E2" s="441" t="s">
        <v>234</v>
      </c>
      <c r="F2" s="441" t="s">
        <v>235</v>
      </c>
      <c r="H2" s="446" t="s">
        <v>149</v>
      </c>
      <c r="I2" s="447">
        <f>+Efficiency1!Z137</f>
        <v>6.0519999999999996</v>
      </c>
      <c r="J2" s="448">
        <f>I2/$I$8</f>
        <v>3.6733754612215774E-3</v>
      </c>
      <c r="M2" s="41">
        <v>45992</v>
      </c>
      <c r="N2" s="444">
        <v>0</v>
      </c>
      <c r="O2" s="445" t="s">
        <v>392</v>
      </c>
      <c r="P2" s="441" t="s">
        <v>234</v>
      </c>
      <c r="Q2" s="441" t="s">
        <v>235</v>
      </c>
      <c r="S2" s="446" t="s">
        <v>149</v>
      </c>
      <c r="T2" s="447">
        <f>+Efficiency2!Z137</f>
        <v>6.0519999999999996</v>
      </c>
      <c r="U2" s="448">
        <f>T2/$T$8</f>
        <v>3.6733754612215774E-3</v>
      </c>
    </row>
    <row r="3" spans="1:21">
      <c r="B3" s="41"/>
      <c r="C3" s="444">
        <v>0</v>
      </c>
      <c r="D3" s="445" t="s">
        <v>415</v>
      </c>
      <c r="E3" s="441" t="s">
        <v>236</v>
      </c>
      <c r="F3" s="441" t="s">
        <v>235</v>
      </c>
      <c r="H3" s="446" t="s">
        <v>237</v>
      </c>
      <c r="I3" s="447">
        <f>+Efficiency1!AA137+Efficiency1!Y137</f>
        <v>60.314373481002242</v>
      </c>
      <c r="J3" s="448">
        <f>I3/$I$8</f>
        <v>3.6608945721095028E-2</v>
      </c>
      <c r="M3" s="41"/>
      <c r="N3" s="444">
        <v>0</v>
      </c>
      <c r="O3" s="445" t="s">
        <v>415</v>
      </c>
      <c r="P3" s="441" t="s">
        <v>236</v>
      </c>
      <c r="Q3" s="441" t="s">
        <v>235</v>
      </c>
      <c r="S3" s="446" t="s">
        <v>237</v>
      </c>
      <c r="T3" s="447">
        <f>+Efficiency2!Y137+Efficiency2!AA137</f>
        <v>60.314373481002242</v>
      </c>
      <c r="U3" s="448">
        <f>T3/$T$8</f>
        <v>3.6608945721095028E-2</v>
      </c>
    </row>
    <row r="4" spans="1:21">
      <c r="B4" s="41"/>
      <c r="C4" s="444">
        <v>23</v>
      </c>
      <c r="D4" s="445" t="s">
        <v>420</v>
      </c>
      <c r="E4" s="441" t="s">
        <v>238</v>
      </c>
      <c r="F4" s="441" t="s">
        <v>235</v>
      </c>
      <c r="H4" s="446" t="s">
        <v>239</v>
      </c>
      <c r="I4" s="447">
        <f>+Efficiency1!AB137</f>
        <v>0.97281153867720327</v>
      </c>
      <c r="J4" s="448">
        <f>I4/$I$8</f>
        <v>5.9046629784699999E-4</v>
      </c>
      <c r="M4" s="41"/>
      <c r="N4" s="444">
        <v>23</v>
      </c>
      <c r="O4" s="445" t="s">
        <v>420</v>
      </c>
      <c r="P4" s="441" t="s">
        <v>238</v>
      </c>
      <c r="Q4" s="441" t="s">
        <v>235</v>
      </c>
      <c r="S4" s="446" t="s">
        <v>239</v>
      </c>
      <c r="T4" s="447">
        <f>+Efficiency2!AB137</f>
        <v>0.97281153867720327</v>
      </c>
      <c r="U4" s="448">
        <f>T4/$T$8</f>
        <v>5.9046629784699999E-4</v>
      </c>
    </row>
    <row r="5" spans="1:21" ht="15" customHeight="1">
      <c r="B5" s="41"/>
      <c r="D5" s="445"/>
      <c r="E5" s="445"/>
      <c r="H5" s="446" t="s">
        <v>241</v>
      </c>
      <c r="I5" s="447">
        <f>+Efficiency1!AC137</f>
        <v>0.59658251999999923</v>
      </c>
      <c r="J5" s="448">
        <f>I5/$I$8</f>
        <v>3.6210700422368279E-4</v>
      </c>
      <c r="M5" s="41"/>
      <c r="O5" s="445"/>
      <c r="P5" s="445"/>
      <c r="S5" s="446" t="s">
        <v>241</v>
      </c>
      <c r="T5" s="447">
        <f>+Efficiency2!AC137</f>
        <v>0.59658251999999923</v>
      </c>
      <c r="U5" s="448">
        <f>T5/$T$8</f>
        <v>3.6210700422368279E-4</v>
      </c>
    </row>
    <row r="6" spans="1:21" ht="15" customHeight="1">
      <c r="B6" s="41"/>
      <c r="D6" s="445"/>
      <c r="E6" s="445"/>
      <c r="M6" s="41"/>
      <c r="O6" s="445"/>
      <c r="P6" s="445"/>
    </row>
    <row r="7" spans="1:21" ht="12.75" customHeight="1">
      <c r="B7" s="41">
        <v>45993</v>
      </c>
      <c r="C7" s="444">
        <v>21</v>
      </c>
      <c r="D7" s="445" t="s">
        <v>449</v>
      </c>
      <c r="E7" s="441" t="s">
        <v>234</v>
      </c>
      <c r="F7" s="441" t="s">
        <v>235</v>
      </c>
      <c r="I7" s="449"/>
      <c r="J7" s="450"/>
      <c r="M7" s="41">
        <v>45993</v>
      </c>
      <c r="N7" s="444">
        <v>21</v>
      </c>
      <c r="O7" s="445" t="s">
        <v>449</v>
      </c>
      <c r="P7" s="441" t="s">
        <v>234</v>
      </c>
      <c r="Q7" s="441" t="s">
        <v>235</v>
      </c>
      <c r="T7" s="449"/>
      <c r="U7" s="450"/>
    </row>
    <row r="8" spans="1:21" ht="12.75" customHeight="1">
      <c r="B8" s="41"/>
      <c r="C8" s="444">
        <v>2</v>
      </c>
      <c r="D8" s="445" t="s">
        <v>446</v>
      </c>
      <c r="E8" s="441" t="s">
        <v>236</v>
      </c>
      <c r="F8" s="441" t="s">
        <v>235</v>
      </c>
      <c r="H8" s="451" t="s">
        <v>243</v>
      </c>
      <c r="I8" s="452">
        <f>+Efficiency1!K137</f>
        <v>1647.5310144276439</v>
      </c>
      <c r="M8" s="41"/>
      <c r="N8" s="444">
        <v>2</v>
      </c>
      <c r="O8" s="445" t="s">
        <v>446</v>
      </c>
      <c r="P8" s="441" t="s">
        <v>236</v>
      </c>
      <c r="Q8" s="441" t="s">
        <v>235</v>
      </c>
      <c r="S8" s="451" t="s">
        <v>243</v>
      </c>
      <c r="T8" s="452">
        <f>+Efficiency2!K137</f>
        <v>1647.5310144276439</v>
      </c>
    </row>
    <row r="9" spans="1:21" ht="12.75" customHeight="1">
      <c r="B9" s="41"/>
      <c r="C9" s="444">
        <v>28</v>
      </c>
      <c r="D9" s="445" t="s">
        <v>420</v>
      </c>
      <c r="E9" s="441" t="s">
        <v>238</v>
      </c>
      <c r="F9" s="441" t="s">
        <v>235</v>
      </c>
      <c r="H9" s="451" t="s">
        <v>244</v>
      </c>
      <c r="I9" s="452">
        <f>+Efficiency1!AD137</f>
        <v>1254</v>
      </c>
      <c r="M9" s="41"/>
      <c r="N9" s="444">
        <v>28</v>
      </c>
      <c r="O9" s="445" t="s">
        <v>420</v>
      </c>
      <c r="P9" s="441" t="s">
        <v>238</v>
      </c>
      <c r="Q9" s="441" t="s">
        <v>235</v>
      </c>
      <c r="S9" s="451" t="s">
        <v>244</v>
      </c>
      <c r="T9" s="452">
        <f>+Efficiency2!AD137</f>
        <v>1254</v>
      </c>
    </row>
    <row r="10" spans="1:21" ht="15" customHeight="1">
      <c r="B10" s="41"/>
      <c r="C10" s="444">
        <v>8</v>
      </c>
      <c r="D10" s="445" t="s">
        <v>450</v>
      </c>
      <c r="E10" s="445" t="s">
        <v>451</v>
      </c>
      <c r="F10" s="441" t="s">
        <v>359</v>
      </c>
      <c r="H10" s="451" t="s">
        <v>245</v>
      </c>
      <c r="I10" s="452">
        <f>+Efficiency1!V137</f>
        <v>44.870246887964427</v>
      </c>
      <c r="M10" s="41"/>
      <c r="N10" s="444">
        <v>8</v>
      </c>
      <c r="O10" s="445" t="s">
        <v>450</v>
      </c>
      <c r="P10" s="445" t="s">
        <v>451</v>
      </c>
      <c r="Q10" s="441" t="s">
        <v>359</v>
      </c>
      <c r="S10" s="451" t="s">
        <v>245</v>
      </c>
      <c r="T10" s="452">
        <f>+Efficiency2!V137</f>
        <v>44.870246887964427</v>
      </c>
    </row>
    <row r="11" spans="1:21" ht="12.75" customHeight="1">
      <c r="B11" s="41"/>
      <c r="D11" s="445"/>
      <c r="G11" s="485">
        <f>+summary!H42</f>
        <v>1</v>
      </c>
      <c r="H11" s="451" t="s">
        <v>246</v>
      </c>
      <c r="I11" s="453">
        <f>I10/I8</f>
        <v>2.723484201209557E-2</v>
      </c>
      <c r="M11" s="41"/>
      <c r="O11" s="445"/>
      <c r="R11" s="485">
        <f>+summary!Q42</f>
        <v>1</v>
      </c>
      <c r="S11" s="451" t="s">
        <v>246</v>
      </c>
      <c r="T11" s="453">
        <f>T10/T8</f>
        <v>2.723484201209557E-2</v>
      </c>
    </row>
    <row r="12" spans="1:21">
      <c r="B12" s="41">
        <v>45994</v>
      </c>
      <c r="C12" s="444">
        <v>0</v>
      </c>
      <c r="D12" s="441" t="s">
        <v>392</v>
      </c>
      <c r="E12" s="441" t="s">
        <v>234</v>
      </c>
      <c r="F12" s="441" t="s">
        <v>235</v>
      </c>
      <c r="M12" s="41">
        <v>45994</v>
      </c>
      <c r="N12" s="444">
        <v>0</v>
      </c>
      <c r="O12" s="441" t="s">
        <v>392</v>
      </c>
      <c r="P12" s="441" t="s">
        <v>234</v>
      </c>
      <c r="Q12" s="441" t="s">
        <v>235</v>
      </c>
    </row>
    <row r="13" spans="1:21">
      <c r="B13" s="41"/>
      <c r="C13" s="444">
        <v>0</v>
      </c>
      <c r="D13" s="441" t="s">
        <v>415</v>
      </c>
      <c r="E13" s="441" t="s">
        <v>236</v>
      </c>
      <c r="F13" s="441" t="s">
        <v>235</v>
      </c>
      <c r="M13" s="41"/>
      <c r="N13" s="444">
        <v>0</v>
      </c>
      <c r="O13" s="441" t="s">
        <v>415</v>
      </c>
      <c r="P13" s="441" t="s">
        <v>236</v>
      </c>
      <c r="Q13" s="441" t="s">
        <v>235</v>
      </c>
    </row>
    <row r="14" spans="1:21">
      <c r="B14" s="41"/>
      <c r="C14" s="444">
        <v>27</v>
      </c>
      <c r="D14" s="441" t="s">
        <v>458</v>
      </c>
      <c r="E14" s="441" t="s">
        <v>238</v>
      </c>
      <c r="F14" s="441" t="s">
        <v>235</v>
      </c>
      <c r="M14" s="41"/>
      <c r="N14" s="444">
        <v>27</v>
      </c>
      <c r="O14" s="441" t="s">
        <v>458</v>
      </c>
      <c r="P14" s="441" t="s">
        <v>238</v>
      </c>
      <c r="Q14" s="441" t="s">
        <v>235</v>
      </c>
    </row>
    <row r="15" spans="1:21">
      <c r="B15" s="41"/>
      <c r="M15" s="41"/>
    </row>
    <row r="16" spans="1:21">
      <c r="B16" s="41">
        <v>45995</v>
      </c>
      <c r="C16" s="444">
        <v>0</v>
      </c>
      <c r="D16" s="441" t="s">
        <v>392</v>
      </c>
      <c r="E16" s="441" t="s">
        <v>234</v>
      </c>
      <c r="F16" s="441" t="s">
        <v>235</v>
      </c>
      <c r="M16" s="41">
        <v>45995</v>
      </c>
      <c r="N16" s="444">
        <v>0</v>
      </c>
      <c r="O16" s="441" t="s">
        <v>392</v>
      </c>
      <c r="P16" s="441" t="s">
        <v>234</v>
      </c>
      <c r="Q16" s="441" t="s">
        <v>235</v>
      </c>
    </row>
    <row r="17" spans="2:17">
      <c r="B17" s="41"/>
      <c r="C17" s="444">
        <v>1</v>
      </c>
      <c r="D17" s="441" t="s">
        <v>446</v>
      </c>
      <c r="E17" s="441" t="s">
        <v>236</v>
      </c>
      <c r="F17" s="441" t="s">
        <v>235</v>
      </c>
      <c r="M17" s="41"/>
      <c r="N17" s="444">
        <v>1</v>
      </c>
      <c r="O17" s="441" t="s">
        <v>446</v>
      </c>
      <c r="P17" s="441" t="s">
        <v>236</v>
      </c>
      <c r="Q17" s="441" t="s">
        <v>235</v>
      </c>
    </row>
    <row r="18" spans="2:17">
      <c r="B18" s="41"/>
      <c r="C18" s="444">
        <v>19</v>
      </c>
      <c r="D18" s="441" t="s">
        <v>470</v>
      </c>
      <c r="E18" s="441" t="s">
        <v>238</v>
      </c>
      <c r="F18" s="441" t="s">
        <v>235</v>
      </c>
      <c r="M18" s="41"/>
      <c r="N18" s="444">
        <v>19</v>
      </c>
      <c r="O18" s="441" t="s">
        <v>470</v>
      </c>
      <c r="P18" s="441" t="s">
        <v>238</v>
      </c>
      <c r="Q18" s="441" t="s">
        <v>235</v>
      </c>
    </row>
    <row r="19" spans="2:17">
      <c r="B19" s="41"/>
      <c r="C19" s="444">
        <v>110</v>
      </c>
      <c r="D19" s="441" t="s">
        <v>471</v>
      </c>
      <c r="E19" s="441" t="s">
        <v>472</v>
      </c>
      <c r="F19" s="441" t="s">
        <v>247</v>
      </c>
      <c r="M19" s="41"/>
      <c r="N19" s="444">
        <v>110</v>
      </c>
      <c r="O19" s="441" t="s">
        <v>471</v>
      </c>
      <c r="P19" s="441" t="s">
        <v>472</v>
      </c>
      <c r="Q19" s="441" t="s">
        <v>247</v>
      </c>
    </row>
    <row r="20" spans="2:17">
      <c r="B20" s="41"/>
      <c r="M20" s="41"/>
    </row>
    <row r="21" spans="2:17">
      <c r="B21" s="41">
        <v>45996</v>
      </c>
      <c r="C21" s="444">
        <v>5</v>
      </c>
      <c r="D21" s="441" t="s">
        <v>448</v>
      </c>
      <c r="E21" s="441" t="s">
        <v>234</v>
      </c>
      <c r="F21" s="441" t="s">
        <v>235</v>
      </c>
      <c r="M21" s="41">
        <v>45996</v>
      </c>
      <c r="N21" s="444">
        <v>5</v>
      </c>
      <c r="O21" s="441" t="s">
        <v>448</v>
      </c>
      <c r="P21" s="441" t="s">
        <v>234</v>
      </c>
      <c r="Q21" s="441" t="s">
        <v>235</v>
      </c>
    </row>
    <row r="22" spans="2:17">
      <c r="B22" s="41"/>
      <c r="C22" s="444">
        <v>6</v>
      </c>
      <c r="D22" s="441" t="s">
        <v>484</v>
      </c>
      <c r="E22" s="441" t="s">
        <v>236</v>
      </c>
      <c r="F22" s="441" t="s">
        <v>235</v>
      </c>
      <c r="M22" s="41"/>
      <c r="N22" s="444">
        <v>6</v>
      </c>
      <c r="O22" s="441" t="s">
        <v>484</v>
      </c>
      <c r="P22" s="441" t="s">
        <v>236</v>
      </c>
      <c r="Q22" s="441" t="s">
        <v>235</v>
      </c>
    </row>
    <row r="23" spans="2:17">
      <c r="B23" s="41"/>
      <c r="C23" s="444">
        <v>27</v>
      </c>
      <c r="D23" s="441" t="s">
        <v>458</v>
      </c>
      <c r="E23" s="441" t="s">
        <v>238</v>
      </c>
      <c r="F23" s="441" t="s">
        <v>235</v>
      </c>
      <c r="M23" s="41"/>
      <c r="N23" s="444">
        <v>27</v>
      </c>
      <c r="O23" s="441" t="s">
        <v>458</v>
      </c>
      <c r="P23" s="441" t="s">
        <v>238</v>
      </c>
      <c r="Q23" s="441" t="s">
        <v>235</v>
      </c>
    </row>
    <row r="24" spans="2:17">
      <c r="B24" s="41"/>
      <c r="M24" s="41"/>
    </row>
    <row r="25" spans="2:17">
      <c r="B25" s="41">
        <v>45997</v>
      </c>
      <c r="C25" s="444">
        <v>15</v>
      </c>
      <c r="D25" s="441" t="s">
        <v>447</v>
      </c>
      <c r="E25" s="441" t="s">
        <v>234</v>
      </c>
      <c r="F25" s="441" t="s">
        <v>235</v>
      </c>
      <c r="M25" s="41">
        <v>45997</v>
      </c>
      <c r="N25" s="444">
        <v>15</v>
      </c>
      <c r="O25" s="441" t="s">
        <v>447</v>
      </c>
      <c r="P25" s="441" t="s">
        <v>234</v>
      </c>
      <c r="Q25" s="441" t="s">
        <v>235</v>
      </c>
    </row>
    <row r="26" spans="2:17">
      <c r="B26" s="41"/>
      <c r="C26" s="444">
        <v>0</v>
      </c>
      <c r="D26" s="441" t="s">
        <v>415</v>
      </c>
      <c r="E26" s="441" t="s">
        <v>236</v>
      </c>
      <c r="F26" s="441" t="s">
        <v>235</v>
      </c>
      <c r="M26" s="41"/>
      <c r="N26" s="444">
        <v>0</v>
      </c>
      <c r="O26" s="441" t="s">
        <v>415</v>
      </c>
      <c r="P26" s="441" t="s">
        <v>236</v>
      </c>
      <c r="Q26" s="441" t="s">
        <v>235</v>
      </c>
    </row>
    <row r="27" spans="2:17">
      <c r="B27" s="41"/>
      <c r="C27" s="444">
        <v>27</v>
      </c>
      <c r="D27" s="441" t="s">
        <v>513</v>
      </c>
      <c r="E27" s="441" t="s">
        <v>238</v>
      </c>
      <c r="F27" s="441" t="s">
        <v>235</v>
      </c>
      <c r="M27" s="41"/>
      <c r="N27" s="444">
        <v>27</v>
      </c>
      <c r="O27" s="441" t="s">
        <v>513</v>
      </c>
      <c r="P27" s="441" t="s">
        <v>238</v>
      </c>
      <c r="Q27" s="441" t="s">
        <v>235</v>
      </c>
    </row>
    <row r="28" spans="2:17">
      <c r="B28" s="41"/>
      <c r="M28" s="41"/>
    </row>
    <row r="29" spans="2:17">
      <c r="B29" s="41">
        <v>45998</v>
      </c>
      <c r="C29" s="444">
        <v>5</v>
      </c>
      <c r="D29" s="441" t="s">
        <v>448</v>
      </c>
      <c r="E29" s="441" t="s">
        <v>234</v>
      </c>
      <c r="F29" s="441" t="s">
        <v>235</v>
      </c>
      <c r="M29" s="41">
        <v>45998</v>
      </c>
      <c r="N29" s="444">
        <v>5</v>
      </c>
      <c r="O29" s="441" t="s">
        <v>448</v>
      </c>
      <c r="P29" s="441" t="s">
        <v>234</v>
      </c>
      <c r="Q29" s="441" t="s">
        <v>235</v>
      </c>
    </row>
    <row r="30" spans="2:17">
      <c r="B30" s="41"/>
      <c r="C30" s="444">
        <v>5</v>
      </c>
      <c r="D30" s="441" t="s">
        <v>478</v>
      </c>
      <c r="E30" s="441" t="s">
        <v>236</v>
      </c>
      <c r="F30" s="441" t="s">
        <v>235</v>
      </c>
      <c r="M30" s="41"/>
      <c r="N30" s="444">
        <v>5</v>
      </c>
      <c r="O30" s="441" t="s">
        <v>478</v>
      </c>
      <c r="P30" s="441" t="s">
        <v>236</v>
      </c>
      <c r="Q30" s="441" t="s">
        <v>235</v>
      </c>
    </row>
    <row r="31" spans="2:17">
      <c r="B31" s="41"/>
      <c r="C31" s="444">
        <v>22</v>
      </c>
      <c r="D31" s="441" t="s">
        <v>514</v>
      </c>
      <c r="E31" s="441" t="s">
        <v>238</v>
      </c>
      <c r="F31" s="441" t="s">
        <v>235</v>
      </c>
      <c r="M31" s="41"/>
      <c r="N31" s="444">
        <v>22</v>
      </c>
      <c r="O31" s="441" t="s">
        <v>514</v>
      </c>
      <c r="P31" s="441" t="s">
        <v>238</v>
      </c>
      <c r="Q31" s="441" t="s">
        <v>235</v>
      </c>
    </row>
    <row r="32" spans="2:17">
      <c r="B32" s="41"/>
      <c r="M32" s="41"/>
    </row>
    <row r="33" spans="2:17">
      <c r="B33" s="41">
        <v>45999</v>
      </c>
      <c r="C33" s="444">
        <v>0</v>
      </c>
      <c r="D33" s="441" t="s">
        <v>392</v>
      </c>
      <c r="E33" s="441" t="s">
        <v>234</v>
      </c>
      <c r="F33" s="441" t="s">
        <v>235</v>
      </c>
      <c r="M33" s="41">
        <v>45999</v>
      </c>
      <c r="N33" s="444">
        <v>0</v>
      </c>
      <c r="O33" s="441" t="s">
        <v>392</v>
      </c>
      <c r="P33" s="441" t="s">
        <v>234</v>
      </c>
      <c r="Q33" s="441" t="s">
        <v>235</v>
      </c>
    </row>
    <row r="34" spans="2:17">
      <c r="B34" s="41"/>
      <c r="C34" s="444">
        <v>2</v>
      </c>
      <c r="D34" s="441" t="s">
        <v>446</v>
      </c>
      <c r="E34" s="441" t="s">
        <v>236</v>
      </c>
      <c r="F34" s="441" t="s">
        <v>235</v>
      </c>
      <c r="M34" s="41"/>
      <c r="N34" s="444">
        <v>2</v>
      </c>
      <c r="O34" s="441" t="s">
        <v>446</v>
      </c>
      <c r="P34" s="441" t="s">
        <v>236</v>
      </c>
      <c r="Q34" s="441" t="s">
        <v>235</v>
      </c>
    </row>
    <row r="35" spans="2:17">
      <c r="B35" s="41"/>
      <c r="C35" s="444">
        <v>28</v>
      </c>
      <c r="D35" s="441" t="s">
        <v>420</v>
      </c>
      <c r="E35" s="441" t="s">
        <v>238</v>
      </c>
      <c r="F35" s="441" t="s">
        <v>235</v>
      </c>
      <c r="M35" s="41"/>
      <c r="N35" s="444">
        <v>28</v>
      </c>
      <c r="O35" s="441" t="s">
        <v>420</v>
      </c>
      <c r="P35" s="441" t="s">
        <v>238</v>
      </c>
      <c r="Q35" s="441" t="s">
        <v>235</v>
      </c>
    </row>
    <row r="36" spans="2:17">
      <c r="B36" s="41"/>
      <c r="M36" s="41"/>
    </row>
    <row r="37" spans="2:17">
      <c r="B37" s="41">
        <v>46000</v>
      </c>
      <c r="C37" s="444">
        <v>0</v>
      </c>
      <c r="D37" s="441" t="s">
        <v>392</v>
      </c>
      <c r="E37" s="441" t="s">
        <v>234</v>
      </c>
      <c r="F37" s="441" t="s">
        <v>235</v>
      </c>
      <c r="M37" s="41">
        <v>46000</v>
      </c>
      <c r="N37" s="444">
        <v>0</v>
      </c>
      <c r="O37" s="441" t="s">
        <v>392</v>
      </c>
      <c r="P37" s="441" t="s">
        <v>234</v>
      </c>
      <c r="Q37" s="441" t="s">
        <v>235</v>
      </c>
    </row>
    <row r="38" spans="2:17">
      <c r="B38" s="41"/>
      <c r="C38" s="444">
        <v>2</v>
      </c>
      <c r="D38" s="441" t="s">
        <v>478</v>
      </c>
      <c r="E38" s="441" t="s">
        <v>236</v>
      </c>
      <c r="F38" s="441" t="s">
        <v>235</v>
      </c>
      <c r="M38" s="41"/>
      <c r="N38" s="444">
        <v>2</v>
      </c>
      <c r="O38" s="441" t="s">
        <v>478</v>
      </c>
      <c r="P38" s="441" t="s">
        <v>236</v>
      </c>
      <c r="Q38" s="441" t="s">
        <v>235</v>
      </c>
    </row>
    <row r="39" spans="2:17">
      <c r="B39" s="41"/>
      <c r="C39" s="444">
        <v>31</v>
      </c>
      <c r="D39" s="441" t="s">
        <v>458</v>
      </c>
      <c r="E39" s="441" t="s">
        <v>238</v>
      </c>
      <c r="F39" s="441" t="s">
        <v>235</v>
      </c>
      <c r="M39" s="41"/>
      <c r="N39" s="444">
        <v>31</v>
      </c>
      <c r="O39" s="441" t="s">
        <v>458</v>
      </c>
      <c r="P39" s="441" t="s">
        <v>238</v>
      </c>
      <c r="Q39" s="441" t="s">
        <v>235</v>
      </c>
    </row>
    <row r="40" spans="2:17">
      <c r="B40" s="41"/>
      <c r="M40" s="41"/>
    </row>
    <row r="41" spans="2:17">
      <c r="B41" s="41">
        <v>46001</v>
      </c>
      <c r="C41" s="444">
        <v>0</v>
      </c>
      <c r="D41" s="441" t="s">
        <v>392</v>
      </c>
      <c r="E41" s="441" t="s">
        <v>234</v>
      </c>
      <c r="F41" s="441" t="s">
        <v>235</v>
      </c>
      <c r="M41" s="41">
        <v>46001</v>
      </c>
      <c r="N41" s="444">
        <v>0</v>
      </c>
      <c r="O41" s="441" t="s">
        <v>392</v>
      </c>
      <c r="P41" s="441" t="s">
        <v>234</v>
      </c>
      <c r="Q41" s="441" t="s">
        <v>235</v>
      </c>
    </row>
    <row r="42" spans="2:17">
      <c r="B42" s="41"/>
      <c r="C42" s="444">
        <v>2</v>
      </c>
      <c r="D42" s="441" t="s">
        <v>478</v>
      </c>
      <c r="E42" s="441" t="s">
        <v>236</v>
      </c>
      <c r="F42" s="441" t="s">
        <v>235</v>
      </c>
      <c r="M42" s="41"/>
      <c r="N42" s="444">
        <v>2</v>
      </c>
      <c r="O42" s="441" t="s">
        <v>478</v>
      </c>
      <c r="P42" s="441" t="s">
        <v>236</v>
      </c>
      <c r="Q42" s="441" t="s">
        <v>235</v>
      </c>
    </row>
    <row r="43" spans="2:17">
      <c r="B43" s="41"/>
      <c r="C43" s="444">
        <v>35</v>
      </c>
      <c r="D43" s="441" t="s">
        <v>420</v>
      </c>
      <c r="E43" s="441" t="s">
        <v>238</v>
      </c>
      <c r="F43" s="441" t="s">
        <v>235</v>
      </c>
      <c r="M43" s="41"/>
      <c r="N43" s="444">
        <v>35</v>
      </c>
      <c r="O43" s="441" t="s">
        <v>420</v>
      </c>
      <c r="P43" s="441" t="s">
        <v>238</v>
      </c>
      <c r="Q43" s="441" t="s">
        <v>235</v>
      </c>
    </row>
    <row r="44" spans="2:17">
      <c r="B44" s="41"/>
      <c r="M44" s="41"/>
    </row>
    <row r="45" spans="2:17">
      <c r="B45" s="41">
        <v>46002</v>
      </c>
      <c r="C45" s="444">
        <v>0</v>
      </c>
      <c r="D45" s="441" t="s">
        <v>392</v>
      </c>
      <c r="E45" s="441" t="s">
        <v>234</v>
      </c>
      <c r="F45" s="441" t="s">
        <v>235</v>
      </c>
      <c r="M45" s="41">
        <v>46002</v>
      </c>
      <c r="N45" s="444">
        <v>0</v>
      </c>
      <c r="O45" s="441" t="s">
        <v>392</v>
      </c>
      <c r="P45" s="441" t="s">
        <v>234</v>
      </c>
      <c r="Q45" s="441" t="s">
        <v>235</v>
      </c>
    </row>
    <row r="46" spans="2:17">
      <c r="B46" s="41"/>
      <c r="C46" s="444">
        <v>0</v>
      </c>
      <c r="D46" s="441" t="s">
        <v>415</v>
      </c>
      <c r="E46" s="441" t="s">
        <v>236</v>
      </c>
      <c r="F46" s="441" t="s">
        <v>235</v>
      </c>
      <c r="M46" s="41"/>
      <c r="N46" s="444">
        <v>0</v>
      </c>
      <c r="O46" s="441" t="s">
        <v>415</v>
      </c>
      <c r="P46" s="441" t="s">
        <v>236</v>
      </c>
      <c r="Q46" s="441" t="s">
        <v>235</v>
      </c>
    </row>
    <row r="47" spans="2:17">
      <c r="B47" s="41"/>
      <c r="C47" s="444">
        <v>45</v>
      </c>
      <c r="D47" s="441" t="s">
        <v>513</v>
      </c>
      <c r="E47" s="441" t="s">
        <v>238</v>
      </c>
      <c r="F47" s="441" t="s">
        <v>235</v>
      </c>
      <c r="M47" s="41"/>
      <c r="N47" s="444">
        <v>45</v>
      </c>
      <c r="O47" s="441" t="s">
        <v>513</v>
      </c>
      <c r="P47" s="441" t="s">
        <v>238</v>
      </c>
      <c r="Q47" s="441" t="s">
        <v>235</v>
      </c>
    </row>
    <row r="48" spans="2:17">
      <c r="B48" s="41"/>
      <c r="M48" s="41"/>
    </row>
    <row r="49" spans="2:17">
      <c r="B49" s="41">
        <v>46003</v>
      </c>
      <c r="C49" s="444">
        <v>15</v>
      </c>
      <c r="D49" s="441" t="s">
        <v>447</v>
      </c>
      <c r="E49" s="441" t="s">
        <v>234</v>
      </c>
      <c r="F49" s="441" t="s">
        <v>235</v>
      </c>
      <c r="M49" s="41">
        <v>46003</v>
      </c>
      <c r="N49" s="444">
        <v>15</v>
      </c>
      <c r="O49" s="441" t="s">
        <v>447</v>
      </c>
      <c r="P49" s="441" t="s">
        <v>234</v>
      </c>
      <c r="Q49" s="441" t="s">
        <v>235</v>
      </c>
    </row>
    <row r="50" spans="2:17">
      <c r="B50" s="41"/>
      <c r="C50" s="444">
        <v>7</v>
      </c>
      <c r="D50" s="441" t="s">
        <v>478</v>
      </c>
      <c r="E50" s="441" t="s">
        <v>236</v>
      </c>
      <c r="F50" s="441" t="s">
        <v>235</v>
      </c>
      <c r="M50" s="41"/>
      <c r="N50" s="444">
        <v>7</v>
      </c>
      <c r="O50" s="441" t="s">
        <v>478</v>
      </c>
      <c r="P50" s="441" t="s">
        <v>236</v>
      </c>
      <c r="Q50" s="441" t="s">
        <v>235</v>
      </c>
    </row>
    <row r="51" spans="2:17">
      <c r="B51" s="41"/>
      <c r="C51" s="444">
        <v>30</v>
      </c>
      <c r="D51" s="441" t="s">
        <v>513</v>
      </c>
      <c r="E51" s="441" t="s">
        <v>238</v>
      </c>
      <c r="F51" s="441" t="s">
        <v>235</v>
      </c>
      <c r="M51" s="41"/>
      <c r="N51" s="444">
        <v>30</v>
      </c>
      <c r="O51" s="441" t="s">
        <v>513</v>
      </c>
      <c r="P51" s="441" t="s">
        <v>238</v>
      </c>
      <c r="Q51" s="441" t="s">
        <v>235</v>
      </c>
    </row>
    <row r="52" spans="2:17">
      <c r="B52" s="41"/>
      <c r="M52" s="41"/>
    </row>
    <row r="53" spans="2:17">
      <c r="B53" s="41">
        <v>46004</v>
      </c>
      <c r="C53" s="444">
        <v>0</v>
      </c>
      <c r="D53" s="441" t="s">
        <v>392</v>
      </c>
      <c r="E53" s="441" t="s">
        <v>234</v>
      </c>
      <c r="F53" s="441" t="s">
        <v>235</v>
      </c>
      <c r="M53" s="41">
        <v>46004</v>
      </c>
      <c r="N53" s="444">
        <v>0</v>
      </c>
      <c r="O53" s="441" t="s">
        <v>392</v>
      </c>
      <c r="P53" s="441" t="s">
        <v>234</v>
      </c>
      <c r="Q53" s="441" t="s">
        <v>235</v>
      </c>
    </row>
    <row r="54" spans="2:17">
      <c r="B54" s="41"/>
      <c r="C54" s="444">
        <v>0</v>
      </c>
      <c r="D54" s="441" t="s">
        <v>415</v>
      </c>
      <c r="E54" s="441" t="s">
        <v>236</v>
      </c>
      <c r="F54" s="441" t="s">
        <v>235</v>
      </c>
      <c r="M54" s="41"/>
      <c r="N54" s="444">
        <v>0</v>
      </c>
      <c r="O54" s="441" t="s">
        <v>415</v>
      </c>
      <c r="P54" s="441" t="s">
        <v>236</v>
      </c>
      <c r="Q54" s="441" t="s">
        <v>235</v>
      </c>
    </row>
    <row r="55" spans="2:17">
      <c r="B55" s="41"/>
      <c r="C55" s="444">
        <v>44</v>
      </c>
      <c r="D55" s="441" t="s">
        <v>513</v>
      </c>
      <c r="E55" s="441" t="s">
        <v>238</v>
      </c>
      <c r="F55" s="441" t="s">
        <v>235</v>
      </c>
      <c r="M55" s="41"/>
      <c r="N55" s="444">
        <v>44</v>
      </c>
      <c r="O55" s="441" t="s">
        <v>513</v>
      </c>
      <c r="P55" s="441" t="s">
        <v>238</v>
      </c>
      <c r="Q55" s="441" t="s">
        <v>235</v>
      </c>
    </row>
    <row r="56" spans="2:17">
      <c r="B56" s="41"/>
      <c r="M56" s="41"/>
    </row>
    <row r="57" spans="2:17">
      <c r="B57" s="41">
        <v>46005</v>
      </c>
      <c r="C57" s="444">
        <v>0</v>
      </c>
      <c r="D57" s="441" t="s">
        <v>392</v>
      </c>
      <c r="E57" s="441" t="s">
        <v>234</v>
      </c>
      <c r="F57" s="441" t="s">
        <v>235</v>
      </c>
      <c r="M57" s="41">
        <v>46005</v>
      </c>
      <c r="N57" s="444">
        <v>0</v>
      </c>
      <c r="O57" s="441" t="s">
        <v>392</v>
      </c>
      <c r="P57" s="441" t="s">
        <v>234</v>
      </c>
      <c r="Q57" s="441" t="s">
        <v>235</v>
      </c>
    </row>
    <row r="58" spans="2:17">
      <c r="B58" s="41"/>
      <c r="C58" s="444">
        <v>1</v>
      </c>
      <c r="D58" s="441" t="s">
        <v>446</v>
      </c>
      <c r="E58" s="441" t="s">
        <v>236</v>
      </c>
      <c r="F58" s="441" t="s">
        <v>235</v>
      </c>
      <c r="M58" s="41"/>
      <c r="N58" s="444">
        <v>1</v>
      </c>
      <c r="O58" s="441" t="s">
        <v>446</v>
      </c>
      <c r="P58" s="441" t="s">
        <v>236</v>
      </c>
      <c r="Q58" s="441" t="s">
        <v>235</v>
      </c>
    </row>
    <row r="59" spans="2:17">
      <c r="B59" s="41"/>
      <c r="C59" s="444">
        <v>29</v>
      </c>
      <c r="D59" s="441" t="s">
        <v>574</v>
      </c>
      <c r="E59" s="441" t="s">
        <v>238</v>
      </c>
      <c r="F59" s="441" t="s">
        <v>235</v>
      </c>
      <c r="M59" s="41"/>
      <c r="N59" s="444">
        <v>29</v>
      </c>
      <c r="O59" s="441" t="s">
        <v>574</v>
      </c>
      <c r="P59" s="441" t="s">
        <v>238</v>
      </c>
      <c r="Q59" s="441" t="s">
        <v>235</v>
      </c>
    </row>
    <row r="60" spans="2:17">
      <c r="B60" s="41"/>
      <c r="C60" s="444">
        <v>40</v>
      </c>
      <c r="D60" s="441" t="s">
        <v>566</v>
      </c>
      <c r="E60" s="441" t="s">
        <v>575</v>
      </c>
      <c r="F60" s="441" t="s">
        <v>263</v>
      </c>
      <c r="M60" s="41"/>
      <c r="N60" s="444">
        <v>40</v>
      </c>
      <c r="O60" s="441" t="s">
        <v>566</v>
      </c>
      <c r="P60" s="441" t="s">
        <v>575</v>
      </c>
      <c r="Q60" s="441" t="s">
        <v>263</v>
      </c>
    </row>
    <row r="61" spans="2:17">
      <c r="B61" s="41"/>
      <c r="M61" s="41"/>
    </row>
    <row r="62" spans="2:17">
      <c r="B62" s="41">
        <v>46006</v>
      </c>
      <c r="C62" s="444">
        <v>50</v>
      </c>
      <c r="D62" s="441" t="s">
        <v>592</v>
      </c>
      <c r="E62" s="441" t="s">
        <v>234</v>
      </c>
      <c r="F62" s="441" t="s">
        <v>235</v>
      </c>
      <c r="M62" s="41">
        <v>46006</v>
      </c>
      <c r="N62" s="444">
        <v>50</v>
      </c>
      <c r="O62" s="441" t="s">
        <v>592</v>
      </c>
      <c r="P62" s="441" t="s">
        <v>234</v>
      </c>
      <c r="Q62" s="441" t="s">
        <v>235</v>
      </c>
    </row>
    <row r="63" spans="2:17">
      <c r="B63" s="41"/>
      <c r="C63" s="444">
        <v>5</v>
      </c>
      <c r="D63" s="441" t="s">
        <v>446</v>
      </c>
      <c r="E63" s="441" t="s">
        <v>236</v>
      </c>
      <c r="F63" s="441" t="s">
        <v>235</v>
      </c>
      <c r="M63" s="41"/>
      <c r="N63" s="444">
        <v>5</v>
      </c>
      <c r="O63" s="441" t="s">
        <v>446</v>
      </c>
      <c r="P63" s="441" t="s">
        <v>236</v>
      </c>
      <c r="Q63" s="441" t="s">
        <v>235</v>
      </c>
    </row>
    <row r="64" spans="2:17">
      <c r="B64" s="41"/>
      <c r="C64" s="444">
        <v>29</v>
      </c>
      <c r="D64" s="441" t="s">
        <v>514</v>
      </c>
      <c r="E64" s="441" t="s">
        <v>238</v>
      </c>
      <c r="F64" s="441" t="s">
        <v>235</v>
      </c>
      <c r="M64" s="41"/>
      <c r="N64" s="444">
        <v>29</v>
      </c>
      <c r="O64" s="441" t="s">
        <v>514</v>
      </c>
      <c r="P64" s="441" t="s">
        <v>238</v>
      </c>
      <c r="Q64" s="441" t="s">
        <v>235</v>
      </c>
    </row>
    <row r="65" spans="2:17">
      <c r="B65" s="41"/>
      <c r="M65" s="41"/>
    </row>
    <row r="66" spans="2:17">
      <c r="B66" s="41">
        <v>46007</v>
      </c>
      <c r="C66" s="444">
        <v>0</v>
      </c>
      <c r="D66" s="441" t="s">
        <v>392</v>
      </c>
      <c r="E66" s="441" t="s">
        <v>234</v>
      </c>
      <c r="F66" s="441" t="s">
        <v>235</v>
      </c>
      <c r="M66" s="41">
        <v>46007</v>
      </c>
      <c r="N66" s="444">
        <v>0</v>
      </c>
      <c r="O66" s="441" t="s">
        <v>392</v>
      </c>
      <c r="P66" s="441" t="s">
        <v>234</v>
      </c>
      <c r="Q66" s="441" t="s">
        <v>235</v>
      </c>
    </row>
    <row r="67" spans="2:17">
      <c r="B67" s="41"/>
      <c r="C67" s="444">
        <v>6</v>
      </c>
      <c r="D67" s="441" t="s">
        <v>478</v>
      </c>
      <c r="E67" s="441" t="s">
        <v>236</v>
      </c>
      <c r="F67" s="441" t="s">
        <v>235</v>
      </c>
      <c r="M67" s="41"/>
      <c r="N67" s="444">
        <v>6</v>
      </c>
      <c r="O67" s="441" t="s">
        <v>478</v>
      </c>
      <c r="P67" s="441" t="s">
        <v>236</v>
      </c>
      <c r="Q67" s="441" t="s">
        <v>235</v>
      </c>
    </row>
    <row r="68" spans="2:17">
      <c r="B68" s="41"/>
      <c r="C68" s="444">
        <v>38</v>
      </c>
      <c r="D68" s="441" t="s">
        <v>574</v>
      </c>
      <c r="E68" s="441" t="s">
        <v>238</v>
      </c>
      <c r="F68" s="441" t="s">
        <v>235</v>
      </c>
      <c r="M68" s="41"/>
      <c r="N68" s="444">
        <v>38</v>
      </c>
      <c r="O68" s="441" t="s">
        <v>574</v>
      </c>
      <c r="P68" s="441" t="s">
        <v>238</v>
      </c>
      <c r="Q68" s="441" t="s">
        <v>235</v>
      </c>
    </row>
    <row r="69" spans="2:17">
      <c r="B69" s="41"/>
      <c r="M69" s="41"/>
    </row>
    <row r="70" spans="2:17">
      <c r="B70" s="41">
        <v>46008</v>
      </c>
      <c r="C70" s="444">
        <v>10</v>
      </c>
      <c r="D70" s="441" t="s">
        <v>510</v>
      </c>
      <c r="E70" s="441" t="s">
        <v>234</v>
      </c>
      <c r="F70" s="441" t="s">
        <v>235</v>
      </c>
      <c r="M70" s="41">
        <v>46008</v>
      </c>
      <c r="N70" s="444">
        <v>10</v>
      </c>
      <c r="O70" s="441" t="s">
        <v>510</v>
      </c>
      <c r="P70" s="441" t="s">
        <v>234</v>
      </c>
      <c r="Q70" s="441" t="s">
        <v>235</v>
      </c>
    </row>
    <row r="71" spans="2:17">
      <c r="B71" s="41"/>
      <c r="C71" s="444">
        <v>0</v>
      </c>
      <c r="D71" s="441" t="s">
        <v>415</v>
      </c>
      <c r="E71" s="441" t="s">
        <v>236</v>
      </c>
      <c r="F71" s="441" t="s">
        <v>235</v>
      </c>
      <c r="M71" s="41"/>
      <c r="N71" s="444">
        <v>0</v>
      </c>
      <c r="O71" s="441" t="s">
        <v>415</v>
      </c>
      <c r="P71" s="441" t="s">
        <v>236</v>
      </c>
      <c r="Q71" s="441" t="s">
        <v>235</v>
      </c>
    </row>
    <row r="72" spans="2:17">
      <c r="B72" s="41"/>
      <c r="C72" s="444">
        <v>29</v>
      </c>
      <c r="D72" s="441" t="s">
        <v>513</v>
      </c>
      <c r="E72" s="441" t="s">
        <v>238</v>
      </c>
      <c r="F72" s="441" t="s">
        <v>235</v>
      </c>
      <c r="M72" s="41"/>
      <c r="N72" s="444">
        <v>29</v>
      </c>
      <c r="O72" s="441" t="s">
        <v>513</v>
      </c>
      <c r="P72" s="441" t="s">
        <v>238</v>
      </c>
      <c r="Q72" s="441" t="s">
        <v>235</v>
      </c>
    </row>
    <row r="73" spans="2:17">
      <c r="B73" s="41"/>
      <c r="M73" s="41"/>
    </row>
    <row r="74" spans="2:17">
      <c r="B74" s="41">
        <v>46009</v>
      </c>
      <c r="C74" s="444">
        <v>0</v>
      </c>
      <c r="D74" s="441" t="s">
        <v>392</v>
      </c>
      <c r="E74" s="441" t="s">
        <v>234</v>
      </c>
      <c r="F74" s="441" t="s">
        <v>235</v>
      </c>
      <c r="M74" s="41">
        <v>46009</v>
      </c>
      <c r="N74" s="444">
        <v>0</v>
      </c>
      <c r="O74" s="441" t="s">
        <v>392</v>
      </c>
      <c r="P74" s="441" t="s">
        <v>234</v>
      </c>
      <c r="Q74" s="441" t="s">
        <v>235</v>
      </c>
    </row>
    <row r="75" spans="2:17">
      <c r="B75" s="41"/>
      <c r="C75" s="444">
        <v>4</v>
      </c>
      <c r="D75" s="441" t="s">
        <v>446</v>
      </c>
      <c r="E75" s="441" t="s">
        <v>236</v>
      </c>
      <c r="F75" s="441" t="s">
        <v>235</v>
      </c>
      <c r="M75" s="41"/>
      <c r="N75" s="444">
        <v>4</v>
      </c>
      <c r="O75" s="441" t="s">
        <v>446</v>
      </c>
      <c r="P75" s="441" t="s">
        <v>236</v>
      </c>
      <c r="Q75" s="441" t="s">
        <v>235</v>
      </c>
    </row>
    <row r="76" spans="2:17">
      <c r="B76" s="41"/>
      <c r="C76" s="444">
        <v>27</v>
      </c>
      <c r="D76" s="441" t="s">
        <v>631</v>
      </c>
      <c r="E76" s="441" t="s">
        <v>238</v>
      </c>
      <c r="F76" s="441" t="s">
        <v>235</v>
      </c>
      <c r="M76" s="41"/>
      <c r="N76" s="444">
        <v>27</v>
      </c>
      <c r="O76" s="441" t="s">
        <v>631</v>
      </c>
      <c r="P76" s="441" t="s">
        <v>238</v>
      </c>
      <c r="Q76" s="441" t="s">
        <v>235</v>
      </c>
    </row>
    <row r="77" spans="2:17">
      <c r="B77" s="41"/>
      <c r="M77" s="41"/>
    </row>
    <row r="78" spans="2:17">
      <c r="B78" s="41">
        <v>46010</v>
      </c>
      <c r="C78" s="444">
        <v>0</v>
      </c>
      <c r="D78" s="441" t="s">
        <v>392</v>
      </c>
      <c r="E78" s="441" t="s">
        <v>234</v>
      </c>
      <c r="F78" s="441" t="s">
        <v>235</v>
      </c>
      <c r="M78" s="41">
        <v>46010</v>
      </c>
      <c r="N78" s="444">
        <v>0</v>
      </c>
      <c r="O78" s="441" t="s">
        <v>392</v>
      </c>
      <c r="P78" s="441" t="s">
        <v>234</v>
      </c>
      <c r="Q78" s="441" t="s">
        <v>235</v>
      </c>
    </row>
    <row r="79" spans="2:17">
      <c r="B79" s="41"/>
      <c r="C79" s="444">
        <v>2</v>
      </c>
      <c r="D79" s="441" t="s">
        <v>478</v>
      </c>
      <c r="E79" s="441" t="s">
        <v>236</v>
      </c>
      <c r="F79" s="441" t="s">
        <v>235</v>
      </c>
      <c r="M79" s="41"/>
      <c r="N79" s="444">
        <v>2</v>
      </c>
      <c r="O79" s="441" t="s">
        <v>478</v>
      </c>
      <c r="P79" s="441" t="s">
        <v>236</v>
      </c>
      <c r="Q79" s="441" t="s">
        <v>235</v>
      </c>
    </row>
    <row r="80" spans="2:17">
      <c r="B80" s="41"/>
      <c r="C80" s="444">
        <v>25</v>
      </c>
      <c r="D80" s="441" t="s">
        <v>470</v>
      </c>
      <c r="E80" s="441" t="s">
        <v>238</v>
      </c>
      <c r="F80" s="441" t="s">
        <v>235</v>
      </c>
      <c r="M80" s="41"/>
      <c r="N80" s="444">
        <v>25</v>
      </c>
      <c r="O80" s="441" t="s">
        <v>470</v>
      </c>
      <c r="P80" s="441" t="s">
        <v>238</v>
      </c>
      <c r="Q80" s="441" t="s">
        <v>235</v>
      </c>
    </row>
    <row r="81" spans="2:17">
      <c r="B81" s="41"/>
      <c r="M81" s="41"/>
    </row>
    <row r="82" spans="2:17">
      <c r="B82" s="41">
        <v>46011</v>
      </c>
      <c r="C82" s="444">
        <v>0</v>
      </c>
      <c r="D82" s="441" t="s">
        <v>392</v>
      </c>
      <c r="E82" s="441" t="s">
        <v>234</v>
      </c>
      <c r="F82" s="441" t="s">
        <v>235</v>
      </c>
      <c r="M82" s="41">
        <v>46011</v>
      </c>
      <c r="N82" s="444">
        <v>0</v>
      </c>
      <c r="O82" s="441" t="s">
        <v>392</v>
      </c>
      <c r="P82" s="441" t="s">
        <v>234</v>
      </c>
      <c r="Q82" s="441" t="s">
        <v>235</v>
      </c>
    </row>
    <row r="83" spans="2:17">
      <c r="B83" s="41"/>
      <c r="C83" s="444">
        <v>6</v>
      </c>
      <c r="D83" s="441" t="s">
        <v>478</v>
      </c>
      <c r="E83" s="441" t="s">
        <v>236</v>
      </c>
      <c r="F83" s="441" t="s">
        <v>235</v>
      </c>
      <c r="M83" s="41"/>
      <c r="N83" s="444">
        <v>6</v>
      </c>
      <c r="O83" s="441" t="s">
        <v>478</v>
      </c>
      <c r="P83" s="441" t="s">
        <v>236</v>
      </c>
      <c r="Q83" s="441" t="s">
        <v>235</v>
      </c>
    </row>
    <row r="84" spans="2:17">
      <c r="B84" s="41"/>
      <c r="C84" s="444">
        <v>21</v>
      </c>
      <c r="D84" s="441" t="s">
        <v>671</v>
      </c>
      <c r="E84" s="441" t="s">
        <v>238</v>
      </c>
      <c r="F84" s="441" t="s">
        <v>235</v>
      </c>
      <c r="M84" s="41"/>
      <c r="N84" s="444">
        <v>21</v>
      </c>
      <c r="O84" s="441" t="s">
        <v>671</v>
      </c>
      <c r="P84" s="441" t="s">
        <v>238</v>
      </c>
      <c r="Q84" s="441" t="s">
        <v>235</v>
      </c>
    </row>
    <row r="85" spans="2:17">
      <c r="B85" s="41"/>
      <c r="M85" s="41"/>
    </row>
    <row r="86" spans="2:17">
      <c r="B86" s="41">
        <v>46012</v>
      </c>
      <c r="C86" s="444">
        <v>0</v>
      </c>
      <c r="D86" s="441" t="s">
        <v>392</v>
      </c>
      <c r="E86" s="441" t="s">
        <v>234</v>
      </c>
      <c r="F86" s="441" t="s">
        <v>235</v>
      </c>
      <c r="M86" s="41">
        <v>46012</v>
      </c>
      <c r="N86" s="444">
        <v>0</v>
      </c>
      <c r="O86" s="441" t="s">
        <v>392</v>
      </c>
      <c r="P86" s="441" t="s">
        <v>234</v>
      </c>
      <c r="Q86" s="441" t="s">
        <v>235</v>
      </c>
    </row>
    <row r="87" spans="2:17">
      <c r="B87" s="41"/>
      <c r="C87" s="444">
        <v>1</v>
      </c>
      <c r="D87" s="441" t="s">
        <v>446</v>
      </c>
      <c r="E87" s="441" t="s">
        <v>236</v>
      </c>
      <c r="F87" s="441" t="s">
        <v>235</v>
      </c>
      <c r="M87" s="41"/>
      <c r="N87" s="444">
        <v>1</v>
      </c>
      <c r="O87" s="441" t="s">
        <v>446</v>
      </c>
      <c r="P87" s="441" t="s">
        <v>236</v>
      </c>
      <c r="Q87" s="441" t="s">
        <v>235</v>
      </c>
    </row>
    <row r="88" spans="2:17">
      <c r="B88" s="41"/>
      <c r="C88" s="444">
        <v>22</v>
      </c>
      <c r="D88" s="441" t="s">
        <v>514</v>
      </c>
      <c r="E88" s="441" t="s">
        <v>238</v>
      </c>
      <c r="F88" s="441" t="s">
        <v>235</v>
      </c>
      <c r="M88" s="41"/>
      <c r="N88" s="444">
        <v>22</v>
      </c>
      <c r="O88" s="441" t="s">
        <v>514</v>
      </c>
      <c r="P88" s="441" t="s">
        <v>238</v>
      </c>
      <c r="Q88" s="441" t="s">
        <v>235</v>
      </c>
    </row>
    <row r="89" spans="2:17">
      <c r="B89" s="41"/>
      <c r="M89" s="41"/>
    </row>
    <row r="90" spans="2:17">
      <c r="B90" s="41">
        <v>46013</v>
      </c>
      <c r="C90" s="444">
        <v>0</v>
      </c>
      <c r="D90" s="441" t="s">
        <v>392</v>
      </c>
      <c r="E90" s="441" t="s">
        <v>234</v>
      </c>
      <c r="F90" s="441" t="s">
        <v>235</v>
      </c>
      <c r="M90" s="41">
        <v>46013</v>
      </c>
      <c r="N90" s="444">
        <v>0</v>
      </c>
      <c r="O90" s="441" t="s">
        <v>392</v>
      </c>
      <c r="P90" s="441" t="s">
        <v>234</v>
      </c>
      <c r="Q90" s="441" t="s">
        <v>235</v>
      </c>
    </row>
    <row r="91" spans="2:17">
      <c r="B91" s="41"/>
      <c r="C91" s="444">
        <v>2</v>
      </c>
      <c r="D91" s="441" t="s">
        <v>446</v>
      </c>
      <c r="E91" s="441" t="s">
        <v>236</v>
      </c>
      <c r="F91" s="441" t="s">
        <v>235</v>
      </c>
      <c r="M91" s="41"/>
      <c r="N91" s="444">
        <v>2</v>
      </c>
      <c r="O91" s="441" t="s">
        <v>446</v>
      </c>
      <c r="P91" s="441" t="s">
        <v>236</v>
      </c>
      <c r="Q91" s="441" t="s">
        <v>235</v>
      </c>
    </row>
    <row r="92" spans="2:17">
      <c r="B92" s="41"/>
      <c r="C92" s="444">
        <v>22</v>
      </c>
      <c r="D92" s="441" t="s">
        <v>420</v>
      </c>
      <c r="E92" s="441" t="s">
        <v>238</v>
      </c>
      <c r="F92" s="441" t="s">
        <v>235</v>
      </c>
      <c r="M92" s="41"/>
      <c r="N92" s="444">
        <v>22</v>
      </c>
      <c r="O92" s="441" t="s">
        <v>420</v>
      </c>
      <c r="P92" s="441" t="s">
        <v>238</v>
      </c>
      <c r="Q92" s="441" t="s">
        <v>235</v>
      </c>
    </row>
    <row r="93" spans="2:17">
      <c r="B93" s="41"/>
      <c r="M93" s="41"/>
    </row>
    <row r="94" spans="2:17">
      <c r="B94" s="41">
        <v>46014</v>
      </c>
      <c r="C94" s="444">
        <v>0</v>
      </c>
      <c r="D94" s="441" t="s">
        <v>392</v>
      </c>
      <c r="E94" s="441" t="s">
        <v>234</v>
      </c>
      <c r="F94" s="441" t="s">
        <v>235</v>
      </c>
      <c r="M94" s="41">
        <v>46014</v>
      </c>
      <c r="N94" s="444">
        <v>0</v>
      </c>
      <c r="O94" s="441" t="s">
        <v>392</v>
      </c>
      <c r="P94" s="441" t="s">
        <v>234</v>
      </c>
      <c r="Q94" s="441" t="s">
        <v>235</v>
      </c>
    </row>
    <row r="95" spans="2:17">
      <c r="B95" s="41"/>
      <c r="C95" s="444">
        <v>2</v>
      </c>
      <c r="D95" s="441" t="s">
        <v>446</v>
      </c>
      <c r="E95" s="441" t="s">
        <v>236</v>
      </c>
      <c r="F95" s="441" t="s">
        <v>235</v>
      </c>
      <c r="M95" s="41"/>
      <c r="N95" s="444">
        <v>2</v>
      </c>
      <c r="O95" s="441" t="s">
        <v>446</v>
      </c>
      <c r="P95" s="441" t="s">
        <v>236</v>
      </c>
      <c r="Q95" s="441" t="s">
        <v>235</v>
      </c>
    </row>
    <row r="96" spans="2:17">
      <c r="B96" s="41"/>
      <c r="C96" s="444">
        <v>22</v>
      </c>
      <c r="D96" s="441" t="s">
        <v>420</v>
      </c>
      <c r="E96" s="441" t="s">
        <v>238</v>
      </c>
      <c r="F96" s="441" t="s">
        <v>235</v>
      </c>
      <c r="M96" s="41"/>
      <c r="N96" s="444">
        <v>22</v>
      </c>
      <c r="O96" s="441" t="s">
        <v>420</v>
      </c>
      <c r="P96" s="441" t="s">
        <v>238</v>
      </c>
      <c r="Q96" s="441" t="s">
        <v>235</v>
      </c>
    </row>
    <row r="97" spans="2:17">
      <c r="B97" s="41"/>
      <c r="M97" s="41"/>
    </row>
    <row r="98" spans="2:17">
      <c r="B98" s="41">
        <v>46015</v>
      </c>
      <c r="C98" s="444">
        <v>0</v>
      </c>
      <c r="D98" s="441" t="s">
        <v>392</v>
      </c>
      <c r="E98" s="441" t="s">
        <v>234</v>
      </c>
      <c r="F98" s="441" t="s">
        <v>235</v>
      </c>
      <c r="M98" s="41">
        <v>46015</v>
      </c>
      <c r="N98" s="444">
        <v>0</v>
      </c>
      <c r="O98" s="441" t="s">
        <v>392</v>
      </c>
      <c r="P98" s="441" t="s">
        <v>234</v>
      </c>
      <c r="Q98" s="441" t="s">
        <v>235</v>
      </c>
    </row>
    <row r="99" spans="2:17">
      <c r="B99" s="41"/>
      <c r="C99" s="444">
        <v>3</v>
      </c>
      <c r="D99" s="441" t="s">
        <v>478</v>
      </c>
      <c r="E99" s="441" t="s">
        <v>236</v>
      </c>
      <c r="F99" s="441" t="s">
        <v>235</v>
      </c>
      <c r="M99" s="41"/>
      <c r="N99" s="444">
        <v>3</v>
      </c>
      <c r="O99" s="441" t="s">
        <v>478</v>
      </c>
      <c r="P99" s="441" t="s">
        <v>236</v>
      </c>
      <c r="Q99" s="441" t="s">
        <v>235</v>
      </c>
    </row>
    <row r="100" spans="2:17">
      <c r="B100" s="41"/>
      <c r="C100" s="444">
        <v>25</v>
      </c>
      <c r="D100" s="441" t="s">
        <v>513</v>
      </c>
      <c r="E100" s="441" t="s">
        <v>238</v>
      </c>
      <c r="F100" s="441" t="s">
        <v>235</v>
      </c>
      <c r="M100" s="41"/>
      <c r="N100" s="444">
        <v>25</v>
      </c>
      <c r="O100" s="441" t="s">
        <v>513</v>
      </c>
      <c r="P100" s="441" t="s">
        <v>238</v>
      </c>
      <c r="Q100" s="441" t="s">
        <v>235</v>
      </c>
    </row>
    <row r="101" spans="2:17">
      <c r="B101" s="41"/>
      <c r="M101" s="41"/>
    </row>
    <row r="102" spans="2:17">
      <c r="B102" s="41"/>
      <c r="M102" s="41"/>
    </row>
    <row r="103" spans="2:17">
      <c r="B103" s="41">
        <v>46016</v>
      </c>
      <c r="C103" s="444">
        <v>0</v>
      </c>
      <c r="D103" s="441" t="s">
        <v>392</v>
      </c>
      <c r="E103" s="441" t="s">
        <v>234</v>
      </c>
      <c r="F103" s="441" t="s">
        <v>235</v>
      </c>
      <c r="M103" s="41">
        <v>46016</v>
      </c>
      <c r="N103" s="444">
        <v>0</v>
      </c>
      <c r="O103" s="441" t="s">
        <v>392</v>
      </c>
      <c r="P103" s="441" t="s">
        <v>234</v>
      </c>
      <c r="Q103" s="441" t="s">
        <v>235</v>
      </c>
    </row>
    <row r="104" spans="2:17">
      <c r="B104" s="41"/>
      <c r="C104" s="444">
        <v>2</v>
      </c>
      <c r="D104" s="441" t="s">
        <v>446</v>
      </c>
      <c r="E104" s="441" t="s">
        <v>236</v>
      </c>
      <c r="F104" s="441" t="s">
        <v>235</v>
      </c>
      <c r="M104" s="41"/>
      <c r="N104" s="444">
        <v>2</v>
      </c>
      <c r="O104" s="441" t="s">
        <v>446</v>
      </c>
      <c r="P104" s="441" t="s">
        <v>236</v>
      </c>
      <c r="Q104" s="441" t="s">
        <v>235</v>
      </c>
    </row>
    <row r="105" spans="2:17">
      <c r="B105" s="41"/>
      <c r="C105" s="444">
        <v>34</v>
      </c>
      <c r="D105" s="441" t="s">
        <v>671</v>
      </c>
      <c r="E105" s="441" t="s">
        <v>238</v>
      </c>
      <c r="F105" s="441" t="s">
        <v>235</v>
      </c>
      <c r="M105" s="41"/>
      <c r="N105" s="444">
        <v>34</v>
      </c>
      <c r="O105" s="441" t="s">
        <v>671</v>
      </c>
      <c r="P105" s="441" t="s">
        <v>238</v>
      </c>
      <c r="Q105" s="441" t="s">
        <v>235</v>
      </c>
    </row>
    <row r="106" spans="2:17">
      <c r="B106" s="41"/>
      <c r="M106" s="41"/>
    </row>
    <row r="107" spans="2:17">
      <c r="B107" s="41">
        <v>46017</v>
      </c>
      <c r="C107" s="444">
        <v>5</v>
      </c>
      <c r="D107" s="441" t="s">
        <v>448</v>
      </c>
      <c r="E107" s="441" t="s">
        <v>234</v>
      </c>
      <c r="F107" s="441" t="s">
        <v>235</v>
      </c>
      <c r="M107" s="41">
        <v>46017</v>
      </c>
      <c r="N107" s="444">
        <v>5</v>
      </c>
      <c r="O107" s="441" t="s">
        <v>448</v>
      </c>
      <c r="P107" s="441" t="s">
        <v>234</v>
      </c>
      <c r="Q107" s="441" t="s">
        <v>235</v>
      </c>
    </row>
    <row r="108" spans="2:17">
      <c r="B108" s="41"/>
      <c r="C108" s="444">
        <v>2</v>
      </c>
      <c r="D108" s="441" t="s">
        <v>446</v>
      </c>
      <c r="E108" s="441" t="s">
        <v>236</v>
      </c>
      <c r="F108" s="441" t="s">
        <v>235</v>
      </c>
      <c r="M108" s="41"/>
      <c r="N108" s="444">
        <v>2</v>
      </c>
      <c r="O108" s="441" t="s">
        <v>446</v>
      </c>
      <c r="P108" s="441" t="s">
        <v>236</v>
      </c>
      <c r="Q108" s="441" t="s">
        <v>235</v>
      </c>
    </row>
    <row r="109" spans="2:17">
      <c r="B109" s="41"/>
      <c r="C109" s="444">
        <v>27</v>
      </c>
      <c r="D109" s="441" t="s">
        <v>671</v>
      </c>
      <c r="E109" s="441" t="s">
        <v>238</v>
      </c>
      <c r="F109" s="441" t="s">
        <v>235</v>
      </c>
      <c r="M109" s="41"/>
      <c r="N109" s="444">
        <v>27</v>
      </c>
      <c r="O109" s="441" t="s">
        <v>671</v>
      </c>
      <c r="P109" s="441" t="s">
        <v>238</v>
      </c>
      <c r="Q109" s="441" t="s">
        <v>235</v>
      </c>
    </row>
    <row r="110" spans="2:17">
      <c r="B110" s="41"/>
      <c r="M110" s="41"/>
    </row>
    <row r="111" spans="2:17">
      <c r="B111" s="41">
        <v>46018</v>
      </c>
      <c r="C111" s="444">
        <v>10</v>
      </c>
      <c r="D111" s="441" t="s">
        <v>510</v>
      </c>
      <c r="E111" s="441" t="s">
        <v>234</v>
      </c>
      <c r="F111" s="441" t="s">
        <v>235</v>
      </c>
      <c r="M111" s="41">
        <v>46018</v>
      </c>
      <c r="N111" s="444">
        <v>10</v>
      </c>
      <c r="O111" s="441" t="s">
        <v>510</v>
      </c>
      <c r="P111" s="441" t="s">
        <v>234</v>
      </c>
      <c r="Q111" s="441" t="s">
        <v>235</v>
      </c>
    </row>
    <row r="112" spans="2:17">
      <c r="B112" s="41"/>
      <c r="C112" s="444">
        <v>0</v>
      </c>
      <c r="D112" s="441" t="s">
        <v>415</v>
      </c>
      <c r="E112" s="441" t="s">
        <v>236</v>
      </c>
      <c r="F112" s="441" t="s">
        <v>235</v>
      </c>
      <c r="M112" s="41"/>
      <c r="N112" s="444">
        <v>0</v>
      </c>
      <c r="O112" s="441" t="s">
        <v>415</v>
      </c>
      <c r="P112" s="441" t="s">
        <v>236</v>
      </c>
      <c r="Q112" s="441" t="s">
        <v>235</v>
      </c>
    </row>
    <row r="113" spans="2:17">
      <c r="B113" s="41"/>
      <c r="C113" s="444">
        <v>24</v>
      </c>
      <c r="D113" s="441" t="s">
        <v>514</v>
      </c>
      <c r="E113" s="441" t="s">
        <v>238</v>
      </c>
      <c r="F113" s="441" t="s">
        <v>235</v>
      </c>
      <c r="M113" s="41"/>
      <c r="N113" s="444">
        <v>24</v>
      </c>
      <c r="O113" s="441" t="s">
        <v>514</v>
      </c>
      <c r="P113" s="441" t="s">
        <v>238</v>
      </c>
      <c r="Q113" s="441" t="s">
        <v>235</v>
      </c>
    </row>
    <row r="114" spans="2:17">
      <c r="B114" s="41"/>
      <c r="M114" s="41"/>
    </row>
    <row r="115" spans="2:17">
      <c r="B115" s="41">
        <v>46019</v>
      </c>
      <c r="C115" s="444">
        <v>5</v>
      </c>
      <c r="D115" s="441" t="s">
        <v>448</v>
      </c>
      <c r="E115" s="441" t="s">
        <v>234</v>
      </c>
      <c r="F115" s="441" t="s">
        <v>235</v>
      </c>
      <c r="M115" s="41">
        <v>46019</v>
      </c>
      <c r="N115" s="444">
        <v>5</v>
      </c>
      <c r="O115" s="441" t="s">
        <v>448</v>
      </c>
      <c r="P115" s="441" t="s">
        <v>234</v>
      </c>
      <c r="Q115" s="441" t="s">
        <v>235</v>
      </c>
    </row>
    <row r="116" spans="2:17">
      <c r="B116" s="41"/>
      <c r="C116" s="444">
        <v>1</v>
      </c>
      <c r="D116" s="441" t="s">
        <v>446</v>
      </c>
      <c r="E116" s="441" t="s">
        <v>236</v>
      </c>
      <c r="F116" s="441" t="s">
        <v>235</v>
      </c>
      <c r="M116" s="41"/>
      <c r="N116" s="444">
        <v>1</v>
      </c>
      <c r="O116" s="441" t="s">
        <v>446</v>
      </c>
      <c r="P116" s="441" t="s">
        <v>236</v>
      </c>
      <c r="Q116" s="441" t="s">
        <v>235</v>
      </c>
    </row>
    <row r="117" spans="2:17">
      <c r="B117" s="41"/>
      <c r="C117" s="444">
        <v>26</v>
      </c>
      <c r="D117" s="441" t="s">
        <v>458</v>
      </c>
      <c r="E117" s="441" t="s">
        <v>238</v>
      </c>
      <c r="F117" s="441" t="s">
        <v>235</v>
      </c>
      <c r="M117" s="41"/>
      <c r="N117" s="444">
        <v>26</v>
      </c>
      <c r="O117" s="441" t="s">
        <v>458</v>
      </c>
      <c r="P117" s="441" t="s">
        <v>238</v>
      </c>
      <c r="Q117" s="441" t="s">
        <v>235</v>
      </c>
    </row>
    <row r="118" spans="2:17">
      <c r="B118" s="41"/>
      <c r="M118" s="41"/>
    </row>
    <row r="119" spans="2:17">
      <c r="B119" s="41">
        <v>46020</v>
      </c>
      <c r="C119" s="444">
        <v>5</v>
      </c>
      <c r="D119" s="441" t="s">
        <v>448</v>
      </c>
      <c r="E119" s="441" t="s">
        <v>234</v>
      </c>
      <c r="F119" s="441" t="s">
        <v>235</v>
      </c>
      <c r="M119" s="41">
        <v>46020</v>
      </c>
      <c r="N119" s="444">
        <v>5</v>
      </c>
      <c r="O119" s="441" t="s">
        <v>448</v>
      </c>
      <c r="P119" s="441" t="s">
        <v>234</v>
      </c>
      <c r="Q119" s="441" t="s">
        <v>235</v>
      </c>
    </row>
    <row r="120" spans="2:17">
      <c r="B120" s="41"/>
      <c r="C120" s="444">
        <v>5</v>
      </c>
      <c r="D120" s="441" t="s">
        <v>478</v>
      </c>
      <c r="E120" s="441" t="s">
        <v>236</v>
      </c>
      <c r="F120" s="441" t="s">
        <v>235</v>
      </c>
      <c r="M120" s="41"/>
      <c r="N120" s="444">
        <v>5</v>
      </c>
      <c r="O120" s="441" t="s">
        <v>478</v>
      </c>
      <c r="P120" s="441" t="s">
        <v>236</v>
      </c>
      <c r="Q120" s="441" t="s">
        <v>235</v>
      </c>
    </row>
    <row r="121" spans="2:17">
      <c r="B121" s="41"/>
      <c r="C121" s="444">
        <v>26</v>
      </c>
      <c r="D121" s="441" t="s">
        <v>458</v>
      </c>
      <c r="E121" s="441" t="s">
        <v>238</v>
      </c>
      <c r="F121" s="441" t="s">
        <v>235</v>
      </c>
      <c r="M121" s="41"/>
      <c r="N121" s="444">
        <v>26</v>
      </c>
      <c r="O121" s="441" t="s">
        <v>458</v>
      </c>
      <c r="P121" s="441" t="s">
        <v>238</v>
      </c>
      <c r="Q121" s="441" t="s">
        <v>235</v>
      </c>
    </row>
    <row r="122" spans="2:17">
      <c r="B122" s="41"/>
      <c r="C122" s="444">
        <v>15</v>
      </c>
      <c r="D122" s="441" t="s">
        <v>752</v>
      </c>
      <c r="E122" s="441" t="s">
        <v>754</v>
      </c>
      <c r="F122" s="441" t="s">
        <v>263</v>
      </c>
      <c r="M122" s="41"/>
      <c r="N122" s="444">
        <v>15</v>
      </c>
      <c r="O122" s="441" t="s">
        <v>752</v>
      </c>
      <c r="P122" s="441" t="s">
        <v>754</v>
      </c>
      <c r="Q122" s="441" t="s">
        <v>263</v>
      </c>
    </row>
    <row r="123" spans="2:17">
      <c r="B123" s="41"/>
      <c r="M123" s="41"/>
    </row>
    <row r="124" spans="2:17">
      <c r="B124" s="41">
        <v>46386</v>
      </c>
      <c r="C124" s="444">
        <v>2</v>
      </c>
      <c r="D124" s="441" t="s">
        <v>448</v>
      </c>
      <c r="E124" s="441" t="s">
        <v>234</v>
      </c>
      <c r="F124" s="441" t="s">
        <v>235</v>
      </c>
      <c r="M124" s="41">
        <v>46386</v>
      </c>
      <c r="N124" s="444">
        <v>2</v>
      </c>
      <c r="O124" s="441" t="s">
        <v>448</v>
      </c>
      <c r="P124" s="441" t="s">
        <v>234</v>
      </c>
      <c r="Q124" s="441" t="s">
        <v>235</v>
      </c>
    </row>
    <row r="125" spans="2:17">
      <c r="B125" s="41"/>
      <c r="C125" s="444">
        <v>0</v>
      </c>
      <c r="D125" s="441" t="s">
        <v>415</v>
      </c>
      <c r="E125" s="441" t="s">
        <v>236</v>
      </c>
      <c r="F125" s="441" t="s">
        <v>235</v>
      </c>
      <c r="M125" s="41"/>
      <c r="N125" s="444">
        <v>0</v>
      </c>
      <c r="O125" s="441" t="s">
        <v>415</v>
      </c>
      <c r="P125" s="441" t="s">
        <v>236</v>
      </c>
      <c r="Q125" s="441" t="s">
        <v>235</v>
      </c>
    </row>
    <row r="126" spans="2:17">
      <c r="B126" s="41"/>
      <c r="C126" s="444">
        <v>32</v>
      </c>
      <c r="D126" s="441" t="s">
        <v>420</v>
      </c>
      <c r="E126" s="441" t="s">
        <v>238</v>
      </c>
      <c r="F126" s="441" t="s">
        <v>235</v>
      </c>
      <c r="M126" s="41"/>
      <c r="N126" s="444">
        <v>32</v>
      </c>
      <c r="O126" s="441" t="s">
        <v>420</v>
      </c>
      <c r="P126" s="441" t="s">
        <v>238</v>
      </c>
      <c r="Q126" s="441" t="s">
        <v>235</v>
      </c>
    </row>
    <row r="127" spans="2:17">
      <c r="B127" s="41"/>
      <c r="M127" s="41"/>
    </row>
    <row r="128" spans="2:17">
      <c r="B128" s="41">
        <v>46387</v>
      </c>
      <c r="C128" s="444">
        <v>0</v>
      </c>
      <c r="D128" s="441" t="s">
        <v>392</v>
      </c>
      <c r="E128" s="441" t="s">
        <v>234</v>
      </c>
      <c r="F128" s="441" t="s">
        <v>235</v>
      </c>
      <c r="M128" s="41">
        <v>46387</v>
      </c>
      <c r="N128" s="444">
        <v>0</v>
      </c>
      <c r="O128" s="441" t="s">
        <v>392</v>
      </c>
      <c r="P128" s="441" t="s">
        <v>234</v>
      </c>
      <c r="Q128" s="441" t="s">
        <v>235</v>
      </c>
    </row>
    <row r="129" spans="2:17">
      <c r="B129" s="41"/>
      <c r="C129" s="444">
        <v>3</v>
      </c>
      <c r="D129" s="441" t="s">
        <v>478</v>
      </c>
      <c r="E129" s="441" t="s">
        <v>236</v>
      </c>
      <c r="F129" s="441" t="s">
        <v>235</v>
      </c>
      <c r="M129" s="41"/>
      <c r="N129" s="444">
        <v>3</v>
      </c>
      <c r="O129" s="441" t="s">
        <v>478</v>
      </c>
      <c r="P129" s="441" t="s">
        <v>236</v>
      </c>
      <c r="Q129" s="441" t="s">
        <v>235</v>
      </c>
    </row>
    <row r="130" spans="2:17">
      <c r="B130" s="41"/>
      <c r="C130" s="444">
        <v>17</v>
      </c>
      <c r="D130" s="441" t="s">
        <v>514</v>
      </c>
      <c r="E130" s="441" t="s">
        <v>238</v>
      </c>
      <c r="F130" s="441" t="s">
        <v>235</v>
      </c>
      <c r="M130" s="41"/>
      <c r="N130" s="444">
        <v>17</v>
      </c>
      <c r="O130" s="441" t="s">
        <v>514</v>
      </c>
      <c r="P130" s="441" t="s">
        <v>238</v>
      </c>
      <c r="Q130" s="441" t="s">
        <v>235</v>
      </c>
    </row>
  </sheetData>
  <autoFilter ref="B1:F45"/>
  <conditionalFormatting sqref="G1:G1048576">
    <cfRule type="cellIs" dxfId="7" priority="2" operator="greaterThan">
      <formula>0</formula>
    </cfRule>
  </conditionalFormatting>
  <conditionalFormatting sqref="R1:R1048576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"/>
  <sheetViews>
    <sheetView topLeftCell="G1" workbookViewId="0">
      <selection activeCell="L12" sqref="L12"/>
    </sheetView>
  </sheetViews>
  <sheetFormatPr defaultRowHeight="12.75"/>
  <cols>
    <col min="1" max="1" width="15.28515625" bestFit="1" customWidth="1"/>
    <col min="2" max="2" width="23.28515625" bestFit="1" customWidth="1"/>
    <col min="3" max="3" width="38.140625" style="533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33" customWidth="1"/>
    <col min="13" max="17" width="13.5703125" customWidth="1"/>
  </cols>
  <sheetData>
    <row r="1" spans="1:18" ht="15">
      <c r="A1" s="434" t="s">
        <v>250</v>
      </c>
      <c r="E1" s="534"/>
      <c r="F1" s="1"/>
      <c r="J1" s="434" t="s">
        <v>357</v>
      </c>
      <c r="N1" s="534"/>
      <c r="O1" s="1"/>
    </row>
    <row r="2" spans="1:18" ht="30">
      <c r="A2" s="752" t="s">
        <v>251</v>
      </c>
      <c r="B2" s="752" t="s">
        <v>252</v>
      </c>
      <c r="C2" s="753" t="s">
        <v>253</v>
      </c>
      <c r="D2" s="535" t="s">
        <v>254</v>
      </c>
      <c r="E2" s="536" t="s">
        <v>255</v>
      </c>
      <c r="F2" s="455" t="s">
        <v>256</v>
      </c>
      <c r="G2" s="536" t="s">
        <v>257</v>
      </c>
      <c r="H2" s="536" t="s">
        <v>258</v>
      </c>
      <c r="J2" s="752" t="s">
        <v>251</v>
      </c>
      <c r="K2" s="752" t="s">
        <v>252</v>
      </c>
      <c r="L2" s="751" t="s">
        <v>253</v>
      </c>
      <c r="M2" s="535" t="s">
        <v>254</v>
      </c>
      <c r="N2" s="536" t="s">
        <v>255</v>
      </c>
      <c r="O2" s="455" t="s">
        <v>256</v>
      </c>
      <c r="P2" s="536" t="s">
        <v>257</v>
      </c>
      <c r="Q2" s="536" t="s">
        <v>258</v>
      </c>
    </row>
    <row r="3" spans="1:18" ht="15">
      <c r="A3" s="752"/>
      <c r="B3" s="752"/>
      <c r="C3" s="754"/>
      <c r="D3" s="535" t="s">
        <v>400</v>
      </c>
      <c r="E3" s="535" t="str">
        <f>+D3</f>
        <v>DESEMBER</v>
      </c>
      <c r="F3" s="535" t="str">
        <f>+E3</f>
        <v>DESEMBER</v>
      </c>
      <c r="G3" s="535" t="str">
        <f>+F3</f>
        <v>DESEMBER</v>
      </c>
      <c r="H3" s="535" t="str">
        <f>+G3</f>
        <v>DESEMBER</v>
      </c>
      <c r="J3" s="752"/>
      <c r="K3" s="752"/>
      <c r="L3" s="751"/>
      <c r="M3" s="535" t="str">
        <f>+H3</f>
        <v>DESEMBER</v>
      </c>
      <c r="N3" s="535" t="str">
        <f>+M3</f>
        <v>DESEMBER</v>
      </c>
      <c r="O3" s="535" t="str">
        <f>+N3</f>
        <v>DESEMBER</v>
      </c>
      <c r="P3" s="535" t="str">
        <f>+O3</f>
        <v>DESEMBER</v>
      </c>
      <c r="Q3" s="535" t="str">
        <f>+P3</f>
        <v>DESEMBER</v>
      </c>
    </row>
    <row r="4" spans="1:18" ht="15">
      <c r="A4" s="755" t="s">
        <v>259</v>
      </c>
      <c r="B4" s="537" t="s">
        <v>284</v>
      </c>
      <c r="C4" s="574"/>
      <c r="D4" s="6">
        <f>SUMIFS(Sheet1!$C$2:$C$180,Sheet1!$F$2:$F$180,B4,Sheet1!$E$2:$E$180,C4)</f>
        <v>0</v>
      </c>
      <c r="E4" s="6">
        <f>D4/Sheet1!$I$9*Sheet1!$I$10</f>
        <v>0</v>
      </c>
      <c r="F4" s="539">
        <f>D4/Sheet1!$I$9*Sheet1!$I$11</f>
        <v>0</v>
      </c>
      <c r="G4" s="540">
        <f>F4</f>
        <v>0</v>
      </c>
      <c r="H4" s="756">
        <f>SUM(G4:G11)</f>
        <v>1.737469984822684E-4</v>
      </c>
      <c r="J4" s="755" t="s">
        <v>259</v>
      </c>
      <c r="K4" s="537" t="s">
        <v>284</v>
      </c>
      <c r="L4" s="445"/>
      <c r="M4" s="6">
        <f>SUMIFS(Sheet1!$N$2:$N$180,Sheet1!$Q$2:$Q$180,K4,Sheet1!$P$2:$P$180,L4)</f>
        <v>0</v>
      </c>
      <c r="N4" s="6">
        <f>M4/Sheet1!$T$9*Sheet1!$T$10</f>
        <v>0</v>
      </c>
      <c r="O4" s="539">
        <f>M4/Sheet1!$T$9*Sheet1!$T$11</f>
        <v>0</v>
      </c>
      <c r="P4" s="540">
        <f>O4</f>
        <v>0</v>
      </c>
      <c r="Q4" s="756">
        <f>SUM(P4:P11)</f>
        <v>1.737469984822684E-4</v>
      </c>
    </row>
    <row r="5" spans="1:18" ht="15">
      <c r="A5" s="755"/>
      <c r="B5" s="537" t="s">
        <v>260</v>
      </c>
      <c r="C5" s="538"/>
      <c r="D5" s="6">
        <f>SUMIFS(Sheet1!$C$2:$C$180,Sheet1!$F$2:$F$180,B5,Sheet1!$E$2:$E$180,C5)</f>
        <v>0</v>
      </c>
      <c r="E5" s="6">
        <f>D5/Sheet1!$I$9*Sheet1!$I$10</f>
        <v>0</v>
      </c>
      <c r="F5" s="539">
        <f>D5/Sheet1!$I$9*Sheet1!$I$11</f>
        <v>0</v>
      </c>
      <c r="G5" s="541">
        <f t="shared" ref="G5:G14" si="0">F5</f>
        <v>0</v>
      </c>
      <c r="H5" s="755"/>
      <c r="J5" s="755"/>
      <c r="K5" s="537" t="s">
        <v>260</v>
      </c>
      <c r="L5" s="538"/>
      <c r="M5" s="6">
        <f>SUMIFS(Sheet1!$N$2:$N$180,Sheet1!$Q$2:$Q$180,K5,Sheet1!$P$2:$P$180,L5)</f>
        <v>0</v>
      </c>
      <c r="N5" s="6">
        <f>M5/Sheet1!$T$9*Sheet1!$T$10</f>
        <v>0</v>
      </c>
      <c r="O5" s="539">
        <f>M5/Sheet1!$T$9*Sheet1!$T$11</f>
        <v>0</v>
      </c>
      <c r="P5" s="541">
        <f t="shared" ref="P5:P14" si="1">O5</f>
        <v>0</v>
      </c>
      <c r="Q5" s="755"/>
    </row>
    <row r="6" spans="1:18" ht="15">
      <c r="A6" s="755"/>
      <c r="B6" s="757" t="s">
        <v>294</v>
      </c>
      <c r="C6" s="538"/>
      <c r="D6" s="6">
        <f>SUMIFS(Sheet1!$C$2:$C$180,Sheet1!$F$2:$F$180,B6,Sheet1!$E$2:$E$180,C6)</f>
        <v>0</v>
      </c>
      <c r="E6" s="6">
        <f>D6/Sheet1!$I$9*Sheet1!$I$10</f>
        <v>0</v>
      </c>
      <c r="F6" s="539">
        <f>D6/Sheet1!$I$9*Sheet1!$I$11</f>
        <v>0</v>
      </c>
      <c r="G6" s="541">
        <f t="shared" si="0"/>
        <v>0</v>
      </c>
      <c r="H6" s="755"/>
      <c r="J6" s="755"/>
      <c r="K6" s="757" t="s">
        <v>294</v>
      </c>
      <c r="L6" s="538"/>
      <c r="M6" s="6">
        <f>SUMIFS(Sheet1!$N$2:$N$180,Sheet1!$Q$2:$Q$180,K6,Sheet1!$P$2:$P$180,L6)</f>
        <v>0</v>
      </c>
      <c r="N6" s="6">
        <f>M6/Sheet1!$T$9*Sheet1!$T$10</f>
        <v>0</v>
      </c>
      <c r="O6" s="539">
        <f>M6/Sheet1!$T$9*Sheet1!$T$11</f>
        <v>0</v>
      </c>
      <c r="P6" s="541">
        <f t="shared" si="1"/>
        <v>0</v>
      </c>
      <c r="Q6" s="755"/>
    </row>
    <row r="7" spans="1:18" ht="15">
      <c r="A7" s="755"/>
      <c r="B7" s="758"/>
      <c r="C7" s="538"/>
      <c r="D7" s="6">
        <f>SUMIFS(Sheet1!$C$2:$C$180,Sheet1!$F$2:$F$180,B6,Sheet1!$E$2:$E$180,C7)</f>
        <v>0</v>
      </c>
      <c r="E7" s="6">
        <f>D7/Sheet1!$I$9*Sheet1!$I$10</f>
        <v>0</v>
      </c>
      <c r="F7" s="539">
        <f>D7/Sheet1!$I$9*Sheet1!$I$11</f>
        <v>0</v>
      </c>
      <c r="G7" s="541">
        <f t="shared" si="0"/>
        <v>0</v>
      </c>
      <c r="H7" s="755"/>
      <c r="J7" s="755"/>
      <c r="K7" s="758"/>
      <c r="L7" s="538"/>
      <c r="M7" s="6">
        <f>SUMIFS(Sheet1!$N$2:$N$180,Sheet1!$Q$2:$Q$180,K6,Sheet1!$P$2:$P$180,L7)</f>
        <v>0</v>
      </c>
      <c r="N7" s="6">
        <f>M7/Sheet1!$T$9*Sheet1!$T$10</f>
        <v>0</v>
      </c>
      <c r="O7" s="539">
        <f>M7/Sheet1!$T$9*Sheet1!$T$11</f>
        <v>0</v>
      </c>
      <c r="P7" s="541">
        <f t="shared" si="1"/>
        <v>0</v>
      </c>
      <c r="Q7" s="755"/>
    </row>
    <row r="8" spans="1:18">
      <c r="A8" s="755"/>
      <c r="B8" s="757" t="s">
        <v>293</v>
      </c>
      <c r="C8" s="538"/>
      <c r="D8" s="6">
        <f>SUMIFS(Sheet1!$C$2:$C$180,Sheet1!$F$2:$F$180,B8,Sheet1!$E$2:$E$180,C8)</f>
        <v>0</v>
      </c>
      <c r="E8" s="6">
        <f>D8/Sheet1!$I$9*Sheet1!$I$10</f>
        <v>0</v>
      </c>
      <c r="F8" s="539">
        <f>D8/Sheet1!$I$9*Sheet1!$I$11</f>
        <v>0</v>
      </c>
      <c r="G8" s="542">
        <f t="shared" si="0"/>
        <v>0</v>
      </c>
      <c r="H8" s="755"/>
      <c r="J8" s="755"/>
      <c r="K8" s="757" t="s">
        <v>293</v>
      </c>
      <c r="L8" s="538"/>
      <c r="M8" s="6">
        <f>SUMIFS(Sheet1!$N$2:$N$180,Sheet1!$Q$2:$Q$180,K8,Sheet1!$P$2:$P$180,L8)</f>
        <v>0</v>
      </c>
      <c r="N8" s="6">
        <f>M8/Sheet1!$T$9*Sheet1!$T$10</f>
        <v>0</v>
      </c>
      <c r="O8" s="539">
        <f>M8/Sheet1!$T$9*Sheet1!$T$11</f>
        <v>0</v>
      </c>
      <c r="P8" s="542">
        <f t="shared" si="1"/>
        <v>0</v>
      </c>
      <c r="Q8" s="755"/>
    </row>
    <row r="9" spans="1:18">
      <c r="A9" s="755"/>
      <c r="B9" s="758"/>
      <c r="C9" s="538"/>
      <c r="D9" s="6">
        <f>SUMIFS(Sheet1!$C$2:$C$180,Sheet1!$F$2:$F$180,B8,Sheet1!$E$2:$E$180,C9)</f>
        <v>0</v>
      </c>
      <c r="E9" s="6">
        <f>D9/Sheet1!$I$9*Sheet1!$I$10</f>
        <v>0</v>
      </c>
      <c r="F9" s="539">
        <f>D9/Sheet1!$I$9*Sheet1!$I$11</f>
        <v>0</v>
      </c>
      <c r="G9" s="542">
        <f t="shared" si="0"/>
        <v>0</v>
      </c>
      <c r="H9" s="755"/>
      <c r="J9" s="755"/>
      <c r="K9" s="758"/>
      <c r="L9" s="538"/>
      <c r="M9" s="6">
        <f>SUMIFS(Sheet1!$N$2:$N$180,Sheet1!$Q$2:$Q$180,K8,Sheet1!$P$2:$P$180,L9)</f>
        <v>0</v>
      </c>
      <c r="N9" s="6">
        <f>M9/Sheet1!$T$9*Sheet1!$T$10</f>
        <v>0</v>
      </c>
      <c r="O9" s="539">
        <f>M9/Sheet1!$T$9*Sheet1!$T$11</f>
        <v>0</v>
      </c>
      <c r="P9" s="542">
        <f t="shared" si="1"/>
        <v>0</v>
      </c>
      <c r="Q9" s="755"/>
    </row>
    <row r="10" spans="1:18" ht="25.5">
      <c r="A10" s="755"/>
      <c r="B10" s="757" t="s">
        <v>359</v>
      </c>
      <c r="C10" s="538" t="s">
        <v>451</v>
      </c>
      <c r="D10" s="6">
        <f>SUMIFS(Sheet1!$C$2:$C$180,Sheet1!$F$2:$F$180,B10,Sheet1!$E$2:$E$180,C10)</f>
        <v>8</v>
      </c>
      <c r="E10" s="6">
        <f>D10/Sheet1!$I$9*Sheet1!$I$10</f>
        <v>0.28625356866324991</v>
      </c>
      <c r="F10" s="539">
        <f>D10/Sheet1!$I$9*Sheet1!$I$11</f>
        <v>1.737469984822684E-4</v>
      </c>
      <c r="G10" s="542">
        <f t="shared" si="0"/>
        <v>1.737469984822684E-4</v>
      </c>
      <c r="H10" s="755"/>
      <c r="J10" s="755"/>
      <c r="K10" s="757" t="s">
        <v>359</v>
      </c>
      <c r="L10" s="538" t="s">
        <v>451</v>
      </c>
      <c r="M10" s="6">
        <f>SUMIFS(Sheet1!$N$2:$N$180,Sheet1!$Q$2:$Q$180,K10,Sheet1!$P$2:$P$180,L10)</f>
        <v>8</v>
      </c>
      <c r="N10" s="6">
        <f>M10/Sheet1!$T$9*Sheet1!$T$10</f>
        <v>0.28625356866324991</v>
      </c>
      <c r="O10" s="539">
        <f>M10/Sheet1!$T$9*Sheet1!$T$11</f>
        <v>1.737469984822684E-4</v>
      </c>
      <c r="P10" s="542">
        <f t="shared" si="1"/>
        <v>1.737469984822684E-4</v>
      </c>
      <c r="Q10" s="755"/>
    </row>
    <row r="11" spans="1:18">
      <c r="A11" s="755"/>
      <c r="B11" s="758"/>
      <c r="C11" s="538"/>
      <c r="D11" s="6">
        <f>SUMIFS(Sheet1!$C$2:$C$180,Sheet1!$F$2:$F$180,B10,Sheet1!$E$2:$E$180,C11)</f>
        <v>0</v>
      </c>
      <c r="E11" s="6">
        <f>D11/Sheet1!$I$9*Sheet1!$I$10</f>
        <v>0</v>
      </c>
      <c r="F11" s="539">
        <f>D11/Sheet1!$I$9*Sheet1!$I$11</f>
        <v>0</v>
      </c>
      <c r="G11" s="542">
        <f t="shared" si="0"/>
        <v>0</v>
      </c>
      <c r="H11" s="755"/>
      <c r="J11" s="755"/>
      <c r="K11" s="758"/>
      <c r="L11" s="538"/>
      <c r="M11" s="6">
        <f>SUMIFS(Sheet1!$N$2:$N$180,Sheet1!$Q$2:$Q$180,K10,Sheet1!$P$2:$P$180,L11)</f>
        <v>0</v>
      </c>
      <c r="N11" s="6">
        <f>M11/Sheet1!$T$9*Sheet1!$T$10</f>
        <v>0</v>
      </c>
      <c r="O11" s="539">
        <f>M11/Sheet1!$T$9*Sheet1!$T$11</f>
        <v>0</v>
      </c>
      <c r="P11" s="542">
        <f t="shared" si="1"/>
        <v>0</v>
      </c>
      <c r="Q11" s="755"/>
    </row>
    <row r="12" spans="1:18" ht="15">
      <c r="A12" s="755" t="s">
        <v>9</v>
      </c>
      <c r="B12" s="537" t="s">
        <v>149</v>
      </c>
      <c r="C12" s="538" t="s">
        <v>149</v>
      </c>
      <c r="D12" s="6"/>
      <c r="E12" s="6">
        <f>+Sheet1!I2</f>
        <v>6.0519999999999996</v>
      </c>
      <c r="F12" s="539">
        <f>E12/Sheet1!$I$8</f>
        <v>3.6733754612215774E-3</v>
      </c>
      <c r="G12" s="541">
        <f t="shared" si="0"/>
        <v>3.6733754612215774E-3</v>
      </c>
      <c r="H12" s="759">
        <f>SUM(G12:G13)</f>
        <v>4.0282321182316602E-2</v>
      </c>
      <c r="J12" s="755" t="s">
        <v>9</v>
      </c>
      <c r="K12" s="537" t="s">
        <v>149</v>
      </c>
      <c r="L12" s="538" t="s">
        <v>149</v>
      </c>
      <c r="M12" s="6"/>
      <c r="N12" s="6">
        <f>+Sheet1!T2</f>
        <v>6.0519999999999996</v>
      </c>
      <c r="O12" s="539">
        <f>+Sheet1!U2</f>
        <v>3.6733754612215774E-3</v>
      </c>
      <c r="P12" s="541">
        <f t="shared" si="1"/>
        <v>3.6733754612215774E-3</v>
      </c>
      <c r="Q12" s="759">
        <f>SUM(P12:P13)</f>
        <v>4.0282321182316602E-2</v>
      </c>
      <c r="R12" s="579"/>
    </row>
    <row r="13" spans="1:18" ht="15">
      <c r="A13" s="755"/>
      <c r="B13" s="537" t="s">
        <v>237</v>
      </c>
      <c r="C13" s="538" t="s">
        <v>261</v>
      </c>
      <c r="D13" s="6"/>
      <c r="E13" s="6">
        <f>+Sheet1!I3</f>
        <v>60.314373481002242</v>
      </c>
      <c r="F13" s="539">
        <f>E13/Sheet1!$I$8</f>
        <v>3.6608945721095028E-2</v>
      </c>
      <c r="G13" s="541">
        <f t="shared" si="0"/>
        <v>3.6608945721095028E-2</v>
      </c>
      <c r="H13" s="760"/>
      <c r="J13" s="755"/>
      <c r="K13" s="537" t="s">
        <v>237</v>
      </c>
      <c r="L13" s="538" t="s">
        <v>261</v>
      </c>
      <c r="M13" s="6"/>
      <c r="N13" s="6">
        <f>+Sheet1!T3</f>
        <v>60.314373481002242</v>
      </c>
      <c r="O13" s="539">
        <f>+Sheet1!U3</f>
        <v>3.6608945721095028E-2</v>
      </c>
      <c r="P13" s="541">
        <f t="shared" si="1"/>
        <v>3.6608945721095028E-2</v>
      </c>
      <c r="Q13" s="760"/>
    </row>
    <row r="14" spans="1:18" ht="15">
      <c r="A14" s="761" t="s">
        <v>11</v>
      </c>
      <c r="B14" s="537" t="s">
        <v>262</v>
      </c>
      <c r="C14" s="538" t="s">
        <v>262</v>
      </c>
      <c r="D14" s="6"/>
      <c r="E14" s="6">
        <f>+Sheet1!I4</f>
        <v>0.97281153867720327</v>
      </c>
      <c r="F14" s="539">
        <f>E14/Sheet1!$I$8</f>
        <v>5.9046629784699999E-4</v>
      </c>
      <c r="G14" s="541">
        <f t="shared" si="0"/>
        <v>5.9046629784699999E-4</v>
      </c>
      <c r="H14" s="763">
        <f>SUM(G14:G23)</f>
        <v>2.5624647086552797E-2</v>
      </c>
      <c r="J14" s="761" t="s">
        <v>11</v>
      </c>
      <c r="K14" s="537" t="s">
        <v>262</v>
      </c>
      <c r="L14" s="538" t="s">
        <v>262</v>
      </c>
      <c r="M14" s="6"/>
      <c r="N14" s="6">
        <f>+Sheet1!T4</f>
        <v>0.97281153867720327</v>
      </c>
      <c r="O14" s="539">
        <f>+Sheet1!U4</f>
        <v>5.9046629784699999E-4</v>
      </c>
      <c r="P14" s="541">
        <f t="shared" si="1"/>
        <v>5.9046629784699999E-4</v>
      </c>
      <c r="Q14" s="763">
        <f>SUM(P14:P23)</f>
        <v>2.5624647086552797E-2</v>
      </c>
    </row>
    <row r="15" spans="1:18" ht="15">
      <c r="A15" s="762"/>
      <c r="B15" s="537" t="s">
        <v>241</v>
      </c>
      <c r="C15" s="538" t="s">
        <v>241</v>
      </c>
      <c r="D15" s="6"/>
      <c r="E15" s="6">
        <f>+Sheet1!I5</f>
        <v>0.59658251999999923</v>
      </c>
      <c r="F15" s="539">
        <f>E15/Sheet1!$I$8</f>
        <v>3.6210700422368279E-4</v>
      </c>
      <c r="G15" s="541">
        <f>F15</f>
        <v>3.6210700422368279E-4</v>
      </c>
      <c r="H15" s="763"/>
      <c r="J15" s="762"/>
      <c r="K15" s="537" t="s">
        <v>241</v>
      </c>
      <c r="L15" s="538" t="s">
        <v>241</v>
      </c>
      <c r="M15" s="6"/>
      <c r="N15" s="6">
        <f>+Sheet1!T5</f>
        <v>0.59658251999999923</v>
      </c>
      <c r="O15" s="539">
        <f>+Sheet1!U5</f>
        <v>3.6210700422368279E-4</v>
      </c>
      <c r="P15" s="541">
        <f>O15</f>
        <v>3.6210700422368279E-4</v>
      </c>
      <c r="Q15" s="763"/>
    </row>
    <row r="16" spans="1:18" ht="25.5">
      <c r="A16" s="762"/>
      <c r="B16" s="764" t="s">
        <v>263</v>
      </c>
      <c r="C16" s="538" t="s">
        <v>575</v>
      </c>
      <c r="D16" s="6">
        <f>SUMIFS(Sheet1!$C$2:$C$180,Sheet1!$F$2:$F$180,B16,Sheet1!$E$2:$E$180,C16)</f>
        <v>40</v>
      </c>
      <c r="E16" s="6">
        <f>D16/Sheet1!$I$9*Sheet1!$I$10</f>
        <v>1.4312678433162496</v>
      </c>
      <c r="F16" s="539">
        <f>D16/Sheet1!$I$9*Sheet1!$I$11</f>
        <v>8.6873499241134182E-4</v>
      </c>
      <c r="G16" s="765">
        <f>SUM(F16:F17)</f>
        <v>1.194510614565595E-3</v>
      </c>
      <c r="H16" s="763"/>
      <c r="J16" s="762"/>
      <c r="K16" s="764" t="s">
        <v>263</v>
      </c>
      <c r="L16" s="538" t="s">
        <v>575</v>
      </c>
      <c r="M16" s="6">
        <f>SUMIFS(Sheet1!$N$2:$N$180,Sheet1!$Q$2:$Q$180,K16,Sheet1!$P$2:$P$180,L16)</f>
        <v>40</v>
      </c>
      <c r="N16" s="6">
        <f>M16/Sheet1!$T$9*Sheet1!$T$10</f>
        <v>1.4312678433162496</v>
      </c>
      <c r="O16" s="539">
        <f>M16/Sheet1!$T$9*Sheet1!$T$11</f>
        <v>8.6873499241134182E-4</v>
      </c>
      <c r="P16" s="765">
        <f>SUM(O16:O17)</f>
        <v>1.194510614565595E-3</v>
      </c>
      <c r="Q16" s="763"/>
    </row>
    <row r="17" spans="1:18" ht="38.25">
      <c r="A17" s="762"/>
      <c r="B17" s="764"/>
      <c r="C17" s="538" t="s">
        <v>754</v>
      </c>
      <c r="D17" s="6">
        <f>SUMIFS(Sheet1!$C$2:$C$180,Sheet1!$F$2:$F$180,B16,Sheet1!$E$2:$E$180,C17)</f>
        <v>15</v>
      </c>
      <c r="E17" s="6">
        <f>D17/Sheet1!$I$9*Sheet1!$I$10</f>
        <v>0.53672544124359367</v>
      </c>
      <c r="F17" s="539">
        <f>D17/Sheet1!$I$9*Sheet1!$I$11</f>
        <v>3.2577562215425324E-4</v>
      </c>
      <c r="G17" s="765"/>
      <c r="H17" s="763"/>
      <c r="J17" s="762"/>
      <c r="K17" s="764"/>
      <c r="L17" s="538" t="s">
        <v>754</v>
      </c>
      <c r="M17" s="6">
        <f>SUMIFS(Sheet1!$N$2:$N$180,Sheet1!$Q$2:$Q$180,K16,Sheet1!$P$2:$P$180,L17)</f>
        <v>15</v>
      </c>
      <c r="N17" s="6">
        <f>M17/Sheet1!$T$9*Sheet1!$T$10</f>
        <v>0.53672544124359367</v>
      </c>
      <c r="O17" s="539">
        <f>M17/Sheet1!$T$9*Sheet1!$T$11</f>
        <v>3.2577562215425324E-4</v>
      </c>
      <c r="P17" s="765"/>
      <c r="Q17" s="763"/>
    </row>
    <row r="18" spans="1:18" ht="15">
      <c r="A18" s="762"/>
      <c r="B18" s="537" t="s">
        <v>264</v>
      </c>
      <c r="C18" s="538" t="s">
        <v>265</v>
      </c>
      <c r="D18" s="6">
        <f>SUMIFS(Sheet1!$C$2:$C$180,Sheet1!$F$2:$F$180,B18,Sheet1!$E$2:$E$180,C18)</f>
        <v>0</v>
      </c>
      <c r="E18" s="6">
        <f>D18/Sheet1!$I$9*Sheet1!$I$10</f>
        <v>0</v>
      </c>
      <c r="F18" s="539">
        <f>D18/Sheet1!$I$9*Sheet1!$I$11</f>
        <v>0</v>
      </c>
      <c r="G18" s="541">
        <f>F18</f>
        <v>0</v>
      </c>
      <c r="H18" s="763"/>
      <c r="J18" s="762"/>
      <c r="K18" s="537" t="s">
        <v>264</v>
      </c>
      <c r="L18" s="538" t="s">
        <v>265</v>
      </c>
      <c r="M18" s="6">
        <f>SUMIFS(Sheet1!$N$2:$N$180,Sheet1!$Q$2:$Q$180,K18,Sheet1!$P$2:$P$180,L18)</f>
        <v>0</v>
      </c>
      <c r="N18" s="6">
        <f>M18/Sheet1!$T$9*Sheet1!$T$10</f>
        <v>0</v>
      </c>
      <c r="O18" s="539">
        <f>M18/Sheet1!$T$9*Sheet1!$T$11</f>
        <v>0</v>
      </c>
      <c r="P18" s="541">
        <f>O18</f>
        <v>0</v>
      </c>
      <c r="Q18" s="763"/>
    </row>
    <row r="19" spans="1:18">
      <c r="A19" s="762"/>
      <c r="B19" s="757" t="s">
        <v>235</v>
      </c>
      <c r="C19" s="538" t="s">
        <v>236</v>
      </c>
      <c r="D19" s="6">
        <f>SUMIFS(Sheet1!$C$2:$C$180,Sheet1!$F$2:$F$180,B19,Sheet1!$E$2:$E$180,C19)</f>
        <v>72</v>
      </c>
      <c r="E19" s="6">
        <f>D19/Sheet1!$I$9*Sheet1!$I$10</f>
        <v>2.5762821179692494</v>
      </c>
      <c r="F19" s="539">
        <f>D19/Sheet1!$I$9*Sheet1!$I$11</f>
        <v>1.5637229863404156E-3</v>
      </c>
      <c r="G19" s="767">
        <f>SUM(F19:F23)</f>
        <v>2.3477563169916518E-2</v>
      </c>
      <c r="H19" s="763"/>
      <c r="J19" s="762"/>
      <c r="K19" s="757" t="s">
        <v>235</v>
      </c>
      <c r="L19" s="538" t="s">
        <v>236</v>
      </c>
      <c r="M19" s="6">
        <f>SUMIFS(Sheet1!$N$2:$N$180,Sheet1!$Q$2:$Q$180,$K$19,Sheet1!$P$2:$P$180,L19)</f>
        <v>72</v>
      </c>
      <c r="N19" s="6">
        <f>M19/Sheet1!$T$9*Sheet1!$T$10</f>
        <v>2.5762821179692494</v>
      </c>
      <c r="O19" s="539">
        <f>M19/Sheet1!$T$9*Sheet1!$T$11</f>
        <v>1.5637229863404156E-3</v>
      </c>
      <c r="P19" s="767">
        <f>SUM(O19:O23)</f>
        <v>2.3477563169916518E-2</v>
      </c>
      <c r="Q19" s="763"/>
    </row>
    <row r="20" spans="1:18">
      <c r="A20" s="762"/>
      <c r="B20" s="766"/>
      <c r="C20" s="538" t="s">
        <v>238</v>
      </c>
      <c r="D20" s="6">
        <f>SUMIFS(Sheet1!$C$2:$C$180,Sheet1!$F$2:$F$180,B19,Sheet1!$E$2:$E$180,C20)</f>
        <v>861</v>
      </c>
      <c r="E20" s="6">
        <f>D20/Sheet1!$I$9*Sheet1!$I$10</f>
        <v>30.808040327382272</v>
      </c>
      <c r="F20" s="539">
        <f>D20/Sheet1!$I$9*Sheet1!$I$11</f>
        <v>1.8699520711654136E-2</v>
      </c>
      <c r="G20" s="768"/>
      <c r="H20" s="763"/>
      <c r="J20" s="762"/>
      <c r="K20" s="766"/>
      <c r="L20" s="538" t="s">
        <v>238</v>
      </c>
      <c r="M20" s="6">
        <f>SUMIFS(Sheet1!$N$2:$N$180,Sheet1!$Q$2:$Q$180,$K$19,Sheet1!$P$2:$P$180,L20)</f>
        <v>861</v>
      </c>
      <c r="N20" s="6">
        <f>M20/Sheet1!$T$9*Sheet1!$T$10</f>
        <v>30.808040327382272</v>
      </c>
      <c r="O20" s="539">
        <f>M20/Sheet1!$T$9*Sheet1!$T$11</f>
        <v>1.8699520711654136E-2</v>
      </c>
      <c r="P20" s="768"/>
      <c r="Q20" s="763"/>
    </row>
    <row r="21" spans="1:18">
      <c r="A21" s="762"/>
      <c r="B21" s="766"/>
      <c r="C21" s="538" t="s">
        <v>234</v>
      </c>
      <c r="D21" s="6">
        <f>SUMIFS(Sheet1!$C$2:$C$180,Sheet1!$F$2:$F$180,B19,Sheet1!$E$2:$E$180,C21)</f>
        <v>148</v>
      </c>
      <c r="E21" s="6">
        <f>D21/Sheet1!$I$9*Sheet1!$I$10</f>
        <v>5.2956910202701239</v>
      </c>
      <c r="F21" s="539">
        <f>D21/Sheet1!$I$9*Sheet1!$I$11</f>
        <v>3.2143194719219653E-3</v>
      </c>
      <c r="G21" s="768"/>
      <c r="H21" s="763"/>
      <c r="J21" s="762"/>
      <c r="K21" s="766"/>
      <c r="L21" s="538" t="s">
        <v>234</v>
      </c>
      <c r="M21" s="6">
        <f>SUMIFS(Sheet1!$N$2:$N$180,Sheet1!$Q$2:$Q$180,$K$19,Sheet1!$P$2:$P$180,L21)</f>
        <v>148</v>
      </c>
      <c r="N21" s="6">
        <f>M21/Sheet1!$T$9*Sheet1!$T$10</f>
        <v>5.2956910202701239</v>
      </c>
      <c r="O21" s="539">
        <f>M21/Sheet1!$T$9*Sheet1!$T$11</f>
        <v>3.2143194719219653E-3</v>
      </c>
      <c r="P21" s="768"/>
      <c r="Q21" s="763"/>
    </row>
    <row r="22" spans="1:18">
      <c r="A22" s="762"/>
      <c r="B22" s="766"/>
      <c r="C22" s="538"/>
      <c r="D22" s="6">
        <f>SUMIFS(Sheet1!$C$2:$C$180,Sheet1!$F$2:$F$180,B19,Sheet1!$E$2:$E$180,C22)</f>
        <v>0</v>
      </c>
      <c r="E22" s="6">
        <f>D22/Sheet1!$I$9*Sheet1!$I$10</f>
        <v>0</v>
      </c>
      <c r="F22" s="539">
        <f>D22/Sheet1!$I$9*Sheet1!$I$11</f>
        <v>0</v>
      </c>
      <c r="G22" s="768"/>
      <c r="H22" s="763"/>
      <c r="J22" s="762"/>
      <c r="K22" s="766"/>
      <c r="L22" s="538"/>
      <c r="M22" s="6">
        <f>SUMIFS(Sheet1!$N$2:$N$180,Sheet1!$Q$2:$Q$180,$K$19,Sheet1!$P$2:$P$180,L22)</f>
        <v>0</v>
      </c>
      <c r="N22" s="6">
        <f>M22/Sheet1!$T$9*Sheet1!$T$10</f>
        <v>0</v>
      </c>
      <c r="O22" s="539">
        <f>M22/Sheet1!$T$9*Sheet1!$T$11</f>
        <v>0</v>
      </c>
      <c r="P22" s="768"/>
      <c r="Q22" s="763"/>
    </row>
    <row r="23" spans="1:18">
      <c r="A23" s="762"/>
      <c r="B23" s="758"/>
      <c r="C23" s="538"/>
      <c r="D23" s="6">
        <f>SUMIFS(Sheet1!$C$2:$C$180,Sheet1!$F$2:$F$180,B19,Sheet1!$E$2:$E$180,C23)</f>
        <v>0</v>
      </c>
      <c r="E23" s="6">
        <f>D23/Sheet1!$I$9*Sheet1!$I$10</f>
        <v>0</v>
      </c>
      <c r="F23" s="539">
        <f>D23/Sheet1!$I$9*Sheet1!$I$11</f>
        <v>0</v>
      </c>
      <c r="G23" s="769"/>
      <c r="H23" s="763"/>
      <c r="J23" s="762"/>
      <c r="K23" s="758"/>
      <c r="L23" s="538"/>
      <c r="M23" s="6">
        <f>SUMIFS(Sheet1!$N$2:$N$180,Sheet1!$Q$2:$Q$180,$K$19,Sheet1!$P$2:$P$180,L23)</f>
        <v>0</v>
      </c>
      <c r="N23" s="6">
        <f>M23/Sheet1!$T$9*Sheet1!$T$10</f>
        <v>0</v>
      </c>
      <c r="O23" s="539">
        <f>M23/Sheet1!$T$9*Sheet1!$T$11</f>
        <v>0</v>
      </c>
      <c r="P23" s="769"/>
      <c r="Q23" s="763"/>
    </row>
    <row r="24" spans="1:18" ht="25.5">
      <c r="A24" s="755" t="s">
        <v>266</v>
      </c>
      <c r="B24" s="764" t="s">
        <v>247</v>
      </c>
      <c r="C24" s="543" t="s">
        <v>472</v>
      </c>
      <c r="D24" s="6">
        <f>SUMIFS(Sheet1!$C$2:$C$180,Sheet1!$F$2:$F$180,B24,Sheet1!$E$2:$E$180,C24)</f>
        <v>110</v>
      </c>
      <c r="E24" s="6">
        <f>D24/Sheet1!$I$9*Sheet1!$I$10</f>
        <v>3.9359865691196863</v>
      </c>
      <c r="F24" s="539">
        <f>D24/Sheet1!$I$9*Sheet1!$I$11</f>
        <v>2.38902122913119E-3</v>
      </c>
      <c r="G24" s="765">
        <f>SUM(F24:F30)</f>
        <v>2.38902122913119E-3</v>
      </c>
      <c r="H24" s="763">
        <f>SUM(G24:G37)</f>
        <v>2.38902122913119E-3</v>
      </c>
      <c r="J24" s="755" t="s">
        <v>266</v>
      </c>
      <c r="K24" s="764" t="s">
        <v>247</v>
      </c>
      <c r="L24" s="543" t="s">
        <v>472</v>
      </c>
      <c r="M24" s="6">
        <f>SUMIFS(Sheet1!$N$2:$N$180,Sheet1!$Q$2:$Q$180,$K$24,Sheet1!$P$2:$P$180,L24)</f>
        <v>110</v>
      </c>
      <c r="N24" s="6">
        <f>M24/Sheet1!$T$9*Sheet1!$T$10</f>
        <v>3.9359865691196863</v>
      </c>
      <c r="O24" s="539">
        <f>M24/Sheet1!$T$9*Sheet1!$T$11</f>
        <v>2.38902122913119E-3</v>
      </c>
      <c r="P24" s="765">
        <f>SUM(O24:O30)</f>
        <v>2.38902122913119E-3</v>
      </c>
      <c r="Q24" s="763">
        <f>SUM(P24:P37)</f>
        <v>2.38902122913119E-3</v>
      </c>
    </row>
    <row r="25" spans="1:18">
      <c r="A25" s="755"/>
      <c r="B25" s="764"/>
      <c r="C25" s="543"/>
      <c r="D25" s="6">
        <f>SUMIFS(Sheet1!$C$2:$C$180,Sheet1!$F$2:$F$180,B24,Sheet1!$E$2:$E$180,C25)</f>
        <v>0</v>
      </c>
      <c r="E25" s="6">
        <f>D25/Sheet1!$I$9*Sheet1!$I$10</f>
        <v>0</v>
      </c>
      <c r="F25" s="539">
        <f>D25/Sheet1!$I$9*Sheet1!$I$11</f>
        <v>0</v>
      </c>
      <c r="G25" s="765"/>
      <c r="H25" s="763"/>
      <c r="J25" s="755"/>
      <c r="K25" s="764"/>
      <c r="L25" s="543"/>
      <c r="M25" s="6">
        <f>SUMIFS(Sheet1!$N$2:$N$180,Sheet1!$Q$2:$Q$180,$K$24,Sheet1!$P$2:$P$180,L25)</f>
        <v>0</v>
      </c>
      <c r="N25" s="6">
        <f>M25/Sheet1!$T$9*Sheet1!$T$10</f>
        <v>0</v>
      </c>
      <c r="O25" s="539">
        <f>M25/Sheet1!$T$9*Sheet1!$T$11</f>
        <v>0</v>
      </c>
      <c r="P25" s="765"/>
      <c r="Q25" s="763"/>
    </row>
    <row r="26" spans="1:18">
      <c r="A26" s="755"/>
      <c r="B26" s="764"/>
      <c r="C26" s="544"/>
      <c r="D26" s="6">
        <f>SUMIFS(Sheet1!$C$2:$C$180,Sheet1!$F$2:$F$180,B24,Sheet1!$E$2:$E$180,C26)</f>
        <v>0</v>
      </c>
      <c r="E26" s="6">
        <f>D26/Sheet1!$I$9*Sheet1!$I$10</f>
        <v>0</v>
      </c>
      <c r="F26" s="539">
        <f>D26/Sheet1!$I$9*Sheet1!$I$11</f>
        <v>0</v>
      </c>
      <c r="G26" s="765"/>
      <c r="H26" s="763"/>
      <c r="J26" s="755"/>
      <c r="K26" s="764"/>
      <c r="L26" s="544"/>
      <c r="M26" s="6">
        <f>SUMIFS(Sheet1!$N$2:$N$180,Sheet1!$Q$2:$Q$180,$K$24,Sheet1!$P$2:$P$180,L26)</f>
        <v>0</v>
      </c>
      <c r="N26" s="6">
        <f>M26/Sheet1!$T$9*Sheet1!$T$10</f>
        <v>0</v>
      </c>
      <c r="O26" s="539">
        <f>M26/Sheet1!$T$9*Sheet1!$T$11</f>
        <v>0</v>
      </c>
      <c r="P26" s="765"/>
      <c r="Q26" s="763"/>
      <c r="R26" s="579"/>
    </row>
    <row r="27" spans="1:18">
      <c r="A27" s="755"/>
      <c r="B27" s="764"/>
      <c r="D27" s="6">
        <f>SUMIFS(Sheet1!$C$2:$C$180,Sheet1!$F$2:$F$180,B24,Sheet1!$E$2:$E$180,C27)</f>
        <v>0</v>
      </c>
      <c r="E27" s="6">
        <f>D27/Sheet1!$I$9*Sheet1!$I$10</f>
        <v>0</v>
      </c>
      <c r="F27" s="539">
        <f>D27/Sheet1!$I$9*Sheet1!$I$11</f>
        <v>0</v>
      </c>
      <c r="G27" s="765"/>
      <c r="H27" s="763"/>
      <c r="J27" s="755"/>
      <c r="K27" s="764"/>
      <c r="M27" s="6">
        <f>SUMIFS(Sheet1!$N$2:$N$180,Sheet1!$Q$2:$Q$180,$K$24,Sheet1!$P$2:$P$180,L27)</f>
        <v>0</v>
      </c>
      <c r="N27" s="6">
        <f>M27/Sheet1!$T$9*Sheet1!$T$10</f>
        <v>0</v>
      </c>
      <c r="O27" s="539">
        <f>M27/Sheet1!$T$9*Sheet1!$T$11</f>
        <v>0</v>
      </c>
      <c r="P27" s="765"/>
      <c r="Q27" s="763"/>
    </row>
    <row r="28" spans="1:18">
      <c r="A28" s="755"/>
      <c r="B28" s="764"/>
      <c r="C28" s="538"/>
      <c r="D28" s="6">
        <f>SUMIFS(Sheet1!$C$2:$C$180,Sheet1!$F$2:$F$180,B24,Sheet1!$E$2:$E$180,C28)</f>
        <v>0</v>
      </c>
      <c r="E28" s="6">
        <f>D28/Sheet1!$I$9*Sheet1!$I$10</f>
        <v>0</v>
      </c>
      <c r="F28" s="539">
        <f>D28/Sheet1!$I$9*Sheet1!$I$11</f>
        <v>0</v>
      </c>
      <c r="G28" s="765"/>
      <c r="H28" s="763"/>
      <c r="J28" s="755"/>
      <c r="K28" s="764"/>
      <c r="L28" s="538"/>
      <c r="M28" s="6">
        <f>SUMIFS(Sheet1!$N$2:$N$180,Sheet1!$Q$2:$Q$180,$K$24,Sheet1!$P$2:$P$180,L28)</f>
        <v>0</v>
      </c>
      <c r="N28" s="6">
        <f>M28/Sheet1!$T$9*Sheet1!$T$10</f>
        <v>0</v>
      </c>
      <c r="O28" s="539">
        <f>M28/Sheet1!$T$9*Sheet1!$T$11</f>
        <v>0</v>
      </c>
      <c r="P28" s="765"/>
      <c r="Q28" s="763"/>
    </row>
    <row r="29" spans="1:18">
      <c r="A29" s="755"/>
      <c r="B29" s="764"/>
      <c r="C29" s="538"/>
      <c r="D29" s="6">
        <f>SUMIFS(Sheet1!$C$2:$C$180,Sheet1!$F$2:$F$180,B24,Sheet1!$E$2:$E$180,C29)</f>
        <v>0</v>
      </c>
      <c r="E29" s="6">
        <f>D29/Sheet1!$I$9*Sheet1!$I$10</f>
        <v>0</v>
      </c>
      <c r="F29" s="539">
        <f>D29/Sheet1!$I$9*Sheet1!$I$11</f>
        <v>0</v>
      </c>
      <c r="G29" s="765"/>
      <c r="H29" s="763"/>
      <c r="J29" s="755"/>
      <c r="K29" s="764"/>
      <c r="L29" s="538"/>
      <c r="M29" s="6">
        <f>SUMIFS(Sheet1!$N$2:$N$180,Sheet1!$Q$2:$Q$180,$K$24,Sheet1!$P$2:$P$180,L29)</f>
        <v>0</v>
      </c>
      <c r="N29" s="6">
        <f>M29/Sheet1!$T$9*Sheet1!$T$10</f>
        <v>0</v>
      </c>
      <c r="O29" s="539">
        <f>M29/Sheet1!$T$9*Sheet1!$T$11</f>
        <v>0</v>
      </c>
      <c r="P29" s="765"/>
      <c r="Q29" s="763"/>
    </row>
    <row r="30" spans="1:18">
      <c r="A30" s="755"/>
      <c r="B30" s="764"/>
      <c r="C30" s="538"/>
      <c r="D30" s="6">
        <f>SUMIFS(Sheet1!$C$2:$C$180,Sheet1!$F$2:$F$180,B24,Sheet1!$E$2:$E$180,C30)</f>
        <v>0</v>
      </c>
      <c r="E30" s="6">
        <f>D30/Sheet1!$I$9*Sheet1!$I$10</f>
        <v>0</v>
      </c>
      <c r="F30" s="539">
        <f>D30/Sheet1!$I$9*Sheet1!$I$11</f>
        <v>0</v>
      </c>
      <c r="G30" s="765"/>
      <c r="H30" s="763"/>
      <c r="J30" s="755"/>
      <c r="K30" s="764"/>
      <c r="L30" s="538"/>
      <c r="M30" s="6">
        <f>SUMIFS(Sheet1!$N$2:$N$180,Sheet1!$Q$2:$Q$180,$K$24,Sheet1!$P$2:$P$180,L30)</f>
        <v>0</v>
      </c>
      <c r="N30" s="6">
        <f>M30/Sheet1!$T$9*Sheet1!$T$10</f>
        <v>0</v>
      </c>
      <c r="O30" s="539">
        <f>M30/Sheet1!$T$9*Sheet1!$T$11</f>
        <v>0</v>
      </c>
      <c r="P30" s="765"/>
      <c r="Q30" s="763"/>
    </row>
    <row r="31" spans="1:18">
      <c r="A31" s="755"/>
      <c r="B31" s="757" t="s">
        <v>248</v>
      </c>
      <c r="D31" s="6">
        <f>SUMIFS(Sheet1!$C$2:$C$180,Sheet1!$F$2:$F$180,B31,Sheet1!$E$2:$E$180,C31)</f>
        <v>0</v>
      </c>
      <c r="E31" s="6">
        <f>D31/Sheet1!$I$9*Sheet1!$I$10</f>
        <v>0</v>
      </c>
      <c r="F31" s="539">
        <f>D31/Sheet1!$I$9*Sheet1!$I$11</f>
        <v>0</v>
      </c>
      <c r="G31" s="767">
        <f>SUM(F31:F32)</f>
        <v>0</v>
      </c>
      <c r="H31" s="763"/>
      <c r="J31" s="755"/>
      <c r="K31" s="757" t="s">
        <v>248</v>
      </c>
      <c r="M31" s="6">
        <f>SUMIFS(Sheet1!$N$2:$N$180,Sheet1!$Q$2:$Q$180,$K$31,Sheet1!$P$2:$P$180,L31)</f>
        <v>0</v>
      </c>
      <c r="N31" s="6">
        <f>M31/Sheet1!$T$9*Sheet1!$T$10</f>
        <v>0</v>
      </c>
      <c r="O31" s="539">
        <f>M31/Sheet1!$T$9*Sheet1!$T$11</f>
        <v>0</v>
      </c>
      <c r="P31" s="767">
        <f>SUM(O31:O32)</f>
        <v>0</v>
      </c>
      <c r="Q31" s="763"/>
    </row>
    <row r="32" spans="1:18">
      <c r="A32" s="755"/>
      <c r="B32" s="758"/>
      <c r="C32" s="538"/>
      <c r="D32" s="6">
        <f>SUMIFS(Sheet1!$C$2:$C$180,Sheet1!$F$2:$F$180,B31,Sheet1!$E$2:$E$180,C32)</f>
        <v>0</v>
      </c>
      <c r="E32" s="6">
        <f>D32/Sheet1!$I$9*Sheet1!$I$10</f>
        <v>0</v>
      </c>
      <c r="F32" s="539">
        <f>D32/Sheet1!$I$9*Sheet1!$I$11</f>
        <v>0</v>
      </c>
      <c r="G32" s="769"/>
      <c r="H32" s="763"/>
      <c r="J32" s="755"/>
      <c r="K32" s="758"/>
      <c r="L32" s="538"/>
      <c r="M32" s="6">
        <f>SUMIFS(Sheet1!$N$2:$N$180,Sheet1!$Q$2:$Q$180,$K$31,Sheet1!$P$2:$P$180,L32)</f>
        <v>0</v>
      </c>
      <c r="N32" s="6">
        <f>M32/Sheet1!$T$9*Sheet1!$T$10</f>
        <v>0</v>
      </c>
      <c r="O32" s="539">
        <f>M32/Sheet1!$T$9*Sheet1!$T$11</f>
        <v>0</v>
      </c>
      <c r="P32" s="769"/>
      <c r="Q32" s="763"/>
    </row>
    <row r="33" spans="1:17">
      <c r="A33" s="755"/>
      <c r="B33" s="764" t="s">
        <v>267</v>
      </c>
      <c r="C33" s="538"/>
      <c r="D33" s="6">
        <f>SUMIFS(Sheet1!$C$2:$C$180,Sheet1!$F$2:$F$180,B33,Sheet1!$E$2:$E$180,C33)</f>
        <v>0</v>
      </c>
      <c r="E33" s="6">
        <f>D33/Sheet1!$I$9*Sheet1!$I$10</f>
        <v>0</v>
      </c>
      <c r="F33" s="539">
        <f>D33/Sheet1!$I$9*Sheet1!$I$11</f>
        <v>0</v>
      </c>
      <c r="G33" s="765">
        <f>SUM(F33:F35)</f>
        <v>0</v>
      </c>
      <c r="H33" s="763"/>
      <c r="J33" s="755"/>
      <c r="K33" s="764" t="s">
        <v>267</v>
      </c>
      <c r="L33" s="538"/>
      <c r="M33" s="6">
        <f>SUMIFS(Sheet1!$N$2:$N$180,Sheet1!$Q$2:$Q$180,$K$33,Sheet1!$P$2:$P$180,L33)</f>
        <v>0</v>
      </c>
      <c r="N33" s="6">
        <f>M33/Sheet1!$T$9*Sheet1!$T$10</f>
        <v>0</v>
      </c>
      <c r="O33" s="539">
        <f>M33/Sheet1!$T$9*Sheet1!$T$11</f>
        <v>0</v>
      </c>
      <c r="P33" s="765">
        <f>SUM(O33:O35)</f>
        <v>0</v>
      </c>
      <c r="Q33" s="763"/>
    </row>
    <row r="34" spans="1:17">
      <c r="A34" s="755"/>
      <c r="B34" s="764"/>
      <c r="C34" s="538"/>
      <c r="D34" s="6">
        <f>SUMIFS(Sheet1!$C$2:$C$180,Sheet1!$F$2:$F$180,B33,Sheet1!$E$2:$E$180,C34)</f>
        <v>0</v>
      </c>
      <c r="E34" s="6">
        <f>D34/Sheet1!$I$9*Sheet1!$I$10</f>
        <v>0</v>
      </c>
      <c r="F34" s="539">
        <f>D34/Sheet1!$I$9*Sheet1!$I$11</f>
        <v>0</v>
      </c>
      <c r="G34" s="765"/>
      <c r="H34" s="763"/>
      <c r="J34" s="755"/>
      <c r="K34" s="764"/>
      <c r="L34" s="538"/>
      <c r="M34" s="6">
        <f>SUMIFS(Sheet1!$N$2:$N$180,Sheet1!$Q$2:$Q$180,$K$33,Sheet1!$P$2:$P$180,L34)</f>
        <v>0</v>
      </c>
      <c r="N34" s="6">
        <f>M34/Sheet1!$T$9*Sheet1!$T$10</f>
        <v>0</v>
      </c>
      <c r="O34" s="539">
        <f>M34/Sheet1!$T$9*Sheet1!$T$11</f>
        <v>0</v>
      </c>
      <c r="P34" s="765"/>
      <c r="Q34" s="763"/>
    </row>
    <row r="35" spans="1:17">
      <c r="A35" s="755"/>
      <c r="B35" s="764"/>
      <c r="C35" s="538"/>
      <c r="D35" s="6">
        <f>SUMIFS(Sheet1!$C$2:$C$180,Sheet1!$F$2:$F$180,B33,Sheet1!$E$2:$E$180,C35)</f>
        <v>0</v>
      </c>
      <c r="E35" s="6">
        <f>D35/Sheet1!$I$9*Sheet1!$I$10</f>
        <v>0</v>
      </c>
      <c r="F35" s="539">
        <f>D35/Sheet1!$I$9*Sheet1!$I$11</f>
        <v>0</v>
      </c>
      <c r="G35" s="765"/>
      <c r="H35" s="763"/>
      <c r="J35" s="755"/>
      <c r="K35" s="764"/>
      <c r="L35" s="538"/>
      <c r="M35" s="6">
        <f>SUMIFS(Sheet1!$N$2:$N$180,Sheet1!$Q$2:$Q$180,$K$33,Sheet1!$P$2:$P$180,L35)</f>
        <v>0</v>
      </c>
      <c r="N35" s="6">
        <f>M35/Sheet1!$T$9*Sheet1!$T$10</f>
        <v>0</v>
      </c>
      <c r="O35" s="539">
        <f>M35/Sheet1!$T$9*Sheet1!$T$11</f>
        <v>0</v>
      </c>
      <c r="P35" s="765"/>
      <c r="Q35" s="763"/>
    </row>
    <row r="36" spans="1:17">
      <c r="A36" s="755"/>
      <c r="B36" s="757" t="s">
        <v>240</v>
      </c>
      <c r="C36" s="574"/>
      <c r="D36" s="6">
        <f>SUMIFS(Sheet1!$C$2:$C$180,Sheet1!$F$2:$F$180,B36,Sheet1!$E$2:$E$180,C36)</f>
        <v>0</v>
      </c>
      <c r="E36" s="6">
        <f>D36/Sheet1!$I$9*Sheet1!$I$10</f>
        <v>0</v>
      </c>
      <c r="F36" s="539">
        <f>D36/Sheet1!$I$9*Sheet1!$I$11</f>
        <v>0</v>
      </c>
      <c r="G36" s="767">
        <f>SUM(F36:F37)</f>
        <v>0</v>
      </c>
      <c r="H36" s="763"/>
      <c r="J36" s="755"/>
      <c r="K36" s="757" t="s">
        <v>240</v>
      </c>
      <c r="L36" s="445"/>
      <c r="M36" s="6">
        <f>SUMIFS(Sheet1!$N$2:$N$180,Sheet1!$Q$2:$Q$180,$K$36,Sheet1!$P$2:$P$180,L36)</f>
        <v>0</v>
      </c>
      <c r="N36" s="6">
        <f>M36/Sheet1!$T$9*Sheet1!$T$10</f>
        <v>0</v>
      </c>
      <c r="O36" s="539">
        <f>M36/Sheet1!$T$9*Sheet1!$T$11</f>
        <v>0</v>
      </c>
      <c r="P36" s="767">
        <f>SUM(O36:O37)</f>
        <v>0</v>
      </c>
      <c r="Q36" s="763"/>
    </row>
    <row r="37" spans="1:17">
      <c r="A37" s="755"/>
      <c r="B37" s="758"/>
      <c r="C37" s="538"/>
      <c r="D37" s="6">
        <f>SUMIFS(Sheet1!$C$2:$C$180,Sheet1!$F$2:$F$180,B36,Sheet1!$E$2:$E$180,C37)</f>
        <v>0</v>
      </c>
      <c r="E37" s="6">
        <f>D37/Sheet1!$I$9*Sheet1!$I$10</f>
        <v>0</v>
      </c>
      <c r="F37" s="539">
        <f>D37/Sheet1!$I$9*Sheet1!$I$11</f>
        <v>0</v>
      </c>
      <c r="G37" s="769"/>
      <c r="H37" s="763"/>
      <c r="J37" s="755"/>
      <c r="K37" s="758"/>
      <c r="L37" s="538"/>
      <c r="M37" s="6">
        <f>SUMIFS(Sheet1!$N$2:$N$180,Sheet1!$Q$2:$Q$180,$K$36,Sheet1!$P$2:$P$180,L37)</f>
        <v>0</v>
      </c>
      <c r="N37" s="6">
        <f>M37/Sheet1!$T$9*Sheet1!$T$10</f>
        <v>0</v>
      </c>
      <c r="O37" s="539">
        <f>M37/Sheet1!$T$9*Sheet1!$T$11</f>
        <v>0</v>
      </c>
      <c r="P37" s="769"/>
      <c r="Q37" s="763"/>
    </row>
    <row r="38" spans="1:17">
      <c r="A38" s="755" t="s">
        <v>389</v>
      </c>
      <c r="B38" s="757" t="s">
        <v>242</v>
      </c>
      <c r="C38" s="538"/>
      <c r="D38" s="6">
        <f>SUMIFS(Sheet1!$C$2:$C$180,Sheet1!$F$2:$F$180,B38,Sheet1!$E$2:$E$180,C38)</f>
        <v>0</v>
      </c>
      <c r="E38" s="6">
        <f>D38/Sheet1!$I$9*Sheet1!$I$10</f>
        <v>0</v>
      </c>
      <c r="F38" s="539">
        <f>D38/Sheet1!$I$9*Sheet1!$I$11</f>
        <v>0</v>
      </c>
      <c r="G38" s="767">
        <f>SUM(F38:F39)</f>
        <v>0</v>
      </c>
      <c r="H38" s="771">
        <f>SUM(G38:G39)</f>
        <v>0</v>
      </c>
      <c r="J38" s="755" t="s">
        <v>389</v>
      </c>
      <c r="K38" s="757" t="s">
        <v>242</v>
      </c>
      <c r="L38" s="538"/>
      <c r="M38" s="6">
        <f>SUMIFS(Sheet1!$N$2:$N$180,Sheet1!$Q$2:$Q$180,K38,Sheet1!$P$2:$P$180,L38)</f>
        <v>0</v>
      </c>
      <c r="N38" s="6">
        <f>M38/Sheet1!$T$9*Sheet1!$T$10</f>
        <v>0</v>
      </c>
      <c r="O38" s="539">
        <f>M38/Sheet1!$T$9*Sheet1!$T$11</f>
        <v>0</v>
      </c>
      <c r="P38" s="767">
        <f>SUM(O38:O39)</f>
        <v>0</v>
      </c>
      <c r="Q38" s="771">
        <f>SUM(P38:P39)</f>
        <v>0</v>
      </c>
    </row>
    <row r="39" spans="1:17">
      <c r="A39" s="755"/>
      <c r="B39" s="758"/>
      <c r="C39" s="543"/>
      <c r="D39" s="6">
        <f>SUMIFS(Sheet1!$C$2:$C$180,Sheet1!$F$2:$F$180,B38,Sheet1!$E$2:$E$180,C39)</f>
        <v>0</v>
      </c>
      <c r="E39" s="6">
        <f>D39/Sheet1!$I$9*Sheet1!$I$10</f>
        <v>0</v>
      </c>
      <c r="F39" s="539">
        <f>D39/Sheet1!$I$9*Sheet1!$I$11</f>
        <v>0</v>
      </c>
      <c r="G39" s="769"/>
      <c r="H39" s="772"/>
      <c r="J39" s="755"/>
      <c r="K39" s="758"/>
      <c r="L39" s="543"/>
      <c r="M39" s="6">
        <f>SUMIFS(Sheet1!$N$2:$N$180,Sheet1!$Q$2:$Q$180,K38,Sheet1!$P$2:$P$180,L39)</f>
        <v>0</v>
      </c>
      <c r="N39" s="6">
        <f>M39/Sheet1!$T$9*Sheet1!$T$10</f>
        <v>0</v>
      </c>
      <c r="O39" s="539">
        <f>M39/Sheet1!$T$9*Sheet1!$T$11</f>
        <v>0</v>
      </c>
      <c r="P39" s="769"/>
      <c r="Q39" s="772"/>
    </row>
    <row r="40" spans="1:17" ht="15">
      <c r="A40" s="545"/>
      <c r="B40" s="770" t="s">
        <v>2</v>
      </c>
      <c r="C40" s="770"/>
      <c r="D40" s="310">
        <f>SUM(D4:D39)</f>
        <v>1254</v>
      </c>
      <c r="E40" s="310">
        <f>SUM(E4:E39)</f>
        <v>112.80601442764389</v>
      </c>
      <c r="F40" s="448">
        <f>SUM(F4:F39)</f>
        <v>6.8469736496482872E-2</v>
      </c>
      <c r="G40" s="448">
        <f>SUM(G4:G39)</f>
        <v>6.8469736496482872E-2</v>
      </c>
      <c r="H40" s="448">
        <f>SUM(H4:H39)</f>
        <v>6.8469736496482858E-2</v>
      </c>
      <c r="J40" s="545"/>
      <c r="K40" s="770" t="s">
        <v>2</v>
      </c>
      <c r="L40" s="770"/>
      <c r="M40" s="310">
        <f>SUM(M4:M39)</f>
        <v>1254</v>
      </c>
      <c r="N40" s="310">
        <f>SUM(N4:N39)</f>
        <v>112.80601442764389</v>
      </c>
      <c r="O40" s="448">
        <f>SUM(O4:O39)</f>
        <v>6.8469736496482872E-2</v>
      </c>
      <c r="P40" s="448">
        <f>SUM(P4:P39)</f>
        <v>6.8469736496482872E-2</v>
      </c>
      <c r="Q40" s="448">
        <f>SUM(Q4:Q39)</f>
        <v>6.8469736496482858E-2</v>
      </c>
    </row>
    <row r="41" spans="1:17" ht="15">
      <c r="A41" s="545"/>
      <c r="B41" s="770" t="s">
        <v>1</v>
      </c>
      <c r="C41" s="770"/>
      <c r="D41" s="770"/>
      <c r="E41" s="770"/>
      <c r="F41" s="546">
        <f>+Efficiency1!X137</f>
        <v>0.9315302635035172</v>
      </c>
      <c r="G41" s="546">
        <f>+F41</f>
        <v>0.9315302635035172</v>
      </c>
      <c r="H41" s="546">
        <f>+G41</f>
        <v>0.9315302635035172</v>
      </c>
      <c r="J41" s="545"/>
      <c r="K41" s="770" t="s">
        <v>1</v>
      </c>
      <c r="L41" s="770"/>
      <c r="M41" s="770"/>
      <c r="N41" s="770"/>
      <c r="O41" s="546">
        <f>+Efficiency2!X137</f>
        <v>0.9315302635035172</v>
      </c>
      <c r="P41" s="546">
        <f>+O41</f>
        <v>0.9315302635035172</v>
      </c>
      <c r="Q41" s="546">
        <f>+P41</f>
        <v>0.9315302635035172</v>
      </c>
    </row>
    <row r="42" spans="1:17" ht="15">
      <c r="A42" s="545"/>
      <c r="B42" s="770" t="s">
        <v>58</v>
      </c>
      <c r="C42" s="770"/>
      <c r="D42" s="770"/>
      <c r="E42" s="770"/>
      <c r="F42" s="547">
        <f>SUM(F40:F41)</f>
        <v>1</v>
      </c>
      <c r="G42" s="547">
        <f>SUM(G40:G41)</f>
        <v>1</v>
      </c>
      <c r="H42" s="540">
        <f>SUM(H40:H41)</f>
        <v>1</v>
      </c>
      <c r="J42" s="545"/>
      <c r="K42" s="770" t="s">
        <v>58</v>
      </c>
      <c r="L42" s="770"/>
      <c r="M42" s="770"/>
      <c r="N42" s="770"/>
      <c r="O42" s="547">
        <f>SUM(O40:O41)</f>
        <v>1</v>
      </c>
      <c r="P42" s="547">
        <f>SUM(P40:P41)</f>
        <v>1</v>
      </c>
      <c r="Q42" s="540">
        <f>SUM(Q40:Q41)</f>
        <v>1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5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425781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31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375+355+355</f>
        <v>1085</v>
      </c>
    </row>
    <row r="7" spans="1:18" ht="13.5" customHeight="1" thickBot="1">
      <c r="A7" s="781" t="s">
        <v>424</v>
      </c>
      <c r="B7" s="215" t="s">
        <v>666</v>
      </c>
      <c r="C7" s="216">
        <v>16848</v>
      </c>
      <c r="D7" s="217">
        <v>600</v>
      </c>
      <c r="E7" s="218"/>
      <c r="F7" s="226"/>
      <c r="G7" s="548" t="s">
        <v>11</v>
      </c>
      <c r="H7" s="549" t="s">
        <v>392</v>
      </c>
      <c r="I7" s="784" t="s">
        <v>776</v>
      </c>
      <c r="J7" s="214" t="str">
        <f>+'30'!J7</f>
        <v>F 15 VP OW</v>
      </c>
      <c r="K7" s="236"/>
      <c r="L7" s="240"/>
      <c r="M7" s="119">
        <f>+L7+'30'!M7+K7</f>
        <v>24540</v>
      </c>
    </row>
    <row r="8" spans="1:18" ht="13.5" thickBot="1">
      <c r="A8" s="782"/>
      <c r="B8" s="215"/>
      <c r="C8" s="216"/>
      <c r="D8" s="217"/>
      <c r="E8" s="219"/>
      <c r="F8" s="229">
        <v>1</v>
      </c>
      <c r="G8" s="550" t="s">
        <v>11</v>
      </c>
      <c r="H8" s="549" t="s">
        <v>446</v>
      </c>
      <c r="I8" s="785"/>
      <c r="J8" s="214" t="str">
        <f>+'30'!J8</f>
        <v>T 12,5 VP OW</v>
      </c>
      <c r="K8" s="237"/>
      <c r="L8" s="237"/>
      <c r="M8" s="119">
        <f>+L8+'30'!M8+K8</f>
        <v>35627</v>
      </c>
      <c r="N8" s="151">
        <v>1240</v>
      </c>
      <c r="O8" s="151">
        <f>+N8-N8*0.25</f>
        <v>930</v>
      </c>
      <c r="P8" s="151">
        <v>15</v>
      </c>
      <c r="Q8" s="151">
        <f>+N8*P8</f>
        <v>18600</v>
      </c>
      <c r="R8" s="151">
        <f>+O8*P8</f>
        <v>13950</v>
      </c>
    </row>
    <row r="9" spans="1:18" ht="13.5" thickBot="1">
      <c r="A9" s="782"/>
      <c r="B9" s="215"/>
      <c r="C9" s="216"/>
      <c r="D9" s="217"/>
      <c r="E9" s="220"/>
      <c r="F9" s="226">
        <v>5</v>
      </c>
      <c r="G9" s="550" t="s">
        <v>11</v>
      </c>
      <c r="H9" s="551" t="s">
        <v>416</v>
      </c>
      <c r="I9" s="785"/>
      <c r="J9" s="214" t="str">
        <f>+'30'!J9</f>
        <v>T 14 VP OW</v>
      </c>
      <c r="K9" s="237"/>
      <c r="L9" s="237"/>
      <c r="M9" s="119">
        <f>+L9+'30'!M9+K9</f>
        <v>186632</v>
      </c>
      <c r="N9" s="151">
        <v>1250</v>
      </c>
      <c r="O9" s="151">
        <f>+N9-N9*0.25</f>
        <v>937.5</v>
      </c>
      <c r="P9" s="151">
        <v>465</v>
      </c>
      <c r="Q9" s="151">
        <f>+N9*P9</f>
        <v>581250</v>
      </c>
      <c r="R9" s="151">
        <f>+O9*P9</f>
        <v>435937.5</v>
      </c>
    </row>
    <row r="10" spans="1:18" ht="51.75" thickBot="1">
      <c r="A10" s="782"/>
      <c r="B10" s="215"/>
      <c r="C10" s="216"/>
      <c r="D10" s="217"/>
      <c r="E10" s="219"/>
      <c r="F10" s="226"/>
      <c r="G10" s="548"/>
      <c r="H10" s="551" t="s">
        <v>766</v>
      </c>
      <c r="I10" s="785"/>
      <c r="J10" s="214" t="str">
        <f>+'30'!J10</f>
        <v>F 12 VP OW</v>
      </c>
      <c r="K10" s="237"/>
      <c r="L10" s="237"/>
      <c r="M10" s="119">
        <f>+L10+'30'!M10+K10</f>
        <v>533846</v>
      </c>
      <c r="P10" s="151">
        <f>+P8+P9</f>
        <v>480</v>
      </c>
      <c r="Q10" s="151">
        <f>+Q8+Q9</f>
        <v>599850</v>
      </c>
      <c r="R10" s="151">
        <f>+R8+R9</f>
        <v>449887.5</v>
      </c>
    </row>
    <row r="11" spans="1:18" ht="13.5" thickBot="1">
      <c r="A11" s="782"/>
      <c r="B11" s="215"/>
      <c r="C11" s="216"/>
      <c r="D11" s="217"/>
      <c r="E11" s="219"/>
      <c r="F11" s="226"/>
      <c r="G11" s="230"/>
      <c r="H11" s="231" t="s">
        <v>767</v>
      </c>
      <c r="I11" s="785"/>
      <c r="J11" s="214" t="str">
        <f>+'30'!J11</f>
        <v>T 18 VP OW</v>
      </c>
      <c r="K11" s="237"/>
      <c r="L11" s="237"/>
      <c r="M11" s="119">
        <f>+L11+'30'!M11+K11</f>
        <v>131165</v>
      </c>
      <c r="Q11" s="151">
        <f>+Q10/P10</f>
        <v>1249.6875</v>
      </c>
      <c r="R11" s="151">
        <f>+R10/P10</f>
        <v>937.265625</v>
      </c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768</v>
      </c>
      <c r="I12" s="785"/>
      <c r="J12" s="214" t="str">
        <f>+'30'!J12</f>
        <v>F 13 VP OW</v>
      </c>
      <c r="K12" s="237"/>
      <c r="L12" s="237"/>
      <c r="M12" s="119">
        <f>+L12+'30'!M12+K12</f>
        <v>77503</v>
      </c>
    </row>
    <row r="13" spans="1:18" ht="26.25" thickBot="1">
      <c r="A13" s="782"/>
      <c r="B13" s="215"/>
      <c r="C13" s="216"/>
      <c r="D13" s="216"/>
      <c r="E13" s="219"/>
      <c r="F13" s="226"/>
      <c r="G13" s="230"/>
      <c r="H13" s="575" t="s">
        <v>769</v>
      </c>
      <c r="I13" s="786"/>
      <c r="J13" s="214" t="str">
        <f>+'30'!J13</f>
        <v>F 11,5 VP OW</v>
      </c>
      <c r="K13" s="237"/>
      <c r="L13" s="237"/>
      <c r="M13" s="119">
        <f>+L13+'30'!M13+K13</f>
        <v>68990</v>
      </c>
    </row>
    <row r="14" spans="1:18" ht="13.5" thickBot="1">
      <c r="A14" s="783"/>
      <c r="B14" s="167" t="s">
        <v>2</v>
      </c>
      <c r="C14" s="101">
        <f>SUM(C7:C13)</f>
        <v>16848</v>
      </c>
      <c r="D14" s="113">
        <f>SUM(D7:D13)</f>
        <v>600</v>
      </c>
      <c r="E14" s="114">
        <f>SUM(E5:E13)</f>
        <v>0</v>
      </c>
      <c r="F14" s="118">
        <f>SUM(F7:F13)</f>
        <v>6</v>
      </c>
      <c r="G14" s="161"/>
      <c r="H14" s="168"/>
      <c r="I14" s="169"/>
      <c r="J14" s="214" t="str">
        <f>+'30'!J14</f>
        <v>T 12 VP OW</v>
      </c>
      <c r="K14" s="237"/>
      <c r="L14" s="237"/>
      <c r="M14" s="119">
        <f>+L14+'30'!M14+K14</f>
        <v>59863</v>
      </c>
    </row>
    <row r="15" spans="1:18" ht="13.5" customHeight="1" thickBot="1">
      <c r="A15" s="787" t="s">
        <v>425</v>
      </c>
      <c r="B15" s="506"/>
      <c r="C15" s="115">
        <f>C14/($C$23+$D$23+$E$23)</f>
        <v>0.95234865185687634</v>
      </c>
      <c r="D15" s="116">
        <f>D14/($C$23+$D$23+$E$23)</f>
        <v>3.3915550279803287E-2</v>
      </c>
      <c r="E15" s="117">
        <f>E14/($C$23+$D$23+$E$23)</f>
        <v>0</v>
      </c>
      <c r="F15" s="226"/>
      <c r="G15" s="548" t="s">
        <v>11</v>
      </c>
      <c r="H15" s="549" t="s">
        <v>392</v>
      </c>
      <c r="I15" s="784" t="s">
        <v>775</v>
      </c>
      <c r="J15" s="214" t="str">
        <f>+'30'!J15</f>
        <v>T 17 VP OW</v>
      </c>
      <c r="K15" s="237"/>
      <c r="L15" s="237"/>
      <c r="M15" s="119">
        <f>+L15+'30'!M15+K15</f>
        <v>10757</v>
      </c>
    </row>
    <row r="16" spans="1:18" ht="13.5" thickBot="1">
      <c r="A16" s="782"/>
      <c r="B16" s="215" t="s">
        <v>666</v>
      </c>
      <c r="C16" s="507">
        <v>17691</v>
      </c>
      <c r="D16" s="221"/>
      <c r="E16" s="222"/>
      <c r="F16" s="226"/>
      <c r="G16" s="550" t="s">
        <v>11</v>
      </c>
      <c r="H16" s="549" t="s">
        <v>415</v>
      </c>
      <c r="I16" s="785"/>
      <c r="J16" s="214" t="str">
        <f>+'30'!J16</f>
        <v>T 16 VP OW</v>
      </c>
      <c r="K16" s="227"/>
      <c r="L16" s="227"/>
      <c r="M16" s="119">
        <f>+L16+'30'!M16+K16</f>
        <v>52404</v>
      </c>
    </row>
    <row r="17" spans="1:14" ht="13.5" thickBot="1">
      <c r="A17" s="782"/>
      <c r="B17" s="215"/>
      <c r="C17" s="216"/>
      <c r="D17" s="217"/>
      <c r="E17" s="223"/>
      <c r="F17" s="226">
        <v>6</v>
      </c>
      <c r="G17" s="550" t="s">
        <v>11</v>
      </c>
      <c r="H17" s="551" t="s">
        <v>416</v>
      </c>
      <c r="I17" s="785"/>
      <c r="J17" s="214" t="str">
        <f>+'30'!J17</f>
        <v>T 15 VP OW</v>
      </c>
      <c r="K17" s="227">
        <f>+C34</f>
        <v>53325</v>
      </c>
      <c r="L17" s="227"/>
      <c r="M17" s="119">
        <f>+L17+'30'!M17+K17</f>
        <v>178834</v>
      </c>
    </row>
    <row r="18" spans="1:14" ht="51.75" thickBot="1">
      <c r="A18" s="782"/>
      <c r="B18" s="215"/>
      <c r="C18" s="216"/>
      <c r="D18" s="217"/>
      <c r="E18" s="223"/>
      <c r="F18" s="226"/>
      <c r="G18" s="548"/>
      <c r="H18" s="551" t="s">
        <v>759</v>
      </c>
      <c r="I18" s="785"/>
      <c r="J18" s="214" t="str">
        <f>+'30'!J18</f>
        <v>T 13,5 VP OW</v>
      </c>
      <c r="K18" s="237"/>
      <c r="L18" s="237"/>
      <c r="M18" s="119">
        <f>+L18+'30'!M18+K18</f>
        <v>20648</v>
      </c>
    </row>
    <row r="19" spans="1:14" ht="13.5" thickBot="1">
      <c r="A19" s="782"/>
      <c r="B19" s="215"/>
      <c r="C19" s="216"/>
      <c r="D19" s="217"/>
      <c r="E19" s="223"/>
      <c r="F19" s="233"/>
      <c r="G19" s="230"/>
      <c r="H19" s="231" t="s">
        <v>770</v>
      </c>
      <c r="I19" s="785"/>
      <c r="J19" s="214" t="str">
        <f>+'30'!J19</f>
        <v>T 14,5 VP OW</v>
      </c>
      <c r="K19" s="237"/>
      <c r="L19" s="237"/>
      <c r="M19" s="119">
        <f>+L19+'30'!M19+K19</f>
        <v>41885</v>
      </c>
    </row>
    <row r="20" spans="1:14" ht="13.5" thickBot="1">
      <c r="A20" s="782"/>
      <c r="B20" s="215"/>
      <c r="C20" s="216"/>
      <c r="D20" s="217"/>
      <c r="E20" s="223"/>
      <c r="F20" s="226"/>
      <c r="G20" s="230"/>
      <c r="H20" s="231" t="s">
        <v>771</v>
      </c>
      <c r="I20" s="785"/>
      <c r="J20" s="214" t="str">
        <f>+'30'!J20</f>
        <v>F 16 VP OW</v>
      </c>
      <c r="K20" s="238"/>
      <c r="L20" s="238"/>
      <c r="M20" s="119">
        <f>+L20+'30'!M20+K20</f>
        <v>10982</v>
      </c>
    </row>
    <row r="21" spans="1:14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 t="str">
        <f>+'30'!J21</f>
        <v>F 12,5 VP OW</v>
      </c>
      <c r="K21" s="237"/>
      <c r="L21" s="237"/>
      <c r="M21" s="119">
        <f>+L21+'30'!M21+K21</f>
        <v>101049</v>
      </c>
    </row>
    <row r="22" spans="1:14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+'30'!J22</f>
        <v>0</v>
      </c>
      <c r="K22" s="237"/>
      <c r="L22" s="237"/>
      <c r="M22" s="119">
        <f>+L22+'30'!M22+K22</f>
        <v>0</v>
      </c>
    </row>
    <row r="23" spans="1:14" ht="13.5" thickBot="1">
      <c r="A23" s="783"/>
      <c r="B23" s="167" t="s">
        <v>2</v>
      </c>
      <c r="C23" s="101">
        <f>SUM(C16:C22)</f>
        <v>17691</v>
      </c>
      <c r="D23" s="113">
        <f>SUM(D16:D22)</f>
        <v>0</v>
      </c>
      <c r="E23" s="114">
        <f>SUM(E18:E22)</f>
        <v>0</v>
      </c>
      <c r="F23" s="118">
        <f>SUM(F15:F22)</f>
        <v>6</v>
      </c>
      <c r="G23" s="161"/>
      <c r="H23" s="168"/>
      <c r="I23" s="170"/>
      <c r="J23" s="214">
        <f>+'30'!J23</f>
        <v>0</v>
      </c>
      <c r="K23" s="237"/>
      <c r="L23" s="237"/>
      <c r="M23" s="119">
        <f>+L23+'30'!M23+K23</f>
        <v>0</v>
      </c>
    </row>
    <row r="24" spans="1:14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34"/>
      <c r="G24" s="548" t="s">
        <v>11</v>
      </c>
      <c r="H24" s="549" t="s">
        <v>392</v>
      </c>
      <c r="I24" s="784" t="s">
        <v>775</v>
      </c>
      <c r="J24" s="214">
        <f>+'30'!J24</f>
        <v>0</v>
      </c>
      <c r="K24" s="237"/>
      <c r="L24" s="237"/>
      <c r="M24" s="119">
        <f>+L24+'30'!M24+K24</f>
        <v>0</v>
      </c>
    </row>
    <row r="25" spans="1:14" ht="13.5" thickBot="1">
      <c r="A25" s="782"/>
      <c r="B25" s="215" t="s">
        <v>666</v>
      </c>
      <c r="C25" s="224">
        <v>18786</v>
      </c>
      <c r="D25" s="217"/>
      <c r="E25" s="223"/>
      <c r="F25" s="229">
        <v>2</v>
      </c>
      <c r="G25" s="550" t="s">
        <v>11</v>
      </c>
      <c r="H25" s="549" t="s">
        <v>446</v>
      </c>
      <c r="I25" s="785"/>
      <c r="J25" s="214">
        <f>+'30'!J25</f>
        <v>0</v>
      </c>
      <c r="K25" s="237"/>
      <c r="L25" s="237"/>
      <c r="M25" s="119">
        <f>+L25+'30'!M25+K25</f>
        <v>0</v>
      </c>
    </row>
    <row r="26" spans="1:14" ht="13.5" thickBot="1">
      <c r="A26" s="782"/>
      <c r="B26" s="215"/>
      <c r="C26" s="224"/>
      <c r="D26" s="217"/>
      <c r="E26" s="225"/>
      <c r="F26" s="229">
        <v>6</v>
      </c>
      <c r="G26" s="550" t="s">
        <v>11</v>
      </c>
      <c r="H26" s="551" t="s">
        <v>416</v>
      </c>
      <c r="I26" s="785"/>
      <c r="J26" s="214">
        <f>+'30'!J26</f>
        <v>0</v>
      </c>
      <c r="K26" s="237"/>
      <c r="L26" s="237"/>
      <c r="M26" s="119">
        <f>+L26+'30'!M26+K26</f>
        <v>0</v>
      </c>
    </row>
    <row r="27" spans="1:14" ht="51.75" thickBot="1">
      <c r="A27" s="782"/>
      <c r="B27" s="215"/>
      <c r="C27" s="216"/>
      <c r="D27" s="217"/>
      <c r="E27" s="223"/>
      <c r="F27" s="229"/>
      <c r="G27" s="548"/>
      <c r="H27" s="551" t="s">
        <v>759</v>
      </c>
      <c r="I27" s="785"/>
      <c r="J27" s="214">
        <f>+'30'!J27</f>
        <v>0</v>
      </c>
      <c r="K27" s="237"/>
      <c r="L27" s="237"/>
      <c r="M27" s="119">
        <f>+L27+'30'!M27+K27</f>
        <v>0</v>
      </c>
    </row>
    <row r="28" spans="1:14" ht="13.5" thickBot="1">
      <c r="A28" s="782"/>
      <c r="B28" s="215"/>
      <c r="C28" s="216"/>
      <c r="D28" s="217"/>
      <c r="E28" s="223"/>
      <c r="F28" s="229"/>
      <c r="G28" s="230"/>
      <c r="H28" s="231" t="s">
        <v>772</v>
      </c>
      <c r="I28" s="785"/>
      <c r="J28" s="214">
        <f>+'30'!J28</f>
        <v>0</v>
      </c>
      <c r="K28" s="237"/>
      <c r="L28" s="237"/>
      <c r="M28" s="119">
        <f>+L28+'30'!M28+K28</f>
        <v>0</v>
      </c>
    </row>
    <row r="29" spans="1:14" ht="13.5" thickBot="1">
      <c r="A29" s="782"/>
      <c r="B29" s="215"/>
      <c r="C29" s="216"/>
      <c r="D29" s="217"/>
      <c r="E29" s="223"/>
      <c r="F29" s="234"/>
      <c r="G29" s="230"/>
      <c r="H29" s="231" t="s">
        <v>773</v>
      </c>
      <c r="I29" s="785"/>
      <c r="J29" s="214">
        <f>+'30'!J29</f>
        <v>0</v>
      </c>
      <c r="K29" s="237"/>
      <c r="L29" s="237"/>
      <c r="M29" s="119">
        <f>+L29+'30'!M29+K29</f>
        <v>0</v>
      </c>
    </row>
    <row r="30" spans="1:14" ht="13.5" thickBot="1">
      <c r="A30" s="782"/>
      <c r="B30" s="215"/>
      <c r="C30" s="224"/>
      <c r="D30" s="217"/>
      <c r="E30" s="223"/>
      <c r="F30" s="234"/>
      <c r="G30" s="230"/>
      <c r="H30" s="231" t="s">
        <v>774</v>
      </c>
      <c r="I30" s="785"/>
      <c r="J30" s="214">
        <f>+'30'!J30</f>
        <v>0</v>
      </c>
      <c r="K30" s="237"/>
      <c r="L30" s="237"/>
      <c r="M30" s="119">
        <f>+L30+'30'!M30+K30</f>
        <v>0</v>
      </c>
      <c r="N30" s="157"/>
    </row>
    <row r="31" spans="1:14" ht="13.5" thickBot="1">
      <c r="A31" s="782"/>
      <c r="B31" s="215"/>
      <c r="C31" s="224"/>
      <c r="D31" s="217"/>
      <c r="E31" s="223"/>
      <c r="F31" s="234"/>
      <c r="G31" s="235"/>
      <c r="H31" s="232"/>
      <c r="I31" s="786"/>
      <c r="J31" s="214">
        <f>+'30'!J31</f>
        <v>0</v>
      </c>
      <c r="K31" s="237"/>
      <c r="L31" s="237"/>
      <c r="M31" s="119">
        <f>+L31+'30'!M31+K31</f>
        <v>0</v>
      </c>
    </row>
    <row r="32" spans="1:14" ht="13.5" thickBot="1">
      <c r="A32" s="783"/>
      <c r="B32" s="167" t="s">
        <v>2</v>
      </c>
      <c r="C32" s="101">
        <f>SUM(C25:C31)</f>
        <v>18786</v>
      </c>
      <c r="D32" s="102">
        <f>SUM(D25:D31)</f>
        <v>0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14">
        <f>+'30'!J32</f>
        <v>0</v>
      </c>
      <c r="K32" s="239"/>
      <c r="L32" s="241"/>
      <c r="M32" s="119">
        <f>+L32+'30'!M32+K32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/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53325</v>
      </c>
      <c r="D34" s="109">
        <f>D14+D23+D32</f>
        <v>600</v>
      </c>
      <c r="E34" s="109">
        <f>E14+E23+E32</f>
        <v>0</v>
      </c>
      <c r="F34" s="110">
        <f>F14+F23+F32</f>
        <v>20</v>
      </c>
      <c r="H34" s="178"/>
      <c r="I34" s="178"/>
      <c r="J34" s="125" t="s">
        <v>27</v>
      </c>
      <c r="K34" s="126">
        <f>SUM(K7:K32)</f>
        <v>53325</v>
      </c>
      <c r="L34" s="212">
        <f>SUM(L7:L32)</f>
        <v>0</v>
      </c>
      <c r="M34" s="122">
        <f>SUM(M7:M32)</f>
        <v>1534725</v>
      </c>
      <c r="N34" s="157"/>
    </row>
    <row r="35" spans="1:14" ht="13.5" thickBot="1">
      <c r="A35" s="179"/>
      <c r="B35" s="180"/>
      <c r="C35" s="106">
        <f>C34/($C$34+$D$34+$E$34)</f>
        <v>0.9888734353268428</v>
      </c>
      <c r="D35" s="106">
        <f>D34/($C$34+$D$34+$E$34)</f>
        <v>1.1126564673157162E-2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(15*1440)/1440*G42*2.85*1440/1000000</f>
        <v>57.707690624999998</v>
      </c>
      <c r="J37" s="127">
        <f>+I37+'30'!J37</f>
        <v>1699.2302746279868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20</v>
      </c>
      <c r="D38" s="120">
        <f>+C38+'30'!D38</f>
        <v>1136</v>
      </c>
      <c r="E38" s="145">
        <f t="shared" ref="E38:E51" si="0">D38/60</f>
        <v>18.933333333333334</v>
      </c>
      <c r="F38" s="330">
        <v>1249.6875</v>
      </c>
      <c r="G38" s="330">
        <v>937.265625</v>
      </c>
      <c r="H38" s="187" t="s">
        <v>65</v>
      </c>
      <c r="I38" s="243">
        <f>17.554+19.913+18.382</f>
        <v>55.849000000000004</v>
      </c>
      <c r="J38" s="129">
        <f>+I38+'30'!J38</f>
        <v>1572.6529999999998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+C39+'30'!D39</f>
        <v>0</v>
      </c>
      <c r="E39" s="145">
        <f t="shared" si="0"/>
        <v>0</v>
      </c>
      <c r="F39" s="330">
        <v>1250</v>
      </c>
      <c r="G39" s="330">
        <f>+F39-F39*0.25</f>
        <v>937.5</v>
      </c>
      <c r="H39" s="187" t="s">
        <v>66</v>
      </c>
      <c r="I39" s="144"/>
      <c r="J39" s="131">
        <f>J37/G4</f>
        <v>54.813879826709254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+C40+'30'!D40</f>
        <v>0</v>
      </c>
      <c r="E40" s="145">
        <f t="shared" ca="1" si="0"/>
        <v>0</v>
      </c>
      <c r="F40" s="330">
        <v>1250</v>
      </c>
      <c r="G40" s="330">
        <f>+F40-F40*0.25</f>
        <v>937.5</v>
      </c>
      <c r="H40" s="187" t="s">
        <v>68</v>
      </c>
      <c r="I40" s="120">
        <f>(K34+L34)/1000</f>
        <v>53.325000000000003</v>
      </c>
      <c r="J40" s="133">
        <f>+I40+'30'!J40</f>
        <v>1534.7249999999999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+C41+'30'!D41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49.50725806451613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+C42+'30'!D42</f>
        <v>0</v>
      </c>
      <c r="E42" s="145">
        <f t="shared" ca="1" si="0"/>
        <v>0</v>
      </c>
      <c r="F42" s="330">
        <f>+(F38*480+F39*480+F40*480)/1440</f>
        <v>1249.8958333333333</v>
      </c>
      <c r="G42" s="330">
        <f>+(G38*480+G39*480+G40*480)/1440</f>
        <v>937.421875</v>
      </c>
      <c r="H42" s="187" t="s">
        <v>71</v>
      </c>
      <c r="I42" s="244" t="s">
        <v>776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+C43+'30'!D43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+Report1!Z39</f>
        <v>130.6</v>
      </c>
      <c r="J43" s="135">
        <f>+I43+'30'!J43</f>
        <v>3776.5000000000005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+C44+'30'!D44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2.3384483159949148</v>
      </c>
      <c r="J44" s="136">
        <f>J43/J38</f>
        <v>2.4013561796531091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+C45+'30'!D45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2.4491326769807782</v>
      </c>
      <c r="J45" s="136">
        <f>J43/J40</f>
        <v>2.4607014285947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+C46+'30'!D46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+SUMIF(Listrik!AN38,"&gt;0")</f>
        <v>41738.339697403018</v>
      </c>
      <c r="J46" s="137">
        <f>+I46+'30'!J46</f>
        <v>1422174.1770470077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+C47+'30'!D47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747.34265067240267</v>
      </c>
      <c r="J47" s="137">
        <f>J46/J38</f>
        <v>904.31530480468859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+C48+'30'!D48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782.71616872767027</v>
      </c>
      <c r="J48" s="137">
        <f>J46/J40</f>
        <v>926.66384990601432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+C49+'30'!D49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+I49+'30'!J49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+C50+'30'!D50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+C51+'30'!D51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20</v>
      </c>
      <c r="D52" s="146">
        <f ca="1">SUM(D38:D51)</f>
        <v>1254</v>
      </c>
      <c r="E52" s="147">
        <f ca="1">SUM(E38:E51)</f>
        <v>20.9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1.3888888888888888E-2</v>
      </c>
      <c r="D53" s="148">
        <f ca="1">D52/(24*60*G4)</f>
        <v>2.8091397849462366E-2</v>
      </c>
      <c r="E53" s="149">
        <f ca="1">E52/(G4*24)</f>
        <v>2.8091397849462362E-2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+D34+'30'!J56</f>
        <v>6052</v>
      </c>
      <c r="K56" s="201">
        <f>J56/(J40+J56/1000)/1000</f>
        <v>3.9278883316664261E-3</v>
      </c>
    </row>
    <row r="57" spans="1:11">
      <c r="A57" s="176"/>
      <c r="I57" s="199" t="s">
        <v>90</v>
      </c>
      <c r="J57" s="200">
        <f>+E34+'30'!J57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view="pageBreakPreview" topLeftCell="A7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26" ht="15.75">
      <c r="A1" s="150"/>
    </row>
    <row r="2" spans="1:26" ht="15.75">
      <c r="A2" s="150" t="s">
        <v>224</v>
      </c>
    </row>
    <row r="3" spans="1:26" ht="15">
      <c r="A3" s="152"/>
    </row>
    <row r="4" spans="1:26" ht="20.25">
      <c r="A4" s="153" t="s">
        <v>3</v>
      </c>
      <c r="B4" s="154"/>
      <c r="F4" s="155" t="s">
        <v>28</v>
      </c>
      <c r="G4" s="156">
        <v>30</v>
      </c>
      <c r="H4" s="156" t="str">
        <f>+'1'!H4</f>
        <v>.12.25</v>
      </c>
      <c r="J4" s="151">
        <f>373+417+381</f>
        <v>1171</v>
      </c>
    </row>
    <row r="5" spans="1:26" ht="13.5" thickBot="1">
      <c r="C5" s="157"/>
      <c r="D5" s="157"/>
    </row>
    <row r="6" spans="1:26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 t="s">
        <v>274</v>
      </c>
      <c r="O6" s="151">
        <v>1400</v>
      </c>
      <c r="P6" s="151">
        <f>+O6-(O6*0.25)</f>
        <v>1050</v>
      </c>
      <c r="Q6" s="151">
        <v>480</v>
      </c>
      <c r="R6" s="151">
        <f>+O6*Q6</f>
        <v>672000</v>
      </c>
      <c r="S6" s="151">
        <f>+P6*Q6</f>
        <v>504000</v>
      </c>
      <c r="U6" s="151" t="s">
        <v>718</v>
      </c>
      <c r="V6" s="151">
        <v>1400</v>
      </c>
      <c r="W6" s="151">
        <f>+V6-(V6*0.25)</f>
        <v>1050</v>
      </c>
      <c r="X6" s="151">
        <v>480</v>
      </c>
      <c r="Y6" s="151">
        <f>+V6*X6</f>
        <v>672000</v>
      </c>
      <c r="Z6" s="151">
        <f>+W6*X6</f>
        <v>504000</v>
      </c>
    </row>
    <row r="7" spans="1:26" ht="13.5" customHeight="1" thickBot="1">
      <c r="A7" s="781" t="s">
        <v>724</v>
      </c>
      <c r="B7" s="215" t="s">
        <v>383</v>
      </c>
      <c r="C7" s="216">
        <v>14016</v>
      </c>
      <c r="D7" s="217"/>
      <c r="E7" s="218"/>
      <c r="F7" s="229"/>
      <c r="G7" s="548" t="s">
        <v>11</v>
      </c>
      <c r="H7" s="549" t="s">
        <v>392</v>
      </c>
      <c r="I7" s="784" t="s">
        <v>763</v>
      </c>
      <c r="J7" s="214" t="str">
        <f>+'29'!J7</f>
        <v>F 15 VP OW</v>
      </c>
      <c r="K7" s="236"/>
      <c r="L7" s="240"/>
      <c r="M7" s="119">
        <f>+K7+'29'!M7+L7</f>
        <v>24540</v>
      </c>
      <c r="U7" s="151" t="s">
        <v>718</v>
      </c>
      <c r="V7" s="151">
        <v>1400</v>
      </c>
      <c r="W7" s="151">
        <v>1050</v>
      </c>
      <c r="X7" s="151">
        <v>362</v>
      </c>
      <c r="Y7" s="151">
        <f>+V7*X7</f>
        <v>506800</v>
      </c>
      <c r="Z7" s="151">
        <f>+W7*X7</f>
        <v>380100</v>
      </c>
    </row>
    <row r="8" spans="1:26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+'29'!J8</f>
        <v>T 12,5 VP OW</v>
      </c>
      <c r="K8" s="237"/>
      <c r="L8" s="237"/>
      <c r="M8" s="119">
        <f>+K8+'29'!M8+L8</f>
        <v>35627</v>
      </c>
    </row>
    <row r="9" spans="1:26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416</v>
      </c>
      <c r="I9" s="785"/>
      <c r="J9" s="214" t="str">
        <f>+'29'!J9</f>
        <v>T 14 VP OW</v>
      </c>
      <c r="K9" s="237"/>
      <c r="L9" s="237"/>
      <c r="M9" s="119">
        <f>+K9+'29'!M9+L9</f>
        <v>186632</v>
      </c>
    </row>
    <row r="10" spans="1:26" ht="51.75" thickBot="1">
      <c r="A10" s="782"/>
      <c r="B10" s="215"/>
      <c r="C10" s="216"/>
      <c r="D10" s="217"/>
      <c r="E10" s="219"/>
      <c r="F10" s="229"/>
      <c r="G10" s="548"/>
      <c r="H10" s="551" t="s">
        <v>757</v>
      </c>
      <c r="I10" s="785"/>
      <c r="J10" s="214" t="str">
        <f>+'29'!J10</f>
        <v>F 12 VP OW</v>
      </c>
      <c r="K10" s="237">
        <f>+C7+C16+C25</f>
        <v>31961</v>
      </c>
      <c r="L10" s="237"/>
      <c r="M10" s="119">
        <f>+K10+'29'!M10+L10</f>
        <v>533846</v>
      </c>
    </row>
    <row r="11" spans="1:26" ht="13.5" thickBot="1">
      <c r="A11" s="782"/>
      <c r="B11" s="215"/>
      <c r="C11" s="216"/>
      <c r="D11" s="217"/>
      <c r="E11" s="219"/>
      <c r="F11" s="476"/>
      <c r="G11" s="477"/>
      <c r="H11" s="228" t="s">
        <v>758</v>
      </c>
      <c r="I11" s="785"/>
      <c r="J11" s="214" t="str">
        <f>+'29'!J11</f>
        <v>T 18 VP OW</v>
      </c>
      <c r="K11" s="237"/>
      <c r="L11" s="237"/>
      <c r="M11" s="119">
        <f>+K11+'29'!M11+L11</f>
        <v>131165</v>
      </c>
    </row>
    <row r="12" spans="1:26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+'29'!J12</f>
        <v>F 13 VP OW</v>
      </c>
      <c r="K12" s="237"/>
      <c r="L12" s="237"/>
      <c r="M12" s="119">
        <f>+K12+'29'!M12+L12</f>
        <v>77503</v>
      </c>
    </row>
    <row r="13" spans="1:26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+'29'!J13</f>
        <v>F 11,5 VP OW</v>
      </c>
      <c r="K13" s="237"/>
      <c r="L13" s="237"/>
      <c r="M13" s="119">
        <f>+K13+'29'!M13+L13</f>
        <v>68990</v>
      </c>
    </row>
    <row r="14" spans="1:26" ht="13.5" thickBot="1">
      <c r="A14" s="783"/>
      <c r="B14" s="167" t="s">
        <v>2</v>
      </c>
      <c r="C14" s="113">
        <f>SUM(C7:C13)</f>
        <v>14016</v>
      </c>
      <c r="D14" s="113">
        <f>SUM(D7:D13)</f>
        <v>0</v>
      </c>
      <c r="E14" s="114">
        <f>SUM(E5:E13)</f>
        <v>0</v>
      </c>
      <c r="F14" s="104">
        <f>SUM(F6:F13)</f>
        <v>10</v>
      </c>
      <c r="G14" s="161"/>
      <c r="H14" s="168"/>
      <c r="I14" s="169"/>
      <c r="J14" s="214" t="str">
        <f>+'29'!J14</f>
        <v>T 12 VP OW</v>
      </c>
      <c r="K14" s="237"/>
      <c r="L14" s="237"/>
      <c r="M14" s="119">
        <f>+K14+'29'!M14+L14</f>
        <v>59863</v>
      </c>
      <c r="Q14" s="176">
        <f>SUM(Q6:Q11)</f>
        <v>480</v>
      </c>
      <c r="R14" s="176">
        <f>SUM(R6:R11)</f>
        <v>672000</v>
      </c>
      <c r="S14" s="176">
        <f>SUM(S6:S11)</f>
        <v>504000</v>
      </c>
      <c r="X14" s="176">
        <f>SUM(X6:X11)</f>
        <v>842</v>
      </c>
      <c r="Y14" s="176">
        <f>SUM(Y6:Y11)</f>
        <v>1178800</v>
      </c>
      <c r="Z14" s="176">
        <f>SUM(Z6:Z11)</f>
        <v>884100</v>
      </c>
    </row>
    <row r="15" spans="1:26" ht="13.5" customHeight="1" thickBot="1">
      <c r="A15" s="787" t="s">
        <v>425</v>
      </c>
      <c r="B15" s="506"/>
      <c r="C15" s="116">
        <f>C14/($C$23+$D$23+$E$23)</f>
        <v>0.84064055658849635</v>
      </c>
      <c r="D15" s="116">
        <f>D14/($C$23+$D$23+$E$23)</f>
        <v>0</v>
      </c>
      <c r="E15" s="117">
        <f>E14/($C$23+$D$23+$E$23)</f>
        <v>0</v>
      </c>
      <c r="F15" s="229">
        <v>2</v>
      </c>
      <c r="G15" s="548" t="s">
        <v>11</v>
      </c>
      <c r="H15" s="549" t="s">
        <v>448</v>
      </c>
      <c r="I15" s="784" t="s">
        <v>762</v>
      </c>
      <c r="J15" s="214" t="str">
        <f>+'29'!J15</f>
        <v>T 17 VP OW</v>
      </c>
      <c r="K15" s="237"/>
      <c r="L15" s="237"/>
      <c r="M15" s="119">
        <f>+K15+'29'!M15+L15</f>
        <v>10757</v>
      </c>
      <c r="Q15" s="151">
        <f>480-Q14</f>
        <v>0</v>
      </c>
      <c r="R15" s="176">
        <f>+R14/Q14</f>
        <v>1400</v>
      </c>
      <c r="S15" s="176">
        <f>+S14/Q14</f>
        <v>1050</v>
      </c>
      <c r="X15" s="151">
        <f>480-X14</f>
        <v>-362</v>
      </c>
      <c r="Y15" s="176">
        <f>+Y14/X14</f>
        <v>1400</v>
      </c>
      <c r="Z15" s="176">
        <f>+Z14/X14</f>
        <v>1050</v>
      </c>
    </row>
    <row r="16" spans="1:26" ht="13.5" thickBot="1">
      <c r="A16" s="782"/>
      <c r="B16" s="215" t="s">
        <v>383</v>
      </c>
      <c r="C16" s="507">
        <v>16673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+'29'!J16</f>
        <v>T 16 VP OW</v>
      </c>
      <c r="K16" s="227"/>
      <c r="L16" s="227"/>
      <c r="M16" s="119">
        <f>+K16+'29'!M16+L16</f>
        <v>52404</v>
      </c>
    </row>
    <row r="17" spans="1:26" ht="13.5" thickBot="1">
      <c r="A17" s="782"/>
      <c r="B17" s="215"/>
      <c r="C17" s="216"/>
      <c r="D17" s="217"/>
      <c r="E17" s="223"/>
      <c r="F17" s="229">
        <v>14</v>
      </c>
      <c r="G17" s="550" t="s">
        <v>11</v>
      </c>
      <c r="H17" s="551" t="s">
        <v>541</v>
      </c>
      <c r="I17" s="785"/>
      <c r="J17" s="214" t="str">
        <f>+'29'!J17</f>
        <v>T 15 VP OW</v>
      </c>
      <c r="K17" s="227">
        <f>+C26</f>
        <v>14985</v>
      </c>
      <c r="L17" s="227"/>
      <c r="M17" s="119">
        <f>+K17+'29'!M17+L17</f>
        <v>125509</v>
      </c>
      <c r="N17" s="151" t="s">
        <v>274</v>
      </c>
      <c r="O17" s="151">
        <v>1400</v>
      </c>
      <c r="P17" s="151">
        <f>+O17-(O17*0.25)</f>
        <v>1050</v>
      </c>
      <c r="Q17" s="151">
        <f>60*6+2</f>
        <v>362</v>
      </c>
      <c r="R17" s="151">
        <f>+O17*Q17</f>
        <v>506800</v>
      </c>
      <c r="S17" s="151">
        <f>+P17*Q17</f>
        <v>380100</v>
      </c>
    </row>
    <row r="18" spans="1:26" ht="77.25" thickBot="1">
      <c r="A18" s="782"/>
      <c r="B18" s="215"/>
      <c r="C18" s="216"/>
      <c r="D18" s="217"/>
      <c r="E18" s="223"/>
      <c r="F18" s="229"/>
      <c r="G18" s="548"/>
      <c r="H18" s="551" t="s">
        <v>755</v>
      </c>
      <c r="I18" s="785"/>
      <c r="J18" s="214" t="str">
        <f>+'29'!J18</f>
        <v>T 13,5 VP OW</v>
      </c>
      <c r="K18" s="237"/>
      <c r="L18" s="237"/>
      <c r="M18" s="119">
        <f>+K18+'29'!M18+L18</f>
        <v>20648</v>
      </c>
      <c r="N18" s="151" t="s">
        <v>674</v>
      </c>
      <c r="O18" s="151">
        <v>1270</v>
      </c>
      <c r="P18" s="151">
        <f>+O18-(O18*0.25)</f>
        <v>952.5</v>
      </c>
      <c r="Q18" s="151">
        <f>480-Q17</f>
        <v>118</v>
      </c>
      <c r="R18" s="151">
        <f>+O18*Q18</f>
        <v>149860</v>
      </c>
      <c r="S18" s="151">
        <f>+P18*Q18</f>
        <v>112395</v>
      </c>
      <c r="U18" s="151" t="s">
        <v>674</v>
      </c>
      <c r="V18" s="151">
        <v>1270</v>
      </c>
      <c r="W18" s="151">
        <v>952.5</v>
      </c>
      <c r="X18" s="151">
        <v>118</v>
      </c>
      <c r="Y18" s="151">
        <f>+V18*X18</f>
        <v>149860</v>
      </c>
      <c r="Z18" s="151">
        <f>+W18*X18</f>
        <v>112395</v>
      </c>
    </row>
    <row r="19" spans="1:26" ht="26.25" thickBot="1">
      <c r="A19" s="782"/>
      <c r="B19" s="215"/>
      <c r="C19" s="216"/>
      <c r="D19" s="217"/>
      <c r="E19" s="223"/>
      <c r="F19" s="226"/>
      <c r="G19" s="230"/>
      <c r="H19" s="228" t="s">
        <v>756</v>
      </c>
      <c r="I19" s="785"/>
      <c r="J19" s="214" t="str">
        <f>+'29'!J19</f>
        <v>T 14,5 VP OW</v>
      </c>
      <c r="K19" s="237"/>
      <c r="L19" s="237"/>
      <c r="M19" s="119">
        <f>+K19+'29'!M19+L19</f>
        <v>41885</v>
      </c>
      <c r="U19" s="151" t="s">
        <v>674</v>
      </c>
      <c r="V19" s="151">
        <v>1200</v>
      </c>
      <c r="W19" s="151">
        <v>900</v>
      </c>
      <c r="X19" s="151">
        <v>140</v>
      </c>
      <c r="Y19" s="151">
        <f t="shared" ref="Y19:Y26" si="0">+V19*X19</f>
        <v>168000</v>
      </c>
      <c r="Z19" s="151">
        <f t="shared" ref="Z19:Z26" si="1">+W19*X19</f>
        <v>126000</v>
      </c>
    </row>
    <row r="20" spans="1:26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 t="str">
        <f>+'29'!J20</f>
        <v>F 16 VP OW</v>
      </c>
      <c r="K20" s="238"/>
      <c r="L20" s="238"/>
      <c r="M20" s="119">
        <f>+K20+'29'!M20+L20</f>
        <v>10982</v>
      </c>
      <c r="Y20" s="151">
        <f t="shared" si="0"/>
        <v>0</v>
      </c>
      <c r="Z20" s="151">
        <f t="shared" si="1"/>
        <v>0</v>
      </c>
    </row>
    <row r="21" spans="1:26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 t="str">
        <f>+'29'!J21</f>
        <v>F 12,5 VP OW</v>
      </c>
      <c r="K21" s="237"/>
      <c r="L21" s="237"/>
      <c r="M21" s="119">
        <f>+K21+'29'!M21+L21</f>
        <v>101049</v>
      </c>
      <c r="U21" s="151" t="s">
        <v>674</v>
      </c>
      <c r="V21" s="151">
        <v>1205</v>
      </c>
      <c r="W21" s="151">
        <v>903.75</v>
      </c>
      <c r="X21" s="151">
        <v>70</v>
      </c>
      <c r="Y21" s="151">
        <f t="shared" si="0"/>
        <v>84350</v>
      </c>
      <c r="Z21" s="151">
        <f t="shared" si="1"/>
        <v>63262.5</v>
      </c>
    </row>
    <row r="22" spans="1:26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+'29'!J22</f>
        <v>0</v>
      </c>
      <c r="K22" s="237"/>
      <c r="L22" s="237"/>
      <c r="M22" s="119">
        <f>+K22+'29'!M22+L22</f>
        <v>0</v>
      </c>
      <c r="V22" s="151">
        <v>1210</v>
      </c>
      <c r="W22" s="151">
        <v>907.5</v>
      </c>
      <c r="X22" s="151">
        <v>60</v>
      </c>
      <c r="Y22" s="151">
        <f t="shared" si="0"/>
        <v>72600</v>
      </c>
      <c r="Z22" s="151">
        <f t="shared" si="1"/>
        <v>54450</v>
      </c>
    </row>
    <row r="23" spans="1:26" ht="13.5" thickBot="1">
      <c r="A23" s="783"/>
      <c r="B23" s="167" t="s">
        <v>2</v>
      </c>
      <c r="C23" s="101">
        <f>SUM(C16:C22)</f>
        <v>16673</v>
      </c>
      <c r="D23" s="113">
        <f>SUM(D16:D22)</f>
        <v>0</v>
      </c>
      <c r="E23" s="114">
        <f>SUM(E18:E22)</f>
        <v>0</v>
      </c>
      <c r="F23" s="104">
        <f>SUM(F15:F22)</f>
        <v>16</v>
      </c>
      <c r="G23" s="161"/>
      <c r="H23" s="168"/>
      <c r="I23" s="170"/>
      <c r="J23" s="214">
        <f>+'29'!J23</f>
        <v>0</v>
      </c>
      <c r="K23" s="237"/>
      <c r="L23" s="237"/>
      <c r="M23" s="119">
        <f>+K23+'29'!M23+L23</f>
        <v>0</v>
      </c>
      <c r="V23" s="151">
        <v>1220</v>
      </c>
      <c r="W23" s="151">
        <v>915</v>
      </c>
      <c r="X23" s="151">
        <v>70</v>
      </c>
      <c r="Y23" s="151">
        <f t="shared" si="0"/>
        <v>85400</v>
      </c>
      <c r="Z23" s="151">
        <f t="shared" si="1"/>
        <v>64050</v>
      </c>
    </row>
    <row r="24" spans="1:26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761</v>
      </c>
      <c r="J24" s="214">
        <f>+'29'!J24</f>
        <v>0</v>
      </c>
      <c r="K24" s="237"/>
      <c r="L24" s="237"/>
      <c r="M24" s="119">
        <f>+K24+'29'!M24+L24</f>
        <v>0</v>
      </c>
      <c r="V24" s="151">
        <v>1230</v>
      </c>
      <c r="W24" s="151">
        <v>922.5</v>
      </c>
      <c r="X24" s="151">
        <v>40</v>
      </c>
      <c r="Y24" s="151">
        <f t="shared" si="0"/>
        <v>49200</v>
      </c>
      <c r="Z24" s="151">
        <f t="shared" si="1"/>
        <v>36900</v>
      </c>
    </row>
    <row r="25" spans="1:26" ht="13.5" thickBot="1">
      <c r="A25" s="782"/>
      <c r="B25" s="215" t="s">
        <v>383</v>
      </c>
      <c r="C25" s="224">
        <v>1272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+'29'!J25</f>
        <v>0</v>
      </c>
      <c r="K25" s="237"/>
      <c r="L25" s="237"/>
      <c r="M25" s="119">
        <f>+K25+'29'!M25+L25</f>
        <v>0</v>
      </c>
      <c r="Q25" s="176">
        <f>SUM(Q17:Q22)</f>
        <v>480</v>
      </c>
      <c r="R25" s="176">
        <f>SUM(R17:R22)</f>
        <v>656660</v>
      </c>
      <c r="S25" s="176">
        <f>SUM(S17:S22)</f>
        <v>492495</v>
      </c>
      <c r="V25" s="151">
        <v>1240</v>
      </c>
      <c r="W25" s="151">
        <v>930</v>
      </c>
      <c r="X25" s="151">
        <v>100</v>
      </c>
      <c r="Y25" s="151">
        <f t="shared" si="0"/>
        <v>124000</v>
      </c>
      <c r="Z25" s="151">
        <f t="shared" si="1"/>
        <v>93000</v>
      </c>
    </row>
    <row r="26" spans="1:26" ht="13.5" thickBot="1">
      <c r="A26" s="782"/>
      <c r="B26" s="215" t="s">
        <v>666</v>
      </c>
      <c r="C26" s="224">
        <v>14985</v>
      </c>
      <c r="D26" s="217"/>
      <c r="E26" s="225"/>
      <c r="F26" s="229">
        <v>8</v>
      </c>
      <c r="G26" s="550" t="s">
        <v>11</v>
      </c>
      <c r="H26" s="551" t="s">
        <v>469</v>
      </c>
      <c r="I26" s="785"/>
      <c r="J26" s="214">
        <f>+'29'!J26</f>
        <v>0</v>
      </c>
      <c r="K26" s="237"/>
      <c r="L26" s="237"/>
      <c r="M26" s="119">
        <f>+K26+'29'!M26+L26</f>
        <v>0</v>
      </c>
      <c r="Q26" s="151">
        <f>480-Q25</f>
        <v>0</v>
      </c>
      <c r="R26" s="176">
        <f>+R25/Q25</f>
        <v>1368.0416666666667</v>
      </c>
      <c r="S26" s="176">
        <f>+S25/Q25</f>
        <v>1026.03125</v>
      </c>
      <c r="Y26" s="151">
        <f t="shared" si="0"/>
        <v>0</v>
      </c>
      <c r="Z26" s="151">
        <f t="shared" si="1"/>
        <v>0</v>
      </c>
    </row>
    <row r="27" spans="1:26" ht="51.75" thickBot="1">
      <c r="A27" s="782"/>
      <c r="B27" s="215"/>
      <c r="C27" s="216"/>
      <c r="D27" s="217"/>
      <c r="E27" s="223"/>
      <c r="F27" s="229"/>
      <c r="G27" s="548"/>
      <c r="H27" s="551" t="s">
        <v>759</v>
      </c>
      <c r="I27" s="785"/>
      <c r="J27" s="214">
        <f>+'29'!J27</f>
        <v>0</v>
      </c>
      <c r="K27" s="237"/>
      <c r="L27" s="237"/>
      <c r="M27" s="119">
        <f>+K27+'29'!M27+L27</f>
        <v>0</v>
      </c>
      <c r="N27" s="151" t="s">
        <v>674</v>
      </c>
      <c r="O27" s="151">
        <v>1200</v>
      </c>
      <c r="P27" s="151">
        <f t="shared" ref="P27:P32" si="2">+O27-(O27*0.25)</f>
        <v>900</v>
      </c>
      <c r="Q27" s="151">
        <f>60*2+20</f>
        <v>140</v>
      </c>
      <c r="R27" s="151">
        <f t="shared" ref="R27:R32" si="3">+O27*Q27</f>
        <v>168000</v>
      </c>
      <c r="S27" s="151">
        <f t="shared" ref="S27:S32" si="4">+P27*Q27</f>
        <v>126000</v>
      </c>
    </row>
    <row r="28" spans="1:26" ht="138" customHeight="1" thickBot="1">
      <c r="A28" s="782"/>
      <c r="B28" s="215"/>
      <c r="C28" s="216"/>
      <c r="D28" s="217"/>
      <c r="E28" s="223"/>
      <c r="F28" s="226"/>
      <c r="G28" s="230"/>
      <c r="H28" s="228" t="s">
        <v>760</v>
      </c>
      <c r="I28" s="785"/>
      <c r="J28" s="214">
        <f>+'29'!J28</f>
        <v>0</v>
      </c>
      <c r="K28" s="237"/>
      <c r="L28" s="237"/>
      <c r="M28" s="119">
        <f>+K28+'29'!M28+L28</f>
        <v>0</v>
      </c>
      <c r="N28" s="151" t="s">
        <v>674</v>
      </c>
      <c r="O28" s="151">
        <v>1205</v>
      </c>
      <c r="P28" s="151">
        <f t="shared" si="2"/>
        <v>903.75</v>
      </c>
      <c r="Q28" s="151">
        <f>60-20+30</f>
        <v>70</v>
      </c>
      <c r="R28" s="151">
        <f t="shared" si="3"/>
        <v>84350</v>
      </c>
      <c r="S28" s="151">
        <f t="shared" si="4"/>
        <v>63262.5</v>
      </c>
      <c r="X28" s="176">
        <f>SUM(X18:X25)</f>
        <v>598</v>
      </c>
      <c r="Y28" s="176">
        <f>SUM(Y18:Y25)</f>
        <v>733410</v>
      </c>
      <c r="Z28" s="176">
        <f>SUM(Z18:Z25)</f>
        <v>550057.5</v>
      </c>
    </row>
    <row r="29" spans="1:26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+'29'!J29</f>
        <v>0</v>
      </c>
      <c r="K29" s="237"/>
      <c r="L29" s="237"/>
      <c r="M29" s="119">
        <f>+K29+'29'!M29+L29</f>
        <v>0</v>
      </c>
      <c r="O29" s="151">
        <v>1210</v>
      </c>
      <c r="P29" s="151">
        <f t="shared" si="2"/>
        <v>907.5</v>
      </c>
      <c r="Q29" s="151">
        <f>60-30+30</f>
        <v>60</v>
      </c>
      <c r="R29" s="151">
        <f t="shared" si="3"/>
        <v>72600</v>
      </c>
      <c r="S29" s="151">
        <f t="shared" si="4"/>
        <v>54450</v>
      </c>
      <c r="X29" s="151">
        <f>480-X28</f>
        <v>-118</v>
      </c>
      <c r="Y29" s="176">
        <f>+Y28/X28</f>
        <v>1226.4381270903009</v>
      </c>
      <c r="Z29" s="176">
        <f>+Z28/X28</f>
        <v>919.82859531772579</v>
      </c>
    </row>
    <row r="30" spans="1:26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+'29'!J30</f>
        <v>0</v>
      </c>
      <c r="K30" s="237"/>
      <c r="L30" s="237"/>
      <c r="M30" s="119">
        <f>+K30+'29'!M30+L30</f>
        <v>0</v>
      </c>
      <c r="O30" s="151">
        <v>1220</v>
      </c>
      <c r="P30" s="151">
        <f t="shared" si="2"/>
        <v>915</v>
      </c>
      <c r="Q30" s="151">
        <f>60-30+40</f>
        <v>70</v>
      </c>
      <c r="R30" s="151">
        <f t="shared" si="3"/>
        <v>85400</v>
      </c>
      <c r="S30" s="151">
        <f t="shared" si="4"/>
        <v>64050</v>
      </c>
    </row>
    <row r="31" spans="1:26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+'29'!J31</f>
        <v>0</v>
      </c>
      <c r="K31" s="237"/>
      <c r="L31" s="237"/>
      <c r="M31" s="119">
        <f>+K31+'29'!M31+L31</f>
        <v>0</v>
      </c>
      <c r="O31" s="151">
        <v>1230</v>
      </c>
      <c r="P31" s="151">
        <f t="shared" si="2"/>
        <v>922.5</v>
      </c>
      <c r="Q31" s="151">
        <f>60-40+20</f>
        <v>40</v>
      </c>
      <c r="R31" s="151">
        <f t="shared" si="3"/>
        <v>49200</v>
      </c>
      <c r="S31" s="151">
        <f t="shared" si="4"/>
        <v>36900</v>
      </c>
    </row>
    <row r="32" spans="1:26" ht="13.5" thickBot="1">
      <c r="A32" s="783"/>
      <c r="B32" s="167" t="s">
        <v>2</v>
      </c>
      <c r="C32" s="101">
        <f>SUM(C25:C31)</f>
        <v>16257</v>
      </c>
      <c r="D32" s="102">
        <f>SUM(D25:D31)</f>
        <v>0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14">
        <f>+'29'!J32</f>
        <v>0</v>
      </c>
      <c r="K32" s="239"/>
      <c r="L32" s="241"/>
      <c r="M32" s="119">
        <f>+K32+'29'!M32+L32</f>
        <v>0</v>
      </c>
      <c r="O32" s="151">
        <v>1240</v>
      </c>
      <c r="P32" s="151">
        <f t="shared" si="2"/>
        <v>930</v>
      </c>
      <c r="Q32" s="151">
        <f>60-20+60</f>
        <v>100</v>
      </c>
      <c r="R32" s="151">
        <f t="shared" si="3"/>
        <v>124000</v>
      </c>
      <c r="S32" s="151">
        <f t="shared" si="4"/>
        <v>93000</v>
      </c>
    </row>
    <row r="33" spans="1:2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  <c r="U33" s="151" t="s">
        <v>718</v>
      </c>
      <c r="V33" s="151">
        <v>1400</v>
      </c>
      <c r="W33" s="151">
        <v>1050</v>
      </c>
      <c r="X33" s="151">
        <v>842</v>
      </c>
    </row>
    <row r="34" spans="1:24" ht="13.5" thickBot="1">
      <c r="A34" s="788" t="s">
        <v>58</v>
      </c>
      <c r="B34" s="789"/>
      <c r="C34" s="109">
        <f>C14+C23+C32</f>
        <v>46946</v>
      </c>
      <c r="D34" s="109">
        <f>D14+D23+D32</f>
        <v>0</v>
      </c>
      <c r="E34" s="109">
        <f>E14+E23+E32</f>
        <v>0</v>
      </c>
      <c r="F34" s="110">
        <f>F14+F23+F32</f>
        <v>34</v>
      </c>
      <c r="H34" s="178"/>
      <c r="I34" s="178"/>
      <c r="J34" s="125" t="s">
        <v>27</v>
      </c>
      <c r="K34" s="126">
        <f>SUM(K7:K32)</f>
        <v>46946</v>
      </c>
      <c r="L34" s="212">
        <f>SUM(L7:L32)</f>
        <v>0</v>
      </c>
      <c r="M34" s="122">
        <f>SUM(M7:M32)</f>
        <v>1481400</v>
      </c>
      <c r="U34" s="151" t="s">
        <v>674</v>
      </c>
      <c r="V34" s="151">
        <v>1226.4381270903009</v>
      </c>
      <c r="W34" s="151">
        <v>919.82859531772579</v>
      </c>
      <c r="X34" s="151">
        <v>598</v>
      </c>
    </row>
    <row r="35" spans="1:2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  <c r="Q35" s="176">
        <f>SUM(Q27:Q32)</f>
        <v>480</v>
      </c>
      <c r="R35" s="176">
        <f>SUM(R27:R32)</f>
        <v>583550</v>
      </c>
      <c r="S35" s="176">
        <f>SUM(S27:S32)</f>
        <v>437662.5</v>
      </c>
      <c r="X35" s="151">
        <f>+X33+X34</f>
        <v>1440</v>
      </c>
    </row>
    <row r="36" spans="1:2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  <c r="Q36" s="151">
        <f>480-Q35</f>
        <v>0</v>
      </c>
      <c r="R36" s="176">
        <f>+R35/Q35</f>
        <v>1215.7291666666667</v>
      </c>
      <c r="S36" s="176">
        <f>+S35/Q35</f>
        <v>911.796875</v>
      </c>
    </row>
    <row r="37" spans="1:2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(12*842+598*15)/1440*G42*2.85*1440/1000000</f>
        <v>54.140341973437494</v>
      </c>
      <c r="J37" s="127">
        <f>+I37+'29'!J37</f>
        <v>1641.5225840029868</v>
      </c>
      <c r="K37" s="128" t="s">
        <v>64</v>
      </c>
    </row>
    <row r="38" spans="1:24" ht="17.45" customHeight="1">
      <c r="A38" s="779" t="s">
        <v>11</v>
      </c>
      <c r="B38" s="780"/>
      <c r="C38" s="166">
        <f>SUMIF($G$7:$G$31,"Process",$F$7:$F$31)</f>
        <v>34</v>
      </c>
      <c r="D38" s="120">
        <f>+C38+'29'!D38</f>
        <v>1116</v>
      </c>
      <c r="E38" s="145">
        <f t="shared" ref="E38:E51" si="5">D38/60</f>
        <v>18.600000000000001</v>
      </c>
      <c r="F38" s="330">
        <v>1400</v>
      </c>
      <c r="G38" s="330">
        <v>1050</v>
      </c>
      <c r="H38" s="187" t="s">
        <v>65</v>
      </c>
      <c r="I38" s="243">
        <f>14.396+16.21+17.512</f>
        <v>48.118000000000002</v>
      </c>
      <c r="J38" s="129">
        <f>+I38+'29'!J38</f>
        <v>1516.8039999999999</v>
      </c>
      <c r="K38" s="130" t="s">
        <v>64</v>
      </c>
    </row>
    <row r="39" spans="1:24" ht="17.45" customHeight="1">
      <c r="A39" s="775" t="s">
        <v>12</v>
      </c>
      <c r="B39" s="776"/>
      <c r="C39" s="166">
        <f>SUMIF($G$7:$G$31,"Cleaning",$F$7:$F$31)</f>
        <v>0</v>
      </c>
      <c r="D39" s="120">
        <f>+C39+'29'!D39</f>
        <v>0</v>
      </c>
      <c r="E39" s="145">
        <f t="shared" si="5"/>
        <v>0</v>
      </c>
      <c r="F39" s="330">
        <v>1368.0416666666667</v>
      </c>
      <c r="G39" s="330">
        <v>1026.03125</v>
      </c>
      <c r="H39" s="187" t="s">
        <v>66</v>
      </c>
      <c r="I39" s="144"/>
      <c r="J39" s="131">
        <f>J37/G4</f>
        <v>54.717419466766231</v>
      </c>
      <c r="K39" s="132" t="s">
        <v>64</v>
      </c>
    </row>
    <row r="40" spans="1:2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+C40+'29'!D40</f>
        <v>0</v>
      </c>
      <c r="E40" s="145">
        <f t="shared" ca="1" si="5"/>
        <v>0</v>
      </c>
      <c r="F40" s="330">
        <v>1215.7291666666667</v>
      </c>
      <c r="G40" s="330">
        <v>911.796875</v>
      </c>
      <c r="H40" s="187" t="s">
        <v>68</v>
      </c>
      <c r="I40" s="120">
        <f>(K34+L34)/1000</f>
        <v>46.945999999999998</v>
      </c>
      <c r="J40" s="133">
        <f>+I40+'29'!J40</f>
        <v>1481.3999999999999</v>
      </c>
      <c r="K40" s="132" t="s">
        <v>64</v>
      </c>
    </row>
    <row r="41" spans="1:2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+C41+'29'!D41</f>
        <v>110</v>
      </c>
      <c r="E41" s="145">
        <f t="shared" ca="1" si="5"/>
        <v>1.8333333333333333</v>
      </c>
      <c r="F41" s="330"/>
      <c r="G41" s="330"/>
      <c r="H41" s="187" t="s">
        <v>70</v>
      </c>
      <c r="I41" s="144"/>
      <c r="J41" s="131">
        <f>J40/G4</f>
        <v>49.379999999999995</v>
      </c>
      <c r="K41" s="132" t="s">
        <v>64</v>
      </c>
    </row>
    <row r="42" spans="1:2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+C42+'29'!D42</f>
        <v>0</v>
      </c>
      <c r="E42" s="145">
        <f t="shared" ca="1" si="5"/>
        <v>0</v>
      </c>
      <c r="F42" s="330">
        <f>+(F38*480+F39*480+F40*480)/1440</f>
        <v>1327.9236111111111</v>
      </c>
      <c r="G42" s="330">
        <f>+(G38*480+G39*480+G40*480)/1440</f>
        <v>995.94270833333337</v>
      </c>
      <c r="H42" s="187" t="s">
        <v>71</v>
      </c>
      <c r="I42" s="244" t="s">
        <v>764</v>
      </c>
      <c r="J42" s="134"/>
      <c r="K42" s="132" t="s">
        <v>72</v>
      </c>
    </row>
    <row r="43" spans="1:24" ht="17.45" customHeight="1">
      <c r="A43" s="775" t="s">
        <v>73</v>
      </c>
      <c r="B43" s="776"/>
      <c r="C43" s="166">
        <f>SUMIF($G$7:$G$31,"Water",$F$7:$F$31)</f>
        <v>0</v>
      </c>
      <c r="D43" s="120">
        <f ca="1">+C43+'29'!D43</f>
        <v>0</v>
      </c>
      <c r="E43" s="145">
        <f t="shared" ca="1" si="5"/>
        <v>0</v>
      </c>
      <c r="F43" s="330"/>
      <c r="G43" s="331"/>
      <c r="H43" s="188" t="s">
        <v>74</v>
      </c>
      <c r="I43" s="120">
        <f>+Report1!Z38</f>
        <v>122.7</v>
      </c>
      <c r="J43" s="135">
        <f>+I43+'29'!J43</f>
        <v>3645.9000000000005</v>
      </c>
      <c r="K43" s="132" t="s">
        <v>64</v>
      </c>
      <c r="L43" s="189"/>
    </row>
    <row r="44" spans="1:24" ht="17.45" customHeight="1">
      <c r="A44" s="775" t="s">
        <v>16</v>
      </c>
      <c r="B44" s="776"/>
      <c r="C44" s="166">
        <f>SUMIF($G$7:$G$31,"PLN",$F$7:$F$31)</f>
        <v>0</v>
      </c>
      <c r="D44" s="120">
        <f>+C44+'29'!D44</f>
        <v>8</v>
      </c>
      <c r="E44" s="145">
        <f t="shared" si="5"/>
        <v>0.13333333333333333</v>
      </c>
      <c r="F44" s="330"/>
      <c r="G44" s="331"/>
      <c r="H44" s="188" t="s">
        <v>75</v>
      </c>
      <c r="I44" s="120">
        <f>I43/I38</f>
        <v>2.549981295980714</v>
      </c>
      <c r="J44" s="136">
        <f>J43/J38</f>
        <v>2.4036724586696772</v>
      </c>
      <c r="K44" s="132" t="s">
        <v>64</v>
      </c>
    </row>
    <row r="45" spans="1:24" ht="17.45" customHeight="1">
      <c r="A45" s="775" t="s">
        <v>17</v>
      </c>
      <c r="B45" s="776"/>
      <c r="C45" s="166">
        <f>SUMIF($G$7:$G$31,"Boiler",$F$7:$F$31)</f>
        <v>0</v>
      </c>
      <c r="D45" s="120">
        <f>+C45+'29'!D45</f>
        <v>0</v>
      </c>
      <c r="E45" s="145">
        <f t="shared" si="5"/>
        <v>0</v>
      </c>
      <c r="F45" s="330"/>
      <c r="G45" s="333"/>
      <c r="H45" s="188" t="s">
        <v>76</v>
      </c>
      <c r="I45" s="120">
        <f>I43/I40</f>
        <v>2.6136412047884807</v>
      </c>
      <c r="J45" s="136">
        <f>J43/J40</f>
        <v>2.4611178614823821</v>
      </c>
      <c r="K45" s="132" t="s">
        <v>64</v>
      </c>
    </row>
    <row r="46" spans="1:24" ht="17.45" customHeight="1">
      <c r="A46" s="775" t="s">
        <v>77</v>
      </c>
      <c r="B46" s="776"/>
      <c r="C46" s="166">
        <f>SUMIF($G$7:$G$31,"Gas",$F$7:$F$31)</f>
        <v>0</v>
      </c>
      <c r="D46" s="120">
        <f>+C46+'29'!D46</f>
        <v>0</v>
      </c>
      <c r="E46" s="145">
        <f t="shared" si="5"/>
        <v>0</v>
      </c>
      <c r="F46" s="330"/>
      <c r="G46" s="331"/>
      <c r="H46" s="188" t="s">
        <v>78</v>
      </c>
      <c r="I46" s="142">
        <f>+SUMIF(Listrik!AN37,"&gt;0")</f>
        <v>44525.152381980653</v>
      </c>
      <c r="J46" s="137">
        <f>+I46+'29'!J46</f>
        <v>1380435.8373496046</v>
      </c>
      <c r="K46" s="132" t="s">
        <v>79</v>
      </c>
    </row>
    <row r="47" spans="1:24" ht="17.45" customHeight="1">
      <c r="A47" s="775" t="s">
        <v>80</v>
      </c>
      <c r="B47" s="776"/>
      <c r="C47" s="166">
        <f>SUMIF($G$7:$G$31,"Gas",$F$7:$F$31)</f>
        <v>0</v>
      </c>
      <c r="D47" s="120">
        <f>+C47+'29'!D47</f>
        <v>0</v>
      </c>
      <c r="E47" s="145">
        <f t="shared" si="5"/>
        <v>0</v>
      </c>
      <c r="F47" s="330"/>
      <c r="G47" s="331"/>
      <c r="H47" s="188" t="s">
        <v>81</v>
      </c>
      <c r="I47" s="120">
        <f>I46/I38</f>
        <v>925.33256540131867</v>
      </c>
      <c r="J47" s="137">
        <f>J46/J38</f>
        <v>910.09506656733811</v>
      </c>
      <c r="K47" s="132" t="s">
        <v>23</v>
      </c>
    </row>
    <row r="48" spans="1:24" ht="17.45" customHeight="1">
      <c r="A48" s="775" t="s">
        <v>13</v>
      </c>
      <c r="B48" s="776"/>
      <c r="C48" s="166">
        <f>SUMIF($G$7:$G$31,"Start Up",$F$7:$F$31)</f>
        <v>0</v>
      </c>
      <c r="D48" s="120">
        <f>+C48+'29'!D48</f>
        <v>0</v>
      </c>
      <c r="E48" s="145">
        <f t="shared" si="5"/>
        <v>0</v>
      </c>
      <c r="F48" s="330"/>
      <c r="G48" s="331"/>
      <c r="H48" s="188" t="s">
        <v>82</v>
      </c>
      <c r="I48" s="120">
        <f>I46/I40</f>
        <v>948.43335709071391</v>
      </c>
      <c r="J48" s="137">
        <f>J46/J40</f>
        <v>931.84544171027721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+C49+'29'!D49</f>
        <v>0</v>
      </c>
      <c r="E49" s="145">
        <f t="shared" si="5"/>
        <v>0</v>
      </c>
      <c r="F49" s="185"/>
      <c r="H49" s="188" t="s">
        <v>83</v>
      </c>
      <c r="I49" s="120">
        <v>0</v>
      </c>
      <c r="J49" s="137">
        <f>+I49+'29'!J49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+C50+'29'!D50</f>
        <v>0</v>
      </c>
      <c r="E50" s="145">
        <f t="shared" si="5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+C51+'29'!D51</f>
        <v>0</v>
      </c>
      <c r="E51" s="145">
        <f t="shared" si="5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34</v>
      </c>
      <c r="D52" s="146">
        <f ca="1">SUM(D38:D51)</f>
        <v>1234</v>
      </c>
      <c r="E52" s="147">
        <f ca="1">SUM(E38:E51)</f>
        <v>20.566666666666666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2.361111111111111E-2</v>
      </c>
      <c r="D53" s="148">
        <f ca="1">D52/(24*60*G4)</f>
        <v>2.8564814814814814E-2</v>
      </c>
      <c r="E53" s="149">
        <f ca="1">E52/(G4*24)</f>
        <v>2.8564814814814814E-2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+D34+'29'!J56</f>
        <v>5452</v>
      </c>
      <c r="K56" s="201">
        <f>J56/(J40+J56/1000)/1000</f>
        <v>3.6668074562902029E-3</v>
      </c>
    </row>
    <row r="57" spans="1:11">
      <c r="A57" s="176"/>
      <c r="I57" s="199" t="s">
        <v>90</v>
      </c>
      <c r="J57" s="200">
        <f>+E34+'29'!J57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45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view="pageBreakPreview" zoomScale="80" zoomScaleNormal="80" zoomScaleSheetLayoutView="80" workbookViewId="0">
      <selection activeCell="F30" sqref="F30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6" ht="15.75">
      <c r="A1" s="150"/>
    </row>
    <row r="2" spans="1:16" ht="15.75">
      <c r="A2" s="150" t="s">
        <v>224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29</v>
      </c>
      <c r="H4" s="156" t="str">
        <f>+'1'!H4</f>
        <v>.12.25</v>
      </c>
    </row>
    <row r="5" spans="1:16" ht="13.5" thickBot="1">
      <c r="C5" s="157"/>
      <c r="D5" s="157"/>
    </row>
    <row r="6" spans="1:16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385+381+408</f>
        <v>1174</v>
      </c>
    </row>
    <row r="7" spans="1:16" ht="13.5" customHeight="1" thickBot="1">
      <c r="A7" s="781" t="s">
        <v>724</v>
      </c>
      <c r="B7" s="215" t="s">
        <v>383</v>
      </c>
      <c r="C7" s="216">
        <v>13051</v>
      </c>
      <c r="D7" s="217">
        <v>652</v>
      </c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+'28'!J7</f>
        <v>F 15 VP OW</v>
      </c>
      <c r="K7" s="236"/>
      <c r="L7" s="240"/>
      <c r="M7" s="119">
        <f>+K7+'28'!M7+L7</f>
        <v>24540</v>
      </c>
    </row>
    <row r="8" spans="1:16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+'28'!J8</f>
        <v>T 12,5 VP OW</v>
      </c>
      <c r="K8" s="237"/>
      <c r="L8" s="237"/>
      <c r="M8" s="119">
        <f>+K8+'28'!M8+L8</f>
        <v>35627</v>
      </c>
      <c r="N8" s="151">
        <v>1400</v>
      </c>
      <c r="O8" s="151">
        <f>+N8-N8*0.24</f>
        <v>1064</v>
      </c>
      <c r="P8" s="151">
        <v>480</v>
      </c>
    </row>
    <row r="9" spans="1:16" ht="13.5" thickBot="1">
      <c r="A9" s="782"/>
      <c r="B9" s="215"/>
      <c r="C9" s="216"/>
      <c r="D9" s="217"/>
      <c r="E9" s="220"/>
      <c r="F9" s="229">
        <v>8</v>
      </c>
      <c r="G9" s="550" t="s">
        <v>11</v>
      </c>
      <c r="H9" s="551" t="s">
        <v>416</v>
      </c>
      <c r="I9" s="785"/>
      <c r="J9" s="214" t="str">
        <f>+'28'!J9</f>
        <v>T 14 VP OW</v>
      </c>
      <c r="K9" s="237"/>
      <c r="L9" s="237"/>
      <c r="M9" s="119">
        <f>+K9+'28'!M9+L9</f>
        <v>186632</v>
      </c>
      <c r="N9" s="151">
        <v>1400</v>
      </c>
      <c r="O9" s="151">
        <f>+N9-N9*0.24</f>
        <v>1064</v>
      </c>
      <c r="P9" s="151">
        <v>480</v>
      </c>
    </row>
    <row r="10" spans="1:16" ht="13.5" thickBot="1">
      <c r="A10" s="782"/>
      <c r="B10" s="215"/>
      <c r="C10" s="216"/>
      <c r="D10" s="217"/>
      <c r="E10" s="219"/>
      <c r="F10" s="229"/>
      <c r="G10" s="548"/>
      <c r="H10" s="551" t="s">
        <v>740</v>
      </c>
      <c r="I10" s="785"/>
      <c r="J10" s="214" t="str">
        <f>+'28'!J10</f>
        <v>F 12 VP OW</v>
      </c>
      <c r="K10" s="237">
        <f>+C34</f>
        <v>45203</v>
      </c>
      <c r="L10" s="237"/>
      <c r="M10" s="119">
        <f>+K10+'28'!M10+L10</f>
        <v>501885</v>
      </c>
      <c r="N10" s="151">
        <v>1400</v>
      </c>
      <c r="O10" s="151">
        <f>+N10-N10*0.24</f>
        <v>1064</v>
      </c>
      <c r="P10" s="151">
        <f>480-15</f>
        <v>465</v>
      </c>
    </row>
    <row r="11" spans="1:16" ht="13.5" thickBot="1">
      <c r="A11" s="782"/>
      <c r="B11" s="215"/>
      <c r="C11" s="216"/>
      <c r="D11" s="217"/>
      <c r="E11" s="219"/>
      <c r="F11" s="476"/>
      <c r="G11" s="477"/>
      <c r="H11" s="228" t="s">
        <v>747</v>
      </c>
      <c r="I11" s="785"/>
      <c r="J11" s="214" t="str">
        <f>+'28'!J11</f>
        <v>T 18 VP OW</v>
      </c>
      <c r="K11" s="237"/>
      <c r="L11" s="237"/>
      <c r="M11" s="119">
        <f>+K11+'28'!M11+L11</f>
        <v>131165</v>
      </c>
      <c r="P11" s="151">
        <f>SUM(P8:P10)</f>
        <v>1425</v>
      </c>
    </row>
    <row r="12" spans="1:16" ht="26.25" thickBot="1">
      <c r="A12" s="782"/>
      <c r="B12" s="215"/>
      <c r="C12" s="216"/>
      <c r="D12" s="217"/>
      <c r="E12" s="219"/>
      <c r="F12" s="226"/>
      <c r="G12" s="230"/>
      <c r="H12" s="231" t="s">
        <v>748</v>
      </c>
      <c r="I12" s="785"/>
      <c r="J12" s="214" t="str">
        <f>+'28'!J12</f>
        <v>F 13 VP OW</v>
      </c>
      <c r="K12" s="237"/>
      <c r="L12" s="237"/>
      <c r="M12" s="119">
        <f>+K12+'28'!M12+L12</f>
        <v>77503</v>
      </c>
    </row>
    <row r="13" spans="1:16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+'28'!J13</f>
        <v>F 11,5 VP OW</v>
      </c>
      <c r="K13" s="237"/>
      <c r="L13" s="237"/>
      <c r="M13" s="119">
        <f>+K13+'28'!M13+L13</f>
        <v>68990</v>
      </c>
    </row>
    <row r="14" spans="1:16" ht="13.5" thickBot="1">
      <c r="A14" s="783"/>
      <c r="B14" s="167" t="s">
        <v>2</v>
      </c>
      <c r="C14" s="113">
        <f>SUM(C7:C13)</f>
        <v>13051</v>
      </c>
      <c r="D14" s="113">
        <f>SUM(D7:D13)</f>
        <v>652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14" t="str">
        <f>+'28'!J14</f>
        <v>T 12 VP OW</v>
      </c>
      <c r="K14" s="237"/>
      <c r="L14" s="237"/>
      <c r="M14" s="119">
        <f>+K14+'28'!M14+L14</f>
        <v>59863</v>
      </c>
    </row>
    <row r="15" spans="1:16" ht="13.5" customHeight="1" thickBot="1">
      <c r="A15" s="787" t="s">
        <v>425</v>
      </c>
      <c r="B15" s="506"/>
      <c r="C15" s="116">
        <f>C14/($C$23+$D$23+$E$23)</f>
        <v>0.75794180846739068</v>
      </c>
      <c r="D15" s="116">
        <f>D14/($C$23+$D$23+$E$23)</f>
        <v>3.7865148963354432E-2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511</v>
      </c>
      <c r="J15" s="214" t="str">
        <f>+'28'!J15</f>
        <v>T 17 VP OW</v>
      </c>
      <c r="K15" s="237"/>
      <c r="L15" s="237"/>
      <c r="M15" s="119">
        <f>+K15+'28'!M15+L15</f>
        <v>10757</v>
      </c>
    </row>
    <row r="16" spans="1:16" ht="13.5" thickBot="1">
      <c r="A16" s="782"/>
      <c r="B16" s="215" t="s">
        <v>383</v>
      </c>
      <c r="C16" s="507">
        <v>17219</v>
      </c>
      <c r="D16" s="221"/>
      <c r="E16" s="222"/>
      <c r="F16" s="229">
        <v>5</v>
      </c>
      <c r="G16" s="550" t="s">
        <v>11</v>
      </c>
      <c r="H16" s="549" t="s">
        <v>478</v>
      </c>
      <c r="I16" s="785"/>
      <c r="J16" s="214" t="str">
        <f>+'28'!J16</f>
        <v>T 16 VP OW</v>
      </c>
      <c r="K16" s="227"/>
      <c r="L16" s="227"/>
      <c r="M16" s="119">
        <f>+K16+'28'!M16+L16</f>
        <v>52404</v>
      </c>
    </row>
    <row r="17" spans="1:14" ht="13.5" thickBot="1">
      <c r="A17" s="782"/>
      <c r="B17" s="215"/>
      <c r="C17" s="216"/>
      <c r="D17" s="217"/>
      <c r="E17" s="223"/>
      <c r="F17" s="229">
        <v>10</v>
      </c>
      <c r="G17" s="550" t="s">
        <v>11</v>
      </c>
      <c r="H17" s="551" t="s">
        <v>414</v>
      </c>
      <c r="I17" s="785"/>
      <c r="J17" s="214" t="str">
        <f>+'28'!J17</f>
        <v>T 15 VP OW</v>
      </c>
      <c r="K17" s="227"/>
      <c r="L17" s="227"/>
      <c r="M17" s="119">
        <f>+K17+'28'!M17+L17</f>
        <v>110524</v>
      </c>
    </row>
    <row r="18" spans="1:14" ht="13.5" thickBot="1">
      <c r="A18" s="782"/>
      <c r="B18" s="215"/>
      <c r="C18" s="216"/>
      <c r="D18" s="217"/>
      <c r="E18" s="223"/>
      <c r="F18" s="229"/>
      <c r="G18" s="548"/>
      <c r="H18" s="551" t="s">
        <v>740</v>
      </c>
      <c r="I18" s="785"/>
      <c r="J18" s="214" t="str">
        <f>+'28'!J18</f>
        <v>T 13,5 VP OW</v>
      </c>
      <c r="K18" s="237"/>
      <c r="L18" s="237"/>
      <c r="M18" s="119">
        <f>+K18+'28'!M18+L18</f>
        <v>20648</v>
      </c>
    </row>
    <row r="19" spans="1:14" ht="13.5" thickBot="1">
      <c r="A19" s="782"/>
      <c r="B19" s="215"/>
      <c r="C19" s="216"/>
      <c r="D19" s="217"/>
      <c r="E19" s="223"/>
      <c r="F19" s="226"/>
      <c r="G19" s="230"/>
      <c r="H19" s="228" t="s">
        <v>749</v>
      </c>
      <c r="I19" s="785"/>
      <c r="J19" s="214" t="str">
        <f>+'28'!J19</f>
        <v>T 14,5 VP OW</v>
      </c>
      <c r="K19" s="237"/>
      <c r="L19" s="237"/>
      <c r="M19" s="119">
        <f>+K19+'28'!M19+L19</f>
        <v>41885</v>
      </c>
    </row>
    <row r="20" spans="1:14" ht="13.5" thickBot="1">
      <c r="A20" s="782"/>
      <c r="B20" s="215"/>
      <c r="C20" s="216"/>
      <c r="D20" s="217"/>
      <c r="E20" s="223"/>
      <c r="F20" s="226"/>
      <c r="G20" s="230"/>
      <c r="H20" s="231" t="s">
        <v>750</v>
      </c>
      <c r="I20" s="785"/>
      <c r="J20" s="214" t="str">
        <f>+'28'!J20</f>
        <v>F 16 VP OW</v>
      </c>
      <c r="K20" s="238"/>
      <c r="L20" s="238"/>
      <c r="M20" s="119">
        <f>+K20+'28'!M20+L20</f>
        <v>10982</v>
      </c>
    </row>
    <row r="21" spans="1:14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 t="str">
        <f>+'28'!J21</f>
        <v>F 12,5 VP OW</v>
      </c>
      <c r="K21" s="237"/>
      <c r="L21" s="237"/>
      <c r="M21" s="119">
        <f>+K21+'28'!M21+L21</f>
        <v>101049</v>
      </c>
    </row>
    <row r="22" spans="1:14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+'28'!J22</f>
        <v>0</v>
      </c>
      <c r="K22" s="237"/>
      <c r="L22" s="237"/>
      <c r="M22" s="119">
        <f>+K22+'28'!M22+L22</f>
        <v>0</v>
      </c>
    </row>
    <row r="23" spans="1:14" ht="13.5" thickBot="1">
      <c r="A23" s="783"/>
      <c r="B23" s="167" t="s">
        <v>2</v>
      </c>
      <c r="C23" s="101">
        <f>SUM(C16:C22)</f>
        <v>17219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+'28'!J23</f>
        <v>0</v>
      </c>
      <c r="K23" s="237"/>
      <c r="L23" s="237"/>
      <c r="M23" s="119">
        <f>+K23+'28'!M23+L23</f>
        <v>0</v>
      </c>
    </row>
    <row r="24" spans="1:14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5</v>
      </c>
      <c r="G24" s="548" t="s">
        <v>11</v>
      </c>
      <c r="H24" s="549" t="s">
        <v>448</v>
      </c>
      <c r="I24" s="784" t="s">
        <v>511</v>
      </c>
      <c r="J24" s="214">
        <f>+'28'!J24</f>
        <v>0</v>
      </c>
      <c r="K24" s="237"/>
      <c r="L24" s="237"/>
      <c r="M24" s="119">
        <f>+K24+'28'!M24+L24</f>
        <v>0</v>
      </c>
    </row>
    <row r="25" spans="1:14" ht="13.5" customHeight="1" thickBot="1">
      <c r="A25" s="782"/>
      <c r="B25" s="215" t="s">
        <v>383</v>
      </c>
      <c r="C25" s="224">
        <v>14933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+'28'!J25</f>
        <v>0</v>
      </c>
      <c r="K25" s="237"/>
      <c r="L25" s="237"/>
      <c r="M25" s="119">
        <f>+K25+'28'!M25+L25</f>
        <v>0</v>
      </c>
    </row>
    <row r="26" spans="1:14" ht="13.5" customHeight="1" thickBot="1">
      <c r="A26" s="782"/>
      <c r="B26" s="215"/>
      <c r="C26" s="224"/>
      <c r="D26" s="217"/>
      <c r="E26" s="225"/>
      <c r="F26" s="229">
        <v>8</v>
      </c>
      <c r="G26" s="550" t="s">
        <v>11</v>
      </c>
      <c r="H26" s="551" t="s">
        <v>384</v>
      </c>
      <c r="I26" s="785"/>
      <c r="J26" s="214">
        <f>+'28'!J26</f>
        <v>0</v>
      </c>
      <c r="K26" s="237"/>
      <c r="L26" s="237"/>
      <c r="M26" s="119">
        <f>+K26+'28'!M26+L26</f>
        <v>0</v>
      </c>
    </row>
    <row r="27" spans="1:14" ht="13.5" customHeight="1" thickBot="1">
      <c r="A27" s="782"/>
      <c r="B27" s="215"/>
      <c r="C27" s="216"/>
      <c r="D27" s="217"/>
      <c r="E27" s="223"/>
      <c r="F27" s="229"/>
      <c r="G27" s="548"/>
      <c r="H27" s="551" t="s">
        <v>740</v>
      </c>
      <c r="I27" s="785"/>
      <c r="J27" s="214">
        <f>+'28'!J27</f>
        <v>0</v>
      </c>
      <c r="K27" s="237"/>
      <c r="L27" s="237"/>
      <c r="M27" s="119">
        <f>+K27+'28'!M27+L27</f>
        <v>0</v>
      </c>
    </row>
    <row r="28" spans="1:14" ht="13.5" thickBot="1">
      <c r="A28" s="782"/>
      <c r="B28" s="215"/>
      <c r="C28" s="216"/>
      <c r="D28" s="217"/>
      <c r="E28" s="223"/>
      <c r="F28" s="226"/>
      <c r="G28" s="230"/>
      <c r="H28" s="228" t="s">
        <v>751</v>
      </c>
      <c r="I28" s="785"/>
      <c r="J28" s="214">
        <f>+'28'!J28</f>
        <v>0</v>
      </c>
      <c r="K28" s="237"/>
      <c r="L28" s="237"/>
      <c r="M28" s="119">
        <f>+K28+'28'!M28+L28</f>
        <v>0</v>
      </c>
    </row>
    <row r="29" spans="1:14" ht="13.5" customHeight="1" thickBot="1">
      <c r="A29" s="782"/>
      <c r="B29" s="215"/>
      <c r="C29" s="216"/>
      <c r="D29" s="217"/>
      <c r="E29" s="223" t="s">
        <v>445</v>
      </c>
      <c r="F29" s="226">
        <v>15</v>
      </c>
      <c r="G29" s="230" t="s">
        <v>11</v>
      </c>
      <c r="H29" s="231" t="s">
        <v>752</v>
      </c>
      <c r="I29" s="785"/>
      <c r="J29" s="214">
        <f>+'28'!J29</f>
        <v>0</v>
      </c>
      <c r="K29" s="237"/>
      <c r="L29" s="237"/>
      <c r="M29" s="119">
        <f>+K29+'28'!M29+L29</f>
        <v>0</v>
      </c>
    </row>
    <row r="30" spans="1:14" ht="13.5" customHeight="1" thickBot="1">
      <c r="A30" s="782"/>
      <c r="B30" s="215"/>
      <c r="C30" s="224"/>
      <c r="D30" s="217"/>
      <c r="E30" s="223"/>
      <c r="F30" s="234"/>
      <c r="G30" s="230"/>
      <c r="H30" s="231" t="s">
        <v>753</v>
      </c>
      <c r="I30" s="785"/>
      <c r="J30" s="214">
        <f>+'28'!J30</f>
        <v>0</v>
      </c>
      <c r="K30" s="237"/>
      <c r="L30" s="237"/>
      <c r="M30" s="119">
        <f>+K30+'28'!M30+L30</f>
        <v>0</v>
      </c>
      <c r="N30" s="157"/>
    </row>
    <row r="31" spans="1:14" ht="13.5" customHeight="1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+'28'!J31</f>
        <v>0</v>
      </c>
      <c r="K31" s="237"/>
      <c r="L31" s="237"/>
      <c r="M31" s="119">
        <f>+K31+'28'!M31+L31</f>
        <v>0</v>
      </c>
    </row>
    <row r="32" spans="1:14" ht="13.5" customHeight="1" thickBot="1">
      <c r="A32" s="783"/>
      <c r="B32" s="167" t="s">
        <v>2</v>
      </c>
      <c r="C32" s="101">
        <f>SUM(C25:C31)</f>
        <v>14933</v>
      </c>
      <c r="D32" s="102">
        <f>SUM(D25:D31)</f>
        <v>0</v>
      </c>
      <c r="E32" s="103">
        <f>SUM(E25:E31)</f>
        <v>0</v>
      </c>
      <c r="F32" s="101">
        <f>SUM(F24:F31)</f>
        <v>28</v>
      </c>
      <c r="G32" s="171"/>
      <c r="H32" s="172"/>
      <c r="I32" s="170"/>
      <c r="J32" s="214">
        <f>+'28'!J32</f>
        <v>0</v>
      </c>
      <c r="K32" s="239"/>
      <c r="L32" s="241"/>
      <c r="M32" s="119">
        <f>+K32+'28'!M32+L32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45203</v>
      </c>
      <c r="D34" s="109">
        <f>D14+D23+D32</f>
        <v>652</v>
      </c>
      <c r="E34" s="109">
        <f>E14+E23+E32</f>
        <v>0</v>
      </c>
      <c r="F34" s="110">
        <f>F14+F23+F32</f>
        <v>51</v>
      </c>
      <c r="H34" s="178"/>
      <c r="I34" s="178"/>
      <c r="J34" s="125" t="s">
        <v>27</v>
      </c>
      <c r="K34" s="126">
        <f>SUM(K7:K32)</f>
        <v>45203</v>
      </c>
      <c r="L34" s="212">
        <f>SUM(L7:L32)</f>
        <v>0</v>
      </c>
      <c r="M34" s="122">
        <f>SUM(M7:M32)</f>
        <v>1434454</v>
      </c>
      <c r="N34" s="157"/>
    </row>
    <row r="35" spans="1:14" ht="13.5" thickBot="1">
      <c r="A35" s="179"/>
      <c r="B35" s="180"/>
      <c r="C35" s="106">
        <f>C34/($C$34+$D$34+$E$34)</f>
        <v>0.98578126703740054</v>
      </c>
      <c r="D35" s="106">
        <f>D34/($C$34+$D$34+$E$34)</f>
        <v>1.4218732962599498E-2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(12*1425)/1425*G42*2.85*1425/1000000</f>
        <v>51.854040000000005</v>
      </c>
      <c r="J37" s="127">
        <f>+I37+'28'!J37</f>
        <v>1587.3822420295494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51</v>
      </c>
      <c r="D38" s="120">
        <f>+C38+'28'!D38</f>
        <v>1082</v>
      </c>
      <c r="E38" s="145">
        <f t="shared" ref="E38:E51" si="0">D38/60</f>
        <v>18.033333333333335</v>
      </c>
      <c r="F38" s="330">
        <v>1400</v>
      </c>
      <c r="G38" s="330">
        <f>+F38-F38*0.24</f>
        <v>1064</v>
      </c>
      <c r="H38" s="187" t="s">
        <v>65</v>
      </c>
      <c r="I38" s="243">
        <f>16.088+15.896+15.258</f>
        <v>47.242000000000004</v>
      </c>
      <c r="J38" s="129">
        <f>+I38+'28'!J38</f>
        <v>1468.6859999999999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+C39+'28'!D39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54.737318690674115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+C40+'28'!D40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45.203000000000003</v>
      </c>
      <c r="J40" s="133">
        <f>+I40+'28'!J40</f>
        <v>1434.454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+C41+'28'!D41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49.463931034482755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+C42+'28'!D42</f>
        <v>0</v>
      </c>
      <c r="E42" s="145">
        <f t="shared" ca="1" si="0"/>
        <v>0</v>
      </c>
      <c r="F42" s="330">
        <f>+(F38*480+F39*480+F40*465)/1425</f>
        <v>1400</v>
      </c>
      <c r="G42" s="330">
        <f>+(G38*480+G39*480+G40*465)/1425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+C43+'28'!D43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+Report1!Z37</f>
        <v>116</v>
      </c>
      <c r="J43" s="135">
        <f>+I43+'28'!J43</f>
        <v>3523.2000000000007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+C44+'28'!D44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2.4554421912704796</v>
      </c>
      <c r="J44" s="136">
        <f>J43/J38</f>
        <v>2.3988789979614435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+C45+'28'!D45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2.5662013583169259</v>
      </c>
      <c r="J45" s="136">
        <f>J43/J40</f>
        <v>2.4561261636831859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+C46+'28'!D46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+SUMIF(Listrik!AN36,"&gt;0")</f>
        <v>45280.979561126762</v>
      </c>
      <c r="J46" s="137">
        <f>+I46+'28'!J46</f>
        <v>1335910.684967624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+C47+'28'!D47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958.48989376247312</v>
      </c>
      <c r="J47" s="137">
        <f>J46/J38</f>
        <v>909.59584619695704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+C48+'28'!D48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1001.7250970317625</v>
      </c>
      <c r="J48" s="137">
        <f>J46/J40</f>
        <v>931.30256178840455</v>
      </c>
      <c r="K48" s="132" t="s">
        <v>23</v>
      </c>
    </row>
    <row r="49" spans="1:11" ht="17.45" customHeight="1">
      <c r="A49" s="792" t="s">
        <v>19</v>
      </c>
      <c r="B49" s="776"/>
      <c r="C49" s="166">
        <f>SUMIF($G$7:$G$31,"Others",$F$7:$F$31)</f>
        <v>0</v>
      </c>
      <c r="D49" s="120">
        <f>+C49+'28'!D49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+I49+'28'!J49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+C50+'28'!D50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+C51+'28'!D51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51</v>
      </c>
      <c r="D52" s="146">
        <f ca="1">SUM(D38:D51)</f>
        <v>1200</v>
      </c>
      <c r="E52" s="147">
        <f ca="1">SUM(E38:E51)</f>
        <v>20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3.5416666666666666E-2</v>
      </c>
      <c r="D53" s="148">
        <f ca="1">D52/(24*60*G4)</f>
        <v>2.8735632183908046E-2</v>
      </c>
      <c r="E53" s="149">
        <f ca="1">E52/(G4*24)</f>
        <v>2.8735632183908046E-2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+D34+'28'!J56</f>
        <v>5452</v>
      </c>
      <c r="K56" s="201">
        <f>J56/(J40+J56/1000)/1000</f>
        <v>3.7863582761652496E-3</v>
      </c>
    </row>
    <row r="57" spans="1:11">
      <c r="A57" s="176"/>
      <c r="I57" s="199" t="s">
        <v>90</v>
      </c>
      <c r="J57" s="200">
        <f>+E34+'28'!J57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8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13" zoomScale="80" zoomScaleNormal="80" zoomScaleSheetLayoutView="80" workbookViewId="0">
      <selection activeCell="A24" sqref="A24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5.42578125" style="151" customWidth="1"/>
    <col min="14" max="16384" width="9.140625" style="151"/>
  </cols>
  <sheetData>
    <row r="1" spans="1:16" ht="15.75">
      <c r="A1" s="150"/>
    </row>
    <row r="2" spans="1:16" ht="15.75">
      <c r="A2" s="150" t="s">
        <v>224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28</v>
      </c>
      <c r="H4" s="156" t="str">
        <f>+'1'!H4</f>
        <v>.12.25</v>
      </c>
    </row>
    <row r="5" spans="1:16" ht="13.5" thickBot="1">
      <c r="C5" s="157"/>
      <c r="D5" s="157"/>
    </row>
    <row r="6" spans="1:16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337+419+389</f>
        <v>1145</v>
      </c>
    </row>
    <row r="7" spans="1:16" ht="13.5" customHeight="1" thickBot="1">
      <c r="A7" s="781" t="s">
        <v>724</v>
      </c>
      <c r="B7" s="215" t="s">
        <v>383</v>
      </c>
      <c r="C7" s="216">
        <v>16487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+'27'!J7</f>
        <v>F 15 VP OW</v>
      </c>
      <c r="K7" s="236"/>
      <c r="L7" s="240"/>
      <c r="M7" s="119">
        <f>+K7+'27'!M7+L7</f>
        <v>24540</v>
      </c>
    </row>
    <row r="8" spans="1:16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+'27'!J8</f>
        <v>T 12,5 VP OW</v>
      </c>
      <c r="K8" s="237"/>
      <c r="L8" s="237"/>
      <c r="M8" s="119">
        <f>+K8+'27'!M8+L8</f>
        <v>35627</v>
      </c>
      <c r="N8" s="176">
        <v>1400</v>
      </c>
      <c r="O8" s="176">
        <f>+N8-N8*0.24</f>
        <v>1064</v>
      </c>
      <c r="P8" s="176"/>
    </row>
    <row r="9" spans="1:16" ht="13.5" thickBot="1">
      <c r="A9" s="782"/>
      <c r="B9" s="215"/>
      <c r="C9" s="216"/>
      <c r="D9" s="217"/>
      <c r="E9" s="220"/>
      <c r="F9" s="229">
        <v>8</v>
      </c>
      <c r="G9" s="550" t="s">
        <v>11</v>
      </c>
      <c r="H9" s="551" t="s">
        <v>384</v>
      </c>
      <c r="I9" s="785"/>
      <c r="J9" s="214" t="str">
        <f>+'27'!J9</f>
        <v>T 14 VP OW</v>
      </c>
      <c r="K9" s="237"/>
      <c r="L9" s="237"/>
      <c r="M9" s="119">
        <f>+K9+'27'!M9+L9</f>
        <v>186632</v>
      </c>
    </row>
    <row r="10" spans="1:16" ht="13.5" thickBot="1">
      <c r="A10" s="782"/>
      <c r="B10" s="215"/>
      <c r="C10" s="216"/>
      <c r="D10" s="217"/>
      <c r="E10" s="219"/>
      <c r="F10" s="229"/>
      <c r="G10" s="548"/>
      <c r="H10" s="551" t="s">
        <v>740</v>
      </c>
      <c r="I10" s="785"/>
      <c r="J10" s="214" t="str">
        <f>+'27'!J10</f>
        <v>F 12 VP OW</v>
      </c>
      <c r="K10" s="237">
        <f>+C34</f>
        <v>47352</v>
      </c>
      <c r="L10" s="237"/>
      <c r="M10" s="119">
        <f>+K10+'27'!M10+L10</f>
        <v>456682</v>
      </c>
    </row>
    <row r="11" spans="1:16" ht="13.5" thickBot="1">
      <c r="A11" s="782"/>
      <c r="B11" s="215"/>
      <c r="C11" s="216"/>
      <c r="D11" s="217"/>
      <c r="E11" s="219"/>
      <c r="F11" s="476"/>
      <c r="G11" s="477"/>
      <c r="H11" s="228" t="s">
        <v>741</v>
      </c>
      <c r="I11" s="785"/>
      <c r="J11" s="214" t="str">
        <f>+'27'!J11</f>
        <v>T 18 VP OW</v>
      </c>
      <c r="K11" s="237"/>
      <c r="L11" s="237"/>
      <c r="M11" s="119">
        <f>+K11+'27'!M11+L11</f>
        <v>131165</v>
      </c>
    </row>
    <row r="12" spans="1:16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+'27'!J12</f>
        <v>F 13 VP OW</v>
      </c>
      <c r="K12" s="237"/>
      <c r="L12" s="237"/>
      <c r="M12" s="119">
        <f>+K12+'27'!M12+L12</f>
        <v>77503</v>
      </c>
    </row>
    <row r="13" spans="1:16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+'27'!J13</f>
        <v>F 11,5 VP OW</v>
      </c>
      <c r="K13" s="237"/>
      <c r="L13" s="237"/>
      <c r="M13" s="119">
        <f>+K13+'27'!M13+L13</f>
        <v>68990</v>
      </c>
    </row>
    <row r="14" spans="1:16" ht="13.5" thickBot="1">
      <c r="A14" s="783"/>
      <c r="B14" s="167" t="s">
        <v>2</v>
      </c>
      <c r="C14" s="113">
        <f>SUM(C7:C13)</f>
        <v>16487</v>
      </c>
      <c r="D14" s="113">
        <f>SUM(D7:D13)</f>
        <v>0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14" t="str">
        <f>+'27'!J14</f>
        <v>T 12 VP OW</v>
      </c>
      <c r="K14" s="237"/>
      <c r="L14" s="237"/>
      <c r="M14" s="119">
        <f>+K14+'27'!M14+L14</f>
        <v>59863</v>
      </c>
    </row>
    <row r="15" spans="1:16" ht="13.5" customHeight="1" thickBot="1">
      <c r="A15" s="787" t="s">
        <v>424</v>
      </c>
      <c r="B15" s="506"/>
      <c r="C15" s="116">
        <f>C14/($C$23+$D$23+$E$23)</f>
        <v>0.99993934983017951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511</v>
      </c>
      <c r="J15" s="214" t="str">
        <f>+'27'!J15</f>
        <v>T 17 VP OW</v>
      </c>
      <c r="K15" s="237"/>
      <c r="L15" s="237"/>
      <c r="M15" s="119">
        <f>+K15+'27'!M15+L15</f>
        <v>10757</v>
      </c>
    </row>
    <row r="16" spans="1:16" ht="13.5" thickBot="1">
      <c r="A16" s="782"/>
      <c r="B16" s="215" t="s">
        <v>383</v>
      </c>
      <c r="C16" s="507">
        <v>16488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+'27'!J16</f>
        <v>T 16 VP OW</v>
      </c>
      <c r="K16" s="227"/>
      <c r="L16" s="227"/>
      <c r="M16" s="119">
        <f>+K16+'27'!M16+L16</f>
        <v>52404</v>
      </c>
    </row>
    <row r="17" spans="1:18" ht="13.5" thickBot="1">
      <c r="A17" s="782"/>
      <c r="B17" s="215"/>
      <c r="C17" s="216"/>
      <c r="D17" s="217"/>
      <c r="E17" s="223"/>
      <c r="F17" s="229">
        <v>9</v>
      </c>
      <c r="G17" s="550" t="s">
        <v>11</v>
      </c>
      <c r="H17" s="551" t="s">
        <v>384</v>
      </c>
      <c r="I17" s="785"/>
      <c r="J17" s="214" t="str">
        <f>+'27'!J17</f>
        <v>T 15 VP OW</v>
      </c>
      <c r="K17" s="227"/>
      <c r="L17" s="227"/>
      <c r="M17" s="119">
        <f>+K17+'27'!M17+L17</f>
        <v>110524</v>
      </c>
    </row>
    <row r="18" spans="1:18" ht="13.5" thickBot="1">
      <c r="A18" s="782"/>
      <c r="B18" s="215"/>
      <c r="C18" s="216"/>
      <c r="D18" s="217"/>
      <c r="E18" s="223"/>
      <c r="F18" s="229"/>
      <c r="G18" s="548"/>
      <c r="H18" s="551" t="s">
        <v>740</v>
      </c>
      <c r="I18" s="785"/>
      <c r="J18" s="214" t="str">
        <f>+'27'!J18</f>
        <v>T 13,5 VP OW</v>
      </c>
      <c r="K18" s="237"/>
      <c r="L18" s="237"/>
      <c r="M18" s="119">
        <f>+K18+'27'!M18+L18</f>
        <v>20648</v>
      </c>
      <c r="P18" s="176"/>
    </row>
    <row r="19" spans="1:18" ht="13.5" thickBot="1">
      <c r="A19" s="782"/>
      <c r="B19" s="215"/>
      <c r="C19" s="216"/>
      <c r="D19" s="217"/>
      <c r="E19" s="223"/>
      <c r="F19" s="226"/>
      <c r="G19" s="230"/>
      <c r="H19" s="228"/>
      <c r="I19" s="785"/>
      <c r="J19" s="214" t="str">
        <f>+'27'!J19</f>
        <v>T 14,5 VP OW</v>
      </c>
      <c r="K19" s="237"/>
      <c r="L19" s="237"/>
      <c r="M19" s="119">
        <f>+K19+'27'!M19+L19</f>
        <v>41885</v>
      </c>
      <c r="Q19" s="176"/>
      <c r="R19" s="176"/>
    </row>
    <row r="20" spans="1:18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 t="str">
        <f>+'27'!J20</f>
        <v>F 16 VP OW</v>
      </c>
      <c r="K20" s="238"/>
      <c r="L20" s="238"/>
      <c r="M20" s="119">
        <f>+K20+'27'!M20+L20</f>
        <v>10982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 t="str">
        <f>+'27'!J21</f>
        <v>F 12,5 VP OW</v>
      </c>
      <c r="K21" s="237"/>
      <c r="L21" s="237"/>
      <c r="M21" s="119">
        <f>+K21+'27'!M21+L21</f>
        <v>101049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+'27'!J22</f>
        <v>0</v>
      </c>
      <c r="K22" s="237"/>
      <c r="L22" s="237"/>
      <c r="M22" s="119">
        <f>+K22+'27'!M22+L22</f>
        <v>0</v>
      </c>
    </row>
    <row r="23" spans="1:18" ht="13.5" thickBot="1">
      <c r="A23" s="783"/>
      <c r="B23" s="167" t="s">
        <v>2</v>
      </c>
      <c r="C23" s="101">
        <f>SUM(C16:C22)</f>
        <v>16488</v>
      </c>
      <c r="D23" s="113">
        <f>SUM(D16:D22)</f>
        <v>0</v>
      </c>
      <c r="E23" s="114">
        <f>SUM(E18:E22)</f>
        <v>0</v>
      </c>
      <c r="F23" s="104">
        <f>SUM(F15:F22)</f>
        <v>9</v>
      </c>
      <c r="G23" s="161"/>
      <c r="H23" s="168"/>
      <c r="I23" s="170"/>
      <c r="J23" s="214">
        <f>+'27'!J23</f>
        <v>0</v>
      </c>
      <c r="K23" s="237"/>
      <c r="L23" s="237"/>
      <c r="M23" s="119">
        <f>+K23+'27'!M23+L23</f>
        <v>0</v>
      </c>
    </row>
    <row r="24" spans="1:18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5</v>
      </c>
      <c r="G24" s="548" t="s">
        <v>11</v>
      </c>
      <c r="H24" s="549" t="s">
        <v>448</v>
      </c>
      <c r="I24" s="784" t="s">
        <v>511</v>
      </c>
      <c r="J24" s="214">
        <f>+'27'!J24</f>
        <v>0</v>
      </c>
      <c r="K24" s="237"/>
      <c r="L24" s="237"/>
      <c r="M24" s="119">
        <f>+K24+'27'!M24+L24</f>
        <v>0</v>
      </c>
    </row>
    <row r="25" spans="1:18" ht="13.5" customHeight="1" thickBot="1">
      <c r="A25" s="782"/>
      <c r="B25" s="215" t="s">
        <v>383</v>
      </c>
      <c r="C25" s="224">
        <v>14377</v>
      </c>
      <c r="D25" s="217"/>
      <c r="E25" s="223"/>
      <c r="F25" s="229">
        <v>1</v>
      </c>
      <c r="G25" s="550" t="s">
        <v>11</v>
      </c>
      <c r="H25" s="549" t="s">
        <v>446</v>
      </c>
      <c r="I25" s="785"/>
      <c r="J25" s="214">
        <f>+'27'!J25</f>
        <v>0</v>
      </c>
      <c r="K25" s="237"/>
      <c r="L25" s="237"/>
      <c r="M25" s="119">
        <f>+K25+'27'!M25+L25</f>
        <v>0</v>
      </c>
    </row>
    <row r="26" spans="1:18" ht="13.5" customHeight="1" thickBot="1">
      <c r="A26" s="782"/>
      <c r="B26" s="215"/>
      <c r="C26" s="224"/>
      <c r="D26" s="217"/>
      <c r="E26" s="225"/>
      <c r="F26" s="229">
        <v>9</v>
      </c>
      <c r="G26" s="550" t="s">
        <v>11</v>
      </c>
      <c r="H26" s="551" t="s">
        <v>384</v>
      </c>
      <c r="I26" s="785"/>
      <c r="J26" s="214">
        <f>+'27'!J26</f>
        <v>0</v>
      </c>
      <c r="K26" s="237"/>
      <c r="L26" s="237"/>
      <c r="M26" s="119">
        <f>+K26+'27'!M26+L26</f>
        <v>0</v>
      </c>
      <c r="N26" s="176"/>
      <c r="O26" s="176"/>
      <c r="P26" s="176"/>
    </row>
    <row r="27" spans="1:18" ht="13.5" customHeight="1" thickBot="1">
      <c r="A27" s="782"/>
      <c r="B27" s="215"/>
      <c r="C27" s="216"/>
      <c r="D27" s="217"/>
      <c r="E27" s="223"/>
      <c r="F27" s="229"/>
      <c r="G27" s="548"/>
      <c r="H27" s="551" t="s">
        <v>740</v>
      </c>
      <c r="I27" s="785"/>
      <c r="J27" s="214">
        <f>+'27'!J27</f>
        <v>0</v>
      </c>
      <c r="K27" s="237"/>
      <c r="L27" s="237"/>
      <c r="M27" s="119">
        <f>+K27+'27'!M27+L27</f>
        <v>0</v>
      </c>
    </row>
    <row r="28" spans="1:18" ht="13.5" thickBot="1">
      <c r="A28" s="782"/>
      <c r="B28" s="215"/>
      <c r="C28" s="216"/>
      <c r="D28" s="217"/>
      <c r="E28" s="223"/>
      <c r="F28" s="226"/>
      <c r="G28" s="230"/>
      <c r="H28" s="228" t="s">
        <v>742</v>
      </c>
      <c r="I28" s="785"/>
      <c r="J28" s="214">
        <f>+'27'!J28</f>
        <v>0</v>
      </c>
      <c r="K28" s="237"/>
      <c r="L28" s="237"/>
      <c r="M28" s="119">
        <f>+K28+'27'!M28+L28</f>
        <v>0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 t="s">
        <v>743</v>
      </c>
      <c r="I29" s="785"/>
      <c r="J29" s="214">
        <f>+'27'!J29</f>
        <v>0</v>
      </c>
      <c r="K29" s="237"/>
      <c r="L29" s="237"/>
      <c r="M29" s="119">
        <f>+K29+'27'!M29+L29</f>
        <v>0</v>
      </c>
    </row>
    <row r="30" spans="1:18" ht="13.5" customHeight="1" thickBot="1">
      <c r="A30" s="782"/>
      <c r="B30" s="215"/>
      <c r="C30" s="224"/>
      <c r="D30" s="217"/>
      <c r="E30" s="223"/>
      <c r="F30" s="234"/>
      <c r="G30" s="230"/>
      <c r="H30" s="231" t="s">
        <v>744</v>
      </c>
      <c r="I30" s="785"/>
      <c r="J30" s="214">
        <f>+'27'!J30</f>
        <v>0</v>
      </c>
      <c r="K30" s="237"/>
      <c r="L30" s="237"/>
      <c r="M30" s="119">
        <f>+K30+'27'!M30+L30</f>
        <v>0</v>
      </c>
      <c r="N30" s="157"/>
    </row>
    <row r="31" spans="1:18" ht="13.5" customHeight="1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+'27'!J31</f>
        <v>0</v>
      </c>
      <c r="K31" s="237"/>
      <c r="L31" s="237"/>
      <c r="M31" s="119">
        <f>+K31+'27'!M31+L31</f>
        <v>0</v>
      </c>
    </row>
    <row r="32" spans="1:18" ht="13.5" customHeight="1" thickBot="1">
      <c r="A32" s="783"/>
      <c r="B32" s="167" t="s">
        <v>2</v>
      </c>
      <c r="C32" s="101">
        <f>SUM(C25:C31)</f>
        <v>14377</v>
      </c>
      <c r="D32" s="102">
        <f>SUM(D25:D31)</f>
        <v>0</v>
      </c>
      <c r="E32" s="103">
        <f>SUM(E25:E31)</f>
        <v>0</v>
      </c>
      <c r="F32" s="101">
        <f>SUM(F24:F31)</f>
        <v>15</v>
      </c>
      <c r="G32" s="171"/>
      <c r="H32" s="172"/>
      <c r="I32" s="170"/>
      <c r="J32" s="214">
        <f>+'27'!J32</f>
        <v>0</v>
      </c>
      <c r="K32" s="239"/>
      <c r="L32" s="241"/>
      <c r="M32" s="119">
        <f>+K32+'27'!M32+L32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47352</v>
      </c>
      <c r="D34" s="109">
        <f>D14+D23+D32</f>
        <v>0</v>
      </c>
      <c r="E34" s="109">
        <f>E14+E23+E32</f>
        <v>0</v>
      </c>
      <c r="F34" s="110">
        <f>F14+F23+F32</f>
        <v>32</v>
      </c>
      <c r="H34" s="178"/>
      <c r="I34" s="178"/>
      <c r="J34" s="125" t="s">
        <v>27</v>
      </c>
      <c r="K34" s="126">
        <f>SUM(K7:K32)</f>
        <v>47352</v>
      </c>
      <c r="L34" s="212">
        <f>SUM(L7:L32)</f>
        <v>0</v>
      </c>
      <c r="M34" s="122">
        <f>SUM(M7:M32)</f>
        <v>1389251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+I37+'27'!J37</f>
        <v>1535.5282020295494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32</v>
      </c>
      <c r="D38" s="120">
        <f>+C38+'27'!D38</f>
        <v>1031</v>
      </c>
      <c r="E38" s="145">
        <f t="shared" ref="E38:E51" si="0">D38/60</f>
        <v>17.183333333333334</v>
      </c>
      <c r="F38" s="330">
        <v>1400</v>
      </c>
      <c r="G38" s="330">
        <f>+F38-F38*0.24</f>
        <v>1064</v>
      </c>
      <c r="H38" s="187" t="s">
        <v>65</v>
      </c>
      <c r="I38" s="561">
        <f>16.699+17.27+14.492</f>
        <v>48.460999999999999</v>
      </c>
      <c r="J38" s="129">
        <f>+I38+'27'!J38</f>
        <v>1421.444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+C39+'27'!D39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54.840292929626763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+C40+'27'!D40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47.351999999999997</v>
      </c>
      <c r="J40" s="133">
        <f>+I40+'27'!J40</f>
        <v>1389.251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+C41+'27'!D41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49.616107142857139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+C42+'27'!D42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+C43+'27'!D43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+Report1!Z36</f>
        <v>118.2</v>
      </c>
      <c r="J43" s="135">
        <f>+I43+'27'!J43</f>
        <v>3407.2000000000007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+C44+'27'!D44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2.4390747198778402</v>
      </c>
      <c r="J44" s="136">
        <f>J43/J38</f>
        <v>2.3969991079493815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+C45+'27'!D45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2.4961986822098328</v>
      </c>
      <c r="J45" s="136">
        <f>J43/J40</f>
        <v>2.4525445725790376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+C46+'27'!D46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+SUMIF(Listrik!AN35,"&gt;0")</f>
        <v>53616.46209722833</v>
      </c>
      <c r="J46" s="137">
        <f>+I46+'27'!J46</f>
        <v>1290629.7054064972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+C47+'27'!D47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1106.3837332541286</v>
      </c>
      <c r="J47" s="137">
        <f>J46/J38</f>
        <v>907.97084190900046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+C48+'27'!D48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1132.2956178667919</v>
      </c>
      <c r="J48" s="137">
        <f>J46/J40</f>
        <v>929.01117609884557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+C49+'27'!D49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+I49+'27'!J49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+C50+'27'!D50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+C51+'27'!D51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32</v>
      </c>
      <c r="D52" s="146">
        <f ca="1">SUM(D38:D51)</f>
        <v>1149</v>
      </c>
      <c r="E52" s="147">
        <f ca="1">SUM(E38:E51)</f>
        <v>19.149999999999999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2.2222222222222223E-2</v>
      </c>
      <c r="D53" s="148">
        <f ca="1">D52/(24*60*G4)</f>
        <v>2.8497023809523809E-2</v>
      </c>
      <c r="E53" s="149">
        <f ca="1">E52/(G4*24)</f>
        <v>2.8497023809523809E-2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+D34+'27'!J56</f>
        <v>4800</v>
      </c>
      <c r="K56" s="201">
        <f>J56/(J40+J56/1000)/1000</f>
        <v>3.4432025801064666E-3</v>
      </c>
    </row>
    <row r="57" spans="1:11">
      <c r="A57" s="176"/>
      <c r="I57" s="199" t="s">
        <v>90</v>
      </c>
      <c r="J57" s="200">
        <f>+E34+'27'!J57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05" right="0.05" top="0.19513888888888889" bottom="0.39027777777777778" header="0" footer="0"/>
  <pageSetup paperSize="9" scale="61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1"/>
  <sheetViews>
    <sheetView view="pageBreakPreview" topLeftCell="A4" zoomScale="80" zoomScaleNormal="80" zoomScaleSheetLayoutView="80" workbookViewId="0">
      <selection activeCell="A24" sqref="A24:A32"/>
    </sheetView>
  </sheetViews>
  <sheetFormatPr defaultColWidth="9.140625" defaultRowHeight="12.75"/>
  <cols>
    <col min="1" max="1" width="8" style="151" customWidth="1"/>
    <col min="2" max="2" width="7" style="15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28515625" style="151" customWidth="1"/>
    <col min="14" max="16384" width="9.140625" style="151"/>
  </cols>
  <sheetData>
    <row r="1" spans="1:35" ht="15.75">
      <c r="A1" s="150"/>
      <c r="W1" s="530"/>
      <c r="Y1" s="525"/>
      <c r="AD1" s="521"/>
      <c r="AF1" s="525"/>
    </row>
    <row r="2" spans="1:35" ht="15.75">
      <c r="A2" s="150" t="s">
        <v>224</v>
      </c>
      <c r="Y2" s="525"/>
      <c r="AD2" s="523"/>
      <c r="AF2" s="525"/>
    </row>
    <row r="3" spans="1:35" ht="15">
      <c r="A3" s="152"/>
      <c r="Y3" s="525"/>
      <c r="AG3" s="176"/>
    </row>
    <row r="4" spans="1:35" ht="20.25">
      <c r="A4" s="153" t="s">
        <v>3</v>
      </c>
      <c r="B4" s="154"/>
      <c r="F4" s="155" t="s">
        <v>28</v>
      </c>
      <c r="G4" s="156">
        <v>27</v>
      </c>
      <c r="H4" s="156" t="str">
        <f>+'1'!H4</f>
        <v>.12.25</v>
      </c>
      <c r="Y4" s="525"/>
      <c r="AH4" s="176"/>
      <c r="AI4" s="176"/>
    </row>
    <row r="5" spans="1:35" ht="13.5" thickBot="1">
      <c r="C5" s="157"/>
      <c r="D5" s="157"/>
      <c r="W5" s="530"/>
      <c r="Y5" s="525"/>
    </row>
    <row r="6" spans="1:35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433+388+381</f>
        <v>1202</v>
      </c>
      <c r="Z6" s="531"/>
    </row>
    <row r="7" spans="1:35" ht="13.5" customHeight="1" thickBot="1">
      <c r="A7" s="781" t="s">
        <v>724</v>
      </c>
      <c r="B7" s="215" t="s">
        <v>726</v>
      </c>
      <c r="C7" s="216">
        <v>17339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+'26'!J7</f>
        <v>F 15 VP OW</v>
      </c>
      <c r="K7" s="236"/>
      <c r="L7" s="240"/>
      <c r="M7" s="119">
        <f>+K7+'26'!M7+L7</f>
        <v>24540</v>
      </c>
      <c r="AA7" s="531"/>
      <c r="AB7" s="531"/>
    </row>
    <row r="8" spans="1:35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+'26'!J8</f>
        <v>T 12,5 VP OW</v>
      </c>
      <c r="K8" s="237"/>
      <c r="L8" s="237"/>
      <c r="M8" s="119">
        <f>+K8+'26'!M8+L8</f>
        <v>35627</v>
      </c>
      <c r="N8" s="530">
        <v>1400</v>
      </c>
      <c r="O8" s="151">
        <f>+N8-N8*0.24</f>
        <v>1064</v>
      </c>
      <c r="P8" s="525">
        <f>480+300</f>
        <v>780</v>
      </c>
    </row>
    <row r="9" spans="1:35" ht="13.5" thickBot="1">
      <c r="A9" s="782"/>
      <c r="B9" s="215"/>
      <c r="C9" s="216"/>
      <c r="D9" s="217"/>
      <c r="E9" s="220"/>
      <c r="F9" s="229">
        <v>8</v>
      </c>
      <c r="G9" s="550" t="s">
        <v>11</v>
      </c>
      <c r="H9" s="551" t="s">
        <v>416</v>
      </c>
      <c r="I9" s="785"/>
      <c r="J9" s="214" t="str">
        <f>+'26'!J9</f>
        <v>T 14 VP OW</v>
      </c>
      <c r="K9" s="237"/>
      <c r="L9" s="237"/>
      <c r="M9" s="119">
        <f>+K9+'26'!M9+L9</f>
        <v>186632</v>
      </c>
      <c r="N9" s="530">
        <v>1400</v>
      </c>
      <c r="O9" s="151">
        <f>+N9-N9*0.24</f>
        <v>1064</v>
      </c>
      <c r="P9" s="525">
        <f>480+180</f>
        <v>660</v>
      </c>
    </row>
    <row r="10" spans="1:35" ht="51.75" thickBot="1">
      <c r="A10" s="782"/>
      <c r="B10" s="215"/>
      <c r="C10" s="216"/>
      <c r="D10" s="217"/>
      <c r="E10" s="219"/>
      <c r="F10" s="229"/>
      <c r="G10" s="548"/>
      <c r="H10" s="551" t="s">
        <v>732</v>
      </c>
      <c r="I10" s="785"/>
      <c r="J10" s="214" t="str">
        <f>+'26'!J10</f>
        <v>F 12 VP OW</v>
      </c>
      <c r="K10" s="237">
        <f>+C26</f>
        <v>16934</v>
      </c>
      <c r="L10" s="237"/>
      <c r="M10" s="119">
        <f>+K10+'26'!M10+L10</f>
        <v>409330</v>
      </c>
      <c r="P10" s="525">
        <f>SUM(P8:P9)</f>
        <v>1440</v>
      </c>
    </row>
    <row r="11" spans="1:35" ht="13.5" thickBot="1">
      <c r="A11" s="782"/>
      <c r="B11" s="215"/>
      <c r="C11" s="216"/>
      <c r="D11" s="217"/>
      <c r="E11" s="219"/>
      <c r="F11" s="476"/>
      <c r="G11" s="477"/>
      <c r="H11" s="228" t="s">
        <v>734</v>
      </c>
      <c r="I11" s="785"/>
      <c r="J11" s="214" t="str">
        <f>+'26'!J11</f>
        <v>T 18 VP OW</v>
      </c>
      <c r="K11" s="237"/>
      <c r="L11" s="237"/>
      <c r="M11" s="119">
        <f>+K11+'26'!M11+L11</f>
        <v>131165</v>
      </c>
      <c r="P11" s="525"/>
    </row>
    <row r="12" spans="1:35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+'26'!J12</f>
        <v>F 13 VP OW</v>
      </c>
      <c r="K12" s="237"/>
      <c r="L12" s="237"/>
      <c r="M12" s="119">
        <f>+K12+'26'!M12+L12</f>
        <v>77503</v>
      </c>
      <c r="Q12" s="531"/>
    </row>
    <row r="13" spans="1:35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+'26'!J13</f>
        <v>F 11,5 VP OW</v>
      </c>
      <c r="K13" s="237"/>
      <c r="L13" s="237"/>
      <c r="M13" s="119">
        <f>+K13+'26'!M13+L13</f>
        <v>68990</v>
      </c>
      <c r="R13" s="531"/>
      <c r="S13" s="531"/>
    </row>
    <row r="14" spans="1:35" ht="13.5" thickBot="1">
      <c r="A14" s="783"/>
      <c r="B14" s="167" t="s">
        <v>2</v>
      </c>
      <c r="C14" s="113">
        <f>SUM(C7:C13)</f>
        <v>17339</v>
      </c>
      <c r="D14" s="113">
        <f>SUM(D7:D13)</f>
        <v>0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14" t="str">
        <f>+'26'!J14</f>
        <v>T 12 VP OW</v>
      </c>
      <c r="K14" s="237"/>
      <c r="L14" s="237"/>
      <c r="M14" s="119">
        <f>+K14+'26'!M14+L14</f>
        <v>59863</v>
      </c>
    </row>
    <row r="15" spans="1:35" ht="13.5" customHeight="1" thickBot="1">
      <c r="A15" s="787" t="s">
        <v>424</v>
      </c>
      <c r="B15" s="506"/>
      <c r="C15" s="116">
        <f>C14/($C$23+$D$23+$E$23)</f>
        <v>1.2324259009169096</v>
      </c>
      <c r="D15" s="116">
        <f>D14/($C$23+$D$23+$E$23)</f>
        <v>0</v>
      </c>
      <c r="E15" s="117">
        <f>E14/($C$23+$D$23+$E$23)</f>
        <v>0</v>
      </c>
      <c r="F15" s="229">
        <v>5</v>
      </c>
      <c r="G15" s="548" t="s">
        <v>11</v>
      </c>
      <c r="H15" s="549" t="s">
        <v>448</v>
      </c>
      <c r="I15" s="784" t="s">
        <v>511</v>
      </c>
      <c r="J15" s="214" t="str">
        <f>+'26'!J15</f>
        <v>T 17 VP OW</v>
      </c>
      <c r="K15" s="237"/>
      <c r="L15" s="237"/>
      <c r="M15" s="119">
        <f>+K15+'26'!M15+L15</f>
        <v>10757</v>
      </c>
    </row>
    <row r="16" spans="1:35" ht="13.5" thickBot="1">
      <c r="A16" s="782"/>
      <c r="B16" s="215" t="s">
        <v>726</v>
      </c>
      <c r="C16" s="507">
        <v>14069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+'26'!J16</f>
        <v>T 16 VP OW</v>
      </c>
      <c r="K16" s="227"/>
      <c r="L16" s="227"/>
      <c r="M16" s="119">
        <f>+K16+'26'!M16+L16</f>
        <v>52404</v>
      </c>
      <c r="N16" s="530"/>
      <c r="P16" s="525"/>
    </row>
    <row r="17" spans="1:19" ht="13.5" thickBot="1">
      <c r="A17" s="782"/>
      <c r="B17" s="215"/>
      <c r="C17" s="216"/>
      <c r="D17" s="217"/>
      <c r="E17" s="223"/>
      <c r="F17" s="229">
        <v>9</v>
      </c>
      <c r="G17" s="550" t="s">
        <v>11</v>
      </c>
      <c r="H17" s="551" t="s">
        <v>416</v>
      </c>
      <c r="I17" s="785"/>
      <c r="J17" s="214" t="str">
        <f>+'26'!J17</f>
        <v>T 15 VP OW</v>
      </c>
      <c r="K17" s="227"/>
      <c r="L17" s="227"/>
      <c r="M17" s="119">
        <f>+K17+'26'!M17+L17</f>
        <v>110524</v>
      </c>
      <c r="N17" s="521"/>
      <c r="P17" s="525"/>
    </row>
    <row r="18" spans="1:19" ht="51.75" thickBot="1">
      <c r="A18" s="782"/>
      <c r="B18" s="215"/>
      <c r="C18" s="216"/>
      <c r="D18" s="217"/>
      <c r="E18" s="223"/>
      <c r="F18" s="229"/>
      <c r="G18" s="548"/>
      <c r="H18" s="551" t="s">
        <v>732</v>
      </c>
      <c r="I18" s="785"/>
      <c r="J18" s="214" t="str">
        <f>+'26'!J18</f>
        <v>T 13,5 VP OW</v>
      </c>
      <c r="K18" s="237"/>
      <c r="L18" s="237"/>
      <c r="M18" s="119">
        <f>+K18+'26'!M18+L18</f>
        <v>20648</v>
      </c>
      <c r="Q18" s="176"/>
    </row>
    <row r="19" spans="1:19" ht="26.25" thickBot="1">
      <c r="A19" s="782"/>
      <c r="B19" s="215"/>
      <c r="C19" s="216"/>
      <c r="D19" s="217"/>
      <c r="E19" s="223"/>
      <c r="F19" s="226"/>
      <c r="G19" s="230"/>
      <c r="H19" s="228" t="s">
        <v>735</v>
      </c>
      <c r="I19" s="785"/>
      <c r="J19" s="214" t="str">
        <f>+'26'!J19</f>
        <v>T 14,5 VP OW</v>
      </c>
      <c r="K19" s="237"/>
      <c r="L19" s="237"/>
      <c r="M19" s="119">
        <f>+K19+'26'!M19+L19</f>
        <v>41885</v>
      </c>
      <c r="R19" s="176"/>
      <c r="S19" s="176"/>
    </row>
    <row r="20" spans="1:19" ht="13.5" thickBot="1">
      <c r="A20" s="782"/>
      <c r="B20" s="215"/>
      <c r="C20" s="216"/>
      <c r="D20" s="217"/>
      <c r="E20" s="223"/>
      <c r="F20" s="226"/>
      <c r="G20" s="230"/>
      <c r="H20" s="231" t="s">
        <v>745</v>
      </c>
      <c r="I20" s="785"/>
      <c r="J20" s="214" t="str">
        <f>+'26'!J20</f>
        <v>F 16 VP OW</v>
      </c>
      <c r="K20" s="238"/>
      <c r="L20" s="238"/>
      <c r="M20" s="119">
        <f>+K20+'26'!M20+L20</f>
        <v>10982</v>
      </c>
    </row>
    <row r="21" spans="1:19" ht="13.5" thickBot="1">
      <c r="A21" s="782"/>
      <c r="B21" s="215"/>
      <c r="C21" s="216"/>
      <c r="D21" s="217"/>
      <c r="E21" s="223"/>
      <c r="F21" s="229"/>
      <c r="G21" s="230"/>
      <c r="H21" s="231" t="s">
        <v>736</v>
      </c>
      <c r="I21" s="785"/>
      <c r="J21" s="214" t="str">
        <f>+'26'!J21</f>
        <v>F 12,5 VP OW</v>
      </c>
      <c r="K21" s="237">
        <f>+C7+C16+C25</f>
        <v>33106</v>
      </c>
      <c r="L21" s="237"/>
      <c r="M21" s="119">
        <f>+K21+'26'!M21+L21</f>
        <v>101049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 t="s">
        <v>737</v>
      </c>
      <c r="I22" s="786"/>
      <c r="J22" s="214">
        <f>+'26'!J22</f>
        <v>0</v>
      </c>
      <c r="K22" s="237"/>
      <c r="L22" s="237"/>
      <c r="M22" s="119">
        <f>+K22+'26'!M22+L22</f>
        <v>0</v>
      </c>
    </row>
    <row r="23" spans="1:19" ht="13.5" thickBot="1">
      <c r="A23" s="783"/>
      <c r="B23" s="167" t="s">
        <v>2</v>
      </c>
      <c r="C23" s="101">
        <f>SUM(C16:C22)</f>
        <v>14069</v>
      </c>
      <c r="D23" s="113">
        <f>SUM(D16:D22)</f>
        <v>0</v>
      </c>
      <c r="E23" s="114">
        <f>SUM(E18:E22)</f>
        <v>0</v>
      </c>
      <c r="F23" s="104">
        <f>SUM(F15:F22)</f>
        <v>14</v>
      </c>
      <c r="G23" s="161"/>
      <c r="H23" s="168"/>
      <c r="I23" s="170"/>
      <c r="J23" s="214">
        <f>+'26'!J23</f>
        <v>0</v>
      </c>
      <c r="K23" s="237"/>
      <c r="L23" s="237"/>
      <c r="M23" s="119">
        <f>+K23+'26'!M23+L23</f>
        <v>0</v>
      </c>
    </row>
    <row r="24" spans="1:19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5</v>
      </c>
      <c r="G24" s="548" t="s">
        <v>11</v>
      </c>
      <c r="H24" s="549" t="s">
        <v>448</v>
      </c>
      <c r="I24" s="784" t="s">
        <v>511</v>
      </c>
      <c r="J24" s="214">
        <f>+'26'!J24</f>
        <v>0</v>
      </c>
      <c r="K24" s="237"/>
      <c r="L24" s="237"/>
      <c r="M24" s="119">
        <f>+K24+'26'!M24+L24</f>
        <v>0</v>
      </c>
    </row>
    <row r="25" spans="1:19" ht="13.5" thickBot="1">
      <c r="A25" s="782"/>
      <c r="B25" s="215" t="s">
        <v>726</v>
      </c>
      <c r="C25" s="224">
        <v>1698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+'26'!J25</f>
        <v>0</v>
      </c>
      <c r="K25" s="237"/>
      <c r="L25" s="237"/>
      <c r="M25" s="119">
        <f>+K25+'26'!M25+L25</f>
        <v>0</v>
      </c>
      <c r="N25" s="521"/>
      <c r="O25" s="176"/>
      <c r="P25" s="526"/>
      <c r="Q25" s="176"/>
    </row>
    <row r="26" spans="1:19" ht="13.5" thickBot="1">
      <c r="A26" s="782"/>
      <c r="B26" s="215" t="s">
        <v>383</v>
      </c>
      <c r="C26" s="224">
        <v>16934</v>
      </c>
      <c r="D26" s="217"/>
      <c r="E26" s="225"/>
      <c r="F26" s="229">
        <v>7</v>
      </c>
      <c r="G26" s="550" t="s">
        <v>11</v>
      </c>
      <c r="H26" s="551" t="s">
        <v>416</v>
      </c>
      <c r="I26" s="785"/>
      <c r="J26" s="214">
        <f>+'26'!J26</f>
        <v>0</v>
      </c>
      <c r="K26" s="237"/>
      <c r="L26" s="237"/>
      <c r="M26" s="119">
        <f>+K26+'26'!M26+L26</f>
        <v>0</v>
      </c>
    </row>
    <row r="27" spans="1:19" ht="13.5" thickBot="1">
      <c r="A27" s="782"/>
      <c r="B27" s="215"/>
      <c r="C27" s="216"/>
      <c r="D27" s="217"/>
      <c r="E27" s="223"/>
      <c r="F27" s="229"/>
      <c r="G27" s="548"/>
      <c r="H27" s="551" t="s">
        <v>740</v>
      </c>
      <c r="I27" s="785"/>
      <c r="J27" s="214">
        <f>+'26'!J27</f>
        <v>0</v>
      </c>
      <c r="K27" s="237"/>
      <c r="L27" s="237"/>
      <c r="M27" s="119">
        <f>+K27+'26'!M27+L27</f>
        <v>0</v>
      </c>
    </row>
    <row r="28" spans="1:19" ht="13.5" thickBot="1">
      <c r="A28" s="782"/>
      <c r="B28" s="215"/>
      <c r="C28" s="216"/>
      <c r="D28" s="217"/>
      <c r="E28" s="223"/>
      <c r="F28" s="226"/>
      <c r="G28" s="230"/>
      <c r="H28" s="228" t="s">
        <v>738</v>
      </c>
      <c r="I28" s="785"/>
      <c r="J28" s="214">
        <f>+'26'!J28</f>
        <v>0</v>
      </c>
      <c r="K28" s="237"/>
      <c r="L28" s="237"/>
      <c r="M28" s="119">
        <f>+K28+'26'!M28+L28</f>
        <v>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 t="s">
        <v>739</v>
      </c>
      <c r="I29" s="785"/>
      <c r="J29" s="214">
        <f>+'26'!J29</f>
        <v>0</v>
      </c>
      <c r="K29" s="237"/>
      <c r="L29" s="237"/>
      <c r="M29" s="119">
        <f>+K29+'26'!M29+L29</f>
        <v>0</v>
      </c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+'26'!J30</f>
        <v>0</v>
      </c>
      <c r="K30" s="237"/>
      <c r="L30" s="237"/>
      <c r="M30" s="119">
        <f>+K30+'26'!M30+L30</f>
        <v>0</v>
      </c>
      <c r="N30" s="157"/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+'26'!J31</f>
        <v>0</v>
      </c>
      <c r="K31" s="237"/>
      <c r="L31" s="237"/>
      <c r="M31" s="119">
        <f>+K31+'26'!M31+L31</f>
        <v>0</v>
      </c>
    </row>
    <row r="32" spans="1:19" ht="13.5" thickBot="1">
      <c r="A32" s="783"/>
      <c r="B32" s="167" t="s">
        <v>2</v>
      </c>
      <c r="C32" s="101">
        <f>SUM(C25:C31)</f>
        <v>18632</v>
      </c>
      <c r="D32" s="102">
        <f>SUM(D25:D31)</f>
        <v>0</v>
      </c>
      <c r="E32" s="103">
        <f>SUM(E25:E31)</f>
        <v>0</v>
      </c>
      <c r="F32" s="101">
        <f>SUM(F24:F31)</f>
        <v>12</v>
      </c>
      <c r="G32" s="171"/>
      <c r="H32" s="172"/>
      <c r="I32" s="170"/>
      <c r="J32" s="214">
        <f>+'26'!J32</f>
        <v>0</v>
      </c>
      <c r="K32" s="239"/>
      <c r="L32" s="241"/>
      <c r="M32" s="119">
        <f>+K32+'26'!M32+L32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50040</v>
      </c>
      <c r="D34" s="109">
        <f>D14+D23+D32</f>
        <v>0</v>
      </c>
      <c r="E34" s="109">
        <f>E14+E23+E32</f>
        <v>0</v>
      </c>
      <c r="F34" s="110">
        <f>F14+F23+F32</f>
        <v>34</v>
      </c>
      <c r="H34" s="178"/>
      <c r="I34" s="178"/>
      <c r="J34" s="125" t="s">
        <v>27</v>
      </c>
      <c r="K34" s="126">
        <f>SUM(K7:K32)</f>
        <v>50040</v>
      </c>
      <c r="L34" s="212">
        <f>SUM(L7:L32)</f>
        <v>0</v>
      </c>
      <c r="M34" s="122">
        <f>SUM(M7:M32)</f>
        <v>1341899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5"/>
      <c r="G37" s="332"/>
      <c r="H37" s="186" t="s">
        <v>63</v>
      </c>
      <c r="I37" s="242">
        <f>(12.5*780+12*660)/1440*G42*2.85*1440/1000000</f>
        <v>53.582508000000004</v>
      </c>
      <c r="J37" s="127">
        <f>+I37+'26'!J37</f>
        <v>1483.1283300295495</v>
      </c>
      <c r="K37" s="128" t="s">
        <v>64</v>
      </c>
      <c r="N37" s="151">
        <f>16.695+16.033-2.016+2.117</f>
        <v>32.829000000000001</v>
      </c>
    </row>
    <row r="38" spans="1:14" ht="17.45" customHeight="1">
      <c r="A38" s="779" t="s">
        <v>11</v>
      </c>
      <c r="B38" s="780"/>
      <c r="C38" s="166">
        <f>SUMIF($G$7:$G$31,"Process",$F$7:$F$31)</f>
        <v>34</v>
      </c>
      <c r="D38" s="120">
        <f>+C38+'26'!D38</f>
        <v>999</v>
      </c>
      <c r="E38" s="145">
        <f t="shared" ref="E38:E51" si="0">D38/60</f>
        <v>16.649999999999999</v>
      </c>
      <c r="F38" s="330">
        <v>1400</v>
      </c>
      <c r="G38" s="330">
        <f>+F38-F38*0.24</f>
        <v>1064</v>
      </c>
      <c r="H38" s="187" t="s">
        <v>65</v>
      </c>
      <c r="I38" s="243">
        <f>16.695+16.033+15.254</f>
        <v>47.981999999999999</v>
      </c>
      <c r="J38" s="129">
        <f>+I38+'26'!J38</f>
        <v>1372.9829999999999</v>
      </c>
      <c r="K38" s="130" t="s">
        <v>64</v>
      </c>
      <c r="N38" s="562">
        <f>+I38-N37</f>
        <v>15.152999999999999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+C39+'26'!D39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54.930678889983312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+C40+'26'!D40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50.04</v>
      </c>
      <c r="J40" s="133">
        <f>+I40+'26'!J40</f>
        <v>1341.8989999999999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+C41+'26'!D41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49.699962962962957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+C42+'26'!D42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+C43+'26'!D43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+Report1!Z35</f>
        <v>117.3</v>
      </c>
      <c r="J43" s="135">
        <f>+I43+'26'!J43</f>
        <v>3289.0000000000009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+C44+'26'!D44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2.4446667500312618</v>
      </c>
      <c r="J44" s="136">
        <f>J43/J38</f>
        <v>2.3955140012658576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+C45+'26'!D45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2.3441247002398082</v>
      </c>
      <c r="J45" s="136">
        <f>J43/J40</f>
        <v>2.4510041366749666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+C46+'26'!D46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+SUMIF(Listrik!AN34,"&gt;0")</f>
        <v>49423.229498719993</v>
      </c>
      <c r="J46" s="137">
        <f>+I46+'26'!J46</f>
        <v>1237013.243309269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+C47+'26'!D47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1030.0368783860613</v>
      </c>
      <c r="J47" s="137">
        <f>J46/J38</f>
        <v>900.96763274510249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+C48+'26'!D48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987.67445041406859</v>
      </c>
      <c r="J48" s="137">
        <f>J46/J40</f>
        <v>921.83781589319995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+C49+'26'!D49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+I49+'26'!J49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+C50+'26'!D50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+C51+'26'!D51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34</v>
      </c>
      <c r="D52" s="146">
        <f ca="1">SUM(D38:D51)</f>
        <v>1117</v>
      </c>
      <c r="E52" s="147">
        <f ca="1">SUM(E38:E51)</f>
        <v>18.616666666666664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2.361111111111111E-2</v>
      </c>
      <c r="D53" s="148">
        <f ca="1">D52/(24*60*G4)</f>
        <v>2.8729423868312755E-2</v>
      </c>
      <c r="E53" s="149">
        <f ca="1">E52/(G4*24)</f>
        <v>2.8729423868312752E-2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+D34+'26'!J56</f>
        <v>4800</v>
      </c>
      <c r="K56" s="201">
        <f>J56/(J40+J56/1000)/1000</f>
        <v>3.5642708578531657E-3</v>
      </c>
    </row>
    <row r="57" spans="1:11">
      <c r="A57" s="176"/>
      <c r="I57" s="199" t="s">
        <v>90</v>
      </c>
      <c r="J57" s="200">
        <f>+E34+'26'!J57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4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7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9" ht="15.75">
      <c r="A1" s="150"/>
    </row>
    <row r="2" spans="1:19" ht="15.75">
      <c r="A2" s="150" t="s">
        <v>224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26</v>
      </c>
      <c r="H4" s="156" t="str">
        <f>+'1'!H4</f>
        <v>.12.25</v>
      </c>
    </row>
    <row r="5" spans="1:19" ht="13.5" thickBot="1">
      <c r="C5" s="157"/>
      <c r="D5" s="157"/>
    </row>
    <row r="6" spans="1:19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356+454+406</f>
        <v>1216</v>
      </c>
    </row>
    <row r="7" spans="1:19" ht="13.5" customHeight="1" thickBot="1">
      <c r="A7" s="781" t="s">
        <v>724</v>
      </c>
      <c r="B7" s="215" t="s">
        <v>726</v>
      </c>
      <c r="C7" s="216">
        <v>15260</v>
      </c>
      <c r="D7" s="217"/>
      <c r="E7" s="218"/>
      <c r="F7" s="229">
        <v>5</v>
      </c>
      <c r="G7" s="548" t="s">
        <v>11</v>
      </c>
      <c r="H7" s="549" t="s">
        <v>448</v>
      </c>
      <c r="I7" s="784" t="s">
        <v>511</v>
      </c>
      <c r="J7" s="214" t="str">
        <f>+'25'!J7</f>
        <v>F 15 VP OW</v>
      </c>
      <c r="K7" s="236"/>
      <c r="L7" s="240"/>
      <c r="M7" s="119">
        <f>+K7+'25'!M7+L7</f>
        <v>24540</v>
      </c>
    </row>
    <row r="8" spans="1:19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+'25'!J8</f>
        <v>T 12,5 VP OW</v>
      </c>
      <c r="K8" s="237"/>
      <c r="L8" s="237"/>
      <c r="M8" s="119">
        <f>+K8+'25'!M8+L8</f>
        <v>35627</v>
      </c>
      <c r="N8" s="521">
        <v>1400</v>
      </c>
      <c r="O8" s="151">
        <f>+N8-N8*0.24</f>
        <v>1064</v>
      </c>
      <c r="P8" s="525"/>
    </row>
    <row r="9" spans="1:19" ht="13.5" thickBot="1">
      <c r="A9" s="782"/>
      <c r="B9" s="215"/>
      <c r="C9" s="216"/>
      <c r="D9" s="217"/>
      <c r="E9" s="220"/>
      <c r="F9" s="229">
        <v>9</v>
      </c>
      <c r="G9" s="550" t="s">
        <v>11</v>
      </c>
      <c r="H9" s="551" t="s">
        <v>416</v>
      </c>
      <c r="I9" s="785"/>
      <c r="J9" s="214" t="str">
        <f>+'25'!J9</f>
        <v>T 14 VP OW</v>
      </c>
      <c r="K9" s="237"/>
      <c r="L9" s="237"/>
      <c r="M9" s="119">
        <f>+K9+'25'!M9+L9</f>
        <v>186632</v>
      </c>
      <c r="P9" s="525"/>
    </row>
    <row r="10" spans="1:19" ht="51.75" thickBot="1">
      <c r="A10" s="782"/>
      <c r="B10" s="215"/>
      <c r="C10" s="216"/>
      <c r="D10" s="217"/>
      <c r="E10" s="219"/>
      <c r="F10" s="229"/>
      <c r="G10" s="548"/>
      <c r="H10" s="551" t="s">
        <v>732</v>
      </c>
      <c r="I10" s="785"/>
      <c r="J10" s="214" t="str">
        <f>+'25'!J10</f>
        <v>F 12 VP OW</v>
      </c>
      <c r="K10" s="237"/>
      <c r="L10" s="237"/>
      <c r="M10" s="119">
        <f>+K10+'25'!M10+L10</f>
        <v>392396</v>
      </c>
      <c r="N10" s="530"/>
      <c r="P10" s="525"/>
    </row>
    <row r="11" spans="1:19" ht="13.5" thickBot="1">
      <c r="A11" s="782"/>
      <c r="B11" s="215"/>
      <c r="C11" s="216"/>
      <c r="D11" s="217"/>
      <c r="E11" s="219"/>
      <c r="F11" s="476"/>
      <c r="G11" s="477"/>
      <c r="H11" s="228" t="s">
        <v>728</v>
      </c>
      <c r="I11" s="785"/>
      <c r="J11" s="214" t="str">
        <f>+'25'!J11</f>
        <v>T 18 VP OW</v>
      </c>
      <c r="K11" s="237"/>
      <c r="L11" s="237"/>
      <c r="M11" s="119">
        <f>+K11+'25'!M11+L11</f>
        <v>131165</v>
      </c>
      <c r="Q11" s="176"/>
    </row>
    <row r="12" spans="1:19" ht="13.5" thickBot="1">
      <c r="A12" s="782"/>
      <c r="B12" s="215"/>
      <c r="C12" s="216"/>
      <c r="D12" s="217"/>
      <c r="E12" s="219"/>
      <c r="F12" s="226"/>
      <c r="G12" s="230"/>
      <c r="H12" s="231" t="s">
        <v>727</v>
      </c>
      <c r="I12" s="785"/>
      <c r="J12" s="214" t="str">
        <f>+'25'!J12</f>
        <v>F 13 VP OW</v>
      </c>
      <c r="K12" s="237"/>
      <c r="L12" s="237"/>
      <c r="M12" s="119">
        <f>+K12+'25'!M12+L12</f>
        <v>77503</v>
      </c>
      <c r="R12" s="176"/>
      <c r="S12" s="176"/>
    </row>
    <row r="13" spans="1:19" ht="13.5" thickBot="1">
      <c r="A13" s="782"/>
      <c r="B13" s="215"/>
      <c r="C13" s="216"/>
      <c r="D13" s="216"/>
      <c r="E13" s="219"/>
      <c r="F13" s="226"/>
      <c r="G13" s="230"/>
      <c r="H13" s="231" t="s">
        <v>729</v>
      </c>
      <c r="I13" s="786"/>
      <c r="J13" s="214" t="str">
        <f>+'25'!J13</f>
        <v>F 11,5 VP OW</v>
      </c>
      <c r="K13" s="237"/>
      <c r="L13" s="237"/>
      <c r="M13" s="119">
        <f>+K13+'25'!M13+L13</f>
        <v>68990</v>
      </c>
    </row>
    <row r="14" spans="1:19" ht="13.5" thickBot="1">
      <c r="A14" s="783"/>
      <c r="B14" s="167" t="s">
        <v>2</v>
      </c>
      <c r="C14" s="113">
        <f>SUM(C7:C13)</f>
        <v>15260</v>
      </c>
      <c r="D14" s="113">
        <f>SUM(D7:D13)</f>
        <v>0</v>
      </c>
      <c r="E14" s="114">
        <f>SUM(E5:E13)</f>
        <v>0</v>
      </c>
      <c r="F14" s="104">
        <f>SUM(F6:F13)</f>
        <v>14</v>
      </c>
      <c r="G14" s="161"/>
      <c r="H14" s="168"/>
      <c r="I14" s="169"/>
      <c r="J14" s="214" t="str">
        <f>+'25'!J14</f>
        <v>T 12 VP OW</v>
      </c>
      <c r="K14" s="237"/>
      <c r="L14" s="237"/>
      <c r="M14" s="119">
        <f>+K14+'25'!M14+L14</f>
        <v>59863</v>
      </c>
    </row>
    <row r="15" spans="1:19" ht="13.5" customHeight="1" thickBot="1">
      <c r="A15" s="787" t="s">
        <v>424</v>
      </c>
      <c r="B15" s="506"/>
      <c r="C15" s="116">
        <f>C14/($C$23+$D$23+$E$23)</f>
        <v>0.95012763837868131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511</v>
      </c>
      <c r="J15" s="214" t="str">
        <f>+'25'!J15</f>
        <v>T 17 VP OW</v>
      </c>
      <c r="K15" s="237"/>
      <c r="L15" s="237"/>
      <c r="M15" s="119">
        <f>+K15+'25'!M15+L15</f>
        <v>10757</v>
      </c>
      <c r="N15" s="530"/>
      <c r="P15" s="525"/>
    </row>
    <row r="16" spans="1:19" ht="13.5" thickBot="1">
      <c r="A16" s="782"/>
      <c r="B16" s="215" t="s">
        <v>726</v>
      </c>
      <c r="C16" s="507">
        <v>16061</v>
      </c>
      <c r="D16" s="221"/>
      <c r="E16" s="222"/>
      <c r="F16" s="229">
        <v>2</v>
      </c>
      <c r="G16" s="550" t="s">
        <v>11</v>
      </c>
      <c r="H16" s="549" t="s">
        <v>446</v>
      </c>
      <c r="I16" s="785"/>
      <c r="J16" s="214" t="str">
        <f>+'25'!J16</f>
        <v>T 16 VP OW</v>
      </c>
      <c r="K16" s="227"/>
      <c r="L16" s="227"/>
      <c r="M16" s="119">
        <f>+K16+'25'!M16+L16</f>
        <v>52404</v>
      </c>
      <c r="P16" s="525"/>
    </row>
    <row r="17" spans="1:19" ht="13.5" thickBot="1">
      <c r="A17" s="782"/>
      <c r="B17" s="215"/>
      <c r="C17" s="216"/>
      <c r="D17" s="217"/>
      <c r="E17" s="223"/>
      <c r="F17" s="229">
        <v>13</v>
      </c>
      <c r="G17" s="550" t="s">
        <v>11</v>
      </c>
      <c r="H17" s="551" t="s">
        <v>384</v>
      </c>
      <c r="I17" s="785"/>
      <c r="J17" s="214" t="str">
        <f>+'25'!J17</f>
        <v>T 15 VP OW</v>
      </c>
      <c r="K17" s="227"/>
      <c r="L17" s="227"/>
      <c r="M17" s="119">
        <f>+K17+'25'!M17+L17</f>
        <v>110524</v>
      </c>
      <c r="P17" s="525"/>
    </row>
    <row r="18" spans="1:19" ht="51.75" thickBot="1">
      <c r="A18" s="782"/>
      <c r="B18" s="215"/>
      <c r="C18" s="216"/>
      <c r="D18" s="217"/>
      <c r="E18" s="223"/>
      <c r="F18" s="229"/>
      <c r="G18" s="548"/>
      <c r="H18" s="551" t="s">
        <v>732</v>
      </c>
      <c r="I18" s="785"/>
      <c r="J18" s="214" t="str">
        <f>+'25'!J18</f>
        <v>T 13,5 VP OW</v>
      </c>
      <c r="K18" s="237"/>
      <c r="L18" s="237"/>
      <c r="M18" s="119">
        <f>+K18+'25'!M18+L18</f>
        <v>20648</v>
      </c>
      <c r="Q18" s="176"/>
    </row>
    <row r="19" spans="1:19" ht="13.5" thickBot="1">
      <c r="A19" s="782"/>
      <c r="B19" s="215"/>
      <c r="C19" s="216"/>
      <c r="D19" s="217"/>
      <c r="E19" s="223"/>
      <c r="F19" s="226"/>
      <c r="G19" s="230"/>
      <c r="H19" s="228" t="s">
        <v>730</v>
      </c>
      <c r="I19" s="785"/>
      <c r="J19" s="214" t="str">
        <f>+'25'!J19</f>
        <v>T 14,5 VP OW</v>
      </c>
      <c r="K19" s="237"/>
      <c r="L19" s="237"/>
      <c r="M19" s="119">
        <f>+K19+'25'!M19+L19</f>
        <v>41885</v>
      </c>
      <c r="R19" s="176"/>
      <c r="S19" s="176"/>
    </row>
    <row r="20" spans="1:19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 t="str">
        <f>+'25'!J20</f>
        <v>F 16 VP OW</v>
      </c>
      <c r="K20" s="238"/>
      <c r="L20" s="238"/>
      <c r="M20" s="119">
        <f>+K20+'25'!M20+L20</f>
        <v>10982</v>
      </c>
    </row>
    <row r="21" spans="1:19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 t="str">
        <f>+'25'!J21</f>
        <v>F 12,5 VP OW</v>
      </c>
      <c r="K21" s="237">
        <f>+C34</f>
        <v>47401</v>
      </c>
      <c r="L21" s="237"/>
      <c r="M21" s="119">
        <f>+K21+'25'!M21+L21</f>
        <v>67943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+'25'!J22</f>
        <v>0</v>
      </c>
      <c r="K22" s="237"/>
      <c r="L22" s="237"/>
      <c r="M22" s="119">
        <f>+K22+'25'!M22+L22</f>
        <v>0</v>
      </c>
    </row>
    <row r="23" spans="1:19" ht="13.5" thickBot="1">
      <c r="A23" s="783"/>
      <c r="B23" s="167" t="s">
        <v>2</v>
      </c>
      <c r="C23" s="101">
        <f>SUM(C16:C22)</f>
        <v>16061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+'25'!J23</f>
        <v>0</v>
      </c>
      <c r="K23" s="237"/>
      <c r="L23" s="237"/>
      <c r="M23" s="119">
        <f>+K23+'25'!M23+L23</f>
        <v>0</v>
      </c>
    </row>
    <row r="24" spans="1:19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+'25'!J24</f>
        <v>0</v>
      </c>
      <c r="K24" s="237"/>
      <c r="L24" s="237"/>
      <c r="M24" s="119">
        <f>+K24+'25'!M24+L24</f>
        <v>0</v>
      </c>
    </row>
    <row r="25" spans="1:19" ht="13.5" thickBot="1">
      <c r="A25" s="782"/>
      <c r="B25" s="215" t="s">
        <v>726</v>
      </c>
      <c r="C25" s="224">
        <v>16080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+'25'!J25</f>
        <v>0</v>
      </c>
      <c r="K25" s="237"/>
      <c r="L25" s="237"/>
      <c r="M25" s="119">
        <f>+K25+'25'!M25+L25</f>
        <v>0</v>
      </c>
      <c r="N25" s="530"/>
      <c r="O25" s="531"/>
      <c r="P25" s="532"/>
      <c r="Q25" s="531"/>
    </row>
    <row r="26" spans="1:19" ht="13.5" thickBot="1">
      <c r="A26" s="782"/>
      <c r="B26" s="215"/>
      <c r="C26" s="224"/>
      <c r="D26" s="217"/>
      <c r="E26" s="225"/>
      <c r="F26" s="229">
        <v>5</v>
      </c>
      <c r="G26" s="550" t="s">
        <v>11</v>
      </c>
      <c r="H26" s="551" t="s">
        <v>416</v>
      </c>
      <c r="I26" s="785"/>
      <c r="J26" s="214">
        <f>+'25'!J26</f>
        <v>0</v>
      </c>
      <c r="K26" s="237"/>
      <c r="L26" s="237"/>
      <c r="M26" s="119">
        <f>+K26+'25'!M26+L26</f>
        <v>0</v>
      </c>
    </row>
    <row r="27" spans="1:19" ht="51.75" thickBot="1">
      <c r="A27" s="782"/>
      <c r="B27" s="215"/>
      <c r="C27" s="216"/>
      <c r="D27" s="217"/>
      <c r="E27" s="223"/>
      <c r="F27" s="229"/>
      <c r="G27" s="548"/>
      <c r="H27" s="551" t="s">
        <v>732</v>
      </c>
      <c r="I27" s="785"/>
      <c r="J27" s="214">
        <f>+'25'!J27</f>
        <v>0</v>
      </c>
      <c r="K27" s="237"/>
      <c r="L27" s="237"/>
      <c r="M27" s="119">
        <f>+K27+'25'!M27+L27</f>
        <v>0</v>
      </c>
    </row>
    <row r="28" spans="1:19" ht="13.5" thickBot="1">
      <c r="A28" s="782"/>
      <c r="B28" s="215"/>
      <c r="C28" s="216"/>
      <c r="D28" s="217"/>
      <c r="E28" s="223"/>
      <c r="F28" s="226"/>
      <c r="G28" s="230"/>
      <c r="H28" s="228" t="s">
        <v>731</v>
      </c>
      <c r="I28" s="785"/>
      <c r="J28" s="214">
        <f>+'25'!J28</f>
        <v>0</v>
      </c>
      <c r="K28" s="237"/>
      <c r="L28" s="237"/>
      <c r="M28" s="119">
        <f>+K28+'25'!M28+L28</f>
        <v>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+'25'!J29</f>
        <v>0</v>
      </c>
      <c r="K29" s="237"/>
      <c r="L29" s="237"/>
      <c r="M29" s="119">
        <f>+K29+'25'!M29+L29</f>
        <v>0</v>
      </c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+'25'!J30</f>
        <v>0</v>
      </c>
      <c r="K30" s="237"/>
      <c r="L30" s="237"/>
      <c r="M30" s="119">
        <f>+K30+'25'!M30+L30</f>
        <v>0</v>
      </c>
      <c r="N30" s="157"/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+'25'!J31</f>
        <v>0</v>
      </c>
      <c r="K31" s="237"/>
      <c r="L31" s="237"/>
      <c r="M31" s="119">
        <f>+K31+'25'!M31+L31</f>
        <v>0</v>
      </c>
    </row>
    <row r="32" spans="1:19" ht="13.5" thickBot="1">
      <c r="A32" s="783"/>
      <c r="B32" s="167" t="s">
        <v>2</v>
      </c>
      <c r="C32" s="101">
        <f>SUM(C25:C31)</f>
        <v>16080</v>
      </c>
      <c r="D32" s="102">
        <f>SUM(D25:D31)</f>
        <v>0</v>
      </c>
      <c r="E32" s="103">
        <f>SUM(E25:E31)</f>
        <v>0</v>
      </c>
      <c r="F32" s="101">
        <f>SUM(F24:F31)</f>
        <v>5</v>
      </c>
      <c r="G32" s="171"/>
      <c r="H32" s="172"/>
      <c r="I32" s="170"/>
      <c r="J32" s="214">
        <f>+'25'!J32</f>
        <v>0</v>
      </c>
      <c r="K32" s="239"/>
      <c r="L32" s="241"/>
      <c r="M32" s="119">
        <f>+K32+'25'!M32+L32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47401</v>
      </c>
      <c r="D34" s="109">
        <f>D14+D23+D32</f>
        <v>0</v>
      </c>
      <c r="E34" s="109">
        <f>E14+E23+E32</f>
        <v>0</v>
      </c>
      <c r="F34" s="110">
        <f>F14+F23+F32</f>
        <v>34</v>
      </c>
      <c r="H34" s="178"/>
      <c r="I34" s="178"/>
      <c r="J34" s="125" t="s">
        <v>27</v>
      </c>
      <c r="K34" s="126">
        <f>SUM(K7:K32)</f>
        <v>47401</v>
      </c>
      <c r="L34" s="212">
        <f>SUM(L7:L32)</f>
        <v>0</v>
      </c>
      <c r="M34" s="122">
        <f>SUM(M7:M32)</f>
        <v>1291859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(12.5*1440)/1440*G42*2.85*1440/1000000</f>
        <v>54.583199999999998</v>
      </c>
      <c r="J37" s="127">
        <f>+I37+'25'!J37</f>
        <v>1429.5458220295495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34</v>
      </c>
      <c r="D38" s="120">
        <f>+C38+'25'!D38</f>
        <v>965</v>
      </c>
      <c r="E38" s="145">
        <f t="shared" ref="E38:E51" si="0">D38/60</f>
        <v>16.083333333333332</v>
      </c>
      <c r="F38" s="330">
        <v>1400</v>
      </c>
      <c r="G38" s="330">
        <f>+F38-F38*0.24</f>
        <v>1064</v>
      </c>
      <c r="H38" s="187" t="s">
        <v>65</v>
      </c>
      <c r="I38" s="243">
        <f>16.03+16.1+16.45</f>
        <v>48.58</v>
      </c>
      <c r="J38" s="129">
        <f>+I38+'25'!J38</f>
        <v>1325.001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+C39+'25'!D39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54.982531616521136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+C40+'25'!D40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47.401000000000003</v>
      </c>
      <c r="J40" s="133">
        <f>+I40+'25'!J40</f>
        <v>1291.8589999999999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+C41+'25'!D41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49.686884615384614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+C42+'25'!D42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+C43+'25'!D43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+Report1!Z34</f>
        <v>118.7</v>
      </c>
      <c r="J43" s="135">
        <f>+I43+'25'!J43</f>
        <v>3171.7000000000007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+C44+'25'!D44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2.4433923425277895</v>
      </c>
      <c r="J44" s="136">
        <f>J43/J38</f>
        <v>2.3937340424648741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+C45+'25'!D45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2.5041665787641612</v>
      </c>
      <c r="J45" s="136">
        <f>J43/J40</f>
        <v>2.4551440985432627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+C46+'25'!D46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+SUMIF(Listrik!AN33,"&gt;0")</f>
        <v>49826.739705517844</v>
      </c>
      <c r="J46" s="137">
        <f>+I46+'25'!J46</f>
        <v>1187590.0138105489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+C47+'25'!D47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1025.6636415298033</v>
      </c>
      <c r="J47" s="137">
        <f>J46/J38</f>
        <v>896.29367359764183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+C48+'25'!D48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1051.174863515914</v>
      </c>
      <c r="J48" s="137">
        <f>J46/J40</f>
        <v>919.2876419257434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+C49+'25'!D49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+I49+'25'!J49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+C50+'25'!D50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+C51+'25'!D51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34</v>
      </c>
      <c r="D52" s="146">
        <f ca="1">SUM(D38:D51)</f>
        <v>1083</v>
      </c>
      <c r="E52" s="147">
        <f ca="1">SUM(E38:E51)</f>
        <v>18.049999999999997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2.361111111111111E-2</v>
      </c>
      <c r="D53" s="148">
        <f ca="1">D52/(24*60*G4)</f>
        <v>2.8926282051282053E-2</v>
      </c>
      <c r="E53" s="149">
        <f ca="1">E52/(G4*24)</f>
        <v>2.8926282051282046E-2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+D34+'25'!J56</f>
        <v>4800</v>
      </c>
      <c r="K56" s="201">
        <f>J56/(J40+J56/1000)/1000</f>
        <v>3.7018213732369115E-3</v>
      </c>
    </row>
    <row r="57" spans="1:11">
      <c r="A57" s="176"/>
      <c r="I57" s="199" t="s">
        <v>90</v>
      </c>
      <c r="J57" s="200">
        <f>+E34+'25'!J57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F16" zoomScale="80" zoomScaleNormal="80" zoomScaleSheetLayoutView="80" workbookViewId="0">
      <selection activeCell="N27" sqref="N27:T36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9" ht="15.75">
      <c r="A1" s="150"/>
    </row>
    <row r="2" spans="1:19" ht="15.75">
      <c r="A2" s="150" t="s">
        <v>224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25</v>
      </c>
      <c r="H4" s="156" t="str">
        <f>+'1'!H4</f>
        <v>.12.25</v>
      </c>
      <c r="J4" s="151">
        <f>381+389+390</f>
        <v>1160</v>
      </c>
    </row>
    <row r="5" spans="1:19" ht="13.5" thickBot="1">
      <c r="C5" s="157"/>
      <c r="D5" s="157"/>
    </row>
    <row r="6" spans="1:19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 t="s">
        <v>274</v>
      </c>
      <c r="O6" s="151">
        <v>1400</v>
      </c>
      <c r="P6" s="151">
        <f>+O6-(O6*0.24)</f>
        <v>1064</v>
      </c>
      <c r="Q6" s="151">
        <v>480</v>
      </c>
      <c r="R6" s="151">
        <f>+O6*Q6</f>
        <v>672000</v>
      </c>
      <c r="S6" s="151">
        <f>+P6*Q6</f>
        <v>510720</v>
      </c>
    </row>
    <row r="7" spans="1:19" ht="13.5" customHeight="1" thickBot="1">
      <c r="A7" s="781" t="s">
        <v>724</v>
      </c>
      <c r="B7" s="215" t="s">
        <v>383</v>
      </c>
      <c r="C7" s="216">
        <v>13586</v>
      </c>
      <c r="D7" s="217">
        <v>1040</v>
      </c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+'24'!J7</f>
        <v>F 15 VP OW</v>
      </c>
      <c r="K7" s="236"/>
      <c r="L7" s="240"/>
      <c r="M7" s="119">
        <f>+K7+'24'!M7+L7</f>
        <v>24540</v>
      </c>
    </row>
    <row r="8" spans="1:19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+'24'!J8</f>
        <v>T 12,5 VP OW</v>
      </c>
      <c r="K8" s="237"/>
      <c r="L8" s="237"/>
      <c r="M8" s="119">
        <f>+K8+'24'!M8+L8</f>
        <v>35627</v>
      </c>
    </row>
    <row r="9" spans="1:19" ht="13.5" thickBot="1">
      <c r="A9" s="782"/>
      <c r="B9" s="215"/>
      <c r="C9" s="216"/>
      <c r="D9" s="217"/>
      <c r="E9" s="220"/>
      <c r="F9" s="229">
        <v>12</v>
      </c>
      <c r="G9" s="550" t="s">
        <v>11</v>
      </c>
      <c r="H9" s="551" t="s">
        <v>416</v>
      </c>
      <c r="I9" s="785"/>
      <c r="J9" s="214" t="str">
        <f>+'24'!J9</f>
        <v>T 14 VP OW</v>
      </c>
      <c r="K9" s="237"/>
      <c r="L9" s="237"/>
      <c r="M9" s="119">
        <f>+K9+'24'!M9+L9</f>
        <v>186632</v>
      </c>
    </row>
    <row r="10" spans="1:19" ht="51.75" thickBot="1">
      <c r="A10" s="782"/>
      <c r="B10" s="215"/>
      <c r="C10" s="216"/>
      <c r="D10" s="217"/>
      <c r="E10" s="219"/>
      <c r="F10" s="229"/>
      <c r="G10" s="548"/>
      <c r="H10" s="551" t="s">
        <v>706</v>
      </c>
      <c r="I10" s="785"/>
      <c r="J10" s="214" t="str">
        <f>+'24'!J10</f>
        <v>F 12 VP OW</v>
      </c>
      <c r="K10" s="237">
        <f>+C7+C16</f>
        <v>26246</v>
      </c>
      <c r="L10" s="237"/>
      <c r="M10" s="119">
        <f>+K10+'24'!M10+L10</f>
        <v>392396</v>
      </c>
    </row>
    <row r="11" spans="1:19" ht="51.75" thickBot="1">
      <c r="A11" s="782"/>
      <c r="B11" s="215"/>
      <c r="C11" s="216"/>
      <c r="D11" s="217"/>
      <c r="E11" s="219"/>
      <c r="F11" s="476"/>
      <c r="G11" s="477"/>
      <c r="H11" s="228" t="s">
        <v>707</v>
      </c>
      <c r="I11" s="785"/>
      <c r="J11" s="214" t="str">
        <f>+'24'!J11</f>
        <v>T 18 VP OW</v>
      </c>
      <c r="K11" s="237"/>
      <c r="L11" s="237"/>
      <c r="M11" s="119">
        <f>+K11+'24'!M11+L11</f>
        <v>131165</v>
      </c>
    </row>
    <row r="12" spans="1:19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+'24'!J12</f>
        <v>F 13 VP OW</v>
      </c>
      <c r="K12" s="237"/>
      <c r="L12" s="237"/>
      <c r="M12" s="119">
        <f>+K12+'24'!M12+L12</f>
        <v>77503</v>
      </c>
    </row>
    <row r="13" spans="1:19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+'24'!J13</f>
        <v>F 11,5 VP OW</v>
      </c>
      <c r="K13" s="237"/>
      <c r="L13" s="237"/>
      <c r="M13" s="119">
        <f>+K13+'24'!M13+L13</f>
        <v>68990</v>
      </c>
    </row>
    <row r="14" spans="1:19" ht="13.5" thickBot="1">
      <c r="A14" s="783"/>
      <c r="B14" s="167"/>
      <c r="C14" s="101">
        <f>SUM(C7:C13)</f>
        <v>13586</v>
      </c>
      <c r="D14" s="113">
        <f>SUM(D7:D13)</f>
        <v>1040</v>
      </c>
      <c r="E14" s="114">
        <f>SUM(E5:E13)</f>
        <v>0</v>
      </c>
      <c r="F14" s="104">
        <f>SUM(F6:F13)</f>
        <v>12</v>
      </c>
      <c r="G14" s="161"/>
      <c r="H14" s="168"/>
      <c r="I14" s="169"/>
      <c r="J14" s="214" t="str">
        <f>+'24'!J14</f>
        <v>T 12 VP OW</v>
      </c>
      <c r="K14" s="237"/>
      <c r="L14" s="237"/>
      <c r="M14" s="119">
        <f>+K14+'24'!M14+L14</f>
        <v>59863</v>
      </c>
      <c r="Q14" s="176">
        <f>SUM(Q6:Q11)</f>
        <v>480</v>
      </c>
      <c r="R14" s="176">
        <f>SUM(R6:R11)</f>
        <v>672000</v>
      </c>
      <c r="S14" s="176">
        <f>SUM(S6:S11)</f>
        <v>510720</v>
      </c>
    </row>
    <row r="15" spans="1:19" ht="13.5" customHeight="1" thickBot="1">
      <c r="A15" s="787" t="s">
        <v>424</v>
      </c>
      <c r="B15" s="506"/>
      <c r="C15" s="115"/>
      <c r="D15" s="116">
        <f>D14/($C$23+$D$23+$E$23)</f>
        <v>6.5175158237763986E-2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511</v>
      </c>
      <c r="J15" s="214" t="str">
        <f>+'24'!J15</f>
        <v>T 17 VP OW</v>
      </c>
      <c r="K15" s="237"/>
      <c r="L15" s="237"/>
      <c r="M15" s="119">
        <f>+K15+'24'!M15+L15</f>
        <v>10757</v>
      </c>
      <c r="Q15" s="151">
        <f>480-Q14</f>
        <v>0</v>
      </c>
      <c r="R15" s="176">
        <f>+R14/Q14</f>
        <v>1400</v>
      </c>
      <c r="S15" s="176">
        <f>+S14/Q14</f>
        <v>1064</v>
      </c>
    </row>
    <row r="16" spans="1:19" ht="13.5" thickBot="1">
      <c r="A16" s="782"/>
      <c r="B16" s="508" t="s">
        <v>383</v>
      </c>
      <c r="C16" s="507">
        <f>15957-C17</f>
        <v>12660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+'24'!J16</f>
        <v>T 16 VP OW</v>
      </c>
      <c r="K16" s="227"/>
      <c r="L16" s="227"/>
      <c r="M16" s="119">
        <f>+K16+'24'!M16+L16</f>
        <v>52404</v>
      </c>
      <c r="N16" s="151" t="s">
        <v>274</v>
      </c>
      <c r="O16" s="151">
        <v>1400</v>
      </c>
      <c r="P16" s="151">
        <f>+O16-(O16*0.24)</f>
        <v>1064</v>
      </c>
      <c r="Q16" s="151">
        <f>60*4+15</f>
        <v>255</v>
      </c>
      <c r="R16" s="151">
        <f>+O16*Q16</f>
        <v>357000</v>
      </c>
      <c r="S16" s="151">
        <f>+P16*Q16</f>
        <v>271320</v>
      </c>
    </row>
    <row r="17" spans="1:19" ht="13.5" thickBot="1">
      <c r="A17" s="782"/>
      <c r="B17" s="215" t="s">
        <v>726</v>
      </c>
      <c r="C17" s="216">
        <v>3297</v>
      </c>
      <c r="D17" s="217"/>
      <c r="E17" s="223"/>
      <c r="F17" s="229">
        <v>8</v>
      </c>
      <c r="G17" s="550" t="s">
        <v>11</v>
      </c>
      <c r="H17" s="551" t="s">
        <v>384</v>
      </c>
      <c r="I17" s="785"/>
      <c r="J17" s="214" t="str">
        <f>+'24'!J17</f>
        <v>T 15 VP OW</v>
      </c>
      <c r="K17" s="227"/>
      <c r="L17" s="227"/>
      <c r="M17" s="119">
        <f>+K17+'24'!M17+L17</f>
        <v>110524</v>
      </c>
      <c r="N17" s="151" t="s">
        <v>718</v>
      </c>
      <c r="O17" s="151">
        <v>1400</v>
      </c>
      <c r="P17" s="151">
        <f>+O17-(O17*0.24)</f>
        <v>1064</v>
      </c>
      <c r="Q17" s="151">
        <f>480-Q16</f>
        <v>225</v>
      </c>
      <c r="R17" s="151">
        <f>+O17*Q17</f>
        <v>315000</v>
      </c>
      <c r="S17" s="151">
        <f>+P17*Q17</f>
        <v>239400</v>
      </c>
    </row>
    <row r="18" spans="1:19" ht="77.25" thickBot="1">
      <c r="A18" s="782"/>
      <c r="B18" s="215"/>
      <c r="C18" s="216"/>
      <c r="D18" s="217"/>
      <c r="E18" s="223"/>
      <c r="F18" s="229"/>
      <c r="G18" s="548"/>
      <c r="H18" s="551" t="s">
        <v>704</v>
      </c>
      <c r="I18" s="785"/>
      <c r="J18" s="214" t="str">
        <f>+'24'!J18</f>
        <v>T 13,5 VP OW</v>
      </c>
      <c r="K18" s="237"/>
      <c r="L18" s="237"/>
      <c r="M18" s="119">
        <f>+K18+'24'!M18+L18</f>
        <v>20648</v>
      </c>
    </row>
    <row r="19" spans="1:19" ht="26.25" thickBot="1">
      <c r="A19" s="782"/>
      <c r="B19" s="215"/>
      <c r="C19" s="216"/>
      <c r="D19" s="217"/>
      <c r="E19" s="223"/>
      <c r="F19" s="226"/>
      <c r="G19" s="230"/>
      <c r="H19" s="228" t="s">
        <v>705</v>
      </c>
      <c r="I19" s="785"/>
      <c r="J19" s="214" t="str">
        <f>+'24'!J19</f>
        <v>T 14,5 VP OW</v>
      </c>
      <c r="K19" s="237"/>
      <c r="L19" s="237"/>
      <c r="M19" s="119">
        <f>+K19+'24'!M19+L19</f>
        <v>41885</v>
      </c>
    </row>
    <row r="20" spans="1:19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 t="str">
        <f>+'24'!J20</f>
        <v>F 16 VP OW</v>
      </c>
      <c r="K20" s="238"/>
      <c r="L20" s="238"/>
      <c r="M20" s="119">
        <f>+K20+'24'!M20+L20</f>
        <v>10982</v>
      </c>
    </row>
    <row r="21" spans="1:19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 t="s">
        <v>726</v>
      </c>
      <c r="K21" s="237">
        <f>+C17+C25</f>
        <v>20542</v>
      </c>
      <c r="L21" s="237"/>
      <c r="M21" s="119">
        <f>+K21+'24'!M21+L21</f>
        <v>20542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+'24'!J22</f>
        <v>0</v>
      </c>
      <c r="K22" s="237"/>
      <c r="L22" s="237"/>
      <c r="M22" s="119">
        <f>+K22+'24'!M22+L22</f>
        <v>0</v>
      </c>
    </row>
    <row r="23" spans="1:19" ht="13.5" thickBot="1">
      <c r="A23" s="783"/>
      <c r="B23" s="167" t="s">
        <v>2</v>
      </c>
      <c r="C23" s="101">
        <f>SUM(C16:C22)</f>
        <v>15957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+'24'!J23</f>
        <v>0</v>
      </c>
      <c r="K23" s="237"/>
      <c r="L23" s="237"/>
      <c r="M23" s="119">
        <f>+K23+'24'!M23+L23</f>
        <v>0</v>
      </c>
    </row>
    <row r="24" spans="1:19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+'24'!J24</f>
        <v>0</v>
      </c>
      <c r="K24" s="237"/>
      <c r="L24" s="237"/>
      <c r="M24" s="119">
        <f>+K24+'24'!M24+L24</f>
        <v>0</v>
      </c>
      <c r="Q24" s="176">
        <f>SUM(Q16:Q21)</f>
        <v>480</v>
      </c>
      <c r="R24" s="176">
        <f>SUM(R16:R21)</f>
        <v>672000</v>
      </c>
      <c r="S24" s="176">
        <f>SUM(S16:S21)</f>
        <v>510720</v>
      </c>
    </row>
    <row r="25" spans="1:19" ht="13.5" thickBot="1">
      <c r="A25" s="782"/>
      <c r="B25" s="215" t="s">
        <v>726</v>
      </c>
      <c r="C25" s="224">
        <v>17245</v>
      </c>
      <c r="D25" s="217"/>
      <c r="E25" s="223"/>
      <c r="F25" s="229">
        <v>2</v>
      </c>
      <c r="G25" s="550" t="s">
        <v>11</v>
      </c>
      <c r="H25" s="549" t="s">
        <v>446</v>
      </c>
      <c r="I25" s="785"/>
      <c r="J25" s="214">
        <f>+'24'!J25</f>
        <v>0</v>
      </c>
      <c r="K25" s="237"/>
      <c r="L25" s="237"/>
      <c r="M25" s="119">
        <f>+K25+'24'!M25+L25</f>
        <v>0</v>
      </c>
      <c r="Q25" s="151">
        <f>480-Q24</f>
        <v>0</v>
      </c>
      <c r="R25" s="176">
        <f>+R24/Q24</f>
        <v>1400</v>
      </c>
      <c r="S25" s="176">
        <f>+S24/Q24</f>
        <v>1064</v>
      </c>
    </row>
    <row r="26" spans="1:19" ht="13.5" thickBot="1">
      <c r="A26" s="782"/>
      <c r="B26" s="215"/>
      <c r="C26" s="224"/>
      <c r="D26" s="217"/>
      <c r="E26" s="225"/>
      <c r="F26" s="229">
        <v>14</v>
      </c>
      <c r="G26" s="550" t="s">
        <v>11</v>
      </c>
      <c r="H26" s="551" t="s">
        <v>384</v>
      </c>
      <c r="I26" s="785"/>
      <c r="J26" s="214">
        <f>+'24'!J26</f>
        <v>0</v>
      </c>
      <c r="K26" s="237"/>
      <c r="L26" s="237"/>
      <c r="M26" s="119">
        <f>+K26+'24'!M26+L26</f>
        <v>0</v>
      </c>
    </row>
    <row r="27" spans="1:19" ht="51.75" thickBot="1">
      <c r="A27" s="782"/>
      <c r="B27" s="215"/>
      <c r="C27" s="216"/>
      <c r="D27" s="217"/>
      <c r="E27" s="223"/>
      <c r="F27" s="229"/>
      <c r="G27" s="548"/>
      <c r="H27" s="551" t="s">
        <v>702</v>
      </c>
      <c r="I27" s="785"/>
      <c r="J27" s="214">
        <f>+'24'!J27</f>
        <v>0</v>
      </c>
      <c r="K27" s="237"/>
      <c r="L27" s="237"/>
      <c r="M27" s="119">
        <f>+K27+'24'!M27+L27</f>
        <v>0</v>
      </c>
      <c r="N27" s="151" t="s">
        <v>718</v>
      </c>
      <c r="O27" s="151">
        <v>1400</v>
      </c>
      <c r="P27" s="151">
        <f>+O27-(O27*0.24)</f>
        <v>1064</v>
      </c>
      <c r="Q27" s="151">
        <v>480</v>
      </c>
      <c r="R27" s="151">
        <f>+O27*Q27</f>
        <v>672000</v>
      </c>
      <c r="S27" s="151">
        <f>+P27*Q27</f>
        <v>510720</v>
      </c>
    </row>
    <row r="28" spans="1:19" ht="39" thickBot="1">
      <c r="A28" s="782"/>
      <c r="B28" s="215"/>
      <c r="C28" s="216"/>
      <c r="D28" s="217"/>
      <c r="E28" s="223"/>
      <c r="F28" s="226"/>
      <c r="G28" s="230"/>
      <c r="H28" s="228" t="s">
        <v>703</v>
      </c>
      <c r="I28" s="785"/>
      <c r="J28" s="214">
        <f>+'24'!J28</f>
        <v>0</v>
      </c>
      <c r="K28" s="237"/>
      <c r="L28" s="237"/>
      <c r="M28" s="119">
        <f>+K28+'24'!M28+L28</f>
        <v>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+'24'!J29</f>
        <v>0</v>
      </c>
      <c r="K29" s="237"/>
      <c r="L29" s="237"/>
      <c r="M29" s="119">
        <f>+K29+'24'!M29+L29</f>
        <v>0</v>
      </c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+'24'!J30</f>
        <v>0</v>
      </c>
      <c r="K30" s="237"/>
      <c r="L30" s="237"/>
      <c r="M30" s="119">
        <f>+K30+'24'!M30+L30</f>
        <v>0</v>
      </c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+'24'!J31</f>
        <v>0</v>
      </c>
      <c r="K31" s="237"/>
      <c r="L31" s="237"/>
      <c r="M31" s="119">
        <f>+K31+'24'!M31+L31</f>
        <v>0</v>
      </c>
    </row>
    <row r="32" spans="1:19" ht="13.5" thickBot="1">
      <c r="A32" s="783"/>
      <c r="B32" s="167" t="s">
        <v>2</v>
      </c>
      <c r="C32" s="101">
        <f>SUM(C25:C31)</f>
        <v>17245</v>
      </c>
      <c r="D32" s="102">
        <f>SUM(D25:D31)</f>
        <v>0</v>
      </c>
      <c r="E32" s="103">
        <f>SUM(E25:E31)</f>
        <v>0</v>
      </c>
      <c r="F32" s="101">
        <f>SUM(F24:F31)</f>
        <v>16</v>
      </c>
      <c r="G32" s="171"/>
      <c r="H32" s="172"/>
      <c r="I32" s="170"/>
      <c r="J32" s="214">
        <f>+'24'!J32</f>
        <v>0</v>
      </c>
      <c r="K32" s="239"/>
      <c r="L32" s="241"/>
      <c r="M32" s="119">
        <f>+K32+'24'!M32+L32</f>
        <v>0</v>
      </c>
    </row>
    <row r="33" spans="1:19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9" ht="13.5" thickBot="1">
      <c r="A34" s="788" t="s">
        <v>58</v>
      </c>
      <c r="B34" s="789"/>
      <c r="C34" s="109">
        <f>C14+C23+C32</f>
        <v>46788</v>
      </c>
      <c r="D34" s="109">
        <f>D14+D23+D32</f>
        <v>1040</v>
      </c>
      <c r="E34" s="109">
        <f>E14+E23+E32</f>
        <v>0</v>
      </c>
      <c r="F34" s="110">
        <f>F14+F23+F32</f>
        <v>36</v>
      </c>
      <c r="H34" s="178"/>
      <c r="I34" s="178"/>
      <c r="J34" s="125" t="s">
        <v>27</v>
      </c>
      <c r="K34" s="126">
        <f>SUM(K7:K32)</f>
        <v>46788</v>
      </c>
      <c r="L34" s="212">
        <f>SUM(L7:L32)</f>
        <v>0</v>
      </c>
      <c r="M34" s="122">
        <f>SUM(M7:M32)</f>
        <v>1244458</v>
      </c>
    </row>
    <row r="35" spans="1:19" ht="13.5" thickBot="1">
      <c r="A35" s="179"/>
      <c r="B35" s="180"/>
      <c r="C35" s="106">
        <f>C34/($C$34+$D$34+$E$34)</f>
        <v>0.97825541523793591</v>
      </c>
      <c r="D35" s="106">
        <f>D34/($C$34+$D$34+$E$34)</f>
        <v>2.1744584762064062E-2</v>
      </c>
      <c r="E35" s="111">
        <f>E34/($C$34+$D$34+$E$34)</f>
        <v>0</v>
      </c>
      <c r="K35" s="157"/>
      <c r="Q35" s="176">
        <f>SUM(Q27:Q32)</f>
        <v>480</v>
      </c>
      <c r="R35" s="176">
        <f>SUM(R27:R32)</f>
        <v>672000</v>
      </c>
      <c r="S35" s="176">
        <f>SUM(S27:S32)</f>
        <v>510720</v>
      </c>
    </row>
    <row r="36" spans="1:19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  <c r="Q36" s="151">
        <f>480-Q35</f>
        <v>0</v>
      </c>
      <c r="R36" s="176">
        <f>+R35/Q35</f>
        <v>1400</v>
      </c>
      <c r="S36" s="176">
        <f>+S35/Q35</f>
        <v>1064</v>
      </c>
    </row>
    <row r="37" spans="1:19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(12*735+12.5*705)/1440*G42*2.85*1440/1000000</f>
        <v>53.468792999999991</v>
      </c>
      <c r="J37" s="127">
        <f>+I37+'24'!J37</f>
        <v>1374.9626220295495</v>
      </c>
      <c r="K37" s="128" t="s">
        <v>64</v>
      </c>
    </row>
    <row r="38" spans="1:19" ht="17.45" customHeight="1">
      <c r="A38" s="779" t="s">
        <v>11</v>
      </c>
      <c r="B38" s="780"/>
      <c r="C38" s="166">
        <f>SUMIF($G$7:$G$31,"Process",$F$7:$F$31)</f>
        <v>36</v>
      </c>
      <c r="D38" s="120">
        <f>+C38+'24'!D38</f>
        <v>931</v>
      </c>
      <c r="E38" s="145">
        <f t="shared" ref="E38:E51" si="0">D38/60</f>
        <v>15.516666666666667</v>
      </c>
      <c r="F38" s="330">
        <v>1400</v>
      </c>
      <c r="G38" s="330">
        <v>1064</v>
      </c>
      <c r="H38" s="187" t="s">
        <v>65</v>
      </c>
      <c r="I38" s="243">
        <f>16.072+16.866+17.5</f>
        <v>50.438000000000002</v>
      </c>
      <c r="J38" s="129">
        <f>+I38+'24'!J38</f>
        <v>1276.421</v>
      </c>
      <c r="K38" s="130" t="s">
        <v>64</v>
      </c>
      <c r="N38" s="151" t="s">
        <v>274</v>
      </c>
      <c r="O38" s="151">
        <v>1400</v>
      </c>
      <c r="P38" s="151">
        <v>1064</v>
      </c>
      <c r="Q38" s="151">
        <f>480+255</f>
        <v>735</v>
      </c>
    </row>
    <row r="39" spans="1:19" ht="17.45" customHeight="1">
      <c r="A39" s="775" t="s">
        <v>12</v>
      </c>
      <c r="B39" s="776"/>
      <c r="C39" s="166">
        <f>SUMIF($G$7:$G$31,"Cleaning",$F$7:$F$31)</f>
        <v>0</v>
      </c>
      <c r="D39" s="120">
        <f>+C39+'24'!D39</f>
        <v>0</v>
      </c>
      <c r="E39" s="145">
        <f t="shared" si="0"/>
        <v>0</v>
      </c>
      <c r="F39" s="330">
        <v>1400</v>
      </c>
      <c r="G39" s="330">
        <v>1064</v>
      </c>
      <c r="H39" s="187" t="s">
        <v>66</v>
      </c>
      <c r="I39" s="144"/>
      <c r="J39" s="131">
        <f>J37/G4</f>
        <v>54.998504881181979</v>
      </c>
      <c r="K39" s="132" t="s">
        <v>64</v>
      </c>
      <c r="N39" s="151" t="s">
        <v>718</v>
      </c>
      <c r="O39" s="151">
        <v>1400</v>
      </c>
      <c r="P39" s="151">
        <v>1064</v>
      </c>
      <c r="Q39" s="151">
        <f>225+480</f>
        <v>705</v>
      </c>
    </row>
    <row r="40" spans="1:19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+C40+'24'!D40</f>
        <v>0</v>
      </c>
      <c r="E40" s="145">
        <f t="shared" ca="1" si="0"/>
        <v>0</v>
      </c>
      <c r="F40" s="330">
        <v>1400</v>
      </c>
      <c r="G40" s="330">
        <v>1064</v>
      </c>
      <c r="H40" s="187" t="s">
        <v>68</v>
      </c>
      <c r="I40" s="120">
        <f>(K34+L34)/1000</f>
        <v>46.787999999999997</v>
      </c>
      <c r="J40" s="133">
        <f>+I40+'24'!J40</f>
        <v>1244.4579999999999</v>
      </c>
      <c r="K40" s="132" t="s">
        <v>64</v>
      </c>
      <c r="Q40" s="151">
        <f>+Q38+Q39</f>
        <v>1440</v>
      </c>
    </row>
    <row r="41" spans="1:19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+C41+'24'!D41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49.778319999999994</v>
      </c>
      <c r="K41" s="132" t="s">
        <v>64</v>
      </c>
    </row>
    <row r="42" spans="1:19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+C42+'24'!D42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9" ht="17.45" customHeight="1">
      <c r="A43" s="775" t="s">
        <v>73</v>
      </c>
      <c r="B43" s="776"/>
      <c r="C43" s="166">
        <f>SUMIF($G$7:$G$31,"Water",$F$7:$F$31)</f>
        <v>0</v>
      </c>
      <c r="D43" s="120">
        <f ca="1">+C43+'24'!D43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+Report1!Z33</f>
        <v>123.8</v>
      </c>
      <c r="J43" s="135">
        <f>+I43+'24'!J43</f>
        <v>3053.0000000000009</v>
      </c>
      <c r="K43" s="132" t="s">
        <v>64</v>
      </c>
      <c r="L43" s="189"/>
    </row>
    <row r="44" spans="1:19" ht="17.45" customHeight="1">
      <c r="A44" s="775" t="s">
        <v>16</v>
      </c>
      <c r="B44" s="776"/>
      <c r="C44" s="166">
        <f>SUMIF($G$7:$G$31,"PLN",$F$7:$F$31)</f>
        <v>0</v>
      </c>
      <c r="D44" s="120">
        <f>+C44+'24'!D44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2.4544985923311788</v>
      </c>
      <c r="J44" s="136">
        <f>J43/J38</f>
        <v>2.3918440702558175</v>
      </c>
      <c r="K44" s="132" t="s">
        <v>64</v>
      </c>
    </row>
    <row r="45" spans="1:19" ht="17.45" customHeight="1">
      <c r="A45" s="775" t="s">
        <v>17</v>
      </c>
      <c r="B45" s="776"/>
      <c r="C45" s="166">
        <f>SUMIF($G$7:$G$31,"Boiler",$F$7:$F$31)</f>
        <v>0</v>
      </c>
      <c r="D45" s="120">
        <f>+C45+'24'!D45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2.6459776010942977</v>
      </c>
      <c r="J45" s="136">
        <f>J43/J40</f>
        <v>2.4532768482343328</v>
      </c>
      <c r="K45" s="132" t="s">
        <v>64</v>
      </c>
    </row>
    <row r="46" spans="1:19" ht="17.45" customHeight="1">
      <c r="A46" s="775" t="s">
        <v>77</v>
      </c>
      <c r="B46" s="776"/>
      <c r="C46" s="166">
        <f>SUMIF($G$7:$G$31,"Gas",$F$7:$F$31)</f>
        <v>0</v>
      </c>
      <c r="D46" s="120">
        <f>+C46+'24'!D46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+SUMIF(Listrik!AN32,"&gt;0")</f>
        <v>51416.830006304546</v>
      </c>
      <c r="J46" s="137">
        <f>+I46+'24'!J46</f>
        <v>1137763.274105031</v>
      </c>
      <c r="K46" s="132" t="s">
        <v>79</v>
      </c>
    </row>
    <row r="47" spans="1:19" ht="17.45" customHeight="1">
      <c r="A47" s="775" t="s">
        <v>80</v>
      </c>
      <c r="B47" s="776"/>
      <c r="C47" s="166">
        <f>SUMIF($G$7:$G$31,"Gas",$F$7:$F$31)</f>
        <v>0</v>
      </c>
      <c r="D47" s="120">
        <f>+C47+'24'!D47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1019.4065983247659</v>
      </c>
      <c r="J47" s="137">
        <f>J46/J38</f>
        <v>891.36991173369211</v>
      </c>
      <c r="K47" s="132" t="s">
        <v>23</v>
      </c>
    </row>
    <row r="48" spans="1:19" ht="17.45" customHeight="1">
      <c r="A48" s="775" t="s">
        <v>13</v>
      </c>
      <c r="B48" s="776"/>
      <c r="C48" s="166">
        <f>SUMIF($G$7:$G$31,"Start Up",$F$7:$F$31)</f>
        <v>0</v>
      </c>
      <c r="D48" s="120">
        <f>+C48+'24'!D48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1098.9319912435785</v>
      </c>
      <c r="J48" s="137">
        <f>J46/J40</f>
        <v>914.26410060044714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+C49+'24'!D49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+I49+'24'!J49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+C50+'24'!D50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+C51+'24'!D51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36</v>
      </c>
      <c r="D52" s="146">
        <f ca="1">SUM(D38:D51)</f>
        <v>1049</v>
      </c>
      <c r="E52" s="147">
        <f ca="1">SUM(E38:E51)</f>
        <v>17.483333333333334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2.5000000000000001E-2</v>
      </c>
      <c r="D53" s="148">
        <f ca="1">D52/(24*60*G4)</f>
        <v>2.9138888888888888E-2</v>
      </c>
      <c r="E53" s="149">
        <f ca="1">E52/(G4*24)</f>
        <v>2.9138888888888891E-2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+D34+'24'!J56</f>
        <v>4800</v>
      </c>
      <c r="K56" s="201">
        <f>J56/(J40+J56/1000)/1000</f>
        <v>3.8422807778697439E-3</v>
      </c>
    </row>
    <row r="57" spans="1:11">
      <c r="A57" s="176"/>
      <c r="I57" s="199" t="s">
        <v>90</v>
      </c>
      <c r="J57" s="200">
        <f>+E34+'24'!J57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80" zoomScaleSheetLayoutView="80" workbookViewId="0">
      <selection activeCell="J4" sqref="J4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3.5703125" style="151" customWidth="1"/>
    <col min="14" max="16384" width="9.140625" style="151"/>
  </cols>
  <sheetData>
    <row r="1" spans="1:27" ht="15.75">
      <c r="A1" s="150"/>
      <c r="V1" s="521"/>
    </row>
    <row r="2" spans="1:27" ht="15.75">
      <c r="A2" s="150" t="s">
        <v>224</v>
      </c>
      <c r="V2" s="521"/>
    </row>
    <row r="3" spans="1:27" ht="15">
      <c r="A3" s="152"/>
      <c r="Y3" s="176"/>
    </row>
    <row r="4" spans="1:27" ht="20.25">
      <c r="A4" s="153" t="s">
        <v>3</v>
      </c>
      <c r="B4" s="154"/>
      <c r="F4" s="155" t="s">
        <v>28</v>
      </c>
      <c r="G4" s="156">
        <v>24</v>
      </c>
      <c r="H4" s="156" t="str">
        <f>+'1'!H4</f>
        <v>.12.25</v>
      </c>
      <c r="J4" s="151">
        <f>397+351+403</f>
        <v>1151</v>
      </c>
      <c r="Z4" s="176"/>
      <c r="AA4" s="176"/>
    </row>
    <row r="5" spans="1:27" ht="13.5" thickBot="1">
      <c r="C5" s="157"/>
      <c r="D5" s="157"/>
    </row>
    <row r="6" spans="1:27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 t="s">
        <v>693</v>
      </c>
      <c r="O6" s="151">
        <v>1300</v>
      </c>
      <c r="P6" s="151">
        <f>+O6-(O6*0.25)</f>
        <v>975</v>
      </c>
      <c r="Q6" s="151">
        <f>60+40</f>
        <v>100</v>
      </c>
      <c r="R6" s="151">
        <f>+O6*Q6</f>
        <v>130000</v>
      </c>
      <c r="S6" s="151">
        <f>+P6*Q6</f>
        <v>97500</v>
      </c>
      <c r="V6" s="522"/>
    </row>
    <row r="7" spans="1:27" ht="13.5" customHeight="1" thickBot="1">
      <c r="A7" s="781" t="s">
        <v>362</v>
      </c>
      <c r="B7" s="215" t="s">
        <v>700</v>
      </c>
      <c r="C7" s="216">
        <v>9442</v>
      </c>
      <c r="D7" s="217"/>
      <c r="E7" s="218"/>
      <c r="F7" s="229"/>
      <c r="G7" s="548" t="s">
        <v>11</v>
      </c>
      <c r="H7" s="549" t="s">
        <v>392</v>
      </c>
      <c r="I7" s="784" t="s">
        <v>717</v>
      </c>
      <c r="J7" s="214" t="str">
        <f>+'23'!J7</f>
        <v>F 15 VP OW</v>
      </c>
      <c r="K7" s="236"/>
      <c r="L7" s="240"/>
      <c r="M7" s="119">
        <f>+K7+'23'!M7+L7</f>
        <v>24540</v>
      </c>
      <c r="N7" s="151" t="s">
        <v>715</v>
      </c>
      <c r="O7" s="151">
        <v>1180</v>
      </c>
      <c r="P7" s="151">
        <f>+O7-(O7*0.25)</f>
        <v>885</v>
      </c>
      <c r="Q7" s="151">
        <f>60-40+240+40</f>
        <v>300</v>
      </c>
      <c r="R7" s="151">
        <f>+O7*Q7</f>
        <v>354000</v>
      </c>
      <c r="S7" s="151">
        <f>+P7*Q7</f>
        <v>265500</v>
      </c>
      <c r="V7" s="528"/>
      <c r="W7" s="529"/>
      <c r="X7" s="529"/>
      <c r="Y7" s="529"/>
    </row>
    <row r="8" spans="1:27" ht="13.5" thickBot="1">
      <c r="A8" s="782"/>
      <c r="B8" s="215" t="s">
        <v>725</v>
      </c>
      <c r="C8" s="216">
        <v>5208</v>
      </c>
      <c r="D8" s="217"/>
      <c r="E8" s="219"/>
      <c r="F8" s="229">
        <v>2</v>
      </c>
      <c r="G8" s="550" t="s">
        <v>11</v>
      </c>
      <c r="H8" s="549" t="s">
        <v>446</v>
      </c>
      <c r="I8" s="785"/>
      <c r="J8" s="214" t="str">
        <f>+'23'!J8</f>
        <v>T 12,5 VP OW</v>
      </c>
      <c r="K8" s="237"/>
      <c r="L8" s="237"/>
      <c r="M8" s="119">
        <f>+K8+'23'!M8+L8</f>
        <v>35627</v>
      </c>
      <c r="N8" s="151" t="s">
        <v>522</v>
      </c>
      <c r="O8" s="151">
        <v>1350</v>
      </c>
      <c r="P8" s="151">
        <f>+O8-(O8*0.25)</f>
        <v>1012.5</v>
      </c>
      <c r="Q8" s="151">
        <f>60-40+60</f>
        <v>80</v>
      </c>
      <c r="R8" s="151">
        <f>+O8*Q8</f>
        <v>108000</v>
      </c>
      <c r="S8" s="151">
        <f>+P8*Q8</f>
        <v>81000</v>
      </c>
      <c r="V8" s="522"/>
    </row>
    <row r="9" spans="1:27" ht="13.5" thickBot="1">
      <c r="A9" s="782"/>
      <c r="B9" s="215"/>
      <c r="C9" s="216"/>
      <c r="D9" s="217"/>
      <c r="E9" s="220"/>
      <c r="F9" s="229">
        <v>8</v>
      </c>
      <c r="G9" s="550" t="s">
        <v>11</v>
      </c>
      <c r="H9" s="551" t="s">
        <v>414</v>
      </c>
      <c r="I9" s="785"/>
      <c r="J9" s="214" t="str">
        <f>+'23'!J9</f>
        <v>T 14 VP OW</v>
      </c>
      <c r="K9" s="237"/>
      <c r="L9" s="237"/>
      <c r="M9" s="119">
        <f>+K9+'23'!M9+L9</f>
        <v>186632</v>
      </c>
      <c r="Y9" s="527"/>
    </row>
    <row r="10" spans="1:27" ht="64.5" thickBot="1">
      <c r="A10" s="782"/>
      <c r="B10" s="215"/>
      <c r="C10" s="216"/>
      <c r="D10" s="217"/>
      <c r="E10" s="219"/>
      <c r="F10" s="229"/>
      <c r="G10" s="548"/>
      <c r="H10" s="551" t="s">
        <v>712</v>
      </c>
      <c r="I10" s="785"/>
      <c r="J10" s="214" t="str">
        <f>+'23'!J10</f>
        <v>F 12 VP OW</v>
      </c>
      <c r="K10" s="237">
        <f>+C26</f>
        <v>2067</v>
      </c>
      <c r="L10" s="237"/>
      <c r="M10" s="119">
        <f>+K10+'23'!M10+L10</f>
        <v>366150</v>
      </c>
      <c r="Z10" s="527"/>
      <c r="AA10" s="527"/>
    </row>
    <row r="11" spans="1:27" ht="77.25" thickBot="1">
      <c r="A11" s="782"/>
      <c r="B11" s="215"/>
      <c r="C11" s="216"/>
      <c r="D11" s="217"/>
      <c r="E11" s="219"/>
      <c r="F11" s="476"/>
      <c r="G11" s="477"/>
      <c r="H11" s="228" t="s">
        <v>713</v>
      </c>
      <c r="I11" s="785"/>
      <c r="J11" s="214" t="str">
        <f>+'23'!J11</f>
        <v>T 18 VP OW</v>
      </c>
      <c r="K11" s="237"/>
      <c r="L11" s="237"/>
      <c r="M11" s="119">
        <f>+K11+'23'!M11+L11</f>
        <v>131165</v>
      </c>
    </row>
    <row r="12" spans="1:27" ht="13.5" thickBot="1">
      <c r="A12" s="782"/>
      <c r="B12" s="215"/>
      <c r="C12" s="216"/>
      <c r="D12" s="217"/>
      <c r="E12" s="219"/>
      <c r="F12" s="226"/>
      <c r="G12" s="230"/>
      <c r="H12" s="231" t="s">
        <v>714</v>
      </c>
      <c r="I12" s="785"/>
      <c r="J12" s="214" t="str">
        <f>+'23'!J12</f>
        <v>F 13 VP OW</v>
      </c>
      <c r="K12" s="237">
        <f>+C17+C25</f>
        <v>29642</v>
      </c>
      <c r="L12" s="237"/>
      <c r="M12" s="119">
        <f>+K12+'23'!M12+L12</f>
        <v>77503</v>
      </c>
    </row>
    <row r="13" spans="1:27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+'23'!J13</f>
        <v>F 11,5 VP OW</v>
      </c>
      <c r="K13" s="237"/>
      <c r="L13" s="237"/>
      <c r="M13" s="119">
        <f>+K13+'23'!M13+L13</f>
        <v>68990</v>
      </c>
    </row>
    <row r="14" spans="1:27" ht="13.5" thickBot="1">
      <c r="A14" s="783"/>
      <c r="B14" s="167"/>
      <c r="C14" s="101">
        <f>SUM(C7:C13)</f>
        <v>14650</v>
      </c>
      <c r="D14" s="113">
        <f>SUM(D7:D13)</f>
        <v>0</v>
      </c>
      <c r="E14" s="114">
        <f>SUM(E5:E13)</f>
        <v>0</v>
      </c>
      <c r="F14" s="104">
        <f>SUM(F6:F13)</f>
        <v>10</v>
      </c>
      <c r="G14" s="161"/>
      <c r="H14" s="168"/>
      <c r="I14" s="169"/>
      <c r="J14" s="214" t="str">
        <f>+'23'!J14</f>
        <v>T 12 VP OW</v>
      </c>
      <c r="K14" s="237"/>
      <c r="L14" s="237"/>
      <c r="M14" s="119">
        <f>+K14+'23'!M14+L14</f>
        <v>59863</v>
      </c>
      <c r="Q14" s="176">
        <f>SUM(Q6:Q11)</f>
        <v>480</v>
      </c>
      <c r="R14" s="176">
        <f>SUM(R6:R11)</f>
        <v>592000</v>
      </c>
      <c r="S14" s="176">
        <f>SUM(S6:S11)</f>
        <v>444000</v>
      </c>
    </row>
    <row r="15" spans="1:27" ht="13.5" customHeight="1" thickBot="1">
      <c r="A15" s="787" t="s">
        <v>424</v>
      </c>
      <c r="B15" s="506"/>
      <c r="C15" s="115"/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482</v>
      </c>
      <c r="J15" s="214" t="str">
        <f>+'23'!J15</f>
        <v>T 17 VP OW</v>
      </c>
      <c r="K15" s="237"/>
      <c r="L15" s="237"/>
      <c r="M15" s="119">
        <f>+K15+'23'!M15+L15</f>
        <v>10757</v>
      </c>
      <c r="Q15" s="151">
        <f>480-Q14</f>
        <v>0</v>
      </c>
      <c r="R15" s="176">
        <f>+R14/Q14</f>
        <v>1233.3333333333333</v>
      </c>
      <c r="S15" s="176">
        <f>+S14/Q14</f>
        <v>925</v>
      </c>
    </row>
    <row r="16" spans="1:27" ht="13.5" thickBot="1">
      <c r="A16" s="782"/>
      <c r="B16" s="508" t="s">
        <v>725</v>
      </c>
      <c r="C16" s="507">
        <v>5774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+'23'!J16</f>
        <v>T 16 VP OW</v>
      </c>
      <c r="K16" s="227"/>
      <c r="L16" s="227"/>
      <c r="M16" s="119">
        <f>+K16+'23'!M16+L16</f>
        <v>52404</v>
      </c>
      <c r="N16" s="522"/>
      <c r="O16" s="527"/>
      <c r="P16" s="527"/>
      <c r="Q16" s="527"/>
    </row>
    <row r="17" spans="1:26" ht="13.5" thickBot="1">
      <c r="A17" s="782"/>
      <c r="B17" s="215" t="s">
        <v>387</v>
      </c>
      <c r="C17" s="216">
        <f>10848+3816</f>
        <v>14664</v>
      </c>
      <c r="D17" s="217"/>
      <c r="E17" s="223"/>
      <c r="F17" s="229">
        <v>12</v>
      </c>
      <c r="G17" s="550" t="s">
        <v>11</v>
      </c>
      <c r="H17" s="551" t="s">
        <v>416</v>
      </c>
      <c r="I17" s="785"/>
      <c r="J17" s="214" t="str">
        <f>+'23'!J17</f>
        <v>T 15 VP OW</v>
      </c>
      <c r="K17" s="227"/>
      <c r="L17" s="227"/>
      <c r="M17" s="119">
        <f>+K17+'23'!M17+L17</f>
        <v>110524</v>
      </c>
      <c r="N17" s="151" t="s">
        <v>522</v>
      </c>
      <c r="O17" s="151">
        <v>1350</v>
      </c>
      <c r="P17" s="151">
        <f>+O17-(O17*0.24)</f>
        <v>1026</v>
      </c>
      <c r="Q17" s="151">
        <v>480</v>
      </c>
      <c r="R17" s="151">
        <f>+O17*Q17</f>
        <v>648000</v>
      </c>
      <c r="S17" s="151">
        <f>+P17*Q17</f>
        <v>492480</v>
      </c>
      <c r="U17" s="151" t="s">
        <v>522</v>
      </c>
      <c r="V17" s="151">
        <v>1350</v>
      </c>
      <c r="W17" s="151">
        <v>1012.5</v>
      </c>
      <c r="X17" s="151">
        <v>80</v>
      </c>
      <c r="Y17" s="151">
        <f>+V17*X17</f>
        <v>108000</v>
      </c>
      <c r="Z17" s="151">
        <f>+W17*X17</f>
        <v>81000</v>
      </c>
    </row>
    <row r="18" spans="1:26" ht="51.75" thickBot="1">
      <c r="A18" s="782"/>
      <c r="B18" s="215"/>
      <c r="C18" s="216"/>
      <c r="D18" s="217"/>
      <c r="E18" s="223"/>
      <c r="F18" s="229"/>
      <c r="G18" s="548"/>
      <c r="H18" s="551" t="s">
        <v>710</v>
      </c>
      <c r="I18" s="785"/>
      <c r="J18" s="214" t="str">
        <f>+'23'!J18</f>
        <v>T 13,5 VP OW</v>
      </c>
      <c r="K18" s="237"/>
      <c r="L18" s="237"/>
      <c r="M18" s="119">
        <f>+K18+'23'!M18+L18</f>
        <v>20648</v>
      </c>
      <c r="U18" s="151" t="s">
        <v>522</v>
      </c>
      <c r="V18" s="151">
        <v>1350</v>
      </c>
      <c r="W18" s="151">
        <v>1026</v>
      </c>
      <c r="X18" s="151">
        <v>480</v>
      </c>
      <c r="Y18" s="151">
        <f>+V18*X18</f>
        <v>648000</v>
      </c>
      <c r="Z18" s="151">
        <f>+W18*X18</f>
        <v>492480</v>
      </c>
    </row>
    <row r="19" spans="1:26" ht="39" thickBot="1">
      <c r="A19" s="782"/>
      <c r="B19" s="215"/>
      <c r="C19" s="216"/>
      <c r="D19" s="217"/>
      <c r="E19" s="223"/>
      <c r="F19" s="226"/>
      <c r="G19" s="230"/>
      <c r="H19" s="228" t="s">
        <v>711</v>
      </c>
      <c r="I19" s="785"/>
      <c r="J19" s="214" t="str">
        <f>+'23'!J19</f>
        <v>T 14,5 VP OW</v>
      </c>
      <c r="K19" s="237">
        <f>+C7</f>
        <v>9442</v>
      </c>
      <c r="L19" s="237">
        <v>0</v>
      </c>
      <c r="M19" s="119">
        <f>+K19+'23'!M19+L19</f>
        <v>41885</v>
      </c>
      <c r="U19" s="151" t="s">
        <v>522</v>
      </c>
      <c r="V19" s="151">
        <v>1350</v>
      </c>
      <c r="W19" s="151">
        <v>1026</v>
      </c>
      <c r="X19" s="151">
        <v>325</v>
      </c>
      <c r="Y19" s="151">
        <f>+V19*X19</f>
        <v>438750</v>
      </c>
      <c r="Z19" s="151">
        <f>+W19*X19</f>
        <v>333450</v>
      </c>
    </row>
    <row r="20" spans="1:26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 t="s">
        <v>725</v>
      </c>
      <c r="K20" s="238">
        <f>+C8+C16</f>
        <v>10982</v>
      </c>
      <c r="L20" s="238">
        <v>0</v>
      </c>
      <c r="M20" s="119">
        <f>+K20+'23'!M20+L20</f>
        <v>10982</v>
      </c>
    </row>
    <row r="21" spans="1:26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+'23'!J21</f>
        <v>0</v>
      </c>
      <c r="K21" s="237"/>
      <c r="L21" s="237">
        <v>0</v>
      </c>
      <c r="M21" s="119">
        <f>+K21+'23'!M21+L21</f>
        <v>0</v>
      </c>
    </row>
    <row r="22" spans="1:26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+'23'!J22</f>
        <v>0</v>
      </c>
      <c r="K22" s="237"/>
      <c r="L22" s="237">
        <v>0</v>
      </c>
      <c r="M22" s="119">
        <f>+K22+'23'!M22+L22</f>
        <v>0</v>
      </c>
    </row>
    <row r="23" spans="1:26" ht="13.5" thickBot="1">
      <c r="A23" s="783"/>
      <c r="B23" s="167" t="s">
        <v>2</v>
      </c>
      <c r="C23" s="101">
        <f>SUM(C16:C22)</f>
        <v>20438</v>
      </c>
      <c r="D23" s="113">
        <f>SUM(D16:D22)</f>
        <v>0</v>
      </c>
      <c r="E23" s="114">
        <f>SUM(E18:E22)</f>
        <v>0</v>
      </c>
      <c r="F23" s="104">
        <f>SUM(F15:F22)</f>
        <v>12</v>
      </c>
      <c r="G23" s="161"/>
      <c r="H23" s="168"/>
      <c r="I23" s="170"/>
      <c r="J23" s="214">
        <f>+'23'!J23</f>
        <v>0</v>
      </c>
      <c r="K23" s="237"/>
      <c r="L23" s="237"/>
      <c r="M23" s="119">
        <f>+K23+'23'!M23+L23</f>
        <v>0</v>
      </c>
    </row>
    <row r="24" spans="1:26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482</v>
      </c>
      <c r="J24" s="214">
        <f>+'23'!J24</f>
        <v>0</v>
      </c>
      <c r="K24" s="237"/>
      <c r="L24" s="237"/>
      <c r="M24" s="119">
        <f>+K24+'23'!M24+L24</f>
        <v>0</v>
      </c>
    </row>
    <row r="25" spans="1:26" ht="13.5" thickBot="1">
      <c r="A25" s="782"/>
      <c r="B25" s="215" t="s">
        <v>387</v>
      </c>
      <c r="C25" s="224">
        <f>7298+7680</f>
        <v>14978</v>
      </c>
      <c r="D25" s="217"/>
      <c r="E25" s="223"/>
      <c r="F25" s="229">
        <v>1</v>
      </c>
      <c r="G25" s="550" t="s">
        <v>11</v>
      </c>
      <c r="H25" s="549" t="s">
        <v>446</v>
      </c>
      <c r="I25" s="785"/>
      <c r="J25" s="214">
        <f>+'23'!J25</f>
        <v>0</v>
      </c>
      <c r="K25" s="237"/>
      <c r="L25" s="237"/>
      <c r="M25" s="119">
        <f>+K25+'23'!M25+L25</f>
        <v>0</v>
      </c>
      <c r="Q25" s="176">
        <f>SUM(Q17:Q22)</f>
        <v>480</v>
      </c>
      <c r="R25" s="176">
        <f>SUM(R17:R22)</f>
        <v>648000</v>
      </c>
      <c r="S25" s="176">
        <f>SUM(S17:S22)</f>
        <v>492480</v>
      </c>
      <c r="X25" s="176">
        <f>SUM(X17:X22)</f>
        <v>885</v>
      </c>
      <c r="Y25" s="176">
        <f>SUM(Y17:Y22)</f>
        <v>1194750</v>
      </c>
      <c r="Z25" s="176">
        <f>SUM(Z17:Z22)</f>
        <v>906930</v>
      </c>
    </row>
    <row r="26" spans="1:26" ht="13.5" thickBot="1">
      <c r="A26" s="782"/>
      <c r="B26" s="215" t="s">
        <v>383</v>
      </c>
      <c r="C26" s="224">
        <f>1136+931</f>
        <v>2067</v>
      </c>
      <c r="D26" s="217"/>
      <c r="E26" s="225"/>
      <c r="F26" s="229">
        <v>5</v>
      </c>
      <c r="G26" s="550" t="s">
        <v>11</v>
      </c>
      <c r="H26" s="551" t="s">
        <v>414</v>
      </c>
      <c r="I26" s="785"/>
      <c r="J26" s="214">
        <f>+'23'!J26</f>
        <v>0</v>
      </c>
      <c r="K26" s="237"/>
      <c r="L26" s="237"/>
      <c r="M26" s="119">
        <f>+K26+'23'!M26+L26</f>
        <v>0</v>
      </c>
      <c r="Q26" s="151">
        <f>480-Q25</f>
        <v>0</v>
      </c>
      <c r="R26" s="176">
        <f>+R25/Q25</f>
        <v>1350</v>
      </c>
      <c r="S26" s="176">
        <f>+S25/Q25</f>
        <v>1026</v>
      </c>
      <c r="X26" s="151">
        <f>480-X25</f>
        <v>-405</v>
      </c>
      <c r="Y26" s="176">
        <f>+Y25/X25</f>
        <v>1350</v>
      </c>
      <c r="Z26" s="176">
        <f>+Z25/X25</f>
        <v>1024.7796610169491</v>
      </c>
    </row>
    <row r="27" spans="1:26" ht="77.25" thickBot="1">
      <c r="A27" s="782"/>
      <c r="B27" s="215"/>
      <c r="C27" s="216"/>
      <c r="D27" s="217"/>
      <c r="E27" s="223"/>
      <c r="F27" s="229"/>
      <c r="G27" s="548"/>
      <c r="H27" s="551" t="s">
        <v>708</v>
      </c>
      <c r="I27" s="785"/>
      <c r="J27" s="214">
        <f>+'23'!J27</f>
        <v>0</v>
      </c>
      <c r="K27" s="237"/>
      <c r="L27" s="237"/>
      <c r="M27" s="119">
        <f>+K27+'23'!M27+L27</f>
        <v>0</v>
      </c>
      <c r="N27" s="151" t="s">
        <v>522</v>
      </c>
      <c r="O27" s="151">
        <v>1350</v>
      </c>
      <c r="P27" s="151">
        <f>+O27-(O27*0.24)</f>
        <v>1026</v>
      </c>
      <c r="Q27" s="151">
        <f>60*5+25</f>
        <v>325</v>
      </c>
      <c r="R27" s="151">
        <f>+O27*Q27</f>
        <v>438750</v>
      </c>
      <c r="S27" s="151">
        <f>+P27*Q27</f>
        <v>333450</v>
      </c>
    </row>
    <row r="28" spans="1:26" ht="39" thickBot="1">
      <c r="A28" s="782"/>
      <c r="B28" s="215"/>
      <c r="C28" s="216"/>
      <c r="D28" s="217"/>
      <c r="E28" s="223"/>
      <c r="F28" s="226"/>
      <c r="G28" s="230"/>
      <c r="H28" s="228" t="s">
        <v>709</v>
      </c>
      <c r="I28" s="785"/>
      <c r="J28" s="214">
        <f>+'23'!J28</f>
        <v>0</v>
      </c>
      <c r="K28" s="237"/>
      <c r="L28" s="237"/>
      <c r="M28" s="119">
        <f>+K28+'23'!M28+L28</f>
        <v>0</v>
      </c>
      <c r="N28" s="151" t="s">
        <v>274</v>
      </c>
      <c r="O28" s="151">
        <v>1350</v>
      </c>
      <c r="P28" s="151">
        <f>+O28-(O28*0.24)</f>
        <v>1026</v>
      </c>
      <c r="Q28" s="151">
        <f>60-25+120</f>
        <v>155</v>
      </c>
      <c r="R28" s="151">
        <f>+O28*Q28</f>
        <v>209250</v>
      </c>
      <c r="S28" s="151">
        <f>+P28*Q28</f>
        <v>159030</v>
      </c>
    </row>
    <row r="29" spans="1:26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+'23'!J29</f>
        <v>0</v>
      </c>
      <c r="K29" s="237"/>
      <c r="L29" s="237"/>
      <c r="M29" s="119">
        <f>+K29+'23'!M29+L29</f>
        <v>0</v>
      </c>
    </row>
    <row r="30" spans="1:26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+'23'!J30</f>
        <v>0</v>
      </c>
      <c r="K30" s="237"/>
      <c r="L30" s="237"/>
      <c r="M30" s="119">
        <f>+K30+'23'!M30+L30</f>
        <v>0</v>
      </c>
    </row>
    <row r="31" spans="1:26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+'23'!J31</f>
        <v>0</v>
      </c>
      <c r="K31" s="237"/>
      <c r="L31" s="237"/>
      <c r="M31" s="119">
        <f>+K31+'23'!M31+L31</f>
        <v>0</v>
      </c>
    </row>
    <row r="32" spans="1:26" ht="13.5" thickBot="1">
      <c r="A32" s="783"/>
      <c r="B32" s="167" t="s">
        <v>2</v>
      </c>
      <c r="C32" s="101">
        <f>SUM(C25:C31)</f>
        <v>17045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+'23'!J32</f>
        <v>0</v>
      </c>
      <c r="K32" s="239"/>
      <c r="L32" s="241"/>
      <c r="M32" s="119">
        <f>+K32+'23'!M32+L32</f>
        <v>0</v>
      </c>
    </row>
    <row r="33" spans="1:19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9" ht="13.5" thickBot="1">
      <c r="A34" s="788" t="s">
        <v>58</v>
      </c>
      <c r="B34" s="789"/>
      <c r="C34" s="109">
        <f>C14+C23+C32</f>
        <v>52133</v>
      </c>
      <c r="D34" s="109">
        <f>D14+D23+D32</f>
        <v>0</v>
      </c>
      <c r="E34" s="109">
        <f>E14+E23+E32</f>
        <v>0</v>
      </c>
      <c r="F34" s="110">
        <f>F14+F23+F32</f>
        <v>28</v>
      </c>
      <c r="H34" s="178"/>
      <c r="I34" s="178"/>
      <c r="J34" s="125" t="s">
        <v>27</v>
      </c>
      <c r="K34" s="126">
        <f>SUM(K7:K32)</f>
        <v>52133</v>
      </c>
      <c r="L34" s="212">
        <f>SUM(L7:L32)</f>
        <v>0</v>
      </c>
      <c r="M34" s="122">
        <f>SUM(M7:M32)</f>
        <v>1197670</v>
      </c>
    </row>
    <row r="35" spans="1:19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  <c r="Q35" s="176">
        <f>SUM(Q27:Q32)</f>
        <v>480</v>
      </c>
      <c r="R35" s="176">
        <f>SUM(R27:R32)</f>
        <v>648000</v>
      </c>
      <c r="S35" s="176">
        <f>SUM(S27:S32)</f>
        <v>492480</v>
      </c>
    </row>
    <row r="36" spans="1:19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  <c r="Q36" s="151">
        <f>480-Q35</f>
        <v>0</v>
      </c>
      <c r="R36" s="176">
        <f>+R35/Q35</f>
        <v>1350</v>
      </c>
      <c r="S36" s="176">
        <f>+S35/Q35</f>
        <v>1026</v>
      </c>
    </row>
    <row r="37" spans="1:19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(14.5*100+16*300+885*13+12*155)/1440*G42*2.66*1440/1000000</f>
        <v>51.775884766666671</v>
      </c>
      <c r="J37" s="127">
        <f>+I37+'23'!J37</f>
        <v>1321.4938290295495</v>
      </c>
      <c r="K37" s="128" t="s">
        <v>64</v>
      </c>
      <c r="N37" s="151" t="s">
        <v>693</v>
      </c>
      <c r="O37" s="151">
        <v>1300</v>
      </c>
      <c r="P37" s="151">
        <v>975</v>
      </c>
      <c r="Q37" s="151">
        <v>100</v>
      </c>
    </row>
    <row r="38" spans="1:19" ht="17.45" customHeight="1">
      <c r="A38" s="779" t="s">
        <v>11</v>
      </c>
      <c r="B38" s="780"/>
      <c r="C38" s="166">
        <f>SUMIF($G$7:$G$31,"Process",$F$7:$F$31)</f>
        <v>28</v>
      </c>
      <c r="D38" s="120">
        <f>+C38+'23'!D38</f>
        <v>895</v>
      </c>
      <c r="E38" s="145">
        <f t="shared" ref="E38:E51" si="0">D38/60</f>
        <v>14.916666666666666</v>
      </c>
      <c r="F38" s="330">
        <v>1233.3333333333333</v>
      </c>
      <c r="G38" s="330">
        <v>925</v>
      </c>
      <c r="H38" s="187" t="s">
        <v>65</v>
      </c>
      <c r="I38" s="243">
        <f>17.577+16.259+16.622</f>
        <v>50.457999999999998</v>
      </c>
      <c r="J38" s="129">
        <f>+I38+'23'!J38</f>
        <v>1225.9829999999999</v>
      </c>
      <c r="K38" s="130" t="s">
        <v>64</v>
      </c>
      <c r="N38" s="151" t="s">
        <v>715</v>
      </c>
      <c r="O38" s="151">
        <v>1180</v>
      </c>
      <c r="P38" s="151">
        <v>885</v>
      </c>
      <c r="Q38" s="151">
        <v>300</v>
      </c>
    </row>
    <row r="39" spans="1:19" ht="17.45" customHeight="1">
      <c r="A39" s="775" t="s">
        <v>12</v>
      </c>
      <c r="B39" s="776"/>
      <c r="C39" s="166">
        <f>SUMIF($G$7:$G$31,"Cleaning",$F$7:$F$31)</f>
        <v>0</v>
      </c>
      <c r="D39" s="120">
        <f>+C39+'23'!D39</f>
        <v>0</v>
      </c>
      <c r="E39" s="145">
        <f t="shared" si="0"/>
        <v>0</v>
      </c>
      <c r="F39" s="330">
        <v>1350</v>
      </c>
      <c r="G39" s="330">
        <v>1026</v>
      </c>
      <c r="H39" s="187" t="s">
        <v>66</v>
      </c>
      <c r="I39" s="144"/>
      <c r="J39" s="131">
        <f>J37/G4</f>
        <v>55.062242876231231</v>
      </c>
      <c r="K39" s="132" t="s">
        <v>64</v>
      </c>
      <c r="N39" s="151" t="s">
        <v>522</v>
      </c>
      <c r="O39" s="151">
        <v>1350</v>
      </c>
      <c r="P39" s="151">
        <v>1024.7796610169491</v>
      </c>
      <c r="Q39" s="151">
        <v>885</v>
      </c>
    </row>
    <row r="40" spans="1:19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+C40+'23'!D40</f>
        <v>0</v>
      </c>
      <c r="E40" s="145">
        <f t="shared" ca="1" si="0"/>
        <v>0</v>
      </c>
      <c r="F40" s="330">
        <v>1350</v>
      </c>
      <c r="G40" s="330">
        <v>1026</v>
      </c>
      <c r="H40" s="187" t="s">
        <v>68</v>
      </c>
      <c r="I40" s="120">
        <f>(K34+L34)/1000</f>
        <v>52.133000000000003</v>
      </c>
      <c r="J40" s="133">
        <f>+I40+'23'!J40</f>
        <v>1197.6699999999998</v>
      </c>
      <c r="K40" s="132" t="s">
        <v>64</v>
      </c>
      <c r="N40" s="151" t="s">
        <v>274</v>
      </c>
      <c r="O40" s="151">
        <v>1350</v>
      </c>
      <c r="P40" s="151">
        <v>1026</v>
      </c>
      <c r="Q40" s="151">
        <v>155</v>
      </c>
    </row>
    <row r="41" spans="1:19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+C41+'23'!D41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49.902916666666663</v>
      </c>
      <c r="K41" s="132" t="s">
        <v>64</v>
      </c>
      <c r="Q41" s="151">
        <f>+Q37+Q38+Q39+Q40</f>
        <v>1440</v>
      </c>
    </row>
    <row r="42" spans="1:19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+C42+'23'!D42</f>
        <v>0</v>
      </c>
      <c r="E42" s="145">
        <f t="shared" ca="1" si="0"/>
        <v>0</v>
      </c>
      <c r="F42" s="330">
        <f>+(F38*480+F39*480+F40*480)/1440</f>
        <v>1311.1111111111111</v>
      </c>
      <c r="G42" s="330">
        <f>+(G38*480+G39*480+G40*480)/1440</f>
        <v>992.33333333333337</v>
      </c>
      <c r="H42" s="187" t="s">
        <v>71</v>
      </c>
      <c r="I42" s="244" t="s">
        <v>716</v>
      </c>
      <c r="J42" s="134"/>
      <c r="K42" s="132" t="s">
        <v>72</v>
      </c>
    </row>
    <row r="43" spans="1:19" ht="17.45" customHeight="1">
      <c r="A43" s="775" t="s">
        <v>73</v>
      </c>
      <c r="B43" s="776"/>
      <c r="C43" s="166">
        <f>SUMIF($G$7:$G$31,"Water",$F$7:$F$31)</f>
        <v>0</v>
      </c>
      <c r="D43" s="120">
        <f ca="1">+C43+'23'!D43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+Report1!Z32</f>
        <v>120.5</v>
      </c>
      <c r="J43" s="135">
        <f>+I43+'23'!J43</f>
        <v>2929.2000000000007</v>
      </c>
      <c r="K43" s="132" t="s">
        <v>64</v>
      </c>
      <c r="L43" s="189"/>
    </row>
    <row r="44" spans="1:19" ht="17.45" customHeight="1">
      <c r="A44" s="775" t="s">
        <v>16</v>
      </c>
      <c r="B44" s="776"/>
      <c r="C44" s="166">
        <f>SUMIF($G$7:$G$31,"PLN",$F$7:$F$31)</f>
        <v>0</v>
      </c>
      <c r="D44" s="120">
        <f>+C44+'23'!D44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2.3881247770422926</v>
      </c>
      <c r="J44" s="136">
        <f>J43/J38</f>
        <v>2.3892664090774511</v>
      </c>
      <c r="K44" s="132" t="s">
        <v>64</v>
      </c>
    </row>
    <row r="45" spans="1:19" ht="17.45" customHeight="1">
      <c r="A45" s="775" t="s">
        <v>17</v>
      </c>
      <c r="B45" s="776"/>
      <c r="C45" s="166">
        <f>SUMIF($G$7:$G$31,"Boiler",$F$7:$F$31)</f>
        <v>0</v>
      </c>
      <c r="D45" s="120">
        <f>+C45+'23'!D45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2.3113958529146603</v>
      </c>
      <c r="J45" s="136">
        <f>J43/J40</f>
        <v>2.4457488289762632</v>
      </c>
      <c r="K45" s="132" t="s">
        <v>64</v>
      </c>
    </row>
    <row r="46" spans="1:19" ht="17.45" customHeight="1">
      <c r="A46" s="775" t="s">
        <v>77</v>
      </c>
      <c r="B46" s="776"/>
      <c r="C46" s="166">
        <f>SUMIF($G$7:$G$31,"Gas",$F$7:$F$31)</f>
        <v>0</v>
      </c>
      <c r="D46" s="120">
        <f>+C46+'23'!D46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+SUMIF(Listrik!AN31,"&gt;0")</f>
        <v>48553.368763632883</v>
      </c>
      <c r="J46" s="137">
        <f>+I46+'23'!J46</f>
        <v>1086346.4440987266</v>
      </c>
      <c r="K46" s="132" t="s">
        <v>79</v>
      </c>
    </row>
    <row r="47" spans="1:19" ht="17.45" customHeight="1">
      <c r="A47" s="775" t="s">
        <v>80</v>
      </c>
      <c r="B47" s="776"/>
      <c r="C47" s="166">
        <f>SUMIF($G$7:$G$31,"Gas",$F$7:$F$31)</f>
        <v>0</v>
      </c>
      <c r="D47" s="120">
        <f>+C47+'23'!D47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962.2531365419336</v>
      </c>
      <c r="J47" s="137">
        <f>J46/J38</f>
        <v>886.10237180998979</v>
      </c>
      <c r="K47" s="132" t="s">
        <v>23</v>
      </c>
    </row>
    <row r="48" spans="1:19" ht="17.45" customHeight="1">
      <c r="A48" s="775" t="s">
        <v>13</v>
      </c>
      <c r="B48" s="776"/>
      <c r="C48" s="166">
        <f>SUMIF($G$7:$G$31,"Start Up",$F$7:$F$31)</f>
        <v>0</v>
      </c>
      <c r="D48" s="120">
        <f>+C48+'23'!D48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931.3365577203092</v>
      </c>
      <c r="J48" s="137">
        <f>J46/J40</f>
        <v>907.04989195581982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+C49+'23'!D49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+I49+'23'!J49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+C50+'23'!D50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+C51+'23'!D51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28</v>
      </c>
      <c r="D52" s="146">
        <f ca="1">SUM(D38:D51)</f>
        <v>1013</v>
      </c>
      <c r="E52" s="147">
        <f ca="1">SUM(E38:E51)</f>
        <v>16.883333333333333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1.9444444444444445E-2</v>
      </c>
      <c r="D53" s="148">
        <f ca="1">D52/(24*60*G4)</f>
        <v>2.9311342592592594E-2</v>
      </c>
      <c r="E53" s="149">
        <f ca="1">E52/(G4*24)</f>
        <v>2.931134259259259E-2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+D34+'23'!J56</f>
        <v>3760</v>
      </c>
      <c r="K56" s="201">
        <f>J56/(J40+J56/1000)/1000</f>
        <v>3.1296038886993002E-3</v>
      </c>
    </row>
    <row r="57" spans="1:11">
      <c r="A57" s="176"/>
      <c r="I57" s="199" t="s">
        <v>90</v>
      </c>
      <c r="J57" s="200">
        <f>+E34+'23'!J57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4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3.7109375" style="151" customWidth="1"/>
    <col min="14" max="16384" width="9.140625" style="151"/>
  </cols>
  <sheetData>
    <row r="1" spans="1:19" ht="15.75">
      <c r="A1" s="150"/>
    </row>
    <row r="2" spans="1:19" ht="15.75">
      <c r="A2" s="150" t="s">
        <v>224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23</v>
      </c>
      <c r="H4" s="156" t="str">
        <f>+'1'!H4</f>
        <v>.12.25</v>
      </c>
      <c r="J4" s="151">
        <f>376+408+302</f>
        <v>1086</v>
      </c>
    </row>
    <row r="5" spans="1:19" ht="13.5" thickBot="1">
      <c r="C5" s="157"/>
      <c r="D5" s="157"/>
    </row>
    <row r="6" spans="1:19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 t="s">
        <v>687</v>
      </c>
      <c r="O6" s="151">
        <v>1350</v>
      </c>
      <c r="P6" s="151">
        <f>+O6-(O6*0.25)</f>
        <v>1012.5</v>
      </c>
      <c r="Q6" s="151">
        <f>60*6</f>
        <v>360</v>
      </c>
      <c r="R6" s="151">
        <f>+O6*Q6</f>
        <v>486000</v>
      </c>
      <c r="S6" s="151">
        <f>+P6*Q6</f>
        <v>364500</v>
      </c>
    </row>
    <row r="7" spans="1:19" ht="13.5" customHeight="1" thickBot="1">
      <c r="A7" s="781" t="s">
        <v>362</v>
      </c>
      <c r="B7" s="215" t="s">
        <v>686</v>
      </c>
      <c r="C7" s="216">
        <v>16913</v>
      </c>
      <c r="D7" s="217"/>
      <c r="E7" s="218"/>
      <c r="F7" s="229"/>
      <c r="G7" s="548" t="s">
        <v>11</v>
      </c>
      <c r="H7" s="549" t="s">
        <v>392</v>
      </c>
      <c r="I7" s="784" t="s">
        <v>697</v>
      </c>
      <c r="J7" s="214" t="str">
        <f>+'22'!J7</f>
        <v>F 15 VP OW</v>
      </c>
      <c r="K7" s="237"/>
      <c r="L7" s="240"/>
      <c r="M7" s="119">
        <f>+K7+'22'!M7+L7</f>
        <v>24540</v>
      </c>
      <c r="N7" s="151" t="s">
        <v>693</v>
      </c>
      <c r="O7" s="151">
        <v>1280</v>
      </c>
      <c r="P7" s="151">
        <f>+O7-(O7*0.25)</f>
        <v>960</v>
      </c>
      <c r="Q7" s="151">
        <f>480-Q6</f>
        <v>120</v>
      </c>
      <c r="R7" s="151">
        <f>+O7*Q7</f>
        <v>153600</v>
      </c>
      <c r="S7" s="151">
        <f>+P7*Q7</f>
        <v>115200</v>
      </c>
    </row>
    <row r="8" spans="1:19" ht="13.5" thickBot="1">
      <c r="A8" s="782"/>
      <c r="B8" s="215" t="s">
        <v>666</v>
      </c>
      <c r="C8" s="216">
        <v>631</v>
      </c>
      <c r="D8" s="217"/>
      <c r="E8" s="219"/>
      <c r="F8" s="229">
        <v>2</v>
      </c>
      <c r="G8" s="550" t="s">
        <v>11</v>
      </c>
      <c r="H8" s="549" t="s">
        <v>446</v>
      </c>
      <c r="I8" s="785"/>
      <c r="J8" s="214" t="str">
        <f>+'22'!J8</f>
        <v>T 12,5 VP OW</v>
      </c>
      <c r="K8" s="237"/>
      <c r="L8" s="237"/>
      <c r="M8" s="119">
        <f>+K8+'22'!M8+L8</f>
        <v>35627</v>
      </c>
    </row>
    <row r="9" spans="1:19" ht="13.5" thickBot="1">
      <c r="A9" s="782"/>
      <c r="B9" s="215"/>
      <c r="C9" s="216"/>
      <c r="D9" s="217"/>
      <c r="E9" s="220"/>
      <c r="F9" s="229">
        <v>8</v>
      </c>
      <c r="G9" s="550" t="s">
        <v>11</v>
      </c>
      <c r="H9" s="551" t="s">
        <v>384</v>
      </c>
      <c r="I9" s="785"/>
      <c r="J9" s="214" t="str">
        <f>+'22'!J9</f>
        <v>T 14 VP OW</v>
      </c>
      <c r="K9" s="237"/>
      <c r="L9" s="237"/>
      <c r="M9" s="119">
        <f>+K9+'22'!M9+L9</f>
        <v>186632</v>
      </c>
    </row>
    <row r="10" spans="1:19" ht="39" thickBot="1">
      <c r="A10" s="782"/>
      <c r="B10" s="215"/>
      <c r="C10" s="216"/>
      <c r="D10" s="217"/>
      <c r="E10" s="219"/>
      <c r="F10" s="229"/>
      <c r="G10" s="548"/>
      <c r="H10" s="551" t="s">
        <v>689</v>
      </c>
      <c r="I10" s="785"/>
      <c r="J10" s="214" t="str">
        <f>+'22'!J10</f>
        <v>F 12 VP OW</v>
      </c>
      <c r="K10" s="237"/>
      <c r="L10" s="237"/>
      <c r="M10" s="119">
        <f>+K10+'22'!M10+L10</f>
        <v>364083</v>
      </c>
    </row>
    <row r="11" spans="1:19" ht="71.25" customHeight="1" thickBot="1">
      <c r="A11" s="782"/>
      <c r="B11" s="215"/>
      <c r="C11" s="216"/>
      <c r="D11" s="217"/>
      <c r="E11" s="219"/>
      <c r="F11" s="476"/>
      <c r="G11" s="477"/>
      <c r="H11" s="228" t="s">
        <v>690</v>
      </c>
      <c r="I11" s="785"/>
      <c r="J11" s="214" t="str">
        <f>+'22'!J11</f>
        <v>T 18 VP OW</v>
      </c>
      <c r="K11" s="237"/>
      <c r="L11" s="237"/>
      <c r="M11" s="119">
        <f>+K11+'22'!M11+L11</f>
        <v>131165</v>
      </c>
    </row>
    <row r="12" spans="1:19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+'22'!J12</f>
        <v>F 13 VP OW</v>
      </c>
      <c r="K12" s="237"/>
      <c r="L12" s="237"/>
      <c r="M12" s="119">
        <f>+K12+'22'!M12+L12</f>
        <v>47861</v>
      </c>
    </row>
    <row r="13" spans="1:19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+'22'!J13</f>
        <v>F 11,5 VP OW</v>
      </c>
      <c r="K13" s="237"/>
      <c r="L13" s="237"/>
      <c r="M13" s="119">
        <f>+K13+'22'!M13+L13</f>
        <v>68990</v>
      </c>
    </row>
    <row r="14" spans="1:19" ht="13.5" thickBot="1">
      <c r="A14" s="783"/>
      <c r="B14" s="167"/>
      <c r="C14" s="101">
        <f>SUM(C7:C13)</f>
        <v>17544</v>
      </c>
      <c r="D14" s="113">
        <f>SUM(D7:D13)</f>
        <v>0</v>
      </c>
      <c r="E14" s="114">
        <f>SUM(E5:E13)</f>
        <v>0</v>
      </c>
      <c r="F14" s="104">
        <f>SUM(F6:F13)</f>
        <v>10</v>
      </c>
      <c r="G14" s="161"/>
      <c r="H14" s="168"/>
      <c r="I14" s="169"/>
      <c r="J14" s="214" t="str">
        <f>+'22'!J14</f>
        <v>T 12 VP OW</v>
      </c>
      <c r="K14" s="237"/>
      <c r="L14" s="237"/>
      <c r="M14" s="119">
        <f>+K14+'22'!M14+L14</f>
        <v>59863</v>
      </c>
      <c r="Q14" s="176">
        <f>SUM(Q6:Q11)</f>
        <v>480</v>
      </c>
      <c r="R14" s="176">
        <f>SUM(R6:R11)</f>
        <v>639600</v>
      </c>
      <c r="S14" s="176">
        <f>SUM(S6:S11)</f>
        <v>479700</v>
      </c>
    </row>
    <row r="15" spans="1:19" ht="13.5" customHeight="1" thickBot="1">
      <c r="A15" s="787" t="s">
        <v>424</v>
      </c>
      <c r="B15" s="506"/>
      <c r="C15" s="115">
        <f>C14/($C$23+$D$23+$E$23)</f>
        <v>1.0515463917525774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696</v>
      </c>
      <c r="J15" s="214" t="str">
        <f>+'22'!J15</f>
        <v>T 17 VP OW</v>
      </c>
      <c r="K15" s="237"/>
      <c r="L15" s="237"/>
      <c r="M15" s="119">
        <f>+K15+'22'!M15+L15</f>
        <v>10757</v>
      </c>
      <c r="Q15" s="151">
        <f>480-Q14</f>
        <v>0</v>
      </c>
      <c r="R15" s="176">
        <f>+R14/Q14</f>
        <v>1332.5</v>
      </c>
      <c r="S15" s="176">
        <f>+S14/Q14</f>
        <v>999.375</v>
      </c>
    </row>
    <row r="16" spans="1:19" ht="13.5" thickBot="1">
      <c r="A16" s="782"/>
      <c r="B16" s="508" t="s">
        <v>700</v>
      </c>
      <c r="C16" s="507">
        <v>15936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+'22'!J16</f>
        <v>T 16 VP OW</v>
      </c>
      <c r="K16" s="227"/>
      <c r="L16" s="227"/>
      <c r="M16" s="119">
        <f>+K16+'22'!M16+L16</f>
        <v>52404</v>
      </c>
      <c r="N16" s="176"/>
      <c r="O16" s="526"/>
      <c r="P16" s="176"/>
    </row>
    <row r="17" spans="1:19" ht="13.5" thickBot="1">
      <c r="A17" s="782"/>
      <c r="B17" s="215" t="s">
        <v>686</v>
      </c>
      <c r="C17" s="216">
        <v>748</v>
      </c>
      <c r="D17" s="217"/>
      <c r="E17" s="223"/>
      <c r="F17" s="229">
        <v>8</v>
      </c>
      <c r="G17" s="550" t="s">
        <v>11</v>
      </c>
      <c r="H17" s="551" t="s">
        <v>416</v>
      </c>
      <c r="I17" s="785"/>
      <c r="J17" s="214" t="str">
        <f>+'22'!J17</f>
        <v>T 15 VP OW</v>
      </c>
      <c r="K17" s="227">
        <f>+C8</f>
        <v>631</v>
      </c>
      <c r="L17" s="227"/>
      <c r="M17" s="119">
        <f>+K17+'22'!M17+L17</f>
        <v>110524</v>
      </c>
      <c r="N17" s="151" t="s">
        <v>693</v>
      </c>
      <c r="O17" s="151">
        <v>1280</v>
      </c>
      <c r="P17" s="151">
        <f>+O17-(O17*0.25)</f>
        <v>960</v>
      </c>
      <c r="Q17" s="151">
        <v>480</v>
      </c>
      <c r="R17" s="151">
        <f>+O17*Q17</f>
        <v>614400</v>
      </c>
      <c r="S17" s="151">
        <f>+P17*Q17</f>
        <v>460800</v>
      </c>
    </row>
    <row r="18" spans="1:19" ht="51.75" thickBot="1">
      <c r="A18" s="782"/>
      <c r="B18" s="215"/>
      <c r="C18" s="216"/>
      <c r="D18" s="217"/>
      <c r="E18" s="223"/>
      <c r="F18" s="229"/>
      <c r="G18" s="548"/>
      <c r="H18" s="551" t="s">
        <v>694</v>
      </c>
      <c r="I18" s="785"/>
      <c r="J18" s="214" t="str">
        <f>+'22'!J18</f>
        <v>T 13,5 VP OW</v>
      </c>
      <c r="K18" s="237">
        <f>+C7+C17</f>
        <v>17661</v>
      </c>
      <c r="L18" s="237"/>
      <c r="M18" s="119">
        <f>+K18+'22'!M18+L18</f>
        <v>20648</v>
      </c>
      <c r="P18" s="151">
        <f>+O18-(O18*0.25)</f>
        <v>0</v>
      </c>
      <c r="Q18" s="151">
        <f>480-Q17</f>
        <v>0</v>
      </c>
      <c r="R18" s="151">
        <f>+O18*Q18</f>
        <v>0</v>
      </c>
      <c r="S18" s="151">
        <f>+P18*Q18</f>
        <v>0</v>
      </c>
    </row>
    <row r="19" spans="1:19" ht="39" thickBot="1">
      <c r="A19" s="782"/>
      <c r="B19" s="215"/>
      <c r="C19" s="216"/>
      <c r="D19" s="217"/>
      <c r="E19" s="223"/>
      <c r="F19" s="226"/>
      <c r="G19" s="230"/>
      <c r="H19" s="228" t="s">
        <v>692</v>
      </c>
      <c r="I19" s="785"/>
      <c r="J19" s="214" t="s">
        <v>700</v>
      </c>
      <c r="K19" s="237">
        <f>+C16+C25</f>
        <v>32443</v>
      </c>
      <c r="L19" s="237"/>
      <c r="M19" s="119">
        <f>+K19+'22'!M19+L19</f>
        <v>32443</v>
      </c>
    </row>
    <row r="20" spans="1:19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+'22'!J20</f>
        <v>0</v>
      </c>
      <c r="K20" s="238"/>
      <c r="L20" s="238"/>
      <c r="M20" s="119">
        <f>+K20+'22'!M20+L20</f>
        <v>0</v>
      </c>
    </row>
    <row r="21" spans="1:19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+'22'!J21</f>
        <v>0</v>
      </c>
      <c r="K21" s="237"/>
      <c r="L21" s="237"/>
      <c r="M21" s="119">
        <f>+K21+'22'!M21+L21</f>
        <v>0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+'22'!J22</f>
        <v>0</v>
      </c>
      <c r="K22" s="237"/>
      <c r="L22" s="237"/>
      <c r="M22" s="119">
        <f>+K22+'22'!M22+L22</f>
        <v>0</v>
      </c>
    </row>
    <row r="23" spans="1:19" ht="13.5" thickBot="1">
      <c r="A23" s="783"/>
      <c r="B23" s="167" t="s">
        <v>2</v>
      </c>
      <c r="C23" s="101">
        <f>SUM(C16:C22)</f>
        <v>16684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+'22'!J23</f>
        <v>0</v>
      </c>
      <c r="K23" s="237"/>
      <c r="L23" s="237"/>
      <c r="M23" s="119">
        <f>+K23+'22'!M23+L23</f>
        <v>0</v>
      </c>
    </row>
    <row r="24" spans="1:19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696</v>
      </c>
      <c r="J24" s="214">
        <f>+'22'!J24</f>
        <v>0</v>
      </c>
      <c r="K24" s="237"/>
      <c r="L24" s="237"/>
      <c r="M24" s="119">
        <f>+K24+'22'!M24+L24</f>
        <v>0</v>
      </c>
    </row>
    <row r="25" spans="1:19" ht="13.5" thickBot="1">
      <c r="A25" s="782"/>
      <c r="B25" s="215" t="s">
        <v>700</v>
      </c>
      <c r="C25" s="224">
        <v>16507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+'22'!J25</f>
        <v>0</v>
      </c>
      <c r="K25" s="237"/>
      <c r="L25" s="237"/>
      <c r="M25" s="119">
        <f>+K25+'22'!M25+L25</f>
        <v>0</v>
      </c>
      <c r="Q25" s="176">
        <f>SUM(Q17:Q22)</f>
        <v>480</v>
      </c>
      <c r="R25" s="176">
        <f>SUM(R17:R22)</f>
        <v>614400</v>
      </c>
      <c r="S25" s="176">
        <f>SUM(S17:S22)</f>
        <v>460800</v>
      </c>
    </row>
    <row r="26" spans="1:19" ht="13.5" thickBot="1">
      <c r="A26" s="782"/>
      <c r="B26" s="215"/>
      <c r="C26" s="224"/>
      <c r="D26" s="217"/>
      <c r="E26" s="225"/>
      <c r="F26" s="229">
        <v>6</v>
      </c>
      <c r="G26" s="550" t="s">
        <v>11</v>
      </c>
      <c r="H26" s="551" t="s">
        <v>384</v>
      </c>
      <c r="I26" s="785"/>
      <c r="J26" s="214">
        <f>+'22'!J26</f>
        <v>0</v>
      </c>
      <c r="K26" s="237"/>
      <c r="L26" s="237"/>
      <c r="M26" s="119">
        <f>+K26+'22'!M26+L26</f>
        <v>0</v>
      </c>
      <c r="Q26" s="151">
        <f>480-Q25</f>
        <v>0</v>
      </c>
      <c r="R26" s="176">
        <f>+R25/Q25</f>
        <v>1280</v>
      </c>
      <c r="S26" s="176">
        <f>+S25/Q25</f>
        <v>960</v>
      </c>
    </row>
    <row r="27" spans="1:19" ht="51.75" thickBot="1">
      <c r="A27" s="782"/>
      <c r="B27" s="215"/>
      <c r="C27" s="216"/>
      <c r="D27" s="217"/>
      <c r="E27" s="223"/>
      <c r="F27" s="229"/>
      <c r="G27" s="548"/>
      <c r="H27" s="551" t="s">
        <v>695</v>
      </c>
      <c r="I27" s="785"/>
      <c r="J27" s="214">
        <f>+'22'!J27</f>
        <v>0</v>
      </c>
      <c r="K27" s="237"/>
      <c r="L27" s="237"/>
      <c r="M27" s="119">
        <f>+K27+'22'!M27+L27</f>
        <v>0</v>
      </c>
      <c r="N27" s="151" t="s">
        <v>693</v>
      </c>
      <c r="O27" s="151">
        <v>1280</v>
      </c>
      <c r="P27" s="151">
        <f>+O27-(O27*0.25)</f>
        <v>960</v>
      </c>
      <c r="Q27" s="151">
        <v>480</v>
      </c>
      <c r="R27" s="151">
        <f>+O27*Q27</f>
        <v>614400</v>
      </c>
      <c r="S27" s="151">
        <f>+P27*Q27</f>
        <v>460800</v>
      </c>
    </row>
    <row r="28" spans="1:19" ht="13.5" thickBot="1">
      <c r="A28" s="782"/>
      <c r="B28" s="215"/>
      <c r="C28" s="216"/>
      <c r="D28" s="217"/>
      <c r="E28" s="223"/>
      <c r="F28" s="226"/>
      <c r="G28" s="230"/>
      <c r="H28" s="228" t="s">
        <v>691</v>
      </c>
      <c r="I28" s="785"/>
      <c r="J28" s="214">
        <f>+'22'!J28</f>
        <v>0</v>
      </c>
      <c r="K28" s="237"/>
      <c r="L28" s="237"/>
      <c r="M28" s="119">
        <f>+K28+'22'!M28+L28</f>
        <v>0</v>
      </c>
      <c r="P28" s="151">
        <f>+O28-(O28*0.25)</f>
        <v>0</v>
      </c>
      <c r="Q28" s="151">
        <f>480-Q27</f>
        <v>0</v>
      </c>
      <c r="R28" s="151">
        <f>+O28*Q28</f>
        <v>0</v>
      </c>
      <c r="S28" s="151">
        <f>+P28*Q28</f>
        <v>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+'22'!J29</f>
        <v>0</v>
      </c>
      <c r="K29" s="237"/>
      <c r="L29" s="237"/>
      <c r="M29" s="119">
        <f>+K29+'22'!M29+L29</f>
        <v>0</v>
      </c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+'22'!J30</f>
        <v>0</v>
      </c>
      <c r="K30" s="237"/>
      <c r="L30" s="237"/>
      <c r="M30" s="119">
        <f>+K30+'22'!M30+L30</f>
        <v>0</v>
      </c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+'22'!J31</f>
        <v>0</v>
      </c>
      <c r="K31" s="237"/>
      <c r="L31" s="237"/>
      <c r="M31" s="119">
        <f>+K31+'22'!M31+L31</f>
        <v>0</v>
      </c>
    </row>
    <row r="32" spans="1:19" ht="13.5" thickBot="1">
      <c r="A32" s="783"/>
      <c r="B32" s="167" t="s">
        <v>2</v>
      </c>
      <c r="C32" s="101">
        <f>SUM(C25:C31)</f>
        <v>16507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+'22'!J32</f>
        <v>0</v>
      </c>
      <c r="K32" s="239"/>
      <c r="L32" s="241"/>
      <c r="M32" s="119">
        <f>+K32+'22'!M32+L32</f>
        <v>0</v>
      </c>
    </row>
    <row r="33" spans="1:19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9" ht="13.5" thickBot="1">
      <c r="A34" s="788" t="s">
        <v>58</v>
      </c>
      <c r="B34" s="789"/>
      <c r="C34" s="109">
        <f>C14+C23+C32</f>
        <v>50735</v>
      </c>
      <c r="D34" s="109">
        <f>D14+D23+D32</f>
        <v>0</v>
      </c>
      <c r="E34" s="109">
        <f>E14+E23+E32</f>
        <v>0</v>
      </c>
      <c r="F34" s="110">
        <f>F14+F23+F32</f>
        <v>24</v>
      </c>
      <c r="H34" s="178"/>
      <c r="I34" s="178"/>
      <c r="J34" s="125" t="s">
        <v>27</v>
      </c>
      <c r="K34" s="126">
        <f>SUM(K7:K32)</f>
        <v>50735</v>
      </c>
      <c r="L34" s="212">
        <f>SUM(L7:L32)</f>
        <v>0</v>
      </c>
      <c r="M34" s="122">
        <f>SUM(M7:M32)</f>
        <v>1145537</v>
      </c>
    </row>
    <row r="35" spans="1:19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  <c r="Q35" s="176">
        <f>SUM(Q27:Q32)</f>
        <v>480</v>
      </c>
      <c r="R35" s="176">
        <f>SUM(R27:R32)</f>
        <v>614400</v>
      </c>
      <c r="S35" s="176">
        <f>SUM(S27:S32)</f>
        <v>460800</v>
      </c>
    </row>
    <row r="36" spans="1:19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  <c r="Q36" s="151">
        <f>480-Q35</f>
        <v>0</v>
      </c>
      <c r="R36" s="176">
        <f>+R35/Q35</f>
        <v>1280</v>
      </c>
      <c r="S36" s="176">
        <f>+S35/Q35</f>
        <v>960</v>
      </c>
    </row>
    <row r="37" spans="1:19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(13.5*360+14.5*1080)/1440*G42*2.85*1440/1000000</f>
        <v>56.910296250000002</v>
      </c>
      <c r="J37" s="127">
        <f>+I37+'22'!J37</f>
        <v>1269.7179442628828</v>
      </c>
      <c r="K37" s="128" t="s">
        <v>64</v>
      </c>
    </row>
    <row r="38" spans="1:19" ht="17.45" customHeight="1">
      <c r="A38" s="779" t="s">
        <v>11</v>
      </c>
      <c r="B38" s="780"/>
      <c r="C38" s="166">
        <f>SUMIF($G$7:$G$31,"Process",$F$7:$F$31)</f>
        <v>24</v>
      </c>
      <c r="D38" s="120">
        <f>+C38+'22'!D38</f>
        <v>867</v>
      </c>
      <c r="E38" s="145">
        <f t="shared" ref="E38:E51" si="0">D38/60</f>
        <v>14.45</v>
      </c>
      <c r="F38" s="330">
        <v>1332.5</v>
      </c>
      <c r="G38" s="330">
        <v>999.375</v>
      </c>
      <c r="H38" s="187" t="s">
        <v>65</v>
      </c>
      <c r="I38" s="243">
        <f>17.396+17.609+18.441</f>
        <v>53.445999999999998</v>
      </c>
      <c r="J38" s="129">
        <f>+I38+'22'!J38</f>
        <v>1175.5249999999999</v>
      </c>
      <c r="K38" s="130" t="s">
        <v>64</v>
      </c>
    </row>
    <row r="39" spans="1:19" ht="17.45" customHeight="1">
      <c r="A39" s="775" t="s">
        <v>12</v>
      </c>
      <c r="B39" s="776"/>
      <c r="C39" s="166">
        <f>SUMIF($G$7:$G$31,"Cleaning",$F$7:$F$31)</f>
        <v>0</v>
      </c>
      <c r="D39" s="120">
        <f>+C39+'22'!D39</f>
        <v>0</v>
      </c>
      <c r="E39" s="145">
        <f t="shared" si="0"/>
        <v>0</v>
      </c>
      <c r="F39" s="330">
        <v>1280</v>
      </c>
      <c r="G39" s="330">
        <v>960</v>
      </c>
      <c r="H39" s="187" t="s">
        <v>66</v>
      </c>
      <c r="I39" s="144"/>
      <c r="J39" s="131">
        <f>J37/G4</f>
        <v>55.205128011429686</v>
      </c>
      <c r="K39" s="132" t="s">
        <v>64</v>
      </c>
      <c r="N39" s="151" t="s">
        <v>687</v>
      </c>
      <c r="O39" s="151">
        <v>1350</v>
      </c>
      <c r="P39" s="151">
        <v>1012.5</v>
      </c>
      <c r="Q39" s="151">
        <v>360</v>
      </c>
    </row>
    <row r="40" spans="1:19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+C40+'22'!D40</f>
        <v>0</v>
      </c>
      <c r="E40" s="145">
        <f t="shared" ca="1" si="0"/>
        <v>0</v>
      </c>
      <c r="F40" s="330">
        <v>1280</v>
      </c>
      <c r="G40" s="330">
        <v>960</v>
      </c>
      <c r="H40" s="187" t="s">
        <v>68</v>
      </c>
      <c r="I40" s="120">
        <f>(K34+L34)/1000</f>
        <v>50.734999999999999</v>
      </c>
      <c r="J40" s="133">
        <f>+I40+'22'!J40</f>
        <v>1145.5369999999998</v>
      </c>
      <c r="K40" s="132" t="s">
        <v>64</v>
      </c>
      <c r="N40" s="151" t="s">
        <v>693</v>
      </c>
      <c r="O40" s="151">
        <v>1280</v>
      </c>
      <c r="P40" s="151">
        <v>960</v>
      </c>
      <c r="Q40" s="151">
        <f>120+480+480</f>
        <v>1080</v>
      </c>
    </row>
    <row r="41" spans="1:19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+C41+'22'!D41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49.80595652173912</v>
      </c>
      <c r="K41" s="132" t="s">
        <v>64</v>
      </c>
      <c r="Q41" s="151">
        <f>+Q39+Q40</f>
        <v>1440</v>
      </c>
    </row>
    <row r="42" spans="1:19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+C42+'22'!D42</f>
        <v>0</v>
      </c>
      <c r="E42" s="145">
        <f t="shared" ca="1" si="0"/>
        <v>0</v>
      </c>
      <c r="F42" s="330">
        <f>+(F38*480+F39*480+F40*480)/1440</f>
        <v>1297.5</v>
      </c>
      <c r="G42" s="330">
        <f>+(G38*480+G39*480+G40*480)/1440</f>
        <v>973.125</v>
      </c>
      <c r="H42" s="187" t="s">
        <v>71</v>
      </c>
      <c r="I42" s="244" t="s">
        <v>698</v>
      </c>
      <c r="J42" s="134"/>
      <c r="K42" s="132" t="s">
        <v>72</v>
      </c>
    </row>
    <row r="43" spans="1:19" ht="17.45" customHeight="1">
      <c r="A43" s="775" t="s">
        <v>73</v>
      </c>
      <c r="B43" s="776"/>
      <c r="C43" s="166">
        <f>SUMIF($G$7:$G$31,"Water",$F$7:$F$31)</f>
        <v>0</v>
      </c>
      <c r="D43" s="120">
        <f ca="1">+C43+'22'!D43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+Report1!Z31</f>
        <v>120.1</v>
      </c>
      <c r="J43" s="135">
        <f>+I43+'22'!J43</f>
        <v>2808.7000000000007</v>
      </c>
      <c r="K43" s="132" t="s">
        <v>64</v>
      </c>
      <c r="L43" s="189"/>
    </row>
    <row r="44" spans="1:19" ht="17.45" customHeight="1">
      <c r="A44" s="775" t="s">
        <v>16</v>
      </c>
      <c r="B44" s="776"/>
      <c r="C44" s="166">
        <f>SUMIF($G$7:$G$31,"PLN",$F$7:$F$31)</f>
        <v>0</v>
      </c>
      <c r="D44" s="120">
        <f>+C44+'22'!D44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2.2471279422220558</v>
      </c>
      <c r="J44" s="136">
        <f>J43/J38</f>
        <v>2.389315412262607</v>
      </c>
      <c r="K44" s="132" t="s">
        <v>64</v>
      </c>
    </row>
    <row r="45" spans="1:19" ht="17.45" customHeight="1">
      <c r="A45" s="775" t="s">
        <v>17</v>
      </c>
      <c r="B45" s="776"/>
      <c r="C45" s="166">
        <f>SUMIF($G$7:$G$31,"Boiler",$F$7:$F$31)</f>
        <v>0</v>
      </c>
      <c r="D45" s="120">
        <f>+C45+'22'!D45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2.3672021287079925</v>
      </c>
      <c r="J45" s="136">
        <f>J43/J40</f>
        <v>2.4518631873086605</v>
      </c>
      <c r="K45" s="132" t="s">
        <v>64</v>
      </c>
    </row>
    <row r="46" spans="1:19" ht="17.45" customHeight="1">
      <c r="A46" s="775" t="s">
        <v>77</v>
      </c>
      <c r="B46" s="776"/>
      <c r="C46" s="166">
        <f>SUMIF($G$7:$G$31,"Gas",$F$7:$F$31)</f>
        <v>0</v>
      </c>
      <c r="D46" s="120">
        <f>+C46+'22'!D46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+SUMIF(Listrik!AN30,"&gt;0")</f>
        <v>47900.264067301687</v>
      </c>
      <c r="J46" s="137">
        <f>+I46+'22'!J46</f>
        <v>1037793.0753350938</v>
      </c>
      <c r="K46" s="132" t="s">
        <v>79</v>
      </c>
    </row>
    <row r="47" spans="1:19" ht="17.45" customHeight="1">
      <c r="A47" s="775" t="s">
        <v>80</v>
      </c>
      <c r="B47" s="776"/>
      <c r="C47" s="166">
        <f>SUMIF($G$7:$G$31,"Gas",$F$7:$F$31)</f>
        <v>0</v>
      </c>
      <c r="D47" s="120">
        <f>+C47+'22'!D47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896.23665133595944</v>
      </c>
      <c r="J47" s="137">
        <f>J46/J38</f>
        <v>882.8336916144649</v>
      </c>
      <c r="K47" s="132" t="s">
        <v>23</v>
      </c>
    </row>
    <row r="48" spans="1:19" ht="17.45" customHeight="1">
      <c r="A48" s="775" t="s">
        <v>13</v>
      </c>
      <c r="B48" s="776"/>
      <c r="C48" s="166">
        <f>SUMIF($G$7:$G$31,"Start Up",$F$7:$F$31)</f>
        <v>0</v>
      </c>
      <c r="D48" s="120">
        <f>+C48+'22'!D48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944.1266200315697</v>
      </c>
      <c r="J48" s="137">
        <f>J46/J40</f>
        <v>905.944614041357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+C49+'22'!D49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+I49+'22'!J49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+C50+'22'!D50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+C51+'22'!D51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24</v>
      </c>
      <c r="D52" s="146">
        <f ca="1">SUM(D38:D51)</f>
        <v>985</v>
      </c>
      <c r="E52" s="147">
        <f ca="1">SUM(E38:E51)</f>
        <v>16.416666666666664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1.6666666666666666E-2</v>
      </c>
      <c r="D53" s="148">
        <f ca="1">D52/(24*60*G4)</f>
        <v>2.9740338164251208E-2</v>
      </c>
      <c r="E53" s="149">
        <f ca="1">E52/(G4*24)</f>
        <v>2.9740338164251204E-2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+D34+'22'!J56</f>
        <v>3760</v>
      </c>
      <c r="K56" s="201">
        <f>J56/(J40+J56/1000)/1000</f>
        <v>3.2715651393852071E-3</v>
      </c>
    </row>
    <row r="57" spans="1:11">
      <c r="A57" s="176"/>
      <c r="I57" s="199" t="s">
        <v>90</v>
      </c>
      <c r="J57" s="200">
        <f>+E34+'22'!J57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710937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6" ht="15.75">
      <c r="A1" s="150"/>
    </row>
    <row r="2" spans="1:16" ht="15.75">
      <c r="A2" s="150" t="s">
        <v>224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22</v>
      </c>
      <c r="H4" s="156" t="str">
        <f>+'1'!H4</f>
        <v>.12.25</v>
      </c>
    </row>
    <row r="5" spans="1:16" ht="13.5" thickBot="1">
      <c r="C5" s="157"/>
      <c r="D5" s="157"/>
    </row>
    <row r="6" spans="1:16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366+389+362</f>
        <v>1117</v>
      </c>
    </row>
    <row r="7" spans="1:16" ht="13.5" customHeight="1" thickBot="1">
      <c r="A7" s="781" t="s">
        <v>362</v>
      </c>
      <c r="B7" s="215" t="s">
        <v>666</v>
      </c>
      <c r="C7" s="216">
        <v>19420</v>
      </c>
      <c r="D7" s="217"/>
      <c r="E7" s="218"/>
      <c r="F7" s="229"/>
      <c r="G7" s="548" t="s">
        <v>11</v>
      </c>
      <c r="H7" s="549" t="s">
        <v>392</v>
      </c>
      <c r="I7" s="784" t="s">
        <v>665</v>
      </c>
      <c r="J7" s="214" t="str">
        <f>+'21'!J7</f>
        <v>F 15 VP OW</v>
      </c>
      <c r="K7" s="236"/>
      <c r="L7" s="240"/>
      <c r="M7" s="119">
        <f>+K7+'21'!M7+L7</f>
        <v>24540</v>
      </c>
    </row>
    <row r="8" spans="1:16" ht="13.5" thickBot="1">
      <c r="A8" s="782"/>
      <c r="B8" s="215"/>
      <c r="C8" s="216"/>
      <c r="D8" s="217"/>
      <c r="E8" s="219"/>
      <c r="F8" s="229">
        <v>2</v>
      </c>
      <c r="G8" s="550" t="s">
        <v>11</v>
      </c>
      <c r="H8" s="549" t="s">
        <v>446</v>
      </c>
      <c r="I8" s="785"/>
      <c r="J8" s="214" t="str">
        <f>+'21'!J8</f>
        <v>T 12,5 VP OW</v>
      </c>
      <c r="K8" s="237"/>
      <c r="L8" s="237"/>
      <c r="M8" s="119">
        <f>+K8+'21'!M8+L8</f>
        <v>35627</v>
      </c>
      <c r="N8" s="176">
        <v>1270</v>
      </c>
      <c r="O8" s="176">
        <f>+N8-N8*0.25</f>
        <v>952.5</v>
      </c>
      <c r="P8" s="176"/>
    </row>
    <row r="9" spans="1:16" ht="13.5" thickBot="1">
      <c r="A9" s="782"/>
      <c r="B9" s="215"/>
      <c r="C9" s="216"/>
      <c r="D9" s="217"/>
      <c r="E9" s="220"/>
      <c r="F9" s="229">
        <v>5</v>
      </c>
      <c r="G9" s="550" t="s">
        <v>11</v>
      </c>
      <c r="H9" s="551" t="s">
        <v>416</v>
      </c>
      <c r="I9" s="785"/>
      <c r="J9" s="214" t="str">
        <f>+'21'!J9</f>
        <v>T 14 VP OW</v>
      </c>
      <c r="K9" s="237"/>
      <c r="L9" s="237"/>
      <c r="M9" s="119">
        <f>+K9+'21'!M9+L9</f>
        <v>186632</v>
      </c>
    </row>
    <row r="10" spans="1:16" ht="13.5" thickBot="1">
      <c r="A10" s="782"/>
      <c r="B10" s="215"/>
      <c r="C10" s="216"/>
      <c r="D10" s="217"/>
      <c r="E10" s="219"/>
      <c r="F10" s="229"/>
      <c r="G10" s="548"/>
      <c r="H10" s="551" t="s">
        <v>658</v>
      </c>
      <c r="I10" s="785"/>
      <c r="J10" s="214" t="str">
        <f>+'21'!J10</f>
        <v>F 12 VP OW</v>
      </c>
      <c r="K10" s="237"/>
      <c r="L10" s="237"/>
      <c r="M10" s="119">
        <f>+K10+'21'!M10+L10</f>
        <v>364083</v>
      </c>
    </row>
    <row r="11" spans="1:16" ht="13.5" thickBot="1">
      <c r="A11" s="782"/>
      <c r="B11" s="215"/>
      <c r="C11" s="216"/>
      <c r="D11" s="217"/>
      <c r="E11" s="219"/>
      <c r="F11" s="476"/>
      <c r="G11" s="477"/>
      <c r="H11" s="228" t="s">
        <v>675</v>
      </c>
      <c r="I11" s="785"/>
      <c r="J11" s="214" t="str">
        <f>+'21'!J11</f>
        <v>T 18 VP OW</v>
      </c>
      <c r="K11" s="237"/>
      <c r="L11" s="237"/>
      <c r="M11" s="119">
        <f>+K11+'21'!M11+L11</f>
        <v>131165</v>
      </c>
    </row>
    <row r="12" spans="1:16" ht="13.5" thickBot="1">
      <c r="A12" s="782"/>
      <c r="B12" s="215"/>
      <c r="C12" s="216"/>
      <c r="D12" s="217"/>
      <c r="E12" s="219"/>
      <c r="F12" s="226"/>
      <c r="G12" s="230"/>
      <c r="H12" s="231" t="s">
        <v>676</v>
      </c>
      <c r="I12" s="785"/>
      <c r="J12" s="214" t="str">
        <f>+'21'!J12</f>
        <v>F 13 VP OW</v>
      </c>
      <c r="K12" s="237"/>
      <c r="L12" s="237"/>
      <c r="M12" s="119">
        <f>+K12+'21'!M12+L12</f>
        <v>47861</v>
      </c>
    </row>
    <row r="13" spans="1:16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+'21'!J13</f>
        <v>F 11,5 VP OW</v>
      </c>
      <c r="K13" s="237"/>
      <c r="L13" s="237"/>
      <c r="M13" s="119">
        <f>+K13+'21'!M13+L13</f>
        <v>68990</v>
      </c>
    </row>
    <row r="14" spans="1:16" ht="13.5" thickBot="1">
      <c r="A14" s="783"/>
      <c r="B14" s="167"/>
      <c r="C14" s="113">
        <f>SUM(C7:C13)</f>
        <v>19420</v>
      </c>
      <c r="D14" s="113">
        <f>SUM(D7:D13)</f>
        <v>0</v>
      </c>
      <c r="E14" s="114">
        <f>SUM(E5:E13)</f>
        <v>0</v>
      </c>
      <c r="F14" s="104">
        <f>SUM(F6:F13)</f>
        <v>7</v>
      </c>
      <c r="G14" s="161"/>
      <c r="H14" s="168"/>
      <c r="I14" s="169"/>
      <c r="J14" s="214" t="str">
        <f>+'21'!J14</f>
        <v>T 12 VP OW</v>
      </c>
      <c r="K14" s="237"/>
      <c r="L14" s="237"/>
      <c r="M14" s="119">
        <f>+K14+'21'!M14+L14</f>
        <v>59863</v>
      </c>
    </row>
    <row r="15" spans="1:16" ht="13.5" customHeight="1" thickBot="1">
      <c r="A15" s="787" t="s">
        <v>227</v>
      </c>
      <c r="B15" s="506"/>
      <c r="C15" s="116">
        <f>C14/($C$23+$D$23+$E$23)</f>
        <v>1.0078887274237076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665</v>
      </c>
      <c r="J15" s="214" t="str">
        <f>+'21'!J15</f>
        <v>T 17 VP OW</v>
      </c>
      <c r="K15" s="237"/>
      <c r="L15" s="237"/>
      <c r="M15" s="119">
        <f>+K15+'21'!M15+L15</f>
        <v>10757</v>
      </c>
    </row>
    <row r="16" spans="1:16" ht="13.5" thickBot="1">
      <c r="A16" s="782"/>
      <c r="B16" s="215" t="s">
        <v>666</v>
      </c>
      <c r="C16" s="507">
        <v>19268</v>
      </c>
      <c r="D16" s="221"/>
      <c r="E16" s="222"/>
      <c r="F16" s="229"/>
      <c r="G16" s="550" t="s">
        <v>11</v>
      </c>
      <c r="H16" s="549" t="s">
        <v>415</v>
      </c>
      <c r="I16" s="785"/>
      <c r="J16" s="214" t="str">
        <f>+'21'!J16</f>
        <v>T 16 VP OW</v>
      </c>
      <c r="K16" s="227"/>
      <c r="L16" s="227"/>
      <c r="M16" s="119">
        <f>+K16+'21'!M16+L16</f>
        <v>52404</v>
      </c>
      <c r="O16" s="525"/>
    </row>
    <row r="17" spans="1:18" ht="13.5" thickBot="1">
      <c r="A17" s="782"/>
      <c r="B17" s="215"/>
      <c r="C17" s="216"/>
      <c r="D17" s="217"/>
      <c r="E17" s="223"/>
      <c r="F17" s="229">
        <v>6</v>
      </c>
      <c r="G17" s="550" t="s">
        <v>11</v>
      </c>
      <c r="H17" s="551" t="s">
        <v>384</v>
      </c>
      <c r="I17" s="785"/>
      <c r="J17" s="214" t="str">
        <f>+'21'!J17</f>
        <v>T 15 VP OW</v>
      </c>
      <c r="K17" s="227">
        <f>+C7+C16+C25</f>
        <v>52560</v>
      </c>
      <c r="L17" s="227"/>
      <c r="M17" s="119">
        <f>+K17+'21'!M17+L17</f>
        <v>109893</v>
      </c>
      <c r="P17" s="176"/>
    </row>
    <row r="18" spans="1:18" ht="13.5" thickBot="1">
      <c r="A18" s="782"/>
      <c r="B18" s="215"/>
      <c r="C18" s="216"/>
      <c r="D18" s="217"/>
      <c r="E18" s="223"/>
      <c r="F18" s="229"/>
      <c r="G18" s="548"/>
      <c r="H18" s="551" t="s">
        <v>658</v>
      </c>
      <c r="I18" s="785"/>
      <c r="J18" s="214" t="s">
        <v>686</v>
      </c>
      <c r="K18" s="237">
        <f>+C26</f>
        <v>2987</v>
      </c>
      <c r="L18" s="237"/>
      <c r="M18" s="119">
        <f>+K18+'21'!M18+L18</f>
        <v>2987</v>
      </c>
      <c r="Q18" s="176"/>
      <c r="R18" s="176"/>
    </row>
    <row r="19" spans="1:18" ht="13.5" thickBot="1">
      <c r="A19" s="782"/>
      <c r="B19" s="215"/>
      <c r="C19" s="216"/>
      <c r="D19" s="217"/>
      <c r="E19" s="223"/>
      <c r="F19" s="226"/>
      <c r="G19" s="230"/>
      <c r="H19" s="228" t="s">
        <v>677</v>
      </c>
      <c r="I19" s="785"/>
      <c r="J19" s="214">
        <f>+'21'!J19</f>
        <v>0</v>
      </c>
      <c r="K19" s="237"/>
      <c r="L19" s="237"/>
      <c r="M19" s="119">
        <f>+K19+'21'!M19+L19</f>
        <v>0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 t="s">
        <v>678</v>
      </c>
      <c r="I20" s="785"/>
      <c r="J20" s="214">
        <f>+'21'!J20</f>
        <v>0</v>
      </c>
      <c r="K20" s="238"/>
      <c r="L20" s="238"/>
      <c r="M20" s="119">
        <f>+K20+'21'!M20+L20</f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+'21'!J21</f>
        <v>0</v>
      </c>
      <c r="K21" s="237"/>
      <c r="L21" s="237"/>
      <c r="M21" s="119">
        <f>+K21+'21'!M21+L21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+'21'!J22</f>
        <v>0</v>
      </c>
      <c r="K22" s="237"/>
      <c r="L22" s="237"/>
      <c r="M22" s="119">
        <f>+K22+'21'!M22+L22</f>
        <v>0</v>
      </c>
    </row>
    <row r="23" spans="1:18" ht="13.5" thickBot="1">
      <c r="A23" s="783"/>
      <c r="B23" s="167" t="s">
        <v>2</v>
      </c>
      <c r="C23" s="101">
        <f>SUM(C16:C22)</f>
        <v>19268</v>
      </c>
      <c r="D23" s="113">
        <f>SUM(D16:D22)</f>
        <v>0</v>
      </c>
      <c r="E23" s="114">
        <f>SUM(E18:E22)</f>
        <v>0</v>
      </c>
      <c r="F23" s="104">
        <f>SUM(F15:F22)</f>
        <v>6</v>
      </c>
      <c r="G23" s="161"/>
      <c r="H23" s="168"/>
      <c r="I23" s="170"/>
      <c r="J23" s="214">
        <f>+'21'!J23</f>
        <v>0</v>
      </c>
      <c r="K23" s="237"/>
      <c r="L23" s="237"/>
      <c r="M23" s="119">
        <f>+K23+'21'!M23+L23</f>
        <v>0</v>
      </c>
    </row>
    <row r="24" spans="1:18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683</v>
      </c>
      <c r="J24" s="214">
        <f>+'21'!J24</f>
        <v>0</v>
      </c>
      <c r="K24" s="237"/>
      <c r="L24" s="237"/>
      <c r="M24" s="119">
        <f>+K24+'21'!M24+L24</f>
        <v>0</v>
      </c>
    </row>
    <row r="25" spans="1:18" ht="13.5" thickBot="1">
      <c r="A25" s="782"/>
      <c r="B25" s="215" t="s">
        <v>666</v>
      </c>
      <c r="C25" s="224">
        <v>13872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+'21'!J25</f>
        <v>0</v>
      </c>
      <c r="K25" s="237"/>
      <c r="L25" s="237"/>
      <c r="M25" s="119">
        <f>+K25+'21'!M25+L25</f>
        <v>0</v>
      </c>
      <c r="N25" s="176"/>
      <c r="O25" s="526"/>
      <c r="P25" s="176"/>
    </row>
    <row r="26" spans="1:18" ht="13.5" thickBot="1">
      <c r="A26" s="782"/>
      <c r="B26" s="215" t="s">
        <v>686</v>
      </c>
      <c r="C26" s="224">
        <v>2987</v>
      </c>
      <c r="D26" s="217"/>
      <c r="E26" s="225"/>
      <c r="F26" s="229">
        <v>11</v>
      </c>
      <c r="G26" s="550" t="s">
        <v>11</v>
      </c>
      <c r="H26" s="551" t="s">
        <v>384</v>
      </c>
      <c r="I26" s="785"/>
      <c r="J26" s="214">
        <f>+'21'!J26</f>
        <v>0</v>
      </c>
      <c r="K26" s="237"/>
      <c r="L26" s="237"/>
      <c r="M26" s="119">
        <f>+K26+'21'!M26+L26</f>
        <v>0</v>
      </c>
    </row>
    <row r="27" spans="1:18" ht="13.5" thickBot="1">
      <c r="A27" s="782"/>
      <c r="B27" s="215"/>
      <c r="C27" s="216"/>
      <c r="D27" s="217"/>
      <c r="E27" s="223"/>
      <c r="F27" s="229"/>
      <c r="G27" s="548"/>
      <c r="H27" s="551" t="s">
        <v>658</v>
      </c>
      <c r="I27" s="785"/>
      <c r="J27" s="214">
        <f>+'21'!J27</f>
        <v>0</v>
      </c>
      <c r="K27" s="237"/>
      <c r="L27" s="237"/>
      <c r="M27" s="119">
        <f>+K27+'21'!M27+L27</f>
        <v>0</v>
      </c>
      <c r="N27" s="176">
        <v>1270</v>
      </c>
      <c r="O27" s="176">
        <f>+N27-N27*0.25</f>
        <v>952.5</v>
      </c>
      <c r="P27" s="151">
        <f>240+25</f>
        <v>265</v>
      </c>
      <c r="Q27" s="151">
        <f>+N27*P27</f>
        <v>336550</v>
      </c>
      <c r="R27" s="151">
        <f>+O27*P27</f>
        <v>252412.5</v>
      </c>
    </row>
    <row r="28" spans="1:18" ht="26.25" thickBot="1">
      <c r="A28" s="782"/>
      <c r="B28" s="215"/>
      <c r="C28" s="216"/>
      <c r="D28" s="217"/>
      <c r="E28" s="223"/>
      <c r="F28" s="226"/>
      <c r="G28" s="230"/>
      <c r="H28" s="228" t="s">
        <v>679</v>
      </c>
      <c r="I28" s="785"/>
      <c r="J28" s="214">
        <f>+'21'!J28</f>
        <v>0</v>
      </c>
      <c r="K28" s="237"/>
      <c r="L28" s="237"/>
      <c r="M28" s="119">
        <f>+K28+'21'!M28+L28</f>
        <v>0</v>
      </c>
      <c r="N28" s="151">
        <v>1350</v>
      </c>
      <c r="O28" s="176">
        <f>+N28-N28*0.25</f>
        <v>1012.5</v>
      </c>
      <c r="P28" s="151">
        <f>480-P27</f>
        <v>215</v>
      </c>
      <c r="Q28" s="151">
        <f>+N28*P28</f>
        <v>290250</v>
      </c>
      <c r="R28" s="151">
        <f>+O28*P28</f>
        <v>217687.5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 t="s">
        <v>680</v>
      </c>
      <c r="I29" s="785"/>
      <c r="J29" s="214">
        <f>+'21'!J29</f>
        <v>0</v>
      </c>
      <c r="K29" s="237"/>
      <c r="L29" s="237"/>
      <c r="M29" s="119">
        <f>+K29+'21'!M29+L29</f>
        <v>0</v>
      </c>
      <c r="P29" s="151">
        <f>SUM(P27:P28)</f>
        <v>480</v>
      </c>
      <c r="Q29" s="151">
        <f>SUM(Q27:Q28)</f>
        <v>626800</v>
      </c>
      <c r="R29" s="151">
        <f>SUM(R27:R28)</f>
        <v>470100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682</v>
      </c>
      <c r="I30" s="785"/>
      <c r="J30" s="214">
        <f>+'21'!J30</f>
        <v>0</v>
      </c>
      <c r="K30" s="237"/>
      <c r="L30" s="237"/>
      <c r="M30" s="119">
        <f>+K30+'21'!M30+L30</f>
        <v>0</v>
      </c>
      <c r="N30" s="157"/>
      <c r="Q30" s="151">
        <f>+Q29/P29</f>
        <v>1305.8333333333333</v>
      </c>
      <c r="R30" s="151">
        <f>+R29/P29</f>
        <v>979.375</v>
      </c>
    </row>
    <row r="31" spans="1:18" ht="13.5" thickBot="1">
      <c r="A31" s="782"/>
      <c r="B31" s="215"/>
      <c r="C31" s="224"/>
      <c r="D31" s="217"/>
      <c r="E31" s="223"/>
      <c r="F31" s="234"/>
      <c r="G31" s="235"/>
      <c r="H31" s="435" t="s">
        <v>681</v>
      </c>
      <c r="I31" s="786"/>
      <c r="J31" s="214">
        <f>+'21'!J31</f>
        <v>0</v>
      </c>
      <c r="K31" s="237"/>
      <c r="L31" s="237"/>
      <c r="M31" s="119">
        <f>+K31+'21'!M31+L31</f>
        <v>0</v>
      </c>
    </row>
    <row r="32" spans="1:18" ht="13.5" thickBot="1">
      <c r="A32" s="783"/>
      <c r="B32" s="167" t="s">
        <v>2</v>
      </c>
      <c r="C32" s="101">
        <f>SUM(C25:C31)</f>
        <v>16859</v>
      </c>
      <c r="D32" s="102">
        <f>SUM(D25:D31)</f>
        <v>0</v>
      </c>
      <c r="E32" s="103">
        <f>SUM(E25:E31)</f>
        <v>0</v>
      </c>
      <c r="F32" s="101">
        <f>SUM(F24:F31)</f>
        <v>11</v>
      </c>
      <c r="G32" s="171"/>
      <c r="H32" s="172"/>
      <c r="I32" s="170"/>
      <c r="J32" s="214">
        <f>+'21'!J32</f>
        <v>0</v>
      </c>
      <c r="K32" s="239"/>
      <c r="L32" s="241"/>
      <c r="M32" s="119">
        <f>+K32+'21'!M32+L32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55547</v>
      </c>
      <c r="D34" s="109">
        <f>D14+D23+D32</f>
        <v>0</v>
      </c>
      <c r="E34" s="109">
        <f>E14+E23+E32</f>
        <v>0</v>
      </c>
      <c r="F34" s="110">
        <f>F14+F23+F32</f>
        <v>24</v>
      </c>
      <c r="H34" s="178"/>
      <c r="I34" s="178"/>
      <c r="J34" s="125" t="s">
        <v>27</v>
      </c>
      <c r="K34" s="126">
        <f>SUM(K7:K32)</f>
        <v>55547</v>
      </c>
      <c r="L34" s="212">
        <f>SUM(L7:L32)</f>
        <v>0</v>
      </c>
      <c r="M34" s="122">
        <f>SUM(M7:M32)</f>
        <v>1094802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(15*1225+13.5*215)/1440*G42*2.85*1440/1000000</f>
        <v>58.303674609375001</v>
      </c>
      <c r="J37" s="127">
        <f>+I37+'21'!J37</f>
        <v>1212.8076480128827</v>
      </c>
      <c r="K37" s="128" t="s">
        <v>64</v>
      </c>
      <c r="N37" s="157">
        <f>+I38-N38</f>
        <v>45.536000000000008</v>
      </c>
    </row>
    <row r="38" spans="1:14" ht="17.45" customHeight="1">
      <c r="A38" s="779" t="s">
        <v>11</v>
      </c>
      <c r="B38" s="780"/>
      <c r="C38" s="166">
        <f>SUMIF($G$7:$G$31,"Process",$F$7:$F$31)</f>
        <v>24</v>
      </c>
      <c r="D38" s="120">
        <f>+C38+'21'!D38</f>
        <v>843</v>
      </c>
      <c r="E38" s="145">
        <f t="shared" ref="E38:E51" si="0">D38/60</f>
        <v>14.05</v>
      </c>
      <c r="F38" s="330">
        <v>1270</v>
      </c>
      <c r="G38" s="330">
        <f>+F38-F38*0.25</f>
        <v>952.5</v>
      </c>
      <c r="H38" s="187" t="s">
        <v>65</v>
      </c>
      <c r="I38" s="243">
        <f>18.092+17.599+18.965</f>
        <v>54.656000000000006</v>
      </c>
      <c r="J38" s="129">
        <f>+I38+'21'!J38</f>
        <v>1122.079</v>
      </c>
      <c r="K38" s="130" t="s">
        <v>64</v>
      </c>
      <c r="N38" s="151">
        <f>0.524+2.227+2.173+1.873+2.323</f>
        <v>9.1199999999999992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+C39+'21'!D39</f>
        <v>0</v>
      </c>
      <c r="E39" s="145">
        <f t="shared" si="0"/>
        <v>0</v>
      </c>
      <c r="F39" s="330">
        <v>1270</v>
      </c>
      <c r="G39" s="330">
        <f>+F39-F39*0.25</f>
        <v>952.5</v>
      </c>
      <c r="H39" s="187" t="s">
        <v>66</v>
      </c>
      <c r="I39" s="144"/>
      <c r="J39" s="131">
        <f>J37/G4</f>
        <v>55.12762036422194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+C40+'21'!D40</f>
        <v>0</v>
      </c>
      <c r="E40" s="145">
        <f t="shared" ca="1" si="0"/>
        <v>0</v>
      </c>
      <c r="F40" s="330">
        <v>1305.8333333333333</v>
      </c>
      <c r="G40" s="330">
        <v>979.375</v>
      </c>
      <c r="H40" s="187" t="s">
        <v>68</v>
      </c>
      <c r="I40" s="120">
        <f>(K34+L34)/1000</f>
        <v>55.546999999999997</v>
      </c>
      <c r="J40" s="133">
        <f>+I40+'21'!J40</f>
        <v>1094.8019999999999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+C41+'21'!D41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49.763727272727266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+C42+'21'!D42</f>
        <v>0</v>
      </c>
      <c r="E42" s="145">
        <f t="shared" ca="1" si="0"/>
        <v>0</v>
      </c>
      <c r="F42" s="330">
        <f>+(F38*480+F39*480+F40*480)/1440</f>
        <v>1281.9444444444443</v>
      </c>
      <c r="G42" s="330">
        <f>+(G38*480+G39*480+G40*480)/1440</f>
        <v>961.45833333333337</v>
      </c>
      <c r="H42" s="187" t="s">
        <v>71</v>
      </c>
      <c r="I42" s="244" t="s">
        <v>684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+C43+'21'!D43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+Report1!Z30</f>
        <v>124.1</v>
      </c>
      <c r="J43" s="135">
        <f>+I43+'21'!J43</f>
        <v>2688.6000000000008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+C44+'21'!D44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2.2705649882903978</v>
      </c>
      <c r="J44" s="136">
        <f>J43/J38</f>
        <v>2.3960879759803015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+C45+'21'!D45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2.2341440581849605</v>
      </c>
      <c r="J45" s="136">
        <f>J43/J40</f>
        <v>2.4557865257827451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+C46+'21'!D46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+SUMIF(Listrik!AN29,"&gt;0")</f>
        <v>45153.744173637489</v>
      </c>
      <c r="J46" s="137">
        <f>+I46+'21'!J46</f>
        <v>989892.81126779213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+C47+'21'!D47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826.14432402000671</v>
      </c>
      <c r="J47" s="137">
        <f>J46/J38</f>
        <v>882.19529219225399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+C48+'21'!D48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812.89258058288465</v>
      </c>
      <c r="J48" s="137">
        <f>J46/J40</f>
        <v>904.17519448063865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+C49+'21'!D49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+I49+'21'!J49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+C50+'21'!D50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+C51+'21'!D51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24</v>
      </c>
      <c r="D52" s="146">
        <f ca="1">SUM(D38:D51)</f>
        <v>961</v>
      </c>
      <c r="E52" s="147">
        <f ca="1">SUM(E38:E51)</f>
        <v>16.016666666666669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1.6666666666666666E-2</v>
      </c>
      <c r="D53" s="148">
        <f ca="1">D52/(24*60*G4)</f>
        <v>3.0334595959595961E-2</v>
      </c>
      <c r="E53" s="149">
        <f ca="1">E52/(G4*24)</f>
        <v>3.0334595959595964E-2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+D34+'21'!J56</f>
        <v>3760</v>
      </c>
      <c r="K56" s="201">
        <f>J56/(J40+J56/1000)/1000</f>
        <v>3.4226561632388526E-3</v>
      </c>
    </row>
    <row r="57" spans="1:11">
      <c r="A57" s="176"/>
      <c r="I57" s="199" t="s">
        <v>90</v>
      </c>
      <c r="J57" s="200">
        <f>+E34+'21'!J57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710937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21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404+463+455</f>
        <v>1322</v>
      </c>
    </row>
    <row r="7" spans="1:18" ht="13.5" customHeight="1" thickBot="1">
      <c r="A7" s="781" t="s">
        <v>362</v>
      </c>
      <c r="B7" s="215" t="s">
        <v>666</v>
      </c>
      <c r="C7" s="216">
        <v>15240</v>
      </c>
      <c r="D7" s="217"/>
      <c r="E7" s="218"/>
      <c r="F7" s="229"/>
      <c r="G7" s="548" t="s">
        <v>11</v>
      </c>
      <c r="H7" s="549" t="s">
        <v>392</v>
      </c>
      <c r="I7" s="784" t="s">
        <v>665</v>
      </c>
      <c r="J7" s="334" t="str">
        <f>+'20'!J7</f>
        <v>F 15 VP OW</v>
      </c>
      <c r="K7" s="236"/>
      <c r="L7" s="240"/>
      <c r="M7" s="119">
        <f>+K7+'20'!M7+L7</f>
        <v>24540</v>
      </c>
    </row>
    <row r="8" spans="1:18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+'20'!J8</f>
        <v>T 12,5 VP OW</v>
      </c>
      <c r="K8" s="237"/>
      <c r="L8" s="237"/>
      <c r="M8" s="119">
        <f>+K8+'20'!M8+L8</f>
        <v>35627</v>
      </c>
      <c r="N8" s="151">
        <v>1270</v>
      </c>
      <c r="O8" s="151">
        <f>+N8-N8*0.25</f>
        <v>952.5</v>
      </c>
    </row>
    <row r="9" spans="1:18" ht="13.5" thickBot="1">
      <c r="A9" s="782"/>
      <c r="B9" s="215"/>
      <c r="C9" s="216"/>
      <c r="D9" s="217"/>
      <c r="E9" s="220"/>
      <c r="F9" s="229">
        <v>9</v>
      </c>
      <c r="G9" s="550" t="s">
        <v>11</v>
      </c>
      <c r="H9" s="551" t="s">
        <v>384</v>
      </c>
      <c r="I9" s="785"/>
      <c r="J9" s="214" t="str">
        <f>+'20'!J9</f>
        <v>T 14 VP OW</v>
      </c>
      <c r="K9" s="237"/>
      <c r="L9" s="237"/>
      <c r="M9" s="119">
        <f>+K9+'20'!M9+L9</f>
        <v>186632</v>
      </c>
    </row>
    <row r="10" spans="1:18" ht="13.5" customHeight="1" thickBot="1">
      <c r="A10" s="782"/>
      <c r="B10" s="215"/>
      <c r="C10" s="216"/>
      <c r="D10" s="217"/>
      <c r="E10" s="219"/>
      <c r="F10" s="229"/>
      <c r="G10" s="548"/>
      <c r="H10" s="551" t="s">
        <v>662</v>
      </c>
      <c r="I10" s="785"/>
      <c r="J10" s="214" t="str">
        <f>+'20'!J10</f>
        <v>F 12 VP OW</v>
      </c>
      <c r="K10" s="237"/>
      <c r="L10" s="237"/>
      <c r="M10" s="119">
        <f>+K10+'20'!M10+L10</f>
        <v>364083</v>
      </c>
    </row>
    <row r="11" spans="1:18" ht="13.5" thickBot="1">
      <c r="A11" s="782"/>
      <c r="B11" s="215"/>
      <c r="C11" s="216"/>
      <c r="D11" s="217"/>
      <c r="E11" s="219"/>
      <c r="F11" s="476"/>
      <c r="G11" s="477"/>
      <c r="H11" s="228" t="s">
        <v>659</v>
      </c>
      <c r="I11" s="785"/>
      <c r="J11" s="214" t="str">
        <f>+'20'!J11</f>
        <v>T 18 VP OW</v>
      </c>
      <c r="K11" s="237"/>
      <c r="L11" s="237"/>
      <c r="M11" s="119">
        <f>+K11+'20'!M11+L11</f>
        <v>131165</v>
      </c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660</v>
      </c>
      <c r="I12" s="785"/>
      <c r="J12" s="214" t="str">
        <f>+'20'!J12</f>
        <v>F 13 VP OW</v>
      </c>
      <c r="K12" s="237"/>
      <c r="L12" s="237"/>
      <c r="M12" s="119">
        <f>+K12+'20'!M12+L12</f>
        <v>47861</v>
      </c>
      <c r="P12" s="176"/>
    </row>
    <row r="13" spans="1:18" ht="13.5" thickBot="1">
      <c r="A13" s="782"/>
      <c r="B13" s="215"/>
      <c r="C13" s="216"/>
      <c r="D13" s="216"/>
      <c r="E13" s="219"/>
      <c r="F13" s="226"/>
      <c r="G13" s="230"/>
      <c r="H13" s="231" t="s">
        <v>661</v>
      </c>
      <c r="I13" s="786"/>
      <c r="J13" s="214" t="str">
        <f>+'20'!J13</f>
        <v>F 11,5 VP OW</v>
      </c>
      <c r="K13" s="237"/>
      <c r="L13" s="237"/>
      <c r="M13" s="119">
        <f>+K13+'20'!M13+L13</f>
        <v>68990</v>
      </c>
      <c r="Q13" s="176"/>
      <c r="R13" s="176"/>
    </row>
    <row r="14" spans="1:18" ht="13.5" thickBot="1">
      <c r="A14" s="783"/>
      <c r="B14" s="167"/>
      <c r="C14" s="113">
        <f>SUM(C7:C13)</f>
        <v>15240</v>
      </c>
      <c r="D14" s="113">
        <f>SUM(D7:D13)</f>
        <v>0</v>
      </c>
      <c r="E14" s="114">
        <f>SUM(E5:E13)</f>
        <v>0</v>
      </c>
      <c r="F14" s="104">
        <f>SUM(F6:F13)</f>
        <v>9</v>
      </c>
      <c r="G14" s="161"/>
      <c r="H14" s="168"/>
      <c r="I14" s="169"/>
      <c r="J14" s="214" t="str">
        <f>+'20'!J14</f>
        <v>T 12 VP OW</v>
      </c>
      <c r="K14" s="237"/>
      <c r="L14" s="237"/>
      <c r="M14" s="119">
        <f>+K14+'20'!M14+L14</f>
        <v>59863</v>
      </c>
    </row>
    <row r="15" spans="1:18" ht="13.5" customHeight="1" thickBot="1">
      <c r="A15" s="787" t="s">
        <v>227</v>
      </c>
      <c r="B15" s="506"/>
      <c r="C15" s="116">
        <f>C14/($C$23+$D$23+$E$23)</f>
        <v>0.85569904548006737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665</v>
      </c>
      <c r="J15" s="214" t="str">
        <f>+'20'!J15</f>
        <v>T 17 VP OW</v>
      </c>
      <c r="K15" s="237"/>
      <c r="L15" s="237"/>
      <c r="M15" s="119">
        <f>+K15+'20'!M15+L15</f>
        <v>10757</v>
      </c>
    </row>
    <row r="16" spans="1:18" ht="13.5" thickBot="1">
      <c r="A16" s="782"/>
      <c r="B16" s="215" t="s">
        <v>666</v>
      </c>
      <c r="C16" s="507">
        <v>17810</v>
      </c>
      <c r="D16" s="221"/>
      <c r="E16" s="222"/>
      <c r="F16" s="229">
        <v>1</v>
      </c>
      <c r="G16" s="550" t="s">
        <v>11</v>
      </c>
      <c r="H16" s="549" t="s">
        <v>446</v>
      </c>
      <c r="I16" s="785"/>
      <c r="J16" s="214" t="str">
        <f>+'20'!J16</f>
        <v>T 16 VP OW</v>
      </c>
      <c r="K16" s="227"/>
      <c r="L16" s="227"/>
      <c r="M16" s="119">
        <f>+K16+'20'!M16+L16</f>
        <v>52404</v>
      </c>
    </row>
    <row r="17" spans="1:16" ht="13.5" thickBot="1">
      <c r="A17" s="782"/>
      <c r="B17" s="215"/>
      <c r="C17" s="216"/>
      <c r="D17" s="217"/>
      <c r="E17" s="223"/>
      <c r="F17" s="229">
        <v>7</v>
      </c>
      <c r="G17" s="550" t="s">
        <v>11</v>
      </c>
      <c r="H17" s="551" t="s">
        <v>416</v>
      </c>
      <c r="I17" s="785"/>
      <c r="J17" s="214" t="str">
        <f>+'20'!J17</f>
        <v>T 15 VP OW</v>
      </c>
      <c r="K17" s="227">
        <f>+C34</f>
        <v>49656</v>
      </c>
      <c r="L17" s="227"/>
      <c r="M17" s="119">
        <f>+K17+'20'!M17+L17</f>
        <v>57333</v>
      </c>
      <c r="N17" s="176"/>
      <c r="O17" s="176"/>
      <c r="P17" s="176"/>
    </row>
    <row r="18" spans="1:16" ht="13.5" customHeight="1" thickBot="1">
      <c r="A18" s="782"/>
      <c r="B18" s="215"/>
      <c r="C18" s="216"/>
      <c r="D18" s="217"/>
      <c r="E18" s="223"/>
      <c r="F18" s="229"/>
      <c r="G18" s="548"/>
      <c r="H18" s="551" t="s">
        <v>662</v>
      </c>
      <c r="I18" s="785"/>
      <c r="J18" s="214">
        <f>+'20'!J18</f>
        <v>0</v>
      </c>
      <c r="K18" s="237"/>
      <c r="L18" s="237"/>
      <c r="M18" s="119">
        <f>+K18+'20'!M18+L18</f>
        <v>0</v>
      </c>
    </row>
    <row r="19" spans="1:16" ht="13.5" thickBot="1">
      <c r="A19" s="782"/>
      <c r="B19" s="215"/>
      <c r="C19" s="216"/>
      <c r="D19" s="217"/>
      <c r="E19" s="223"/>
      <c r="F19" s="226"/>
      <c r="G19" s="230"/>
      <c r="H19" s="228" t="s">
        <v>663</v>
      </c>
      <c r="I19" s="785"/>
      <c r="J19" s="214">
        <f>+'20'!J19</f>
        <v>0</v>
      </c>
      <c r="K19" s="237"/>
      <c r="L19" s="237"/>
      <c r="M19" s="119">
        <f>+K19+'20'!M19+L19</f>
        <v>0</v>
      </c>
    </row>
    <row r="20" spans="1:16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+'20'!J20</f>
        <v>0</v>
      </c>
      <c r="K20" s="238"/>
      <c r="L20" s="238"/>
      <c r="M20" s="119">
        <f>+K20+'20'!M20+L20</f>
        <v>0</v>
      </c>
    </row>
    <row r="21" spans="1:16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+'20'!J21</f>
        <v>0</v>
      </c>
      <c r="K21" s="237"/>
      <c r="L21" s="237"/>
      <c r="M21" s="119">
        <f>+K21+'20'!M21+L21</f>
        <v>0</v>
      </c>
    </row>
    <row r="22" spans="1:16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+'20'!J22</f>
        <v>0</v>
      </c>
      <c r="K22" s="237"/>
      <c r="L22" s="237"/>
      <c r="M22" s="119">
        <f>+K22+'20'!M22+L22</f>
        <v>0</v>
      </c>
    </row>
    <row r="23" spans="1:16" ht="13.5" thickBot="1">
      <c r="A23" s="783"/>
      <c r="B23" s="167" t="s">
        <v>2</v>
      </c>
      <c r="C23" s="101">
        <f>SUM(C16:C22)</f>
        <v>17810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+'20'!J23</f>
        <v>0</v>
      </c>
      <c r="K23" s="237"/>
      <c r="L23" s="237"/>
      <c r="M23" s="119">
        <f>+K23+'20'!M23+L23</f>
        <v>0</v>
      </c>
    </row>
    <row r="24" spans="1:16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665</v>
      </c>
      <c r="J24" s="214">
        <f>+'20'!J24</f>
        <v>0</v>
      </c>
      <c r="K24" s="237"/>
      <c r="L24" s="237"/>
      <c r="M24" s="119">
        <f>+K24+'20'!M24+L24</f>
        <v>0</v>
      </c>
    </row>
    <row r="25" spans="1:16" ht="13.5" thickBot="1">
      <c r="A25" s="782"/>
      <c r="B25" s="215" t="s">
        <v>666</v>
      </c>
      <c r="C25" s="224">
        <v>16606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+'20'!J25</f>
        <v>0</v>
      </c>
      <c r="K25" s="237"/>
      <c r="L25" s="237"/>
      <c r="M25" s="119">
        <f>+K25+'20'!M25+L25</f>
        <v>0</v>
      </c>
    </row>
    <row r="26" spans="1:16" ht="13.5" thickBot="1">
      <c r="A26" s="782"/>
      <c r="B26" s="215"/>
      <c r="C26" s="224"/>
      <c r="D26" s="217"/>
      <c r="E26" s="225"/>
      <c r="F26" s="229">
        <v>6</v>
      </c>
      <c r="G26" s="550" t="s">
        <v>11</v>
      </c>
      <c r="H26" s="551" t="s">
        <v>469</v>
      </c>
      <c r="I26" s="785"/>
      <c r="J26" s="214">
        <f>+'20'!J26</f>
        <v>0</v>
      </c>
      <c r="K26" s="237"/>
      <c r="L26" s="237"/>
      <c r="M26" s="119">
        <f>+K26+'20'!M26+L26</f>
        <v>0</v>
      </c>
      <c r="N26" s="176"/>
      <c r="O26" s="176"/>
      <c r="P26" s="176"/>
    </row>
    <row r="27" spans="1:16" ht="13.5" thickBot="1">
      <c r="A27" s="782"/>
      <c r="B27" s="215"/>
      <c r="C27" s="216"/>
      <c r="D27" s="217"/>
      <c r="E27" s="223"/>
      <c r="F27" s="229"/>
      <c r="G27" s="548"/>
      <c r="H27" s="551" t="s">
        <v>658</v>
      </c>
      <c r="I27" s="785"/>
      <c r="J27" s="214">
        <f>+'20'!J27</f>
        <v>0</v>
      </c>
      <c r="K27" s="237"/>
      <c r="L27" s="237"/>
      <c r="M27" s="119">
        <f>+K27+'20'!M27+L27</f>
        <v>0</v>
      </c>
    </row>
    <row r="28" spans="1:16" ht="13.5" thickBot="1">
      <c r="A28" s="782"/>
      <c r="B28" s="215"/>
      <c r="C28" s="216"/>
      <c r="D28" s="217"/>
      <c r="E28" s="223"/>
      <c r="F28" s="226"/>
      <c r="G28" s="230"/>
      <c r="H28" s="228" t="s">
        <v>664</v>
      </c>
      <c r="I28" s="785"/>
      <c r="J28" s="214">
        <f>+'20'!J28</f>
        <v>0</v>
      </c>
      <c r="K28" s="237"/>
      <c r="L28" s="237"/>
      <c r="M28" s="119">
        <f>+K28+'20'!M28+L28</f>
        <v>0</v>
      </c>
    </row>
    <row r="29" spans="1:16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+'20'!J29</f>
        <v>0</v>
      </c>
      <c r="K29" s="237"/>
      <c r="L29" s="237"/>
      <c r="M29" s="119">
        <f>+K29+'20'!M29+L29</f>
        <v>0</v>
      </c>
    </row>
    <row r="30" spans="1:16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+'20'!J30</f>
        <v>0</v>
      </c>
      <c r="K30" s="237"/>
      <c r="L30" s="237"/>
      <c r="M30" s="119">
        <f>+K30+'20'!M30+L30</f>
        <v>0</v>
      </c>
      <c r="N30" s="157"/>
    </row>
    <row r="31" spans="1:16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+'20'!J31</f>
        <v>0</v>
      </c>
      <c r="K31" s="237"/>
      <c r="L31" s="237"/>
      <c r="M31" s="119">
        <f>+K31+'20'!M31+L31</f>
        <v>0</v>
      </c>
    </row>
    <row r="32" spans="1:16" ht="13.5" thickBot="1">
      <c r="A32" s="783"/>
      <c r="B32" s="167" t="s">
        <v>2</v>
      </c>
      <c r="C32" s="101">
        <f>SUM(C25:C31)</f>
        <v>16606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+'20'!J32</f>
        <v>0</v>
      </c>
      <c r="K32" s="239"/>
      <c r="L32" s="241"/>
      <c r="M32" s="119">
        <f>+K32+'20'!M32+L32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49656</v>
      </c>
      <c r="D34" s="109">
        <f>D14+D23+D32</f>
        <v>0</v>
      </c>
      <c r="E34" s="109">
        <f>E14+E23+E32</f>
        <v>0</v>
      </c>
      <c r="F34" s="110">
        <f>F14+F23+F32</f>
        <v>23</v>
      </c>
      <c r="H34" s="178"/>
      <c r="I34" s="178"/>
      <c r="J34" s="125" t="s">
        <v>27</v>
      </c>
      <c r="K34" s="126">
        <f>SUM(K7:K32)</f>
        <v>49656</v>
      </c>
      <c r="L34" s="212">
        <f>SUM(L7:L32)</f>
        <v>0</v>
      </c>
      <c r="M34" s="122">
        <f>SUM(M7:M32)</f>
        <v>1039255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(15*1440)/1440*G42*2.85*1440/1000000</f>
        <v>58.635899999999999</v>
      </c>
      <c r="J37" s="127">
        <f>+I37+'20'!J37</f>
        <v>1154.5039734035076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23</v>
      </c>
      <c r="D38" s="120">
        <f>+C38+'20'!D38</f>
        <v>819</v>
      </c>
      <c r="E38" s="145">
        <f t="shared" ref="E38:E51" si="0">D38/60</f>
        <v>13.65</v>
      </c>
      <c r="F38" s="330">
        <v>1270</v>
      </c>
      <c r="G38" s="330">
        <f>+F38-F38*0.25</f>
        <v>952.5</v>
      </c>
      <c r="H38" s="187" t="s">
        <v>65</v>
      </c>
      <c r="I38" s="243">
        <f>17.699+17.881+17.823</f>
        <v>53.402999999999999</v>
      </c>
      <c r="J38" s="129">
        <f>+I38+'20'!J38</f>
        <v>1067.423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+C39+'20'!D39</f>
        <v>0</v>
      </c>
      <c r="E39" s="145">
        <f t="shared" si="0"/>
        <v>0</v>
      </c>
      <c r="F39" s="330">
        <v>1270</v>
      </c>
      <c r="G39" s="330">
        <f>+F39-F39*0.25</f>
        <v>952.5</v>
      </c>
      <c r="H39" s="187" t="s">
        <v>66</v>
      </c>
      <c r="I39" s="144"/>
      <c r="J39" s="131">
        <f>J37/G4</f>
        <v>54.976379685881319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+C40+'20'!D40</f>
        <v>0</v>
      </c>
      <c r="E40" s="145">
        <f t="shared" ca="1" si="0"/>
        <v>0</v>
      </c>
      <c r="F40" s="330">
        <v>1270</v>
      </c>
      <c r="G40" s="330">
        <f>+F40-F40*0.25</f>
        <v>952.5</v>
      </c>
      <c r="H40" s="187" t="s">
        <v>68</v>
      </c>
      <c r="I40" s="120">
        <f>(K34+L34)/1000</f>
        <v>49.655999999999999</v>
      </c>
      <c r="J40" s="133">
        <f>+I40+'20'!J40</f>
        <v>1039.2549999999999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+C41+'20'!D41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49.48833333333333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+C42+'20'!D42</f>
        <v>0</v>
      </c>
      <c r="E42" s="145">
        <f t="shared" ca="1" si="0"/>
        <v>0</v>
      </c>
      <c r="F42" s="330">
        <f>+(F38*480+F39*480+F40*480)/1440</f>
        <v>1270</v>
      </c>
      <c r="G42" s="330">
        <f>+(G38*480+G39*480+G40*480)/1440</f>
        <v>952.5</v>
      </c>
      <c r="H42" s="187" t="s">
        <v>71</v>
      </c>
      <c r="I42" s="244" t="s">
        <v>665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+C43+'20'!D43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+Report1!Z29</f>
        <v>125.5</v>
      </c>
      <c r="J43" s="135">
        <f>+I43+'20'!J43</f>
        <v>2564.5000000000009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+C44+'20'!D44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2.3500552403423027</v>
      </c>
      <c r="J44" s="136">
        <f>J43/J38</f>
        <v>2.4025152165542627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+C45+'20'!D45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2.5273884324150155</v>
      </c>
      <c r="J45" s="136">
        <f>J43/J40</f>
        <v>2.4676330640699358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+C46+'20'!D46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+SUMIF(Listrik!AN28,"&gt;0")</f>
        <v>45190.689202246191</v>
      </c>
      <c r="J46" s="137">
        <f>+I46+'20'!J46</f>
        <v>944739.06709415466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+C47+'20'!D47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846.22004760493212</v>
      </c>
      <c r="J47" s="137">
        <f>J46/J38</f>
        <v>885.06530878026297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+C48+'20'!D48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910.07510073800131</v>
      </c>
      <c r="J48" s="137">
        <f>J46/J40</f>
        <v>909.0541465705287</v>
      </c>
      <c r="K48" s="132" t="s">
        <v>23</v>
      </c>
    </row>
    <row r="49" spans="1:11" ht="17.45" customHeight="1">
      <c r="A49" s="792" t="s">
        <v>19</v>
      </c>
      <c r="B49" s="776"/>
      <c r="C49" s="166">
        <f>SUMIF($G$7:$G$31,"Others",$F$7:$F$31)</f>
        <v>0</v>
      </c>
      <c r="D49" s="120">
        <f>+C49+'20'!D49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+I49+'20'!J49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+C50+'20'!D50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+C51+'20'!D51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23</v>
      </c>
      <c r="D52" s="146">
        <f ca="1">SUM(D38:D51)</f>
        <v>937</v>
      </c>
      <c r="E52" s="147">
        <f ca="1">SUM(E38:E51)</f>
        <v>15.616666666666667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1.5972222222222221E-2</v>
      </c>
      <c r="D53" s="148">
        <f ca="1">D52/(24*60*G4)</f>
        <v>3.0985449735449734E-2</v>
      </c>
      <c r="E53" s="149">
        <f ca="1">E52/(G4*24)</f>
        <v>3.0985449735449738E-2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+D34+'20'!J56</f>
        <v>3760</v>
      </c>
      <c r="K56" s="201">
        <f>J56/(J40+J56/1000)/1000</f>
        <v>3.6049337737232927E-3</v>
      </c>
    </row>
    <row r="57" spans="1:11">
      <c r="A57" s="176"/>
      <c r="I57" s="199" t="s">
        <v>90</v>
      </c>
      <c r="J57" s="200">
        <f>+E34+'20'!J57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16" zoomScale="80" zoomScaleNormal="80" zoomScaleSheetLayoutView="80" workbookViewId="0">
      <selection activeCell="K16" sqref="K16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5.42578125" style="151" customWidth="1"/>
    <col min="14" max="16384" width="9.140625" style="151"/>
  </cols>
  <sheetData>
    <row r="1" spans="1:14" ht="15.75">
      <c r="A1" s="150"/>
    </row>
    <row r="2" spans="1:14" ht="15.75">
      <c r="A2" s="150" t="s">
        <v>224</v>
      </c>
    </row>
    <row r="3" spans="1:14" ht="15">
      <c r="A3" s="152"/>
    </row>
    <row r="4" spans="1:14" ht="20.25">
      <c r="A4" s="153" t="s">
        <v>3</v>
      </c>
      <c r="B4" s="154"/>
      <c r="F4" s="155" t="s">
        <v>28</v>
      </c>
      <c r="G4" s="156">
        <v>20</v>
      </c>
      <c r="H4" s="156" t="str">
        <f>+'1'!H4</f>
        <v>.12.25</v>
      </c>
    </row>
    <row r="5" spans="1:14" ht="13.5" thickBot="1">
      <c r="C5" s="157"/>
      <c r="D5" s="157"/>
    </row>
    <row r="6" spans="1:14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534+578+493</f>
        <v>1605</v>
      </c>
    </row>
    <row r="7" spans="1:14" ht="13.5" customHeight="1" thickBot="1">
      <c r="A7" s="781" t="s">
        <v>362</v>
      </c>
      <c r="B7" s="215" t="s">
        <v>648</v>
      </c>
      <c r="C7" s="216">
        <v>22793</v>
      </c>
      <c r="D7" s="217"/>
      <c r="E7" s="218"/>
      <c r="F7" s="229"/>
      <c r="G7" s="548" t="s">
        <v>11</v>
      </c>
      <c r="H7" s="549" t="s">
        <v>392</v>
      </c>
      <c r="I7" s="784" t="s">
        <v>669</v>
      </c>
      <c r="J7" s="214" t="str">
        <f>+'19'!J7</f>
        <v>F 15 VP OW</v>
      </c>
      <c r="K7" s="236"/>
      <c r="L7" s="240"/>
      <c r="M7" s="119">
        <f>+K7+'19'!M7+L7</f>
        <v>24540</v>
      </c>
    </row>
    <row r="8" spans="1:14" ht="13.5" thickBot="1">
      <c r="A8" s="782"/>
      <c r="B8" s="215" t="s">
        <v>485</v>
      </c>
      <c r="C8" s="216">
        <v>1356</v>
      </c>
      <c r="D8" s="217"/>
      <c r="E8" s="219"/>
      <c r="F8" s="229"/>
      <c r="G8" s="550" t="s">
        <v>11</v>
      </c>
      <c r="H8" s="549" t="s">
        <v>415</v>
      </c>
      <c r="I8" s="785"/>
      <c r="J8" s="214" t="str">
        <f>+'19'!J8</f>
        <v>T 12,5 VP OW</v>
      </c>
      <c r="K8" s="237"/>
      <c r="L8" s="237"/>
      <c r="M8" s="119">
        <f>+K8+'19'!M8+L8</f>
        <v>35627</v>
      </c>
      <c r="N8" s="151">
        <v>1170</v>
      </c>
    </row>
    <row r="9" spans="1:14" ht="13.5" thickBot="1">
      <c r="A9" s="782"/>
      <c r="B9" s="215"/>
      <c r="C9" s="216"/>
      <c r="D9" s="217"/>
      <c r="E9" s="220"/>
      <c r="F9" s="229">
        <v>6</v>
      </c>
      <c r="G9" s="550" t="s">
        <v>11</v>
      </c>
      <c r="H9" s="551" t="s">
        <v>416</v>
      </c>
      <c r="I9" s="785"/>
      <c r="J9" s="214" t="str">
        <f>+'19'!J9</f>
        <v>T 14 VP OW</v>
      </c>
      <c r="K9" s="237"/>
      <c r="L9" s="237"/>
      <c r="M9" s="119">
        <f>+K9+'19'!M9+L9</f>
        <v>186632</v>
      </c>
    </row>
    <row r="10" spans="1:14" ht="13.5" thickBot="1">
      <c r="A10" s="782"/>
      <c r="B10" s="215"/>
      <c r="C10" s="216"/>
      <c r="D10" s="217"/>
      <c r="E10" s="219"/>
      <c r="F10" s="229"/>
      <c r="G10" s="548"/>
      <c r="H10" s="551" t="s">
        <v>651</v>
      </c>
      <c r="I10" s="785"/>
      <c r="J10" s="214" t="str">
        <f>+'19'!J10</f>
        <v>F 12 VP OW</v>
      </c>
      <c r="K10" s="237"/>
      <c r="L10" s="237"/>
      <c r="M10" s="119">
        <f>+K10+'19'!M10+L10</f>
        <v>364083</v>
      </c>
    </row>
    <row r="11" spans="1:14" ht="26.25" thickBot="1">
      <c r="A11" s="782"/>
      <c r="B11" s="215"/>
      <c r="C11" s="216"/>
      <c r="D11" s="217"/>
      <c r="E11" s="219"/>
      <c r="F11" s="476"/>
      <c r="G11" s="477"/>
      <c r="H11" s="228" t="s">
        <v>652</v>
      </c>
      <c r="I11" s="785"/>
      <c r="J11" s="214" t="str">
        <f>+'19'!J11</f>
        <v>T 18 VP OW</v>
      </c>
      <c r="K11" s="237">
        <f>+C8</f>
        <v>1356</v>
      </c>
      <c r="L11" s="237"/>
      <c r="M11" s="119">
        <f>+K11+'19'!M11+L11</f>
        <v>131165</v>
      </c>
    </row>
    <row r="12" spans="1:14" ht="13.5" thickBot="1">
      <c r="A12" s="782"/>
      <c r="B12" s="215"/>
      <c r="C12" s="216"/>
      <c r="D12" s="217"/>
      <c r="E12" s="219"/>
      <c r="F12" s="226"/>
      <c r="G12" s="230"/>
      <c r="H12" s="231" t="s">
        <v>653</v>
      </c>
      <c r="I12" s="785"/>
      <c r="J12" s="214" t="str">
        <f>+'19'!J12</f>
        <v>F 13 VP OW</v>
      </c>
      <c r="K12" s="237"/>
      <c r="L12" s="237"/>
      <c r="M12" s="119">
        <f>+K12+'19'!M12+L12</f>
        <v>47861</v>
      </c>
    </row>
    <row r="13" spans="1:14" ht="26.25" thickBot="1">
      <c r="A13" s="782"/>
      <c r="B13" s="215"/>
      <c r="C13" s="216"/>
      <c r="D13" s="216"/>
      <c r="E13" s="219"/>
      <c r="F13" s="226"/>
      <c r="G13" s="230"/>
      <c r="H13" s="231" t="s">
        <v>654</v>
      </c>
      <c r="I13" s="786"/>
      <c r="J13" s="214" t="str">
        <f>+'19'!J13</f>
        <v>F 11,5 VP OW</v>
      </c>
      <c r="K13" s="237"/>
      <c r="L13" s="237"/>
      <c r="M13" s="119">
        <f>+K13+'19'!M13+L13</f>
        <v>68990</v>
      </c>
    </row>
    <row r="14" spans="1:14" ht="13.5" thickBot="1">
      <c r="A14" s="783"/>
      <c r="B14" s="167"/>
      <c r="C14" s="113">
        <f>SUM(C7:C13)</f>
        <v>24149</v>
      </c>
      <c r="D14" s="113">
        <f>SUM(D7:D13)</f>
        <v>0</v>
      </c>
      <c r="E14" s="114">
        <f>SUM(E5:E13)</f>
        <v>0</v>
      </c>
      <c r="F14" s="104">
        <f>SUM(F6:F13)</f>
        <v>6</v>
      </c>
      <c r="G14" s="161"/>
      <c r="H14" s="168"/>
      <c r="I14" s="169"/>
      <c r="J14" s="214" t="str">
        <f>+'19'!J14</f>
        <v>T 12 VP OW</v>
      </c>
      <c r="K14" s="237"/>
      <c r="L14" s="237"/>
      <c r="M14" s="119">
        <f>+K14+'19'!M14+L14</f>
        <v>59863</v>
      </c>
    </row>
    <row r="15" spans="1:14" ht="13.5" customHeight="1" thickBot="1">
      <c r="A15" s="787" t="s">
        <v>227</v>
      </c>
      <c r="B15" s="506"/>
      <c r="C15" s="116">
        <f>C14/($C$23+$D$23+$E$23)</f>
        <v>1.2179241476699616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669</v>
      </c>
      <c r="J15" s="214" t="str">
        <f>+'19'!J15</f>
        <v>T 17 VP OW</v>
      </c>
      <c r="K15" s="237"/>
      <c r="L15" s="237"/>
      <c r="M15" s="119">
        <f>+K15+'19'!M15+L15</f>
        <v>10757</v>
      </c>
    </row>
    <row r="16" spans="1:14" ht="13.5" thickBot="1">
      <c r="A16" s="782"/>
      <c r="B16" s="215" t="s">
        <v>648</v>
      </c>
      <c r="C16" s="507">
        <v>19828</v>
      </c>
      <c r="D16" s="221"/>
      <c r="E16" s="222"/>
      <c r="F16" s="229"/>
      <c r="G16" s="550" t="s">
        <v>11</v>
      </c>
      <c r="H16" s="549" t="s">
        <v>446</v>
      </c>
      <c r="I16" s="785"/>
      <c r="J16" s="214" t="str">
        <f>+'19'!J16</f>
        <v>T 16 VP OW</v>
      </c>
      <c r="K16" s="227">
        <f>+C7+C16+C25</f>
        <v>52404</v>
      </c>
      <c r="L16" s="227"/>
      <c r="M16" s="119">
        <f>+K16+'19'!M16+L16</f>
        <v>52404</v>
      </c>
    </row>
    <row r="17" spans="1:18" ht="13.5" thickBot="1">
      <c r="A17" s="782"/>
      <c r="B17" s="215"/>
      <c r="C17" s="216"/>
      <c r="D17" s="217"/>
      <c r="E17" s="223"/>
      <c r="F17" s="229">
        <v>5</v>
      </c>
      <c r="G17" s="550" t="s">
        <v>11</v>
      </c>
      <c r="H17" s="551" t="s">
        <v>384</v>
      </c>
      <c r="I17" s="785"/>
      <c r="J17" s="214" t="s">
        <v>666</v>
      </c>
      <c r="K17" s="227">
        <f>+C26</f>
        <v>7677</v>
      </c>
      <c r="L17" s="227"/>
      <c r="M17" s="119">
        <f>+K17+'19'!M17+L17</f>
        <v>7677</v>
      </c>
    </row>
    <row r="18" spans="1:18" ht="13.5" thickBot="1">
      <c r="A18" s="782"/>
      <c r="B18" s="215"/>
      <c r="C18" s="216"/>
      <c r="D18" s="217"/>
      <c r="E18" s="223"/>
      <c r="F18" s="229"/>
      <c r="G18" s="548"/>
      <c r="H18" s="551" t="s">
        <v>651</v>
      </c>
      <c r="I18" s="785"/>
      <c r="J18" s="214">
        <f>+'19'!J18</f>
        <v>0</v>
      </c>
      <c r="K18" s="237"/>
      <c r="L18" s="237"/>
      <c r="M18" s="119">
        <f>+K18+'19'!M18+L18</f>
        <v>0</v>
      </c>
    </row>
    <row r="19" spans="1:18" ht="13.5" thickBot="1">
      <c r="A19" s="782"/>
      <c r="B19" s="215"/>
      <c r="C19" s="216"/>
      <c r="D19" s="217"/>
      <c r="E19" s="223"/>
      <c r="F19" s="226"/>
      <c r="G19" s="230"/>
      <c r="H19" s="228"/>
      <c r="I19" s="785"/>
      <c r="J19" s="214">
        <f>+'19'!J19</f>
        <v>0</v>
      </c>
      <c r="K19" s="237"/>
      <c r="L19" s="237"/>
      <c r="M19" s="119">
        <f>+K19+'19'!M19+L19</f>
        <v>0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+'19'!J20</f>
        <v>0</v>
      </c>
      <c r="K20" s="238"/>
      <c r="L20" s="238"/>
      <c r="M20" s="119">
        <f>+K20+'19'!M20+L20</f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+'19'!J21</f>
        <v>0</v>
      </c>
      <c r="K21" s="237"/>
      <c r="L21" s="237"/>
      <c r="M21" s="119">
        <f>+K21+'19'!M21+L21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+'19'!J22</f>
        <v>0</v>
      </c>
      <c r="K22" s="237"/>
      <c r="L22" s="237"/>
      <c r="M22" s="119">
        <f>+K22+'19'!M22+L22</f>
        <v>0</v>
      </c>
    </row>
    <row r="23" spans="1:18" ht="13.5" thickBot="1">
      <c r="A23" s="783"/>
      <c r="B23" s="167" t="s">
        <v>2</v>
      </c>
      <c r="C23" s="101">
        <f>SUM(C16:C22)</f>
        <v>19828</v>
      </c>
      <c r="D23" s="113">
        <f>SUM(D16:D22)</f>
        <v>0</v>
      </c>
      <c r="E23" s="114">
        <f>SUM(E18:E22)</f>
        <v>0</v>
      </c>
      <c r="F23" s="104">
        <f>SUM(F15:F22)</f>
        <v>5</v>
      </c>
      <c r="G23" s="161"/>
      <c r="H23" s="168"/>
      <c r="I23" s="170"/>
      <c r="J23" s="214">
        <f>+'19'!J23</f>
        <v>0</v>
      </c>
      <c r="K23" s="237"/>
      <c r="L23" s="237"/>
      <c r="M23" s="119">
        <f>+K23+'19'!M23+L23</f>
        <v>0</v>
      </c>
    </row>
    <row r="24" spans="1:18" ht="13.5" customHeight="1" thickBot="1">
      <c r="A24" s="787" t="s">
        <v>424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510</v>
      </c>
      <c r="I24" s="784" t="s">
        <v>668</v>
      </c>
      <c r="J24" s="214">
        <f>+'19'!J24</f>
        <v>0</v>
      </c>
      <c r="K24" s="237"/>
      <c r="L24" s="237"/>
      <c r="M24" s="119">
        <f>+K24+'19'!M24+L24</f>
        <v>0</v>
      </c>
    </row>
    <row r="25" spans="1:18" ht="13.5" thickBot="1">
      <c r="A25" s="782"/>
      <c r="B25" s="215" t="s">
        <v>648</v>
      </c>
      <c r="C25" s="224">
        <v>9783</v>
      </c>
      <c r="D25" s="217"/>
      <c r="E25" s="223"/>
      <c r="F25" s="229">
        <v>6</v>
      </c>
      <c r="G25" s="550" t="s">
        <v>11</v>
      </c>
      <c r="H25" s="549" t="s">
        <v>446</v>
      </c>
      <c r="I25" s="785"/>
      <c r="J25" s="214">
        <f>+'19'!J25</f>
        <v>0</v>
      </c>
      <c r="K25" s="237"/>
      <c r="L25" s="237"/>
      <c r="M25" s="119">
        <f>+K25+'19'!M25+L25</f>
        <v>0</v>
      </c>
      <c r="N25" s="151">
        <v>1170</v>
      </c>
      <c r="O25" s="151">
        <f>+N25-N25*0.25</f>
        <v>877.5</v>
      </c>
      <c r="P25" s="151">
        <f>120+50</f>
        <v>170</v>
      </c>
      <c r="Q25" s="151">
        <f>+N25*P25</f>
        <v>198900</v>
      </c>
      <c r="R25" s="151">
        <f>+O25*P25</f>
        <v>149175</v>
      </c>
    </row>
    <row r="26" spans="1:18" ht="13.5" thickBot="1">
      <c r="A26" s="782"/>
      <c r="B26" s="215" t="s">
        <v>666</v>
      </c>
      <c r="C26" s="224">
        <f>5272+2405</f>
        <v>7677</v>
      </c>
      <c r="D26" s="217"/>
      <c r="E26" s="225"/>
      <c r="F26" s="229">
        <v>10</v>
      </c>
      <c r="G26" s="550" t="s">
        <v>11</v>
      </c>
      <c r="H26" s="551" t="s">
        <v>416</v>
      </c>
      <c r="I26" s="785"/>
      <c r="J26" s="214">
        <f>+'19'!J26</f>
        <v>0</v>
      </c>
      <c r="K26" s="237"/>
      <c r="L26" s="237"/>
      <c r="M26" s="119">
        <f>+K26+'19'!M26+L26</f>
        <v>0</v>
      </c>
      <c r="N26" s="151">
        <v>1270</v>
      </c>
      <c r="O26" s="151">
        <f>+N26-N26*0.25</f>
        <v>952.5</v>
      </c>
      <c r="P26" s="151">
        <f>10+300</f>
        <v>310</v>
      </c>
      <c r="Q26" s="151">
        <f>+N26*P26</f>
        <v>393700</v>
      </c>
      <c r="R26" s="151">
        <f>+O26*P26</f>
        <v>295275</v>
      </c>
    </row>
    <row r="27" spans="1:18" ht="13.5" thickBot="1">
      <c r="A27" s="782"/>
      <c r="B27" s="215"/>
      <c r="C27" s="216"/>
      <c r="D27" s="217"/>
      <c r="E27" s="223"/>
      <c r="F27" s="229"/>
      <c r="G27" s="548"/>
      <c r="H27" s="551" t="s">
        <v>651</v>
      </c>
      <c r="I27" s="785"/>
      <c r="J27" s="214">
        <f>+'19'!J27</f>
        <v>0</v>
      </c>
      <c r="K27" s="237"/>
      <c r="L27" s="237"/>
      <c r="M27" s="119">
        <f>+K27+'19'!M27+L27</f>
        <v>0</v>
      </c>
      <c r="P27" s="151">
        <f>+P25+P26</f>
        <v>480</v>
      </c>
      <c r="Q27" s="151">
        <f>+Q25+Q26</f>
        <v>592600</v>
      </c>
      <c r="R27" s="151">
        <f>+R25+R26</f>
        <v>444450</v>
      </c>
    </row>
    <row r="28" spans="1:18" ht="26.25" thickBot="1">
      <c r="A28" s="782"/>
      <c r="B28" s="215"/>
      <c r="C28" s="216"/>
      <c r="D28" s="217"/>
      <c r="E28" s="223"/>
      <c r="F28" s="226"/>
      <c r="G28" s="230"/>
      <c r="H28" s="228" t="s">
        <v>667</v>
      </c>
      <c r="I28" s="785"/>
      <c r="J28" s="214">
        <f>+'19'!J28</f>
        <v>0</v>
      </c>
      <c r="K28" s="237"/>
      <c r="L28" s="237"/>
      <c r="M28" s="119">
        <f>+K28+'19'!M28+L28</f>
        <v>0</v>
      </c>
      <c r="Q28" s="151">
        <f>+Q27/P27</f>
        <v>1234.5833333333333</v>
      </c>
      <c r="R28" s="151">
        <f>+R27/P27</f>
        <v>925.9375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 t="s">
        <v>657</v>
      </c>
      <c r="I29" s="785"/>
      <c r="J29" s="214">
        <f>+'19'!J29</f>
        <v>0</v>
      </c>
      <c r="K29" s="237"/>
      <c r="L29" s="237"/>
      <c r="M29" s="119">
        <f>+K29+'19'!M29+L29</f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655</v>
      </c>
      <c r="I30" s="785"/>
      <c r="J30" s="214">
        <f>+'19'!J30</f>
        <v>0</v>
      </c>
      <c r="K30" s="237"/>
      <c r="L30" s="237"/>
      <c r="M30" s="119">
        <f>+K30+'19'!M30+L30</f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 t="s">
        <v>656</v>
      </c>
      <c r="I31" s="786"/>
      <c r="J31" s="214">
        <f>+'19'!J31</f>
        <v>0</v>
      </c>
      <c r="K31" s="237"/>
      <c r="L31" s="237"/>
      <c r="M31" s="119">
        <f>+K31+'19'!M31+L31</f>
        <v>0</v>
      </c>
    </row>
    <row r="32" spans="1:18" ht="13.5" thickBot="1">
      <c r="A32" s="783"/>
      <c r="B32" s="167" t="s">
        <v>2</v>
      </c>
      <c r="C32" s="101">
        <f>SUM(C25:C31)</f>
        <v>17460</v>
      </c>
      <c r="D32" s="102">
        <f>SUM(D25:D31)</f>
        <v>0</v>
      </c>
      <c r="E32" s="103">
        <f>SUM(E25:E31)</f>
        <v>0</v>
      </c>
      <c r="F32" s="101">
        <f>SUM(F24:F31)</f>
        <v>16</v>
      </c>
      <c r="G32" s="171"/>
      <c r="H32" s="172"/>
      <c r="I32" s="170"/>
      <c r="J32" s="214">
        <f>+'19'!J32</f>
        <v>0</v>
      </c>
      <c r="K32" s="239"/>
      <c r="L32" s="241"/>
      <c r="M32" s="119">
        <f>+K32+'19'!M32+L32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61437</v>
      </c>
      <c r="D34" s="109">
        <f>D14+D23+D32</f>
        <v>0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61437</v>
      </c>
      <c r="L34" s="212">
        <f>SUM(L7:L32)</f>
        <v>0</v>
      </c>
      <c r="M34" s="122">
        <f>SUM(M7:M32)</f>
        <v>989599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(16*1130+15*310)/1440*G42*2.85*1440/1000000</f>
        <v>57.890823906249999</v>
      </c>
      <c r="J37" s="127">
        <f>+I37+'19'!J37</f>
        <v>1095.8680734035077</v>
      </c>
      <c r="K37" s="128" t="s">
        <v>64</v>
      </c>
      <c r="N37" s="157">
        <f>+I38-N38</f>
        <v>44.042000000000002</v>
      </c>
    </row>
    <row r="38" spans="1:14" ht="17.45" customHeight="1">
      <c r="A38" s="779" t="s">
        <v>11</v>
      </c>
      <c r="B38" s="780"/>
      <c r="C38" s="166">
        <f>SUMIF($G$7:$G$31,"Process",$F$7:$F$31)</f>
        <v>27</v>
      </c>
      <c r="D38" s="120">
        <f>+C38+'19'!D38</f>
        <v>796</v>
      </c>
      <c r="E38" s="145">
        <f t="shared" ref="E38:E51" si="0">D38/60</f>
        <v>13.266666666666667</v>
      </c>
      <c r="F38" s="330">
        <v>1170</v>
      </c>
      <c r="G38" s="330">
        <f>+F38-F38*0.25</f>
        <v>877.5</v>
      </c>
      <c r="H38" s="187" t="s">
        <v>65</v>
      </c>
      <c r="I38" s="243">
        <f>17.532+19.753+17.682</f>
        <v>54.966999999999999</v>
      </c>
      <c r="J38" s="129">
        <f>+I38+'19'!J38</f>
        <v>1014.02</v>
      </c>
      <c r="K38" s="130" t="s">
        <v>64</v>
      </c>
      <c r="N38" s="151">
        <f>17.682-2.363-2.363-2.031</f>
        <v>10.924999999999999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+C39+'19'!D39</f>
        <v>0</v>
      </c>
      <c r="E39" s="145">
        <f t="shared" si="0"/>
        <v>0</v>
      </c>
      <c r="F39" s="330">
        <v>1170</v>
      </c>
      <c r="G39" s="330">
        <f>+F39-F39*0.25</f>
        <v>877.5</v>
      </c>
      <c r="H39" s="187" t="s">
        <v>66</v>
      </c>
      <c r="I39" s="144"/>
      <c r="J39" s="131">
        <f>J37/G4</f>
        <v>54.79340367017538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+C40+'19'!D40</f>
        <v>0</v>
      </c>
      <c r="E40" s="145">
        <f t="shared" ca="1" si="0"/>
        <v>0</v>
      </c>
      <c r="F40" s="330">
        <v>1234.5833333333333</v>
      </c>
      <c r="G40" s="330">
        <v>925.9375</v>
      </c>
      <c r="H40" s="187" t="s">
        <v>68</v>
      </c>
      <c r="I40" s="120">
        <f>(K34+L34)/1000</f>
        <v>61.436999999999998</v>
      </c>
      <c r="J40" s="133">
        <f>+I40+'19'!J40</f>
        <v>989.59899999999993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+C41+'19'!D41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49.479949999999995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+C42+'19'!D42</f>
        <v>0</v>
      </c>
      <c r="E42" s="145">
        <f t="shared" ca="1" si="0"/>
        <v>0</v>
      </c>
      <c r="F42" s="330">
        <f>+(F38*480+F39*480+F40*480)/1440</f>
        <v>1191.5277777777778</v>
      </c>
      <c r="G42" s="330">
        <f>+(G38*480+G39*480+G40*480)/1440</f>
        <v>893.64583333333337</v>
      </c>
      <c r="H42" s="187" t="s">
        <v>71</v>
      </c>
      <c r="I42" s="244" t="s">
        <v>670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+C43+'19'!D43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+Report1!Z28</f>
        <v>119.3</v>
      </c>
      <c r="J43" s="135">
        <f>+I43+'19'!J43</f>
        <v>2439.0000000000009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+C44+'19'!D44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2.1703931449778957</v>
      </c>
      <c r="J44" s="136">
        <f>J43/J38</f>
        <v>2.405278002406265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+C45+'19'!D45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1.9418265865846314</v>
      </c>
      <c r="J45" s="136">
        <f>J43/J40</f>
        <v>2.4646346651522495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+C46+'19'!D46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+SUMIF(Listrik!AN27,"&gt;0")</f>
        <v>44667.520929276827</v>
      </c>
      <c r="J46" s="137">
        <f>+I46+'19'!J46</f>
        <v>899548.37789190852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+C47+'19'!D47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812.62431875992559</v>
      </c>
      <c r="J47" s="137">
        <f>J46/J38</f>
        <v>887.11108054269982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+C48+'19'!D48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727.04593208126744</v>
      </c>
      <c r="J48" s="137">
        <f>J46/J40</f>
        <v>909.00291723406008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+C49+'19'!D49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+I49+'19'!J49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+C50+'19'!D50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+C51+'19'!D51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27</v>
      </c>
      <c r="D52" s="146">
        <f ca="1">SUM(D38:D51)</f>
        <v>914</v>
      </c>
      <c r="E52" s="147">
        <f ca="1">SUM(E38:E51)</f>
        <v>15.233333333333334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1.8749999999999999E-2</v>
      </c>
      <c r="D53" s="148">
        <f ca="1">D52/(24*60*G4)</f>
        <v>3.1736111111111111E-2</v>
      </c>
      <c r="E53" s="149">
        <f ca="1">E52/(G4*24)</f>
        <v>3.1736111111111111E-2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+D34+'19'!J56</f>
        <v>3760</v>
      </c>
      <c r="K56" s="201">
        <f>J56/(J40+J56/1000)/1000</f>
        <v>3.7851370954508894E-3</v>
      </c>
    </row>
    <row r="57" spans="1:11">
      <c r="A57" s="176"/>
      <c r="I57" s="199" t="s">
        <v>90</v>
      </c>
      <c r="J57" s="200">
        <f>+E34+'19'!J57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5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19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391+359+355</f>
        <v>1105</v>
      </c>
    </row>
    <row r="7" spans="1:18" ht="13.5" customHeight="1" thickBot="1">
      <c r="A7" s="781" t="s">
        <v>362</v>
      </c>
      <c r="B7" s="215" t="s">
        <v>485</v>
      </c>
      <c r="C7" s="216">
        <v>17615</v>
      </c>
      <c r="D7" s="217"/>
      <c r="E7" s="218"/>
      <c r="F7" s="229"/>
      <c r="G7" s="548" t="s">
        <v>11</v>
      </c>
      <c r="H7" s="549" t="s">
        <v>392</v>
      </c>
      <c r="I7" s="784" t="s">
        <v>645</v>
      </c>
      <c r="J7" s="214" t="str">
        <f>+'18'!J7</f>
        <v>F 15 VP OW</v>
      </c>
      <c r="K7" s="236"/>
      <c r="L7" s="240"/>
      <c r="M7" s="119">
        <f>+K7+'18'!M7+L7</f>
        <v>24540</v>
      </c>
    </row>
    <row r="8" spans="1:18" ht="13.5" thickBot="1">
      <c r="A8" s="782"/>
      <c r="B8" s="215"/>
      <c r="C8" s="216"/>
      <c r="D8" s="217"/>
      <c r="E8" s="219"/>
      <c r="F8" s="229">
        <v>1</v>
      </c>
      <c r="G8" s="550" t="s">
        <v>11</v>
      </c>
      <c r="H8" s="549" t="s">
        <v>446</v>
      </c>
      <c r="I8" s="785"/>
      <c r="J8" s="214" t="str">
        <f>+'18'!J8</f>
        <v>T 12,5 VP OW</v>
      </c>
      <c r="K8" s="237"/>
      <c r="L8" s="237"/>
      <c r="M8" s="119">
        <f>+K8+'18'!M8+L8</f>
        <v>35627</v>
      </c>
      <c r="N8" s="151">
        <v>1100</v>
      </c>
      <c r="O8" s="151">
        <f>+N8-N8*0.24</f>
        <v>836</v>
      </c>
      <c r="P8" s="151">
        <v>480</v>
      </c>
      <c r="Q8" s="151">
        <f>+N8*P8</f>
        <v>528000</v>
      </c>
      <c r="R8" s="151">
        <f>+O8*P8</f>
        <v>401280</v>
      </c>
    </row>
    <row r="9" spans="1:18" ht="13.5" thickBot="1">
      <c r="A9" s="782"/>
      <c r="B9" s="215"/>
      <c r="C9" s="216"/>
      <c r="D9" s="217"/>
      <c r="E9" s="220"/>
      <c r="F9" s="229">
        <v>7</v>
      </c>
      <c r="G9" s="550" t="s">
        <v>11</v>
      </c>
      <c r="H9" s="551" t="s">
        <v>469</v>
      </c>
      <c r="I9" s="785"/>
      <c r="J9" s="214" t="str">
        <f>+'18'!J9</f>
        <v>T 14 VP OW</v>
      </c>
      <c r="K9" s="237"/>
      <c r="L9" s="237"/>
      <c r="M9" s="119">
        <f>+K9+'18'!M9+L9</f>
        <v>186632</v>
      </c>
      <c r="N9" s="151">
        <v>1100</v>
      </c>
      <c r="O9" s="151">
        <f>+N9-N9*0.25</f>
        <v>825</v>
      </c>
      <c r="P9" s="151">
        <v>480</v>
      </c>
      <c r="Q9" s="151">
        <f>+N9*P9</f>
        <v>528000</v>
      </c>
      <c r="R9" s="151">
        <f>+O9*P9</f>
        <v>396000</v>
      </c>
    </row>
    <row r="10" spans="1:18" ht="26.25" thickBot="1">
      <c r="A10" s="782"/>
      <c r="B10" s="215"/>
      <c r="C10" s="216"/>
      <c r="D10" s="217"/>
      <c r="E10" s="219"/>
      <c r="F10" s="229"/>
      <c r="G10" s="548"/>
      <c r="H10" s="551" t="s">
        <v>644</v>
      </c>
      <c r="I10" s="785"/>
      <c r="J10" s="214" t="str">
        <f>+'18'!J10</f>
        <v>F 12 VP OW</v>
      </c>
      <c r="K10" s="237"/>
      <c r="L10" s="237"/>
      <c r="M10" s="119">
        <f>+K10+'18'!M10+L10</f>
        <v>364083</v>
      </c>
      <c r="N10" s="151">
        <v>1100</v>
      </c>
      <c r="O10" s="151">
        <f>+N10-N10*0.25</f>
        <v>825</v>
      </c>
      <c r="P10" s="151">
        <f>180+30</f>
        <v>210</v>
      </c>
      <c r="Q10" s="151">
        <f>+N10*P10</f>
        <v>231000</v>
      </c>
      <c r="R10" s="151">
        <f>+O10*P10</f>
        <v>173250</v>
      </c>
    </row>
    <row r="11" spans="1:18" ht="13.5" thickBot="1">
      <c r="A11" s="782"/>
      <c r="B11" s="215"/>
      <c r="C11" s="216"/>
      <c r="D11" s="217"/>
      <c r="E11" s="219"/>
      <c r="F11" s="476"/>
      <c r="G11" s="477"/>
      <c r="H11" s="228" t="s">
        <v>633</v>
      </c>
      <c r="I11" s="785"/>
      <c r="J11" s="214" t="str">
        <f>+'18'!J11</f>
        <v>T 18 VP OW</v>
      </c>
      <c r="K11" s="237">
        <f>+C7+C16+C25</f>
        <v>55948</v>
      </c>
      <c r="L11" s="237"/>
      <c r="M11" s="119">
        <f>+K11+'18'!M11+L11</f>
        <v>129809</v>
      </c>
      <c r="P11" s="151">
        <f>SUM(P8:P10)</f>
        <v>1170</v>
      </c>
      <c r="Q11" s="151">
        <f>SUM(Q8:Q10)</f>
        <v>1287000</v>
      </c>
      <c r="R11" s="151">
        <f>SUM(R8:R10)</f>
        <v>970530</v>
      </c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634</v>
      </c>
      <c r="I12" s="785"/>
      <c r="J12" s="214" t="str">
        <f>+'18'!J12</f>
        <v>F 13 VP OW</v>
      </c>
      <c r="K12" s="237"/>
      <c r="L12" s="237"/>
      <c r="M12" s="119">
        <f>+K12+'18'!M12+L12</f>
        <v>47861</v>
      </c>
      <c r="Q12" s="151">
        <f>+Q11/P11</f>
        <v>1100</v>
      </c>
      <c r="R12" s="151">
        <f>+R11/P11</f>
        <v>829.51282051282055</v>
      </c>
    </row>
    <row r="13" spans="1:18" ht="26.25" thickBot="1">
      <c r="A13" s="782"/>
      <c r="B13" s="215"/>
      <c r="C13" s="216"/>
      <c r="D13" s="216"/>
      <c r="E13" s="219"/>
      <c r="F13" s="226"/>
      <c r="G13" s="230"/>
      <c r="H13" s="231" t="s">
        <v>635</v>
      </c>
      <c r="I13" s="786"/>
      <c r="J13" s="214" t="str">
        <f>+'18'!J13</f>
        <v>F 11,5 VP OW</v>
      </c>
      <c r="K13" s="237"/>
      <c r="L13" s="237"/>
      <c r="M13" s="119">
        <f>+K13+'18'!M13+L13</f>
        <v>68990</v>
      </c>
    </row>
    <row r="14" spans="1:18" ht="13.5" thickBot="1">
      <c r="A14" s="783"/>
      <c r="B14" s="167" t="s">
        <v>2</v>
      </c>
      <c r="C14" s="113">
        <f>SUM(C7:C13)</f>
        <v>17615</v>
      </c>
      <c r="D14" s="113">
        <f>SUM(D7:D13)</f>
        <v>0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14" t="str">
        <f>+'18'!J14</f>
        <v>T 12 VP OW</v>
      </c>
      <c r="K14" s="237"/>
      <c r="L14" s="237"/>
      <c r="M14" s="119">
        <f>+K14+'18'!M14+L14</f>
        <v>59863</v>
      </c>
    </row>
    <row r="15" spans="1:18" ht="13.5" customHeight="1" thickBot="1">
      <c r="A15" s="787" t="s">
        <v>227</v>
      </c>
      <c r="B15" s="506"/>
      <c r="C15" s="116">
        <f>C14/($C$23+$D$23+$E$23)</f>
        <v>0.94541648776298837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630</v>
      </c>
      <c r="J15" s="214" t="str">
        <f>+'18'!J15</f>
        <v>T 17 VP OW</v>
      </c>
      <c r="K15" s="237"/>
      <c r="L15" s="237"/>
      <c r="M15" s="119">
        <f>+K15+'18'!M15+L15</f>
        <v>10757</v>
      </c>
    </row>
    <row r="16" spans="1:18" ht="13.5" thickBot="1">
      <c r="A16" s="782"/>
      <c r="B16" s="215" t="s">
        <v>485</v>
      </c>
      <c r="C16" s="507">
        <v>18632</v>
      </c>
      <c r="D16" s="221"/>
      <c r="E16" s="222"/>
      <c r="F16" s="229"/>
      <c r="G16" s="550" t="s">
        <v>11</v>
      </c>
      <c r="H16" s="549" t="s">
        <v>415</v>
      </c>
      <c r="I16" s="785"/>
      <c r="J16" s="214" t="s">
        <v>648</v>
      </c>
      <c r="K16" s="227">
        <f>+C26</f>
        <v>0</v>
      </c>
      <c r="L16" s="227"/>
      <c r="M16" s="119">
        <f>+K16+'18'!M16+L16</f>
        <v>0</v>
      </c>
    </row>
    <row r="17" spans="1:18" ht="13.5" thickBot="1">
      <c r="A17" s="782"/>
      <c r="B17" s="215"/>
      <c r="C17" s="216"/>
      <c r="D17" s="217"/>
      <c r="E17" s="223"/>
      <c r="F17" s="229">
        <v>8</v>
      </c>
      <c r="G17" s="550" t="s">
        <v>11</v>
      </c>
      <c r="H17" s="551" t="s">
        <v>416</v>
      </c>
      <c r="I17" s="785"/>
      <c r="J17" s="214">
        <f>+'18'!J17</f>
        <v>0</v>
      </c>
      <c r="K17" s="227"/>
      <c r="L17" s="227"/>
      <c r="M17" s="119">
        <f>+K17+'18'!M17+L17</f>
        <v>0</v>
      </c>
    </row>
    <row r="18" spans="1:18" ht="26.25" thickBot="1">
      <c r="A18" s="782"/>
      <c r="B18" s="215"/>
      <c r="C18" s="216"/>
      <c r="D18" s="217"/>
      <c r="E18" s="223"/>
      <c r="F18" s="229"/>
      <c r="G18" s="548"/>
      <c r="H18" s="551" t="s">
        <v>643</v>
      </c>
      <c r="I18" s="785"/>
      <c r="J18" s="214">
        <f>+'18'!J18</f>
        <v>0</v>
      </c>
      <c r="K18" s="237"/>
      <c r="L18" s="237"/>
      <c r="M18" s="119">
        <f>+K18+'18'!M18+L18</f>
        <v>0</v>
      </c>
    </row>
    <row r="19" spans="1:18" ht="13.5" thickBot="1">
      <c r="A19" s="782"/>
      <c r="B19" s="215"/>
      <c r="C19" s="216"/>
      <c r="D19" s="217"/>
      <c r="E19" s="223"/>
      <c r="F19" s="226"/>
      <c r="G19" s="230"/>
      <c r="H19" s="228" t="s">
        <v>636</v>
      </c>
      <c r="I19" s="785"/>
      <c r="J19" s="214">
        <f>+'18'!J19</f>
        <v>0</v>
      </c>
      <c r="K19" s="237"/>
      <c r="L19" s="237"/>
      <c r="M19" s="119">
        <f>+K19+'18'!M19+L19</f>
        <v>0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 t="s">
        <v>637</v>
      </c>
      <c r="I20" s="785"/>
      <c r="J20" s="214">
        <f>+'18'!J20</f>
        <v>0</v>
      </c>
      <c r="K20" s="238"/>
      <c r="L20" s="238"/>
      <c r="M20" s="119">
        <f>+K20+'18'!M20+L20</f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 t="s">
        <v>638</v>
      </c>
      <c r="I21" s="785"/>
      <c r="J21" s="214">
        <f>+'18'!J21</f>
        <v>0</v>
      </c>
      <c r="K21" s="237"/>
      <c r="L21" s="237"/>
      <c r="M21" s="119">
        <f>+K21+'18'!M21+L21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+'18'!J22</f>
        <v>0</v>
      </c>
      <c r="K22" s="237"/>
      <c r="L22" s="237"/>
      <c r="M22" s="119">
        <f>+K22+'18'!M22+L22</f>
        <v>0</v>
      </c>
    </row>
    <row r="23" spans="1:18" ht="13.5" thickBot="1">
      <c r="A23" s="783"/>
      <c r="B23" s="167" t="s">
        <v>2</v>
      </c>
      <c r="C23" s="101">
        <f>SUM(C16:C22)</f>
        <v>18632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+'18'!J23</f>
        <v>0</v>
      </c>
      <c r="K23" s="237"/>
      <c r="L23" s="237"/>
      <c r="M23" s="119">
        <f>+K23+'18'!M23+L23</f>
        <v>0</v>
      </c>
    </row>
    <row r="24" spans="1:18" ht="13.5" customHeight="1" thickBot="1">
      <c r="A24" s="787" t="s">
        <v>424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646</v>
      </c>
      <c r="J24" s="214">
        <f>+'18'!J24</f>
        <v>0</v>
      </c>
      <c r="K24" s="237"/>
      <c r="L24" s="237"/>
      <c r="M24" s="119">
        <f>+K24+'18'!M24+L24</f>
        <v>0</v>
      </c>
    </row>
    <row r="25" spans="1:18" ht="13.5" thickBot="1">
      <c r="A25" s="782"/>
      <c r="B25" s="215" t="s">
        <v>485</v>
      </c>
      <c r="C25" s="224">
        <v>19701</v>
      </c>
      <c r="D25" s="217">
        <v>683</v>
      </c>
      <c r="E25" s="223"/>
      <c r="F25" s="229">
        <v>1</v>
      </c>
      <c r="G25" s="550" t="s">
        <v>11</v>
      </c>
      <c r="H25" s="549" t="s">
        <v>446</v>
      </c>
      <c r="I25" s="785"/>
      <c r="J25" s="214">
        <f>+'18'!J25</f>
        <v>0</v>
      </c>
      <c r="K25" s="237"/>
      <c r="L25" s="237"/>
      <c r="M25" s="119">
        <f>+K25+'18'!M25+L25</f>
        <v>0</v>
      </c>
    </row>
    <row r="26" spans="1:18" ht="13.5" thickBot="1">
      <c r="A26" s="782"/>
      <c r="B26" s="215" t="s">
        <v>648</v>
      </c>
      <c r="C26" s="224"/>
      <c r="D26" s="217"/>
      <c r="E26" s="225"/>
      <c r="F26" s="229">
        <v>10</v>
      </c>
      <c r="G26" s="550" t="s">
        <v>11</v>
      </c>
      <c r="H26" s="551" t="s">
        <v>416</v>
      </c>
      <c r="I26" s="785"/>
      <c r="J26" s="214">
        <f>+'18'!J26</f>
        <v>0</v>
      </c>
      <c r="K26" s="237"/>
      <c r="L26" s="237"/>
      <c r="M26" s="119">
        <f>+K26+'18'!M26+L26</f>
        <v>0</v>
      </c>
      <c r="N26" s="151">
        <v>1100</v>
      </c>
      <c r="O26" s="151">
        <f>+N26-N26*0.25</f>
        <v>825</v>
      </c>
      <c r="P26" s="151">
        <v>210</v>
      </c>
      <c r="Q26" s="151">
        <f>+N26*P26</f>
        <v>231000</v>
      </c>
      <c r="R26" s="151">
        <f>+O26*P26</f>
        <v>173250</v>
      </c>
    </row>
    <row r="27" spans="1:18" ht="26.25" thickBot="1">
      <c r="A27" s="782"/>
      <c r="B27" s="215"/>
      <c r="C27" s="216"/>
      <c r="D27" s="217"/>
      <c r="E27" s="223"/>
      <c r="F27" s="229"/>
      <c r="G27" s="548"/>
      <c r="H27" s="551" t="s">
        <v>643</v>
      </c>
      <c r="I27" s="785"/>
      <c r="J27" s="214">
        <f>+'18'!J27</f>
        <v>0</v>
      </c>
      <c r="K27" s="237"/>
      <c r="L27" s="237"/>
      <c r="M27" s="119">
        <f>+K27+'18'!M27+L27</f>
        <v>0</v>
      </c>
      <c r="N27" s="151">
        <v>1170</v>
      </c>
      <c r="O27" s="151">
        <f>+N27-N27*0.25</f>
        <v>877.5</v>
      </c>
      <c r="P27" s="151">
        <v>270</v>
      </c>
      <c r="Q27" s="151">
        <f>+N27*P27</f>
        <v>315900</v>
      </c>
      <c r="R27" s="151">
        <f>+O27*P27</f>
        <v>236925</v>
      </c>
    </row>
    <row r="28" spans="1:18" ht="13.5" thickBot="1">
      <c r="A28" s="782"/>
      <c r="B28" s="215"/>
      <c r="C28" s="216"/>
      <c r="D28" s="217"/>
      <c r="E28" s="223"/>
      <c r="F28" s="226"/>
      <c r="G28" s="230"/>
      <c r="H28" s="228" t="s">
        <v>640</v>
      </c>
      <c r="I28" s="785"/>
      <c r="J28" s="214">
        <f>+'18'!J28</f>
        <v>0</v>
      </c>
      <c r="K28" s="237"/>
      <c r="L28" s="237"/>
      <c r="M28" s="119">
        <f>+K28+'18'!M28+L28</f>
        <v>0</v>
      </c>
      <c r="P28" s="151">
        <f>SUM(P25:P27)</f>
        <v>480</v>
      </c>
      <c r="Q28" s="151">
        <f>SUM(Q25:Q27)</f>
        <v>546900</v>
      </c>
      <c r="R28" s="151">
        <f>SUM(R25:R27)</f>
        <v>410175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 t="s">
        <v>639</v>
      </c>
      <c r="I29" s="785"/>
      <c r="J29" s="214">
        <f>+'18'!J29</f>
        <v>0</v>
      </c>
      <c r="K29" s="237"/>
      <c r="L29" s="237"/>
      <c r="M29" s="119">
        <f>+K29+'18'!M29+L29</f>
        <v>0</v>
      </c>
      <c r="Q29" s="151">
        <f>+Q28/P28</f>
        <v>1139.375</v>
      </c>
      <c r="R29" s="151">
        <f>+R28/P28</f>
        <v>854.53125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642</v>
      </c>
      <c r="I30" s="785"/>
      <c r="J30" s="214">
        <f>+'18'!J30</f>
        <v>0</v>
      </c>
      <c r="K30" s="237"/>
      <c r="L30" s="237"/>
      <c r="M30" s="119">
        <f>+K30+'18'!M30+L30</f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 t="s">
        <v>641</v>
      </c>
      <c r="I31" s="786"/>
      <c r="J31" s="214">
        <f>+'18'!J31</f>
        <v>0</v>
      </c>
      <c r="K31" s="237"/>
      <c r="L31" s="237"/>
      <c r="M31" s="119">
        <f>+K31+'18'!M31+L31</f>
        <v>0</v>
      </c>
    </row>
    <row r="32" spans="1:18" ht="13.5" thickBot="1">
      <c r="A32" s="783"/>
      <c r="B32" s="167" t="s">
        <v>2</v>
      </c>
      <c r="C32" s="101">
        <f>SUM(C25:C31)</f>
        <v>19701</v>
      </c>
      <c r="D32" s="102">
        <f>SUM(D25:D31)</f>
        <v>683</v>
      </c>
      <c r="E32" s="103">
        <f>SUM(E25:E31)</f>
        <v>0</v>
      </c>
      <c r="F32" s="101">
        <f>SUM(F24:F31)</f>
        <v>11</v>
      </c>
      <c r="G32" s="171"/>
      <c r="H32" s="172"/>
      <c r="I32" s="170"/>
      <c r="J32" s="214">
        <f>+'18'!J32</f>
        <v>0</v>
      </c>
      <c r="K32" s="239"/>
      <c r="L32" s="241"/>
      <c r="M32" s="119">
        <f>+K32+'18'!M32+L32</f>
        <v>0</v>
      </c>
    </row>
    <row r="33" spans="1:14" ht="13.5" thickBot="1">
      <c r="A33" s="173"/>
      <c r="B33" s="174"/>
      <c r="C33" s="105">
        <f>C32/($C$32+$D$32+$E$32)</f>
        <v>0.96649332810047095</v>
      </c>
      <c r="D33" s="106">
        <f>D32/($C$32+$D$32+$E$32)</f>
        <v>3.3506671899529043E-2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55948</v>
      </c>
      <c r="D34" s="109">
        <f>D14+D23+D32</f>
        <v>683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55948</v>
      </c>
      <c r="L34" s="212">
        <f>SUM(L7:L32)</f>
        <v>0</v>
      </c>
      <c r="M34" s="122">
        <f>SUM(M7:M32)</f>
        <v>928162</v>
      </c>
      <c r="N34" s="157"/>
    </row>
    <row r="35" spans="1:14" ht="13.5" thickBot="1">
      <c r="A35" s="179"/>
      <c r="B35" s="180"/>
      <c r="C35" s="106">
        <f>C34/($C$34+$D$34+$E$34)</f>
        <v>0.98793946778266317</v>
      </c>
      <c r="D35" s="106">
        <f>D34/($C$34+$D$34+$E$34)</f>
        <v>1.2060532217336795E-2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(18*1170+16*270)/1440*G42*2.85*1440/1000000</f>
        <v>60.651973968749999</v>
      </c>
      <c r="J37" s="127">
        <f>+I37+'18'!J37</f>
        <v>1037.9772494972576</v>
      </c>
      <c r="K37" s="128" t="s">
        <v>64</v>
      </c>
      <c r="N37" s="157">
        <f>+I38-N38</f>
        <v>49.67</v>
      </c>
    </row>
    <row r="38" spans="1:14" ht="17.45" customHeight="1">
      <c r="A38" s="779" t="s">
        <v>11</v>
      </c>
      <c r="B38" s="780"/>
      <c r="C38" s="166">
        <f>SUMIF($G$7:$G$31,"Process",$F$7:$F$31)</f>
        <v>27</v>
      </c>
      <c r="D38" s="120">
        <f>+C38+'18'!D38</f>
        <v>769</v>
      </c>
      <c r="E38" s="145">
        <f t="shared" ref="E38:E51" si="0">D38/60</f>
        <v>12.816666666666666</v>
      </c>
      <c r="F38" s="330">
        <v>1100</v>
      </c>
      <c r="G38" s="330">
        <f>+F38-F38*0.24</f>
        <v>836</v>
      </c>
      <c r="H38" s="187" t="s">
        <v>65</v>
      </c>
      <c r="I38" s="243">
        <f>18.978+21.75+18.834</f>
        <v>59.561999999999998</v>
      </c>
      <c r="J38" s="129">
        <f>+I38+'18'!J38</f>
        <v>959.053</v>
      </c>
      <c r="K38" s="130" t="s">
        <v>64</v>
      </c>
      <c r="N38" s="151">
        <f>2.473*4</f>
        <v>9.8919999999999995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+C39+'18'!D39</f>
        <v>0</v>
      </c>
      <c r="E39" s="145">
        <f t="shared" si="0"/>
        <v>0</v>
      </c>
      <c r="F39" s="330">
        <v>1100</v>
      </c>
      <c r="G39" s="330">
        <f>+F39-F39*0.25</f>
        <v>825</v>
      </c>
      <c r="H39" s="187" t="s">
        <v>66</v>
      </c>
      <c r="I39" s="144"/>
      <c r="J39" s="131">
        <f>J37/G4</f>
        <v>54.630381552487243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+C40+'18'!D40</f>
        <v>0</v>
      </c>
      <c r="E40" s="145">
        <f t="shared" ca="1" si="0"/>
        <v>0</v>
      </c>
      <c r="F40" s="330">
        <v>1139.375</v>
      </c>
      <c r="G40" s="330">
        <v>854.53125</v>
      </c>
      <c r="H40" s="187" t="s">
        <v>68</v>
      </c>
      <c r="I40" s="120">
        <f>(K34+L34)/1000</f>
        <v>55.948</v>
      </c>
      <c r="J40" s="133">
        <f>+I40+'18'!J40</f>
        <v>928.16199999999992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+C41+'18'!D41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48.850631578947365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+C42+'18'!D42</f>
        <v>0</v>
      </c>
      <c r="E42" s="145">
        <f t="shared" ca="1" si="0"/>
        <v>0</v>
      </c>
      <c r="F42" s="330">
        <f>+(F38*480+F39*480+F40*480)/1440</f>
        <v>1113.125</v>
      </c>
      <c r="G42" s="330">
        <f>+(G38*480+G39*480+G40*480)/1440</f>
        <v>838.51041666666663</v>
      </c>
      <c r="H42" s="187" t="s">
        <v>71</v>
      </c>
      <c r="I42" s="244" t="s">
        <v>647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+C43+'18'!D43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+Report1!Z27</f>
        <v>121.5</v>
      </c>
      <c r="J43" s="135">
        <f>+I43+'18'!J43</f>
        <v>2319.7000000000007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+C44+'18'!D44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2.0398912058023573</v>
      </c>
      <c r="J44" s="136">
        <f>J43/J38</f>
        <v>2.4187401530468082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+C45+'18'!D45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2.1716593980124399</v>
      </c>
      <c r="J45" s="136">
        <f>J43/J40</f>
        <v>2.499240434320734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+C46+'18'!D46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+SUMIF(Listrik!AN26,"&gt;0")</f>
        <v>44507.821128143238</v>
      </c>
      <c r="J46" s="137">
        <f>+I46+'18'!J46</f>
        <v>854880.85696263169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+C47+'18'!D47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747.25195809649176</v>
      </c>
      <c r="J47" s="137">
        <f>J46/J38</f>
        <v>891.38020209793592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+C48+'18'!D48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795.52121841966175</v>
      </c>
      <c r="J48" s="137">
        <f>J46/J40</f>
        <v>921.04703377495719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+C49+'18'!D49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+I49+'18'!J49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+C50+'18'!D50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+C51+'18'!D51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27</v>
      </c>
      <c r="D52" s="146">
        <f ca="1">SUM(D38:D51)</f>
        <v>887</v>
      </c>
      <c r="E52" s="147">
        <f ca="1">SUM(E38:E51)</f>
        <v>14.783333333333333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1.8749999999999999E-2</v>
      </c>
      <c r="D53" s="148">
        <f ca="1">D52/(24*60*G4)</f>
        <v>3.2419590643274855E-2</v>
      </c>
      <c r="E53" s="149">
        <f ca="1">E52/(G4*24)</f>
        <v>3.2419590643274855E-2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+D34+'18'!J56</f>
        <v>3760</v>
      </c>
      <c r="K56" s="201">
        <f>J56/(J40+J56/1000)/1000</f>
        <v>4.0346724296668607E-3</v>
      </c>
    </row>
    <row r="57" spans="1:11">
      <c r="A57" s="176"/>
      <c r="I57" s="199" t="s">
        <v>90</v>
      </c>
      <c r="J57" s="200">
        <f>+E34+'18'!J57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B25" sqref="B25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2.28515625" style="15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5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18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446+406+393</f>
        <v>1245</v>
      </c>
    </row>
    <row r="7" spans="1:18" ht="13.5" customHeight="1" thickBot="1">
      <c r="A7" s="781" t="s">
        <v>425</v>
      </c>
      <c r="B7" s="215" t="s">
        <v>485</v>
      </c>
      <c r="C7" s="216">
        <v>18117</v>
      </c>
      <c r="D7" s="217"/>
      <c r="E7" s="218"/>
      <c r="F7" s="229"/>
      <c r="G7" s="548" t="s">
        <v>11</v>
      </c>
      <c r="H7" s="549" t="s">
        <v>392</v>
      </c>
      <c r="I7" s="784" t="s">
        <v>630</v>
      </c>
      <c r="J7" s="214" t="str">
        <f>+'17'!J7</f>
        <v>F 15 VP OW</v>
      </c>
      <c r="K7" s="236"/>
      <c r="L7" s="240"/>
      <c r="M7" s="119">
        <f>+K7+'17'!M7+L7</f>
        <v>24540</v>
      </c>
    </row>
    <row r="8" spans="1:18" ht="13.5" thickBot="1">
      <c r="A8" s="782"/>
      <c r="B8" s="215"/>
      <c r="C8" s="216"/>
      <c r="D8" s="217"/>
      <c r="E8" s="219"/>
      <c r="F8" s="229">
        <v>4</v>
      </c>
      <c r="G8" s="550" t="s">
        <v>11</v>
      </c>
      <c r="H8" s="549" t="s">
        <v>446</v>
      </c>
      <c r="I8" s="785"/>
      <c r="J8" s="214" t="str">
        <f>+'17'!J8</f>
        <v>T 12,5 VP OW</v>
      </c>
      <c r="K8" s="237"/>
      <c r="L8" s="237"/>
      <c r="M8" s="119">
        <f>+K8+'17'!M8+L8</f>
        <v>35627</v>
      </c>
      <c r="N8" s="151">
        <v>1100</v>
      </c>
      <c r="O8" s="151">
        <f>+N8-N8*0.23</f>
        <v>847</v>
      </c>
    </row>
    <row r="9" spans="1:18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469</v>
      </c>
      <c r="I9" s="785"/>
      <c r="J9" s="214" t="str">
        <f>+'17'!J9</f>
        <v>T 14 VP OW</v>
      </c>
      <c r="K9" s="237"/>
      <c r="L9" s="237"/>
      <c r="M9" s="119">
        <f>+K9+'17'!M9+L9</f>
        <v>186632</v>
      </c>
    </row>
    <row r="10" spans="1:18" ht="13.5" thickBot="1">
      <c r="A10" s="782"/>
      <c r="B10" s="215"/>
      <c r="C10" s="216"/>
      <c r="D10" s="217"/>
      <c r="E10" s="219"/>
      <c r="F10" s="229"/>
      <c r="G10" s="548"/>
      <c r="H10" s="551" t="s">
        <v>628</v>
      </c>
      <c r="I10" s="785"/>
      <c r="J10" s="214" t="str">
        <f>+'17'!J10</f>
        <v>F 12 VP OW</v>
      </c>
      <c r="K10" s="237"/>
      <c r="L10" s="237"/>
      <c r="M10" s="119">
        <f>+K10+'17'!M10+L10</f>
        <v>364083</v>
      </c>
    </row>
    <row r="11" spans="1:18" ht="26.25" thickBot="1">
      <c r="A11" s="782"/>
      <c r="B11" s="215"/>
      <c r="C11" s="216"/>
      <c r="D11" s="217"/>
      <c r="E11" s="219"/>
      <c r="F11" s="476"/>
      <c r="G11" s="477"/>
      <c r="H11" s="228" t="s">
        <v>624</v>
      </c>
      <c r="I11" s="785"/>
      <c r="J11" s="214" t="str">
        <f>+'17'!J11</f>
        <v>T 18 VP OW</v>
      </c>
      <c r="K11" s="237">
        <f>+C34</f>
        <v>51193</v>
      </c>
      <c r="L11" s="237"/>
      <c r="M11" s="119">
        <f>+K11+'17'!M11+L11</f>
        <v>73861</v>
      </c>
    </row>
    <row r="12" spans="1:18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+'17'!J12</f>
        <v>F 13 VP OW</v>
      </c>
      <c r="K12" s="237"/>
      <c r="L12" s="237"/>
      <c r="M12" s="119">
        <f>+K12+'17'!M12+L12</f>
        <v>47861</v>
      </c>
      <c r="P12" s="176"/>
    </row>
    <row r="13" spans="1:18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tr">
        <f>+'17'!J13</f>
        <v>F 11,5 VP OW</v>
      </c>
      <c r="K13" s="237"/>
      <c r="L13" s="237"/>
      <c r="M13" s="119">
        <f>+K13+'17'!M13+L13</f>
        <v>68990</v>
      </c>
      <c r="Q13" s="176"/>
      <c r="R13" s="176"/>
    </row>
    <row r="14" spans="1:18" ht="13.5" thickBot="1">
      <c r="A14" s="783"/>
      <c r="B14" s="167" t="s">
        <v>2</v>
      </c>
      <c r="C14" s="113">
        <f>SUM(C7:C13)</f>
        <v>18117</v>
      </c>
      <c r="D14" s="113">
        <f>SUM(D7:D13)</f>
        <v>0</v>
      </c>
      <c r="E14" s="114">
        <f>SUM(E5:E13)</f>
        <v>0</v>
      </c>
      <c r="F14" s="104">
        <f>SUM(F6:F13)</f>
        <v>14</v>
      </c>
      <c r="G14" s="161"/>
      <c r="H14" s="168"/>
      <c r="I14" s="169"/>
      <c r="J14" s="214" t="str">
        <f>+'17'!J14</f>
        <v>T 12 VP OW</v>
      </c>
      <c r="K14" s="237"/>
      <c r="L14" s="237"/>
      <c r="M14" s="119">
        <f>+K14+'17'!M14+L14</f>
        <v>59863</v>
      </c>
    </row>
    <row r="15" spans="1:18" ht="13.5" thickBot="1">
      <c r="A15" s="787" t="s">
        <v>227</v>
      </c>
      <c r="B15" s="506"/>
      <c r="C15" s="116">
        <f>C14/($C$23+$D$23+$E$23)</f>
        <v>1.0982662463627546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630</v>
      </c>
      <c r="J15" s="214" t="str">
        <f>+'17'!J15</f>
        <v>T 17 VP OW</v>
      </c>
      <c r="K15" s="237"/>
      <c r="L15" s="237"/>
      <c r="M15" s="119">
        <f>+K15+'17'!M15+L15</f>
        <v>10757</v>
      </c>
    </row>
    <row r="16" spans="1:18" ht="13.5" thickBot="1">
      <c r="A16" s="782"/>
      <c r="B16" s="215" t="s">
        <v>485</v>
      </c>
      <c r="C16" s="507">
        <v>16496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+'17'!J16</f>
        <v>0</v>
      </c>
      <c r="K16" s="227"/>
      <c r="L16" s="227"/>
      <c r="M16" s="119">
        <f>+K16+'17'!M16+L16</f>
        <v>0</v>
      </c>
      <c r="N16" s="176"/>
      <c r="O16" s="176"/>
      <c r="P16" s="176"/>
    </row>
    <row r="17" spans="1:16" ht="13.5" thickBot="1">
      <c r="A17" s="782"/>
      <c r="B17" s="215"/>
      <c r="C17" s="216"/>
      <c r="D17" s="217"/>
      <c r="E17" s="223"/>
      <c r="F17" s="229">
        <v>10</v>
      </c>
      <c r="G17" s="550" t="s">
        <v>11</v>
      </c>
      <c r="H17" s="551" t="s">
        <v>469</v>
      </c>
      <c r="I17" s="785"/>
      <c r="J17" s="214">
        <f>+'17'!J17</f>
        <v>0</v>
      </c>
      <c r="K17" s="227"/>
      <c r="L17" s="227"/>
      <c r="M17" s="119">
        <f>+K17+'17'!M17+L17</f>
        <v>0</v>
      </c>
      <c r="N17" s="176"/>
      <c r="O17" s="176"/>
      <c r="P17" s="176"/>
    </row>
    <row r="18" spans="1:16" ht="13.5" thickBot="1">
      <c r="A18" s="782"/>
      <c r="B18" s="215"/>
      <c r="C18" s="216"/>
      <c r="D18" s="217"/>
      <c r="E18" s="223"/>
      <c r="F18" s="229"/>
      <c r="G18" s="548"/>
      <c r="H18" s="551" t="s">
        <v>628</v>
      </c>
      <c r="I18" s="785"/>
      <c r="J18" s="214">
        <f>+'17'!J18</f>
        <v>0</v>
      </c>
      <c r="K18" s="237"/>
      <c r="L18" s="237"/>
      <c r="M18" s="119">
        <f>+K18+'17'!M18+L18</f>
        <v>0</v>
      </c>
    </row>
    <row r="19" spans="1:16" ht="13.5" thickBot="1">
      <c r="A19" s="782"/>
      <c r="B19" s="215"/>
      <c r="C19" s="216"/>
      <c r="D19" s="217"/>
      <c r="E19" s="223"/>
      <c r="F19" s="226"/>
      <c r="G19" s="230"/>
      <c r="H19" s="228" t="s">
        <v>629</v>
      </c>
      <c r="I19" s="785"/>
      <c r="J19" s="214">
        <f>+'17'!J19</f>
        <v>0</v>
      </c>
      <c r="K19" s="237"/>
      <c r="L19" s="237"/>
      <c r="M19" s="119">
        <f>+K19+'17'!M19+L19</f>
        <v>0</v>
      </c>
    </row>
    <row r="20" spans="1:16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+'17'!J20</f>
        <v>0</v>
      </c>
      <c r="K20" s="238"/>
      <c r="L20" s="238"/>
      <c r="M20" s="119">
        <f>+K20+'17'!M20+L20</f>
        <v>0</v>
      </c>
    </row>
    <row r="21" spans="1:16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+'17'!J21</f>
        <v>0</v>
      </c>
      <c r="K21" s="237"/>
      <c r="L21" s="237"/>
      <c r="M21" s="119">
        <f>+K21+'17'!M21+L21</f>
        <v>0</v>
      </c>
    </row>
    <row r="22" spans="1:16" ht="13.5" thickBot="1">
      <c r="A22" s="782"/>
      <c r="B22" s="215"/>
      <c r="C22" s="216"/>
      <c r="D22" s="217"/>
      <c r="E22" s="223"/>
      <c r="F22" s="234"/>
      <c r="G22" s="230"/>
      <c r="H22" s="228"/>
      <c r="I22" s="786"/>
      <c r="J22" s="214">
        <f>+'17'!J22</f>
        <v>0</v>
      </c>
      <c r="K22" s="237"/>
      <c r="L22" s="237"/>
      <c r="M22" s="119">
        <f>+K22+'17'!M22+L22</f>
        <v>0</v>
      </c>
    </row>
    <row r="23" spans="1:16" ht="13.5" thickBot="1">
      <c r="A23" s="783"/>
      <c r="B23" s="167" t="s">
        <v>2</v>
      </c>
      <c r="C23" s="101">
        <f>SUM(C16:C22)</f>
        <v>16496</v>
      </c>
      <c r="D23" s="113">
        <f>SUM(D16:D22)</f>
        <v>0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+'17'!J23</f>
        <v>0</v>
      </c>
      <c r="K23" s="237"/>
      <c r="L23" s="237"/>
      <c r="M23" s="119">
        <f>+K23+'17'!M23+L23</f>
        <v>0</v>
      </c>
    </row>
    <row r="24" spans="1:16" ht="13.5" thickBot="1">
      <c r="A24" s="787" t="s">
        <v>424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630</v>
      </c>
      <c r="J24" s="214">
        <f>+'17'!J24</f>
        <v>0</v>
      </c>
      <c r="K24" s="237"/>
      <c r="L24" s="237"/>
      <c r="M24" s="119">
        <f>+K24+'17'!M24+L24</f>
        <v>0</v>
      </c>
    </row>
    <row r="25" spans="1:16" ht="13.5" thickBot="1">
      <c r="A25" s="782"/>
      <c r="B25" s="215" t="s">
        <v>485</v>
      </c>
      <c r="C25" s="224">
        <v>16580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+'17'!J25</f>
        <v>0</v>
      </c>
      <c r="K25" s="237"/>
      <c r="L25" s="237"/>
      <c r="M25" s="119">
        <f>+K25+'17'!M25+L25</f>
        <v>0</v>
      </c>
      <c r="N25" s="176"/>
      <c r="O25" s="176"/>
      <c r="P25" s="176"/>
    </row>
    <row r="26" spans="1:16" ht="13.5" thickBot="1">
      <c r="A26" s="782"/>
      <c r="B26" s="215"/>
      <c r="C26" s="224"/>
      <c r="D26" s="217"/>
      <c r="E26" s="225"/>
      <c r="F26" s="229">
        <v>7</v>
      </c>
      <c r="G26" s="550" t="s">
        <v>11</v>
      </c>
      <c r="H26" s="551" t="s">
        <v>469</v>
      </c>
      <c r="I26" s="785"/>
      <c r="J26" s="214">
        <f>+'17'!J26</f>
        <v>0</v>
      </c>
      <c r="K26" s="237"/>
      <c r="L26" s="237"/>
      <c r="M26" s="119">
        <f>+K26+'17'!M26+L26</f>
        <v>0</v>
      </c>
    </row>
    <row r="27" spans="1:16" ht="13.5" thickBot="1">
      <c r="A27" s="782"/>
      <c r="B27" s="215"/>
      <c r="C27" s="216"/>
      <c r="D27" s="217"/>
      <c r="E27" s="223"/>
      <c r="F27" s="229"/>
      <c r="G27" s="548"/>
      <c r="H27" s="551" t="s">
        <v>628</v>
      </c>
      <c r="I27" s="785"/>
      <c r="J27" s="214">
        <f>+'17'!J27</f>
        <v>0</v>
      </c>
      <c r="K27" s="237"/>
      <c r="L27" s="237"/>
      <c r="M27" s="119">
        <f>+K27+'17'!M27+L27</f>
        <v>0</v>
      </c>
    </row>
    <row r="28" spans="1:16" ht="13.5" thickBot="1">
      <c r="A28" s="782"/>
      <c r="B28" s="215"/>
      <c r="C28" s="216"/>
      <c r="D28" s="217"/>
      <c r="E28" s="223"/>
      <c r="F28" s="226"/>
      <c r="G28" s="230"/>
      <c r="H28" s="228" t="s">
        <v>625</v>
      </c>
      <c r="I28" s="785"/>
      <c r="J28" s="214">
        <f>+'17'!J28</f>
        <v>0</v>
      </c>
      <c r="K28" s="237"/>
      <c r="L28" s="237"/>
      <c r="M28" s="119">
        <f>+K28+'17'!M28+L28</f>
        <v>0</v>
      </c>
    </row>
    <row r="29" spans="1:16" ht="13.5" thickBot="1">
      <c r="A29" s="782"/>
      <c r="B29" s="215"/>
      <c r="C29" s="216"/>
      <c r="D29" s="217"/>
      <c r="E29" s="223"/>
      <c r="F29" s="234"/>
      <c r="G29" s="230"/>
      <c r="H29" s="231" t="s">
        <v>626</v>
      </c>
      <c r="I29" s="785"/>
      <c r="J29" s="214">
        <f>+'17'!J29</f>
        <v>0</v>
      </c>
      <c r="K29" s="237"/>
      <c r="L29" s="237"/>
      <c r="M29" s="119">
        <f>+K29+'17'!M29+L29</f>
        <v>0</v>
      </c>
    </row>
    <row r="30" spans="1:16" ht="13.5" thickBot="1">
      <c r="A30" s="782"/>
      <c r="B30" s="215"/>
      <c r="C30" s="224"/>
      <c r="D30" s="217"/>
      <c r="E30" s="223"/>
      <c r="F30" s="234"/>
      <c r="G30" s="230"/>
      <c r="H30" s="231" t="s">
        <v>627</v>
      </c>
      <c r="I30" s="785"/>
      <c r="J30" s="214">
        <f>+'17'!J30</f>
        <v>0</v>
      </c>
      <c r="K30" s="237"/>
      <c r="L30" s="237"/>
      <c r="M30" s="119">
        <f>+K30+'17'!M30+L30</f>
        <v>0</v>
      </c>
      <c r="N30" s="157"/>
    </row>
    <row r="31" spans="1:16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+'17'!J31</f>
        <v>0</v>
      </c>
      <c r="K31" s="237"/>
      <c r="L31" s="237"/>
      <c r="M31" s="119">
        <f>+K31+'17'!M31+L31</f>
        <v>0</v>
      </c>
    </row>
    <row r="32" spans="1:16" ht="13.5" thickBot="1">
      <c r="A32" s="783"/>
      <c r="B32" s="167" t="s">
        <v>2</v>
      </c>
      <c r="C32" s="101">
        <f>SUM(C25:C31)</f>
        <v>16580</v>
      </c>
      <c r="D32" s="102">
        <f>SUM(D25:D31)</f>
        <v>0</v>
      </c>
      <c r="E32" s="103">
        <f>SUM(E25:E31)</f>
        <v>0</v>
      </c>
      <c r="F32" s="101">
        <f>SUM(F24:F31)</f>
        <v>7</v>
      </c>
      <c r="G32" s="171"/>
      <c r="H32" s="172"/>
      <c r="I32" s="170"/>
      <c r="J32" s="214">
        <f>+'17'!J32</f>
        <v>0</v>
      </c>
      <c r="K32" s="239"/>
      <c r="L32" s="241"/>
      <c r="M32" s="119">
        <f>+K32+'17'!M32+L32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51193</v>
      </c>
      <c r="D34" s="109">
        <f>D14+D23+D32</f>
        <v>0</v>
      </c>
      <c r="E34" s="109">
        <f>E14+E23+E32</f>
        <v>0</v>
      </c>
      <c r="F34" s="110">
        <f>F14+F23+F32</f>
        <v>31</v>
      </c>
      <c r="H34" s="178"/>
      <c r="I34" s="178"/>
      <c r="J34" s="125" t="s">
        <v>27</v>
      </c>
      <c r="K34" s="126">
        <f>SUM(K7:K32)</f>
        <v>51193</v>
      </c>
      <c r="L34" s="212">
        <f>SUM(L7:L32)</f>
        <v>0</v>
      </c>
      <c r="M34" s="122">
        <f>SUM(M7:M32)</f>
        <v>872214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(18*1440)/1440*G42*2.85*1440/1000000</f>
        <v>62.569583999999999</v>
      </c>
      <c r="J37" s="127">
        <f>+I37+'17'!J37</f>
        <v>977.32527552850763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31</v>
      </c>
      <c r="D38" s="120">
        <f>+C38+'17'!D38</f>
        <v>742</v>
      </c>
      <c r="E38" s="145">
        <f t="shared" ref="E38:E51" si="0">D38/60</f>
        <v>12.366666666666667</v>
      </c>
      <c r="F38" s="330">
        <v>1100</v>
      </c>
      <c r="G38" s="330">
        <f>+F38-F38*0.23</f>
        <v>847</v>
      </c>
      <c r="H38" s="187" t="s">
        <v>65</v>
      </c>
      <c r="I38" s="243">
        <f>18.481+18.854+18.779</f>
        <v>56.114000000000004</v>
      </c>
      <c r="J38" s="129">
        <f>+I38+'17'!J38</f>
        <v>899.49099999999999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+C39+'17'!D39</f>
        <v>0</v>
      </c>
      <c r="E39" s="145">
        <f t="shared" si="0"/>
        <v>0</v>
      </c>
      <c r="F39" s="330">
        <v>1100</v>
      </c>
      <c r="G39" s="330">
        <f>+F39-F39*0.23</f>
        <v>847</v>
      </c>
      <c r="H39" s="187" t="s">
        <v>66</v>
      </c>
      <c r="I39" s="144"/>
      <c r="J39" s="131">
        <f>J37/G4</f>
        <v>54.295848640472649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+C40+'17'!D40</f>
        <v>0</v>
      </c>
      <c r="E40" s="145">
        <f t="shared" ca="1" si="0"/>
        <v>0</v>
      </c>
      <c r="F40" s="330">
        <v>1100</v>
      </c>
      <c r="G40" s="330">
        <f>+F40-F40*0.23</f>
        <v>847</v>
      </c>
      <c r="H40" s="187" t="s">
        <v>68</v>
      </c>
      <c r="I40" s="120">
        <f>(K34+L34)/1000</f>
        <v>51.192999999999998</v>
      </c>
      <c r="J40" s="133">
        <f>+I40+'17'!J40</f>
        <v>872.21399999999994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+C41+'17'!D41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48.456333333333333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+C42+'17'!D42</f>
        <v>0</v>
      </c>
      <c r="E42" s="145">
        <f t="shared" ca="1" si="0"/>
        <v>0</v>
      </c>
      <c r="F42" s="330">
        <f>+(F38*480+F39*480+F40*480)/1440</f>
        <v>1100</v>
      </c>
      <c r="G42" s="330">
        <f>+(G38*480+G39*480+G40*480)/1440</f>
        <v>847</v>
      </c>
      <c r="H42" s="187" t="s">
        <v>71</v>
      </c>
      <c r="I42" s="244" t="s">
        <v>630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+C43+'17'!D43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+Report1!Z26</f>
        <v>120.4</v>
      </c>
      <c r="J43" s="135">
        <f>+I43+'17'!J43</f>
        <v>2198.2000000000007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+C44+'17'!D44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2.1456321060697863</v>
      </c>
      <c r="J44" s="136">
        <f>J43/J38</f>
        <v>2.4438265641346057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+C45+'17'!D45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2.3518840466470028</v>
      </c>
      <c r="J45" s="136">
        <f>J43/J40</f>
        <v>2.5202530571625781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+C46+'17'!D46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+SUMIF(Listrik!AN25,"&gt;0")</f>
        <v>40830.024168223914</v>
      </c>
      <c r="J46" s="137">
        <f>+I46+'17'!J46</f>
        <v>810373.03583448846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+C47+'17'!D47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727.62633510752948</v>
      </c>
      <c r="J47" s="137">
        <f>J46/J38</f>
        <v>900.92400683774315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+C48+'17'!D48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797.57045237090847</v>
      </c>
      <c r="J48" s="137">
        <f>J46/J40</f>
        <v>929.09886316258223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+C49+'17'!D49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+I49+'17'!J49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+C50+'17'!D50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+C51+'17'!D51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31</v>
      </c>
      <c r="D52" s="146">
        <f ca="1">SUM(D38:D51)</f>
        <v>860</v>
      </c>
      <c r="E52" s="147">
        <f ca="1">SUM(E38:E51)</f>
        <v>14.333333333333334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2.1527777777777778E-2</v>
      </c>
      <c r="D53" s="148">
        <f ca="1">D52/(24*60*G4)</f>
        <v>3.3179012345679014E-2</v>
      </c>
      <c r="E53" s="149">
        <f ca="1">E52/(G4*24)</f>
        <v>3.3179012345679014E-2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+D34+'17'!J56</f>
        <v>3077</v>
      </c>
      <c r="K56" s="201">
        <f>J56/(J40+J56/1000)/1000</f>
        <v>3.5154023062044511E-3</v>
      </c>
    </row>
    <row r="57" spans="1:11">
      <c r="A57" s="176"/>
      <c r="I57" s="199" t="s">
        <v>90</v>
      </c>
      <c r="J57" s="200">
        <f>+E34+'17'!J57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H20" sqref="H20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17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450+326+440</f>
        <v>1216</v>
      </c>
    </row>
    <row r="7" spans="1:18" ht="13.5" customHeight="1" thickBot="1">
      <c r="A7" s="781" t="s">
        <v>425</v>
      </c>
      <c r="B7" s="215" t="s">
        <v>607</v>
      </c>
      <c r="C7" s="216">
        <v>15673</v>
      </c>
      <c r="D7" s="217">
        <v>632</v>
      </c>
      <c r="E7" s="218"/>
      <c r="F7" s="229">
        <v>10</v>
      </c>
      <c r="G7" s="548" t="s">
        <v>11</v>
      </c>
      <c r="H7" s="549" t="s">
        <v>510</v>
      </c>
      <c r="I7" s="784" t="s">
        <v>613</v>
      </c>
      <c r="J7" s="214" t="str">
        <f>+'16'!J7</f>
        <v>F 15 VP OW</v>
      </c>
      <c r="K7" s="236"/>
      <c r="L7" s="240"/>
      <c r="M7" s="119">
        <f>+K7+'16'!M7+L7</f>
        <v>24540</v>
      </c>
    </row>
    <row r="8" spans="1:18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+'16'!J8</f>
        <v>T 12,5 VP OW</v>
      </c>
      <c r="K8" s="237"/>
      <c r="L8" s="237"/>
      <c r="M8" s="119">
        <f>+K8+'16'!M8+L8</f>
        <v>35627</v>
      </c>
      <c r="N8" s="151">
        <v>1400</v>
      </c>
      <c r="O8" s="151">
        <f>+N8-N8*0.24</f>
        <v>1064</v>
      </c>
      <c r="P8" s="151">
        <f>240+36</f>
        <v>276</v>
      </c>
      <c r="Q8" s="151">
        <f>+N8*P8</f>
        <v>386400</v>
      </c>
      <c r="R8" s="151">
        <f>+O8*P8</f>
        <v>293664</v>
      </c>
    </row>
    <row r="9" spans="1:18" ht="13.5" thickBot="1">
      <c r="A9" s="782"/>
      <c r="B9" s="215"/>
      <c r="C9" s="216"/>
      <c r="D9" s="217"/>
      <c r="E9" s="220"/>
      <c r="F9" s="229">
        <v>5</v>
      </c>
      <c r="G9" s="550" t="s">
        <v>11</v>
      </c>
      <c r="H9" s="551" t="s">
        <v>416</v>
      </c>
      <c r="I9" s="785"/>
      <c r="J9" s="214" t="str">
        <f>+'16'!J9</f>
        <v>T 14 VP OW</v>
      </c>
      <c r="K9" s="237"/>
      <c r="L9" s="237"/>
      <c r="M9" s="119">
        <f>+K9+'16'!M9+L9</f>
        <v>186632</v>
      </c>
      <c r="N9" s="151">
        <v>1400</v>
      </c>
      <c r="O9" s="151">
        <f>+N9-N9*0.21</f>
        <v>1106</v>
      </c>
      <c r="P9" s="151">
        <f>480-P8</f>
        <v>204</v>
      </c>
      <c r="Q9" s="151">
        <f>+N9*P9</f>
        <v>285600</v>
      </c>
      <c r="R9" s="151">
        <f>+O9*P9</f>
        <v>225624</v>
      </c>
    </row>
    <row r="10" spans="1:18" ht="26.25" thickBot="1">
      <c r="A10" s="782"/>
      <c r="B10" s="215"/>
      <c r="C10" s="216"/>
      <c r="D10" s="217"/>
      <c r="E10" s="219"/>
      <c r="F10" s="229"/>
      <c r="G10" s="548"/>
      <c r="H10" s="551" t="s">
        <v>602</v>
      </c>
      <c r="I10" s="785"/>
      <c r="J10" s="214" t="str">
        <f>+'16'!J10</f>
        <v>F 12 VP OW</v>
      </c>
      <c r="K10" s="237"/>
      <c r="L10" s="237"/>
      <c r="M10" s="119">
        <f>+K10+'16'!M10+L10</f>
        <v>364083</v>
      </c>
      <c r="P10" s="151">
        <f>SUM(P8:P9)</f>
        <v>480</v>
      </c>
      <c r="Q10" s="151">
        <f>SUM(Q8:Q9)</f>
        <v>672000</v>
      </c>
      <c r="R10" s="151">
        <f>SUM(R8:R9)</f>
        <v>519288</v>
      </c>
    </row>
    <row r="11" spans="1:18" ht="39" thickBot="1">
      <c r="A11" s="782"/>
      <c r="B11" s="215"/>
      <c r="C11" s="216"/>
      <c r="D11" s="217"/>
      <c r="E11" s="219"/>
      <c r="F11" s="476"/>
      <c r="G11" s="477"/>
      <c r="H11" s="228" t="s">
        <v>612</v>
      </c>
      <c r="I11" s="785"/>
      <c r="J11" s="214" t="str">
        <f>+'16'!J11</f>
        <v>T 18 VP OW</v>
      </c>
      <c r="K11" s="237">
        <f>+C27</f>
        <v>1275</v>
      </c>
      <c r="L11" s="237"/>
      <c r="M11" s="119">
        <f>+K11+'16'!M11+L11</f>
        <v>22668</v>
      </c>
      <c r="P11" s="176"/>
      <c r="Q11" s="151">
        <f>+Q10/P10</f>
        <v>1400</v>
      </c>
      <c r="R11" s="151">
        <f>+R10/P10</f>
        <v>1081.8499999999999</v>
      </c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608</v>
      </c>
      <c r="I12" s="785"/>
      <c r="J12" s="214" t="str">
        <f>+'16'!J12</f>
        <v>F 13 VP OW</v>
      </c>
      <c r="K12" s="237"/>
      <c r="L12" s="237"/>
      <c r="M12" s="119">
        <f>+K12+'16'!M12+L12</f>
        <v>47861</v>
      </c>
      <c r="Q12" s="176"/>
      <c r="R12" s="176"/>
    </row>
    <row r="13" spans="1:18" ht="13.5" thickBot="1">
      <c r="A13" s="782"/>
      <c r="B13" s="215"/>
      <c r="C13" s="216"/>
      <c r="D13" s="216"/>
      <c r="E13" s="219"/>
      <c r="F13" s="226"/>
      <c r="G13" s="230"/>
      <c r="H13" s="231" t="s">
        <v>609</v>
      </c>
      <c r="I13" s="786"/>
      <c r="J13" s="214" t="str">
        <f>+'16'!J13</f>
        <v>F 11,5 VP OW</v>
      </c>
      <c r="K13" s="237"/>
      <c r="L13" s="237"/>
      <c r="M13" s="119">
        <f>+K13+'16'!M13+L13</f>
        <v>68990</v>
      </c>
      <c r="N13" s="151" t="s">
        <v>606</v>
      </c>
    </row>
    <row r="14" spans="1:18" ht="13.5" thickBot="1">
      <c r="A14" s="783"/>
      <c r="B14" s="167" t="s">
        <v>2</v>
      </c>
      <c r="C14" s="101">
        <f>SUM(C7:C13)</f>
        <v>15673</v>
      </c>
      <c r="D14" s="113">
        <f>SUM(D7:D13)</f>
        <v>632</v>
      </c>
      <c r="E14" s="114">
        <f>SUM(E5:E13)</f>
        <v>0</v>
      </c>
      <c r="F14" s="104">
        <f>SUM(F6:F13)</f>
        <v>15</v>
      </c>
      <c r="G14" s="161"/>
      <c r="H14" s="168"/>
      <c r="I14" s="169"/>
      <c r="J14" s="214" t="str">
        <f>+'16'!J14</f>
        <v>T 12 VP OW</v>
      </c>
      <c r="K14" s="237">
        <f>+C7+C16+C25</f>
        <v>41504</v>
      </c>
      <c r="L14" s="237"/>
      <c r="M14" s="119">
        <f>+K14+'16'!M14+L14</f>
        <v>59863</v>
      </c>
      <c r="N14" s="151">
        <v>1400</v>
      </c>
      <c r="O14" s="151">
        <f>+N14-N14*0.24</f>
        <v>1064</v>
      </c>
      <c r="P14" s="151">
        <f>240+36</f>
        <v>276</v>
      </c>
      <c r="Q14" s="151">
        <f>+N14*P14</f>
        <v>386400</v>
      </c>
      <c r="R14" s="151">
        <f>+O14*P14</f>
        <v>293664</v>
      </c>
    </row>
    <row r="15" spans="1:18" ht="13.5" thickBot="1">
      <c r="A15" s="787" t="s">
        <v>227</v>
      </c>
      <c r="B15" s="506"/>
      <c r="C15" s="115">
        <f>C14/($C$23+$D$23+$E$23)</f>
        <v>0.76082524271844665</v>
      </c>
      <c r="D15" s="116">
        <f>D14/($C$23+$D$23+$E$23)</f>
        <v>3.0679611650485435E-2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617</v>
      </c>
      <c r="J15" s="214" t="s">
        <v>621</v>
      </c>
      <c r="K15" s="237">
        <f>+C26</f>
        <v>10757</v>
      </c>
      <c r="L15" s="237"/>
      <c r="M15" s="119">
        <f>+K15+'16'!M15+L15</f>
        <v>10757</v>
      </c>
      <c r="N15" s="151">
        <v>1400</v>
      </c>
      <c r="O15" s="151">
        <f>+N15-N15*0.21</f>
        <v>1106</v>
      </c>
      <c r="P15" s="151">
        <v>204</v>
      </c>
      <c r="Q15" s="151">
        <f>+N15*P15</f>
        <v>285600</v>
      </c>
      <c r="R15" s="151">
        <f>+O15*P15</f>
        <v>225624</v>
      </c>
    </row>
    <row r="16" spans="1:18" ht="13.5" thickBot="1">
      <c r="A16" s="782"/>
      <c r="B16" s="215" t="s">
        <v>607</v>
      </c>
      <c r="C16" s="224">
        <v>20600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+'16'!J16</f>
        <v>0</v>
      </c>
      <c r="K16" s="227"/>
      <c r="L16" s="227"/>
      <c r="M16" s="119">
        <f>+K16+'16'!M16+L16</f>
        <v>0</v>
      </c>
      <c r="N16" s="151">
        <v>1400</v>
      </c>
      <c r="O16" s="151">
        <f>+N16-N16*0.18</f>
        <v>1148</v>
      </c>
      <c r="P16" s="151">
        <v>480</v>
      </c>
      <c r="Q16" s="151">
        <f>+N16*P16</f>
        <v>672000</v>
      </c>
      <c r="R16" s="151">
        <f>+O16*P16</f>
        <v>551040</v>
      </c>
    </row>
    <row r="17" spans="1:18" ht="13.5" thickBot="1">
      <c r="A17" s="782"/>
      <c r="B17" s="215"/>
      <c r="C17" s="216"/>
      <c r="D17" s="217"/>
      <c r="E17" s="223"/>
      <c r="F17" s="229">
        <v>12</v>
      </c>
      <c r="G17" s="550" t="s">
        <v>11</v>
      </c>
      <c r="H17" s="551" t="s">
        <v>414</v>
      </c>
      <c r="I17" s="785"/>
      <c r="J17" s="214">
        <f>+'16'!J17</f>
        <v>0</v>
      </c>
      <c r="K17" s="227"/>
      <c r="L17" s="227"/>
      <c r="M17" s="119">
        <f>+K17+'16'!M17+L17</f>
        <v>0</v>
      </c>
      <c r="N17" s="151">
        <v>1400</v>
      </c>
      <c r="O17" s="151">
        <f>+N17-N17*0.18</f>
        <v>1148</v>
      </c>
      <c r="P17" s="151">
        <v>30</v>
      </c>
      <c r="Q17" s="151">
        <f>+N17*P17</f>
        <v>42000</v>
      </c>
      <c r="R17" s="151">
        <f>+O17*P17</f>
        <v>34440</v>
      </c>
    </row>
    <row r="18" spans="1:18" ht="26.25" thickBot="1">
      <c r="A18" s="782"/>
      <c r="B18" s="215"/>
      <c r="C18" s="216"/>
      <c r="D18" s="217"/>
      <c r="E18" s="223"/>
      <c r="F18" s="229"/>
      <c r="G18" s="548"/>
      <c r="H18" s="551" t="s">
        <v>618</v>
      </c>
      <c r="I18" s="785"/>
      <c r="J18" s="214">
        <f>+'16'!J18</f>
        <v>0</v>
      </c>
      <c r="K18" s="237"/>
      <c r="L18" s="237"/>
      <c r="M18" s="119">
        <f>+K18+'16'!M18+L18</f>
        <v>0</v>
      </c>
      <c r="P18" s="151">
        <f>SUM(P14:P17)</f>
        <v>990</v>
      </c>
      <c r="Q18" s="151">
        <f>SUM(Q15:Q17)</f>
        <v>999600</v>
      </c>
      <c r="R18" s="151">
        <f>SUM(R15:R17)</f>
        <v>811104</v>
      </c>
    </row>
    <row r="19" spans="1:18" ht="13.5" thickBot="1">
      <c r="A19" s="782"/>
      <c r="B19" s="215"/>
      <c r="C19" s="216"/>
      <c r="D19" s="217"/>
      <c r="E19" s="223"/>
      <c r="F19" s="226"/>
      <c r="G19" s="230"/>
      <c r="H19" s="228" t="s">
        <v>610</v>
      </c>
      <c r="I19" s="785"/>
      <c r="J19" s="214">
        <f>+'16'!J19</f>
        <v>0</v>
      </c>
      <c r="K19" s="237"/>
      <c r="L19" s="237"/>
      <c r="M19" s="119">
        <f>+K19+'16'!M19+L19</f>
        <v>0</v>
      </c>
      <c r="Q19" s="151">
        <f>+Q18/P18</f>
        <v>1009.6969696969697</v>
      </c>
      <c r="R19" s="151">
        <f>+R18/P18</f>
        <v>819.29696969696965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+'16'!J20</f>
        <v>0</v>
      </c>
      <c r="K20" s="238"/>
      <c r="L20" s="238"/>
      <c r="M20" s="119">
        <f>+K20+'16'!M20+L20</f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+'16'!J21</f>
        <v>0</v>
      </c>
      <c r="K21" s="237"/>
      <c r="L21" s="237"/>
      <c r="M21" s="119">
        <f>+K21+'16'!M21+L21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+'16'!J22</f>
        <v>0</v>
      </c>
      <c r="K22" s="237"/>
      <c r="L22" s="237"/>
      <c r="M22" s="119">
        <f>+K22+'16'!M22+L22</f>
        <v>0</v>
      </c>
    </row>
    <row r="23" spans="1:18" ht="13.5" thickBot="1">
      <c r="A23" s="783"/>
      <c r="B23" s="167" t="s">
        <v>2</v>
      </c>
      <c r="C23" s="101">
        <f>SUM(C16:C22)</f>
        <v>20600</v>
      </c>
      <c r="D23" s="113">
        <f>SUM(D16:D22)</f>
        <v>0</v>
      </c>
      <c r="E23" s="114">
        <f>SUM(E18:E22)</f>
        <v>0</v>
      </c>
      <c r="F23" s="104">
        <f>SUM(F15:F22)</f>
        <v>12</v>
      </c>
      <c r="G23" s="161"/>
      <c r="H23" s="168"/>
      <c r="I23" s="170"/>
      <c r="J23" s="214">
        <f>+'16'!J23</f>
        <v>0</v>
      </c>
      <c r="K23" s="237"/>
      <c r="L23" s="237"/>
      <c r="M23" s="119">
        <f>+K23+'16'!M23+L23</f>
        <v>0</v>
      </c>
    </row>
    <row r="24" spans="1:18" ht="13.5" thickBot="1">
      <c r="A24" s="787" t="s">
        <v>424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616</v>
      </c>
      <c r="J24" s="214">
        <f>+'16'!J24</f>
        <v>0</v>
      </c>
      <c r="K24" s="237"/>
      <c r="L24" s="237"/>
      <c r="M24" s="119">
        <f>+K24+'16'!M24+L24</f>
        <v>0</v>
      </c>
    </row>
    <row r="25" spans="1:18" ht="13.5" thickBot="1">
      <c r="A25" s="782"/>
      <c r="B25" s="215" t="s">
        <v>607</v>
      </c>
      <c r="C25" s="224">
        <v>5231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+'16'!J25</f>
        <v>0</v>
      </c>
      <c r="K25" s="237"/>
      <c r="L25" s="237"/>
      <c r="M25" s="119">
        <f>+K25+'16'!M25+L25</f>
        <v>0</v>
      </c>
      <c r="N25" s="151">
        <v>1400</v>
      </c>
      <c r="O25" s="151">
        <f>+N25-N25*0.18</f>
        <v>1148</v>
      </c>
      <c r="P25" s="151">
        <v>30</v>
      </c>
      <c r="Q25" s="151">
        <f>+N25*P25</f>
        <v>42000</v>
      </c>
      <c r="R25" s="151">
        <f>+O25*P25</f>
        <v>34440</v>
      </c>
    </row>
    <row r="26" spans="1:18" ht="13.5" thickBot="1">
      <c r="A26" s="782"/>
      <c r="B26" s="215" t="s">
        <v>621</v>
      </c>
      <c r="C26" s="224">
        <v>10757</v>
      </c>
      <c r="D26" s="217"/>
      <c r="E26" s="225"/>
      <c r="F26" s="229">
        <v>12</v>
      </c>
      <c r="G26" s="550" t="s">
        <v>11</v>
      </c>
      <c r="H26" s="551" t="s">
        <v>414</v>
      </c>
      <c r="I26" s="785"/>
      <c r="J26" s="214">
        <f>+'16'!J26</f>
        <v>0</v>
      </c>
      <c r="K26" s="237"/>
      <c r="L26" s="237"/>
      <c r="M26" s="119">
        <f>+K26+'16'!M26+L26</f>
        <v>0</v>
      </c>
      <c r="N26" s="151">
        <v>1100</v>
      </c>
      <c r="O26" s="151">
        <f>+N26-N26*0.23</f>
        <v>847</v>
      </c>
      <c r="P26" s="151">
        <f>30+240+10</f>
        <v>280</v>
      </c>
      <c r="Q26" s="151">
        <f>+N26*P26</f>
        <v>308000</v>
      </c>
      <c r="R26" s="151">
        <f>+O26*P26</f>
        <v>237160</v>
      </c>
    </row>
    <row r="27" spans="1:18" ht="26.25" thickBot="1">
      <c r="A27" s="782"/>
      <c r="B27" s="215" t="s">
        <v>485</v>
      </c>
      <c r="C27" s="216">
        <v>1275</v>
      </c>
      <c r="D27" s="217"/>
      <c r="E27" s="223"/>
      <c r="F27" s="229"/>
      <c r="G27" s="548"/>
      <c r="H27" s="551" t="s">
        <v>618</v>
      </c>
      <c r="I27" s="785"/>
      <c r="J27" s="214">
        <f>+'16'!J27</f>
        <v>0</v>
      </c>
      <c r="K27" s="237"/>
      <c r="L27" s="237"/>
      <c r="M27" s="119">
        <f>+K27+'16'!M27+L27</f>
        <v>0</v>
      </c>
      <c r="N27" s="151">
        <v>1080</v>
      </c>
      <c r="O27" s="151">
        <f>+N27-N27*0.23</f>
        <v>831.6</v>
      </c>
      <c r="P27" s="151">
        <f>50+120</f>
        <v>170</v>
      </c>
      <c r="Q27" s="151">
        <f>+N27*P27</f>
        <v>183600</v>
      </c>
      <c r="R27" s="151">
        <f>+O27*P27</f>
        <v>141372</v>
      </c>
    </row>
    <row r="28" spans="1:18" ht="13.5" thickBot="1">
      <c r="A28" s="782"/>
      <c r="B28" s="215"/>
      <c r="C28" s="216"/>
      <c r="D28" s="217"/>
      <c r="E28" s="223"/>
      <c r="F28" s="226"/>
      <c r="G28" s="230"/>
      <c r="H28" s="228" t="s">
        <v>614</v>
      </c>
      <c r="I28" s="785"/>
      <c r="J28" s="214">
        <f>+'16'!J28</f>
        <v>0</v>
      </c>
      <c r="K28" s="237"/>
      <c r="L28" s="237"/>
      <c r="M28" s="119">
        <f>+K28+'16'!M28+L28</f>
        <v>0</v>
      </c>
      <c r="P28" s="176">
        <f>SUM(P25:P27)</f>
        <v>480</v>
      </c>
      <c r="Q28" s="176">
        <f>SUM(Q25:Q27)</f>
        <v>533600</v>
      </c>
      <c r="R28" s="176">
        <f>SUM(R25:R27)</f>
        <v>412972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 t="s">
        <v>611</v>
      </c>
      <c r="I29" s="785"/>
      <c r="J29" s="214">
        <f>+'16'!J29</f>
        <v>0</v>
      </c>
      <c r="K29" s="237"/>
      <c r="L29" s="237"/>
      <c r="M29" s="119">
        <f>+K29+'16'!M29+L29</f>
        <v>0</v>
      </c>
      <c r="Q29" s="176">
        <f>+Q28/P28</f>
        <v>1111.6666666666667</v>
      </c>
      <c r="R29" s="176">
        <f>+R28/P28</f>
        <v>860.35833333333335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615</v>
      </c>
      <c r="I30" s="785"/>
      <c r="J30" s="214">
        <f>+'16'!J30</f>
        <v>0</v>
      </c>
      <c r="K30" s="237"/>
      <c r="L30" s="237"/>
      <c r="M30" s="119">
        <f>+K30+'16'!M30+L30</f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+'16'!J31</f>
        <v>0</v>
      </c>
      <c r="K31" s="237"/>
      <c r="L31" s="237"/>
      <c r="M31" s="119">
        <f>+K31+'16'!M31+L31</f>
        <v>0</v>
      </c>
    </row>
    <row r="32" spans="1:18" ht="13.5" thickBot="1">
      <c r="A32" s="783"/>
      <c r="B32" s="167" t="s">
        <v>2</v>
      </c>
      <c r="C32" s="101">
        <f>SUM(C25:C31)</f>
        <v>17263</v>
      </c>
      <c r="D32" s="102">
        <f>SUM(D25:D31)</f>
        <v>0</v>
      </c>
      <c r="E32" s="103">
        <f>SUM(E25:E31)</f>
        <v>0</v>
      </c>
      <c r="F32" s="101">
        <f>SUM(F24:F31)</f>
        <v>12</v>
      </c>
      <c r="G32" s="171"/>
      <c r="H32" s="172"/>
      <c r="I32" s="170"/>
      <c r="J32" s="214">
        <f>+'16'!J32</f>
        <v>0</v>
      </c>
      <c r="K32" s="239"/>
      <c r="L32" s="241"/>
      <c r="M32" s="119">
        <f>+K32+'16'!M32+L32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53536</v>
      </c>
      <c r="D34" s="109">
        <f>D14+D23+D32</f>
        <v>632</v>
      </c>
      <c r="E34" s="109">
        <f>E14+E23+E32</f>
        <v>0</v>
      </c>
      <c r="F34" s="110">
        <f>F14+F23+F32</f>
        <v>39</v>
      </c>
      <c r="H34" s="178"/>
      <c r="I34" s="178"/>
      <c r="J34" s="125" t="s">
        <v>27</v>
      </c>
      <c r="K34" s="126">
        <f>SUM(K7:K32)</f>
        <v>53536</v>
      </c>
      <c r="L34" s="212">
        <f>SUM(L7:L32)</f>
        <v>0</v>
      </c>
      <c r="M34" s="122">
        <f>SUM(M7:M32)</f>
        <v>821021</v>
      </c>
      <c r="N34" s="157"/>
    </row>
    <row r="35" spans="1:14" ht="13.5" thickBot="1">
      <c r="A35" s="179"/>
      <c r="B35" s="180"/>
      <c r="C35" s="106">
        <f>C34/($C$34+$D$34+$E$34)</f>
        <v>0.98833259488997194</v>
      </c>
      <c r="D35" s="106">
        <f>D34/($C$34+$D$34+$E$34)</f>
        <v>1.166740511002806E-2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(12*990+17*280+18*170)/1440*G42*2.85*1440/1000000</f>
        <v>57.810635000000005</v>
      </c>
      <c r="J37" s="127">
        <f>+I37+'16'!J37</f>
        <v>914.75569152850767</v>
      </c>
      <c r="K37" s="128" t="s">
        <v>64</v>
      </c>
      <c r="N37" s="151">
        <f>16.194+17.885</f>
        <v>34.079000000000001</v>
      </c>
    </row>
    <row r="38" spans="1:14" ht="17.45" customHeight="1">
      <c r="A38" s="779" t="s">
        <v>11</v>
      </c>
      <c r="B38" s="780"/>
      <c r="C38" s="166">
        <f>SUMIF($G$7:$G$31,"Process",$F$7:$F$31)</f>
        <v>39</v>
      </c>
      <c r="D38" s="120">
        <f>+C38+'16'!D38</f>
        <v>711</v>
      </c>
      <c r="E38" s="145">
        <f t="shared" ref="E38:E51" si="0">D38/60</f>
        <v>11.85</v>
      </c>
      <c r="F38" s="330">
        <v>1400</v>
      </c>
      <c r="G38" s="330">
        <v>1081</v>
      </c>
      <c r="H38" s="187" t="s">
        <v>65</v>
      </c>
      <c r="I38" s="243">
        <f>16.194+17.885+18.288</f>
        <v>52.367000000000004</v>
      </c>
      <c r="J38" s="129">
        <f>+I38+'16'!J38</f>
        <v>843.37699999999995</v>
      </c>
      <c r="K38" s="130" t="s">
        <v>64</v>
      </c>
      <c r="N38" s="151">
        <f>18.288-N39</f>
        <v>12.102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+C39+'16'!D39</f>
        <v>0</v>
      </c>
      <c r="E39" s="145">
        <f t="shared" si="0"/>
        <v>0</v>
      </c>
      <c r="F39" s="330">
        <v>1400</v>
      </c>
      <c r="G39" s="330">
        <v>1148</v>
      </c>
      <c r="H39" s="187" t="s">
        <v>66</v>
      </c>
      <c r="I39" s="144"/>
      <c r="J39" s="131">
        <f>J37/G4</f>
        <v>53.809158325206333</v>
      </c>
      <c r="K39" s="132" t="s">
        <v>64</v>
      </c>
      <c r="N39" s="151">
        <f>2.062*3</f>
        <v>6.1859999999999999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+C40+'16'!D40</f>
        <v>0</v>
      </c>
      <c r="E40" s="145">
        <f t="shared" ca="1" si="0"/>
        <v>0</v>
      </c>
      <c r="F40" s="330">
        <v>1111</v>
      </c>
      <c r="G40" s="330">
        <v>860</v>
      </c>
      <c r="H40" s="187" t="s">
        <v>68</v>
      </c>
      <c r="I40" s="120">
        <f>(K34+L34)/1000</f>
        <v>53.536000000000001</v>
      </c>
      <c r="J40" s="133">
        <f>+I40+'16'!J40</f>
        <v>821.02099999999996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+C41+'16'!D41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48.295352941176468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+C42+'16'!D42</f>
        <v>0</v>
      </c>
      <c r="E42" s="145">
        <f t="shared" ca="1" si="0"/>
        <v>0</v>
      </c>
      <c r="F42" s="330">
        <f>+(F38*480+F39*480+F40*480)/1440</f>
        <v>1303.6666666666667</v>
      </c>
      <c r="G42" s="330">
        <f>+(G38*480+G39*480+G40*480)/1440</f>
        <v>1029.6666666666667</v>
      </c>
      <c r="H42" s="187" t="s">
        <v>71</v>
      </c>
      <c r="I42" s="244" t="s">
        <v>619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+C43+'16'!D43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+Report1!Z25</f>
        <v>121.1</v>
      </c>
      <c r="J43" s="135">
        <f>+I43+'16'!J43</f>
        <v>2077.8000000000006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+C44+'16'!D44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2.312525063494185</v>
      </c>
      <c r="J44" s="136">
        <f>J43/J38</f>
        <v>2.4636669010418837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+C45+'16'!D45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2.2620292887029287</v>
      </c>
      <c r="J45" s="136">
        <f>J43/J40</f>
        <v>2.5307513449716885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+C46+'16'!D46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+SUMIF(Listrik!AN24,"&gt;0")</f>
        <v>43860.739030887722</v>
      </c>
      <c r="J46" s="137">
        <f>+I46+'16'!J46</f>
        <v>769543.0116662645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+C47+'16'!D47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837.56447821887298</v>
      </c>
      <c r="J47" s="137">
        <f>J46/J38</f>
        <v>912.45434920120488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+C48+'16'!D48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819.2756095129954</v>
      </c>
      <c r="J48" s="137">
        <f>J46/J40</f>
        <v>937.30003454998655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+C49+'16'!D49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+I49+'16'!J49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+C50+'16'!D50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+C51+'16'!D51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39</v>
      </c>
      <c r="D52" s="146">
        <f ca="1">SUM(D38:D51)</f>
        <v>829</v>
      </c>
      <c r="E52" s="147">
        <f ca="1">SUM(E38:E51)</f>
        <v>13.816666666666666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2.7083333333333334E-2</v>
      </c>
      <c r="D53" s="148">
        <f ca="1">D52/(24*60*G4)</f>
        <v>3.3864379084967318E-2</v>
      </c>
      <c r="E53" s="149">
        <f ca="1">E52/(G4*24)</f>
        <v>3.3864379084967318E-2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+D34+'16'!J56</f>
        <v>3077</v>
      </c>
      <c r="K56" s="201">
        <f>J56/(J40+J56/1000)/1000</f>
        <v>3.7337792349938963E-3</v>
      </c>
    </row>
    <row r="57" spans="1:11">
      <c r="A57" s="176"/>
      <c r="I57" s="199" t="s">
        <v>90</v>
      </c>
      <c r="J57" s="200">
        <f>+E34+'16'!J57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8" zoomScale="80" zoomScaleNormal="80" zoomScaleSheetLayoutView="80" workbookViewId="0">
      <selection activeCell="K13" sqref="K13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5" ht="15.75">
      <c r="A1" s="150"/>
    </row>
    <row r="2" spans="1:15" ht="15.75">
      <c r="A2" s="150" t="s">
        <v>224</v>
      </c>
    </row>
    <row r="3" spans="1:15" ht="15">
      <c r="A3" s="152"/>
    </row>
    <row r="4" spans="1:15" ht="20.25">
      <c r="A4" s="153" t="s">
        <v>3</v>
      </c>
      <c r="B4" s="154"/>
      <c r="F4" s="155" t="s">
        <v>28</v>
      </c>
      <c r="G4" s="156">
        <v>16</v>
      </c>
      <c r="H4" s="156" t="str">
        <f>+'1'!H4</f>
        <v>.12.25</v>
      </c>
    </row>
    <row r="5" spans="1:15" ht="13.5" thickBot="1">
      <c r="C5" s="157"/>
      <c r="D5" s="157"/>
    </row>
    <row r="6" spans="1:15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442+428+401</f>
        <v>1271</v>
      </c>
    </row>
    <row r="7" spans="1:15" ht="13.5" customHeight="1" thickBot="1">
      <c r="A7" s="781" t="s">
        <v>425</v>
      </c>
      <c r="B7" s="215" t="s">
        <v>579</v>
      </c>
      <c r="C7" s="216">
        <v>17956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+'15'!J7</f>
        <v>F 15 VP OW</v>
      </c>
      <c r="K7" s="236"/>
      <c r="L7" s="240"/>
      <c r="M7" s="119">
        <f>+K7+'15'!M7+L7</f>
        <v>24540</v>
      </c>
    </row>
    <row r="8" spans="1:15" ht="13.5" thickBot="1">
      <c r="A8" s="782"/>
      <c r="B8" s="215"/>
      <c r="C8" s="216"/>
      <c r="D8" s="217"/>
      <c r="E8" s="219"/>
      <c r="F8" s="229">
        <v>3</v>
      </c>
      <c r="G8" s="550" t="s">
        <v>11</v>
      </c>
      <c r="H8" s="549" t="s">
        <v>446</v>
      </c>
      <c r="I8" s="785"/>
      <c r="J8" s="214" t="str">
        <f>+'15'!J8</f>
        <v>T 12,5 VP OW</v>
      </c>
      <c r="K8" s="237"/>
      <c r="L8" s="237"/>
      <c r="M8" s="119">
        <f>+K8+'15'!M8+L8</f>
        <v>35627</v>
      </c>
      <c r="N8" s="151">
        <v>1400</v>
      </c>
      <c r="O8" s="151">
        <f>+N8-N8*0.24</f>
        <v>1064</v>
      </c>
    </row>
    <row r="9" spans="1:15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414</v>
      </c>
      <c r="I9" s="785"/>
      <c r="J9" s="214" t="str">
        <f>+'15'!J9</f>
        <v>T 14 VP OW</v>
      </c>
      <c r="K9" s="237"/>
      <c r="L9" s="237"/>
      <c r="M9" s="119">
        <f>+K9+'15'!M9+L9</f>
        <v>186632</v>
      </c>
    </row>
    <row r="10" spans="1:15" ht="13.5" thickBot="1">
      <c r="A10" s="782"/>
      <c r="B10" s="215"/>
      <c r="C10" s="216"/>
      <c r="D10" s="217"/>
      <c r="E10" s="219"/>
      <c r="F10" s="229"/>
      <c r="G10" s="548"/>
      <c r="H10" s="551" t="s">
        <v>586</v>
      </c>
      <c r="I10" s="785"/>
      <c r="J10" s="214" t="str">
        <f>+'15'!J10</f>
        <v>F 12 VP OW</v>
      </c>
      <c r="K10" s="237"/>
      <c r="L10" s="237"/>
      <c r="M10" s="119">
        <f>+K10+'15'!M10+L10</f>
        <v>364083</v>
      </c>
    </row>
    <row r="11" spans="1:15" ht="26.25" thickBot="1">
      <c r="A11" s="782"/>
      <c r="B11" s="215"/>
      <c r="C11" s="216"/>
      <c r="D11" s="217"/>
      <c r="E11" s="219"/>
      <c r="F11" s="476"/>
      <c r="G11" s="477"/>
      <c r="H11" s="228" t="s">
        <v>594</v>
      </c>
      <c r="I11" s="785"/>
      <c r="J11" s="214" t="str">
        <f>+'15'!J11</f>
        <v>T 18 VP OW</v>
      </c>
      <c r="K11" s="237"/>
      <c r="L11" s="237"/>
      <c r="M11" s="119">
        <f>+K11+'15'!M11+L11</f>
        <v>21393</v>
      </c>
    </row>
    <row r="12" spans="1:15" ht="13.5" thickBot="1">
      <c r="A12" s="782"/>
      <c r="B12" s="215"/>
      <c r="C12" s="216"/>
      <c r="D12" s="217"/>
      <c r="E12" s="219"/>
      <c r="F12" s="226"/>
      <c r="G12" s="230"/>
      <c r="H12" s="231" t="s">
        <v>595</v>
      </c>
      <c r="I12" s="785"/>
      <c r="J12" s="214" t="str">
        <f>+'15'!J12</f>
        <v>F 13 VP OW</v>
      </c>
      <c r="K12" s="237"/>
      <c r="L12" s="237"/>
      <c r="M12" s="119">
        <f>+K12+'15'!M12+L12</f>
        <v>47861</v>
      </c>
    </row>
    <row r="13" spans="1:15" ht="13.5" thickBot="1">
      <c r="A13" s="782"/>
      <c r="B13" s="215"/>
      <c r="C13" s="216"/>
      <c r="D13" s="216"/>
      <c r="E13" s="219"/>
      <c r="F13" s="226"/>
      <c r="G13" s="230"/>
      <c r="H13" s="231" t="s">
        <v>596</v>
      </c>
      <c r="I13" s="786"/>
      <c r="J13" s="214" t="str">
        <f>+'15'!J13</f>
        <v>F 11,5 VP OW</v>
      </c>
      <c r="K13" s="237">
        <f>+C7+C16</f>
        <v>27555</v>
      </c>
      <c r="L13" s="237"/>
      <c r="M13" s="119">
        <f>+K13+'15'!M13+L13</f>
        <v>68990</v>
      </c>
    </row>
    <row r="14" spans="1:15" ht="13.5" thickBot="1">
      <c r="A14" s="783"/>
      <c r="B14" s="167" t="s">
        <v>2</v>
      </c>
      <c r="C14" s="113">
        <f>SUM(C7:C13)</f>
        <v>17956</v>
      </c>
      <c r="D14" s="113">
        <f>SUM(D7:D13)</f>
        <v>0</v>
      </c>
      <c r="E14" s="114">
        <f>SUM(E5:E13)</f>
        <v>0</v>
      </c>
      <c r="F14" s="104">
        <f>SUM(F6:F13)</f>
        <v>13</v>
      </c>
      <c r="G14" s="161"/>
      <c r="H14" s="168"/>
      <c r="I14" s="169"/>
      <c r="J14" s="214" t="s">
        <v>607</v>
      </c>
      <c r="K14" s="237">
        <f>+C17+C25</f>
        <v>18359</v>
      </c>
      <c r="L14" s="237"/>
      <c r="M14" s="119">
        <f>+K14+'15'!M14+L14</f>
        <v>18359</v>
      </c>
    </row>
    <row r="15" spans="1:15" ht="13.5" thickBot="1">
      <c r="A15" s="787" t="s">
        <v>542</v>
      </c>
      <c r="B15" s="506"/>
      <c r="C15" s="116">
        <f>C14/($C$23+$D$23+$E$23)</f>
        <v>1.1588254275572765</v>
      </c>
      <c r="D15" s="116">
        <f>D14/($C$23+$D$23+$E$23)</f>
        <v>0</v>
      </c>
      <c r="E15" s="117">
        <f>E14/($C$23+$D$23+$E$23)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+'15'!J15</f>
        <v>0</v>
      </c>
      <c r="K15" s="237"/>
      <c r="L15" s="237"/>
      <c r="M15" s="119">
        <f>+K15+'15'!M15+L15</f>
        <v>0</v>
      </c>
    </row>
    <row r="16" spans="1:15" ht="13.5" thickBot="1">
      <c r="A16" s="782"/>
      <c r="B16" s="215" t="s">
        <v>579</v>
      </c>
      <c r="C16" s="507">
        <f>9045+554</f>
        <v>9599</v>
      </c>
      <c r="D16" s="221">
        <v>275</v>
      </c>
      <c r="E16" s="222"/>
      <c r="F16" s="229">
        <v>3</v>
      </c>
      <c r="G16" s="550" t="s">
        <v>11</v>
      </c>
      <c r="H16" s="549" t="s">
        <v>446</v>
      </c>
      <c r="I16" s="785"/>
      <c r="J16" s="214">
        <f>+'15'!J16</f>
        <v>0</v>
      </c>
      <c r="K16" s="227"/>
      <c r="L16" s="227"/>
      <c r="M16" s="119">
        <f>+K16+'15'!M16+L16</f>
        <v>0</v>
      </c>
    </row>
    <row r="17" spans="1:14" ht="13.5" thickBot="1">
      <c r="A17" s="782"/>
      <c r="B17" s="215" t="s">
        <v>607</v>
      </c>
      <c r="C17" s="216">
        <v>5621</v>
      </c>
      <c r="D17" s="217"/>
      <c r="E17" s="223"/>
      <c r="F17" s="229">
        <v>15</v>
      </c>
      <c r="G17" s="550" t="s">
        <v>11</v>
      </c>
      <c r="H17" s="551" t="s">
        <v>541</v>
      </c>
      <c r="I17" s="785"/>
      <c r="J17" s="214">
        <f>+'15'!J17</f>
        <v>0</v>
      </c>
      <c r="K17" s="227"/>
      <c r="L17" s="227"/>
      <c r="M17" s="119">
        <f>+K17+'15'!M17+L17</f>
        <v>0</v>
      </c>
    </row>
    <row r="18" spans="1:14" ht="13.5" thickBot="1">
      <c r="A18" s="782"/>
      <c r="B18" s="215"/>
      <c r="C18" s="216"/>
      <c r="D18" s="217"/>
      <c r="E18" s="223"/>
      <c r="F18" s="229"/>
      <c r="G18" s="548"/>
      <c r="H18" s="551" t="s">
        <v>586</v>
      </c>
      <c r="I18" s="785"/>
      <c r="J18" s="214">
        <f>+'15'!J18</f>
        <v>0</v>
      </c>
      <c r="K18" s="237"/>
      <c r="L18" s="237"/>
      <c r="M18" s="119">
        <f>+K18+'15'!M18+L18</f>
        <v>0</v>
      </c>
    </row>
    <row r="19" spans="1:14" ht="51.75" thickBot="1">
      <c r="A19" s="782"/>
      <c r="B19" s="215"/>
      <c r="C19" s="216"/>
      <c r="D19" s="217"/>
      <c r="E19" s="223"/>
      <c r="F19" s="226"/>
      <c r="G19" s="230"/>
      <c r="H19" s="228" t="s">
        <v>603</v>
      </c>
      <c r="I19" s="785"/>
      <c r="J19" s="214">
        <f>+'15'!J19</f>
        <v>0</v>
      </c>
      <c r="K19" s="237"/>
      <c r="L19" s="237"/>
      <c r="M19" s="119">
        <f>+K19+'15'!M19+L19</f>
        <v>0</v>
      </c>
    </row>
    <row r="20" spans="1:14" ht="26.25" thickBot="1">
      <c r="A20" s="782"/>
      <c r="B20" s="215"/>
      <c r="C20" s="216"/>
      <c r="D20" s="217"/>
      <c r="E20" s="223"/>
      <c r="F20" s="226"/>
      <c r="G20" s="230"/>
      <c r="H20" s="231" t="s">
        <v>597</v>
      </c>
      <c r="I20" s="785"/>
      <c r="J20" s="214">
        <f>+'15'!J20</f>
        <v>0</v>
      </c>
      <c r="K20" s="238"/>
      <c r="L20" s="238"/>
      <c r="M20" s="119">
        <f>+K20+'15'!M20+L20</f>
        <v>0</v>
      </c>
    </row>
    <row r="21" spans="1:14" ht="13.5" thickBot="1">
      <c r="A21" s="782"/>
      <c r="B21" s="215"/>
      <c r="C21" s="216"/>
      <c r="D21" s="217"/>
      <c r="E21" s="223"/>
      <c r="F21" s="229"/>
      <c r="G21" s="230"/>
      <c r="H21" s="231" t="s">
        <v>598</v>
      </c>
      <c r="I21" s="785"/>
      <c r="J21" s="214">
        <f>+'15'!J21</f>
        <v>0</v>
      </c>
      <c r="K21" s="237"/>
      <c r="L21" s="237"/>
      <c r="M21" s="119">
        <f>+K21+'15'!M21+L21</f>
        <v>0</v>
      </c>
    </row>
    <row r="22" spans="1:14" ht="26.25" thickBot="1">
      <c r="A22" s="782"/>
      <c r="B22" s="215"/>
      <c r="C22" s="216"/>
      <c r="D22" s="217"/>
      <c r="E22" s="223"/>
      <c r="F22" s="234"/>
      <c r="G22" s="230"/>
      <c r="H22" s="231" t="s">
        <v>599</v>
      </c>
      <c r="I22" s="786"/>
      <c r="J22" s="214">
        <f>+'15'!J22</f>
        <v>0</v>
      </c>
      <c r="K22" s="237"/>
      <c r="L22" s="237"/>
      <c r="M22" s="119">
        <f>+K22+'15'!M22+L22</f>
        <v>0</v>
      </c>
    </row>
    <row r="23" spans="1:14" ht="13.5" thickBot="1">
      <c r="A23" s="783"/>
      <c r="B23" s="167" t="s">
        <v>2</v>
      </c>
      <c r="C23" s="101">
        <f>SUM(C16:C22)</f>
        <v>15220</v>
      </c>
      <c r="D23" s="113">
        <f>SUM(D16:D22)</f>
        <v>275</v>
      </c>
      <c r="E23" s="114">
        <f>SUM(E18:E22)</f>
        <v>0</v>
      </c>
      <c r="F23" s="104">
        <f>SUM(F15:F22)</f>
        <v>18</v>
      </c>
      <c r="G23" s="161"/>
      <c r="H23" s="168"/>
      <c r="I23" s="170"/>
      <c r="J23" s="214">
        <f>+'15'!J23</f>
        <v>0</v>
      </c>
      <c r="K23" s="237"/>
      <c r="L23" s="237"/>
      <c r="M23" s="119">
        <f>+K23+'15'!M23+L23</f>
        <v>0</v>
      </c>
    </row>
    <row r="24" spans="1:14" ht="13.5" thickBot="1">
      <c r="A24" s="787" t="s">
        <v>424</v>
      </c>
      <c r="B24" s="506"/>
      <c r="C24" s="115">
        <f>C23/($C$23+$D$23+$E$23)</f>
        <v>0.98225233946434332</v>
      </c>
      <c r="D24" s="116">
        <f>D23/($C$23+$D$23+$E$23)</f>
        <v>1.7747660535656663E-2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+'15'!J24</f>
        <v>0</v>
      </c>
      <c r="K24" s="237"/>
      <c r="L24" s="237"/>
      <c r="M24" s="119">
        <f>+K24+'15'!M24+L24</f>
        <v>0</v>
      </c>
    </row>
    <row r="25" spans="1:14" ht="13.5" thickBot="1">
      <c r="A25" s="782"/>
      <c r="B25" s="215" t="s">
        <v>607</v>
      </c>
      <c r="C25" s="224">
        <v>12738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+'15'!J25</f>
        <v>0</v>
      </c>
      <c r="K25" s="237"/>
      <c r="L25" s="237"/>
      <c r="M25" s="119">
        <f>+K25+'15'!M25+L25</f>
        <v>0</v>
      </c>
    </row>
    <row r="26" spans="1:14" ht="13.5" thickBot="1">
      <c r="A26" s="782"/>
      <c r="B26" s="215"/>
      <c r="C26" s="224"/>
      <c r="D26" s="217"/>
      <c r="E26" s="225"/>
      <c r="F26" s="229">
        <v>13</v>
      </c>
      <c r="G26" s="550" t="s">
        <v>11</v>
      </c>
      <c r="H26" s="551" t="s">
        <v>416</v>
      </c>
      <c r="I26" s="785"/>
      <c r="J26" s="214">
        <f>+'15'!J26</f>
        <v>0</v>
      </c>
      <c r="K26" s="237"/>
      <c r="L26" s="237"/>
      <c r="M26" s="119">
        <f>+K26+'15'!M26+L26</f>
        <v>0</v>
      </c>
    </row>
    <row r="27" spans="1:14" ht="26.25" thickBot="1">
      <c r="A27" s="782"/>
      <c r="B27" s="215"/>
      <c r="C27" s="216"/>
      <c r="D27" s="217"/>
      <c r="E27" s="223"/>
      <c r="F27" s="229"/>
      <c r="G27" s="548"/>
      <c r="H27" s="551" t="s">
        <v>602</v>
      </c>
      <c r="I27" s="785"/>
      <c r="J27" s="214">
        <f>+'15'!J27</f>
        <v>0</v>
      </c>
      <c r="K27" s="237"/>
      <c r="L27" s="237"/>
      <c r="M27" s="119">
        <f>+K27+'15'!M27+L27</f>
        <v>0</v>
      </c>
    </row>
    <row r="28" spans="1:14" ht="13.5" thickBot="1">
      <c r="A28" s="782"/>
      <c r="B28" s="215"/>
      <c r="C28" s="216"/>
      <c r="D28" s="217"/>
      <c r="E28" s="223"/>
      <c r="F28" s="226"/>
      <c r="G28" s="230"/>
      <c r="H28" s="228" t="s">
        <v>600</v>
      </c>
      <c r="I28" s="785"/>
      <c r="J28" s="214">
        <f>+'15'!J28</f>
        <v>0</v>
      </c>
      <c r="K28" s="237"/>
      <c r="L28" s="237"/>
      <c r="M28" s="119">
        <f>+K28+'15'!M28+L28</f>
        <v>0</v>
      </c>
    </row>
    <row r="29" spans="1:14" ht="13.5" thickBot="1">
      <c r="A29" s="782"/>
      <c r="B29" s="215"/>
      <c r="C29" s="216"/>
      <c r="D29" s="217"/>
      <c r="E29" s="223"/>
      <c r="F29" s="234"/>
      <c r="G29" s="230"/>
      <c r="H29" s="231" t="s">
        <v>601</v>
      </c>
      <c r="I29" s="785"/>
      <c r="J29" s="214">
        <f>+'15'!J29</f>
        <v>0</v>
      </c>
      <c r="K29" s="237"/>
      <c r="L29" s="237"/>
      <c r="M29" s="119">
        <f>+K29+'15'!M29+L29</f>
        <v>0</v>
      </c>
    </row>
    <row r="30" spans="1:14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+'15'!J30</f>
        <v>0</v>
      </c>
      <c r="K30" s="237"/>
      <c r="L30" s="237"/>
      <c r="M30" s="119">
        <f>+K30+'15'!M30+L30</f>
        <v>0</v>
      </c>
      <c r="N30" s="157"/>
    </row>
    <row r="31" spans="1:14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+'15'!J31</f>
        <v>0</v>
      </c>
      <c r="K31" s="237"/>
      <c r="L31" s="237"/>
      <c r="M31" s="119">
        <f>+K31+'15'!M31+L31</f>
        <v>0</v>
      </c>
    </row>
    <row r="32" spans="1:14" ht="13.5" thickBot="1">
      <c r="A32" s="783"/>
      <c r="B32" s="167" t="s">
        <v>2</v>
      </c>
      <c r="C32" s="101">
        <f>SUM(C25:C31)</f>
        <v>12738</v>
      </c>
      <c r="D32" s="102">
        <f>SUM(D25:D31)</f>
        <v>0</v>
      </c>
      <c r="E32" s="103">
        <f>SUM(E25:E31)</f>
        <v>0</v>
      </c>
      <c r="F32" s="101">
        <f>SUM(F24:F31)</f>
        <v>13</v>
      </c>
      <c r="G32" s="171"/>
      <c r="H32" s="172"/>
      <c r="I32" s="170"/>
      <c r="J32" s="214">
        <f>+'15'!J32</f>
        <v>0</v>
      </c>
      <c r="K32" s="239"/>
      <c r="L32" s="241"/>
      <c r="M32" s="119">
        <f>+K32+'15'!M32+L32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45914</v>
      </c>
      <c r="D34" s="109">
        <f>D14+D23+D32</f>
        <v>275</v>
      </c>
      <c r="E34" s="109">
        <f>E14+E23+E32</f>
        <v>0</v>
      </c>
      <c r="F34" s="110">
        <f>F14+F23+F32</f>
        <v>44</v>
      </c>
      <c r="H34" s="178"/>
      <c r="I34" s="178"/>
      <c r="J34" s="125" t="s">
        <v>27</v>
      </c>
      <c r="K34" s="126">
        <f>SUM(K7:K32)</f>
        <v>45914</v>
      </c>
      <c r="L34" s="212">
        <f>SUM(L7:L32)</f>
        <v>0</v>
      </c>
      <c r="M34" s="122">
        <f>SUM(M7:M32)</f>
        <v>767485</v>
      </c>
      <c r="N34" s="157"/>
    </row>
    <row r="35" spans="1:14" ht="13.5" thickBot="1">
      <c r="A35" s="179"/>
      <c r="B35" s="180"/>
      <c r="C35" s="106">
        <f>C34/($C$34+$D$34+$E$34)</f>
        <v>0.99404620147654199</v>
      </c>
      <c r="D35" s="106">
        <f>D34/($C$34+$D$34+$E$34)</f>
        <v>5.9537985234579659E-3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+I37+'15'!J37</f>
        <v>856.94505652850762</v>
      </c>
      <c r="K37" s="128" t="s">
        <v>64</v>
      </c>
      <c r="M37" s="151">
        <v>595</v>
      </c>
      <c r="N37" s="151">
        <f>17.203+2.016+1.075+1.705</f>
        <v>21.999000000000002</v>
      </c>
    </row>
    <row r="38" spans="1:14" ht="17.45" customHeight="1">
      <c r="A38" s="779" t="s">
        <v>11</v>
      </c>
      <c r="B38" s="780"/>
      <c r="C38" s="166">
        <f>SUMIF($G$7:$G$31,"Process",$F$7:$F$31)</f>
        <v>44</v>
      </c>
      <c r="D38" s="120">
        <f>+C38+'15'!D38</f>
        <v>672</v>
      </c>
      <c r="E38" s="145">
        <f t="shared" ref="E38:E51" si="0">D38/60</f>
        <v>11.2</v>
      </c>
      <c r="F38" s="330">
        <v>1400</v>
      </c>
      <c r="G38" s="330">
        <f>+F38-F38*0.24</f>
        <v>1064</v>
      </c>
      <c r="H38" s="187" t="s">
        <v>65</v>
      </c>
      <c r="I38" s="243">
        <f>17.203+4.166+10.949+15.503</f>
        <v>47.820999999999998</v>
      </c>
      <c r="J38" s="129">
        <f>+I38+'15'!J38</f>
        <v>791.01</v>
      </c>
      <c r="K38" s="130" t="s">
        <v>64</v>
      </c>
      <c r="M38" s="151">
        <v>845</v>
      </c>
      <c r="N38" s="157">
        <f>+I38-N37</f>
        <v>25.821999999999996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+C39+'15'!D39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53.559066033031726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+C40+'15'!D40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45.914000000000001</v>
      </c>
      <c r="J40" s="133">
        <f>+I40+'15'!J40</f>
        <v>767.48500000000001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+C41+'15'!D41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47.967812500000001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+C42+'15'!D42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+C43+'15'!D43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+Report1!Z24</f>
        <v>116.7</v>
      </c>
      <c r="J43" s="135">
        <f>+I43+'15'!J43</f>
        <v>1956.7000000000005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+C44+'15'!D44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2.4403504736412875</v>
      </c>
      <c r="J44" s="136">
        <f>J43/J38</f>
        <v>2.4736728992048147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+C45+'15'!D45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2.5417084113777935</v>
      </c>
      <c r="J45" s="136">
        <f>J43/J40</f>
        <v>2.5494960813566396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+C46+'15'!D46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+SUMIF(Listrik!AN23,"&gt;0")</f>
        <v>46468.574508967744</v>
      </c>
      <c r="J46" s="137">
        <f>+I46+'15'!J46</f>
        <v>725682.27263537678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+C47+'15'!D47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971.71900439070168</v>
      </c>
      <c r="J47" s="137">
        <f>J46/J38</f>
        <v>917.41226107808598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+C48+'15'!D48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1012.0785492217568</v>
      </c>
      <c r="J48" s="137">
        <f>J46/J40</f>
        <v>945.53284120911383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+C49+'15'!D49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+I49+'15'!J49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+C50+'15'!D50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+C51+'15'!D51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44</v>
      </c>
      <c r="D52" s="146">
        <f ca="1">SUM(D38:D51)</f>
        <v>790</v>
      </c>
      <c r="E52" s="147">
        <f ca="1">SUM(E38:E51)</f>
        <v>13.166666666666666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3.0555555555555555E-2</v>
      </c>
      <c r="D53" s="148">
        <f ca="1">D52/(24*60*G4)</f>
        <v>3.4288194444444448E-2</v>
      </c>
      <c r="E53" s="149">
        <f ca="1">E52/(G4*24)</f>
        <v>3.4288194444444441E-2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+D34+'15'!J56</f>
        <v>2445</v>
      </c>
      <c r="K56" s="201">
        <f>J56/(J40+J56/1000)/1000</f>
        <v>3.1756133674489886E-3</v>
      </c>
    </row>
    <row r="57" spans="1:11">
      <c r="A57" s="176"/>
      <c r="I57" s="199" t="s">
        <v>90</v>
      </c>
      <c r="J57" s="200">
        <f>+E34+'15'!J57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15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421+409+383</f>
        <v>1213</v>
      </c>
    </row>
    <row r="7" spans="1:18" ht="13.5" customHeight="1" thickBot="1">
      <c r="A7" s="781" t="s">
        <v>425</v>
      </c>
      <c r="B7" s="215" t="s">
        <v>579</v>
      </c>
      <c r="C7" s="216">
        <v>8800</v>
      </c>
      <c r="D7" s="217"/>
      <c r="E7" s="218"/>
      <c r="F7" s="229">
        <v>40</v>
      </c>
      <c r="G7" s="548" t="s">
        <v>11</v>
      </c>
      <c r="H7" s="549" t="s">
        <v>591</v>
      </c>
      <c r="I7" s="784" t="s">
        <v>511</v>
      </c>
      <c r="J7" s="214" t="str">
        <f>+'14'!J7</f>
        <v>F 15 VP OW</v>
      </c>
      <c r="K7" s="236"/>
      <c r="L7" s="240"/>
      <c r="M7" s="119">
        <f>+K7+'14'!M7+L7</f>
        <v>24540</v>
      </c>
    </row>
    <row r="8" spans="1:18" ht="13.5" thickBot="1">
      <c r="A8" s="782"/>
      <c r="B8" s="215"/>
      <c r="C8" s="216"/>
      <c r="D8" s="217"/>
      <c r="E8" s="219"/>
      <c r="F8" s="229">
        <v>5</v>
      </c>
      <c r="G8" s="550" t="s">
        <v>11</v>
      </c>
      <c r="H8" s="549" t="s">
        <v>446</v>
      </c>
      <c r="I8" s="785"/>
      <c r="J8" s="214" t="str">
        <f>+'14'!J8</f>
        <v>T 12,5 VP OW</v>
      </c>
      <c r="K8" s="237"/>
      <c r="L8" s="237"/>
      <c r="M8" s="119">
        <f>+K8+'14'!M8+L8</f>
        <v>35627</v>
      </c>
      <c r="N8" s="151">
        <v>1400</v>
      </c>
      <c r="O8" s="151">
        <f>+N8-N8*0.24</f>
        <v>1064</v>
      </c>
    </row>
    <row r="9" spans="1:18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416</v>
      </c>
      <c r="I9" s="785"/>
      <c r="J9" s="214" t="str">
        <f>+'14'!J9</f>
        <v>T 14 VP OW</v>
      </c>
      <c r="K9" s="237"/>
      <c r="L9" s="237"/>
      <c r="M9" s="119">
        <f>+K9+'14'!M9+L9</f>
        <v>186632</v>
      </c>
    </row>
    <row r="10" spans="1:18" ht="13.5" thickBot="1">
      <c r="A10" s="782"/>
      <c r="B10" s="215"/>
      <c r="C10" s="216"/>
      <c r="D10" s="217"/>
      <c r="E10" s="219"/>
      <c r="F10" s="229"/>
      <c r="G10" s="548"/>
      <c r="H10" s="551" t="s">
        <v>583</v>
      </c>
      <c r="I10" s="785"/>
      <c r="J10" s="214" t="str">
        <f>+'14'!J10</f>
        <v>F 12 VP OW</v>
      </c>
      <c r="K10" s="237"/>
      <c r="L10" s="237"/>
      <c r="M10" s="119">
        <f>+K10+'14'!M10+L10</f>
        <v>364083</v>
      </c>
      <c r="P10" s="176"/>
    </row>
    <row r="11" spans="1:18" ht="51.75" thickBot="1">
      <c r="A11" s="782"/>
      <c r="B11" s="215"/>
      <c r="C11" s="216"/>
      <c r="D11" s="217"/>
      <c r="E11" s="219"/>
      <c r="F11" s="476"/>
      <c r="G11" s="477"/>
      <c r="H11" s="228" t="s">
        <v>580</v>
      </c>
      <c r="I11" s="785"/>
      <c r="J11" s="214" t="str">
        <f>+'14'!J11</f>
        <v>T 18 VP OW</v>
      </c>
      <c r="K11" s="237"/>
      <c r="L11" s="237"/>
      <c r="M11" s="119">
        <f>+K11+'14'!M11+L11</f>
        <v>21393</v>
      </c>
      <c r="Q11" s="176"/>
      <c r="R11" s="176"/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581</v>
      </c>
      <c r="I12" s="785"/>
      <c r="J12" s="214" t="str">
        <f>+'14'!J12</f>
        <v>F 13 VP OW</v>
      </c>
      <c r="K12" s="237"/>
      <c r="L12" s="237"/>
      <c r="M12" s="119">
        <f>+K12+'14'!M12+L12</f>
        <v>47861</v>
      </c>
    </row>
    <row r="13" spans="1:18" ht="26.25" thickBot="1">
      <c r="A13" s="782"/>
      <c r="B13" s="215"/>
      <c r="C13" s="216"/>
      <c r="D13" s="216"/>
      <c r="E13" s="219"/>
      <c r="F13" s="226"/>
      <c r="G13" s="230"/>
      <c r="H13" s="231" t="s">
        <v>582</v>
      </c>
      <c r="I13" s="786"/>
      <c r="J13" s="214" t="str">
        <f>+'14'!J13</f>
        <v>F 11,5 VP OW</v>
      </c>
      <c r="K13" s="237">
        <f>+C34</f>
        <v>38724</v>
      </c>
      <c r="L13" s="237"/>
      <c r="M13" s="119">
        <f>+K13+'14'!M13+L13</f>
        <v>41435</v>
      </c>
    </row>
    <row r="14" spans="1:18" ht="13.5" thickBot="1">
      <c r="A14" s="783"/>
      <c r="B14" s="167" t="s">
        <v>2</v>
      </c>
      <c r="C14" s="101">
        <f>SUM(C7:C13)</f>
        <v>8800</v>
      </c>
      <c r="D14" s="113">
        <f>SUM(D7:D13)</f>
        <v>0</v>
      </c>
      <c r="E14" s="114">
        <f>SUM(E9:E13)</f>
        <v>0</v>
      </c>
      <c r="F14" s="104">
        <f>SUM(F6:F13)</f>
        <v>55</v>
      </c>
      <c r="G14" s="161"/>
      <c r="H14" s="168"/>
      <c r="I14" s="169"/>
      <c r="J14" s="214">
        <f>+'14'!J14</f>
        <v>0</v>
      </c>
      <c r="K14" s="237"/>
      <c r="L14" s="237"/>
      <c r="M14" s="119">
        <f>+K14+'14'!M14+L14</f>
        <v>0</v>
      </c>
    </row>
    <row r="15" spans="1:18" ht="13.5" customHeight="1" thickBot="1">
      <c r="A15" s="787" t="s">
        <v>542</v>
      </c>
      <c r="B15" s="506"/>
      <c r="C15" s="553">
        <f>C14/($C$32+$D$32+$E$32)</f>
        <v>0.68069306930693074</v>
      </c>
      <c r="D15" s="106">
        <f>D14/($C$32+$D$32+$E$32)</f>
        <v>0</v>
      </c>
      <c r="E15" s="107">
        <f>E14/($C$32+$D$32+$E$32)</f>
        <v>0</v>
      </c>
      <c r="F15" s="229">
        <v>10</v>
      </c>
      <c r="G15" s="548" t="s">
        <v>11</v>
      </c>
      <c r="H15" s="549" t="s">
        <v>510</v>
      </c>
      <c r="I15" s="784" t="s">
        <v>511</v>
      </c>
      <c r="J15" s="214">
        <f>+'14'!J15</f>
        <v>0</v>
      </c>
      <c r="K15" s="237"/>
      <c r="L15" s="237"/>
      <c r="M15" s="119">
        <f>+K15+'14'!M15+L15</f>
        <v>0</v>
      </c>
    </row>
    <row r="16" spans="1:18" ht="13.5" thickBot="1">
      <c r="A16" s="782"/>
      <c r="B16" s="215" t="s">
        <v>579</v>
      </c>
      <c r="C16" s="507">
        <v>16996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+'14'!J16</f>
        <v>0</v>
      </c>
      <c r="K16" s="227"/>
      <c r="L16" s="227"/>
      <c r="M16" s="119">
        <f>+K16+'14'!M16+L16</f>
        <v>0</v>
      </c>
      <c r="N16" s="176"/>
      <c r="O16" s="176"/>
      <c r="P16" s="176"/>
    </row>
    <row r="17" spans="1:18" ht="13.5" thickBot="1">
      <c r="A17" s="782"/>
      <c r="B17" s="215"/>
      <c r="C17" s="216"/>
      <c r="D17" s="217"/>
      <c r="E17" s="223"/>
      <c r="F17" s="229">
        <v>10</v>
      </c>
      <c r="G17" s="550" t="s">
        <v>11</v>
      </c>
      <c r="H17" s="551" t="s">
        <v>416</v>
      </c>
      <c r="I17" s="785"/>
      <c r="J17" s="214">
        <f>+'14'!J17</f>
        <v>0</v>
      </c>
      <c r="K17" s="227"/>
      <c r="L17" s="227"/>
      <c r="M17" s="119">
        <f>+K17+'14'!M17+L17</f>
        <v>0</v>
      </c>
    </row>
    <row r="18" spans="1:18" ht="13.5" thickBot="1">
      <c r="A18" s="782"/>
      <c r="B18" s="215"/>
      <c r="C18" s="216"/>
      <c r="D18" s="217"/>
      <c r="E18" s="223"/>
      <c r="F18" s="229"/>
      <c r="G18" s="548"/>
      <c r="H18" s="551" t="s">
        <v>583</v>
      </c>
      <c r="I18" s="785"/>
      <c r="J18" s="214">
        <f>+'14'!J18</f>
        <v>0</v>
      </c>
      <c r="K18" s="237"/>
      <c r="L18" s="237"/>
      <c r="M18" s="119">
        <f>+K18+'14'!M18+L18</f>
        <v>0</v>
      </c>
    </row>
    <row r="19" spans="1:18" ht="26.25" thickBot="1">
      <c r="A19" s="782"/>
      <c r="B19" s="215"/>
      <c r="C19" s="216"/>
      <c r="D19" s="217"/>
      <c r="E19" s="223"/>
      <c r="F19" s="226"/>
      <c r="G19" s="230"/>
      <c r="H19" s="228" t="s">
        <v>584</v>
      </c>
      <c r="I19" s="785"/>
      <c r="J19" s="214">
        <f>+'14'!J19</f>
        <v>0</v>
      </c>
      <c r="K19" s="237"/>
      <c r="L19" s="237"/>
      <c r="M19" s="119">
        <f>+K19+'14'!M19+L19</f>
        <v>0</v>
      </c>
    </row>
    <row r="20" spans="1:18" ht="26.25" thickBot="1">
      <c r="A20" s="782"/>
      <c r="B20" s="215"/>
      <c r="C20" s="216"/>
      <c r="D20" s="217"/>
      <c r="E20" s="223"/>
      <c r="F20" s="226"/>
      <c r="G20" s="230"/>
      <c r="H20" s="231" t="s">
        <v>587</v>
      </c>
      <c r="I20" s="785"/>
      <c r="J20" s="214">
        <f>+'14'!J20</f>
        <v>0</v>
      </c>
      <c r="K20" s="238"/>
      <c r="L20" s="238"/>
      <c r="M20" s="119">
        <f>+K20+'14'!M20+L20</f>
        <v>0</v>
      </c>
    </row>
    <row r="21" spans="1:18" ht="26.25" thickBot="1">
      <c r="A21" s="782"/>
      <c r="B21" s="215"/>
      <c r="C21" s="216"/>
      <c r="D21" s="217"/>
      <c r="E21" s="223"/>
      <c r="F21" s="229"/>
      <c r="G21" s="230"/>
      <c r="H21" s="231" t="s">
        <v>585</v>
      </c>
      <c r="I21" s="785"/>
      <c r="J21" s="214">
        <f>+'14'!J21</f>
        <v>0</v>
      </c>
      <c r="K21" s="237"/>
      <c r="L21" s="237"/>
      <c r="M21" s="119">
        <f>+K21+'14'!M21+L21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+'14'!J22</f>
        <v>0</v>
      </c>
      <c r="K22" s="237"/>
      <c r="L22" s="237"/>
      <c r="M22" s="119">
        <f>+K22+'14'!M22+L22</f>
        <v>0</v>
      </c>
    </row>
    <row r="23" spans="1:18" ht="13.5" thickBot="1">
      <c r="A23" s="783"/>
      <c r="B23" s="167" t="s">
        <v>2</v>
      </c>
      <c r="C23" s="101">
        <f>SUM(C16:C22)</f>
        <v>16996</v>
      </c>
      <c r="D23" s="113">
        <f>SUM(D16:D22)</f>
        <v>0</v>
      </c>
      <c r="E23" s="114">
        <f>SUM(E18:E22)</f>
        <v>0</v>
      </c>
      <c r="F23" s="104">
        <f>SUM(F15:F22)</f>
        <v>20</v>
      </c>
      <c r="G23" s="161"/>
      <c r="H23" s="168"/>
      <c r="I23" s="170"/>
      <c r="J23" s="214">
        <f>+'14'!J23</f>
        <v>0</v>
      </c>
      <c r="K23" s="237"/>
      <c r="L23" s="237"/>
      <c r="M23" s="119">
        <f>+K23+'14'!M23+L23</f>
        <v>0</v>
      </c>
    </row>
    <row r="24" spans="1:18" ht="13.5" thickBot="1">
      <c r="A24" s="787" t="s">
        <v>424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+'14'!J24</f>
        <v>0</v>
      </c>
      <c r="K24" s="237"/>
      <c r="L24" s="237"/>
      <c r="M24" s="119">
        <f>+K24+'14'!M24+L24</f>
        <v>0</v>
      </c>
    </row>
    <row r="25" spans="1:18" ht="13.5" thickBot="1">
      <c r="A25" s="782"/>
      <c r="B25" s="215" t="s">
        <v>579</v>
      </c>
      <c r="C25" s="224">
        <v>12928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+'14'!J25</f>
        <v>0</v>
      </c>
      <c r="K25" s="237"/>
      <c r="L25" s="237"/>
      <c r="M25" s="119">
        <f>+K25+'14'!M25+L25</f>
        <v>0</v>
      </c>
    </row>
    <row r="26" spans="1:18" ht="13.5" thickBot="1">
      <c r="A26" s="782"/>
      <c r="B26" s="215"/>
      <c r="C26" s="224"/>
      <c r="D26" s="217"/>
      <c r="E26" s="225"/>
      <c r="F26" s="229">
        <v>9</v>
      </c>
      <c r="G26" s="550" t="s">
        <v>11</v>
      </c>
      <c r="H26" s="551" t="s">
        <v>416</v>
      </c>
      <c r="I26" s="785"/>
      <c r="J26" s="214">
        <f>+'14'!J26</f>
        <v>0</v>
      </c>
      <c r="K26" s="237"/>
      <c r="L26" s="237"/>
      <c r="M26" s="119">
        <f>+K26+'14'!M26+L26</f>
        <v>0</v>
      </c>
      <c r="P26" s="176"/>
    </row>
    <row r="27" spans="1:18" ht="13.5" thickBot="1">
      <c r="A27" s="782"/>
      <c r="B27" s="215"/>
      <c r="C27" s="216"/>
      <c r="D27" s="217"/>
      <c r="E27" s="223"/>
      <c r="F27" s="229"/>
      <c r="G27" s="548"/>
      <c r="H27" s="551" t="s">
        <v>586</v>
      </c>
      <c r="I27" s="785"/>
      <c r="J27" s="214">
        <f>+'14'!J27</f>
        <v>0</v>
      </c>
      <c r="K27" s="237"/>
      <c r="L27" s="237"/>
      <c r="M27" s="119">
        <f>+K27+'14'!M27+L27</f>
        <v>0</v>
      </c>
      <c r="Q27" s="176"/>
      <c r="R27" s="176"/>
    </row>
    <row r="28" spans="1:18" ht="13.5" thickBot="1">
      <c r="A28" s="782"/>
      <c r="B28" s="215"/>
      <c r="C28" s="216"/>
      <c r="D28" s="217"/>
      <c r="E28" s="223"/>
      <c r="F28" s="226"/>
      <c r="G28" s="230"/>
      <c r="H28" s="228" t="s">
        <v>588</v>
      </c>
      <c r="I28" s="785"/>
      <c r="J28" s="214">
        <f>+'14'!J28</f>
        <v>0</v>
      </c>
      <c r="K28" s="237"/>
      <c r="L28" s="237"/>
      <c r="M28" s="119">
        <f>+K28+'14'!M28+L28</f>
        <v>0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 t="s">
        <v>589</v>
      </c>
      <c r="I29" s="785"/>
      <c r="J29" s="214">
        <f>+'14'!J29</f>
        <v>0</v>
      </c>
      <c r="K29" s="237"/>
      <c r="L29" s="237"/>
      <c r="M29" s="119">
        <f>+K29+'14'!M29+L29</f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590</v>
      </c>
      <c r="I30" s="785"/>
      <c r="J30" s="214">
        <f>+'14'!J30</f>
        <v>0</v>
      </c>
      <c r="K30" s="237"/>
      <c r="L30" s="237"/>
      <c r="M30" s="119">
        <f>+K30+'14'!M30+L30</f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+'14'!J31</f>
        <v>0</v>
      </c>
      <c r="K31" s="237"/>
      <c r="L31" s="237"/>
      <c r="M31" s="119">
        <f>+K31+'14'!M31+L31</f>
        <v>0</v>
      </c>
    </row>
    <row r="32" spans="1:18" ht="13.5" thickBot="1">
      <c r="A32" s="783"/>
      <c r="B32" s="167" t="s">
        <v>2</v>
      </c>
      <c r="C32" s="101">
        <f>SUM(C25:C31)</f>
        <v>12928</v>
      </c>
      <c r="D32" s="102">
        <f>SUM(D25:D31)</f>
        <v>0</v>
      </c>
      <c r="E32" s="103">
        <f>SUM(E25:E31)</f>
        <v>0</v>
      </c>
      <c r="F32" s="101">
        <f>SUM(F24:F31)</f>
        <v>9</v>
      </c>
      <c r="G32" s="171"/>
      <c r="H32" s="172"/>
      <c r="I32" s="170"/>
      <c r="J32" s="214">
        <f>+'14'!J32</f>
        <v>0</v>
      </c>
      <c r="K32" s="239"/>
      <c r="L32" s="241"/>
      <c r="M32" s="119">
        <f>+K32+'14'!M32+L32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38724</v>
      </c>
      <c r="D34" s="109">
        <f>D14+D23+D32</f>
        <v>0</v>
      </c>
      <c r="E34" s="109">
        <f>E14+E23+E32</f>
        <v>0</v>
      </c>
      <c r="F34" s="110">
        <f>F14+F23+F32</f>
        <v>84</v>
      </c>
      <c r="H34" s="178"/>
      <c r="I34" s="178"/>
      <c r="J34" s="125" t="s">
        <v>27</v>
      </c>
      <c r="K34" s="126">
        <f>SUM(K7:K32)</f>
        <v>38724</v>
      </c>
      <c r="L34" s="212">
        <f>SUM(L7:L32)</f>
        <v>0</v>
      </c>
      <c r="M34" s="122">
        <f>SUM(M7:M32)</f>
        <v>721571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(11.5*595+12*845)/1440*G42*2.85*1440/1000000</f>
        <v>51.497733000000011</v>
      </c>
      <c r="J37" s="127">
        <f>+I37+'14'!J37</f>
        <v>804.54518452850766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84</v>
      </c>
      <c r="D38" s="120">
        <f>+C38+'14'!D38</f>
        <v>628</v>
      </c>
      <c r="E38" s="145">
        <f t="shared" ref="E38:E51" si="0">D38/60</f>
        <v>10.466666666666667</v>
      </c>
      <c r="F38" s="330">
        <v>1400</v>
      </c>
      <c r="G38" s="330">
        <f>+F38-F38*0.24</f>
        <v>1064</v>
      </c>
      <c r="H38" s="187" t="s">
        <v>65</v>
      </c>
      <c r="I38" s="243">
        <f>14.067+14.042+15.926</f>
        <v>44.035000000000004</v>
      </c>
      <c r="J38" s="129">
        <f>+I38+'14'!J38</f>
        <v>743.18899999999996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+C39+'14'!D39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53.636345635233845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+C40+'14'!D40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38.723999999999997</v>
      </c>
      <c r="J40" s="133">
        <f>+I40+'14'!J40</f>
        <v>721.57100000000003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+C41+'14'!D41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48.104733333333336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+C42+'14'!D42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+C43+'14'!D43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+Report1!Z23</f>
        <v>115.4</v>
      </c>
      <c r="J43" s="135">
        <f>+I43+'14'!J43</f>
        <v>1840.0000000000005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+C44+'14'!D44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2.6206426706029293</v>
      </c>
      <c r="J44" s="136">
        <f>J43/J38</f>
        <v>2.4758170532663972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+C45+'14'!D45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2.9800640429707679</v>
      </c>
      <c r="J45" s="136">
        <f>J43/J40</f>
        <v>2.5499916155166997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+C46+'14'!D46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+SUMIF(Listrik!AN22,"&gt;0")</f>
        <v>46980.992435163629</v>
      </c>
      <c r="J46" s="137">
        <f>+I46+'14'!J46</f>
        <v>679213.69812640909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+C47+'14'!D47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1066.9011566972549</v>
      </c>
      <c r="J47" s="137">
        <f>J46/J38</f>
        <v>913.91785686603157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+C48+'14'!D48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1213.2267440131091</v>
      </c>
      <c r="J48" s="137">
        <f>J46/J40</f>
        <v>941.29849748175729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+C49+'14'!D49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+I49+'14'!J49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+C50+'14'!D50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+C51+'14'!D51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84</v>
      </c>
      <c r="D52" s="146">
        <f ca="1">SUM(D38:D51)</f>
        <v>746</v>
      </c>
      <c r="E52" s="147">
        <f ca="1">SUM(E38:E51)</f>
        <v>12.433333333333334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5.8333333333333334E-2</v>
      </c>
      <c r="D53" s="148">
        <f ca="1">D52/(24*60*G4)</f>
        <v>3.453703703703704E-2</v>
      </c>
      <c r="E53" s="149">
        <f ca="1">E52/(G4*24)</f>
        <v>3.453703703703704E-2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+D34+'14'!J56</f>
        <v>2170</v>
      </c>
      <c r="K56" s="201">
        <f>J56/(J40+J56/1000)/1000</f>
        <v>2.9983101689692862E-3</v>
      </c>
    </row>
    <row r="57" spans="1:11">
      <c r="A57" s="176"/>
      <c r="I57" s="199" t="s">
        <v>90</v>
      </c>
      <c r="J57" s="200">
        <f>+E34+'14'!J57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20" zoomScale="80" zoomScaleNormal="75" zoomScaleSheetLayoutView="80" workbookViewId="0">
      <selection activeCell="F42" sqref="F4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14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429+410+385</f>
        <v>1224</v>
      </c>
    </row>
    <row r="7" spans="1:18" ht="13.5" customHeight="1" thickBot="1">
      <c r="A7" s="781" t="s">
        <v>425</v>
      </c>
      <c r="B7" s="215" t="s">
        <v>383</v>
      </c>
      <c r="C7" s="216">
        <v>15084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+'13'!J7</f>
        <v>F 15 VP OW</v>
      </c>
      <c r="K7" s="236"/>
      <c r="L7" s="240"/>
      <c r="M7" s="119">
        <f>+K7+'13'!M7+L7</f>
        <v>24540</v>
      </c>
    </row>
    <row r="8" spans="1:18" ht="13.5" thickBot="1">
      <c r="A8" s="782"/>
      <c r="B8" s="215"/>
      <c r="C8" s="216"/>
      <c r="D8" s="217"/>
      <c r="E8" s="219"/>
      <c r="F8" s="229">
        <v>1</v>
      </c>
      <c r="G8" s="550" t="s">
        <v>11</v>
      </c>
      <c r="H8" s="549" t="s">
        <v>446</v>
      </c>
      <c r="I8" s="785"/>
      <c r="J8" s="214" t="str">
        <f>+'13'!J8</f>
        <v>T 12,5 VP OW</v>
      </c>
      <c r="K8" s="237"/>
      <c r="L8" s="237"/>
      <c r="M8" s="119">
        <f>+K8+'13'!M8+L8</f>
        <v>35627</v>
      </c>
      <c r="N8" s="151">
        <v>1400</v>
      </c>
      <c r="O8" s="151">
        <f>+N8-N8*0.24</f>
        <v>1064</v>
      </c>
    </row>
    <row r="9" spans="1:18" ht="13.5" thickBot="1">
      <c r="A9" s="782"/>
      <c r="B9" s="215"/>
      <c r="C9" s="216"/>
      <c r="D9" s="217"/>
      <c r="E9" s="220"/>
      <c r="F9" s="229">
        <v>7</v>
      </c>
      <c r="G9" s="550" t="s">
        <v>11</v>
      </c>
      <c r="H9" s="551" t="s">
        <v>416</v>
      </c>
      <c r="I9" s="785"/>
      <c r="J9" s="214" t="str">
        <f>+'13'!J9</f>
        <v>T 14 VP OW</v>
      </c>
      <c r="K9" s="237"/>
      <c r="L9" s="237"/>
      <c r="M9" s="119">
        <f>+K9+'13'!M9+L9</f>
        <v>186632</v>
      </c>
    </row>
    <row r="10" spans="1:18" ht="51.75" thickBot="1">
      <c r="A10" s="782"/>
      <c r="B10" s="215"/>
      <c r="C10" s="216"/>
      <c r="D10" s="217"/>
      <c r="E10" s="219"/>
      <c r="F10" s="229"/>
      <c r="G10" s="548"/>
      <c r="H10" s="551" t="s">
        <v>536</v>
      </c>
      <c r="I10" s="785"/>
      <c r="J10" s="214" t="str">
        <f>+'13'!J10</f>
        <v>F 12 VP OW</v>
      </c>
      <c r="K10" s="237">
        <f>+C7+C16</f>
        <v>23862</v>
      </c>
      <c r="L10" s="237"/>
      <c r="M10" s="119">
        <f>+K10+'13'!M10+L10</f>
        <v>364083</v>
      </c>
    </row>
    <row r="11" spans="1:18" ht="13.5" thickBot="1">
      <c r="A11" s="782"/>
      <c r="B11" s="215"/>
      <c r="C11" s="216"/>
      <c r="D11" s="217"/>
      <c r="E11" s="219"/>
      <c r="F11" s="476"/>
      <c r="G11" s="477"/>
      <c r="H11" s="228" t="s">
        <v>561</v>
      </c>
      <c r="I11" s="785"/>
      <c r="J11" s="214" t="str">
        <f>+'13'!J11</f>
        <v>T 18 VP OW</v>
      </c>
      <c r="K11" s="237"/>
      <c r="L11" s="237"/>
      <c r="M11" s="119">
        <f>+K11+'13'!M11+L11</f>
        <v>21393</v>
      </c>
      <c r="P11" s="176"/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562</v>
      </c>
      <c r="I12" s="785"/>
      <c r="J12" s="214" t="str">
        <f>+'13'!J12</f>
        <v>F 13 VP OW</v>
      </c>
      <c r="K12" s="237">
        <f>+C17+C25</f>
        <v>20123</v>
      </c>
      <c r="L12" s="237"/>
      <c r="M12" s="119">
        <f>+K12+'13'!M12+L12</f>
        <v>47861</v>
      </c>
      <c r="Q12" s="176"/>
      <c r="R12" s="176"/>
    </row>
    <row r="13" spans="1:18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 t="s">
        <v>579</v>
      </c>
      <c r="K13" s="237">
        <f>+C26</f>
        <v>2711</v>
      </c>
      <c r="L13" s="237"/>
      <c r="M13" s="119">
        <f>+K13+'13'!M13+L13</f>
        <v>2711</v>
      </c>
    </row>
    <row r="14" spans="1:18" ht="13.5" thickBot="1">
      <c r="A14" s="783"/>
      <c r="B14" s="167" t="s">
        <v>2</v>
      </c>
      <c r="C14" s="101">
        <f>SUM(C7:C13)</f>
        <v>15084</v>
      </c>
      <c r="D14" s="113">
        <f>SUM(D7:D13)</f>
        <v>0</v>
      </c>
      <c r="E14" s="114">
        <f>SUM(E9:E13)</f>
        <v>0</v>
      </c>
      <c r="F14" s="104">
        <f>SUM(F6:F13)</f>
        <v>8</v>
      </c>
      <c r="G14" s="161"/>
      <c r="H14" s="168"/>
      <c r="I14" s="169"/>
      <c r="J14" s="214">
        <f>+'13'!J14</f>
        <v>0</v>
      </c>
      <c r="K14" s="237"/>
      <c r="L14" s="237"/>
      <c r="M14" s="119">
        <f>+K14+'13'!M14+L14</f>
        <v>0</v>
      </c>
    </row>
    <row r="15" spans="1:18" ht="13.5" thickBot="1">
      <c r="A15" s="787" t="s">
        <v>542</v>
      </c>
      <c r="B15" s="506"/>
      <c r="C15" s="553">
        <f>C14/($C$32+$D$32+$E$32)</f>
        <v>1.0386283825655855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569</v>
      </c>
      <c r="J15" s="214">
        <f>+'13'!J15</f>
        <v>0</v>
      </c>
      <c r="K15" s="237"/>
      <c r="L15" s="237"/>
      <c r="M15" s="119">
        <f>+K15+'13'!M15+L15</f>
        <v>0</v>
      </c>
    </row>
    <row r="16" spans="1:18" ht="13.5" thickBot="1">
      <c r="A16" s="782"/>
      <c r="B16" s="215" t="s">
        <v>383</v>
      </c>
      <c r="C16" s="507">
        <f>2112+6666</f>
        <v>8778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+'13'!J16</f>
        <v>0</v>
      </c>
      <c r="K16" s="227"/>
      <c r="L16" s="227"/>
      <c r="M16" s="119">
        <f>+K16+'13'!M16+L16</f>
        <v>0</v>
      </c>
      <c r="N16" s="151">
        <v>1400</v>
      </c>
      <c r="O16" s="151">
        <f>+N16-N16*0.24</f>
        <v>1064</v>
      </c>
      <c r="P16" s="151">
        <f>60+50</f>
        <v>110</v>
      </c>
      <c r="Q16" s="151">
        <f>+N16*P16</f>
        <v>154000</v>
      </c>
      <c r="R16" s="151">
        <f>+O16*P16</f>
        <v>117040</v>
      </c>
    </row>
    <row r="17" spans="1:18" ht="13.5" thickBot="1">
      <c r="A17" s="782"/>
      <c r="B17" s="215" t="s">
        <v>387</v>
      </c>
      <c r="C17" s="216">
        <f>8025+286</f>
        <v>8311</v>
      </c>
      <c r="D17" s="217"/>
      <c r="E17" s="223"/>
      <c r="F17" s="229">
        <v>10</v>
      </c>
      <c r="G17" s="550" t="s">
        <v>11</v>
      </c>
      <c r="H17" s="551" t="s">
        <v>541</v>
      </c>
      <c r="I17" s="785"/>
      <c r="J17" s="214">
        <f>+'13'!J17</f>
        <v>0</v>
      </c>
      <c r="K17" s="227"/>
      <c r="L17" s="227"/>
      <c r="M17" s="119">
        <f>+K17+'13'!M17+L17</f>
        <v>0</v>
      </c>
      <c r="N17" s="151">
        <v>1370</v>
      </c>
      <c r="O17" s="151">
        <f>+N17-N17*0.24</f>
        <v>1041.2</v>
      </c>
      <c r="P17" s="151">
        <f>10+360</f>
        <v>370</v>
      </c>
      <c r="Q17" s="151">
        <f>+N17*P17</f>
        <v>506900</v>
      </c>
      <c r="R17" s="151">
        <f>+O17*P17</f>
        <v>385244</v>
      </c>
    </row>
    <row r="18" spans="1:18" ht="51.75" thickBot="1">
      <c r="A18" s="782"/>
      <c r="B18" s="215"/>
      <c r="C18" s="216"/>
      <c r="D18" s="217"/>
      <c r="E18" s="223"/>
      <c r="F18" s="229"/>
      <c r="G18" s="548"/>
      <c r="H18" s="551" t="s">
        <v>536</v>
      </c>
      <c r="I18" s="785"/>
      <c r="J18" s="214">
        <f>+'13'!J18</f>
        <v>0</v>
      </c>
      <c r="K18" s="237"/>
      <c r="L18" s="237"/>
      <c r="M18" s="119">
        <f>+K18+'13'!M18+L18</f>
        <v>0</v>
      </c>
      <c r="P18" s="151">
        <f>SUM(P16:P17)</f>
        <v>480</v>
      </c>
      <c r="Q18" s="151">
        <f>SUM(Q16:Q17)</f>
        <v>660900</v>
      </c>
      <c r="R18" s="151">
        <f>SUM(R16:R17)</f>
        <v>502284</v>
      </c>
    </row>
    <row r="19" spans="1:18" ht="39" thickBot="1">
      <c r="A19" s="782"/>
      <c r="B19" s="215"/>
      <c r="C19" s="216"/>
      <c r="D19" s="217"/>
      <c r="E19" s="223"/>
      <c r="F19" s="226"/>
      <c r="G19" s="230"/>
      <c r="H19" s="228" t="s">
        <v>568</v>
      </c>
      <c r="I19" s="785"/>
      <c r="J19" s="214">
        <f>+'13'!J19</f>
        <v>0</v>
      </c>
      <c r="K19" s="237"/>
      <c r="L19" s="237"/>
      <c r="M19" s="119">
        <f>+K19+'13'!M19+L19</f>
        <v>0</v>
      </c>
      <c r="P19" s="176"/>
      <c r="Q19" s="151">
        <f>+Q18/P18</f>
        <v>1376.875</v>
      </c>
      <c r="R19" s="151">
        <f>+R18/P18</f>
        <v>1046.425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 t="s">
        <v>563</v>
      </c>
      <c r="I20" s="785"/>
      <c r="J20" s="214">
        <f>+'13'!J20</f>
        <v>0</v>
      </c>
      <c r="K20" s="238"/>
      <c r="L20" s="238"/>
      <c r="M20" s="119">
        <f>+K20+'13'!M20+L20</f>
        <v>0</v>
      </c>
      <c r="Q20" s="176"/>
      <c r="R20" s="176"/>
    </row>
    <row r="21" spans="1:18" ht="13.5" thickBot="1">
      <c r="A21" s="782"/>
      <c r="B21" s="215"/>
      <c r="C21" s="216"/>
      <c r="D21" s="217"/>
      <c r="E21" s="223"/>
      <c r="F21" s="229"/>
      <c r="G21" s="230"/>
      <c r="H21" s="231" t="s">
        <v>564</v>
      </c>
      <c r="I21" s="785"/>
      <c r="J21" s="214">
        <f>+'13'!J21</f>
        <v>0</v>
      </c>
      <c r="K21" s="237"/>
      <c r="L21" s="237"/>
      <c r="M21" s="119">
        <f>+K21+'13'!M21+L21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 t="s">
        <v>565</v>
      </c>
      <c r="I22" s="786"/>
      <c r="J22" s="214">
        <f>+'13'!J22</f>
        <v>0</v>
      </c>
      <c r="K22" s="237"/>
      <c r="L22" s="237"/>
      <c r="M22" s="119">
        <f>+K22+'13'!M22+L22</f>
        <v>0</v>
      </c>
    </row>
    <row r="23" spans="1:18" ht="13.5" thickBot="1">
      <c r="A23" s="783"/>
      <c r="B23" s="167" t="s">
        <v>2</v>
      </c>
      <c r="C23" s="101">
        <f>SUM(C16:C22)</f>
        <v>17089</v>
      </c>
      <c r="D23" s="113">
        <f>SUM(D16:D22)</f>
        <v>0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+'13'!J23</f>
        <v>0</v>
      </c>
      <c r="K23" s="237"/>
      <c r="L23" s="237"/>
      <c r="M23" s="119">
        <f>+K23+'13'!M23+L23</f>
        <v>0</v>
      </c>
    </row>
    <row r="24" spans="1:18" ht="13.5" thickBot="1">
      <c r="A24" s="787" t="s">
        <v>227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572</v>
      </c>
      <c r="J24" s="214">
        <f>+'13'!J24</f>
        <v>0</v>
      </c>
      <c r="K24" s="237"/>
      <c r="L24" s="237"/>
      <c r="M24" s="119">
        <f>+K24+'13'!M24+L24</f>
        <v>0</v>
      </c>
    </row>
    <row r="25" spans="1:18" ht="13.5" thickBot="1">
      <c r="A25" s="782"/>
      <c r="B25" s="215" t="s">
        <v>387</v>
      </c>
      <c r="C25" s="224">
        <f>10767+1045</f>
        <v>11812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+'13'!J25</f>
        <v>0</v>
      </c>
      <c r="K25" s="237"/>
      <c r="L25" s="237"/>
      <c r="M25" s="119">
        <f>+K25+'13'!M25+L25</f>
        <v>0</v>
      </c>
      <c r="N25" s="176">
        <v>1370</v>
      </c>
      <c r="O25" s="151">
        <f>+N25-N25*0.24</f>
        <v>1041.2</v>
      </c>
      <c r="P25" s="151">
        <f>180+20</f>
        <v>200</v>
      </c>
      <c r="Q25" s="151">
        <f>+N25*P25</f>
        <v>274000</v>
      </c>
      <c r="R25" s="151">
        <f>+O25*P25</f>
        <v>208240</v>
      </c>
    </row>
    <row r="26" spans="1:18" ht="13.5" thickBot="1">
      <c r="A26" s="782"/>
      <c r="B26" s="215" t="s">
        <v>579</v>
      </c>
      <c r="C26" s="224">
        <v>2711</v>
      </c>
      <c r="D26" s="217"/>
      <c r="E26" s="225"/>
      <c r="F26" s="229">
        <v>12</v>
      </c>
      <c r="G26" s="550" t="s">
        <v>11</v>
      </c>
      <c r="H26" s="551" t="s">
        <v>414</v>
      </c>
      <c r="I26" s="785"/>
      <c r="J26" s="214">
        <f>+'13'!J26</f>
        <v>0</v>
      </c>
      <c r="K26" s="237"/>
      <c r="L26" s="237"/>
      <c r="M26" s="119">
        <f>+K26+'13'!M26+L26</f>
        <v>0</v>
      </c>
      <c r="N26" s="151">
        <v>1400</v>
      </c>
      <c r="O26" s="151">
        <f>+N26-N26*0.24</f>
        <v>1064</v>
      </c>
      <c r="P26" s="151">
        <f>20+240-40+20</f>
        <v>240</v>
      </c>
      <c r="Q26" s="151">
        <f>+N26*P26</f>
        <v>336000</v>
      </c>
      <c r="R26" s="151">
        <f>+O26*P26</f>
        <v>255360</v>
      </c>
    </row>
    <row r="27" spans="1:18" ht="51.75" thickBot="1">
      <c r="A27" s="782"/>
      <c r="B27" s="215"/>
      <c r="C27" s="216"/>
      <c r="D27" s="217"/>
      <c r="E27" s="223"/>
      <c r="F27" s="229"/>
      <c r="G27" s="548"/>
      <c r="H27" s="551" t="s">
        <v>570</v>
      </c>
      <c r="I27" s="785"/>
      <c r="J27" s="214">
        <f>+'13'!J27</f>
        <v>0</v>
      </c>
      <c r="K27" s="237"/>
      <c r="L27" s="237"/>
      <c r="M27" s="119">
        <f>+K27+'13'!M27+L27</f>
        <v>0</v>
      </c>
      <c r="P27" s="151">
        <f>SUM(P25:P26)</f>
        <v>440</v>
      </c>
      <c r="Q27" s="151">
        <f>SUM(Q25:Q26)</f>
        <v>610000</v>
      </c>
      <c r="R27" s="151">
        <f>SUM(R25:R26)</f>
        <v>463600</v>
      </c>
    </row>
    <row r="28" spans="1:18" ht="39" thickBot="1">
      <c r="A28" s="782"/>
      <c r="B28" s="215"/>
      <c r="C28" s="216"/>
      <c r="D28" s="217"/>
      <c r="E28" s="223"/>
      <c r="F28" s="226"/>
      <c r="G28" s="230"/>
      <c r="H28" s="228" t="s">
        <v>571</v>
      </c>
      <c r="I28" s="785"/>
      <c r="J28" s="214">
        <f>+'13'!J28</f>
        <v>0</v>
      </c>
      <c r="K28" s="237"/>
      <c r="L28" s="237"/>
      <c r="M28" s="119">
        <f>+K28+'13'!M28+L28</f>
        <v>0</v>
      </c>
      <c r="P28" s="176"/>
      <c r="Q28" s="151">
        <f>+Q27/P27</f>
        <v>1386.3636363636363</v>
      </c>
      <c r="R28" s="151">
        <f>+R27/P27</f>
        <v>1053.6363636363637</v>
      </c>
    </row>
    <row r="29" spans="1:18" ht="39" thickBot="1">
      <c r="A29" s="782"/>
      <c r="B29" s="215"/>
      <c r="C29" s="216"/>
      <c r="D29" s="217"/>
      <c r="E29" s="223" t="s">
        <v>445</v>
      </c>
      <c r="F29" s="226">
        <v>40</v>
      </c>
      <c r="G29" s="230" t="s">
        <v>11</v>
      </c>
      <c r="H29" s="231" t="s">
        <v>566</v>
      </c>
      <c r="I29" s="785"/>
      <c r="J29" s="214">
        <f>+'13'!J29</f>
        <v>0</v>
      </c>
      <c r="K29" s="237"/>
      <c r="L29" s="237"/>
      <c r="M29" s="119">
        <f>+K29+'13'!M29+L29</f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567</v>
      </c>
      <c r="I30" s="785"/>
      <c r="J30" s="214">
        <f>+'13'!J30</f>
        <v>0</v>
      </c>
      <c r="K30" s="237"/>
      <c r="L30" s="237"/>
      <c r="M30" s="119">
        <f>+K30+'13'!M30+L30</f>
        <v>0</v>
      </c>
      <c r="N30" s="157"/>
      <c r="O30" s="151">
        <f>590+570+220</f>
        <v>1380</v>
      </c>
    </row>
    <row r="31" spans="1:18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+'13'!J31</f>
        <v>0</v>
      </c>
      <c r="K31" s="237"/>
      <c r="L31" s="237"/>
      <c r="M31" s="119">
        <f>+K31+'13'!M31+L31</f>
        <v>0</v>
      </c>
    </row>
    <row r="32" spans="1:18" ht="13.5" thickBot="1">
      <c r="A32" s="783"/>
      <c r="B32" s="167" t="s">
        <v>2</v>
      </c>
      <c r="C32" s="101">
        <f>SUM(C25:C31)</f>
        <v>14523</v>
      </c>
      <c r="D32" s="102">
        <f>SUM(D25:D31)</f>
        <v>0</v>
      </c>
      <c r="E32" s="103">
        <f>SUM(E25:E31)</f>
        <v>0</v>
      </c>
      <c r="F32" s="101">
        <f>SUM(F24:F31)</f>
        <v>52</v>
      </c>
      <c r="G32" s="171"/>
      <c r="H32" s="172"/>
      <c r="I32" s="170"/>
      <c r="J32" s="214">
        <f>+'13'!J32</f>
        <v>0</v>
      </c>
      <c r="K32" s="239"/>
      <c r="L32" s="241"/>
      <c r="M32" s="119">
        <f>+K32+'13'!M32+L32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46696</v>
      </c>
      <c r="D34" s="109">
        <f>D14+D23+D32</f>
        <v>0</v>
      </c>
      <c r="E34" s="109">
        <f>E14+E23+E32</f>
        <v>0</v>
      </c>
      <c r="F34" s="110">
        <f>F14+F23+F32</f>
        <v>70</v>
      </c>
      <c r="H34" s="178"/>
      <c r="I34" s="178"/>
      <c r="J34" s="125" t="s">
        <v>27</v>
      </c>
      <c r="K34" s="126">
        <f>SUM(K7:K32)</f>
        <v>46696</v>
      </c>
      <c r="L34" s="212">
        <f>SUM(L7:L32)</f>
        <v>0</v>
      </c>
      <c r="M34" s="122">
        <f>SUM(M7:M32)</f>
        <v>682847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(12*590+13*570+11.5*240)/1400*G42*2.85*1400/1000000</f>
        <v>51.84490633163265</v>
      </c>
      <c r="J37" s="127">
        <f>+I37+'13'!J37</f>
        <v>753.04745152850762</v>
      </c>
      <c r="K37" s="128" t="s">
        <v>64</v>
      </c>
      <c r="N37" s="571">
        <f>5.04+15.271</f>
        <v>20.311</v>
      </c>
    </row>
    <row r="38" spans="1:14" ht="17.45" customHeight="1">
      <c r="A38" s="779" t="s">
        <v>11</v>
      </c>
      <c r="B38" s="780"/>
      <c r="C38" s="166">
        <f>SUMIF($G$7:$G$31,"Process",$F$7:$F$31)</f>
        <v>70</v>
      </c>
      <c r="D38" s="120">
        <f>+C38+'13'!D38</f>
        <v>544</v>
      </c>
      <c r="E38" s="145">
        <f t="shared" ref="E38:E51" si="0">D38/60</f>
        <v>9.0666666666666664</v>
      </c>
      <c r="F38" s="330">
        <v>1400</v>
      </c>
      <c r="G38" s="330">
        <f>+F38-F38*0.24</f>
        <v>1064</v>
      </c>
      <c r="H38" s="187" t="s">
        <v>65</v>
      </c>
      <c r="I38" s="561">
        <f>15.271+17.562+15.217</f>
        <v>48.05</v>
      </c>
      <c r="J38" s="129">
        <f>+I38+'13'!J38</f>
        <v>699.154</v>
      </c>
      <c r="K38" s="130" t="s">
        <v>64</v>
      </c>
      <c r="N38" s="571">
        <v>20.53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+C39+'13'!D39</f>
        <v>0</v>
      </c>
      <c r="E39" s="145">
        <f t="shared" si="0"/>
        <v>0</v>
      </c>
      <c r="F39" s="330">
        <v>1376.875</v>
      </c>
      <c r="G39" s="330">
        <v>1046.425</v>
      </c>
      <c r="H39" s="187" t="s">
        <v>66</v>
      </c>
      <c r="I39" s="144"/>
      <c r="J39" s="131">
        <f>J37/G4</f>
        <v>53.789103680607688</v>
      </c>
      <c r="K39" s="132" t="s">
        <v>64</v>
      </c>
      <c r="N39" s="572">
        <v>7.2089999999999996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+C40+'13'!D40</f>
        <v>0</v>
      </c>
      <c r="E40" s="145">
        <f t="shared" ca="1" si="0"/>
        <v>0</v>
      </c>
      <c r="F40" s="330">
        <v>1385.7142857142858</v>
      </c>
      <c r="G40" s="330">
        <v>1053.1428571428571</v>
      </c>
      <c r="H40" s="187" t="s">
        <v>68</v>
      </c>
      <c r="I40" s="120">
        <f>(K34+L34)/1000</f>
        <v>46.695999999999998</v>
      </c>
      <c r="J40" s="133">
        <f>+I40+'13'!J40</f>
        <v>682.84699999999998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+C41+'13'!D41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48.774785714285713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+C42+'13'!D42</f>
        <v>0</v>
      </c>
      <c r="E42" s="145">
        <f t="shared" ca="1" si="0"/>
        <v>0</v>
      </c>
      <c r="F42" s="330">
        <f>+(F38*480+F39*480+F40*440)/1400</f>
        <v>1387.5816326530614</v>
      </c>
      <c r="G42" s="330">
        <f>+(G38*480+G39*480+G40*440)/1400</f>
        <v>1054.5620408163265</v>
      </c>
      <c r="H42" s="187" t="s">
        <v>71</v>
      </c>
      <c r="I42" s="244" t="s">
        <v>573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+C43+'13'!D43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+Report1!Z22</f>
        <v>116.4</v>
      </c>
      <c r="J43" s="135">
        <f>+I43+'13'!J43</f>
        <v>1724.6000000000004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+C44+'13'!D44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2.4224765868886577</v>
      </c>
      <c r="J44" s="136">
        <f>J43/J38</f>
        <v>2.466695463374307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+C45+'13'!D45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2.4927188624293302</v>
      </c>
      <c r="J45" s="136">
        <f>J43/J40</f>
        <v>2.5256023677339146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+C46+'13'!D46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+SUMIF(Listrik!AN21,"&gt;0")</f>
        <v>47159.300272839777</v>
      </c>
      <c r="J46" s="137">
        <f>+I46+'13'!J46</f>
        <v>632232.7056912455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+C47+'13'!D47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981.4630649914626</v>
      </c>
      <c r="J47" s="137">
        <f>J46/J38</f>
        <v>904.28246951493588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+C48+'13'!D48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1009.9216265384568</v>
      </c>
      <c r="J48" s="137">
        <f>J46/J40</f>
        <v>925.87754751978923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+C49+'13'!D49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+I49+'13'!J49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+C50+'13'!D50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+C51+'13'!D51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70</v>
      </c>
      <c r="D52" s="146">
        <f ca="1">SUM(D38:D51)</f>
        <v>662</v>
      </c>
      <c r="E52" s="147">
        <f ca="1">SUM(E38:E51)</f>
        <v>11.033333333333333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4.8611111111111112E-2</v>
      </c>
      <c r="D53" s="148">
        <f ca="1">D52/(24*60*G4)</f>
        <v>3.2837301587301589E-2</v>
      </c>
      <c r="E53" s="149">
        <f ca="1">E52/(G4*24)</f>
        <v>3.2837301587301589E-2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+D34+'13'!J56</f>
        <v>2170</v>
      </c>
      <c r="K56" s="201">
        <f>J56/(J40+J56/1000)/1000</f>
        <v>3.1678045946304982E-3</v>
      </c>
    </row>
    <row r="57" spans="1:11">
      <c r="A57" s="176"/>
      <c r="I57" s="199" t="s">
        <v>90</v>
      </c>
      <c r="J57" s="200">
        <f>+E34+'13'!J57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1" zoomScale="80" zoomScaleNormal="70" zoomScaleSheetLayoutView="80" workbookViewId="0">
      <selection activeCell="K11" sqref="K11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13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507+463+452</f>
        <v>1422</v>
      </c>
    </row>
    <row r="7" spans="1:18" ht="13.5" customHeight="1" thickBot="1">
      <c r="A7" s="781" t="s">
        <v>425</v>
      </c>
      <c r="B7" s="215" t="s">
        <v>383</v>
      </c>
      <c r="C7" s="216">
        <v>13857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+'12'!J7</f>
        <v>F 15 VP OW</v>
      </c>
      <c r="K7" s="236"/>
      <c r="L7" s="240"/>
      <c r="M7" s="119">
        <f>+K7+'12'!M7+L7</f>
        <v>24540</v>
      </c>
    </row>
    <row r="8" spans="1:18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+'12'!J8</f>
        <v>T 12,5 VP OW</v>
      </c>
      <c r="K8" s="237"/>
      <c r="L8" s="237"/>
      <c r="M8" s="119">
        <f>+K8+'12'!M8+L8</f>
        <v>35627</v>
      </c>
      <c r="N8" s="151">
        <v>1400</v>
      </c>
      <c r="O8" s="151">
        <f>+N8-N8*0.24</f>
        <v>1064</v>
      </c>
    </row>
    <row r="9" spans="1:18" ht="13.5" thickBot="1">
      <c r="A9" s="782"/>
      <c r="B9" s="215"/>
      <c r="C9" s="216"/>
      <c r="D9" s="217"/>
      <c r="E9" s="220"/>
      <c r="F9" s="229">
        <v>9</v>
      </c>
      <c r="G9" s="550" t="s">
        <v>11</v>
      </c>
      <c r="H9" s="551" t="s">
        <v>384</v>
      </c>
      <c r="I9" s="785"/>
      <c r="J9" s="214" t="str">
        <f>+'12'!J9</f>
        <v>T 14 VP OW</v>
      </c>
      <c r="K9" s="237"/>
      <c r="L9" s="237"/>
      <c r="M9" s="119">
        <f>+K9+'12'!M9+L9</f>
        <v>186632</v>
      </c>
    </row>
    <row r="10" spans="1:18" ht="51.75" thickBot="1">
      <c r="A10" s="782"/>
      <c r="B10" s="215"/>
      <c r="C10" s="216"/>
      <c r="D10" s="217"/>
      <c r="E10" s="219"/>
      <c r="F10" s="229"/>
      <c r="G10" s="548"/>
      <c r="H10" s="551" t="s">
        <v>536</v>
      </c>
      <c r="I10" s="785"/>
      <c r="J10" s="214" t="str">
        <f>+'12'!J10</f>
        <v>F 12 VP OW</v>
      </c>
      <c r="K10" s="237">
        <f>+C34</f>
        <v>48721</v>
      </c>
      <c r="L10" s="237"/>
      <c r="M10" s="119">
        <f>+K10+'12'!M10+L10</f>
        <v>340221</v>
      </c>
    </row>
    <row r="11" spans="1:18" ht="26.25" thickBot="1">
      <c r="A11" s="782"/>
      <c r="B11" s="215"/>
      <c r="C11" s="216"/>
      <c r="D11" s="217"/>
      <c r="E11" s="219"/>
      <c r="F11" s="476"/>
      <c r="G11" s="477"/>
      <c r="H11" s="228" t="s">
        <v>553</v>
      </c>
      <c r="I11" s="785"/>
      <c r="J11" s="214" t="str">
        <f>+'12'!J11</f>
        <v>T 18 VP OW</v>
      </c>
      <c r="K11" s="237"/>
      <c r="L11" s="237"/>
      <c r="M11" s="119">
        <f>+K11+'12'!M11+L11</f>
        <v>21393</v>
      </c>
    </row>
    <row r="12" spans="1:18" ht="13.5" customHeight="1" thickBot="1">
      <c r="A12" s="782"/>
      <c r="B12" s="215"/>
      <c r="C12" s="216"/>
      <c r="D12" s="217"/>
      <c r="E12" s="219"/>
      <c r="F12" s="226"/>
      <c r="G12" s="230"/>
      <c r="H12" s="231" t="s">
        <v>554</v>
      </c>
      <c r="I12" s="785"/>
      <c r="J12" s="214" t="str">
        <f>+'12'!J12</f>
        <v>F 13 VP OW</v>
      </c>
      <c r="K12" s="237"/>
      <c r="L12" s="237"/>
      <c r="M12" s="119">
        <f>+K12+'12'!M12+L12</f>
        <v>27738</v>
      </c>
    </row>
    <row r="13" spans="1:18" ht="13.5" thickBot="1">
      <c r="A13" s="782"/>
      <c r="B13" s="215"/>
      <c r="C13" s="216"/>
      <c r="D13" s="216"/>
      <c r="E13" s="219"/>
      <c r="F13" s="226"/>
      <c r="G13" s="230"/>
      <c r="H13" s="231" t="s">
        <v>555</v>
      </c>
      <c r="I13" s="786"/>
      <c r="J13" s="214">
        <f>+'12'!J13</f>
        <v>0</v>
      </c>
      <c r="K13" s="237"/>
      <c r="L13" s="237"/>
      <c r="M13" s="119">
        <f>+K13+'12'!M13+L13</f>
        <v>0</v>
      </c>
      <c r="P13" s="176"/>
    </row>
    <row r="14" spans="1:18" ht="13.5" thickBot="1">
      <c r="A14" s="783"/>
      <c r="B14" s="167" t="s">
        <v>2</v>
      </c>
      <c r="C14" s="101">
        <f>SUM(C7:C13)</f>
        <v>13857</v>
      </c>
      <c r="D14" s="113">
        <f>SUM(D7:D13)</f>
        <v>0</v>
      </c>
      <c r="E14" s="114">
        <f>SUM(E9:E13)</f>
        <v>0</v>
      </c>
      <c r="F14" s="104">
        <f>SUM(F6:F13)</f>
        <v>9</v>
      </c>
      <c r="G14" s="161"/>
      <c r="H14" s="168"/>
      <c r="I14" s="169"/>
      <c r="J14" s="214">
        <f>+'12'!J14</f>
        <v>0</v>
      </c>
      <c r="K14" s="237"/>
      <c r="L14" s="237"/>
      <c r="M14" s="119">
        <f>+K14+'12'!M14+L14</f>
        <v>0</v>
      </c>
      <c r="Q14" s="176"/>
      <c r="R14" s="176"/>
    </row>
    <row r="15" spans="1:18" ht="13.5" thickBot="1">
      <c r="A15" s="787" t="s">
        <v>542</v>
      </c>
      <c r="B15" s="506"/>
      <c r="C15" s="553">
        <f>C14/($C$32+$D$32+$E$32)</f>
        <v>0.83435693641618502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+'12'!J15</f>
        <v>0</v>
      </c>
      <c r="K15" s="237"/>
      <c r="L15" s="237"/>
      <c r="M15" s="119">
        <f>+K15+'12'!M15+L15</f>
        <v>0</v>
      </c>
    </row>
    <row r="16" spans="1:18" ht="13.5" thickBot="1">
      <c r="A16" s="782"/>
      <c r="B16" s="215" t="s">
        <v>383</v>
      </c>
      <c r="C16" s="507">
        <v>18256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+'12'!J16</f>
        <v>0</v>
      </c>
      <c r="K16" s="227"/>
      <c r="L16" s="227"/>
      <c r="M16" s="119">
        <f>+K16+'12'!M16+L16</f>
        <v>0</v>
      </c>
    </row>
    <row r="17" spans="1:18" ht="13.5" thickBot="1">
      <c r="A17" s="782"/>
      <c r="B17" s="215"/>
      <c r="C17" s="216"/>
      <c r="D17" s="217"/>
      <c r="E17" s="223"/>
      <c r="F17" s="229">
        <v>15</v>
      </c>
      <c r="G17" s="550" t="s">
        <v>11</v>
      </c>
      <c r="H17" s="551" t="s">
        <v>384</v>
      </c>
      <c r="I17" s="785"/>
      <c r="J17" s="214">
        <f>+'12'!J17</f>
        <v>0</v>
      </c>
      <c r="K17" s="227"/>
      <c r="L17" s="227"/>
      <c r="M17" s="119">
        <f>+K17+'12'!M17+L17</f>
        <v>0</v>
      </c>
    </row>
    <row r="18" spans="1:18" ht="51.75" thickBot="1">
      <c r="A18" s="782"/>
      <c r="B18" s="215"/>
      <c r="C18" s="216"/>
      <c r="D18" s="217"/>
      <c r="E18" s="223"/>
      <c r="F18" s="229"/>
      <c r="G18" s="548"/>
      <c r="H18" s="551" t="s">
        <v>536</v>
      </c>
      <c r="I18" s="785"/>
      <c r="J18" s="214">
        <f>+'12'!J18</f>
        <v>0</v>
      </c>
      <c r="K18" s="237"/>
      <c r="L18" s="237"/>
      <c r="M18" s="119">
        <f>+K18+'12'!M18+L18</f>
        <v>0</v>
      </c>
    </row>
    <row r="19" spans="1:18" ht="13.5" thickBot="1">
      <c r="A19" s="782"/>
      <c r="B19" s="215"/>
      <c r="C19" s="216"/>
      <c r="D19" s="217"/>
      <c r="E19" s="223"/>
      <c r="F19" s="226"/>
      <c r="G19" s="230"/>
      <c r="H19" s="228" t="s">
        <v>556</v>
      </c>
      <c r="I19" s="785"/>
      <c r="J19" s="214">
        <f>+'12'!J19</f>
        <v>0</v>
      </c>
      <c r="K19" s="237"/>
      <c r="L19" s="237"/>
      <c r="M19" s="119">
        <f>+K19+'12'!M19+L19</f>
        <v>0</v>
      </c>
      <c r="P19" s="176"/>
    </row>
    <row r="20" spans="1:18" ht="26.25" thickBot="1">
      <c r="A20" s="782"/>
      <c r="B20" s="215"/>
      <c r="C20" s="216"/>
      <c r="D20" s="217"/>
      <c r="E20" s="223"/>
      <c r="F20" s="226"/>
      <c r="G20" s="230"/>
      <c r="H20" s="231" t="s">
        <v>557</v>
      </c>
      <c r="I20" s="785"/>
      <c r="J20" s="214">
        <f>+'12'!J20</f>
        <v>0</v>
      </c>
      <c r="K20" s="238"/>
      <c r="L20" s="238"/>
      <c r="M20" s="119">
        <f>+K20+'12'!M20+L20</f>
        <v>0</v>
      </c>
      <c r="Q20" s="176"/>
      <c r="R20" s="176"/>
    </row>
    <row r="21" spans="1:18" ht="13.5" thickBot="1">
      <c r="A21" s="782"/>
      <c r="B21" s="215"/>
      <c r="C21" s="216"/>
      <c r="D21" s="217"/>
      <c r="E21" s="223"/>
      <c r="F21" s="229"/>
      <c r="G21" s="230"/>
      <c r="H21" s="231" t="s">
        <v>558</v>
      </c>
      <c r="I21" s="785"/>
      <c r="J21" s="214">
        <f>+'12'!J21</f>
        <v>0</v>
      </c>
      <c r="K21" s="237"/>
      <c r="L21" s="237"/>
      <c r="M21" s="119">
        <f>+K21+'12'!M21+L21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 t="s">
        <v>559</v>
      </c>
      <c r="I22" s="786"/>
      <c r="J22" s="214">
        <f>+'12'!J22</f>
        <v>0</v>
      </c>
      <c r="K22" s="237"/>
      <c r="L22" s="237"/>
      <c r="M22" s="119">
        <f>+K22+'12'!M22+L22</f>
        <v>0</v>
      </c>
    </row>
    <row r="23" spans="1:18" ht="13.5" thickBot="1">
      <c r="A23" s="783"/>
      <c r="B23" s="167" t="s">
        <v>2</v>
      </c>
      <c r="C23" s="101">
        <f>SUM(C16:C22)</f>
        <v>18256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+'12'!J23</f>
        <v>0</v>
      </c>
      <c r="K23" s="237"/>
      <c r="L23" s="237"/>
      <c r="M23" s="119">
        <f>+K23+'12'!M23+L23</f>
        <v>0</v>
      </c>
    </row>
    <row r="24" spans="1:18" ht="13.5" thickBot="1">
      <c r="A24" s="787" t="s">
        <v>227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+'12'!J24</f>
        <v>0</v>
      </c>
      <c r="K24" s="237"/>
      <c r="L24" s="237"/>
      <c r="M24" s="119">
        <f>+K24+'12'!M24+L24</f>
        <v>0</v>
      </c>
    </row>
    <row r="25" spans="1:18" ht="13.5" thickBot="1">
      <c r="A25" s="782"/>
      <c r="B25" s="215" t="s">
        <v>383</v>
      </c>
      <c r="C25" s="224">
        <v>16608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+'12'!J25</f>
        <v>0</v>
      </c>
      <c r="K25" s="237"/>
      <c r="L25" s="237"/>
      <c r="M25" s="119">
        <f>+K25+'12'!M25+L25</f>
        <v>0</v>
      </c>
      <c r="N25" s="176"/>
      <c r="O25" s="176"/>
      <c r="P25" s="176"/>
    </row>
    <row r="26" spans="1:18" ht="13.5" thickBot="1">
      <c r="A26" s="782"/>
      <c r="B26" s="215"/>
      <c r="C26" s="224"/>
      <c r="D26" s="217"/>
      <c r="E26" s="225"/>
      <c r="F26" s="229">
        <v>20</v>
      </c>
      <c r="G26" s="550" t="s">
        <v>11</v>
      </c>
      <c r="H26" s="551" t="s">
        <v>414</v>
      </c>
      <c r="I26" s="785"/>
      <c r="J26" s="214">
        <f>+'12'!J26</f>
        <v>0</v>
      </c>
      <c r="K26" s="237"/>
      <c r="L26" s="237"/>
      <c r="M26" s="119">
        <f>+K26+'12'!M26+L26</f>
        <v>0</v>
      </c>
    </row>
    <row r="27" spans="1:18" ht="51.75" thickBot="1">
      <c r="A27" s="782"/>
      <c r="B27" s="215"/>
      <c r="C27" s="216"/>
      <c r="D27" s="217"/>
      <c r="E27" s="223"/>
      <c r="F27" s="229"/>
      <c r="G27" s="548"/>
      <c r="H27" s="551" t="s">
        <v>536</v>
      </c>
      <c r="I27" s="785"/>
      <c r="J27" s="214">
        <f>+'12'!J27</f>
        <v>0</v>
      </c>
      <c r="K27" s="237"/>
      <c r="L27" s="237"/>
      <c r="M27" s="119">
        <f>+K27+'12'!M27+L27</f>
        <v>0</v>
      </c>
    </row>
    <row r="28" spans="1:18" ht="13.5" thickBot="1">
      <c r="A28" s="782"/>
      <c r="B28" s="215"/>
      <c r="C28" s="216"/>
      <c r="D28" s="217"/>
      <c r="E28" s="223"/>
      <c r="F28" s="226"/>
      <c r="G28" s="230"/>
      <c r="H28" s="228" t="s">
        <v>560</v>
      </c>
      <c r="I28" s="785"/>
      <c r="J28" s="214">
        <f>+'12'!J28</f>
        <v>0</v>
      </c>
      <c r="K28" s="237"/>
      <c r="L28" s="237"/>
      <c r="M28" s="119">
        <f>+K28+'12'!M28+L28</f>
        <v>0</v>
      </c>
    </row>
    <row r="29" spans="1:18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+'12'!J29</f>
        <v>0</v>
      </c>
      <c r="K29" s="237"/>
      <c r="L29" s="237"/>
      <c r="M29" s="119">
        <f>+K29+'12'!M29+L29</f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+'12'!J30</f>
        <v>0</v>
      </c>
      <c r="K30" s="237"/>
      <c r="L30" s="237"/>
      <c r="M30" s="119">
        <f>+K30+'12'!M30+L30</f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+'12'!J31</f>
        <v>0</v>
      </c>
      <c r="K31" s="237"/>
      <c r="L31" s="237"/>
      <c r="M31" s="119">
        <f>+K31+'12'!M31+L31</f>
        <v>0</v>
      </c>
    </row>
    <row r="32" spans="1:18" ht="13.5" thickBot="1">
      <c r="A32" s="783"/>
      <c r="B32" s="167" t="s">
        <v>2</v>
      </c>
      <c r="C32" s="101">
        <f>SUM(C25:C31)</f>
        <v>16608</v>
      </c>
      <c r="D32" s="102">
        <f>SUM(D25:D31)</f>
        <v>0</v>
      </c>
      <c r="E32" s="103">
        <f>SUM(E25:E31)</f>
        <v>0</v>
      </c>
      <c r="F32" s="101">
        <f>SUM(F24:F31)</f>
        <v>20</v>
      </c>
      <c r="G32" s="171"/>
      <c r="H32" s="172"/>
      <c r="I32" s="170"/>
      <c r="J32" s="214">
        <f>+'12'!J32</f>
        <v>0</v>
      </c>
      <c r="K32" s="239"/>
      <c r="L32" s="241"/>
      <c r="M32" s="119">
        <f>+K32+'12'!M32+L32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48721</v>
      </c>
      <c r="D34" s="109">
        <f>D14+D23+D32</f>
        <v>0</v>
      </c>
      <c r="E34" s="109">
        <f>E14+E23+E32</f>
        <v>0</v>
      </c>
      <c r="F34" s="110">
        <f>F14+F23+F32</f>
        <v>44</v>
      </c>
      <c r="H34" s="178"/>
      <c r="I34" s="178"/>
      <c r="J34" s="125" t="s">
        <v>27</v>
      </c>
      <c r="K34" s="126">
        <f>SUM(K7:K32)</f>
        <v>48721</v>
      </c>
      <c r="L34" s="212">
        <f>SUM(L7:L32)</f>
        <v>0</v>
      </c>
      <c r="M34" s="122">
        <f>SUM(M7:M32)</f>
        <v>636151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+I37+'12'!J37</f>
        <v>701.20254519687501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44</v>
      </c>
      <c r="D38" s="120">
        <f>+C38+'12'!D38</f>
        <v>474</v>
      </c>
      <c r="E38" s="145">
        <f t="shared" ref="E38:E51" si="0">D38/60</f>
        <v>7.9</v>
      </c>
      <c r="F38" s="330">
        <v>1400</v>
      </c>
      <c r="G38" s="330">
        <v>1064</v>
      </c>
      <c r="H38" s="187" t="s">
        <v>65</v>
      </c>
      <c r="I38" s="243">
        <f>16.162+15.557+17.304</f>
        <v>49.022999999999996</v>
      </c>
      <c r="J38" s="129">
        <f>+I38+'12'!J38</f>
        <v>651.10400000000004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+C39+'12'!D39</f>
        <v>0</v>
      </c>
      <c r="E39" s="145">
        <f t="shared" si="0"/>
        <v>0</v>
      </c>
      <c r="F39" s="330">
        <v>1400</v>
      </c>
      <c r="G39" s="330">
        <v>1064</v>
      </c>
      <c r="H39" s="187" t="s">
        <v>66</v>
      </c>
      <c r="I39" s="144"/>
      <c r="J39" s="131">
        <f>J37/G4</f>
        <v>53.938657322836541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+C40+'12'!D40</f>
        <v>0</v>
      </c>
      <c r="E40" s="145">
        <f t="shared" ca="1" si="0"/>
        <v>0</v>
      </c>
      <c r="F40" s="330">
        <v>1400</v>
      </c>
      <c r="G40" s="330">
        <v>1064</v>
      </c>
      <c r="H40" s="187" t="s">
        <v>68</v>
      </c>
      <c r="I40" s="120">
        <f>(K34+L34)/1000</f>
        <v>48.720999999999997</v>
      </c>
      <c r="J40" s="133">
        <f>+I40+'12'!J40</f>
        <v>636.15099999999995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+C41+'12'!D41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48.934692307692302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+C42+'12'!D42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+C43+'12'!D43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+Report1!Z21</f>
        <v>116.4</v>
      </c>
      <c r="J43" s="135">
        <f>+I43+'12'!J43</f>
        <v>1608.2000000000003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+C44+'12'!D44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2.3743956918181266</v>
      </c>
      <c r="J44" s="136">
        <f>J43/J38</f>
        <v>2.4699587162726693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+C45+'12'!D45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2.3891135239424481</v>
      </c>
      <c r="J45" s="136">
        <f>J43/J40</f>
        <v>2.5280161471097276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+C46+'12'!D46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+SUMIF(Listrik!AN20,"&gt;0")</f>
        <v>53717.127704719525</v>
      </c>
      <c r="J46" s="137">
        <f>+I46+'12'!J46</f>
        <v>585073.40541840577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+C47+'12'!D47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1095.7535790286097</v>
      </c>
      <c r="J47" s="137">
        <f>J46/J38</f>
        <v>898.58671643609273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+C48+'12'!D48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1102.5456723942352</v>
      </c>
      <c r="J48" s="137">
        <f>J46/J40</f>
        <v>919.70837964320708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+C49+'12'!D49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+I49+'12'!J49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+C50+'12'!D50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+C51+'12'!D51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44</v>
      </c>
      <c r="D52" s="146">
        <f ca="1">SUM(D38:D51)</f>
        <v>592</v>
      </c>
      <c r="E52" s="147">
        <f ca="1">SUM(E38:E51)</f>
        <v>9.8666666666666671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3.0555555555555555E-2</v>
      </c>
      <c r="D53" s="148">
        <f ca="1">D52/(24*60*G4)</f>
        <v>3.1623931623931623E-2</v>
      </c>
      <c r="E53" s="149">
        <f ca="1">E52/(G4*24)</f>
        <v>3.1623931623931623E-2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+D34+'12'!J56</f>
        <v>2170</v>
      </c>
      <c r="K56" s="201">
        <f>J56/(J40+J56/1000)/1000</f>
        <v>3.3995434898742172E-3</v>
      </c>
    </row>
    <row r="57" spans="1:11">
      <c r="A57" s="176"/>
      <c r="I57" s="199" t="s">
        <v>90</v>
      </c>
      <c r="J57" s="200">
        <f>+E34+'12'!J57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5" style="151" bestFit="1" customWidth="1"/>
    <col min="14" max="16384" width="9.140625" style="151"/>
  </cols>
  <sheetData>
    <row r="1" spans="1:15" ht="15.75">
      <c r="A1" s="150"/>
    </row>
    <row r="2" spans="1:15" ht="15.75">
      <c r="A2" s="150" t="s">
        <v>224</v>
      </c>
    </row>
    <row r="3" spans="1:15" ht="15">
      <c r="A3" s="152"/>
    </row>
    <row r="4" spans="1:15" ht="20.25">
      <c r="A4" s="153" t="s">
        <v>3</v>
      </c>
      <c r="B4" s="154"/>
      <c r="F4" s="155" t="s">
        <v>28</v>
      </c>
      <c r="G4" s="156">
        <v>12</v>
      </c>
      <c r="H4" s="156" t="str">
        <f>+'1'!H4</f>
        <v>.12.25</v>
      </c>
    </row>
    <row r="5" spans="1:15" ht="13.5" thickBot="1">
      <c r="C5" s="157"/>
      <c r="D5" s="157"/>
    </row>
    <row r="6" spans="1:15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482+404+472</f>
        <v>1358</v>
      </c>
    </row>
    <row r="7" spans="1:15" ht="13.5" customHeight="1" thickBot="1">
      <c r="A7" s="781" t="s">
        <v>424</v>
      </c>
      <c r="B7" s="215" t="s">
        <v>383</v>
      </c>
      <c r="C7" s="216">
        <v>14088</v>
      </c>
      <c r="D7" s="217">
        <v>520</v>
      </c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+'11'!J7</f>
        <v>F 15 VP OW</v>
      </c>
      <c r="K7" s="236"/>
      <c r="L7" s="240"/>
      <c r="M7" s="119">
        <f>+K7+'11'!M7+L7</f>
        <v>24540</v>
      </c>
    </row>
    <row r="8" spans="1:15" ht="13.5" thickBot="1">
      <c r="A8" s="782"/>
      <c r="B8" s="215"/>
      <c r="C8" s="216"/>
      <c r="D8" s="217"/>
      <c r="E8" s="219"/>
      <c r="F8" s="229">
        <v>2</v>
      </c>
      <c r="G8" s="550" t="s">
        <v>11</v>
      </c>
      <c r="H8" s="549" t="s">
        <v>446</v>
      </c>
      <c r="I8" s="785"/>
      <c r="J8" s="214" t="str">
        <f>+'11'!J8</f>
        <v>T 12,5 VP OW</v>
      </c>
      <c r="K8" s="237"/>
      <c r="L8" s="237"/>
      <c r="M8" s="119">
        <f>+K8+'11'!M8+L8</f>
        <v>35627</v>
      </c>
      <c r="N8" s="523">
        <v>1400</v>
      </c>
      <c r="O8" s="151">
        <f>+N8-N8*0.24</f>
        <v>1064</v>
      </c>
    </row>
    <row r="9" spans="1:15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384</v>
      </c>
      <c r="I9" s="785"/>
      <c r="J9" s="214" t="str">
        <f>+'11'!J9</f>
        <v>T 14 VP OW</v>
      </c>
      <c r="K9" s="237"/>
      <c r="L9" s="237"/>
      <c r="M9" s="119">
        <f>+K9+'11'!M9+L9</f>
        <v>186632</v>
      </c>
    </row>
    <row r="10" spans="1:15" ht="51.75" thickBot="1">
      <c r="A10" s="782"/>
      <c r="B10" s="215"/>
      <c r="C10" s="216"/>
      <c r="D10" s="217"/>
      <c r="E10" s="219"/>
      <c r="F10" s="229"/>
      <c r="G10" s="548"/>
      <c r="H10" s="551" t="s">
        <v>536</v>
      </c>
      <c r="I10" s="785"/>
      <c r="J10" s="214" t="str">
        <f>+'11'!J10</f>
        <v>F 12 VP OW</v>
      </c>
      <c r="K10" s="237">
        <f>+C34</f>
        <v>42797</v>
      </c>
      <c r="L10" s="237"/>
      <c r="M10" s="119">
        <f>+K10+'11'!M10+L10</f>
        <v>291500</v>
      </c>
    </row>
    <row r="11" spans="1:15" ht="13.5" thickBot="1">
      <c r="A11" s="782"/>
      <c r="B11" s="215"/>
      <c r="C11" s="216"/>
      <c r="D11" s="217"/>
      <c r="E11" s="219"/>
      <c r="F11" s="476"/>
      <c r="G11" s="477"/>
      <c r="H11" s="228" t="s">
        <v>544</v>
      </c>
      <c r="I11" s="785"/>
      <c r="J11" s="214" t="str">
        <f>+'11'!J11</f>
        <v>T 18 VP OW</v>
      </c>
      <c r="K11" s="237"/>
      <c r="L11" s="237"/>
      <c r="M11" s="119">
        <f>+K11+'11'!M11+L11</f>
        <v>21393</v>
      </c>
    </row>
    <row r="12" spans="1:15" ht="26.25" thickBot="1">
      <c r="A12" s="782"/>
      <c r="B12" s="215"/>
      <c r="C12" s="216"/>
      <c r="D12" s="217"/>
      <c r="E12" s="219"/>
      <c r="F12" s="226"/>
      <c r="G12" s="230"/>
      <c r="H12" s="231" t="s">
        <v>543</v>
      </c>
      <c r="I12" s="785"/>
      <c r="J12" s="214" t="str">
        <f>+'11'!J12</f>
        <v>F 13 VP OW</v>
      </c>
      <c r="K12" s="237"/>
      <c r="L12" s="237"/>
      <c r="M12" s="119">
        <f>+K12+'11'!M12+L12</f>
        <v>27738</v>
      </c>
    </row>
    <row r="13" spans="1:15" ht="13.5" thickBot="1">
      <c r="A13" s="782"/>
      <c r="B13" s="215"/>
      <c r="C13" s="216"/>
      <c r="D13" s="216"/>
      <c r="E13" s="219"/>
      <c r="F13" s="226"/>
      <c r="G13" s="230"/>
      <c r="H13" s="231" t="s">
        <v>545</v>
      </c>
      <c r="I13" s="786"/>
      <c r="J13" s="214">
        <f>+'11'!J13</f>
        <v>0</v>
      </c>
      <c r="K13" s="237"/>
      <c r="L13" s="237"/>
      <c r="M13" s="119">
        <f>+K13+'11'!M13+L13</f>
        <v>0</v>
      </c>
    </row>
    <row r="14" spans="1:15" ht="13.5" thickBot="1">
      <c r="A14" s="783"/>
      <c r="B14" s="167" t="s">
        <v>2</v>
      </c>
      <c r="C14" s="101">
        <f>SUM(C7:C13)</f>
        <v>14088</v>
      </c>
      <c r="D14" s="113">
        <f>SUM(D7:D13)</f>
        <v>520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>
        <f>+'11'!J14</f>
        <v>0</v>
      </c>
      <c r="K14" s="237"/>
      <c r="L14" s="237"/>
      <c r="M14" s="119">
        <f>+K14+'11'!M14+L14</f>
        <v>0</v>
      </c>
    </row>
    <row r="15" spans="1:15" ht="13.5" thickBot="1">
      <c r="A15" s="787" t="s">
        <v>542</v>
      </c>
      <c r="B15" s="506"/>
      <c r="C15" s="553">
        <f>C14/($C$32+$D$32+$E$32)</f>
        <v>1.0969399672973603</v>
      </c>
      <c r="D15" s="106">
        <f>D14/($C$32+$D$32+$E$32)</f>
        <v>4.0488982325001949E-2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+'11'!J15</f>
        <v>0</v>
      </c>
      <c r="K15" s="237"/>
      <c r="L15" s="237"/>
      <c r="M15" s="119">
        <f>+K15+'11'!M15+L15</f>
        <v>0</v>
      </c>
    </row>
    <row r="16" spans="1:15" ht="13.5" thickBot="1">
      <c r="A16" s="782"/>
      <c r="B16" s="215" t="s">
        <v>383</v>
      </c>
      <c r="C16" s="507">
        <v>15866</v>
      </c>
      <c r="D16" s="221"/>
      <c r="E16" s="222"/>
      <c r="F16" s="229">
        <v>5</v>
      </c>
      <c r="G16" s="550" t="s">
        <v>11</v>
      </c>
      <c r="H16" s="549" t="s">
        <v>446</v>
      </c>
      <c r="I16" s="785"/>
      <c r="J16" s="214">
        <f>+'11'!J16</f>
        <v>0</v>
      </c>
      <c r="K16" s="227"/>
      <c r="L16" s="227"/>
      <c r="M16" s="119">
        <f>+K16+'11'!M16+L16</f>
        <v>0</v>
      </c>
      <c r="N16" s="523"/>
    </row>
    <row r="17" spans="1:18" ht="13.5" thickBot="1">
      <c r="A17" s="782"/>
      <c r="B17" s="215"/>
      <c r="C17" s="216"/>
      <c r="D17" s="217"/>
      <c r="E17" s="223"/>
      <c r="F17" s="229">
        <v>10</v>
      </c>
      <c r="G17" s="550" t="s">
        <v>11</v>
      </c>
      <c r="H17" s="551" t="s">
        <v>384</v>
      </c>
      <c r="I17" s="785"/>
      <c r="J17" s="214">
        <f>+'11'!J17</f>
        <v>0</v>
      </c>
      <c r="K17" s="227"/>
      <c r="L17" s="227"/>
      <c r="M17" s="119">
        <f>+K17+'11'!M17+L17</f>
        <v>0</v>
      </c>
    </row>
    <row r="18" spans="1:18" ht="51.75" thickBot="1">
      <c r="A18" s="782"/>
      <c r="B18" s="215"/>
      <c r="C18" s="216"/>
      <c r="D18" s="217"/>
      <c r="E18" s="223"/>
      <c r="F18" s="229"/>
      <c r="G18" s="548"/>
      <c r="H18" s="551" t="s">
        <v>536</v>
      </c>
      <c r="I18" s="785"/>
      <c r="J18" s="214">
        <f>+'11'!J18</f>
        <v>0</v>
      </c>
      <c r="K18" s="237"/>
      <c r="L18" s="237"/>
      <c r="M18" s="119">
        <f>+K18+'11'!M18+L18</f>
        <v>0</v>
      </c>
    </row>
    <row r="19" spans="1:18" ht="13.5" thickBot="1">
      <c r="A19" s="782"/>
      <c r="B19" s="215"/>
      <c r="C19" s="216"/>
      <c r="D19" s="217"/>
      <c r="E19" s="223"/>
      <c r="F19" s="226"/>
      <c r="G19" s="230"/>
      <c r="H19" s="228" t="s">
        <v>550</v>
      </c>
      <c r="I19" s="785"/>
      <c r="J19" s="214">
        <f>+'11'!J19</f>
        <v>0</v>
      </c>
      <c r="K19" s="237"/>
      <c r="L19" s="237"/>
      <c r="M19" s="119">
        <f>+K19+'11'!M19+L19</f>
        <v>0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 t="s">
        <v>551</v>
      </c>
      <c r="I20" s="785"/>
      <c r="J20" s="214">
        <f>+'11'!J20</f>
        <v>0</v>
      </c>
      <c r="K20" s="238"/>
      <c r="L20" s="238"/>
      <c r="M20" s="119">
        <f>+K20+'11'!M20+L20</f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 t="s">
        <v>552</v>
      </c>
      <c r="I21" s="785"/>
      <c r="J21" s="214">
        <f>+'11'!J21</f>
        <v>0</v>
      </c>
      <c r="K21" s="237"/>
      <c r="L21" s="237"/>
      <c r="M21" s="119">
        <f>+K21+'11'!M21+L21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+'11'!J22</f>
        <v>0</v>
      </c>
      <c r="K22" s="237"/>
      <c r="L22" s="237"/>
      <c r="M22" s="119">
        <f>+K22+'11'!M22+L22</f>
        <v>0</v>
      </c>
    </row>
    <row r="23" spans="1:18" ht="13.5" thickBot="1">
      <c r="A23" s="783"/>
      <c r="B23" s="167" t="s">
        <v>2</v>
      </c>
      <c r="C23" s="101">
        <f>SUM(C16:C22)</f>
        <v>15866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+'11'!J23</f>
        <v>0</v>
      </c>
      <c r="K23" s="237"/>
      <c r="L23" s="237"/>
      <c r="M23" s="119">
        <f>+K23+'11'!M23+L23</f>
        <v>0</v>
      </c>
    </row>
    <row r="24" spans="1:18" ht="13.5" thickBot="1">
      <c r="A24" s="787" t="s">
        <v>227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15</v>
      </c>
      <c r="G24" s="548" t="s">
        <v>11</v>
      </c>
      <c r="H24" s="549" t="s">
        <v>447</v>
      </c>
      <c r="I24" s="784" t="s">
        <v>511</v>
      </c>
      <c r="J24" s="214">
        <f>+'11'!J24</f>
        <v>0</v>
      </c>
      <c r="K24" s="237"/>
      <c r="L24" s="237"/>
      <c r="M24" s="119">
        <f>+K24+'11'!M24+L24</f>
        <v>0</v>
      </c>
    </row>
    <row r="25" spans="1:18" ht="13.5" thickBot="1">
      <c r="A25" s="782"/>
      <c r="B25" s="215" t="s">
        <v>383</v>
      </c>
      <c r="C25" s="224">
        <v>12843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+'11'!J25</f>
        <v>0</v>
      </c>
      <c r="K25" s="237"/>
      <c r="L25" s="237"/>
      <c r="M25" s="119">
        <f>+K25+'11'!M25+L25</f>
        <v>0</v>
      </c>
    </row>
    <row r="26" spans="1:18" ht="13.5" thickBot="1">
      <c r="A26" s="782"/>
      <c r="B26" s="215"/>
      <c r="C26" s="224"/>
      <c r="D26" s="217"/>
      <c r="E26" s="225"/>
      <c r="F26" s="229">
        <v>10</v>
      </c>
      <c r="G26" s="550" t="s">
        <v>11</v>
      </c>
      <c r="H26" s="551" t="s">
        <v>414</v>
      </c>
      <c r="I26" s="785"/>
      <c r="J26" s="214">
        <f>+'11'!J26</f>
        <v>0</v>
      </c>
      <c r="K26" s="237"/>
      <c r="L26" s="237"/>
      <c r="M26" s="119">
        <f>+K26+'11'!M26+L26</f>
        <v>0</v>
      </c>
      <c r="P26" s="176"/>
    </row>
    <row r="27" spans="1:18" ht="51.75" thickBot="1">
      <c r="A27" s="782"/>
      <c r="B27" s="215"/>
      <c r="C27" s="216"/>
      <c r="D27" s="217"/>
      <c r="E27" s="223"/>
      <c r="F27" s="229"/>
      <c r="G27" s="548"/>
      <c r="H27" s="551" t="s">
        <v>536</v>
      </c>
      <c r="I27" s="785"/>
      <c r="J27" s="214">
        <f>+'11'!J27</f>
        <v>0</v>
      </c>
      <c r="K27" s="237"/>
      <c r="L27" s="237"/>
      <c r="M27" s="119">
        <f>+K27+'11'!M27+L27</f>
        <v>0</v>
      </c>
      <c r="Q27" s="176"/>
      <c r="R27" s="176"/>
    </row>
    <row r="28" spans="1:18" ht="26.25" thickBot="1">
      <c r="A28" s="782"/>
      <c r="B28" s="215"/>
      <c r="C28" s="216"/>
      <c r="D28" s="217"/>
      <c r="E28" s="223"/>
      <c r="F28" s="226"/>
      <c r="G28" s="230"/>
      <c r="H28" s="228" t="s">
        <v>546</v>
      </c>
      <c r="I28" s="785"/>
      <c r="J28" s="214">
        <f>+'11'!J28</f>
        <v>0</v>
      </c>
      <c r="K28" s="237"/>
      <c r="L28" s="237"/>
      <c r="M28" s="119">
        <f>+K28+'11'!M28+L28</f>
        <v>0</v>
      </c>
    </row>
    <row r="29" spans="1:18" ht="26.25" thickBot="1">
      <c r="A29" s="782"/>
      <c r="B29" s="215"/>
      <c r="C29" s="216"/>
      <c r="D29" s="217"/>
      <c r="E29" s="223"/>
      <c r="F29" s="234"/>
      <c r="G29" s="230"/>
      <c r="H29" s="231" t="s">
        <v>547</v>
      </c>
      <c r="I29" s="785"/>
      <c r="J29" s="214">
        <f>+'11'!J29</f>
        <v>0</v>
      </c>
      <c r="K29" s="237"/>
      <c r="L29" s="237"/>
      <c r="M29" s="119">
        <f>+K29+'11'!M29+L29</f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 t="s">
        <v>548</v>
      </c>
      <c r="I30" s="785"/>
      <c r="J30" s="214">
        <f>+'11'!J30</f>
        <v>0</v>
      </c>
      <c r="K30" s="237"/>
      <c r="L30" s="237"/>
      <c r="M30" s="119">
        <f>+K30+'11'!M30+L30</f>
        <v>0</v>
      </c>
      <c r="N30" s="157"/>
    </row>
    <row r="31" spans="1:18" ht="13.5" customHeight="1" thickBot="1">
      <c r="A31" s="782"/>
      <c r="B31" s="215"/>
      <c r="C31" s="224"/>
      <c r="D31" s="217"/>
      <c r="E31" s="223"/>
      <c r="F31" s="234"/>
      <c r="G31" s="235"/>
      <c r="H31" s="231" t="s">
        <v>549</v>
      </c>
      <c r="I31" s="786"/>
      <c r="J31" s="214">
        <f>+'11'!J31</f>
        <v>0</v>
      </c>
      <c r="K31" s="237"/>
      <c r="L31" s="237"/>
      <c r="M31" s="119">
        <f>+K31+'11'!M31+L31</f>
        <v>0</v>
      </c>
    </row>
    <row r="32" spans="1:18" ht="13.5" customHeight="1" thickBot="1">
      <c r="A32" s="783"/>
      <c r="B32" s="167" t="s">
        <v>2</v>
      </c>
      <c r="C32" s="101">
        <f>SUM(C25:C31)</f>
        <v>12843</v>
      </c>
      <c r="D32" s="102">
        <f>SUM(D25:D31)</f>
        <v>0</v>
      </c>
      <c r="E32" s="103">
        <f>SUM(E25:E31)</f>
        <v>0</v>
      </c>
      <c r="F32" s="101">
        <f>SUM(F24:F31)</f>
        <v>25</v>
      </c>
      <c r="G32" s="171"/>
      <c r="H32" s="172"/>
      <c r="I32" s="170"/>
      <c r="J32" s="214">
        <f>+'1'!J32</f>
        <v>0</v>
      </c>
      <c r="K32" s="239"/>
      <c r="L32" s="241"/>
      <c r="M32" s="119">
        <f>+K32+'11'!M32+L32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42797</v>
      </c>
      <c r="D34" s="109">
        <f>D14+D23+D32</f>
        <v>520</v>
      </c>
      <c r="E34" s="109">
        <f>E14+E23+E32</f>
        <v>0</v>
      </c>
      <c r="F34" s="110">
        <f>F14+F23+F32</f>
        <v>52</v>
      </c>
      <c r="H34" s="178"/>
      <c r="I34" s="178"/>
      <c r="J34" s="125" t="s">
        <v>27</v>
      </c>
      <c r="K34" s="126">
        <f>SUM(K7:K32)</f>
        <v>42797</v>
      </c>
      <c r="L34" s="212">
        <f>SUM(L7:L32)</f>
        <v>0</v>
      </c>
      <c r="M34" s="122">
        <f>SUM(M7:M32)</f>
        <v>587430</v>
      </c>
      <c r="N34" s="157"/>
    </row>
    <row r="35" spans="1:14" ht="13.5" thickBot="1">
      <c r="A35" s="179"/>
      <c r="B35" s="180"/>
      <c r="C35" s="106">
        <f>C34/($C$34+$D$34+$E$34)</f>
        <v>0.98799547521758202</v>
      </c>
      <c r="D35" s="106">
        <f>D34/($C$34+$D$34+$E$34)</f>
        <v>1.2004524782417989E-2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+I37+'11'!J37</f>
        <v>648.80267319687505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52</v>
      </c>
      <c r="D38" s="120">
        <f>+C38+'11'!D38</f>
        <v>430</v>
      </c>
      <c r="E38" s="145">
        <f t="shared" ref="E38:E51" si="0">D38/60</f>
        <v>7.166666666666667</v>
      </c>
      <c r="F38" s="524">
        <v>1400</v>
      </c>
      <c r="G38" s="524">
        <f>+F38-F38*0.24</f>
        <v>1064</v>
      </c>
      <c r="H38" s="187" t="s">
        <v>65</v>
      </c>
      <c r="I38" s="243">
        <f>16.582+15.456+14.24</f>
        <v>46.277999999999999</v>
      </c>
      <c r="J38" s="129">
        <f>+I38+'11'!J38</f>
        <v>602.08100000000002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+C39+'11'!D39</f>
        <v>0</v>
      </c>
      <c r="E39" s="145">
        <f t="shared" si="0"/>
        <v>0</v>
      </c>
      <c r="F39" s="524">
        <v>1400</v>
      </c>
      <c r="G39" s="524">
        <f>+F39-F39*0.24</f>
        <v>1064</v>
      </c>
      <c r="H39" s="187" t="s">
        <v>66</v>
      </c>
      <c r="I39" s="144"/>
      <c r="J39" s="131">
        <f>J37/G4</f>
        <v>54.066889433072923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+C40+'11'!D40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42.796999999999997</v>
      </c>
      <c r="J40" s="133">
        <f>+I40+'11'!J40</f>
        <v>587.42999999999995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+C41+'11'!D41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48.952499999999993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+C42+'11'!D42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ca="1">+C43+'11'!D43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+Report1!Z20</f>
        <v>119.8</v>
      </c>
      <c r="J43" s="135">
        <f>+I43+'11'!J43</f>
        <v>1491.8000000000002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+C44+'11'!D44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2.588703055447513</v>
      </c>
      <c r="J44" s="136">
        <f>J43/J38</f>
        <v>2.4777397061192765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+C45+'11'!D45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2.7992616304881186</v>
      </c>
      <c r="J45" s="136">
        <f>J43/J40</f>
        <v>2.5395366256405025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+C46+'11'!D46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+SUMIF(Listrik!AN19,"&gt;0")</f>
        <v>53430.177802085644</v>
      </c>
      <c r="J46" s="137">
        <f>+I46+'11'!J46</f>
        <v>531356.27771368623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+C47+'11'!D47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1154.5481179412602</v>
      </c>
      <c r="J47" s="137">
        <f>J46/J38</f>
        <v>882.53287799097836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+C48+'11'!D48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1248.4561488442098</v>
      </c>
      <c r="J48" s="137">
        <f>J46/J40</f>
        <v>904.54399283946384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+C49+'11'!D49</f>
        <v>0</v>
      </c>
      <c r="E49" s="145">
        <f t="shared" si="0"/>
        <v>0</v>
      </c>
      <c r="F49" s="185"/>
      <c r="H49" s="188" t="s">
        <v>83</v>
      </c>
      <c r="I49" s="120">
        <v>0</v>
      </c>
      <c r="J49" s="137">
        <f>+I49+'11'!J49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+C50+'11'!D50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+C51+'11'!D51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52</v>
      </c>
      <c r="D52" s="146">
        <f ca="1">SUM(D38:D51)</f>
        <v>548</v>
      </c>
      <c r="E52" s="147">
        <f ca="1">SUM(E38:E51)</f>
        <v>9.1333333333333329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3.6111111111111108E-2</v>
      </c>
      <c r="D53" s="148">
        <f ca="1">D52/(24*60*G4)</f>
        <v>3.1712962962962964E-2</v>
      </c>
      <c r="E53" s="149">
        <f ca="1">E52/(G4*24)</f>
        <v>3.1712962962962964E-2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+D34+'11'!J56</f>
        <v>2170</v>
      </c>
      <c r="K56" s="201">
        <f>J56/(J40+J56/1000)/1000</f>
        <v>3.6804613297150616E-3</v>
      </c>
    </row>
    <row r="57" spans="1:11">
      <c r="A57" s="176"/>
      <c r="I57" s="199" t="s">
        <v>90</v>
      </c>
      <c r="J57" s="200">
        <f>+E34+'11'!J57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5625" right="0.15625" top="0.39027777777777778" bottom="0.39027777777777778" header="0" footer="0"/>
  <pageSetup paperSize="9" scale="51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5.5703125" style="151" bestFit="1" customWidth="1"/>
    <col min="14" max="16384" width="9.140625" style="151"/>
  </cols>
  <sheetData>
    <row r="1" spans="1:19" ht="15.75">
      <c r="A1" s="150"/>
    </row>
    <row r="2" spans="1:19" ht="15.75">
      <c r="A2" s="150" t="s">
        <v>224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11</v>
      </c>
      <c r="H4" s="156" t="str">
        <f>+'1'!H4</f>
        <v>.12.25</v>
      </c>
      <c r="J4" s="151">
        <f>431+455</f>
        <v>886</v>
      </c>
    </row>
    <row r="5" spans="1:19" ht="13.5" thickBot="1">
      <c r="C5" s="157"/>
      <c r="D5" s="157"/>
    </row>
    <row r="6" spans="1:19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 t="s">
        <v>274</v>
      </c>
      <c r="O6" s="151">
        <v>1400</v>
      </c>
      <c r="P6" s="151">
        <f>+O6-O6*0.24</f>
        <v>1064</v>
      </c>
      <c r="Q6" s="151">
        <v>480</v>
      </c>
      <c r="R6" s="151">
        <f>+O6*Q6</f>
        <v>672000</v>
      </c>
      <c r="S6" s="151">
        <f>+P6*Q6</f>
        <v>510720</v>
      </c>
    </row>
    <row r="7" spans="1:19" ht="13.5" customHeight="1" thickBot="1">
      <c r="A7" s="781" t="s">
        <v>424</v>
      </c>
      <c r="B7" s="215" t="s">
        <v>383</v>
      </c>
      <c r="C7" s="216">
        <v>12271</v>
      </c>
      <c r="D7" s="217">
        <v>500</v>
      </c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+'10'!J7</f>
        <v>F 15 VP OW</v>
      </c>
      <c r="K7" s="236"/>
      <c r="L7" s="240"/>
      <c r="M7" s="119">
        <f>+K7+'10'!M7+L7</f>
        <v>24540</v>
      </c>
    </row>
    <row r="8" spans="1:19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+'10'!J8</f>
        <v>T 12,5 VP OW</v>
      </c>
      <c r="K8" s="237"/>
      <c r="L8" s="237"/>
      <c r="M8" s="119">
        <f>+K8+'10'!M8+L8</f>
        <v>35627</v>
      </c>
    </row>
    <row r="9" spans="1:19" ht="13.5" thickBot="1">
      <c r="A9" s="782"/>
      <c r="B9" s="215"/>
      <c r="C9" s="216"/>
      <c r="D9" s="217"/>
      <c r="E9" s="220"/>
      <c r="F9" s="229">
        <v>12</v>
      </c>
      <c r="G9" s="550" t="s">
        <v>11</v>
      </c>
      <c r="H9" s="551" t="s">
        <v>416</v>
      </c>
      <c r="I9" s="785"/>
      <c r="J9" s="214" t="str">
        <f>+'10'!J9</f>
        <v>T 14 VP OW</v>
      </c>
      <c r="K9" s="237"/>
      <c r="L9" s="237"/>
      <c r="M9" s="119">
        <f>+K9+'10'!M9+L9</f>
        <v>186632</v>
      </c>
    </row>
    <row r="10" spans="1:19" ht="51.75" thickBot="1">
      <c r="A10" s="782"/>
      <c r="B10" s="215"/>
      <c r="C10" s="216"/>
      <c r="D10" s="217"/>
      <c r="E10" s="219"/>
      <c r="F10" s="229"/>
      <c r="G10" s="548"/>
      <c r="H10" s="551" t="s">
        <v>538</v>
      </c>
      <c r="I10" s="785"/>
      <c r="J10" s="214" t="str">
        <f>+'10'!J10</f>
        <v>F 12 VP OW</v>
      </c>
      <c r="K10" s="237">
        <f>+C34</f>
        <v>42121</v>
      </c>
      <c r="L10" s="237"/>
      <c r="M10" s="119">
        <f>+K10+'10'!M10+L10</f>
        <v>248703</v>
      </c>
    </row>
    <row r="11" spans="1:19" ht="51.75" thickBot="1">
      <c r="A11" s="782"/>
      <c r="B11" s="215"/>
      <c r="C11" s="216"/>
      <c r="D11" s="217"/>
      <c r="E11" s="219"/>
      <c r="F11" s="476"/>
      <c r="G11" s="477"/>
      <c r="H11" s="228" t="s">
        <v>539</v>
      </c>
      <c r="I11" s="785"/>
      <c r="J11" s="214" t="str">
        <f>+'10'!J11</f>
        <v>T 18 VP OW</v>
      </c>
      <c r="K11" s="237"/>
      <c r="L11" s="237"/>
      <c r="M11" s="119">
        <f>+K11+'10'!M11+L11</f>
        <v>21393</v>
      </c>
    </row>
    <row r="12" spans="1:19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+'10'!J12</f>
        <v>F 13 VP OW</v>
      </c>
      <c r="K12" s="237"/>
      <c r="L12" s="237"/>
      <c r="M12" s="119">
        <f>+K12+'10'!M12+L12</f>
        <v>27738</v>
      </c>
    </row>
    <row r="13" spans="1:19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+'10'!J13</f>
        <v>0</v>
      </c>
      <c r="K13" s="237"/>
      <c r="L13" s="237"/>
      <c r="M13" s="119">
        <f>+K13+'10'!M13+L13</f>
        <v>0</v>
      </c>
    </row>
    <row r="14" spans="1:19" ht="13.5" thickBot="1">
      <c r="A14" s="783"/>
      <c r="B14" s="167" t="s">
        <v>2</v>
      </c>
      <c r="C14" s="101">
        <f>SUM(C7:C13)</f>
        <v>12271</v>
      </c>
      <c r="D14" s="113">
        <f>SUM(D7:D13)</f>
        <v>500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>
        <f>+'10'!J14</f>
        <v>0</v>
      </c>
      <c r="K14" s="237"/>
      <c r="L14" s="237"/>
      <c r="M14" s="119">
        <f>+K14+'10'!M14+L14</f>
        <v>0</v>
      </c>
      <c r="Q14" s="151">
        <f>SUM(Q6:Q13)</f>
        <v>480</v>
      </c>
      <c r="R14" s="151">
        <f>SUM(R6:R13)</f>
        <v>672000</v>
      </c>
      <c r="S14" s="151">
        <f>SUM(S6:S13)</f>
        <v>510720</v>
      </c>
    </row>
    <row r="15" spans="1:19" ht="13.5" thickBot="1">
      <c r="A15" s="787" t="s">
        <v>542</v>
      </c>
      <c r="B15" s="506"/>
      <c r="C15" s="553">
        <f>C14/($C$32+$D$32+$E$32)</f>
        <v>0.81313365582135044</v>
      </c>
      <c r="D15" s="106">
        <f>D14/($C$32+$D$32+$E$32)</f>
        <v>3.3132330528129347E-2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+'10'!J15</f>
        <v>0</v>
      </c>
      <c r="K15" s="237"/>
      <c r="L15" s="237"/>
      <c r="M15" s="119">
        <f>+K15+'10'!M15+L15</f>
        <v>0</v>
      </c>
      <c r="P15" s="151" t="s">
        <v>540</v>
      </c>
      <c r="Q15" s="151">
        <f>480-Q14</f>
        <v>0</v>
      </c>
      <c r="R15" s="151">
        <f>+R14/Q14</f>
        <v>1400</v>
      </c>
      <c r="S15" s="151">
        <f>+S14/Q14</f>
        <v>1064</v>
      </c>
    </row>
    <row r="16" spans="1:19" ht="13.5" thickBot="1">
      <c r="A16" s="782"/>
      <c r="B16" s="215" t="s">
        <v>383</v>
      </c>
      <c r="C16" s="507">
        <v>14759</v>
      </c>
      <c r="D16" s="221">
        <v>500</v>
      </c>
      <c r="E16" s="222"/>
      <c r="F16" s="229"/>
      <c r="G16" s="550" t="s">
        <v>11</v>
      </c>
      <c r="H16" s="549" t="s">
        <v>415</v>
      </c>
      <c r="I16" s="785"/>
      <c r="J16" s="214">
        <f>+'10'!J16</f>
        <v>0</v>
      </c>
      <c r="K16" s="227"/>
      <c r="L16" s="227"/>
      <c r="M16" s="119">
        <f>+K16+'10'!M16+L16</f>
        <v>0</v>
      </c>
      <c r="N16" s="151" t="s">
        <v>274</v>
      </c>
      <c r="O16" s="151">
        <v>1400</v>
      </c>
      <c r="P16" s="151">
        <f>+O16-O16*0.24</f>
        <v>1064</v>
      </c>
      <c r="Q16" s="151">
        <v>480</v>
      </c>
      <c r="R16" s="151">
        <f>+O16*Q16</f>
        <v>672000</v>
      </c>
      <c r="S16" s="151">
        <f>+P16*Q16</f>
        <v>510720</v>
      </c>
    </row>
    <row r="17" spans="1:19" ht="13.5" thickBot="1">
      <c r="A17" s="782"/>
      <c r="B17" s="215"/>
      <c r="C17" s="216"/>
      <c r="D17" s="217"/>
      <c r="E17" s="223"/>
      <c r="F17" s="229">
        <v>15</v>
      </c>
      <c r="G17" s="550" t="s">
        <v>11</v>
      </c>
      <c r="H17" s="551" t="s">
        <v>384</v>
      </c>
      <c r="I17" s="785"/>
      <c r="J17" s="214">
        <f>+'10'!J17</f>
        <v>0</v>
      </c>
      <c r="K17" s="227"/>
      <c r="L17" s="227"/>
      <c r="M17" s="119">
        <f>+K17+'10'!M17+L17</f>
        <v>0</v>
      </c>
    </row>
    <row r="18" spans="1:19" ht="51.75" thickBot="1">
      <c r="A18" s="782"/>
      <c r="B18" s="215"/>
      <c r="C18" s="216"/>
      <c r="D18" s="217"/>
      <c r="E18" s="223"/>
      <c r="F18" s="229"/>
      <c r="G18" s="548"/>
      <c r="H18" s="551" t="s">
        <v>536</v>
      </c>
      <c r="I18" s="785"/>
      <c r="J18" s="214">
        <f>+'10'!J18</f>
        <v>0</v>
      </c>
      <c r="K18" s="237"/>
      <c r="L18" s="237"/>
      <c r="M18" s="119">
        <f>+K18+'10'!M18+L18</f>
        <v>0</v>
      </c>
    </row>
    <row r="19" spans="1:19" ht="26.25" thickBot="1">
      <c r="A19" s="782"/>
      <c r="B19" s="215"/>
      <c r="C19" s="216"/>
      <c r="D19" s="217"/>
      <c r="E19" s="223"/>
      <c r="F19" s="226"/>
      <c r="G19" s="230"/>
      <c r="H19" s="228" t="s">
        <v>537</v>
      </c>
      <c r="I19" s="785"/>
      <c r="J19" s="214">
        <f>+'10'!J19</f>
        <v>0</v>
      </c>
      <c r="K19" s="237"/>
      <c r="L19" s="237"/>
      <c r="M19" s="119">
        <f>+K19+'10'!M19+L19</f>
        <v>0</v>
      </c>
    </row>
    <row r="20" spans="1:19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+'10'!J20</f>
        <v>0</v>
      </c>
      <c r="K20" s="238"/>
      <c r="L20" s="238"/>
      <c r="M20" s="119">
        <f>+K20+'10'!M20+L20</f>
        <v>0</v>
      </c>
    </row>
    <row r="21" spans="1:19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+'10'!J21</f>
        <v>0</v>
      </c>
      <c r="K21" s="237"/>
      <c r="L21" s="237"/>
      <c r="M21" s="119">
        <f>+K21+'10'!M21+L21</f>
        <v>0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+'10'!J22</f>
        <v>0</v>
      </c>
      <c r="K22" s="237"/>
      <c r="L22" s="237"/>
      <c r="M22" s="119">
        <f>+K22+'10'!M22+L22</f>
        <v>0</v>
      </c>
    </row>
    <row r="23" spans="1:19" ht="13.5" thickBot="1">
      <c r="A23" s="783"/>
      <c r="B23" s="167" t="s">
        <v>2</v>
      </c>
      <c r="C23" s="101">
        <f>SUM(C16:C22)</f>
        <v>14759</v>
      </c>
      <c r="D23" s="113">
        <f>SUM(D16:D22)</f>
        <v>500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+'10'!J23</f>
        <v>0</v>
      </c>
      <c r="K23" s="237"/>
      <c r="L23" s="237"/>
      <c r="M23" s="119">
        <f>+K23+'10'!M23+L23</f>
        <v>0</v>
      </c>
    </row>
    <row r="24" spans="1:19" ht="13.5" thickBot="1">
      <c r="A24" s="787" t="s">
        <v>227</v>
      </c>
      <c r="B24" s="506"/>
      <c r="C24" s="115">
        <f>C23/($C$23+$D$23+$E$23)</f>
        <v>0.96723245297857008</v>
      </c>
      <c r="D24" s="116">
        <f>D23/($C$23+$D$23+$E$23)</f>
        <v>3.2767547021429977E-2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+'10'!J24</f>
        <v>0</v>
      </c>
      <c r="K24" s="237"/>
      <c r="L24" s="237"/>
      <c r="M24" s="119">
        <f>+K24+'10'!M24+L24</f>
        <v>0</v>
      </c>
      <c r="Q24" s="151">
        <f>SUM(Q16:Q23)</f>
        <v>480</v>
      </c>
      <c r="R24" s="151">
        <f>SUM(R16:R23)</f>
        <v>672000</v>
      </c>
      <c r="S24" s="151">
        <f>SUM(S16:S23)</f>
        <v>510720</v>
      </c>
    </row>
    <row r="25" spans="1:19" ht="13.5" thickBot="1">
      <c r="A25" s="782"/>
      <c r="B25" s="215" t="s">
        <v>383</v>
      </c>
      <c r="C25" s="224">
        <v>15091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+'10'!J25</f>
        <v>0</v>
      </c>
      <c r="K25" s="237"/>
      <c r="L25" s="237"/>
      <c r="M25" s="119">
        <f>+K25+'10'!M25+L25</f>
        <v>0</v>
      </c>
      <c r="P25" s="151" t="s">
        <v>540</v>
      </c>
      <c r="Q25" s="151">
        <f>480-Q24</f>
        <v>0</v>
      </c>
      <c r="R25" s="151">
        <f>+R24/Q24</f>
        <v>1400</v>
      </c>
      <c r="S25" s="151">
        <f>+S24/Q24</f>
        <v>1064</v>
      </c>
    </row>
    <row r="26" spans="1:19" ht="13.5" thickBot="1">
      <c r="A26" s="782"/>
      <c r="B26" s="215"/>
      <c r="C26" s="224"/>
      <c r="D26" s="217"/>
      <c r="E26" s="225"/>
      <c r="F26" s="229">
        <v>18</v>
      </c>
      <c r="G26" s="550" t="s">
        <v>11</v>
      </c>
      <c r="H26" s="551" t="s">
        <v>541</v>
      </c>
      <c r="I26" s="785"/>
      <c r="J26" s="214">
        <f>+'10'!J26</f>
        <v>0</v>
      </c>
      <c r="K26" s="227"/>
      <c r="L26" s="227"/>
      <c r="M26" s="119">
        <f>+K26+'10'!M26+L26</f>
        <v>0</v>
      </c>
    </row>
    <row r="27" spans="1:19" ht="51.75" thickBot="1">
      <c r="A27" s="782"/>
      <c r="B27" s="215"/>
      <c r="C27" s="216"/>
      <c r="D27" s="217"/>
      <c r="E27" s="223"/>
      <c r="F27" s="229"/>
      <c r="G27" s="548"/>
      <c r="H27" s="551" t="s">
        <v>536</v>
      </c>
      <c r="I27" s="785"/>
      <c r="J27" s="214">
        <f>+'10'!J27</f>
        <v>0</v>
      </c>
      <c r="K27" s="227"/>
      <c r="L27" s="227"/>
      <c r="M27" s="119">
        <f>+K27+'10'!M27+L27</f>
        <v>0</v>
      </c>
      <c r="N27" s="151" t="s">
        <v>274</v>
      </c>
      <c r="O27" s="151">
        <v>1400</v>
      </c>
      <c r="P27" s="151">
        <f>+O27-O27*0.24</f>
        <v>1064</v>
      </c>
      <c r="Q27" s="151">
        <v>480</v>
      </c>
      <c r="R27" s="151">
        <f>+O27*Q27</f>
        <v>672000</v>
      </c>
      <c r="S27" s="151">
        <f>+P27*Q27</f>
        <v>510720</v>
      </c>
    </row>
    <row r="28" spans="1:19" ht="13.5" thickBot="1">
      <c r="A28" s="782"/>
      <c r="B28" s="215"/>
      <c r="C28" s="216"/>
      <c r="D28" s="217"/>
      <c r="E28" s="223"/>
      <c r="F28" s="226"/>
      <c r="G28" s="230"/>
      <c r="H28" s="228"/>
      <c r="I28" s="785"/>
      <c r="J28" s="214">
        <f>+'10'!J28</f>
        <v>0</v>
      </c>
      <c r="K28" s="237"/>
      <c r="L28" s="237"/>
      <c r="M28" s="119">
        <f>+K28+'10'!M28+L28</f>
        <v>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+'10'!J29</f>
        <v>0</v>
      </c>
      <c r="K29" s="237"/>
      <c r="L29" s="237"/>
      <c r="M29" s="119">
        <f>+K29+'10'!M29+L29</f>
        <v>0</v>
      </c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+'10'!J30</f>
        <v>0</v>
      </c>
      <c r="K30" s="238"/>
      <c r="L30" s="238"/>
      <c r="M30" s="119">
        <f>+K30+'10'!M30+L30</f>
        <v>0</v>
      </c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+'10'!J31</f>
        <v>0</v>
      </c>
      <c r="K31" s="237"/>
      <c r="L31" s="237"/>
      <c r="M31" s="119">
        <f>+K31+'10'!M31+L31</f>
        <v>0</v>
      </c>
    </row>
    <row r="32" spans="1:19" ht="13.5" thickBot="1">
      <c r="A32" s="783"/>
      <c r="B32" s="167" t="s">
        <v>2</v>
      </c>
      <c r="C32" s="101">
        <f>SUM(C25:C31)</f>
        <v>15091</v>
      </c>
      <c r="D32" s="102">
        <f>SUM(D25:D31)</f>
        <v>0</v>
      </c>
      <c r="E32" s="103">
        <f>SUM(E25:E31)</f>
        <v>0</v>
      </c>
      <c r="F32" s="101">
        <f>SUM(F24:F31)</f>
        <v>18</v>
      </c>
      <c r="G32" s="171"/>
      <c r="H32" s="172"/>
      <c r="I32" s="170"/>
      <c r="J32" s="214">
        <f>+'10'!J32</f>
        <v>0</v>
      </c>
      <c r="K32" s="237"/>
      <c r="L32" s="237"/>
      <c r="M32" s="119">
        <f>+K32+'10'!M32+L32</f>
        <v>0</v>
      </c>
    </row>
    <row r="33" spans="1:19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9" ht="13.5" thickBot="1">
      <c r="A34" s="788" t="s">
        <v>58</v>
      </c>
      <c r="B34" s="789"/>
      <c r="C34" s="109">
        <f>C14+C23+C32</f>
        <v>42121</v>
      </c>
      <c r="D34" s="109">
        <f>D14+D23+D32</f>
        <v>1000</v>
      </c>
      <c r="E34" s="109">
        <f>E14+E23+E32</f>
        <v>0</v>
      </c>
      <c r="F34" s="110">
        <f>F14+F23+F32</f>
        <v>45</v>
      </c>
      <c r="H34" s="178"/>
      <c r="I34" s="178"/>
      <c r="J34" s="125" t="s">
        <v>27</v>
      </c>
      <c r="K34" s="126">
        <f>SUM(K7:K32)</f>
        <v>42121</v>
      </c>
      <c r="L34" s="212">
        <f>SUM(L7:L32)</f>
        <v>0</v>
      </c>
      <c r="M34" s="122">
        <f>SUM(M7:M32)</f>
        <v>544633</v>
      </c>
    </row>
    <row r="35" spans="1:19" ht="13.5" thickBot="1">
      <c r="A35" s="179"/>
      <c r="B35" s="180"/>
      <c r="C35" s="106">
        <f>C34/($C$34+$D$34+$E$34)</f>
        <v>0.97680944319473106</v>
      </c>
      <c r="D35" s="106">
        <f>D34/($C$34+$D$34+$E$34)</f>
        <v>2.3190556805268894E-2</v>
      </c>
      <c r="E35" s="111">
        <f>E34/($C$34+$D$34+$E$34)</f>
        <v>0</v>
      </c>
      <c r="K35" s="157"/>
      <c r="Q35" s="151">
        <f>SUM(Q27:Q34)</f>
        <v>480</v>
      </c>
      <c r="R35" s="151">
        <f>SUM(R27:R34)</f>
        <v>672000</v>
      </c>
      <c r="S35" s="151">
        <f>SUM(S27:S34)</f>
        <v>510720</v>
      </c>
    </row>
    <row r="36" spans="1:19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  <c r="P36" s="151" t="s">
        <v>540</v>
      </c>
      <c r="Q36" s="151">
        <f>480-Q35</f>
        <v>0</v>
      </c>
      <c r="R36" s="151">
        <f>+R35/Q35</f>
        <v>1400</v>
      </c>
      <c r="S36" s="151">
        <f>+S35/Q35</f>
        <v>1064</v>
      </c>
    </row>
    <row r="37" spans="1:19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+I37+'10'!J37</f>
        <v>596.40280119687509</v>
      </c>
      <c r="K37" s="128" t="s">
        <v>64</v>
      </c>
    </row>
    <row r="38" spans="1:19" ht="17.45" customHeight="1">
      <c r="A38" s="779" t="s">
        <v>11</v>
      </c>
      <c r="B38" s="780"/>
      <c r="C38" s="166">
        <f>SUMIF($G$7:$G$31,"Process",$F$7:$F$31)</f>
        <v>45</v>
      </c>
      <c r="D38" s="120">
        <f>+C38+'10'!D38</f>
        <v>378</v>
      </c>
      <c r="E38" s="145">
        <f t="shared" ref="E38:E51" si="0">D38/60</f>
        <v>6.3</v>
      </c>
      <c r="F38" s="330">
        <v>1400</v>
      </c>
      <c r="G38" s="330">
        <v>1064</v>
      </c>
      <c r="H38" s="187" t="s">
        <v>65</v>
      </c>
      <c r="I38" s="243">
        <f>15.154+15.523+16.178</f>
        <v>46.855000000000004</v>
      </c>
      <c r="J38" s="129">
        <f>+I38+'10'!J38</f>
        <v>555.803</v>
      </c>
      <c r="K38" s="130" t="s">
        <v>64</v>
      </c>
    </row>
    <row r="39" spans="1:19" ht="17.45" customHeight="1">
      <c r="A39" s="775" t="s">
        <v>12</v>
      </c>
      <c r="B39" s="776"/>
      <c r="C39" s="166">
        <f>SUMIF($G$7:$G$31,"Cleaning",$F$7:$F$31)</f>
        <v>0</v>
      </c>
      <c r="D39" s="120">
        <f>+C39+'10'!D39</f>
        <v>0</v>
      </c>
      <c r="E39" s="145">
        <f t="shared" si="0"/>
        <v>0</v>
      </c>
      <c r="F39" s="330">
        <v>1400</v>
      </c>
      <c r="G39" s="330">
        <v>1064</v>
      </c>
      <c r="H39" s="187" t="s">
        <v>66</v>
      </c>
      <c r="I39" s="144"/>
      <c r="J39" s="131">
        <f>J37/G4</f>
        <v>54.218436472443187</v>
      </c>
      <c r="K39" s="132" t="s">
        <v>64</v>
      </c>
    </row>
    <row r="40" spans="1:19" ht="17.45" customHeight="1">
      <c r="A40" s="775" t="s">
        <v>67</v>
      </c>
      <c r="B40" s="776"/>
      <c r="C40" s="166">
        <f>SUMIF($G$7:$G$31,"Mechanical",$F$7:$F$31)</f>
        <v>0</v>
      </c>
      <c r="D40" s="120">
        <f ca="1">+C40+'10'!D40</f>
        <v>0</v>
      </c>
      <c r="E40" s="145">
        <f t="shared" ca="1" si="0"/>
        <v>0</v>
      </c>
      <c r="F40" s="330">
        <v>1400</v>
      </c>
      <c r="G40" s="330">
        <v>1064</v>
      </c>
      <c r="H40" s="187" t="s">
        <v>68</v>
      </c>
      <c r="I40" s="120">
        <f>(K34+L34)/1000</f>
        <v>42.121000000000002</v>
      </c>
      <c r="J40" s="133">
        <f>+I40+'10'!J40</f>
        <v>544.63299999999992</v>
      </c>
      <c r="K40" s="132" t="s">
        <v>64</v>
      </c>
    </row>
    <row r="41" spans="1:19" ht="17.45" customHeight="1">
      <c r="A41" s="775" t="s">
        <v>69</v>
      </c>
      <c r="B41" s="776"/>
      <c r="C41" s="166">
        <f>SUMIF($G$7:$G$31,"Electrical",$F$7:$F$31)</f>
        <v>0</v>
      </c>
      <c r="D41" s="120">
        <f ca="1">+C41+'10'!D41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131">
        <f>J40/G4</f>
        <v>49.512090909090901</v>
      </c>
      <c r="K41" s="132" t="s">
        <v>64</v>
      </c>
    </row>
    <row r="42" spans="1:19" ht="17.45" customHeight="1">
      <c r="A42" s="775" t="s">
        <v>15</v>
      </c>
      <c r="B42" s="776"/>
      <c r="C42" s="166">
        <f>SUMIF($G$7:$G$31,"Instrument",$F$7:$F$31)</f>
        <v>0</v>
      </c>
      <c r="D42" s="120">
        <f ca="1">+C42+'10'!D42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9" ht="17.45" customHeight="1">
      <c r="A43" s="775" t="s">
        <v>73</v>
      </c>
      <c r="B43" s="776"/>
      <c r="C43" s="166">
        <f>SUMIF($G$7:$G$31,"Water",$F$7:$F$31)</f>
        <v>0</v>
      </c>
      <c r="D43" s="120">
        <f ca="1">+C43+'10'!D43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+Report1!Z19</f>
        <v>120.2</v>
      </c>
      <c r="J43" s="135">
        <f>+I43+'10'!J43</f>
        <v>1372.0000000000002</v>
      </c>
      <c r="K43" s="132" t="s">
        <v>64</v>
      </c>
      <c r="L43" s="189"/>
    </row>
    <row r="44" spans="1:19" ht="17.45" customHeight="1">
      <c r="A44" s="775" t="s">
        <v>16</v>
      </c>
      <c r="B44" s="776"/>
      <c r="C44" s="166">
        <f>SUMIF($G$7:$G$31,"PLN",$F$7:$F$31)</f>
        <v>0</v>
      </c>
      <c r="D44" s="120">
        <f>+C44+'10'!D44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2.565361220787536</v>
      </c>
      <c r="J44" s="136">
        <f>J43/J38</f>
        <v>2.468500529863999</v>
      </c>
      <c r="K44" s="132" t="s">
        <v>64</v>
      </c>
    </row>
    <row r="45" spans="1:19" ht="17.45" customHeight="1">
      <c r="A45" s="775" t="s">
        <v>17</v>
      </c>
      <c r="B45" s="776"/>
      <c r="C45" s="166">
        <f>SUMIF($G$7:$G$31,"Boiler",$F$7:$F$31)</f>
        <v>0</v>
      </c>
      <c r="D45" s="120">
        <f>+C45+'10'!D45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2.8536834358158636</v>
      </c>
      <c r="J45" s="136">
        <f>J43/J40</f>
        <v>2.5191275592922215</v>
      </c>
      <c r="K45" s="132" t="s">
        <v>64</v>
      </c>
    </row>
    <row r="46" spans="1:19" ht="17.45" customHeight="1">
      <c r="A46" s="775" t="s">
        <v>77</v>
      </c>
      <c r="B46" s="776"/>
      <c r="C46" s="166">
        <f>SUMIF($G$7:$G$31,"Gas",$F$7:$F$31)</f>
        <v>0</v>
      </c>
      <c r="D46" s="120">
        <f>+C46+'10'!D46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+SUMIF(Listrik!AN18,"&gt;0")</f>
        <v>48587.583550602532</v>
      </c>
      <c r="J46" s="137">
        <f>+I46+'10'!J46</f>
        <v>477926.09991160053</v>
      </c>
      <c r="K46" s="132" t="s">
        <v>79</v>
      </c>
    </row>
    <row r="47" spans="1:19" ht="17.45" customHeight="1">
      <c r="A47" s="775" t="s">
        <v>80</v>
      </c>
      <c r="B47" s="776"/>
      <c r="C47" s="166">
        <f>SUMIF($G$7:$G$31,"Gas",$F$7:$F$31)</f>
        <v>0</v>
      </c>
      <c r="D47" s="120">
        <f>+C47+'10'!D47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1036.9775595049093</v>
      </c>
      <c r="J47" s="137">
        <f>J46/J38</f>
        <v>859.88398751284274</v>
      </c>
      <c r="K47" s="132" t="s">
        <v>23</v>
      </c>
    </row>
    <row r="48" spans="1:19" ht="17.45" customHeight="1">
      <c r="A48" s="775" t="s">
        <v>13</v>
      </c>
      <c r="B48" s="776"/>
      <c r="C48" s="166">
        <f>SUMIF($G$7:$G$31,"Start Up",$F$7:$F$31)</f>
        <v>0</v>
      </c>
      <c r="D48" s="120">
        <f>+C48+'10'!D48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1153.5239797393824</v>
      </c>
      <c r="J48" s="137">
        <f>J46/J40</f>
        <v>877.51954051921314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+C49+'10'!D49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+I49+'10'!J49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+C50+'10'!D50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+C51+'10'!D51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45</v>
      </c>
      <c r="D52" s="146">
        <f ca="1">SUM(D38:D51)</f>
        <v>496</v>
      </c>
      <c r="E52" s="147">
        <f ca="1">SUM(E38:E51)</f>
        <v>8.2666666666666657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3.125E-2</v>
      </c>
      <c r="D53" s="148">
        <f ca="1">D52/(24*60*G4)</f>
        <v>3.1313131313131314E-2</v>
      </c>
      <c r="E53" s="149">
        <f ca="1">E52/(G4*24)</f>
        <v>3.1313131313131307E-2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+D34+'10'!J56</f>
        <v>1650</v>
      </c>
      <c r="K56" s="201">
        <f>J56/(J40+J56/1000)/1000</f>
        <v>3.0204124968194147E-3</v>
      </c>
    </row>
    <row r="57" spans="1:11">
      <c r="A57" s="176"/>
      <c r="I57" s="199" t="s">
        <v>90</v>
      </c>
      <c r="J57" s="200">
        <f>+E34+'10'!J57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14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10</v>
      </c>
      <c r="H4" s="156" t="str">
        <f>+'1'!H4</f>
        <v>.12.25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426+415+385</f>
        <v>1226</v>
      </c>
    </row>
    <row r="7" spans="1:18" ht="13.5" customHeight="1" thickBot="1">
      <c r="A7" s="781" t="s">
        <v>424</v>
      </c>
      <c r="B7" s="215" t="s">
        <v>383</v>
      </c>
      <c r="C7" s="216">
        <v>14206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+'9'!J7</f>
        <v>F 15 VP OW</v>
      </c>
      <c r="K7" s="236"/>
      <c r="L7" s="240"/>
      <c r="M7" s="119">
        <f>+K7+'9'!M7+L7</f>
        <v>24540</v>
      </c>
    </row>
    <row r="8" spans="1:18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+'9'!J8</f>
        <v>T 12,5 VP OW</v>
      </c>
      <c r="K8" s="237"/>
      <c r="L8" s="237"/>
      <c r="M8" s="119">
        <f>+K8+'9'!M8+L8</f>
        <v>35627</v>
      </c>
      <c r="N8" s="151">
        <v>1400</v>
      </c>
      <c r="O8" s="151">
        <f>+N8-N8*0.24</f>
        <v>1064</v>
      </c>
    </row>
    <row r="9" spans="1:18" ht="13.5" thickBot="1">
      <c r="A9" s="782"/>
      <c r="B9" s="215"/>
      <c r="C9" s="216"/>
      <c r="D9" s="217"/>
      <c r="E9" s="220"/>
      <c r="F9" s="229">
        <v>14</v>
      </c>
      <c r="G9" s="550" t="s">
        <v>11</v>
      </c>
      <c r="H9" s="551" t="s">
        <v>416</v>
      </c>
      <c r="I9" s="785"/>
      <c r="J9" s="214" t="str">
        <f>+'9'!J9</f>
        <v>T 14 VP OW</v>
      </c>
      <c r="K9" s="237"/>
      <c r="L9" s="237"/>
      <c r="M9" s="119">
        <f>+K9+'9'!M9+L9</f>
        <v>186632</v>
      </c>
    </row>
    <row r="10" spans="1:18" ht="12.75" customHeight="1" thickBot="1">
      <c r="A10" s="782"/>
      <c r="B10" s="215"/>
      <c r="C10" s="216"/>
      <c r="D10" s="217"/>
      <c r="E10" s="219"/>
      <c r="F10" s="229"/>
      <c r="G10" s="548"/>
      <c r="H10" s="551" t="s">
        <v>506</v>
      </c>
      <c r="I10" s="785"/>
      <c r="J10" s="214" t="str">
        <f>+'9'!J10</f>
        <v>F 12 VP OW</v>
      </c>
      <c r="K10" s="237">
        <f>+C34</f>
        <v>49491</v>
      </c>
      <c r="L10" s="237"/>
      <c r="M10" s="119">
        <f>+K10+'9'!M10+L10</f>
        <v>206582</v>
      </c>
      <c r="P10" s="176"/>
    </row>
    <row r="11" spans="1:18" ht="12.75" customHeight="1" thickBot="1">
      <c r="A11" s="782"/>
      <c r="B11" s="215"/>
      <c r="C11" s="216"/>
      <c r="D11" s="217"/>
      <c r="E11" s="219"/>
      <c r="F11" s="476"/>
      <c r="G11" s="477"/>
      <c r="H11" s="228" t="s">
        <v>532</v>
      </c>
      <c r="I11" s="785"/>
      <c r="J11" s="214" t="str">
        <f>+'9'!J11</f>
        <v>T 18 VP OW</v>
      </c>
      <c r="K11" s="237"/>
      <c r="L11" s="237"/>
      <c r="M11" s="119">
        <f>+K11+'9'!M11+L11</f>
        <v>21393</v>
      </c>
      <c r="Q11" s="176"/>
      <c r="R11" s="176"/>
    </row>
    <row r="12" spans="1:18" ht="12.75" customHeight="1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+'9'!J12</f>
        <v>F 13 VP OW</v>
      </c>
      <c r="K12" s="237"/>
      <c r="L12" s="237"/>
      <c r="M12" s="119">
        <f>+K12+'9'!M12+L12</f>
        <v>27738</v>
      </c>
    </row>
    <row r="13" spans="1:18" ht="12.75" customHeight="1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+'9'!J13</f>
        <v>0</v>
      </c>
      <c r="K13" s="237"/>
      <c r="L13" s="237"/>
      <c r="M13" s="119">
        <f>+K13+'9'!M13+L13</f>
        <v>0</v>
      </c>
    </row>
    <row r="14" spans="1:18" ht="12.75" customHeight="1" thickBot="1">
      <c r="A14" s="783"/>
      <c r="B14" s="167" t="s">
        <v>2</v>
      </c>
      <c r="C14" s="101">
        <f>SUM(C7:C13)</f>
        <v>14206</v>
      </c>
      <c r="D14" s="113">
        <f>SUM(D7:D13)</f>
        <v>0</v>
      </c>
      <c r="E14" s="114">
        <f>SUM(E9:E13)</f>
        <v>0</v>
      </c>
      <c r="F14" s="104">
        <f>SUM(F6:F13)</f>
        <v>14</v>
      </c>
      <c r="G14" s="161"/>
      <c r="H14" s="168"/>
      <c r="I14" s="169"/>
      <c r="J14" s="214">
        <f>+'9'!J14</f>
        <v>0</v>
      </c>
      <c r="K14" s="237"/>
      <c r="L14" s="237"/>
      <c r="M14" s="119">
        <f>+K14+'9'!M14+L14</f>
        <v>0</v>
      </c>
    </row>
    <row r="15" spans="1:18" ht="12.75" customHeight="1" thickBot="1">
      <c r="A15" s="787" t="s">
        <v>425</v>
      </c>
      <c r="B15" s="506"/>
      <c r="C15" s="553">
        <f>C14/($C$32+$D$32+$E$32)</f>
        <v>0.67644397885814966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+'9'!J15</f>
        <v>0</v>
      </c>
      <c r="K15" s="237"/>
      <c r="L15" s="237"/>
      <c r="M15" s="119">
        <f>+K15+'9'!M15+L15</f>
        <v>0</v>
      </c>
    </row>
    <row r="16" spans="1:18" ht="12.75" customHeight="1" thickBot="1">
      <c r="A16" s="782"/>
      <c r="B16" s="215" t="s">
        <v>383</v>
      </c>
      <c r="C16" s="507">
        <v>14284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+'9'!J16</f>
        <v>0</v>
      </c>
      <c r="K16" s="227"/>
      <c r="L16" s="227"/>
      <c r="M16" s="119">
        <f>+K16+'9'!M16+L16</f>
        <v>0</v>
      </c>
      <c r="N16" s="176"/>
      <c r="O16" s="176"/>
      <c r="P16" s="176"/>
    </row>
    <row r="17" spans="1:18" ht="12.75" customHeight="1" thickBot="1">
      <c r="A17" s="782"/>
      <c r="B17" s="215"/>
      <c r="C17" s="216"/>
      <c r="D17" s="217"/>
      <c r="E17" s="223"/>
      <c r="F17" s="229">
        <v>7</v>
      </c>
      <c r="G17" s="550" t="s">
        <v>11</v>
      </c>
      <c r="H17" s="551" t="s">
        <v>416</v>
      </c>
      <c r="I17" s="785"/>
      <c r="J17" s="214">
        <f>+'9'!J17</f>
        <v>0</v>
      </c>
      <c r="K17" s="227"/>
      <c r="L17" s="227"/>
      <c r="M17" s="119">
        <f>+K17+'9'!M17+L17</f>
        <v>0</v>
      </c>
    </row>
    <row r="18" spans="1:18" ht="12.75" customHeight="1" thickBot="1">
      <c r="A18" s="782"/>
      <c r="B18" s="215"/>
      <c r="C18" s="216"/>
      <c r="D18" s="217"/>
      <c r="E18" s="223"/>
      <c r="F18" s="229"/>
      <c r="G18" s="548"/>
      <c r="H18" s="551" t="s">
        <v>506</v>
      </c>
      <c r="I18" s="785"/>
      <c r="J18" s="214">
        <f>+'9'!J18</f>
        <v>0</v>
      </c>
      <c r="K18" s="237"/>
      <c r="L18" s="237"/>
      <c r="M18" s="119">
        <f>+K18+'9'!M18+L18</f>
        <v>0</v>
      </c>
    </row>
    <row r="19" spans="1:18" ht="12.75" customHeight="1" thickBot="1">
      <c r="A19" s="782"/>
      <c r="B19" s="215"/>
      <c r="C19" s="216"/>
      <c r="D19" s="217"/>
      <c r="E19" s="223"/>
      <c r="F19" s="226"/>
      <c r="G19" s="230"/>
      <c r="H19" s="228"/>
      <c r="I19" s="785"/>
      <c r="J19" s="214">
        <f>+'9'!J19</f>
        <v>0</v>
      </c>
      <c r="K19" s="237"/>
      <c r="L19" s="237"/>
      <c r="M19" s="119">
        <f>+K19+'9'!M19+L19</f>
        <v>0</v>
      </c>
    </row>
    <row r="20" spans="1:18" ht="12.75" customHeight="1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+'9'!J20</f>
        <v>0</v>
      </c>
      <c r="K20" s="238"/>
      <c r="L20" s="238"/>
      <c r="M20" s="119">
        <f>+K20+'9'!M20+L20</f>
        <v>0</v>
      </c>
    </row>
    <row r="21" spans="1:18" ht="12.75" customHeight="1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+'9'!J21</f>
        <v>0</v>
      </c>
      <c r="K21" s="237"/>
      <c r="L21" s="237"/>
      <c r="M21" s="119">
        <f>+K21+'9'!M21+L21</f>
        <v>0</v>
      </c>
    </row>
    <row r="22" spans="1:18" ht="12.75" customHeight="1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+'9'!J22</f>
        <v>0</v>
      </c>
      <c r="K22" s="237"/>
      <c r="L22" s="237"/>
      <c r="M22" s="119">
        <f>+K22+'9'!M22+L22</f>
        <v>0</v>
      </c>
    </row>
    <row r="23" spans="1:18" ht="12.75" customHeight="1" thickBot="1">
      <c r="A23" s="783"/>
      <c r="B23" s="167" t="s">
        <v>2</v>
      </c>
      <c r="C23" s="101">
        <f>SUM(C16:C22)</f>
        <v>14284</v>
      </c>
      <c r="D23" s="113">
        <f>SUM(D16:D22)</f>
        <v>0</v>
      </c>
      <c r="E23" s="114">
        <f>SUM(E18:E22)</f>
        <v>0</v>
      </c>
      <c r="F23" s="104">
        <f>SUM(F15:F22)</f>
        <v>7</v>
      </c>
      <c r="G23" s="161"/>
      <c r="H23" s="168"/>
      <c r="I23" s="170"/>
      <c r="J23" s="214">
        <f>+'9'!J23</f>
        <v>0</v>
      </c>
      <c r="K23" s="237"/>
      <c r="L23" s="237"/>
      <c r="M23" s="119">
        <f>+K23+'9'!M23+L23</f>
        <v>0</v>
      </c>
    </row>
    <row r="24" spans="1:18" ht="12.75" customHeight="1" thickBot="1">
      <c r="A24" s="787" t="s">
        <v>227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+'8'!J24</f>
        <v>0</v>
      </c>
      <c r="K24" s="237"/>
      <c r="L24" s="237"/>
      <c r="M24" s="119">
        <f>+K24+'9'!M24+L24</f>
        <v>0</v>
      </c>
    </row>
    <row r="25" spans="1:18" ht="12.75" customHeight="1" thickBot="1">
      <c r="A25" s="782"/>
      <c r="B25" s="215" t="s">
        <v>383</v>
      </c>
      <c r="C25" s="224">
        <v>21001</v>
      </c>
      <c r="D25" s="217"/>
      <c r="E25" s="223"/>
      <c r="F25" s="229">
        <v>2</v>
      </c>
      <c r="G25" s="550" t="s">
        <v>11</v>
      </c>
      <c r="H25" s="549" t="s">
        <v>446</v>
      </c>
      <c r="I25" s="785"/>
      <c r="J25" s="214">
        <f>+'8'!J25</f>
        <v>0</v>
      </c>
      <c r="K25" s="237"/>
      <c r="L25" s="237"/>
      <c r="M25" s="119">
        <f>+K25+'9'!M25+L25</f>
        <v>0</v>
      </c>
    </row>
    <row r="26" spans="1:18" ht="12.75" customHeight="1" thickBot="1">
      <c r="A26" s="782"/>
      <c r="B26" s="215"/>
      <c r="C26" s="224"/>
      <c r="D26" s="217"/>
      <c r="E26" s="225"/>
      <c r="F26" s="229">
        <v>14</v>
      </c>
      <c r="G26" s="550" t="s">
        <v>11</v>
      </c>
      <c r="H26" s="551" t="s">
        <v>414</v>
      </c>
      <c r="I26" s="785"/>
      <c r="J26" s="214">
        <f>+'8'!J26</f>
        <v>0</v>
      </c>
      <c r="K26" s="237"/>
      <c r="L26" s="237"/>
      <c r="M26" s="119">
        <f>+K26+'9'!M26+L26</f>
        <v>0</v>
      </c>
    </row>
    <row r="27" spans="1:18" ht="12.75" customHeight="1" thickBot="1">
      <c r="A27" s="782"/>
      <c r="B27" s="215"/>
      <c r="C27" s="216"/>
      <c r="D27" s="217"/>
      <c r="E27" s="223"/>
      <c r="F27" s="229"/>
      <c r="G27" s="548"/>
      <c r="H27" s="551" t="s">
        <v>506</v>
      </c>
      <c r="I27" s="785"/>
      <c r="J27" s="214">
        <f>+'8'!J27</f>
        <v>0</v>
      </c>
      <c r="K27" s="237"/>
      <c r="L27" s="237"/>
      <c r="M27" s="119">
        <f>+K27+'9'!M27+L27</f>
        <v>0</v>
      </c>
    </row>
    <row r="28" spans="1:18" ht="12.75" customHeight="1" thickBot="1">
      <c r="A28" s="782"/>
      <c r="B28" s="215"/>
      <c r="C28" s="216"/>
      <c r="D28" s="217"/>
      <c r="E28" s="223"/>
      <c r="F28" s="226"/>
      <c r="G28" s="230"/>
      <c r="H28" s="228" t="s">
        <v>533</v>
      </c>
      <c r="I28" s="785"/>
      <c r="J28" s="214">
        <f>+'8'!J28</f>
        <v>0</v>
      </c>
      <c r="K28" s="237"/>
      <c r="L28" s="237"/>
      <c r="M28" s="119">
        <f>+K28+'9'!M28+L28</f>
        <v>0</v>
      </c>
      <c r="P28" s="176"/>
    </row>
    <row r="29" spans="1:18" ht="12.75" customHeight="1" thickBot="1">
      <c r="A29" s="782"/>
      <c r="B29" s="215"/>
      <c r="C29" s="216"/>
      <c r="D29" s="217"/>
      <c r="E29" s="223"/>
      <c r="F29" s="234"/>
      <c r="G29" s="230"/>
      <c r="H29" s="231" t="s">
        <v>534</v>
      </c>
      <c r="I29" s="785"/>
      <c r="J29" s="214">
        <f>+'8'!J29</f>
        <v>0</v>
      </c>
      <c r="K29" s="237"/>
      <c r="L29" s="237"/>
      <c r="M29" s="119">
        <f>+K29+'9'!M29+L29</f>
        <v>0</v>
      </c>
      <c r="Q29" s="176"/>
      <c r="R29" s="176"/>
    </row>
    <row r="30" spans="1:18" ht="12.75" customHeight="1" thickBot="1">
      <c r="A30" s="782"/>
      <c r="B30" s="215"/>
      <c r="C30" s="224"/>
      <c r="D30" s="217"/>
      <c r="E30" s="223"/>
      <c r="F30" s="234"/>
      <c r="G30" s="230"/>
      <c r="H30" s="231" t="s">
        <v>535</v>
      </c>
      <c r="I30" s="785"/>
      <c r="J30" s="214">
        <f>+'8'!J30</f>
        <v>0</v>
      </c>
      <c r="K30" s="237"/>
      <c r="L30" s="237"/>
      <c r="M30" s="119">
        <f>+K30+'9'!M30+L30</f>
        <v>0</v>
      </c>
      <c r="N30" s="157"/>
    </row>
    <row r="31" spans="1:18" ht="12.75" customHeight="1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+'8'!J31</f>
        <v>0</v>
      </c>
      <c r="K31" s="237"/>
      <c r="L31" s="237"/>
      <c r="M31" s="119">
        <f>+K31+'9'!M31+L31</f>
        <v>0</v>
      </c>
    </row>
    <row r="32" spans="1:18" ht="12.75" customHeight="1" thickBot="1">
      <c r="A32" s="783"/>
      <c r="B32" s="167" t="s">
        <v>2</v>
      </c>
      <c r="C32" s="101">
        <f>SUM(C25:C31)</f>
        <v>21001</v>
      </c>
      <c r="D32" s="102">
        <f>SUM(D25:D31)</f>
        <v>0</v>
      </c>
      <c r="E32" s="103">
        <f>SUM(E25:E31)</f>
        <v>0</v>
      </c>
      <c r="F32" s="101">
        <f>SUM(F24:F31)</f>
        <v>16</v>
      </c>
      <c r="G32" s="171"/>
      <c r="H32" s="172"/>
      <c r="I32" s="170"/>
      <c r="J32" s="214">
        <f>+'8'!J32</f>
        <v>0</v>
      </c>
      <c r="K32" s="239"/>
      <c r="L32" s="241"/>
      <c r="M32" s="119">
        <f>+K32+'9'!M32+L32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49491</v>
      </c>
      <c r="D34" s="109">
        <f>D14+D23+D32</f>
        <v>0</v>
      </c>
      <c r="E34" s="109">
        <f>E14+E23+E32</f>
        <v>0</v>
      </c>
      <c r="F34" s="110">
        <f>F14+F23+F32</f>
        <v>37</v>
      </c>
      <c r="H34" s="178"/>
      <c r="I34" s="178"/>
      <c r="J34" s="125" t="s">
        <v>27</v>
      </c>
      <c r="K34" s="126">
        <f>SUM(K7:K32)</f>
        <v>49491</v>
      </c>
      <c r="L34" s="212">
        <f>SUM(L7:L32)</f>
        <v>0</v>
      </c>
      <c r="M34" s="122">
        <f>SUM(M7:M32)</f>
        <v>502512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341">
        <f>+I37+'9'!J37</f>
        <v>544.00292919687513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37</v>
      </c>
      <c r="D38" s="120">
        <f>+C38+'9'!D38</f>
        <v>333</v>
      </c>
      <c r="E38" s="145">
        <f t="shared" ref="E38:E51" si="0">D38/60</f>
        <v>5.55</v>
      </c>
      <c r="F38" s="330">
        <v>1400</v>
      </c>
      <c r="G38" s="330">
        <f>+F38-F38*0.24</f>
        <v>1064</v>
      </c>
      <c r="H38" s="187" t="s">
        <v>65</v>
      </c>
      <c r="I38" s="243">
        <f>16.262+16.195+17.506</f>
        <v>49.963000000000001</v>
      </c>
      <c r="J38" s="342">
        <f>+I38+'9'!J38</f>
        <v>508.94800000000004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+C39+'9'!D39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343">
        <f>J37/G4</f>
        <v>54.400292919687516</v>
      </c>
      <c r="K39" s="132" t="s">
        <v>64</v>
      </c>
    </row>
    <row r="40" spans="1:14" ht="17.45" customHeight="1">
      <c r="A40" s="775" t="s">
        <v>67</v>
      </c>
      <c r="B40" s="776"/>
      <c r="C40" s="166">
        <f ca="1">SUMIF($G$7:$G$31,"Mechanical",$F$7:$F$23)</f>
        <v>0</v>
      </c>
      <c r="D40" s="120">
        <f ca="1">+C40+'9'!D40</f>
        <v>0</v>
      </c>
      <c r="E40" s="145">
        <f t="shared" ca="1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+(K34+L34)/1000</f>
        <v>49.491</v>
      </c>
      <c r="J40" s="344">
        <f>+I40+'9'!J40</f>
        <v>502.51199999999994</v>
      </c>
      <c r="K40" s="132" t="s">
        <v>64</v>
      </c>
    </row>
    <row r="41" spans="1:14" ht="17.45" customHeight="1">
      <c r="A41" s="775" t="s">
        <v>69</v>
      </c>
      <c r="B41" s="776"/>
      <c r="C41" s="166">
        <f ca="1">SUMIF($G$7:$G$31,"Electrical",$F$7:$F$23)</f>
        <v>0</v>
      </c>
      <c r="D41" s="120">
        <f ca="1">+C41+'9'!D41</f>
        <v>110</v>
      </c>
      <c r="E41" s="145">
        <f t="shared" ca="1" si="0"/>
        <v>1.8333333333333333</v>
      </c>
      <c r="F41" s="330"/>
      <c r="G41" s="330"/>
      <c r="H41" s="187" t="s">
        <v>70</v>
      </c>
      <c r="I41" s="144"/>
      <c r="J41" s="343">
        <f>J40/G4</f>
        <v>50.251199999999997</v>
      </c>
      <c r="K41" s="132" t="s">
        <v>64</v>
      </c>
    </row>
    <row r="42" spans="1:14" ht="17.45" customHeight="1">
      <c r="A42" s="775" t="s">
        <v>15</v>
      </c>
      <c r="B42" s="776"/>
      <c r="C42" s="166">
        <f ca="1">SUMIF($G$7:$G$31,"Instrument",$F$7:$F$23)</f>
        <v>0</v>
      </c>
      <c r="D42" s="120">
        <f ca="1">+C42+'9'!D42</f>
        <v>0</v>
      </c>
      <c r="E42" s="145">
        <f t="shared" ca="1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345"/>
      <c r="K42" s="132" t="s">
        <v>72</v>
      </c>
    </row>
    <row r="43" spans="1:14" ht="17.45" customHeight="1">
      <c r="A43" s="775" t="s">
        <v>73</v>
      </c>
      <c r="B43" s="776"/>
      <c r="C43" s="166">
        <f ca="1">SUMIF($G$7:$G$31,"Water",$F$7:$F$23)</f>
        <v>0</v>
      </c>
      <c r="D43" s="120">
        <f ca="1">+C43+'9'!D43</f>
        <v>0</v>
      </c>
      <c r="E43" s="145">
        <f t="shared" ca="1" si="0"/>
        <v>0</v>
      </c>
      <c r="F43" s="330"/>
      <c r="G43" s="331"/>
      <c r="H43" s="188" t="s">
        <v>74</v>
      </c>
      <c r="I43" s="120">
        <f>+Report1!Z18</f>
        <v>119</v>
      </c>
      <c r="J43" s="346">
        <f>+I43+'9'!J43</f>
        <v>1251.8000000000002</v>
      </c>
      <c r="K43" s="132" t="s">
        <v>64</v>
      </c>
      <c r="L43" s="189"/>
    </row>
    <row r="44" spans="1:14">
      <c r="A44" s="775" t="s">
        <v>16</v>
      </c>
      <c r="B44" s="776"/>
      <c r="C44" s="166">
        <f>SUMIF($G$7:$G$23,"PLN",$F$7:$F$23)</f>
        <v>0</v>
      </c>
      <c r="D44" s="120">
        <f>+C44+'9'!D44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2.3817625042531474</v>
      </c>
      <c r="J44" s="346">
        <f>J43/J38</f>
        <v>2.4595832973113168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SUMIF($G$7:$G$23,"Boiler",$F$7:$F$23)</f>
        <v>0</v>
      </c>
      <c r="D45" s="120">
        <f>+C45+'9'!D45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2.4044775817825466</v>
      </c>
      <c r="J45" s="346">
        <f>J43/J40</f>
        <v>2.4910847900149653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SUMIF($G$7:$G$23,"Gas",$F$7:$F$23)</f>
        <v>0</v>
      </c>
      <c r="D46" s="120">
        <f>+C46+'9'!D46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+SUMIF(Listrik!AN17,"&gt;0")</f>
        <v>54581.959228257256</v>
      </c>
      <c r="J46" s="346">
        <f>+I46+'9'!J46</f>
        <v>429338.51636099798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SUMIF($G$7:$G$23,"Gas",$F$7:$F$23)</f>
        <v>0</v>
      </c>
      <c r="D47" s="120">
        <f>+C47+'9'!D47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1092.4475957860268</v>
      </c>
      <c r="J47" s="346">
        <f>J46/J38</f>
        <v>843.58031932731433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SUMIF($G$7:$G$23,"Start Up",$F$7:$F$23)</f>
        <v>0</v>
      </c>
      <c r="D48" s="120">
        <f>+C48+'9'!D48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1102.8663641522146</v>
      </c>
      <c r="J48" s="346">
        <f>J46/J40</f>
        <v>854.38460446914303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+C49+'9'!D49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346">
        <f>+I49+'9'!J49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SUMIF($G$7:$G$23,"Steam",$F$7:$F$23)</f>
        <v>0</v>
      </c>
      <c r="D50" s="120">
        <f>+C50+'9'!D50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346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SUMIF($G$7:$G$23,"Planned shut",$F$7:$F$23)</f>
        <v>0</v>
      </c>
      <c r="D51" s="120">
        <f>+C51+'9'!D51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347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 ca="1">SUM(C38:C51)</f>
        <v>37</v>
      </c>
      <c r="D52" s="146">
        <f ca="1">SUM(D38:D51)</f>
        <v>451</v>
      </c>
      <c r="E52" s="147">
        <f ca="1">SUM(E38:E51)</f>
        <v>7.5166666666666666</v>
      </c>
      <c r="F52" s="185"/>
      <c r="H52" s="191"/>
      <c r="I52" s="192"/>
      <c r="J52" s="348"/>
      <c r="K52" s="141"/>
    </row>
    <row r="53" spans="1:11" ht="13.5" thickBot="1">
      <c r="A53" s="773"/>
      <c r="B53" s="774"/>
      <c r="C53" s="148">
        <f ca="1">C52/(24*60)</f>
        <v>2.5694444444444443E-2</v>
      </c>
      <c r="D53" s="148">
        <f ca="1">D52/(24*60*G4)</f>
        <v>3.1319444444444441E-2</v>
      </c>
      <c r="E53" s="149">
        <f ca="1">E52/(G4*24)</f>
        <v>3.1319444444444441E-2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+D34+'9'!J56</f>
        <v>650</v>
      </c>
      <c r="K56" s="201">
        <f>J56/(J40+J56/1000)/1000</f>
        <v>1.291830464144749E-3</v>
      </c>
    </row>
    <row r="57" spans="1:11">
      <c r="A57" s="176"/>
      <c r="I57" s="199" t="s">
        <v>90</v>
      </c>
      <c r="J57" s="200"/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10.5703125" style="151" bestFit="1" customWidth="1"/>
    <col min="13" max="13" width="12.140625" style="151" customWidth="1"/>
    <col min="14" max="16384" width="9.140625" style="151"/>
  </cols>
  <sheetData>
    <row r="1" spans="1:15" ht="15.75">
      <c r="A1" s="150"/>
    </row>
    <row r="2" spans="1:15" ht="15.75">
      <c r="A2" s="150" t="s">
        <v>224</v>
      </c>
    </row>
    <row r="3" spans="1:15" ht="15">
      <c r="A3" s="152"/>
    </row>
    <row r="4" spans="1:15" ht="20.25">
      <c r="A4" s="153" t="s">
        <v>3</v>
      </c>
      <c r="B4" s="154"/>
      <c r="F4" s="155" t="s">
        <v>28</v>
      </c>
      <c r="G4" s="156">
        <v>9</v>
      </c>
      <c r="H4" s="156" t="str">
        <f>+'1'!H4</f>
        <v>.12.25</v>
      </c>
    </row>
    <row r="5" spans="1:15" ht="13.5" thickBot="1">
      <c r="C5" s="157"/>
      <c r="D5" s="157"/>
    </row>
    <row r="6" spans="1:15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331+404+377</f>
        <v>1112</v>
      </c>
    </row>
    <row r="7" spans="1:15" ht="13.5" customHeight="1" thickBot="1">
      <c r="A7" s="781" t="s">
        <v>424</v>
      </c>
      <c r="B7" s="215" t="s">
        <v>383</v>
      </c>
      <c r="C7" s="216">
        <v>16018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+'8'!J7</f>
        <v>F 15 VP OW</v>
      </c>
      <c r="K7" s="236"/>
      <c r="L7" s="240"/>
      <c r="M7" s="119">
        <f>+K7+'8'!M7+L7</f>
        <v>24540</v>
      </c>
    </row>
    <row r="8" spans="1:15" ht="13.5" thickBot="1">
      <c r="A8" s="782"/>
      <c r="B8" s="215"/>
      <c r="C8" s="216"/>
      <c r="D8" s="217"/>
      <c r="E8" s="219"/>
      <c r="F8" s="229">
        <v>2</v>
      </c>
      <c r="G8" s="550" t="s">
        <v>11</v>
      </c>
      <c r="H8" s="549" t="s">
        <v>478</v>
      </c>
      <c r="I8" s="785"/>
      <c r="J8" s="214" t="str">
        <f>+'8'!J8</f>
        <v>T 12,5 VP OW</v>
      </c>
      <c r="K8" s="237"/>
      <c r="L8" s="237"/>
      <c r="M8" s="119">
        <f>+K8+'8'!M8+L8</f>
        <v>35627</v>
      </c>
      <c r="N8" s="522">
        <v>1400</v>
      </c>
      <c r="O8" s="151">
        <f>+N8-N8*0.24</f>
        <v>1064</v>
      </c>
    </row>
    <row r="9" spans="1:15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416</v>
      </c>
      <c r="I9" s="785"/>
      <c r="J9" s="214" t="str">
        <f>+'8'!J9</f>
        <v>T 14 VP OW</v>
      </c>
      <c r="K9" s="237"/>
      <c r="L9" s="237"/>
      <c r="M9" s="119">
        <f>+K9+'8'!M9+L9</f>
        <v>186632</v>
      </c>
    </row>
    <row r="10" spans="1:15" ht="13.5" thickBot="1">
      <c r="A10" s="782"/>
      <c r="B10" s="215"/>
      <c r="C10" s="216"/>
      <c r="D10" s="217"/>
      <c r="E10" s="219"/>
      <c r="F10" s="229"/>
      <c r="G10" s="548"/>
      <c r="H10" s="551" t="s">
        <v>506</v>
      </c>
      <c r="I10" s="785"/>
      <c r="J10" s="214" t="str">
        <f>+'8'!J10</f>
        <v>F 12 VP OW</v>
      </c>
      <c r="K10" s="237">
        <f>+C34</f>
        <v>49234</v>
      </c>
      <c r="L10" s="237"/>
      <c r="M10" s="119">
        <f>+K10+'8'!M10+L10</f>
        <v>157091</v>
      </c>
    </row>
    <row r="11" spans="1:15" ht="13.5" thickBot="1">
      <c r="A11" s="782"/>
      <c r="B11" s="215"/>
      <c r="C11" s="216"/>
      <c r="D11" s="217"/>
      <c r="E11" s="219"/>
      <c r="F11" s="476"/>
      <c r="G11" s="477"/>
      <c r="H11" s="228" t="s">
        <v>528</v>
      </c>
      <c r="I11" s="785"/>
      <c r="J11" s="214" t="str">
        <f>+'8'!J11</f>
        <v>T 18 VP OW</v>
      </c>
      <c r="K11" s="237"/>
      <c r="L11" s="237"/>
      <c r="M11" s="119">
        <f>+K11+'8'!M11+L11</f>
        <v>21393</v>
      </c>
    </row>
    <row r="12" spans="1:15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+'8'!J12</f>
        <v>F 13 VP OW</v>
      </c>
      <c r="K12" s="237"/>
      <c r="L12" s="237"/>
      <c r="M12" s="119">
        <f>+K12+'8'!M12+L12</f>
        <v>27738</v>
      </c>
    </row>
    <row r="13" spans="1:15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+'8'!J13</f>
        <v>0</v>
      </c>
      <c r="K13" s="237"/>
      <c r="L13" s="237"/>
      <c r="M13" s="119">
        <f>+K13+'8'!M13+L13</f>
        <v>0</v>
      </c>
    </row>
    <row r="14" spans="1:15" ht="13.5" thickBot="1">
      <c r="A14" s="783"/>
      <c r="B14" s="167" t="s">
        <v>2</v>
      </c>
      <c r="C14" s="101">
        <f>SUM(C7:C13)</f>
        <v>16018</v>
      </c>
      <c r="D14" s="113">
        <f>SUM(D7:D13)</f>
        <v>0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>
        <f>+'8'!J14</f>
        <v>0</v>
      </c>
      <c r="K14" s="237"/>
      <c r="L14" s="237"/>
      <c r="M14" s="119">
        <f>+K14+'8'!M14+L14</f>
        <v>0</v>
      </c>
    </row>
    <row r="15" spans="1:15" ht="13.5" thickBot="1">
      <c r="A15" s="787" t="s">
        <v>425</v>
      </c>
      <c r="B15" s="506"/>
      <c r="C15" s="553">
        <f>C14/($C$32+$D$32+$E$32)</f>
        <v>0.90866802813705472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+'8'!J15</f>
        <v>0</v>
      </c>
      <c r="K15" s="237"/>
      <c r="L15" s="237"/>
      <c r="M15" s="119">
        <f>+K15+'8'!M15+L15</f>
        <v>0</v>
      </c>
    </row>
    <row r="16" spans="1:15" ht="13.5" thickBot="1">
      <c r="A16" s="782"/>
      <c r="B16" s="215" t="s">
        <v>383</v>
      </c>
      <c r="C16" s="507">
        <v>15588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+'8'!J16</f>
        <v>0</v>
      </c>
      <c r="K16" s="227"/>
      <c r="L16" s="227"/>
      <c r="M16" s="119">
        <f>+K16+'8'!M16+L16</f>
        <v>0</v>
      </c>
      <c r="N16" s="522"/>
    </row>
    <row r="17" spans="1:14" ht="13.5" thickBot="1">
      <c r="A17" s="782"/>
      <c r="B17" s="215"/>
      <c r="C17" s="216"/>
      <c r="D17" s="217"/>
      <c r="E17" s="223"/>
      <c r="F17" s="229">
        <v>9</v>
      </c>
      <c r="G17" s="550" t="s">
        <v>11</v>
      </c>
      <c r="H17" s="551" t="s">
        <v>384</v>
      </c>
      <c r="I17" s="785"/>
      <c r="J17" s="214">
        <f>+'8'!J17</f>
        <v>0</v>
      </c>
      <c r="K17" s="227"/>
      <c r="L17" s="227"/>
      <c r="M17" s="119">
        <f>+K17+'8'!M17+L17</f>
        <v>0</v>
      </c>
    </row>
    <row r="18" spans="1:14" ht="13.5" thickBot="1">
      <c r="A18" s="782"/>
      <c r="B18" s="215"/>
      <c r="C18" s="216"/>
      <c r="D18" s="217"/>
      <c r="E18" s="223"/>
      <c r="F18" s="229"/>
      <c r="G18" s="548"/>
      <c r="H18" s="551" t="s">
        <v>506</v>
      </c>
      <c r="I18" s="785"/>
      <c r="J18" s="214">
        <f>+'8'!J18</f>
        <v>0</v>
      </c>
      <c r="K18" s="237"/>
      <c r="L18" s="237"/>
      <c r="M18" s="119">
        <f>+K18+'8'!M18+L18</f>
        <v>0</v>
      </c>
    </row>
    <row r="19" spans="1:14" ht="26.25" thickBot="1">
      <c r="A19" s="782"/>
      <c r="B19" s="215"/>
      <c r="C19" s="216"/>
      <c r="D19" s="217"/>
      <c r="E19" s="223"/>
      <c r="F19" s="226"/>
      <c r="G19" s="230"/>
      <c r="H19" s="228" t="s">
        <v>529</v>
      </c>
      <c r="I19" s="785"/>
      <c r="J19" s="214">
        <f>+'8'!J19</f>
        <v>0</v>
      </c>
      <c r="K19" s="237"/>
      <c r="L19" s="237"/>
      <c r="M19" s="119">
        <f>+K19+'8'!M19+L19</f>
        <v>0</v>
      </c>
    </row>
    <row r="20" spans="1:14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+'8'!J20</f>
        <v>0</v>
      </c>
      <c r="K20" s="238"/>
      <c r="L20" s="238"/>
      <c r="M20" s="119">
        <f>+K20+'8'!M20+L20</f>
        <v>0</v>
      </c>
    </row>
    <row r="21" spans="1:14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+'8'!J21</f>
        <v>0</v>
      </c>
      <c r="K21" s="237"/>
      <c r="L21" s="237"/>
      <c r="M21" s="119">
        <f>+K21+'8'!M21+L21</f>
        <v>0</v>
      </c>
    </row>
    <row r="22" spans="1:14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+'8'!J22</f>
        <v>0</v>
      </c>
      <c r="K22" s="237"/>
      <c r="L22" s="237"/>
      <c r="M22" s="119">
        <f>+K22+'8'!M22+L22</f>
        <v>0</v>
      </c>
    </row>
    <row r="23" spans="1:14" ht="13.5" thickBot="1">
      <c r="A23" s="783"/>
      <c r="B23" s="167" t="s">
        <v>2</v>
      </c>
      <c r="C23" s="101">
        <f>SUM(C16:C22)</f>
        <v>15588</v>
      </c>
      <c r="D23" s="113">
        <f>SUM(D16:D22)</f>
        <v>0</v>
      </c>
      <c r="E23" s="114">
        <f>SUM(E18:E22)</f>
        <v>0</v>
      </c>
      <c r="F23" s="104">
        <f>SUM(F15:F22)</f>
        <v>9</v>
      </c>
      <c r="G23" s="161"/>
      <c r="H23" s="168"/>
      <c r="I23" s="170"/>
      <c r="J23" s="214">
        <f>+'8'!J23</f>
        <v>0</v>
      </c>
      <c r="K23" s="237"/>
      <c r="L23" s="237"/>
      <c r="M23" s="119">
        <f>+K23+'8'!M23+L23</f>
        <v>0</v>
      </c>
    </row>
    <row r="24" spans="1:14" ht="13.5" thickBot="1">
      <c r="A24" s="787" t="s">
        <v>227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+'8'!J24</f>
        <v>0</v>
      </c>
      <c r="K24" s="237"/>
      <c r="L24" s="237"/>
      <c r="M24" s="119">
        <f>+K24+'8'!M24+L24</f>
        <v>0</v>
      </c>
    </row>
    <row r="25" spans="1:14" ht="13.5" thickBot="1">
      <c r="A25" s="782"/>
      <c r="B25" s="215" t="s">
        <v>383</v>
      </c>
      <c r="C25" s="224">
        <v>17628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+'8'!J25</f>
        <v>0</v>
      </c>
      <c r="K25" s="237"/>
      <c r="L25" s="237"/>
      <c r="M25" s="119">
        <f>+K25+'8'!M25+L25</f>
        <v>0</v>
      </c>
      <c r="N25" s="522"/>
    </row>
    <row r="26" spans="1:14" ht="13.5" thickBot="1">
      <c r="A26" s="782"/>
      <c r="B26" s="215"/>
      <c r="C26" s="224"/>
      <c r="D26" s="217"/>
      <c r="E26" s="225"/>
      <c r="F26" s="229">
        <v>12</v>
      </c>
      <c r="G26" s="550" t="s">
        <v>11</v>
      </c>
      <c r="H26" s="551" t="s">
        <v>414</v>
      </c>
      <c r="I26" s="785"/>
      <c r="J26" s="214">
        <f>+'8'!J26</f>
        <v>0</v>
      </c>
      <c r="K26" s="237"/>
      <c r="L26" s="237"/>
      <c r="M26" s="119">
        <f>+K26+'8'!M26+L26</f>
        <v>0</v>
      </c>
    </row>
    <row r="27" spans="1:14" ht="13.5" thickBot="1">
      <c r="A27" s="782"/>
      <c r="B27" s="215"/>
      <c r="C27" s="216"/>
      <c r="D27" s="217"/>
      <c r="E27" s="223"/>
      <c r="F27" s="229"/>
      <c r="G27" s="548"/>
      <c r="H27" s="551" t="s">
        <v>506</v>
      </c>
      <c r="I27" s="785"/>
      <c r="J27" s="214">
        <f>+'8'!J27</f>
        <v>0</v>
      </c>
      <c r="K27" s="237"/>
      <c r="L27" s="237"/>
      <c r="M27" s="119">
        <f>+K27+'8'!M27+L27</f>
        <v>0</v>
      </c>
    </row>
    <row r="28" spans="1:14" ht="13.5" thickBot="1">
      <c r="A28" s="782"/>
      <c r="B28" s="215"/>
      <c r="C28" s="216"/>
      <c r="D28" s="217"/>
      <c r="E28" s="223"/>
      <c r="F28" s="226"/>
      <c r="G28" s="230"/>
      <c r="H28" s="228" t="s">
        <v>530</v>
      </c>
      <c r="I28" s="785"/>
      <c r="J28" s="214">
        <f>+'8'!J28</f>
        <v>0</v>
      </c>
      <c r="K28" s="237"/>
      <c r="L28" s="237"/>
      <c r="M28" s="119">
        <f>+K28+'8'!M28+L28</f>
        <v>0</v>
      </c>
    </row>
    <row r="29" spans="1:14" ht="26.25" thickBot="1">
      <c r="A29" s="782"/>
      <c r="B29" s="215"/>
      <c r="C29" s="216"/>
      <c r="D29" s="217"/>
      <c r="E29" s="223"/>
      <c r="F29" s="234"/>
      <c r="G29" s="230"/>
      <c r="H29" s="231" t="s">
        <v>529</v>
      </c>
      <c r="I29" s="785"/>
      <c r="J29" s="214">
        <f>+'8'!J29</f>
        <v>0</v>
      </c>
      <c r="K29" s="237"/>
      <c r="L29" s="237"/>
      <c r="M29" s="119">
        <f>+K29+'8'!M29+L29</f>
        <v>0</v>
      </c>
    </row>
    <row r="30" spans="1:14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+'8'!J30</f>
        <v>0</v>
      </c>
      <c r="K30" s="237"/>
      <c r="L30" s="237"/>
      <c r="M30" s="119">
        <f>+K30+'8'!M30+L30</f>
        <v>0</v>
      </c>
      <c r="N30" s="157"/>
    </row>
    <row r="31" spans="1:14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+'8'!J31</f>
        <v>0</v>
      </c>
      <c r="K31" s="237"/>
      <c r="L31" s="237"/>
      <c r="M31" s="119">
        <f>+K31+'8'!M31+L31</f>
        <v>0</v>
      </c>
    </row>
    <row r="32" spans="1:14" ht="13.5" thickBot="1">
      <c r="A32" s="783"/>
      <c r="B32" s="167" t="s">
        <v>2</v>
      </c>
      <c r="C32" s="101">
        <f>SUM(C25:C31)</f>
        <v>17628</v>
      </c>
      <c r="D32" s="102">
        <f>SUM(D25:D31)</f>
        <v>0</v>
      </c>
      <c r="E32" s="103">
        <f>SUM(E25:E31)</f>
        <v>0</v>
      </c>
      <c r="F32" s="101">
        <f>SUM(F24:F31)</f>
        <v>12</v>
      </c>
      <c r="G32" s="171"/>
      <c r="H32" s="172"/>
      <c r="I32" s="170"/>
      <c r="J32" s="214">
        <f>+'8'!J32</f>
        <v>0</v>
      </c>
      <c r="K32" s="239"/>
      <c r="L32" s="241"/>
      <c r="M32" s="119">
        <f>+K32+'8'!M32+L32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49234</v>
      </c>
      <c r="D34" s="109">
        <f>D14+D23+D32</f>
        <v>0</v>
      </c>
      <c r="E34" s="109">
        <f>E14+E23+E32</f>
        <v>0</v>
      </c>
      <c r="F34" s="110">
        <f>F14+F23+F32</f>
        <v>33</v>
      </c>
      <c r="H34" s="178"/>
      <c r="I34" s="178"/>
      <c r="J34" s="125" t="s">
        <v>27</v>
      </c>
      <c r="K34" s="126">
        <f>SUM(K7:K32)</f>
        <v>49234</v>
      </c>
      <c r="L34" s="212">
        <f>SUM(L7:L32)</f>
        <v>0</v>
      </c>
      <c r="M34" s="122">
        <f>SUM(M7:M32)</f>
        <v>453021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+I37+'8'!J37</f>
        <v>491.60305719687511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33</v>
      </c>
      <c r="D38" s="120">
        <f>+C38+'8'!D38</f>
        <v>296</v>
      </c>
      <c r="E38" s="145">
        <f t="shared" ref="E38:E51" si="0">D38/60</f>
        <v>4.9333333333333336</v>
      </c>
      <c r="F38" s="330">
        <v>1400</v>
      </c>
      <c r="G38" s="330">
        <f>+F38-F38*0.24</f>
        <v>1064</v>
      </c>
      <c r="H38" s="187" t="s">
        <v>65</v>
      </c>
      <c r="I38" s="243">
        <f>15.758+15.859+15.826</f>
        <v>47.442999999999998</v>
      </c>
      <c r="J38" s="129">
        <f>+I38+'8'!J38</f>
        <v>458.98500000000001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+C39+'8'!D39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54.622561910763899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+C40+'8'!D40</f>
        <v>0</v>
      </c>
      <c r="E40" s="145">
        <f t="shared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49.234000000000002</v>
      </c>
      <c r="J40" s="133">
        <f>+I40+'8'!J40</f>
        <v>453.02099999999996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+C41+'8'!D41</f>
        <v>110</v>
      </c>
      <c r="E41" s="145">
        <f t="shared" si="0"/>
        <v>1.8333333333333333</v>
      </c>
      <c r="F41" s="330"/>
      <c r="G41" s="330"/>
      <c r="H41" s="187" t="s">
        <v>70</v>
      </c>
      <c r="I41" s="144"/>
      <c r="J41" s="131">
        <f>J40/G4</f>
        <v>50.335666666666661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+C42+'8'!D42</f>
        <v>0</v>
      </c>
      <c r="E42" s="145">
        <f t="shared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+C43+'8'!D43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+Report1!Z17</f>
        <v>121.2</v>
      </c>
      <c r="J43" s="135">
        <f>+I43+'8'!J43</f>
        <v>1132.8000000000002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+C44+'8'!D44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2.5546445207933735</v>
      </c>
      <c r="J44" s="136">
        <f>J43/J38</f>
        <v>2.4680545115853461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+C45+'8'!D45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2.4617134500548401</v>
      </c>
      <c r="J45" s="136">
        <f>J43/J40</f>
        <v>2.5005463322892321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+C46+'8'!D46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+SUMIF(Listrik!AN16,"&gt;0")</f>
        <v>51496.608204763412</v>
      </c>
      <c r="J46" s="137">
        <f>+I46+'8'!J46</f>
        <v>374756.55713274074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+C47+'8'!D47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1085.4416500803788</v>
      </c>
      <c r="J47" s="137">
        <f>J46/J38</f>
        <v>816.48977010739077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+C48+'8'!D48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1045.95621328276</v>
      </c>
      <c r="J48" s="137">
        <f>J46/J40</f>
        <v>827.2388192440103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+C49+'8'!D49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+I49+'8'!J49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+C50+'8'!D50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+C51+'8'!D51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33</v>
      </c>
      <c r="D52" s="146">
        <f>SUM(D38:D51)</f>
        <v>414</v>
      </c>
      <c r="E52" s="147">
        <f>SUM(E38:E51)</f>
        <v>6.9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2.2916666666666665E-2</v>
      </c>
      <c r="D53" s="148">
        <f>D52/(24*60*G4)</f>
        <v>3.1944444444444442E-2</v>
      </c>
      <c r="E53" s="149">
        <f>E52/(G4*24)</f>
        <v>3.1944444444444449E-2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+D34+'8'!J56</f>
        <v>650</v>
      </c>
      <c r="K56" s="201">
        <f>J56/(J40+J56/1000)/1000</f>
        <v>1.4327563366404289E-3</v>
      </c>
    </row>
    <row r="57" spans="1:11">
      <c r="A57" s="176"/>
      <c r="I57" s="199" t="s">
        <v>90</v>
      </c>
      <c r="J57" s="200">
        <f>+E34+'8'!J57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13.7109375" style="151" bestFit="1" customWidth="1"/>
    <col min="13" max="13" width="15" style="151" bestFit="1" customWidth="1"/>
    <col min="14" max="16384" width="9.140625" style="151"/>
  </cols>
  <sheetData>
    <row r="1" spans="1:19" ht="15.75">
      <c r="A1" s="150"/>
    </row>
    <row r="2" spans="1:19" ht="15.75">
      <c r="A2" s="150" t="s">
        <v>224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8</v>
      </c>
      <c r="H4" s="156" t="str">
        <f>+'1'!H4</f>
        <v>.12.25</v>
      </c>
    </row>
    <row r="5" spans="1:19" ht="13.5" thickBot="1">
      <c r="C5" s="157"/>
      <c r="D5" s="157"/>
    </row>
    <row r="6" spans="1:19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427+360+381</f>
        <v>1168</v>
      </c>
    </row>
    <row r="7" spans="1:19" ht="13.5" customHeight="1" thickBot="1">
      <c r="A7" s="781" t="s">
        <v>424</v>
      </c>
      <c r="B7" s="215" t="s">
        <v>383</v>
      </c>
      <c r="C7" s="216">
        <v>15820</v>
      </c>
      <c r="D7" s="217"/>
      <c r="E7" s="218"/>
      <c r="F7" s="229"/>
      <c r="G7" s="548" t="s">
        <v>11</v>
      </c>
      <c r="H7" s="549" t="s">
        <v>392</v>
      </c>
      <c r="I7" s="784" t="s">
        <v>511</v>
      </c>
      <c r="J7" s="214" t="str">
        <f>+'7'!J7</f>
        <v>F 15 VP OW</v>
      </c>
      <c r="K7" s="236"/>
      <c r="L7" s="240"/>
      <c r="M7" s="119">
        <f>+K7+'7'!M7+L7</f>
        <v>24540</v>
      </c>
    </row>
    <row r="8" spans="1:19" ht="13.5" thickBot="1">
      <c r="A8" s="782"/>
      <c r="B8" s="215"/>
      <c r="C8" s="216"/>
      <c r="D8" s="217"/>
      <c r="E8" s="219"/>
      <c r="F8" s="229">
        <v>2</v>
      </c>
      <c r="G8" s="550" t="s">
        <v>11</v>
      </c>
      <c r="H8" s="549" t="s">
        <v>446</v>
      </c>
      <c r="I8" s="785"/>
      <c r="J8" s="214" t="str">
        <f>+'7'!J8</f>
        <v>T 12,5 VP OW</v>
      </c>
      <c r="K8" s="237"/>
      <c r="L8" s="237"/>
      <c r="M8" s="119">
        <f>+K8+'7'!M8+L8</f>
        <v>35627</v>
      </c>
      <c r="N8" s="521">
        <v>1400</v>
      </c>
      <c r="O8" s="151">
        <f>+N8-N8*0.24</f>
        <v>1064</v>
      </c>
    </row>
    <row r="9" spans="1:19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416</v>
      </c>
      <c r="I9" s="785"/>
      <c r="J9" s="214" t="str">
        <f>+'7'!J9</f>
        <v>T 14 VP OW</v>
      </c>
      <c r="K9" s="237"/>
      <c r="L9" s="237"/>
      <c r="M9" s="119">
        <f>+K9+'7'!M9+L9</f>
        <v>186632</v>
      </c>
    </row>
    <row r="10" spans="1:19" ht="13.5" thickBot="1">
      <c r="A10" s="782"/>
      <c r="B10" s="215"/>
      <c r="C10" s="216"/>
      <c r="D10" s="217"/>
      <c r="E10" s="219"/>
      <c r="F10" s="229"/>
      <c r="G10" s="548"/>
      <c r="H10" s="551" t="s">
        <v>506</v>
      </c>
      <c r="I10" s="785"/>
      <c r="J10" s="214" t="str">
        <f>+'7'!J10</f>
        <v>F 12 VP OW</v>
      </c>
      <c r="K10" s="237">
        <f>+C34</f>
        <v>54174</v>
      </c>
      <c r="L10" s="237"/>
      <c r="M10" s="119">
        <f>+K10+'7'!M10+L10</f>
        <v>107857</v>
      </c>
      <c r="Q10" s="176"/>
    </row>
    <row r="11" spans="1:19" ht="13.5" thickBot="1">
      <c r="A11" s="782"/>
      <c r="B11" s="215"/>
      <c r="C11" s="216"/>
      <c r="D11" s="217"/>
      <c r="E11" s="219"/>
      <c r="F11" s="476"/>
      <c r="G11" s="477"/>
      <c r="H11" s="228" t="s">
        <v>524</v>
      </c>
      <c r="I11" s="785"/>
      <c r="J11" s="214" t="str">
        <f>+'7'!J11</f>
        <v>T 18 VP OW</v>
      </c>
      <c r="K11" s="237"/>
      <c r="L11" s="237"/>
      <c r="M11" s="119">
        <f>+K11+'7'!M11+L11</f>
        <v>21393</v>
      </c>
      <c r="R11" s="176"/>
      <c r="S11" s="176"/>
    </row>
    <row r="12" spans="1:19" ht="13.5" thickBot="1">
      <c r="A12" s="782"/>
      <c r="B12" s="215"/>
      <c r="C12" s="216"/>
      <c r="D12" s="217"/>
      <c r="E12" s="219"/>
      <c r="F12" s="226"/>
      <c r="G12" s="230"/>
      <c r="H12" s="231" t="s">
        <v>527</v>
      </c>
      <c r="I12" s="785"/>
      <c r="J12" s="214" t="str">
        <f>+'7'!J12</f>
        <v>F 13 VP OW</v>
      </c>
      <c r="K12" s="237"/>
      <c r="L12" s="237"/>
      <c r="M12" s="119">
        <f>+K12+'7'!M12+L12</f>
        <v>27738</v>
      </c>
    </row>
    <row r="13" spans="1:19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+'7'!J13</f>
        <v>0</v>
      </c>
      <c r="K13" s="237"/>
      <c r="L13" s="237"/>
      <c r="M13" s="119">
        <f>+K13+'7'!M13+L13</f>
        <v>0</v>
      </c>
    </row>
    <row r="14" spans="1:19" ht="13.5" thickBot="1">
      <c r="A14" s="783"/>
      <c r="B14" s="167" t="s">
        <v>2</v>
      </c>
      <c r="C14" s="101">
        <f>SUM(C7:C13)</f>
        <v>15820</v>
      </c>
      <c r="D14" s="113">
        <f>SUM(D7:D13)</f>
        <v>0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>
        <f>+'7'!J14</f>
        <v>0</v>
      </c>
      <c r="K14" s="237"/>
      <c r="L14" s="237"/>
      <c r="M14" s="119">
        <f>+K14+'7'!M14+L14</f>
        <v>0</v>
      </c>
    </row>
    <row r="15" spans="1:19" ht="13.5" thickBot="1">
      <c r="A15" s="787" t="s">
        <v>425</v>
      </c>
      <c r="B15" s="506"/>
      <c r="C15" s="553">
        <f>C14/($C$32+$D$32+$E$32)</f>
        <v>1.0353403141361257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511</v>
      </c>
      <c r="J15" s="214">
        <f>+'7'!J15</f>
        <v>0</v>
      </c>
      <c r="K15" s="237"/>
      <c r="L15" s="237"/>
      <c r="M15" s="119">
        <f>+K15+'7'!M15+L15</f>
        <v>0</v>
      </c>
      <c r="N15" s="521"/>
    </row>
    <row r="16" spans="1:19" ht="13.5" thickBot="1">
      <c r="A16" s="782"/>
      <c r="B16" s="215" t="s">
        <v>383</v>
      </c>
      <c r="C16" s="507">
        <v>23074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+'7'!J16</f>
        <v>0</v>
      </c>
      <c r="K16" s="227"/>
      <c r="L16" s="227"/>
      <c r="M16" s="119">
        <f>+K16+'7'!M16+L16</f>
        <v>0</v>
      </c>
    </row>
    <row r="17" spans="1:19" ht="13.5" thickBot="1">
      <c r="A17" s="782"/>
      <c r="B17" s="215"/>
      <c r="C17" s="216"/>
      <c r="D17" s="217"/>
      <c r="E17" s="223"/>
      <c r="F17" s="229">
        <v>10</v>
      </c>
      <c r="G17" s="550" t="s">
        <v>11</v>
      </c>
      <c r="H17" s="551" t="s">
        <v>384</v>
      </c>
      <c r="I17" s="785"/>
      <c r="J17" s="214">
        <f>+'7'!J17</f>
        <v>0</v>
      </c>
      <c r="K17" s="227"/>
      <c r="L17" s="227"/>
      <c r="M17" s="119">
        <f>+K17+'7'!M17+L17</f>
        <v>0</v>
      </c>
      <c r="N17" s="522"/>
    </row>
    <row r="18" spans="1:19" ht="13.5" thickBot="1">
      <c r="A18" s="782"/>
      <c r="B18" s="215"/>
      <c r="C18" s="216"/>
      <c r="D18" s="217"/>
      <c r="E18" s="223"/>
      <c r="F18" s="229"/>
      <c r="G18" s="548"/>
      <c r="H18" s="551" t="s">
        <v>506</v>
      </c>
      <c r="I18" s="785"/>
      <c r="J18" s="214">
        <f>+'7'!J18</f>
        <v>0</v>
      </c>
      <c r="K18" s="237"/>
      <c r="L18" s="237"/>
      <c r="M18" s="119">
        <f>+K18+'7'!M18+L18</f>
        <v>0</v>
      </c>
      <c r="Q18" s="176"/>
    </row>
    <row r="19" spans="1:19" ht="13.5" thickBot="1">
      <c r="A19" s="782"/>
      <c r="B19" s="215"/>
      <c r="C19" s="216"/>
      <c r="D19" s="217"/>
      <c r="E19" s="223"/>
      <c r="F19" s="226"/>
      <c r="G19" s="230"/>
      <c r="H19" s="228" t="s">
        <v>525</v>
      </c>
      <c r="I19" s="785"/>
      <c r="J19" s="214">
        <f>+'7'!J19</f>
        <v>0</v>
      </c>
      <c r="K19" s="237"/>
      <c r="L19" s="237"/>
      <c r="M19" s="119">
        <f>+K19+'7'!M19+L19</f>
        <v>0</v>
      </c>
      <c r="R19" s="176"/>
      <c r="S19" s="176"/>
    </row>
    <row r="20" spans="1:19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+'7'!J20</f>
        <v>0</v>
      </c>
      <c r="K20" s="238"/>
      <c r="L20" s="238"/>
      <c r="M20" s="119">
        <f>+K20+'7'!M20+L20</f>
        <v>0</v>
      </c>
    </row>
    <row r="21" spans="1:19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+'7'!J21</f>
        <v>0</v>
      </c>
      <c r="K21" s="237"/>
      <c r="L21" s="237"/>
      <c r="M21" s="119">
        <f>+K21+'7'!M21+L21</f>
        <v>0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+'7'!J22</f>
        <v>0</v>
      </c>
      <c r="K22" s="237"/>
      <c r="L22" s="237"/>
      <c r="M22" s="119">
        <f>+K22+'7'!M22+L22</f>
        <v>0</v>
      </c>
    </row>
    <row r="23" spans="1:19" ht="13.5" thickBot="1">
      <c r="A23" s="783"/>
      <c r="B23" s="167" t="s">
        <v>2</v>
      </c>
      <c r="C23" s="101">
        <f>SUM(C16:C22)</f>
        <v>23074</v>
      </c>
      <c r="D23" s="113">
        <f>SUM(D16:D22)</f>
        <v>0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+'7'!J23</f>
        <v>0</v>
      </c>
      <c r="K23" s="237"/>
      <c r="L23" s="237"/>
      <c r="M23" s="119">
        <f>+K23+'7'!M23+L23</f>
        <v>0</v>
      </c>
    </row>
    <row r="24" spans="1:19" ht="13.5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+'7'!J24</f>
        <v>0</v>
      </c>
      <c r="K24" s="237"/>
      <c r="L24" s="237"/>
      <c r="M24" s="119">
        <f>+K24+'7'!M24+L24</f>
        <v>0</v>
      </c>
      <c r="N24" s="522"/>
    </row>
    <row r="25" spans="1:19" ht="13.5" thickBot="1">
      <c r="A25" s="782"/>
      <c r="B25" s="215" t="s">
        <v>383</v>
      </c>
      <c r="C25" s="224">
        <v>15280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+'7'!J25</f>
        <v>0</v>
      </c>
      <c r="K25" s="237"/>
      <c r="L25" s="237"/>
      <c r="M25" s="119">
        <f>+K25+'7'!M25+L25</f>
        <v>0</v>
      </c>
    </row>
    <row r="26" spans="1:19" ht="13.5" thickBot="1">
      <c r="A26" s="782"/>
      <c r="B26" s="215"/>
      <c r="C26" s="224"/>
      <c r="D26" s="217"/>
      <c r="E26" s="225"/>
      <c r="F26" s="229">
        <v>8</v>
      </c>
      <c r="G26" s="550" t="s">
        <v>11</v>
      </c>
      <c r="H26" s="551" t="s">
        <v>384</v>
      </c>
      <c r="I26" s="785"/>
      <c r="J26" s="214">
        <f>+'7'!J26</f>
        <v>0</v>
      </c>
      <c r="K26" s="237"/>
      <c r="L26" s="237"/>
      <c r="M26" s="119">
        <f>+K26+'7'!M26+L26</f>
        <v>0</v>
      </c>
    </row>
    <row r="27" spans="1:19" ht="13.5" thickBot="1">
      <c r="A27" s="782"/>
      <c r="B27" s="215"/>
      <c r="C27" s="216"/>
      <c r="D27" s="217"/>
      <c r="E27" s="223"/>
      <c r="F27" s="229"/>
      <c r="G27" s="548"/>
      <c r="H27" s="551" t="s">
        <v>506</v>
      </c>
      <c r="I27" s="785"/>
      <c r="J27" s="214">
        <f>+'7'!J27</f>
        <v>0</v>
      </c>
      <c r="K27" s="237"/>
      <c r="L27" s="237"/>
      <c r="M27" s="119">
        <f>+K27+'7'!M27+L27</f>
        <v>0</v>
      </c>
    </row>
    <row r="28" spans="1:19" ht="39" thickBot="1">
      <c r="A28" s="782"/>
      <c r="B28" s="215"/>
      <c r="C28" s="216"/>
      <c r="D28" s="217"/>
      <c r="E28" s="223"/>
      <c r="F28" s="226"/>
      <c r="G28" s="230"/>
      <c r="H28" s="228" t="s">
        <v>526</v>
      </c>
      <c r="I28" s="785"/>
      <c r="J28" s="214">
        <f>+'7'!J28</f>
        <v>0</v>
      </c>
      <c r="K28" s="237"/>
      <c r="L28" s="237"/>
      <c r="M28" s="119">
        <f>+K28+'7'!M28+L28</f>
        <v>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+'7'!J29</f>
        <v>0</v>
      </c>
      <c r="K29" s="237"/>
      <c r="L29" s="237"/>
      <c r="M29" s="119">
        <f>+K29+'7'!M29+L29</f>
        <v>0</v>
      </c>
      <c r="N29" s="157"/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+'7'!J30</f>
        <v>0</v>
      </c>
      <c r="K30" s="237"/>
      <c r="L30" s="237"/>
      <c r="M30" s="119">
        <f>+K30+'7'!M30+L30</f>
        <v>0</v>
      </c>
      <c r="Q30" s="176"/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+'7'!J31</f>
        <v>0</v>
      </c>
      <c r="K31" s="237"/>
      <c r="L31" s="237"/>
      <c r="M31" s="119">
        <f>+K31+'7'!M31+L31</f>
        <v>0</v>
      </c>
      <c r="R31" s="176"/>
      <c r="S31" s="176"/>
    </row>
    <row r="32" spans="1:19" ht="13.5" thickBot="1">
      <c r="A32" s="783"/>
      <c r="B32" s="167" t="s">
        <v>2</v>
      </c>
      <c r="C32" s="101">
        <f>SUM(C25:C31)</f>
        <v>15280</v>
      </c>
      <c r="D32" s="102">
        <f>SUM(D25:D31)</f>
        <v>0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14">
        <f>+'7'!J32</f>
        <v>0</v>
      </c>
      <c r="K32" s="239"/>
      <c r="L32" s="241"/>
      <c r="M32" s="119">
        <f>+K32+'7'!M32+L32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54174</v>
      </c>
      <c r="D34" s="109">
        <f>D14+D23+D32</f>
        <v>0</v>
      </c>
      <c r="E34" s="109">
        <f>E14+E23+E32</f>
        <v>0</v>
      </c>
      <c r="F34" s="110">
        <f>F14+F23+F32</f>
        <v>30</v>
      </c>
      <c r="H34" s="178"/>
      <c r="I34" s="178"/>
      <c r="J34" s="125" t="s">
        <v>27</v>
      </c>
      <c r="K34" s="126">
        <f>SUM(K7:K32)</f>
        <v>54174</v>
      </c>
      <c r="L34" s="212">
        <f>SUM(L7:L32)</f>
        <v>0</v>
      </c>
      <c r="M34" s="122">
        <f>SUM(M7:M32)</f>
        <v>403787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+I37+'7'!J37</f>
        <v>439.2031851968751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30</v>
      </c>
      <c r="D38" s="120">
        <f>+C38+'7'!D38</f>
        <v>263</v>
      </c>
      <c r="E38" s="145">
        <f t="shared" ref="E38:E51" si="0">D38/60</f>
        <v>4.3833333333333337</v>
      </c>
      <c r="F38" s="330">
        <v>1400</v>
      </c>
      <c r="G38" s="330">
        <f>+F38-F38*0.24</f>
        <v>1064</v>
      </c>
      <c r="H38" s="187" t="s">
        <v>65</v>
      </c>
      <c r="I38" s="243">
        <f>15.12+16.262+16.531</f>
        <v>47.912999999999997</v>
      </c>
      <c r="J38" s="129">
        <f>+I38+'7'!J38</f>
        <v>411.54200000000003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+C39+'7'!D39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54.900398149609387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+C40+'7'!D40</f>
        <v>0</v>
      </c>
      <c r="E40" s="145">
        <f t="shared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54.173999999999999</v>
      </c>
      <c r="J40" s="133">
        <f>+I40+'7'!J40</f>
        <v>403.78699999999998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+C41+'7'!D41</f>
        <v>110</v>
      </c>
      <c r="E41" s="145">
        <f t="shared" si="0"/>
        <v>1.8333333333333333</v>
      </c>
      <c r="F41" s="330"/>
      <c r="G41" s="330"/>
      <c r="H41" s="187" t="s">
        <v>70</v>
      </c>
      <c r="I41" s="144"/>
      <c r="J41" s="131">
        <f>J40/G4</f>
        <v>50.473374999999997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+C42+'7'!D42</f>
        <v>0</v>
      </c>
      <c r="E42" s="145">
        <f t="shared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+C43+'7'!D43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+Report1!Z16</f>
        <v>123.7</v>
      </c>
      <c r="J43" s="135">
        <f>+I43+'7'!J43</f>
        <v>1011.6000000000001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+C44+'7'!D44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2.5817627783691277</v>
      </c>
      <c r="J44" s="136">
        <f>J43/J38</f>
        <v>2.4580723231164745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+C45+'7'!D45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2.2833831727396907</v>
      </c>
      <c r="J45" s="136">
        <f>J43/J40</f>
        <v>2.5052812497678234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+C46+'7'!D46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+SUMIF(Listrik!AN15,"&gt;0")</f>
        <v>51471.652893757084</v>
      </c>
      <c r="J46" s="137">
        <f>+I46+'7'!J46</f>
        <v>323259.9489279773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+C47+'7'!D47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1074.273222168453</v>
      </c>
      <c r="J47" s="137">
        <f>J46/J38</f>
        <v>785.4847109844859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+C48+'7'!D48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950.11726831611259</v>
      </c>
      <c r="J48" s="137">
        <f>J46/J40</f>
        <v>800.57047138213295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+C49+'7'!D49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+I49+'7'!J49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+C50+'7'!D50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+C51+'7'!D51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30</v>
      </c>
      <c r="D52" s="146">
        <f>SUM(D38:D51)</f>
        <v>381</v>
      </c>
      <c r="E52" s="147">
        <f>SUM(E38:E51)</f>
        <v>6.3500000000000005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2.0833333333333332E-2</v>
      </c>
      <c r="D53" s="148">
        <f>D52/(24*60*G4)</f>
        <v>3.3072916666666667E-2</v>
      </c>
      <c r="E53" s="149">
        <f>E52/(G4*24)</f>
        <v>3.3072916666666667E-2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+D34+'7'!J56</f>
        <v>650</v>
      </c>
      <c r="K56" s="201">
        <f>J56/(J40+J56/1000)/1000</f>
        <v>1.6071724397124893E-3</v>
      </c>
    </row>
    <row r="57" spans="1:11">
      <c r="A57" s="176"/>
      <c r="I57" s="199" t="s">
        <v>90</v>
      </c>
      <c r="J57" s="200">
        <f>+E34+'7'!J57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710937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3.28515625" style="151" bestFit="1" customWidth="1"/>
    <col min="12" max="12" width="12" style="151" bestFit="1" customWidth="1"/>
    <col min="13" max="13" width="15.5703125" style="151" bestFit="1" customWidth="1"/>
    <col min="14" max="16384" width="9.140625" style="151"/>
  </cols>
  <sheetData>
    <row r="1" spans="1:15" ht="15.75">
      <c r="A1" s="150"/>
    </row>
    <row r="2" spans="1:15" ht="15.75">
      <c r="A2" s="150" t="s">
        <v>224</v>
      </c>
    </row>
    <row r="3" spans="1:15" ht="15">
      <c r="A3" s="152"/>
    </row>
    <row r="4" spans="1:15" ht="20.25">
      <c r="A4" s="153" t="s">
        <v>3</v>
      </c>
      <c r="B4" s="154"/>
      <c r="F4" s="155" t="s">
        <v>28</v>
      </c>
      <c r="G4" s="156">
        <v>7</v>
      </c>
      <c r="H4" s="156" t="str">
        <f>+'1'!H4</f>
        <v>.12.25</v>
      </c>
    </row>
    <row r="5" spans="1:15" ht="13.5" thickBot="1">
      <c r="C5" s="157"/>
      <c r="D5" s="157"/>
    </row>
    <row r="6" spans="1:15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386+395+454</f>
        <v>1235</v>
      </c>
    </row>
    <row r="7" spans="1:15" ht="13.5" customHeight="1" thickBot="1">
      <c r="A7" s="781" t="s">
        <v>424</v>
      </c>
      <c r="B7" s="215" t="s">
        <v>383</v>
      </c>
      <c r="C7" s="216">
        <v>13289</v>
      </c>
      <c r="D7" s="217"/>
      <c r="E7" s="218"/>
      <c r="F7" s="229">
        <v>5</v>
      </c>
      <c r="G7" s="548" t="s">
        <v>11</v>
      </c>
      <c r="H7" s="549" t="s">
        <v>448</v>
      </c>
      <c r="I7" s="784" t="s">
        <v>511</v>
      </c>
      <c r="J7" s="214" t="str">
        <f>+'6'!J7</f>
        <v>F 15 VP OW</v>
      </c>
      <c r="K7" s="236"/>
      <c r="L7" s="240"/>
      <c r="M7" s="119">
        <f>+K7+'6'!M7+L7</f>
        <v>24540</v>
      </c>
    </row>
    <row r="8" spans="1:15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+'6'!J8</f>
        <v>T 12,5 VP OW</v>
      </c>
      <c r="K8" s="237"/>
      <c r="L8" s="237"/>
      <c r="M8" s="119">
        <f>+K8+'6'!M8+L8</f>
        <v>35627</v>
      </c>
      <c r="N8" s="151">
        <v>1400</v>
      </c>
      <c r="O8" s="151">
        <f>+N8-N8*0.24</f>
        <v>1064</v>
      </c>
    </row>
    <row r="9" spans="1:15" ht="13.5" thickBot="1">
      <c r="A9" s="782"/>
      <c r="B9" s="215"/>
      <c r="C9" s="216"/>
      <c r="D9" s="217"/>
      <c r="E9" s="220"/>
      <c r="F9" s="229">
        <v>7</v>
      </c>
      <c r="G9" s="550" t="s">
        <v>11</v>
      </c>
      <c r="H9" s="551" t="s">
        <v>416</v>
      </c>
      <c r="I9" s="785"/>
      <c r="J9" s="214" t="str">
        <f>+'6'!J9</f>
        <v>T 14 VP OW</v>
      </c>
      <c r="K9" s="237"/>
      <c r="L9" s="237"/>
      <c r="M9" s="119">
        <f>+K9+'6'!M9+L9</f>
        <v>186632</v>
      </c>
    </row>
    <row r="10" spans="1:15" ht="13.5" thickBot="1">
      <c r="A10" s="782"/>
      <c r="B10" s="215"/>
      <c r="C10" s="216"/>
      <c r="D10" s="217"/>
      <c r="E10" s="219"/>
      <c r="F10" s="229"/>
      <c r="G10" s="548"/>
      <c r="H10" s="551" t="s">
        <v>506</v>
      </c>
      <c r="I10" s="785"/>
      <c r="J10" s="214" t="str">
        <f>+'6'!J10</f>
        <v>F 12 VP OW</v>
      </c>
      <c r="K10" s="237">
        <f>+C34</f>
        <v>44481</v>
      </c>
      <c r="L10" s="237"/>
      <c r="M10" s="119">
        <f>+K10+'6'!M10+L10</f>
        <v>53683</v>
      </c>
    </row>
    <row r="11" spans="1:15" ht="13.5" thickBot="1">
      <c r="A11" s="782"/>
      <c r="B11" s="215"/>
      <c r="C11" s="216"/>
      <c r="D11" s="217"/>
      <c r="E11" s="219"/>
      <c r="F11" s="476"/>
      <c r="G11" s="477"/>
      <c r="H11" s="228" t="s">
        <v>501</v>
      </c>
      <c r="I11" s="785"/>
      <c r="J11" s="214" t="str">
        <f>+'6'!J11</f>
        <v>T 18 VP OW</v>
      </c>
      <c r="K11" s="237"/>
      <c r="L11" s="237"/>
      <c r="M11" s="119">
        <f>+K11+'6'!M11+L11</f>
        <v>21393</v>
      </c>
    </row>
    <row r="12" spans="1:15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 t="str">
        <f>+'6'!J12</f>
        <v>F 13 VP OW</v>
      </c>
      <c r="K12" s="237"/>
      <c r="L12" s="237"/>
      <c r="M12" s="119">
        <f>+K12+'6'!M12+L12</f>
        <v>27738</v>
      </c>
    </row>
    <row r="13" spans="1:15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+'6'!J13</f>
        <v>0</v>
      </c>
      <c r="K13" s="237"/>
      <c r="L13" s="237"/>
      <c r="M13" s="119">
        <f>+K13+'6'!M13+L13</f>
        <v>0</v>
      </c>
    </row>
    <row r="14" spans="1:15" ht="13.5" thickBot="1">
      <c r="A14" s="783"/>
      <c r="B14" s="167" t="s">
        <v>2</v>
      </c>
      <c r="C14" s="101">
        <f>SUM(C7:C13)</f>
        <v>13289</v>
      </c>
      <c r="D14" s="113">
        <f>SUM(D7:D13)</f>
        <v>0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>
        <f>+'6'!J14</f>
        <v>0</v>
      </c>
      <c r="K14" s="237"/>
      <c r="L14" s="237"/>
      <c r="M14" s="119">
        <f>+K14+'6'!M14+L14</f>
        <v>0</v>
      </c>
    </row>
    <row r="15" spans="1:15" ht="13.5" thickBot="1">
      <c r="A15" s="787" t="s">
        <v>425</v>
      </c>
      <c r="B15" s="506"/>
      <c r="C15" s="553">
        <f>C14/($C$32+$D$32+$E$32)</f>
        <v>0.83264411027568919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512</v>
      </c>
      <c r="I15" s="784" t="s">
        <v>511</v>
      </c>
      <c r="J15" s="214">
        <f>+'6'!J15</f>
        <v>0</v>
      </c>
      <c r="K15" s="237"/>
      <c r="L15" s="237"/>
      <c r="M15" s="119">
        <f>+K15+'6'!M15+L15</f>
        <v>0</v>
      </c>
    </row>
    <row r="16" spans="1:15" ht="13.5" thickBot="1">
      <c r="A16" s="782"/>
      <c r="B16" s="215" t="s">
        <v>383</v>
      </c>
      <c r="C16" s="507">
        <v>15232</v>
      </c>
      <c r="D16" s="221"/>
      <c r="E16" s="222"/>
      <c r="F16" s="229">
        <v>5</v>
      </c>
      <c r="G16" s="550" t="s">
        <v>11</v>
      </c>
      <c r="H16" s="549" t="s">
        <v>478</v>
      </c>
      <c r="I16" s="785"/>
      <c r="J16" s="214">
        <f>+'6'!J16</f>
        <v>0</v>
      </c>
      <c r="K16" s="227"/>
      <c r="L16" s="227"/>
      <c r="M16" s="119">
        <f>+K16+'6'!M16+L16</f>
        <v>0</v>
      </c>
    </row>
    <row r="17" spans="1:14" ht="13.5" thickBot="1">
      <c r="A17" s="782"/>
      <c r="B17" s="215"/>
      <c r="C17" s="216"/>
      <c r="D17" s="217"/>
      <c r="E17" s="223"/>
      <c r="F17" s="229">
        <v>10</v>
      </c>
      <c r="G17" s="550" t="s">
        <v>11</v>
      </c>
      <c r="H17" s="551" t="s">
        <v>416</v>
      </c>
      <c r="I17" s="785"/>
      <c r="J17" s="214">
        <f>+'6'!J17</f>
        <v>0</v>
      </c>
      <c r="K17" s="227"/>
      <c r="L17" s="227"/>
      <c r="M17" s="119">
        <f>+K17+'6'!M17+L17</f>
        <v>0</v>
      </c>
    </row>
    <row r="18" spans="1:14" ht="13.5" thickBot="1">
      <c r="A18" s="782"/>
      <c r="B18" s="215"/>
      <c r="C18" s="216"/>
      <c r="D18" s="217"/>
      <c r="E18" s="223"/>
      <c r="F18" s="229"/>
      <c r="G18" s="548"/>
      <c r="H18" s="551" t="s">
        <v>506</v>
      </c>
      <c r="I18" s="785"/>
      <c r="J18" s="214">
        <f>+'6'!J18</f>
        <v>0</v>
      </c>
      <c r="K18" s="237"/>
      <c r="L18" s="237"/>
      <c r="M18" s="119">
        <f>+K18+'6'!M18+L18</f>
        <v>0</v>
      </c>
    </row>
    <row r="19" spans="1:14" ht="13.5" thickBot="1">
      <c r="A19" s="782"/>
      <c r="B19" s="215"/>
      <c r="C19" s="216"/>
      <c r="D19" s="217"/>
      <c r="E19" s="223"/>
      <c r="F19" s="226"/>
      <c r="G19" s="230"/>
      <c r="H19" s="228" t="s">
        <v>504</v>
      </c>
      <c r="I19" s="785"/>
      <c r="J19" s="214">
        <f>+'6'!J19</f>
        <v>0</v>
      </c>
      <c r="K19" s="237"/>
      <c r="L19" s="237"/>
      <c r="M19" s="119">
        <f>+K19+'6'!M19+L19</f>
        <v>0</v>
      </c>
    </row>
    <row r="20" spans="1:14" ht="13.5" thickBot="1">
      <c r="A20" s="782"/>
      <c r="B20" s="215"/>
      <c r="C20" s="216"/>
      <c r="D20" s="217"/>
      <c r="E20" s="223"/>
      <c r="F20" s="226"/>
      <c r="G20" s="230"/>
      <c r="H20" s="231" t="s">
        <v>502</v>
      </c>
      <c r="I20" s="785"/>
      <c r="J20" s="214">
        <f>+'6'!J20</f>
        <v>0</v>
      </c>
      <c r="K20" s="238"/>
      <c r="L20" s="238"/>
      <c r="M20" s="119">
        <f>+K20+'6'!M20+L20</f>
        <v>0</v>
      </c>
    </row>
    <row r="21" spans="1:14" ht="13.5" thickBot="1">
      <c r="A21" s="782"/>
      <c r="B21" s="215"/>
      <c r="C21" s="216"/>
      <c r="D21" s="217"/>
      <c r="E21" s="223"/>
      <c r="F21" s="229"/>
      <c r="G21" s="230"/>
      <c r="H21" s="231" t="s">
        <v>503</v>
      </c>
      <c r="I21" s="785"/>
      <c r="J21" s="214">
        <f>+'6'!J21</f>
        <v>0</v>
      </c>
      <c r="K21" s="237"/>
      <c r="L21" s="237"/>
      <c r="M21" s="119">
        <f>+K21+'6'!M21+L21</f>
        <v>0</v>
      </c>
    </row>
    <row r="22" spans="1:14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+'6'!J22</f>
        <v>0</v>
      </c>
      <c r="K22" s="237"/>
      <c r="L22" s="237"/>
      <c r="M22" s="119">
        <f>+K22+'6'!M22+L22</f>
        <v>0</v>
      </c>
    </row>
    <row r="23" spans="1:14" ht="13.5" thickBot="1">
      <c r="A23" s="783"/>
      <c r="B23" s="167" t="s">
        <v>2</v>
      </c>
      <c r="C23" s="101">
        <f>SUM(C16:C22)</f>
        <v>15232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+'6'!J23</f>
        <v>0</v>
      </c>
      <c r="K23" s="237"/>
      <c r="L23" s="237"/>
      <c r="M23" s="119">
        <f>+K23+'6'!M23+L23</f>
        <v>0</v>
      </c>
    </row>
    <row r="24" spans="1:14" ht="13.5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511</v>
      </c>
      <c r="J24" s="214">
        <f>+'6'!J24</f>
        <v>0</v>
      </c>
      <c r="K24" s="237"/>
      <c r="L24" s="237"/>
      <c r="M24" s="119">
        <f>+K24+'6'!M24+L24</f>
        <v>0</v>
      </c>
    </row>
    <row r="25" spans="1:14" ht="13.5" thickBot="1">
      <c r="A25" s="782"/>
      <c r="B25" s="215" t="s">
        <v>383</v>
      </c>
      <c r="C25" s="224">
        <v>15960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+'6'!J25</f>
        <v>0</v>
      </c>
      <c r="K25" s="237"/>
      <c r="L25" s="237"/>
      <c r="M25" s="119">
        <f>+K25+'6'!M25+L25</f>
        <v>0</v>
      </c>
    </row>
    <row r="26" spans="1:14" ht="13.5" thickBot="1">
      <c r="A26" s="782"/>
      <c r="B26" s="215"/>
      <c r="C26" s="224"/>
      <c r="D26" s="217"/>
      <c r="E26" s="225"/>
      <c r="F26" s="229">
        <v>5</v>
      </c>
      <c r="G26" s="550" t="s">
        <v>11</v>
      </c>
      <c r="H26" s="551" t="s">
        <v>416</v>
      </c>
      <c r="I26" s="785"/>
      <c r="J26" s="214">
        <f>+'6'!J26</f>
        <v>0</v>
      </c>
      <c r="K26" s="237"/>
      <c r="L26" s="237"/>
      <c r="M26" s="119">
        <f>+K26+'6'!M26+L26</f>
        <v>0</v>
      </c>
    </row>
    <row r="27" spans="1:14" ht="13.5" thickBot="1">
      <c r="A27" s="782"/>
      <c r="B27" s="215"/>
      <c r="C27" s="216"/>
      <c r="D27" s="217"/>
      <c r="E27" s="223"/>
      <c r="F27" s="229"/>
      <c r="G27" s="548"/>
      <c r="H27" s="551" t="s">
        <v>506</v>
      </c>
      <c r="I27" s="785"/>
      <c r="J27" s="214">
        <f>+'6'!J27</f>
        <v>0</v>
      </c>
      <c r="K27" s="237"/>
      <c r="L27" s="237"/>
      <c r="M27" s="119">
        <f>+K27+'6'!M27+L27</f>
        <v>0</v>
      </c>
    </row>
    <row r="28" spans="1:14" ht="13.5" thickBot="1">
      <c r="A28" s="782"/>
      <c r="B28" s="215"/>
      <c r="C28" s="216"/>
      <c r="D28" s="217"/>
      <c r="E28" s="223"/>
      <c r="F28" s="226"/>
      <c r="G28" s="230"/>
      <c r="H28" s="228" t="s">
        <v>505</v>
      </c>
      <c r="I28" s="785"/>
      <c r="J28" s="214">
        <f>+'6'!J28</f>
        <v>0</v>
      </c>
      <c r="K28" s="237"/>
      <c r="L28" s="237"/>
      <c r="M28" s="119">
        <f>+K28+'6'!M28+L28</f>
        <v>0</v>
      </c>
    </row>
    <row r="29" spans="1:14" ht="13.5" thickBot="1">
      <c r="A29" s="782"/>
      <c r="B29" s="215"/>
      <c r="C29" s="216"/>
      <c r="D29" s="217"/>
      <c r="E29" s="223"/>
      <c r="F29" s="234"/>
      <c r="G29" s="230"/>
      <c r="H29" s="231"/>
      <c r="I29" s="785"/>
      <c r="J29" s="214">
        <f>+'6'!J29</f>
        <v>0</v>
      </c>
      <c r="K29" s="237"/>
      <c r="L29" s="237"/>
      <c r="M29" s="119">
        <f>+K29+'6'!M29+L29</f>
        <v>0</v>
      </c>
    </row>
    <row r="30" spans="1:14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+'6'!J30</f>
        <v>0</v>
      </c>
      <c r="K30" s="237"/>
      <c r="L30" s="237"/>
      <c r="M30" s="119">
        <f>+K30+'6'!M30+L30</f>
        <v>0</v>
      </c>
      <c r="N30" s="157"/>
    </row>
    <row r="31" spans="1:14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+'6'!J31</f>
        <v>0</v>
      </c>
      <c r="K31" s="237"/>
      <c r="L31" s="237"/>
      <c r="M31" s="119">
        <f>+K31+'6'!M31+L31</f>
        <v>0</v>
      </c>
    </row>
    <row r="32" spans="1:14" ht="13.5" thickBot="1">
      <c r="A32" s="783"/>
      <c r="B32" s="167" t="s">
        <v>2</v>
      </c>
      <c r="C32" s="101">
        <f>SUM(C25:C31)</f>
        <v>15960</v>
      </c>
      <c r="D32" s="102">
        <f>SUM(D25:D31)</f>
        <v>0</v>
      </c>
      <c r="E32" s="103">
        <f>SUM(E25:E31)</f>
        <v>0</v>
      </c>
      <c r="F32" s="101">
        <f>SUM(F24:F31)</f>
        <v>5</v>
      </c>
      <c r="G32" s="171"/>
      <c r="H32" s="172"/>
      <c r="I32" s="170"/>
      <c r="J32" s="214">
        <f>+'6'!J32</f>
        <v>0</v>
      </c>
      <c r="K32" s="239"/>
      <c r="L32" s="241"/>
      <c r="M32" s="119">
        <f>+K32+'6'!M32+L32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44481</v>
      </c>
      <c r="D34" s="109">
        <f>D14+D23+D32</f>
        <v>0</v>
      </c>
      <c r="E34" s="109">
        <f>E14+E23+E32</f>
        <v>0</v>
      </c>
      <c r="F34" s="110">
        <f>F14+F23+F32</f>
        <v>32</v>
      </c>
      <c r="H34" s="178"/>
      <c r="I34" s="178"/>
      <c r="J34" s="125" t="s">
        <v>27</v>
      </c>
      <c r="K34" s="126">
        <f>SUM(K7:K32)</f>
        <v>44481</v>
      </c>
      <c r="L34" s="212">
        <f>SUM(L7:L32)</f>
        <v>0</v>
      </c>
      <c r="M34" s="122">
        <f>SUM(M7:M32)</f>
        <v>349613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(12*1440)/1440*G42*2.85*1440/1000000</f>
        <v>52.399872000000009</v>
      </c>
      <c r="J37" s="127">
        <f>+I37+'6'!J37</f>
        <v>386.80331319687508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32</v>
      </c>
      <c r="D38" s="120">
        <f>+C38+'6'!D38</f>
        <v>233</v>
      </c>
      <c r="E38" s="145">
        <f t="shared" ref="E38:E51" si="0">D38/60</f>
        <v>3.8833333333333333</v>
      </c>
      <c r="F38" s="330">
        <v>1400</v>
      </c>
      <c r="G38" s="330">
        <f>+F38-F38*0.24</f>
        <v>1064</v>
      </c>
      <c r="H38" s="187" t="s">
        <v>65</v>
      </c>
      <c r="I38" s="243">
        <f>16.262+16.699+16.061</f>
        <v>49.021999999999998</v>
      </c>
      <c r="J38" s="129">
        <f>+I38+'6'!J38</f>
        <v>363.62900000000002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+C39+'6'!D39</f>
        <v>0</v>
      </c>
      <c r="E39" s="145">
        <f t="shared" si="0"/>
        <v>0</v>
      </c>
      <c r="F39" s="330">
        <v>1400</v>
      </c>
      <c r="G39" s="330">
        <f>+F39-F39*0.24</f>
        <v>1064</v>
      </c>
      <c r="H39" s="187" t="s">
        <v>66</v>
      </c>
      <c r="I39" s="144"/>
      <c r="J39" s="131">
        <f>J37/G4</f>
        <v>55.257616170982153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+C40+'6'!D40</f>
        <v>0</v>
      </c>
      <c r="E40" s="145">
        <f t="shared" si="0"/>
        <v>0</v>
      </c>
      <c r="F40" s="330">
        <v>1400</v>
      </c>
      <c r="G40" s="330">
        <f>+F40-F40*0.24</f>
        <v>1064</v>
      </c>
      <c r="H40" s="187" t="s">
        <v>68</v>
      </c>
      <c r="I40" s="120">
        <f>(K34+L34)/1000</f>
        <v>44.481000000000002</v>
      </c>
      <c r="J40" s="133">
        <f>+I40+'6'!J40</f>
        <v>349.613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+C41+'6'!D41</f>
        <v>110</v>
      </c>
      <c r="E41" s="145">
        <f t="shared" si="0"/>
        <v>1.8333333333333333</v>
      </c>
      <c r="F41" s="330"/>
      <c r="G41" s="330"/>
      <c r="H41" s="187" t="s">
        <v>70</v>
      </c>
      <c r="I41" s="144"/>
      <c r="J41" s="131">
        <f>J40/G4</f>
        <v>49.944714285714284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+C42+'6'!D42</f>
        <v>0</v>
      </c>
      <c r="E42" s="145">
        <f t="shared" si="0"/>
        <v>0</v>
      </c>
      <c r="F42" s="330">
        <f>+(F38*480+F39*480+F40*480)/1440</f>
        <v>1400</v>
      </c>
      <c r="G42" s="330">
        <f>+(G38*480+G39*480+G40*480)/1440</f>
        <v>1064</v>
      </c>
      <c r="H42" s="187" t="s">
        <v>71</v>
      </c>
      <c r="I42" s="244" t="s">
        <v>511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+C43+'6'!D43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+Report1!Z15</f>
        <v>124.5</v>
      </c>
      <c r="J43" s="135">
        <f>+I43+'6'!J43</f>
        <v>887.90000000000009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+C44+'6'!D44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2.5396760638080864</v>
      </c>
      <c r="J44" s="136">
        <f>J43/J38</f>
        <v>2.4417744459325301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+C45+'6'!D45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2.798947865380724</v>
      </c>
      <c r="J45" s="136">
        <f>J43/J40</f>
        <v>2.5396652870459624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+C46+'6'!D46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+SUMIF(Listrik!AN14,"&gt;0")</f>
        <v>53845.358725163598</v>
      </c>
      <c r="J46" s="137">
        <f>+I46+'6'!J46</f>
        <v>271788.2960342202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+C47+'6'!D47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1098.3917164775733</v>
      </c>
      <c r="J47" s="137">
        <f>J46/J38</f>
        <v>747.43294961133518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+C48+'6'!D48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1210.5249145739438</v>
      </c>
      <c r="J48" s="137">
        <f>J46/J40</f>
        <v>777.39756826611199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+C49+'6'!D49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+I49+'6'!J49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+C50+'6'!D50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+C51+'6'!D51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32</v>
      </c>
      <c r="D52" s="146">
        <f>SUM(D38:D51)</f>
        <v>351</v>
      </c>
      <c r="E52" s="147">
        <f>SUM(E38:E51)</f>
        <v>5.8500000000000005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2.2222222222222223E-2</v>
      </c>
      <c r="D53" s="148">
        <f>D52/(24*60*G4)</f>
        <v>3.4821428571428573E-2</v>
      </c>
      <c r="E53" s="149">
        <f>E52/(G4*24)</f>
        <v>3.4821428571428573E-2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+D34+'6'!J56</f>
        <v>650</v>
      </c>
      <c r="K56" s="201">
        <f>J56/(J40+J56/1000)/1000</f>
        <v>1.8557483947776385E-3</v>
      </c>
    </row>
    <row r="57" spans="1:11">
      <c r="A57" s="176"/>
      <c r="I57" s="199" t="s">
        <v>90</v>
      </c>
      <c r="J57" s="200">
        <f>+E34+'6'!J57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L41" sqref="L41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85546875" style="151" bestFit="1" customWidth="1"/>
    <col min="12" max="12" width="8.28515625" style="151" customWidth="1"/>
    <col min="13" max="13" width="14.5703125" style="151" bestFit="1" customWidth="1"/>
    <col min="14" max="16384" width="9.140625" style="151"/>
  </cols>
  <sheetData>
    <row r="1" spans="1:27" ht="15.75">
      <c r="A1" s="150"/>
      <c r="V1" s="522" t="s">
        <v>388</v>
      </c>
      <c r="W1" s="151">
        <v>1250</v>
      </c>
      <c r="X1" s="151">
        <f t="shared" ref="X1:X8" si="0">+W1-(W1*0.23)</f>
        <v>962.5</v>
      </c>
      <c r="Y1" s="151">
        <f>40+180+27</f>
        <v>247</v>
      </c>
      <c r="Z1" s="151">
        <f t="shared" ref="Z1:Z8" si="1">+W1*Y1</f>
        <v>308750</v>
      </c>
      <c r="AA1" s="151">
        <f t="shared" ref="AA1:AA8" si="2">+X1*Y1</f>
        <v>237737.5</v>
      </c>
    </row>
    <row r="2" spans="1:27" ht="15.75">
      <c r="A2" s="150" t="s">
        <v>224</v>
      </c>
      <c r="W2" s="151">
        <v>1185</v>
      </c>
      <c r="X2" s="151">
        <f t="shared" si="0"/>
        <v>912.45</v>
      </c>
      <c r="Y2" s="151">
        <f>33+59</f>
        <v>92</v>
      </c>
      <c r="Z2" s="151">
        <f t="shared" si="1"/>
        <v>109020</v>
      </c>
      <c r="AA2" s="151">
        <f t="shared" si="2"/>
        <v>83945.400000000009</v>
      </c>
    </row>
    <row r="3" spans="1:27" ht="15">
      <c r="A3" s="152"/>
      <c r="W3" s="151">
        <v>1220</v>
      </c>
      <c r="X3" s="151">
        <f t="shared" si="0"/>
        <v>939.4</v>
      </c>
      <c r="Y3" s="151">
        <f>1+30</f>
        <v>31</v>
      </c>
      <c r="Z3" s="151">
        <f t="shared" si="1"/>
        <v>37820</v>
      </c>
      <c r="AA3" s="151">
        <f t="shared" si="2"/>
        <v>29121.399999999998</v>
      </c>
    </row>
    <row r="4" spans="1:27" ht="20.25">
      <c r="A4" s="153" t="s">
        <v>3</v>
      </c>
      <c r="B4" s="154"/>
      <c r="F4" s="155" t="s">
        <v>28</v>
      </c>
      <c r="G4" s="156">
        <v>6</v>
      </c>
      <c r="H4" s="156" t="str">
        <f>+'1'!H4</f>
        <v>.12.25</v>
      </c>
      <c r="W4" s="151">
        <v>1250</v>
      </c>
      <c r="X4" s="151">
        <f t="shared" si="0"/>
        <v>962.5</v>
      </c>
      <c r="Y4" s="151">
        <v>30</v>
      </c>
      <c r="Z4" s="151">
        <f t="shared" si="1"/>
        <v>37500</v>
      </c>
      <c r="AA4" s="151">
        <f t="shared" si="2"/>
        <v>28875</v>
      </c>
    </row>
    <row r="5" spans="1:27" ht="13.5" thickBot="1">
      <c r="C5" s="157"/>
      <c r="D5" s="157"/>
      <c r="V5" s="522"/>
      <c r="W5" s="151">
        <v>1250</v>
      </c>
      <c r="X5" s="151">
        <f t="shared" si="0"/>
        <v>962.5</v>
      </c>
      <c r="Y5" s="151">
        <v>60</v>
      </c>
      <c r="Z5" s="151">
        <f t="shared" si="1"/>
        <v>75000</v>
      </c>
      <c r="AA5" s="151">
        <f t="shared" si="2"/>
        <v>57750</v>
      </c>
    </row>
    <row r="6" spans="1:27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458+459+400</f>
        <v>1317</v>
      </c>
      <c r="W6" s="151">
        <v>1280</v>
      </c>
      <c r="X6" s="151">
        <f t="shared" si="0"/>
        <v>985.59999999999991</v>
      </c>
      <c r="Y6" s="151">
        <f>180+25</f>
        <v>205</v>
      </c>
      <c r="Z6" s="151">
        <f t="shared" si="1"/>
        <v>262400</v>
      </c>
      <c r="AA6" s="151">
        <f t="shared" si="2"/>
        <v>202047.99999999997</v>
      </c>
    </row>
    <row r="7" spans="1:27" ht="13.5" customHeight="1" thickBot="1">
      <c r="A7" s="781" t="s">
        <v>227</v>
      </c>
      <c r="B7" s="215" t="s">
        <v>427</v>
      </c>
      <c r="C7" s="216">
        <v>7433</v>
      </c>
      <c r="D7" s="217"/>
      <c r="E7" s="218"/>
      <c r="F7" s="229"/>
      <c r="G7" s="548" t="s">
        <v>11</v>
      </c>
      <c r="H7" s="549" t="s">
        <v>392</v>
      </c>
      <c r="I7" s="784" t="s">
        <v>482</v>
      </c>
      <c r="J7" s="214" t="str">
        <f>+'5'!J7</f>
        <v>F 15 VP OW</v>
      </c>
      <c r="K7" s="236">
        <f>+C26</f>
        <v>11808</v>
      </c>
      <c r="L7" s="240"/>
      <c r="M7" s="119">
        <f>+K7+'5'!M7+L7</f>
        <v>24540</v>
      </c>
      <c r="W7" s="151">
        <v>1300</v>
      </c>
      <c r="X7" s="151">
        <f t="shared" si="0"/>
        <v>1001</v>
      </c>
      <c r="Y7" s="151">
        <f>35+180</f>
        <v>215</v>
      </c>
      <c r="Z7" s="151">
        <f t="shared" si="1"/>
        <v>279500</v>
      </c>
      <c r="AA7" s="151">
        <f t="shared" si="2"/>
        <v>215215</v>
      </c>
    </row>
    <row r="8" spans="1:27" ht="13.5" thickBot="1">
      <c r="A8" s="782"/>
      <c r="B8" s="215" t="s">
        <v>387</v>
      </c>
      <c r="C8" s="216">
        <v>7785</v>
      </c>
      <c r="D8" s="217"/>
      <c r="E8" s="219"/>
      <c r="F8" s="229"/>
      <c r="G8" s="550" t="s">
        <v>11</v>
      </c>
      <c r="H8" s="549" t="s">
        <v>415</v>
      </c>
      <c r="I8" s="785"/>
      <c r="J8" s="214" t="str">
        <f>+'5'!J8</f>
        <v>T 12,5 VP OW</v>
      </c>
      <c r="K8" s="237">
        <f>+C7</f>
        <v>7433</v>
      </c>
      <c r="L8" s="237"/>
      <c r="M8" s="119">
        <f>+K8+'5'!M8+L8</f>
        <v>35627</v>
      </c>
      <c r="N8" s="521">
        <v>1350</v>
      </c>
      <c r="O8" s="176">
        <f>+N8-N8*0.24</f>
        <v>1026</v>
      </c>
      <c r="P8" s="176">
        <v>60</v>
      </c>
      <c r="Q8" s="151">
        <f>+N8*P8</f>
        <v>81000</v>
      </c>
      <c r="R8" s="151">
        <f>+O8*P8</f>
        <v>61560</v>
      </c>
      <c r="V8" s="522"/>
      <c r="W8" s="151">
        <v>1300</v>
      </c>
      <c r="X8" s="151">
        <f t="shared" si="0"/>
        <v>1001</v>
      </c>
      <c r="Y8" s="151">
        <v>5</v>
      </c>
      <c r="Z8" s="151">
        <f t="shared" si="1"/>
        <v>6500</v>
      </c>
      <c r="AA8" s="151">
        <f t="shared" si="2"/>
        <v>5005</v>
      </c>
    </row>
    <row r="9" spans="1:27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384</v>
      </c>
      <c r="I9" s="785"/>
      <c r="J9" s="214" t="str">
        <f>+'5'!J9</f>
        <v>T 14 VP OW</v>
      </c>
      <c r="K9" s="237"/>
      <c r="L9" s="237"/>
      <c r="M9" s="119">
        <f>+K9+'5'!M9+L9</f>
        <v>186632</v>
      </c>
      <c r="N9" s="522">
        <v>1350</v>
      </c>
      <c r="O9" s="176">
        <f>+N9-N9*0.24</f>
        <v>1026</v>
      </c>
      <c r="P9" s="151">
        <v>420</v>
      </c>
      <c r="Q9" s="151">
        <f>+N9*P9</f>
        <v>567000</v>
      </c>
      <c r="R9" s="151">
        <f>+O9*P9</f>
        <v>430920</v>
      </c>
      <c r="Y9" s="176">
        <f>SUM(Y1:Y8)</f>
        <v>885</v>
      </c>
      <c r="Z9" s="151">
        <f>SUM(Z1:Z8)</f>
        <v>1116490</v>
      </c>
      <c r="AA9" s="151">
        <f>SUM(AA1:AA8)</f>
        <v>859697.3</v>
      </c>
    </row>
    <row r="10" spans="1:27" ht="13.5" thickBot="1">
      <c r="A10" s="782"/>
      <c r="B10" s="215"/>
      <c r="C10" s="216"/>
      <c r="D10" s="217"/>
      <c r="E10" s="219"/>
      <c r="F10" s="229"/>
      <c r="G10" s="548"/>
      <c r="H10" s="551" t="s">
        <v>487</v>
      </c>
      <c r="I10" s="785"/>
      <c r="J10" s="214" t="str">
        <f>+'5'!J10</f>
        <v>F 12 VP OW</v>
      </c>
      <c r="K10" s="237"/>
      <c r="L10" s="237"/>
      <c r="M10" s="119">
        <f>+K10+'5'!M10+L10</f>
        <v>9202</v>
      </c>
      <c r="P10" s="151">
        <f>SUM(P8:P9)</f>
        <v>480</v>
      </c>
      <c r="Q10" s="151">
        <f>SUM(Q8:Q9)</f>
        <v>648000</v>
      </c>
      <c r="R10" s="151">
        <f>SUM(R8:R9)</f>
        <v>492480</v>
      </c>
      <c r="Z10" s="176">
        <f>+Z9/Y9</f>
        <v>1261.5706214689264</v>
      </c>
      <c r="AA10" s="176">
        <f>+AA9/Y9</f>
        <v>971.40937853107346</v>
      </c>
    </row>
    <row r="11" spans="1:27" ht="13.5" thickBot="1">
      <c r="A11" s="782"/>
      <c r="B11" s="215"/>
      <c r="C11" s="216"/>
      <c r="D11" s="217"/>
      <c r="E11" s="219"/>
      <c r="F11" s="476"/>
      <c r="G11" s="477"/>
      <c r="H11" s="228" t="s">
        <v>492</v>
      </c>
      <c r="I11" s="785"/>
      <c r="J11" s="214" t="str">
        <f>+'5'!J11</f>
        <v>T 18 VP OW</v>
      </c>
      <c r="K11" s="237"/>
      <c r="L11" s="237"/>
      <c r="M11" s="119">
        <f>+K11+'5'!M11+L11</f>
        <v>21393</v>
      </c>
      <c r="Q11" s="151">
        <f>+Q10/P10</f>
        <v>1350</v>
      </c>
      <c r="R11" s="151">
        <f>+R10/P10</f>
        <v>1026</v>
      </c>
    </row>
    <row r="12" spans="1:27" ht="39" thickBot="1">
      <c r="A12" s="782"/>
      <c r="B12" s="215"/>
      <c r="C12" s="216"/>
      <c r="D12" s="217"/>
      <c r="E12" s="219"/>
      <c r="F12" s="226"/>
      <c r="G12" s="230"/>
      <c r="H12" s="231" t="s">
        <v>491</v>
      </c>
      <c r="I12" s="785"/>
      <c r="J12" s="214" t="s">
        <v>387</v>
      </c>
      <c r="K12" s="237">
        <f>+C8+C16+C25</f>
        <v>27738</v>
      </c>
      <c r="L12" s="237"/>
      <c r="M12" s="119">
        <f>+K12+'5'!M12+L12</f>
        <v>27738</v>
      </c>
    </row>
    <row r="13" spans="1:27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+'5'!J13</f>
        <v>0</v>
      </c>
      <c r="K13" s="237"/>
      <c r="L13" s="237"/>
      <c r="M13" s="119">
        <f>+K13+'5'!M13+L13</f>
        <v>0</v>
      </c>
      <c r="Q13" s="176"/>
    </row>
    <row r="14" spans="1:27" ht="13.5" thickBot="1">
      <c r="A14" s="783"/>
      <c r="B14" s="167" t="s">
        <v>2</v>
      </c>
      <c r="C14" s="101">
        <f>SUM(C7:C13)</f>
        <v>15218</v>
      </c>
      <c r="D14" s="113">
        <f>SUM(D7:D13)</f>
        <v>0</v>
      </c>
      <c r="E14" s="114">
        <f>SUM(E9:E13)</f>
        <v>0</v>
      </c>
      <c r="F14" s="104">
        <f>SUM(F6:F13)</f>
        <v>10</v>
      </c>
      <c r="G14" s="161"/>
      <c r="H14" s="168"/>
      <c r="I14" s="169"/>
      <c r="J14" s="214">
        <f>+'5'!J14</f>
        <v>0</v>
      </c>
      <c r="K14" s="237"/>
      <c r="L14" s="237"/>
      <c r="M14" s="119">
        <f>+K14+'5'!M14+L14</f>
        <v>0</v>
      </c>
      <c r="R14" s="176"/>
      <c r="S14" s="176"/>
    </row>
    <row r="15" spans="1:27" ht="13.5" customHeight="1" thickBot="1">
      <c r="A15" s="787" t="s">
        <v>425</v>
      </c>
      <c r="B15" s="506"/>
      <c r="C15" s="553">
        <f>C14/($C$32+$D$32+$E$32)</f>
        <v>1.1570863746958637</v>
      </c>
      <c r="D15" s="106">
        <f>D14/($C$32+$D$32+$E$32)</f>
        <v>0</v>
      </c>
      <c r="E15" s="107">
        <f>E14/($C$32+$D$32+$E$32)</f>
        <v>0</v>
      </c>
      <c r="F15" s="229">
        <v>5</v>
      </c>
      <c r="G15" s="548" t="s">
        <v>11</v>
      </c>
      <c r="H15" s="549" t="s">
        <v>448</v>
      </c>
      <c r="I15" s="784" t="s">
        <v>508</v>
      </c>
      <c r="J15" s="214">
        <f>+'5'!J15</f>
        <v>0</v>
      </c>
      <c r="K15" s="237"/>
      <c r="L15" s="237"/>
      <c r="M15" s="119">
        <f>+K15+'5'!M15+L15</f>
        <v>0</v>
      </c>
    </row>
    <row r="16" spans="1:27" ht="13.5" thickBot="1">
      <c r="A16" s="782"/>
      <c r="B16" s="215" t="s">
        <v>387</v>
      </c>
      <c r="C16" s="507">
        <v>18609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+'5'!J16</f>
        <v>0</v>
      </c>
      <c r="K16" s="227"/>
      <c r="L16" s="227"/>
      <c r="M16" s="119">
        <f>+K16+'5'!M16+L16</f>
        <v>0</v>
      </c>
      <c r="N16" s="521">
        <v>1350</v>
      </c>
      <c r="O16" s="176">
        <f>+N16-N16*0.24</f>
        <v>1026</v>
      </c>
      <c r="P16" s="176">
        <f>335+60</f>
        <v>395</v>
      </c>
      <c r="Q16" s="151">
        <f>+N16*P16</f>
        <v>533250</v>
      </c>
      <c r="R16" s="151">
        <f>+O16*P16</f>
        <v>405270</v>
      </c>
    </row>
    <row r="17" spans="1:19" ht="13.5" thickBot="1">
      <c r="A17" s="782"/>
      <c r="B17" s="215"/>
      <c r="C17" s="216"/>
      <c r="D17" s="217"/>
      <c r="E17" s="223"/>
      <c r="F17" s="229">
        <v>9</v>
      </c>
      <c r="G17" s="550" t="s">
        <v>11</v>
      </c>
      <c r="H17" s="551" t="s">
        <v>414</v>
      </c>
      <c r="I17" s="785"/>
      <c r="J17" s="214">
        <f>+'5'!J17</f>
        <v>0</v>
      </c>
      <c r="K17" s="227"/>
      <c r="L17" s="227"/>
      <c r="M17" s="119">
        <f>+K17+'5'!M17+L17</f>
        <v>0</v>
      </c>
      <c r="N17" s="522">
        <v>1400</v>
      </c>
      <c r="O17" s="176">
        <f>+N17-N17*0.24</f>
        <v>1064</v>
      </c>
      <c r="P17" s="151">
        <f>25+60</f>
        <v>85</v>
      </c>
      <c r="Q17" s="151">
        <f>+N17*P17</f>
        <v>119000</v>
      </c>
      <c r="R17" s="151">
        <f>+O17*P17</f>
        <v>90440</v>
      </c>
    </row>
    <row r="18" spans="1:19" ht="13.5" thickBot="1">
      <c r="A18" s="782"/>
      <c r="B18" s="215"/>
      <c r="C18" s="216"/>
      <c r="D18" s="217"/>
      <c r="E18" s="223"/>
      <c r="F18" s="229"/>
      <c r="G18" s="548"/>
      <c r="H18" s="551" t="s">
        <v>493</v>
      </c>
      <c r="I18" s="785"/>
      <c r="J18" s="214">
        <f>+'5'!J18</f>
        <v>0</v>
      </c>
      <c r="K18" s="237"/>
      <c r="L18" s="237"/>
      <c r="M18" s="119">
        <f>+K18+'5'!M18+L18</f>
        <v>0</v>
      </c>
      <c r="P18" s="151">
        <f>SUM(P16:P17)</f>
        <v>480</v>
      </c>
      <c r="Q18" s="151">
        <f>SUM(Q16:Q17)</f>
        <v>652250</v>
      </c>
      <c r="R18" s="151">
        <f>SUM(R16:R17)</f>
        <v>495710</v>
      </c>
    </row>
    <row r="19" spans="1:19" ht="39" thickBot="1">
      <c r="A19" s="782"/>
      <c r="B19" s="215"/>
      <c r="C19" s="216"/>
      <c r="D19" s="217"/>
      <c r="E19" s="223"/>
      <c r="F19" s="226"/>
      <c r="G19" s="230"/>
      <c r="H19" s="228" t="s">
        <v>494</v>
      </c>
      <c r="I19" s="785"/>
      <c r="J19" s="214">
        <f>+'5'!J19</f>
        <v>0</v>
      </c>
      <c r="K19" s="237"/>
      <c r="L19" s="237"/>
      <c r="M19" s="119">
        <f>+K19+'5'!M19+L19</f>
        <v>0</v>
      </c>
      <c r="Q19" s="151">
        <f>+Q18/P18</f>
        <v>1358.8541666666667</v>
      </c>
      <c r="R19" s="151">
        <f>+R18/P18</f>
        <v>1032.7291666666667</v>
      </c>
    </row>
    <row r="20" spans="1:19" ht="13.5" thickBot="1">
      <c r="A20" s="782"/>
      <c r="B20" s="215"/>
      <c r="C20" s="216"/>
      <c r="D20" s="217"/>
      <c r="E20" s="223"/>
      <c r="F20" s="226"/>
      <c r="G20" s="230"/>
      <c r="H20" s="231" t="s">
        <v>495</v>
      </c>
      <c r="I20" s="785"/>
      <c r="J20" s="214">
        <f>+'5'!J20</f>
        <v>0</v>
      </c>
      <c r="K20" s="238"/>
      <c r="L20" s="238"/>
      <c r="M20" s="119">
        <f>+K20+'5'!M20+L20</f>
        <v>0</v>
      </c>
      <c r="Q20" s="527"/>
    </row>
    <row r="21" spans="1:19" ht="13.5" thickBot="1">
      <c r="A21" s="782"/>
      <c r="B21" s="215"/>
      <c r="C21" s="216"/>
      <c r="D21" s="217"/>
      <c r="E21" s="223"/>
      <c r="F21" s="229"/>
      <c r="G21" s="230"/>
      <c r="H21" s="231" t="s">
        <v>507</v>
      </c>
      <c r="I21" s="785"/>
      <c r="J21" s="214">
        <f>+'5'!J21</f>
        <v>0</v>
      </c>
      <c r="K21" s="237"/>
      <c r="L21" s="237"/>
      <c r="M21" s="119">
        <f>+K21+'5'!M21+L21</f>
        <v>0</v>
      </c>
      <c r="R21" s="527"/>
      <c r="S21" s="527"/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+'5'!J22</f>
        <v>0</v>
      </c>
      <c r="K22" s="237"/>
      <c r="L22" s="237"/>
      <c r="M22" s="119">
        <f>+K22+'5'!M22+L22</f>
        <v>0</v>
      </c>
    </row>
    <row r="23" spans="1:19" ht="13.5" thickBot="1">
      <c r="A23" s="783"/>
      <c r="B23" s="167" t="s">
        <v>2</v>
      </c>
      <c r="C23" s="101">
        <f>SUM(C16:C22)</f>
        <v>18609</v>
      </c>
      <c r="D23" s="113">
        <f>SUM(D16:D22)</f>
        <v>0</v>
      </c>
      <c r="E23" s="114">
        <f>SUM(E18:E22)</f>
        <v>0</v>
      </c>
      <c r="F23" s="104">
        <f>SUM(F15:F22)</f>
        <v>14</v>
      </c>
      <c r="G23" s="161"/>
      <c r="H23" s="168"/>
      <c r="I23" s="170"/>
      <c r="J23" s="214">
        <f>+'5'!J23</f>
        <v>0</v>
      </c>
      <c r="K23" s="237"/>
      <c r="L23" s="237"/>
      <c r="M23" s="119">
        <f>+K23+'5'!M23+L23</f>
        <v>0</v>
      </c>
    </row>
    <row r="24" spans="1:19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10</v>
      </c>
      <c r="G24" s="548" t="s">
        <v>11</v>
      </c>
      <c r="H24" s="549" t="s">
        <v>510</v>
      </c>
      <c r="I24" s="784" t="s">
        <v>509</v>
      </c>
      <c r="J24" s="214">
        <f>+'5'!J24</f>
        <v>0</v>
      </c>
      <c r="K24" s="237"/>
      <c r="L24" s="237"/>
      <c r="M24" s="119">
        <f>+K24+'5'!M24+L24</f>
        <v>0</v>
      </c>
    </row>
    <row r="25" spans="1:19" ht="13.5" thickBot="1">
      <c r="A25" s="782"/>
      <c r="B25" s="215" t="s">
        <v>387</v>
      </c>
      <c r="C25" s="224">
        <v>1344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+'5'!J25</f>
        <v>0</v>
      </c>
      <c r="K25" s="237"/>
      <c r="L25" s="237"/>
      <c r="M25" s="119">
        <f>+K25+'5'!M25+L25</f>
        <v>0</v>
      </c>
      <c r="N25" s="522">
        <v>1360</v>
      </c>
      <c r="O25" s="176">
        <f>+N25-N25*0.24</f>
        <v>1033.5999999999999</v>
      </c>
      <c r="P25" s="176">
        <f>360+23</f>
        <v>383</v>
      </c>
      <c r="Q25" s="151">
        <f>+N25*P25</f>
        <v>520880</v>
      </c>
      <c r="R25" s="151">
        <f>+O25*P25</f>
        <v>395868.8</v>
      </c>
    </row>
    <row r="26" spans="1:19" ht="13.5" thickBot="1">
      <c r="A26" s="782"/>
      <c r="B26" s="215" t="s">
        <v>383</v>
      </c>
      <c r="C26" s="224">
        <v>11808</v>
      </c>
      <c r="D26" s="217"/>
      <c r="E26" s="225"/>
      <c r="F26" s="229">
        <v>8</v>
      </c>
      <c r="G26" s="550" t="s">
        <v>11</v>
      </c>
      <c r="H26" s="551" t="s">
        <v>384</v>
      </c>
      <c r="I26" s="785"/>
      <c r="J26" s="214">
        <f>+'5'!J26</f>
        <v>0</v>
      </c>
      <c r="K26" s="237"/>
      <c r="L26" s="237"/>
      <c r="M26" s="119">
        <f>+K26+'5'!M26+L26</f>
        <v>0</v>
      </c>
      <c r="N26" s="555">
        <v>1400</v>
      </c>
      <c r="O26" s="176">
        <f>+N26-N26*0.24</f>
        <v>1064</v>
      </c>
      <c r="P26" s="151">
        <f>60-23+60+85</f>
        <v>182</v>
      </c>
      <c r="Q26" s="151">
        <f>+N26*P26</f>
        <v>254800</v>
      </c>
      <c r="R26" s="151">
        <f>+O26*P26</f>
        <v>193648</v>
      </c>
    </row>
    <row r="27" spans="1:19" ht="13.5" thickBot="1">
      <c r="A27" s="782"/>
      <c r="B27" s="215"/>
      <c r="C27" s="216"/>
      <c r="D27" s="217"/>
      <c r="E27" s="223"/>
      <c r="F27" s="229"/>
      <c r="G27" s="548"/>
      <c r="H27" s="551" t="s">
        <v>496</v>
      </c>
      <c r="I27" s="785"/>
      <c r="J27" s="214">
        <f>+'5'!J27</f>
        <v>0</v>
      </c>
      <c r="K27" s="237"/>
      <c r="L27" s="237"/>
      <c r="M27" s="119">
        <f>+K27+'5'!M27+L27</f>
        <v>0</v>
      </c>
      <c r="P27" s="151">
        <f>SUM(P25:P26)</f>
        <v>565</v>
      </c>
      <c r="Q27" s="151">
        <f>SUM(Q25:Q26)</f>
        <v>775680</v>
      </c>
      <c r="R27" s="151">
        <f>SUM(R25:R26)</f>
        <v>589516.80000000005</v>
      </c>
    </row>
    <row r="28" spans="1:19" ht="13.5" customHeight="1" thickBot="1">
      <c r="A28" s="782"/>
      <c r="B28" s="215"/>
      <c r="C28" s="216"/>
      <c r="D28" s="217"/>
      <c r="E28" s="223"/>
      <c r="F28" s="226"/>
      <c r="G28" s="230"/>
      <c r="H28" s="228" t="s">
        <v>497</v>
      </c>
      <c r="I28" s="785"/>
      <c r="J28" s="214">
        <f>+'5'!J28</f>
        <v>0</v>
      </c>
      <c r="K28" s="237"/>
      <c r="L28" s="237"/>
      <c r="M28" s="119">
        <f>+K28+'5'!M28+L28</f>
        <v>0</v>
      </c>
      <c r="Q28" s="151">
        <f>+Q27/P27</f>
        <v>1372.8849557522124</v>
      </c>
      <c r="R28" s="151">
        <f>+R27/P27</f>
        <v>1043.3925663716816</v>
      </c>
      <c r="S28" s="176"/>
    </row>
    <row r="29" spans="1:19" ht="13.5" thickBot="1">
      <c r="A29" s="782"/>
      <c r="B29" s="215"/>
      <c r="C29" s="216"/>
      <c r="D29" s="217"/>
      <c r="E29" s="223"/>
      <c r="F29" s="234"/>
      <c r="G29" s="230"/>
      <c r="H29" s="231" t="s">
        <v>498</v>
      </c>
      <c r="I29" s="785"/>
      <c r="J29" s="214">
        <f>+'5'!J29</f>
        <v>0</v>
      </c>
      <c r="K29" s="237"/>
      <c r="L29" s="237"/>
      <c r="M29" s="119">
        <f>+K29+'5'!M29+L29</f>
        <v>0</v>
      </c>
      <c r="R29" s="176"/>
      <c r="S29" s="176"/>
    </row>
    <row r="30" spans="1:19" ht="13.5" thickBot="1">
      <c r="A30" s="782"/>
      <c r="B30" s="215"/>
      <c r="C30" s="224"/>
      <c r="D30" s="217"/>
      <c r="E30" s="223"/>
      <c r="F30" s="234"/>
      <c r="G30" s="230"/>
      <c r="H30" s="231" t="s">
        <v>499</v>
      </c>
      <c r="I30" s="785"/>
      <c r="J30" s="214">
        <f>+'5'!J30</f>
        <v>0</v>
      </c>
      <c r="K30" s="237"/>
      <c r="L30" s="237"/>
      <c r="M30" s="119">
        <f>+K30+'5'!M30+L30</f>
        <v>0</v>
      </c>
      <c r="N30" s="157"/>
    </row>
    <row r="31" spans="1:19" ht="13.5" thickBot="1">
      <c r="A31" s="782"/>
      <c r="B31" s="215"/>
      <c r="C31" s="224"/>
      <c r="D31" s="217"/>
      <c r="E31" s="223"/>
      <c r="F31" s="234"/>
      <c r="G31" s="235"/>
      <c r="H31" s="435" t="s">
        <v>500</v>
      </c>
      <c r="I31" s="786"/>
      <c r="J31" s="214">
        <f>+'5'!J31</f>
        <v>0</v>
      </c>
      <c r="K31" s="237"/>
      <c r="L31" s="237"/>
      <c r="M31" s="119">
        <f>+K31+'5'!M31+L31</f>
        <v>0</v>
      </c>
    </row>
    <row r="32" spans="1:19" ht="13.5" thickBot="1">
      <c r="A32" s="783"/>
      <c r="B32" s="167" t="s">
        <v>2</v>
      </c>
      <c r="C32" s="101">
        <f>SUM(C25:C31)</f>
        <v>13152</v>
      </c>
      <c r="D32" s="102">
        <f>SUM(D25:D31)</f>
        <v>0</v>
      </c>
      <c r="E32" s="103">
        <f>SUM(E25:E31)</f>
        <v>0</v>
      </c>
      <c r="F32" s="101">
        <f>SUM(F24:F31)</f>
        <v>18</v>
      </c>
      <c r="G32" s="171"/>
      <c r="H32" s="172"/>
      <c r="I32" s="170"/>
      <c r="J32" s="214">
        <f>+'5'!J32</f>
        <v>0</v>
      </c>
      <c r="K32" s="239"/>
      <c r="L32" s="241"/>
      <c r="M32" s="119">
        <f>+K32+'5'!M32+L32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46979</v>
      </c>
      <c r="D34" s="109">
        <f>D14+D23+D32</f>
        <v>0</v>
      </c>
      <c r="E34" s="109">
        <f>E14+E23+E32</f>
        <v>0</v>
      </c>
      <c r="F34" s="110">
        <f>F14+F23+F32</f>
        <v>42</v>
      </c>
      <c r="H34" s="178"/>
      <c r="I34" s="178"/>
      <c r="J34" s="125" t="s">
        <v>27</v>
      </c>
      <c r="K34" s="126">
        <f>SUM(K7:K32)</f>
        <v>46979</v>
      </c>
      <c r="L34" s="212">
        <f>SUM(L7:L32)</f>
        <v>0</v>
      </c>
      <c r="M34" s="122">
        <f>SUM(M7:M32)</f>
        <v>305132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(12.5*60+13*815+12*565)/1440*G42*2.85*1440/1000000</f>
        <v>53.351823359375004</v>
      </c>
      <c r="J37" s="127">
        <f>+I37+'5'!J37</f>
        <v>334.40344119687506</v>
      </c>
      <c r="K37" s="128" t="s">
        <v>64</v>
      </c>
      <c r="N37" s="151">
        <f>1.96+0.49</f>
        <v>2.4500000000000002</v>
      </c>
    </row>
    <row r="38" spans="1:14" ht="17.45" customHeight="1">
      <c r="A38" s="779" t="s">
        <v>11</v>
      </c>
      <c r="B38" s="780"/>
      <c r="C38" s="166">
        <f>SUMIF($G$7:$G$31,"Process",$F$7:$F$31)</f>
        <v>42</v>
      </c>
      <c r="D38" s="120">
        <f>+C38+'5'!D38</f>
        <v>201</v>
      </c>
      <c r="E38" s="145">
        <f t="shared" ref="E38:E51" si="3">D38/60</f>
        <v>3.35</v>
      </c>
      <c r="F38" s="330">
        <v>1350</v>
      </c>
      <c r="G38" s="330">
        <v>1026</v>
      </c>
      <c r="H38" s="187" t="s">
        <v>65</v>
      </c>
      <c r="I38" s="243">
        <f>15.59+17.735+15.641</f>
        <v>48.966000000000001</v>
      </c>
      <c r="J38" s="129">
        <f>+I38+'5'!J38</f>
        <v>314.60700000000003</v>
      </c>
      <c r="K38" s="130" t="s">
        <v>64</v>
      </c>
      <c r="N38" s="151">
        <v>28.792000000000002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+C39+'5'!D39</f>
        <v>0</v>
      </c>
      <c r="E39" s="145">
        <f t="shared" si="3"/>
        <v>0</v>
      </c>
      <c r="F39" s="330">
        <v>1358.8541666666667</v>
      </c>
      <c r="G39" s="330">
        <v>1032.7291666666667</v>
      </c>
      <c r="H39" s="187" t="s">
        <v>66</v>
      </c>
      <c r="I39" s="144"/>
      <c r="J39" s="131">
        <f>J37/G4</f>
        <v>55.733906866145844</v>
      </c>
      <c r="K39" s="132" t="s">
        <v>64</v>
      </c>
      <c r="N39" s="151">
        <f>2.083+15.641</f>
        <v>17.724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+C40+'5'!D40</f>
        <v>0</v>
      </c>
      <c r="E40" s="145">
        <f t="shared" si="3"/>
        <v>0</v>
      </c>
      <c r="F40" s="330">
        <v>1368.0833333333333</v>
      </c>
      <c r="G40" s="330">
        <v>1039.7433333333333</v>
      </c>
      <c r="H40" s="187" t="s">
        <v>68</v>
      </c>
      <c r="I40" s="120">
        <f>(K34+L34)/1000</f>
        <v>46.978999999999999</v>
      </c>
      <c r="J40" s="133">
        <f>+I40+'5'!J40</f>
        <v>305.13200000000001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+C41+'5'!D41</f>
        <v>110</v>
      </c>
      <c r="E41" s="145">
        <f t="shared" si="3"/>
        <v>1.8333333333333333</v>
      </c>
      <c r="F41" s="330"/>
      <c r="G41" s="330"/>
      <c r="H41" s="187" t="s">
        <v>70</v>
      </c>
      <c r="I41" s="144"/>
      <c r="J41" s="131">
        <f>J40/G4</f>
        <v>50.855333333333334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+C42+'5'!D42</f>
        <v>0</v>
      </c>
      <c r="E42" s="145">
        <f t="shared" si="3"/>
        <v>0</v>
      </c>
      <c r="F42" s="330">
        <f>+(F38*480+F39*480+F40*480)/1440</f>
        <v>1358.9791666666667</v>
      </c>
      <c r="G42" s="330">
        <f>+(G38*480+G39*480+G40*480)/1440</f>
        <v>1032.8241666666668</v>
      </c>
      <c r="H42" s="187" t="s">
        <v>71</v>
      </c>
      <c r="I42" s="244" t="s">
        <v>508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+C43+'5'!D43</f>
        <v>0</v>
      </c>
      <c r="E43" s="145">
        <f t="shared" si="3"/>
        <v>0</v>
      </c>
      <c r="F43" s="330"/>
      <c r="G43" s="331"/>
      <c r="H43" s="188" t="s">
        <v>74</v>
      </c>
      <c r="I43" s="120">
        <f>+Report1!Z14</f>
        <v>128.80000000000001</v>
      </c>
      <c r="J43" s="135">
        <f>+I43+'5'!J43</f>
        <v>763.40000000000009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+C44+'5'!D44</f>
        <v>8</v>
      </c>
      <c r="E44" s="145">
        <f t="shared" si="3"/>
        <v>0.13333333333333333</v>
      </c>
      <c r="F44" s="330"/>
      <c r="G44" s="331"/>
      <c r="H44" s="188" t="s">
        <v>75</v>
      </c>
      <c r="I44" s="120">
        <f>I43/I38</f>
        <v>2.6303966017236453</v>
      </c>
      <c r="J44" s="136">
        <f>J43/J38</f>
        <v>2.4265194353590354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+C45+'5'!D45</f>
        <v>0</v>
      </c>
      <c r="E45" s="145">
        <f t="shared" si="3"/>
        <v>0</v>
      </c>
      <c r="F45" s="330"/>
      <c r="G45" s="333"/>
      <c r="H45" s="188" t="s">
        <v>76</v>
      </c>
      <c r="I45" s="120">
        <f>I43/I40</f>
        <v>2.7416505247025271</v>
      </c>
      <c r="J45" s="136">
        <f>J43/J40</f>
        <v>2.501868043994075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+C46+'5'!D46</f>
        <v>0</v>
      </c>
      <c r="E46" s="145">
        <f t="shared" si="3"/>
        <v>0</v>
      </c>
      <c r="F46" s="330"/>
      <c r="G46" s="331"/>
      <c r="H46" s="188" t="s">
        <v>78</v>
      </c>
      <c r="I46" s="142">
        <f>+SUMIF(Listrik!AN13,"&gt;0")</f>
        <v>52185.497309056605</v>
      </c>
      <c r="J46" s="137">
        <f>+I46+'5'!J46</f>
        <v>217942.93730905661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+C47+'5'!D47</f>
        <v>0</v>
      </c>
      <c r="E47" s="145">
        <f t="shared" si="3"/>
        <v>0</v>
      </c>
      <c r="F47" s="330"/>
      <c r="G47" s="331"/>
      <c r="H47" s="188" t="s">
        <v>81</v>
      </c>
      <c r="I47" s="120">
        <f>I46/I38</f>
        <v>1065.7496489208145</v>
      </c>
      <c r="J47" s="137">
        <f>J46/J38</f>
        <v>692.74662454763109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+C48+'5'!D48</f>
        <v>0</v>
      </c>
      <c r="E48" s="145">
        <f t="shared" si="3"/>
        <v>0</v>
      </c>
      <c r="F48" s="330"/>
      <c r="G48" s="331"/>
      <c r="H48" s="188" t="s">
        <v>82</v>
      </c>
      <c r="I48" s="120">
        <f>I46/I40</f>
        <v>1110.8260565158178</v>
      </c>
      <c r="J48" s="137">
        <f>J46/J40</f>
        <v>714.25788612487906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+C49+'5'!D49</f>
        <v>0</v>
      </c>
      <c r="E49" s="145">
        <f t="shared" si="3"/>
        <v>0</v>
      </c>
      <c r="F49" s="185"/>
      <c r="H49" s="188" t="s">
        <v>181</v>
      </c>
      <c r="I49" s="120">
        <v>0</v>
      </c>
      <c r="J49" s="137">
        <f>+I49+'5'!J49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+C50+'5'!D50</f>
        <v>0</v>
      </c>
      <c r="E50" s="145">
        <f t="shared" si="3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+C51+'5'!D51</f>
        <v>0</v>
      </c>
      <c r="E51" s="145">
        <f t="shared" si="3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42</v>
      </c>
      <c r="D52" s="146">
        <f>SUM(D38:D51)</f>
        <v>319</v>
      </c>
      <c r="E52" s="147">
        <f>SUM(E38:E51)</f>
        <v>5.3166666666666673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2.9166666666666667E-2</v>
      </c>
      <c r="D53" s="148">
        <f>D52/(24*60*G4)</f>
        <v>3.6921296296296299E-2</v>
      </c>
      <c r="E53" s="149">
        <f>E52/(G4*24)</f>
        <v>3.6921296296296299E-2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+D34+'5'!J56</f>
        <v>650</v>
      </c>
      <c r="K56" s="201">
        <f>J56/(J40+J56/1000)/1000</f>
        <v>2.125697392259845E-3</v>
      </c>
    </row>
    <row r="57" spans="1:11">
      <c r="A57" s="176"/>
      <c r="I57" s="199" t="s">
        <v>90</v>
      </c>
      <c r="J57" s="200">
        <f>+E34+'5'!J57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1"/>
  <sheetViews>
    <sheetView view="pageBreakPreview" topLeftCell="A25" zoomScale="80" zoomScaleNormal="75" zoomScaleSheetLayoutView="80" workbookViewId="0">
      <selection activeCell="H52" sqref="H5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34" ht="15.75">
      <c r="A1" s="150"/>
      <c r="V1" s="530"/>
      <c r="AC1" s="521"/>
    </row>
    <row r="2" spans="1:34" ht="15.75">
      <c r="A2" s="150" t="s">
        <v>224</v>
      </c>
      <c r="AC2" s="521"/>
    </row>
    <row r="3" spans="1:34" ht="15">
      <c r="A3" s="152"/>
    </row>
    <row r="4" spans="1:34" ht="20.25">
      <c r="A4" s="153" t="s">
        <v>3</v>
      </c>
      <c r="B4" s="154"/>
      <c r="F4" s="155" t="s">
        <v>28</v>
      </c>
      <c r="G4" s="156">
        <v>5</v>
      </c>
      <c r="H4" s="156" t="s">
        <v>381</v>
      </c>
      <c r="V4" s="530"/>
      <c r="AF4" s="176"/>
    </row>
    <row r="5" spans="1:34" ht="13.5" thickBot="1">
      <c r="C5" s="157"/>
      <c r="D5" s="157"/>
      <c r="AG5" s="176"/>
      <c r="AH5" s="176"/>
    </row>
    <row r="6" spans="1:34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589+518+400</f>
        <v>1507</v>
      </c>
      <c r="Y6" s="531"/>
    </row>
    <row r="7" spans="1:34" ht="13.5" customHeight="1" thickBot="1">
      <c r="A7" s="781" t="s">
        <v>227</v>
      </c>
      <c r="B7" s="215" t="s">
        <v>426</v>
      </c>
      <c r="C7" s="216">
        <v>16889</v>
      </c>
      <c r="D7" s="217"/>
      <c r="E7" s="218"/>
      <c r="F7" s="229"/>
      <c r="G7" s="548" t="s">
        <v>11</v>
      </c>
      <c r="H7" s="549" t="s">
        <v>392</v>
      </c>
      <c r="I7" s="784" t="s">
        <v>480</v>
      </c>
      <c r="J7" s="214" t="str">
        <f>+'4'!J7</f>
        <v>F 15 VP OW</v>
      </c>
      <c r="K7" s="236"/>
      <c r="L7" s="240"/>
      <c r="M7" s="119">
        <f>+K7+'4'!M7+L7</f>
        <v>12732</v>
      </c>
      <c r="Z7" s="531"/>
      <c r="AA7" s="531"/>
    </row>
    <row r="8" spans="1:34" ht="13.5" thickBot="1">
      <c r="A8" s="782"/>
      <c r="B8" s="215"/>
      <c r="C8" s="216"/>
      <c r="D8" s="217"/>
      <c r="E8" s="219"/>
      <c r="F8" s="229">
        <v>3</v>
      </c>
      <c r="G8" s="550" t="s">
        <v>11</v>
      </c>
      <c r="H8" s="549" t="s">
        <v>478</v>
      </c>
      <c r="I8" s="785"/>
      <c r="J8" s="214" t="str">
        <f>+'4'!J8</f>
        <v>T 12,5 VP OW</v>
      </c>
      <c r="K8" s="237">
        <f>+C26</f>
        <v>13852</v>
      </c>
      <c r="L8" s="237"/>
      <c r="M8" s="119">
        <f>+K8+'4'!M8+L8</f>
        <v>28194</v>
      </c>
      <c r="N8" s="530">
        <v>1300</v>
      </c>
      <c r="O8" s="151">
        <f>+N8-N8*0.24</f>
        <v>988</v>
      </c>
      <c r="P8" s="151">
        <v>240</v>
      </c>
      <c r="Q8" s="151">
        <f>+N8*P8</f>
        <v>312000</v>
      </c>
      <c r="R8" s="151">
        <f>+O8*P8</f>
        <v>237120</v>
      </c>
    </row>
    <row r="9" spans="1:34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384</v>
      </c>
      <c r="I9" s="785"/>
      <c r="J9" s="214" t="str">
        <f>+'4'!J9</f>
        <v>T 14 VP OW</v>
      </c>
      <c r="K9" s="237">
        <f>+C7</f>
        <v>16889</v>
      </c>
      <c r="L9" s="237"/>
      <c r="M9" s="119">
        <f>+K9+'4'!M9+L9</f>
        <v>186632</v>
      </c>
      <c r="N9" s="151">
        <v>1050</v>
      </c>
      <c r="O9" s="151">
        <f>+N9-N9*0.24</f>
        <v>798</v>
      </c>
      <c r="P9" s="151">
        <v>240</v>
      </c>
      <c r="Q9" s="151">
        <f>+N9*P9</f>
        <v>252000</v>
      </c>
      <c r="R9" s="151">
        <f>+O9*P9</f>
        <v>191520</v>
      </c>
    </row>
    <row r="10" spans="1:34" ht="13.5" thickBot="1">
      <c r="A10" s="782"/>
      <c r="B10" s="215"/>
      <c r="C10" s="216"/>
      <c r="D10" s="217"/>
      <c r="E10" s="219"/>
      <c r="F10" s="229"/>
      <c r="G10" s="548"/>
      <c r="H10" s="551" t="s">
        <v>455</v>
      </c>
      <c r="I10" s="785"/>
      <c r="J10" s="214" t="str">
        <f>+'4'!J10</f>
        <v>F 12 VP OW</v>
      </c>
      <c r="K10" s="237"/>
      <c r="L10" s="237"/>
      <c r="M10" s="119">
        <f>+K10+'4'!M10+L10</f>
        <v>9202</v>
      </c>
      <c r="P10" s="151">
        <f>SUM(P8:P9)</f>
        <v>480</v>
      </c>
      <c r="Q10" s="151">
        <f>SUM(Q8:Q9)</f>
        <v>564000</v>
      </c>
      <c r="R10" s="151">
        <f>SUM(R8:R9)</f>
        <v>428640</v>
      </c>
    </row>
    <row r="11" spans="1:34" ht="39" thickBot="1">
      <c r="A11" s="782"/>
      <c r="B11" s="215"/>
      <c r="C11" s="216"/>
      <c r="D11" s="217"/>
      <c r="E11" s="219"/>
      <c r="F11" s="476"/>
      <c r="G11" s="477"/>
      <c r="H11" s="228" t="s">
        <v>473</v>
      </c>
      <c r="I11" s="785"/>
      <c r="J11" s="214" t="s">
        <v>485</v>
      </c>
      <c r="K11" s="237">
        <f>+C16+C25</f>
        <v>21393</v>
      </c>
      <c r="L11" s="237"/>
      <c r="M11" s="119">
        <f>+K11+'4'!M11+L11</f>
        <v>21393</v>
      </c>
      <c r="Q11" s="531">
        <f>+Q10/P10</f>
        <v>1175</v>
      </c>
      <c r="R11" s="151">
        <f>+R10/P10</f>
        <v>893</v>
      </c>
    </row>
    <row r="12" spans="1:34" ht="13.5" thickBot="1">
      <c r="A12" s="782"/>
      <c r="B12" s="215"/>
      <c r="C12" s="216"/>
      <c r="D12" s="217"/>
      <c r="E12" s="219"/>
      <c r="F12" s="226"/>
      <c r="G12" s="230"/>
      <c r="H12" s="231" t="s">
        <v>479</v>
      </c>
      <c r="I12" s="785"/>
      <c r="J12" s="214">
        <f>+'4'!J12</f>
        <v>0</v>
      </c>
      <c r="K12" s="237"/>
      <c r="L12" s="237"/>
      <c r="M12" s="119">
        <f>+K12+'4'!M12+L12</f>
        <v>0</v>
      </c>
      <c r="R12" s="531"/>
      <c r="S12" s="531"/>
    </row>
    <row r="13" spans="1:34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+'4'!J13</f>
        <v>0</v>
      </c>
      <c r="K13" s="237"/>
      <c r="L13" s="237"/>
      <c r="M13" s="119">
        <f>+K13+'4'!M13+L13</f>
        <v>0</v>
      </c>
    </row>
    <row r="14" spans="1:34" ht="13.5" thickBot="1">
      <c r="A14" s="783"/>
      <c r="B14" s="167" t="s">
        <v>2</v>
      </c>
      <c r="C14" s="101">
        <f>SUM(C7:C13)</f>
        <v>16889</v>
      </c>
      <c r="D14" s="113">
        <f>SUM(D7:D13)</f>
        <v>0</v>
      </c>
      <c r="E14" s="114">
        <f>SUM(E9:E13)</f>
        <v>0</v>
      </c>
      <c r="F14" s="104">
        <f>SUM(F6:F13)</f>
        <v>13</v>
      </c>
      <c r="G14" s="161"/>
      <c r="H14" s="168"/>
      <c r="I14" s="169"/>
      <c r="J14" s="214">
        <f>+'4'!J14</f>
        <v>0</v>
      </c>
      <c r="K14" s="237"/>
      <c r="L14" s="237"/>
      <c r="M14" s="119">
        <f>+K14+'4'!M14+L14</f>
        <v>0</v>
      </c>
    </row>
    <row r="15" spans="1:34" ht="13.5" customHeight="1" thickBot="1">
      <c r="A15" s="787" t="s">
        <v>425</v>
      </c>
      <c r="B15" s="506"/>
      <c r="C15" s="553">
        <f>C14/($C$32+$D$32+$E$32)</f>
        <v>0.94600347280569097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481</v>
      </c>
      <c r="J15" s="214">
        <f>+'4'!J15</f>
        <v>0</v>
      </c>
      <c r="K15" s="237"/>
      <c r="L15" s="237"/>
      <c r="M15" s="119">
        <f>+K15+'4'!M15+L15</f>
        <v>0</v>
      </c>
      <c r="N15" s="530"/>
    </row>
    <row r="16" spans="1:34" ht="13.5" thickBot="1">
      <c r="A16" s="782"/>
      <c r="B16" s="215" t="s">
        <v>485</v>
      </c>
      <c r="C16" s="507">
        <v>17392</v>
      </c>
      <c r="D16" s="221">
        <v>650</v>
      </c>
      <c r="E16" s="222"/>
      <c r="F16" s="229">
        <v>3</v>
      </c>
      <c r="G16" s="550" t="s">
        <v>11</v>
      </c>
      <c r="H16" s="549" t="s">
        <v>478</v>
      </c>
      <c r="I16" s="785"/>
      <c r="J16" s="214">
        <f>+'4'!J16</f>
        <v>0</v>
      </c>
      <c r="K16" s="227"/>
      <c r="L16" s="227"/>
      <c r="M16" s="119">
        <f>+K16+'4'!M16+L16</f>
        <v>0</v>
      </c>
      <c r="N16" s="530">
        <v>1050</v>
      </c>
      <c r="O16" s="151">
        <f>+N16-N16*0.24</f>
        <v>798</v>
      </c>
      <c r="P16" s="151">
        <v>370</v>
      </c>
      <c r="Q16" s="151">
        <f>+N16*P16</f>
        <v>388500</v>
      </c>
      <c r="R16" s="151">
        <f>+O16*P16</f>
        <v>295260</v>
      </c>
    </row>
    <row r="17" spans="1:19" ht="13.5" thickBot="1">
      <c r="A17" s="782"/>
      <c r="B17" s="215"/>
      <c r="C17" s="216"/>
      <c r="D17" s="217"/>
      <c r="E17" s="223"/>
      <c r="F17" s="229">
        <v>8</v>
      </c>
      <c r="G17" s="550" t="s">
        <v>11</v>
      </c>
      <c r="H17" s="551" t="s">
        <v>416</v>
      </c>
      <c r="I17" s="785"/>
      <c r="J17" s="214">
        <f>+'4'!J17</f>
        <v>0</v>
      </c>
      <c r="K17" s="227"/>
      <c r="L17" s="227"/>
      <c r="M17" s="119">
        <f>+K17+'4'!M17+L17</f>
        <v>0</v>
      </c>
      <c r="N17" s="151">
        <v>1350</v>
      </c>
      <c r="O17" s="151">
        <f>+N17-N17*0.24</f>
        <v>1026</v>
      </c>
      <c r="P17" s="151">
        <f>50+60</f>
        <v>110</v>
      </c>
      <c r="Q17" s="151">
        <f>+N17*P17</f>
        <v>148500</v>
      </c>
      <c r="R17" s="151">
        <f>+O17*P17</f>
        <v>112860</v>
      </c>
    </row>
    <row r="18" spans="1:19" ht="13.5" thickBot="1">
      <c r="A18" s="782"/>
      <c r="B18" s="215"/>
      <c r="C18" s="216"/>
      <c r="D18" s="217"/>
      <c r="E18" s="223"/>
      <c r="F18" s="229"/>
      <c r="G18" s="548"/>
      <c r="H18" s="551" t="s">
        <v>474</v>
      </c>
      <c r="I18" s="785"/>
      <c r="J18" s="214">
        <f>+'4'!J18</f>
        <v>0</v>
      </c>
      <c r="K18" s="237"/>
      <c r="L18" s="237"/>
      <c r="M18" s="119">
        <f>+K18+'4'!M18+L18</f>
        <v>0</v>
      </c>
      <c r="P18" s="151">
        <f>SUM(P16:P17)</f>
        <v>480</v>
      </c>
      <c r="Q18" s="151">
        <f>SUM(Q16:Q17)</f>
        <v>537000</v>
      </c>
      <c r="R18" s="151">
        <f>SUM(R16:R17)</f>
        <v>408120</v>
      </c>
    </row>
    <row r="19" spans="1:19" ht="39" thickBot="1">
      <c r="A19" s="782"/>
      <c r="B19" s="215"/>
      <c r="C19" s="216"/>
      <c r="D19" s="217"/>
      <c r="E19" s="223"/>
      <c r="F19" s="226"/>
      <c r="G19" s="230"/>
      <c r="H19" s="228" t="s">
        <v>475</v>
      </c>
      <c r="I19" s="785"/>
      <c r="J19" s="214">
        <f>+'4'!J19</f>
        <v>0</v>
      </c>
      <c r="K19" s="237"/>
      <c r="L19" s="237"/>
      <c r="M19" s="119">
        <f>+K19+'4'!M19+L19</f>
        <v>0</v>
      </c>
      <c r="Q19" s="531">
        <f>+Q18/P18</f>
        <v>1118.75</v>
      </c>
      <c r="R19" s="151">
        <f>+R18/P18</f>
        <v>850.25</v>
      </c>
      <c r="S19" s="176"/>
    </row>
    <row r="20" spans="1:19" ht="13.5" thickBot="1">
      <c r="A20" s="782"/>
      <c r="B20" s="215"/>
      <c r="C20" s="216"/>
      <c r="D20" s="217"/>
      <c r="E20" s="223"/>
      <c r="F20" s="226"/>
      <c r="G20" s="230"/>
      <c r="H20" s="231" t="s">
        <v>486</v>
      </c>
      <c r="I20" s="785"/>
      <c r="J20" s="214">
        <f>+'4'!J20</f>
        <v>0</v>
      </c>
      <c r="K20" s="238"/>
      <c r="L20" s="238"/>
      <c r="M20" s="119">
        <f>+K20+'4'!M20+L20</f>
        <v>0</v>
      </c>
      <c r="R20" s="531"/>
    </row>
    <row r="21" spans="1:19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+'4'!J21</f>
        <v>0</v>
      </c>
      <c r="K21" s="237"/>
      <c r="L21" s="237"/>
      <c r="M21" s="119">
        <f>+K21+'4'!M21+L21</f>
        <v>0</v>
      </c>
    </row>
    <row r="22" spans="1:19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+'4'!J22</f>
        <v>0</v>
      </c>
      <c r="K22" s="237"/>
      <c r="L22" s="237"/>
      <c r="M22" s="119">
        <f>+K22+'4'!M22+L22</f>
        <v>0</v>
      </c>
    </row>
    <row r="23" spans="1:19" ht="13.5" thickBot="1">
      <c r="A23" s="783"/>
      <c r="B23" s="167" t="s">
        <v>2</v>
      </c>
      <c r="C23" s="101">
        <f>SUM(C16:C22)</f>
        <v>17392</v>
      </c>
      <c r="D23" s="113">
        <f>SUM(D16:D22)</f>
        <v>650</v>
      </c>
      <c r="E23" s="114">
        <f>SUM(E18:E22)</f>
        <v>0</v>
      </c>
      <c r="F23" s="104">
        <f>SUM(F15:F22)</f>
        <v>11</v>
      </c>
      <c r="G23" s="161"/>
      <c r="H23" s="168"/>
      <c r="I23" s="170"/>
      <c r="J23" s="214">
        <f>+'4'!J23</f>
        <v>0</v>
      </c>
      <c r="K23" s="237"/>
      <c r="L23" s="237"/>
      <c r="M23" s="119">
        <f>+K23+'4'!M23+L23</f>
        <v>0</v>
      </c>
    </row>
    <row r="24" spans="1:19" ht="13.5" customHeight="1" thickBot="1">
      <c r="A24" s="787" t="s">
        <v>362</v>
      </c>
      <c r="B24" s="506"/>
      <c r="C24" s="115">
        <f>C23/($C$23+$D$23+$E$23)</f>
        <v>0.96397295200088684</v>
      </c>
      <c r="D24" s="116">
        <f>D23/($C$23+$D$23+$E$23)</f>
        <v>3.6027047999113181E-2</v>
      </c>
      <c r="E24" s="117">
        <f>E23/($C$23+$D$23+$E$23)</f>
        <v>0</v>
      </c>
      <c r="F24" s="229">
        <v>5</v>
      </c>
      <c r="G24" s="548" t="s">
        <v>11</v>
      </c>
      <c r="H24" s="549" t="s">
        <v>448</v>
      </c>
      <c r="I24" s="784" t="s">
        <v>482</v>
      </c>
      <c r="J24" s="214">
        <f>+'4'!J24</f>
        <v>0</v>
      </c>
      <c r="K24" s="237"/>
      <c r="L24" s="237"/>
      <c r="M24" s="119">
        <f>+K24+'4'!M24+L24</f>
        <v>0</v>
      </c>
      <c r="N24" s="521"/>
    </row>
    <row r="25" spans="1:19" ht="13.5" thickBot="1">
      <c r="A25" s="782"/>
      <c r="B25" s="215" t="s">
        <v>485</v>
      </c>
      <c r="C25" s="224">
        <v>4001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+'4'!J25</f>
        <v>0</v>
      </c>
      <c r="K25" s="237"/>
      <c r="L25" s="237"/>
      <c r="M25" s="119">
        <f>+K25+'4'!M25+L25</f>
        <v>0</v>
      </c>
      <c r="N25" s="530"/>
    </row>
    <row r="26" spans="1:19" ht="13.5" thickBot="1">
      <c r="A26" s="782"/>
      <c r="B26" s="215" t="s">
        <v>427</v>
      </c>
      <c r="C26" s="224">
        <f>1761+12091</f>
        <v>13852</v>
      </c>
      <c r="D26" s="217"/>
      <c r="E26" s="225"/>
      <c r="F26" s="229">
        <v>9</v>
      </c>
      <c r="G26" s="550" t="s">
        <v>11</v>
      </c>
      <c r="H26" s="551" t="s">
        <v>414</v>
      </c>
      <c r="I26" s="785"/>
      <c r="J26" s="214">
        <f>+'4'!J26</f>
        <v>0</v>
      </c>
      <c r="K26" s="237"/>
      <c r="L26" s="237"/>
      <c r="M26" s="119">
        <f>+K26+'4'!M26+L26</f>
        <v>0</v>
      </c>
      <c r="N26" s="151">
        <v>1350</v>
      </c>
      <c r="O26" s="151">
        <f>+N26-N26*0.24</f>
        <v>1026</v>
      </c>
      <c r="P26" s="151">
        <f>50+60</f>
        <v>110</v>
      </c>
      <c r="Q26" s="151">
        <f>+N26*P26</f>
        <v>148500</v>
      </c>
      <c r="R26" s="151">
        <f>+O26*P26</f>
        <v>112860</v>
      </c>
    </row>
    <row r="27" spans="1:19" ht="13.5" thickBot="1">
      <c r="A27" s="782"/>
      <c r="B27" s="215"/>
      <c r="C27" s="216"/>
      <c r="D27" s="217"/>
      <c r="E27" s="223"/>
      <c r="F27" s="229"/>
      <c r="G27" s="548"/>
      <c r="H27" s="551" t="s">
        <v>487</v>
      </c>
      <c r="I27" s="785"/>
      <c r="J27" s="214">
        <f>+'4'!J27</f>
        <v>0</v>
      </c>
      <c r="K27" s="237"/>
      <c r="L27" s="237"/>
      <c r="M27" s="119">
        <f>+K27+'4'!M27+L27</f>
        <v>0</v>
      </c>
      <c r="N27" s="151">
        <v>1350</v>
      </c>
      <c r="O27" s="151">
        <f>+N27-N27*0.24</f>
        <v>1026</v>
      </c>
      <c r="P27" s="151">
        <v>480</v>
      </c>
      <c r="Q27" s="151">
        <f>+N27*P27</f>
        <v>648000</v>
      </c>
      <c r="R27" s="151">
        <f>+O27*P27</f>
        <v>492480</v>
      </c>
      <c r="S27" s="176"/>
    </row>
    <row r="28" spans="1:19" ht="39" thickBot="1">
      <c r="A28" s="782"/>
      <c r="B28" s="215"/>
      <c r="C28" s="216"/>
      <c r="D28" s="217"/>
      <c r="E28" s="223"/>
      <c r="F28" s="226"/>
      <c r="G28" s="230"/>
      <c r="H28" s="228" t="s">
        <v>476</v>
      </c>
      <c r="I28" s="785"/>
      <c r="J28" s="214">
        <f>+'4'!J28</f>
        <v>0</v>
      </c>
      <c r="K28" s="237"/>
      <c r="L28" s="237"/>
      <c r="M28" s="119">
        <f>+K28+'4'!M28+L28</f>
        <v>0</v>
      </c>
      <c r="P28" s="151">
        <f>SUM(P25:P27)</f>
        <v>590</v>
      </c>
      <c r="Q28" s="151">
        <f>SUM(Q25:Q27)</f>
        <v>796500</v>
      </c>
      <c r="R28" s="151">
        <f>SUM(R25:R27)</f>
        <v>605340</v>
      </c>
    </row>
    <row r="29" spans="1:19" ht="13.5" thickBot="1">
      <c r="A29" s="782"/>
      <c r="B29" s="215"/>
      <c r="C29" s="216"/>
      <c r="D29" s="217"/>
      <c r="E29" s="223"/>
      <c r="F29" s="234"/>
      <c r="G29" s="230"/>
      <c r="H29" s="231" t="s">
        <v>477</v>
      </c>
      <c r="I29" s="785"/>
      <c r="J29" s="214">
        <f>+'4'!J29</f>
        <v>0</v>
      </c>
      <c r="K29" s="237"/>
      <c r="L29" s="237"/>
      <c r="M29" s="119">
        <f>+K29+'4'!M29+L29</f>
        <v>0</v>
      </c>
      <c r="Q29" s="531">
        <f>+Q28/P28</f>
        <v>1350</v>
      </c>
      <c r="R29" s="151">
        <f>+R28/P28</f>
        <v>1026</v>
      </c>
    </row>
    <row r="30" spans="1:19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+'4'!J30</f>
        <v>0</v>
      </c>
      <c r="K30" s="237"/>
      <c r="L30" s="237"/>
      <c r="M30" s="119">
        <f>+K30+'4'!M30+L30</f>
        <v>0</v>
      </c>
      <c r="N30" s="157"/>
    </row>
    <row r="31" spans="1:19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+'4'!J31</f>
        <v>0</v>
      </c>
      <c r="K31" s="237"/>
      <c r="L31" s="237"/>
      <c r="M31" s="119">
        <f>+K31+'4'!M31+L31</f>
        <v>0</v>
      </c>
    </row>
    <row r="32" spans="1:19" ht="13.5" thickBot="1">
      <c r="A32" s="783"/>
      <c r="B32" s="167" t="s">
        <v>2</v>
      </c>
      <c r="C32" s="101">
        <f>SUM(C25:C31)</f>
        <v>17853</v>
      </c>
      <c r="D32" s="102">
        <f>SUM(D25:D31)</f>
        <v>0</v>
      </c>
      <c r="E32" s="103">
        <f>SUM(E25:E31)</f>
        <v>0</v>
      </c>
      <c r="F32" s="101">
        <f>SUM(F24:F31)</f>
        <v>14</v>
      </c>
      <c r="G32" s="171"/>
      <c r="H32" s="172"/>
      <c r="I32" s="170"/>
      <c r="J32" s="214">
        <f>+'4'!J32</f>
        <v>0</v>
      </c>
      <c r="K32" s="239"/>
      <c r="L32" s="241"/>
      <c r="M32" s="119"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52134</v>
      </c>
      <c r="D34" s="109">
        <f>D14+D23+D32</f>
        <v>650</v>
      </c>
      <c r="E34" s="109">
        <f>E14+E23+E32</f>
        <v>0</v>
      </c>
      <c r="F34" s="110">
        <f>F14+F23+F32</f>
        <v>38</v>
      </c>
      <c r="H34" s="178"/>
      <c r="I34" s="178"/>
      <c r="J34" s="125" t="s">
        <v>27</v>
      </c>
      <c r="K34" s="126">
        <f>SUM(K7:K32)</f>
        <v>52134</v>
      </c>
      <c r="L34" s="212">
        <f>SUM(L7:L32)</f>
        <v>0</v>
      </c>
      <c r="M34" s="122">
        <f>SUM(M7:M32)</f>
        <v>258153</v>
      </c>
      <c r="N34" s="157"/>
    </row>
    <row r="35" spans="1:14" ht="13.5" thickBot="1">
      <c r="A35" s="179"/>
      <c r="B35" s="180"/>
      <c r="C35" s="106">
        <f>C34/($C$34+$D$34+$E$34)</f>
        <v>0.98768566232191568</v>
      </c>
      <c r="D35" s="106">
        <f>D34/($C$34+$D$34+$E$34)</f>
        <v>1.2314337678084267E-2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(14*830+18*610)/1440*G42*2.85*1440/1000000</f>
        <v>59.455797500000003</v>
      </c>
      <c r="J37" s="127">
        <f>+I37+'4'!J37</f>
        <v>281.05161783750003</v>
      </c>
      <c r="K37" s="128" t="s">
        <v>64</v>
      </c>
      <c r="L37" s="151">
        <f>2.399+2.056+1.733+2.342+2.342</f>
        <v>10.872000000000002</v>
      </c>
    </row>
    <row r="38" spans="1:14" ht="17.45" customHeight="1">
      <c r="A38" s="779" t="s">
        <v>11</v>
      </c>
      <c r="B38" s="780"/>
      <c r="C38" s="166">
        <f>SUMIF($G$7:$G$31,"Process",$F$7:$F$31)</f>
        <v>38</v>
      </c>
      <c r="D38" s="120">
        <f>+C38+'4'!D38</f>
        <v>159</v>
      </c>
      <c r="E38" s="145">
        <f t="shared" ref="E38:E51" si="0">D38/60</f>
        <v>2.65</v>
      </c>
      <c r="F38" s="330">
        <v>1175</v>
      </c>
      <c r="G38" s="330">
        <v>893</v>
      </c>
      <c r="H38" s="187" t="s">
        <v>65</v>
      </c>
      <c r="I38" s="561">
        <f>18.874+18.203+16.87</f>
        <v>53.947000000000003</v>
      </c>
      <c r="J38" s="129">
        <f>+I38+'4'!J38</f>
        <v>265.64100000000002</v>
      </c>
      <c r="K38" s="130" t="s">
        <v>64</v>
      </c>
      <c r="L38" s="562">
        <f>+I38-L37-L39</f>
        <v>23.853000000000002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+C39+'4'!D39</f>
        <v>0</v>
      </c>
      <c r="E39" s="145">
        <f t="shared" si="0"/>
        <v>0</v>
      </c>
      <c r="F39" s="330">
        <v>1118.75</v>
      </c>
      <c r="G39" s="330">
        <v>850.25</v>
      </c>
      <c r="H39" s="187" t="s">
        <v>66</v>
      </c>
      <c r="I39" s="144"/>
      <c r="J39" s="131">
        <f>J37/G4</f>
        <v>56.210323567500005</v>
      </c>
      <c r="K39" s="132" t="s">
        <v>64</v>
      </c>
      <c r="L39" s="151">
        <f>2.352+16.87</f>
        <v>19.222000000000001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+C40+'4'!D40</f>
        <v>0</v>
      </c>
      <c r="E40" s="145">
        <f t="shared" si="0"/>
        <v>0</v>
      </c>
      <c r="F40" s="330">
        <v>1350</v>
      </c>
      <c r="G40" s="330">
        <f>+F40-F40*0.24</f>
        <v>1026</v>
      </c>
      <c r="H40" s="187" t="s">
        <v>68</v>
      </c>
      <c r="I40" s="120">
        <f>(K34+L34)/1000</f>
        <v>52.134</v>
      </c>
      <c r="J40" s="133">
        <f>+I40+'4'!J40</f>
        <v>258.15300000000002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+C41+'4'!D41</f>
        <v>110</v>
      </c>
      <c r="E41" s="145">
        <f t="shared" si="0"/>
        <v>1.8333333333333333</v>
      </c>
      <c r="F41" s="330"/>
      <c r="G41" s="330"/>
      <c r="H41" s="187" t="s">
        <v>70</v>
      </c>
      <c r="I41" s="144"/>
      <c r="J41" s="131">
        <f>J40/G4</f>
        <v>51.630600000000001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+C42+'4'!D42</f>
        <v>0</v>
      </c>
      <c r="E42" s="145">
        <f t="shared" si="0"/>
        <v>0</v>
      </c>
      <c r="F42" s="330">
        <f>+(F38*480+F39*480+F40*480)/1440</f>
        <v>1214.5833333333333</v>
      </c>
      <c r="G42" s="330">
        <f>+(G38*480+G39*480+G40*480)/1440</f>
        <v>923.08333333333337</v>
      </c>
      <c r="H42" s="187" t="s">
        <v>71</v>
      </c>
      <c r="I42" s="244" t="s">
        <v>483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+C43+'4'!D43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+Report1!Z13</f>
        <v>130.30000000000001</v>
      </c>
      <c r="J43" s="135">
        <f>+I43+'4'!J43</f>
        <v>634.6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+C44+'4'!D44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2.4153335681316848</v>
      </c>
      <c r="J44" s="136">
        <f>J43/J38</f>
        <v>2.3889384545307388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+C45+'4'!D45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2.4993286530862777</v>
      </c>
      <c r="J45" s="136">
        <f>J43/J40</f>
        <v>2.4582321336571722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+C46+'4'!D46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+SUMIF(Listrik!AN12,"&gt;0")</f>
        <v>36373.819999999658</v>
      </c>
      <c r="J46" s="137">
        <f>+I46+'4'!J46</f>
        <v>165757.44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+C47+'4'!D47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674.25102415332935</v>
      </c>
      <c r="J47" s="137">
        <f>J46/J38</f>
        <v>623.99042316509872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+C48+'4'!D48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697.69862277975324</v>
      </c>
      <c r="J48" s="137">
        <f>J46/J40</f>
        <v>642.0899234175082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+C49+'4'!D49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+I49+'4'!J49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+C50+'4'!D50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+C51+'4'!D51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38</v>
      </c>
      <c r="D52" s="146">
        <f>SUM(D38:D51)</f>
        <v>277</v>
      </c>
      <c r="E52" s="147">
        <f>SUM(E38:E51)</f>
        <v>4.6166666666666671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2.6388888888888889E-2</v>
      </c>
      <c r="D53" s="148">
        <f>D52/(24*60*G4)</f>
        <v>3.847222222222222E-2</v>
      </c>
      <c r="E53" s="149">
        <f>E52/(G4*24)</f>
        <v>3.8472222222222227E-2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+D34+'4'!J56</f>
        <v>650</v>
      </c>
      <c r="K56" s="201">
        <f>J56/(J40+J56/1000)/1000</f>
        <v>2.5115628489623381E-3</v>
      </c>
    </row>
    <row r="57" spans="1:11">
      <c r="A57" s="176"/>
      <c r="I57" s="199" t="s">
        <v>90</v>
      </c>
      <c r="J57" s="200"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7" right="0.16" top="0.17" bottom="0.14027777777777778" header="0" footer="0"/>
  <pageSetup paperSize="9" scale="58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topLeftCell="A25" zoomScale="80" zoomScaleNormal="75" zoomScaleSheetLayoutView="80" workbookViewId="0">
      <selection activeCell="I38" sqref="I3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27" ht="15.75">
      <c r="A1" s="150"/>
      <c r="V1" s="530"/>
    </row>
    <row r="2" spans="1:27" ht="15.75">
      <c r="A2" s="150" t="s">
        <v>224</v>
      </c>
    </row>
    <row r="3" spans="1:27" ht="15">
      <c r="A3" s="152"/>
      <c r="V3" s="528"/>
      <c r="W3" s="529"/>
      <c r="X3" s="529"/>
      <c r="Y3" s="529"/>
    </row>
    <row r="4" spans="1:27" ht="20.25">
      <c r="A4" s="153" t="s">
        <v>3</v>
      </c>
      <c r="B4" s="154"/>
      <c r="F4" s="155" t="s">
        <v>28</v>
      </c>
      <c r="G4" s="156">
        <v>4</v>
      </c>
      <c r="H4" s="156" t="s">
        <v>381</v>
      </c>
      <c r="V4" s="528"/>
      <c r="W4" s="529"/>
      <c r="X4" s="529"/>
      <c r="Y4" s="529"/>
    </row>
    <row r="5" spans="1:27" ht="13.5" thickBot="1">
      <c r="C5" s="157"/>
      <c r="D5" s="157"/>
      <c r="V5" s="529"/>
      <c r="W5" s="529"/>
      <c r="X5" s="529"/>
      <c r="Y5" s="554"/>
      <c r="Z5" s="529"/>
      <c r="AA5" s="529"/>
    </row>
    <row r="6" spans="1:27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362+366+366</f>
        <v>1094</v>
      </c>
      <c r="V6" s="529"/>
      <c r="W6" s="529"/>
      <c r="X6" s="529"/>
      <c r="Y6" s="529"/>
      <c r="Z6" s="554"/>
      <c r="AA6" s="176"/>
    </row>
    <row r="7" spans="1:27" ht="13.5" customHeight="1" thickBot="1">
      <c r="A7" s="781" t="s">
        <v>227</v>
      </c>
      <c r="B7" s="215" t="s">
        <v>426</v>
      </c>
      <c r="C7" s="216">
        <v>17292</v>
      </c>
      <c r="D7" s="217"/>
      <c r="E7" s="218"/>
      <c r="F7" s="229"/>
      <c r="G7" s="548" t="s">
        <v>11</v>
      </c>
      <c r="H7" s="549" t="s">
        <v>392</v>
      </c>
      <c r="I7" s="784" t="s">
        <v>412</v>
      </c>
      <c r="J7" s="214" t="str">
        <f>+'3'!J7</f>
        <v>F 15 VP OW</v>
      </c>
      <c r="K7" s="236"/>
      <c r="L7" s="240"/>
      <c r="M7" s="119">
        <f>+K7+'3'!M7+L7</f>
        <v>12732</v>
      </c>
      <c r="V7" s="529"/>
      <c r="W7" s="529"/>
      <c r="X7" s="529"/>
      <c r="Y7" s="529"/>
      <c r="Z7" s="529"/>
    </row>
    <row r="8" spans="1:27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+'3'!J8</f>
        <v>T 12,5 VP OW</v>
      </c>
      <c r="K8" s="237"/>
      <c r="L8" s="237"/>
      <c r="M8" s="119">
        <f>+K8+'3'!M8+L8</f>
        <v>14342</v>
      </c>
      <c r="N8" s="521">
        <v>1300</v>
      </c>
      <c r="O8" s="176">
        <f>+N8-N8*0.24</f>
        <v>988</v>
      </c>
      <c r="P8" s="176"/>
      <c r="Q8" s="176"/>
    </row>
    <row r="9" spans="1:27" ht="13.5" thickBot="1">
      <c r="A9" s="782"/>
      <c r="B9" s="215"/>
      <c r="C9" s="216"/>
      <c r="D9" s="217"/>
      <c r="E9" s="220"/>
      <c r="F9" s="229">
        <v>12</v>
      </c>
      <c r="G9" s="550" t="s">
        <v>11</v>
      </c>
      <c r="H9" s="551" t="s">
        <v>416</v>
      </c>
      <c r="I9" s="785"/>
      <c r="J9" s="214" t="str">
        <f>+'3'!J9</f>
        <v>T 14 VP OW</v>
      </c>
      <c r="K9" s="237">
        <f>+C34</f>
        <v>41052</v>
      </c>
      <c r="L9" s="237"/>
      <c r="M9" s="119">
        <f>+K9+'3'!M9+L9</f>
        <v>169743</v>
      </c>
      <c r="N9" s="530"/>
    </row>
    <row r="10" spans="1:27" ht="13.5" thickBot="1">
      <c r="A10" s="782"/>
      <c r="B10" s="215"/>
      <c r="C10" s="216"/>
      <c r="D10" s="217"/>
      <c r="E10" s="219"/>
      <c r="F10" s="229"/>
      <c r="G10" s="548"/>
      <c r="H10" s="551" t="s">
        <v>455</v>
      </c>
      <c r="I10" s="785"/>
      <c r="J10" s="214" t="str">
        <f>+'3'!J10</f>
        <v>F 12 VP OW</v>
      </c>
      <c r="K10" s="237"/>
      <c r="L10" s="237"/>
      <c r="M10" s="119">
        <f>+K10+'3'!M10+L10</f>
        <v>9202</v>
      </c>
    </row>
    <row r="11" spans="1:27" ht="39" thickBot="1">
      <c r="A11" s="782"/>
      <c r="B11" s="215"/>
      <c r="C11" s="216"/>
      <c r="D11" s="217"/>
      <c r="E11" s="219"/>
      <c r="F11" s="476"/>
      <c r="G11" s="477"/>
      <c r="H11" s="228" t="s">
        <v>459</v>
      </c>
      <c r="I11" s="785"/>
      <c r="J11" s="214">
        <f>+'3'!J11</f>
        <v>0</v>
      </c>
      <c r="K11" s="237"/>
      <c r="L11" s="237"/>
      <c r="M11" s="119">
        <f>+K11+'3'!M11+L11</f>
        <v>0</v>
      </c>
      <c r="Q11" s="176"/>
    </row>
    <row r="12" spans="1:27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>
        <f>+'3'!J12</f>
        <v>0</v>
      </c>
      <c r="K12" s="237"/>
      <c r="L12" s="237"/>
      <c r="M12" s="119">
        <f>+K12+'3'!M12+L12</f>
        <v>0</v>
      </c>
      <c r="R12" s="176"/>
      <c r="S12" s="176"/>
    </row>
    <row r="13" spans="1:27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+'3'!J13</f>
        <v>0</v>
      </c>
      <c r="K13" s="237"/>
      <c r="L13" s="237"/>
      <c r="M13" s="119">
        <f>+K13+'3'!M13+L13</f>
        <v>0</v>
      </c>
    </row>
    <row r="14" spans="1:27" ht="13.5" thickBot="1">
      <c r="A14" s="783"/>
      <c r="B14" s="167" t="s">
        <v>2</v>
      </c>
      <c r="C14" s="101">
        <f>SUM(C7:C13)</f>
        <v>17292</v>
      </c>
      <c r="D14" s="113">
        <f>SUM(D7:D13)</f>
        <v>0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>
        <f>+'3'!J14</f>
        <v>0</v>
      </c>
      <c r="K14" s="237"/>
      <c r="L14" s="237"/>
      <c r="M14" s="119">
        <f>+K14+'3'!M14+L14</f>
        <v>0</v>
      </c>
    </row>
    <row r="15" spans="1:27" ht="13.5" customHeight="1" thickBot="1">
      <c r="A15" s="787" t="s">
        <v>424</v>
      </c>
      <c r="B15" s="506"/>
      <c r="C15" s="553">
        <f>C14/($C$32+$D$32+$E$32)</f>
        <v>1.710216595786767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412</v>
      </c>
      <c r="J15" s="214">
        <f>+'3'!J15</f>
        <v>0</v>
      </c>
      <c r="K15" s="237"/>
      <c r="L15" s="237"/>
      <c r="M15" s="119">
        <f>+K15+'3'!M15+L15</f>
        <v>0</v>
      </c>
    </row>
    <row r="16" spans="1:27" ht="13.5" thickBot="1">
      <c r="A16" s="782"/>
      <c r="B16" s="215" t="s">
        <v>426</v>
      </c>
      <c r="C16" s="507">
        <v>13649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+'3'!J16</f>
        <v>0</v>
      </c>
      <c r="K16" s="227"/>
      <c r="L16" s="227"/>
      <c r="M16" s="119">
        <f>+K16+'3'!M16+L16</f>
        <v>0</v>
      </c>
    </row>
    <row r="17" spans="1:17" ht="13.5" thickBot="1">
      <c r="A17" s="782"/>
      <c r="B17" s="215"/>
      <c r="C17" s="216"/>
      <c r="D17" s="217"/>
      <c r="E17" s="223"/>
      <c r="F17" s="229">
        <v>4</v>
      </c>
      <c r="G17" s="550" t="s">
        <v>11</v>
      </c>
      <c r="H17" s="551" t="s">
        <v>416</v>
      </c>
      <c r="I17" s="785"/>
      <c r="J17" s="214">
        <f>+'3'!J17</f>
        <v>0</v>
      </c>
      <c r="K17" s="227"/>
      <c r="L17" s="227"/>
      <c r="M17" s="119">
        <f>+K17+'3'!M17+L17</f>
        <v>0</v>
      </c>
      <c r="N17" s="530"/>
      <c r="O17" s="531"/>
      <c r="P17" s="531"/>
      <c r="Q17" s="531"/>
    </row>
    <row r="18" spans="1:17" ht="13.5" thickBot="1">
      <c r="A18" s="782"/>
      <c r="B18" s="215"/>
      <c r="C18" s="216"/>
      <c r="D18" s="217"/>
      <c r="E18" s="223"/>
      <c r="F18" s="229"/>
      <c r="G18" s="548"/>
      <c r="H18" s="551" t="s">
        <v>460</v>
      </c>
      <c r="I18" s="785"/>
      <c r="J18" s="214">
        <f>+'3'!J18</f>
        <v>0</v>
      </c>
      <c r="K18" s="237"/>
      <c r="L18" s="237"/>
      <c r="M18" s="119">
        <f>+K18+'3'!M18+L18</f>
        <v>0</v>
      </c>
    </row>
    <row r="19" spans="1:17" ht="39" thickBot="1">
      <c r="A19" s="782"/>
      <c r="B19" s="215"/>
      <c r="C19" s="216"/>
      <c r="D19" s="217"/>
      <c r="E19" s="223" t="s">
        <v>445</v>
      </c>
      <c r="F19" s="226">
        <v>110</v>
      </c>
      <c r="G19" s="230" t="s">
        <v>69</v>
      </c>
      <c r="H19" s="228" t="s">
        <v>461</v>
      </c>
      <c r="I19" s="785"/>
      <c r="J19" s="214">
        <f>+'3'!J19</f>
        <v>0</v>
      </c>
      <c r="K19" s="237"/>
      <c r="L19" s="237"/>
      <c r="M19" s="119">
        <f>+K19+'3'!M19+L19</f>
        <v>0</v>
      </c>
    </row>
    <row r="20" spans="1:17" ht="26.25" thickBot="1">
      <c r="A20" s="782"/>
      <c r="B20" s="215"/>
      <c r="C20" s="216"/>
      <c r="D20" s="217"/>
      <c r="E20" s="223"/>
      <c r="F20" s="226"/>
      <c r="G20" s="230"/>
      <c r="H20" s="231" t="s">
        <v>462</v>
      </c>
      <c r="I20" s="785"/>
      <c r="J20" s="214">
        <f>+'3'!J20</f>
        <v>0</v>
      </c>
      <c r="K20" s="238"/>
      <c r="L20" s="238"/>
      <c r="M20" s="119">
        <f>+K20+'3'!M20+L20</f>
        <v>0</v>
      </c>
    </row>
    <row r="21" spans="1:17" ht="13.5" thickBot="1">
      <c r="A21" s="782"/>
      <c r="B21" s="215"/>
      <c r="C21" s="216"/>
      <c r="D21" s="217"/>
      <c r="E21" s="223"/>
      <c r="F21" s="229"/>
      <c r="G21" s="230"/>
      <c r="H21" s="231" t="s">
        <v>463</v>
      </c>
      <c r="I21" s="785"/>
      <c r="J21" s="214">
        <f>+'3'!J21</f>
        <v>0</v>
      </c>
      <c r="K21" s="237"/>
      <c r="L21" s="237"/>
      <c r="M21" s="119">
        <f>+K21+'3'!M21+L21</f>
        <v>0</v>
      </c>
    </row>
    <row r="22" spans="1:17" ht="13.5" thickBot="1">
      <c r="A22" s="782"/>
      <c r="B22" s="215"/>
      <c r="C22" s="216"/>
      <c r="D22" s="217"/>
      <c r="E22" s="223"/>
      <c r="F22" s="234"/>
      <c r="G22" s="230"/>
      <c r="H22" s="231" t="s">
        <v>464</v>
      </c>
      <c r="I22" s="786"/>
      <c r="J22" s="214">
        <f>+'3'!J22</f>
        <v>0</v>
      </c>
      <c r="K22" s="237"/>
      <c r="L22" s="237"/>
      <c r="M22" s="119">
        <f>+K22+'3'!M22+L22</f>
        <v>0</v>
      </c>
    </row>
    <row r="23" spans="1:17" ht="13.5" thickBot="1">
      <c r="A23" s="783"/>
      <c r="B23" s="167" t="s">
        <v>2</v>
      </c>
      <c r="C23" s="101">
        <f>SUM(C16:C22)</f>
        <v>13649</v>
      </c>
      <c r="D23" s="113">
        <f>SUM(D16:D22)</f>
        <v>0</v>
      </c>
      <c r="E23" s="114">
        <f>SUM(E18:E22)</f>
        <v>0</v>
      </c>
      <c r="F23" s="104">
        <f>SUM(F15:F22)</f>
        <v>114</v>
      </c>
      <c r="G23" s="161"/>
      <c r="H23" s="168"/>
      <c r="I23" s="170"/>
      <c r="J23" s="214">
        <f>+'3'!J23</f>
        <v>0</v>
      </c>
      <c r="K23" s="237"/>
      <c r="L23" s="237"/>
      <c r="M23" s="119">
        <f>+K23+'3'!M23+L23</f>
        <v>0</v>
      </c>
    </row>
    <row r="24" spans="1:17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412</v>
      </c>
      <c r="J24" s="214">
        <f>+'3'!J24</f>
        <v>0</v>
      </c>
      <c r="K24" s="237"/>
      <c r="L24" s="237"/>
      <c r="M24" s="119">
        <f>+K24+'3'!M24+L24</f>
        <v>0</v>
      </c>
    </row>
    <row r="25" spans="1:17" ht="13.5" thickBot="1">
      <c r="A25" s="782"/>
      <c r="B25" s="215" t="s">
        <v>426</v>
      </c>
      <c r="C25" s="224">
        <v>10111</v>
      </c>
      <c r="D25" s="217"/>
      <c r="E25" s="223"/>
      <c r="F25" s="229">
        <v>1</v>
      </c>
      <c r="G25" s="550" t="s">
        <v>11</v>
      </c>
      <c r="H25" s="549" t="s">
        <v>446</v>
      </c>
      <c r="I25" s="785"/>
      <c r="J25" s="214">
        <f>+'3'!J25</f>
        <v>0</v>
      </c>
      <c r="K25" s="237"/>
      <c r="L25" s="237"/>
      <c r="M25" s="119">
        <f>+K25+'3'!M25+L25</f>
        <v>0</v>
      </c>
    </row>
    <row r="26" spans="1:17" ht="13.5" thickBot="1">
      <c r="A26" s="782"/>
      <c r="B26" s="215"/>
      <c r="C26" s="224"/>
      <c r="D26" s="217"/>
      <c r="E26" s="225"/>
      <c r="F26" s="229">
        <v>3</v>
      </c>
      <c r="G26" s="550" t="s">
        <v>11</v>
      </c>
      <c r="H26" s="551" t="s">
        <v>469</v>
      </c>
      <c r="I26" s="785"/>
      <c r="J26" s="214">
        <f>+'3'!J26</f>
        <v>0</v>
      </c>
      <c r="K26" s="237"/>
      <c r="L26" s="237"/>
      <c r="M26" s="119">
        <f>+K26+'3'!M26+L26</f>
        <v>0</v>
      </c>
      <c r="N26" s="530"/>
      <c r="O26" s="531"/>
      <c r="P26" s="531"/>
      <c r="Q26" s="531"/>
    </row>
    <row r="27" spans="1:17" ht="13.5" thickBot="1">
      <c r="A27" s="782"/>
      <c r="B27" s="215"/>
      <c r="C27" s="216"/>
      <c r="D27" s="217"/>
      <c r="E27" s="223"/>
      <c r="F27" s="229"/>
      <c r="G27" s="548"/>
      <c r="H27" s="551" t="s">
        <v>455</v>
      </c>
      <c r="I27" s="785"/>
      <c r="J27" s="214">
        <f>+'3'!J27</f>
        <v>0</v>
      </c>
      <c r="K27" s="237"/>
      <c r="L27" s="237"/>
      <c r="M27" s="119">
        <f>+K27+'3'!M27+L27</f>
        <v>0</v>
      </c>
    </row>
    <row r="28" spans="1:17" ht="13.5" customHeight="1" thickBot="1">
      <c r="A28" s="782"/>
      <c r="B28" s="215"/>
      <c r="C28" s="216"/>
      <c r="D28" s="217"/>
      <c r="E28" s="223"/>
      <c r="F28" s="226"/>
      <c r="G28" s="230"/>
      <c r="H28" s="228" t="s">
        <v>465</v>
      </c>
      <c r="I28" s="785"/>
      <c r="J28" s="214">
        <f>+'3'!J28</f>
        <v>0</v>
      </c>
      <c r="K28" s="237"/>
      <c r="L28" s="237"/>
      <c r="M28" s="119">
        <f>+K28+'3'!M28+L28</f>
        <v>0</v>
      </c>
    </row>
    <row r="29" spans="1:17" ht="13.5" thickBot="1">
      <c r="A29" s="782"/>
      <c r="B29" s="215"/>
      <c r="C29" s="216"/>
      <c r="D29" s="217"/>
      <c r="E29" s="223"/>
      <c r="F29" s="234"/>
      <c r="G29" s="230"/>
      <c r="H29" s="231" t="s">
        <v>466</v>
      </c>
      <c r="I29" s="785"/>
      <c r="J29" s="214">
        <f>+'3'!J29</f>
        <v>0</v>
      </c>
      <c r="K29" s="237"/>
      <c r="L29" s="237"/>
      <c r="M29" s="119">
        <f>+K29+'3'!M29+L29</f>
        <v>0</v>
      </c>
    </row>
    <row r="30" spans="1:17" ht="13.5" thickBot="1">
      <c r="A30" s="782"/>
      <c r="B30" s="215"/>
      <c r="C30" s="224"/>
      <c r="D30" s="217"/>
      <c r="E30" s="223"/>
      <c r="F30" s="234"/>
      <c r="G30" s="230"/>
      <c r="H30" s="231" t="s">
        <v>467</v>
      </c>
      <c r="I30" s="785"/>
      <c r="J30" s="214">
        <f>+'3'!J30</f>
        <v>0</v>
      </c>
      <c r="K30" s="237"/>
      <c r="L30" s="237"/>
      <c r="M30" s="119">
        <f>+K30+'3'!M30+L30</f>
        <v>0</v>
      </c>
      <c r="N30" s="157"/>
    </row>
    <row r="31" spans="1:17" ht="26.25" thickBot="1">
      <c r="A31" s="782"/>
      <c r="B31" s="215"/>
      <c r="C31" s="224"/>
      <c r="D31" s="217"/>
      <c r="E31" s="223"/>
      <c r="F31" s="234"/>
      <c r="G31" s="235"/>
      <c r="H31" s="435" t="s">
        <v>468</v>
      </c>
      <c r="I31" s="786"/>
      <c r="J31" s="214">
        <f>+'3'!J31</f>
        <v>0</v>
      </c>
      <c r="K31" s="237"/>
      <c r="L31" s="237"/>
      <c r="M31" s="119">
        <f>+K31+'3'!M31+L31</f>
        <v>0</v>
      </c>
    </row>
    <row r="32" spans="1:17" ht="13.5" thickBot="1">
      <c r="A32" s="783"/>
      <c r="B32" s="167" t="s">
        <v>2</v>
      </c>
      <c r="C32" s="101">
        <f>SUM(C25:C31)</f>
        <v>10111</v>
      </c>
      <c r="D32" s="102">
        <f>SUM(D25:D31)</f>
        <v>0</v>
      </c>
      <c r="E32" s="103">
        <f>SUM(E25:E31)</f>
        <v>0</v>
      </c>
      <c r="F32" s="101">
        <f>SUM(F24:F31)</f>
        <v>4</v>
      </c>
      <c r="G32" s="171"/>
      <c r="H32" s="172"/>
      <c r="I32" s="170"/>
      <c r="J32" s="214">
        <f>+'3'!J32</f>
        <v>0</v>
      </c>
      <c r="K32" s="239"/>
      <c r="L32" s="241"/>
      <c r="M32" s="119"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41052</v>
      </c>
      <c r="D34" s="109">
        <f>D14+D23+D32</f>
        <v>0</v>
      </c>
      <c r="E34" s="109">
        <f>E14+E23+E32</f>
        <v>0</v>
      </c>
      <c r="F34" s="110">
        <f>F14+F23+F32</f>
        <v>130</v>
      </c>
      <c r="H34" s="178"/>
      <c r="I34" s="178"/>
      <c r="J34" s="125" t="s">
        <v>27</v>
      </c>
      <c r="K34" s="126">
        <f>SUM(K7:K32)</f>
        <v>41052</v>
      </c>
      <c r="L34" s="212">
        <f>SUM(L7:L32)</f>
        <v>0</v>
      </c>
      <c r="M34" s="122">
        <f>SUM(M7:M32)</f>
        <v>206019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/>
      <c r="I37" s="242">
        <f>(14*1330)/1330*G42*2.85*1330/1000000</f>
        <v>52.430196000000009</v>
      </c>
      <c r="J37" s="127">
        <f>+I37+'3'!J37</f>
        <v>221.59582033750002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20</v>
      </c>
      <c r="D38" s="120">
        <f>+C38+'3'!D38</f>
        <v>121</v>
      </c>
      <c r="E38" s="145">
        <f>D38/60</f>
        <v>2.0166666666666666</v>
      </c>
      <c r="F38" s="330">
        <v>1300</v>
      </c>
      <c r="G38" s="330">
        <f>+F38-F38*0.24</f>
        <v>988</v>
      </c>
      <c r="H38" s="187" t="s">
        <v>65</v>
      </c>
      <c r="I38" s="243">
        <f>17.745+14.318+16.831</f>
        <v>48.894000000000005</v>
      </c>
      <c r="J38" s="129">
        <f>+I38+'3'!J38</f>
        <v>211.69400000000002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+C39+'3'!D39</f>
        <v>0</v>
      </c>
      <c r="E39" s="145">
        <f t="shared" ref="E39:E51" si="0">D39/60</f>
        <v>0</v>
      </c>
      <c r="F39" s="330">
        <v>1300</v>
      </c>
      <c r="G39" s="330">
        <f>+F39-F39*0.24</f>
        <v>988</v>
      </c>
      <c r="H39" s="187" t="s">
        <v>66</v>
      </c>
      <c r="I39" s="144"/>
      <c r="J39" s="131">
        <f>J37/G4</f>
        <v>55.398955084375004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+C40+'3'!D40</f>
        <v>0</v>
      </c>
      <c r="E40" s="145">
        <f t="shared" si="0"/>
        <v>0</v>
      </c>
      <c r="F40" s="330">
        <v>1300</v>
      </c>
      <c r="G40" s="330">
        <f>+F40-F40*0.24</f>
        <v>988</v>
      </c>
      <c r="H40" s="187" t="s">
        <v>68</v>
      </c>
      <c r="I40" s="120">
        <f>(K34+L34)/1000</f>
        <v>41.052</v>
      </c>
      <c r="J40" s="133">
        <f>+I40+'3'!J40</f>
        <v>206.01900000000001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110</v>
      </c>
      <c r="D41" s="120">
        <f>+C41+'3'!D41</f>
        <v>110</v>
      </c>
      <c r="E41" s="145">
        <f t="shared" si="0"/>
        <v>1.8333333333333333</v>
      </c>
      <c r="F41" s="330"/>
      <c r="G41" s="330"/>
      <c r="H41" s="187" t="s">
        <v>70</v>
      </c>
      <c r="I41" s="144"/>
      <c r="J41" s="131">
        <f>J40/G4</f>
        <v>51.504750000000001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+C42+'3'!D42</f>
        <v>0</v>
      </c>
      <c r="E42" s="145">
        <f t="shared" si="0"/>
        <v>0</v>
      </c>
      <c r="F42" s="330">
        <f>+(F38*480+F39*370+F40*480)/1330</f>
        <v>1300</v>
      </c>
      <c r="G42" s="330">
        <f>+(G38*480+G39*370+G40*480)/1330</f>
        <v>988</v>
      </c>
      <c r="H42" s="187" t="s">
        <v>71</v>
      </c>
      <c r="I42" s="244" t="s">
        <v>412</v>
      </c>
      <c r="J42" s="134"/>
      <c r="K42" s="132" t="s">
        <v>72</v>
      </c>
      <c r="M42" s="157"/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+C43+'3'!D43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+Report1!Z12</f>
        <v>120.8</v>
      </c>
      <c r="J43" s="135">
        <f>+I43+'3'!J43</f>
        <v>504.3</v>
      </c>
      <c r="K43" s="132" t="s">
        <v>64</v>
      </c>
      <c r="L43" s="189"/>
      <c r="M43" s="157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+C44+'3'!D44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2.4706507955986416</v>
      </c>
      <c r="J44" s="136">
        <f>J43/J38</f>
        <v>2.3822120608047461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+C45+'3'!D45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2.9426093734775405</v>
      </c>
      <c r="J45" s="136">
        <f>J43/J40</f>
        <v>2.4478324814701558</v>
      </c>
      <c r="K45" s="132" t="s">
        <v>64</v>
      </c>
    </row>
    <row r="46" spans="1:14" ht="17.45" customHeight="1">
      <c r="A46" s="775" t="s">
        <v>249</v>
      </c>
      <c r="B46" s="776"/>
      <c r="C46" s="166">
        <f>SUMIF($G$7:$G$31,"Sinergy",$F$7:$F$31)</f>
        <v>0</v>
      </c>
      <c r="D46" s="120">
        <f>+C46+'3'!D46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+SUMIF(Listrik!AN11,"&gt;0")</f>
        <v>29201.520000000317</v>
      </c>
      <c r="J46" s="137">
        <f>+I46+'3'!J46</f>
        <v>129383.62000000034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+C47+'3'!D47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597.24137931035125</v>
      </c>
      <c r="J47" s="137">
        <f>J46/J38</f>
        <v>611.1822725254392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+C48+'3'!D48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711.33002046186095</v>
      </c>
      <c r="J48" s="137">
        <f>J46/J40</f>
        <v>628.01790126153583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+C49+'3'!D49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+I49+'3'!J49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+C50+'3'!D50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+C51+'3'!D51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130</v>
      </c>
      <c r="D52" s="146">
        <f>SUM(D38:D51)</f>
        <v>239</v>
      </c>
      <c r="E52" s="147">
        <f>SUM(E38:E51)</f>
        <v>3.9833333333333329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9.0277777777777776E-2</v>
      </c>
      <c r="D53" s="148">
        <f>D52/(24*60*G4)</f>
        <v>4.1493055555555554E-2</v>
      </c>
      <c r="E53" s="149">
        <f>E52/(G4*24)</f>
        <v>4.1493055555555554E-2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+D34+'3'!J56</f>
        <v>0</v>
      </c>
      <c r="K56" s="201">
        <f>J56/(J40+J56/1000)/1000</f>
        <v>0</v>
      </c>
    </row>
    <row r="57" spans="1:11">
      <c r="A57" s="176"/>
      <c r="I57" s="199" t="s">
        <v>90</v>
      </c>
      <c r="J57" s="200"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topLeftCell="A22" zoomScale="80" zoomScaleNormal="75" zoomScaleSheetLayoutView="80" workbookViewId="0">
      <selection activeCell="I38" sqref="I3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710937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3.7109375" style="151" bestFit="1" customWidth="1"/>
    <col min="12" max="12" width="8.28515625" style="151" customWidth="1"/>
    <col min="13" max="13" width="14.5703125" style="151" customWidth="1"/>
    <col min="14" max="16384" width="9.140625" style="151"/>
  </cols>
  <sheetData>
    <row r="1" spans="1:24" ht="15.75">
      <c r="A1" s="150"/>
    </row>
    <row r="2" spans="1:24" ht="15.75">
      <c r="A2" s="150" t="s">
        <v>224</v>
      </c>
    </row>
    <row r="3" spans="1:24" ht="15">
      <c r="A3" s="152"/>
    </row>
    <row r="4" spans="1:24" ht="20.25">
      <c r="A4" s="153" t="s">
        <v>3</v>
      </c>
      <c r="B4" s="154"/>
      <c r="F4" s="155" t="s">
        <v>28</v>
      </c>
      <c r="G4" s="156">
        <v>3</v>
      </c>
      <c r="H4" s="156" t="str">
        <f>+'1'!H4</f>
        <v>.12.25</v>
      </c>
    </row>
    <row r="5" spans="1:24" ht="13.5" thickBot="1">
      <c r="C5" s="157"/>
      <c r="D5" s="157"/>
    </row>
    <row r="6" spans="1:24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380+395+377</f>
        <v>1152</v>
      </c>
    </row>
    <row r="7" spans="1:24" ht="13.5" customHeight="1" thickBot="1">
      <c r="A7" s="781" t="s">
        <v>227</v>
      </c>
      <c r="B7" s="215" t="s">
        <v>426</v>
      </c>
      <c r="C7" s="216">
        <v>20907</v>
      </c>
      <c r="D7" s="217"/>
      <c r="E7" s="218"/>
      <c r="F7" s="229"/>
      <c r="G7" s="548" t="s">
        <v>11</v>
      </c>
      <c r="H7" s="549" t="s">
        <v>392</v>
      </c>
      <c r="I7" s="784" t="s">
        <v>412</v>
      </c>
      <c r="J7" s="214" t="str">
        <f>+'2'!J7</f>
        <v>F 15 VP OW</v>
      </c>
      <c r="K7" s="236"/>
      <c r="L7" s="240"/>
      <c r="M7" s="119">
        <f>+K7+'2'!M7+L7</f>
        <v>12732</v>
      </c>
      <c r="V7" s="176"/>
    </row>
    <row r="8" spans="1:24" ht="13.5" thickBot="1">
      <c r="A8" s="782"/>
      <c r="B8" s="215"/>
      <c r="C8" s="216"/>
      <c r="D8" s="217"/>
      <c r="E8" s="219"/>
      <c r="F8" s="229"/>
      <c r="G8" s="550" t="s">
        <v>11</v>
      </c>
      <c r="H8" s="549" t="s">
        <v>415</v>
      </c>
      <c r="I8" s="785"/>
      <c r="J8" s="214" t="str">
        <f>+'2'!J8</f>
        <v>T 12,5 VP OW</v>
      </c>
      <c r="K8" s="237"/>
      <c r="L8" s="237"/>
      <c r="M8" s="119">
        <f>+K8+'2'!M8+L8</f>
        <v>14342</v>
      </c>
      <c r="N8" s="151">
        <v>1300</v>
      </c>
      <c r="O8" s="151">
        <f>+N8-N8*0.24</f>
        <v>988</v>
      </c>
      <c r="W8" s="176"/>
      <c r="X8" s="176"/>
    </row>
    <row r="9" spans="1:24" ht="13.5" thickBot="1">
      <c r="A9" s="782"/>
      <c r="B9" s="215"/>
      <c r="C9" s="216"/>
      <c r="D9" s="217"/>
      <c r="E9" s="220"/>
      <c r="F9" s="229">
        <v>9</v>
      </c>
      <c r="G9" s="550" t="s">
        <v>11</v>
      </c>
      <c r="H9" s="551" t="s">
        <v>384</v>
      </c>
      <c r="I9" s="785"/>
      <c r="J9" s="214" t="str">
        <f>+'2'!J9</f>
        <v>T 14 VP OW</v>
      </c>
      <c r="K9" s="237">
        <f>+C34</f>
        <v>57096</v>
      </c>
      <c r="L9" s="237"/>
      <c r="M9" s="119">
        <f>+K9+'2'!M9+L9</f>
        <v>128691</v>
      </c>
    </row>
    <row r="10" spans="1:24" ht="13.5" thickBot="1">
      <c r="A10" s="782"/>
      <c r="B10" s="215"/>
      <c r="C10" s="216"/>
      <c r="D10" s="217"/>
      <c r="E10" s="219"/>
      <c r="F10" s="229"/>
      <c r="G10" s="548"/>
      <c r="H10" s="551" t="s">
        <v>404</v>
      </c>
      <c r="I10" s="785"/>
      <c r="J10" s="214" t="str">
        <f>+'2'!J10</f>
        <v>F 12 VP OW</v>
      </c>
      <c r="K10" s="237"/>
      <c r="L10" s="237"/>
      <c r="M10" s="119">
        <f>+K10+'2'!M10+L10</f>
        <v>9202</v>
      </c>
      <c r="P10" s="176"/>
    </row>
    <row r="11" spans="1:24" ht="41.25" customHeight="1" thickBot="1">
      <c r="A11" s="782"/>
      <c r="B11" s="215"/>
      <c r="C11" s="216"/>
      <c r="D11" s="217"/>
      <c r="E11" s="219"/>
      <c r="F11" s="476"/>
      <c r="G11" s="477"/>
      <c r="H11" s="228" t="s">
        <v>454</v>
      </c>
      <c r="I11" s="785"/>
      <c r="J11" s="214">
        <f>+'2'!J11</f>
        <v>0</v>
      </c>
      <c r="K11" s="237"/>
      <c r="L11" s="237"/>
      <c r="M11" s="119">
        <f>+K11+'2'!M11+L11</f>
        <v>0</v>
      </c>
      <c r="Q11" s="176"/>
      <c r="R11" s="176"/>
    </row>
    <row r="12" spans="1:24" ht="13.5" thickBot="1">
      <c r="A12" s="782"/>
      <c r="B12" s="215"/>
      <c r="C12" s="216"/>
      <c r="D12" s="217"/>
      <c r="E12" s="219"/>
      <c r="F12" s="226"/>
      <c r="G12" s="230"/>
      <c r="H12" s="231"/>
      <c r="I12" s="785"/>
      <c r="J12" s="214">
        <f>+'2'!J12</f>
        <v>0</v>
      </c>
      <c r="K12" s="237"/>
      <c r="L12" s="237"/>
      <c r="M12" s="119">
        <f>+K12+'2'!M12+L12</f>
        <v>0</v>
      </c>
    </row>
    <row r="13" spans="1:24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14">
        <f>+'2'!J13</f>
        <v>0</v>
      </c>
      <c r="K13" s="237"/>
      <c r="L13" s="237"/>
      <c r="M13" s="119">
        <f>+K13+'2'!M13+L13</f>
        <v>0</v>
      </c>
    </row>
    <row r="14" spans="1:24" ht="13.5" thickBot="1">
      <c r="A14" s="783"/>
      <c r="B14" s="167" t="s">
        <v>2</v>
      </c>
      <c r="C14" s="101">
        <f>SUM(C7:C13)</f>
        <v>20907</v>
      </c>
      <c r="D14" s="113">
        <f>SUM(D7:D13)</f>
        <v>0</v>
      </c>
      <c r="E14" s="114">
        <f>SUM(E9:E13)</f>
        <v>0</v>
      </c>
      <c r="F14" s="104">
        <f>SUM(F6:F13)</f>
        <v>9</v>
      </c>
      <c r="G14" s="161"/>
      <c r="H14" s="168"/>
      <c r="I14" s="169"/>
      <c r="J14" s="214">
        <f>+'2'!J14</f>
        <v>0</v>
      </c>
      <c r="K14" s="237"/>
      <c r="L14" s="237"/>
      <c r="M14" s="119">
        <f>+K14+'2'!M14+L14</f>
        <v>0</v>
      </c>
    </row>
    <row r="15" spans="1:24" ht="13.5" customHeight="1" thickBot="1">
      <c r="A15" s="787" t="s">
        <v>424</v>
      </c>
      <c r="B15" s="506"/>
      <c r="C15" s="553">
        <f>C14/($C$32+$D$32+$E$32)</f>
        <v>1.0965593202559529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412</v>
      </c>
      <c r="J15" s="214">
        <f>+'2'!J15</f>
        <v>0</v>
      </c>
      <c r="K15" s="237"/>
      <c r="L15" s="237"/>
      <c r="M15" s="119">
        <f>+K15+'2'!M15+L15</f>
        <v>0</v>
      </c>
    </row>
    <row r="16" spans="1:24" ht="13.5" thickBot="1">
      <c r="A16" s="782"/>
      <c r="B16" s="215" t="s">
        <v>426</v>
      </c>
      <c r="C16" s="507">
        <v>17123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+'2'!J16</f>
        <v>0</v>
      </c>
      <c r="K16" s="227"/>
      <c r="L16" s="227"/>
      <c r="M16" s="119">
        <f>+K16+'2'!M16+L16</f>
        <v>0</v>
      </c>
      <c r="N16" s="176"/>
      <c r="O16" s="176"/>
      <c r="P16" s="176"/>
    </row>
    <row r="17" spans="1:14" ht="13.5" thickBot="1">
      <c r="A17" s="782"/>
      <c r="B17" s="215"/>
      <c r="C17" s="216"/>
      <c r="D17" s="217"/>
      <c r="E17" s="223"/>
      <c r="F17" s="229">
        <v>8</v>
      </c>
      <c r="G17" s="550" t="s">
        <v>11</v>
      </c>
      <c r="H17" s="551" t="s">
        <v>416</v>
      </c>
      <c r="I17" s="785"/>
      <c r="J17" s="214">
        <f>+'2'!J17</f>
        <v>0</v>
      </c>
      <c r="K17" s="227"/>
      <c r="L17" s="227"/>
      <c r="M17" s="119">
        <f>+K17+'2'!M17+L17</f>
        <v>0</v>
      </c>
    </row>
    <row r="18" spans="1:14" ht="13.5" thickBot="1">
      <c r="A18" s="782"/>
      <c r="B18" s="215"/>
      <c r="C18" s="216"/>
      <c r="D18" s="217"/>
      <c r="E18" s="223"/>
      <c r="F18" s="229"/>
      <c r="G18" s="548"/>
      <c r="H18" s="551" t="s">
        <v>455</v>
      </c>
      <c r="I18" s="785"/>
      <c r="J18" s="214">
        <f>+'2'!J18</f>
        <v>0</v>
      </c>
      <c r="K18" s="237"/>
      <c r="L18" s="237"/>
      <c r="M18" s="119">
        <f>+K18+'2'!M18+L18</f>
        <v>0</v>
      </c>
    </row>
    <row r="19" spans="1:14" ht="13.5" thickBot="1">
      <c r="A19" s="782"/>
      <c r="B19" s="215"/>
      <c r="C19" s="216"/>
      <c r="D19" s="217"/>
      <c r="E19" s="223"/>
      <c r="F19" s="226"/>
      <c r="G19" s="230"/>
      <c r="H19" s="228"/>
      <c r="I19" s="785"/>
      <c r="J19" s="214">
        <f>+'2'!J19</f>
        <v>0</v>
      </c>
      <c r="K19" s="237"/>
      <c r="L19" s="237"/>
      <c r="M19" s="119">
        <f>+K19+'2'!M19+L19</f>
        <v>0</v>
      </c>
    </row>
    <row r="20" spans="1:14" ht="13.5" thickBot="1">
      <c r="A20" s="782"/>
      <c r="B20" s="215"/>
      <c r="C20" s="216"/>
      <c r="D20" s="217"/>
      <c r="E20" s="223"/>
      <c r="F20" s="226"/>
      <c r="G20" s="230"/>
      <c r="H20" s="231"/>
      <c r="I20" s="785"/>
      <c r="J20" s="214">
        <f>+'2'!J20</f>
        <v>0</v>
      </c>
      <c r="K20" s="238"/>
      <c r="L20" s="238"/>
      <c r="M20" s="119">
        <f>+K20+'2'!M20+L20</f>
        <v>0</v>
      </c>
    </row>
    <row r="21" spans="1:14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14">
        <f>+'2'!J21</f>
        <v>0</v>
      </c>
      <c r="K21" s="237"/>
      <c r="L21" s="237"/>
      <c r="M21" s="119">
        <f>+K21+'2'!M21+L21</f>
        <v>0</v>
      </c>
    </row>
    <row r="22" spans="1:14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14">
        <f>+'2'!J22</f>
        <v>0</v>
      </c>
      <c r="K22" s="237"/>
      <c r="L22" s="237"/>
      <c r="M22" s="119">
        <f>+K22+'2'!M22+L22</f>
        <v>0</v>
      </c>
    </row>
    <row r="23" spans="1:14" ht="13.5" thickBot="1">
      <c r="A23" s="783"/>
      <c r="B23" s="167" t="s">
        <v>2</v>
      </c>
      <c r="C23" s="101">
        <f>SUM(C16:C22)</f>
        <v>17123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+'2'!J23</f>
        <v>0</v>
      </c>
      <c r="K23" s="237"/>
      <c r="L23" s="237"/>
      <c r="M23" s="119">
        <f>+K23+'2'!M23+L23</f>
        <v>0</v>
      </c>
    </row>
    <row r="24" spans="1:14" ht="13.5" customHeight="1" thickBot="1">
      <c r="A24" s="787" t="s">
        <v>362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412</v>
      </c>
      <c r="J24" s="214">
        <f>+'2'!J24</f>
        <v>0</v>
      </c>
      <c r="K24" s="237"/>
      <c r="L24" s="237"/>
      <c r="M24" s="119">
        <f>+K24+'2'!M24+L24</f>
        <v>0</v>
      </c>
    </row>
    <row r="25" spans="1:14" ht="13.5" thickBot="1">
      <c r="A25" s="782"/>
      <c r="B25" s="215" t="s">
        <v>426</v>
      </c>
      <c r="C25" s="224">
        <v>19066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+'2'!J25</f>
        <v>0</v>
      </c>
      <c r="K25" s="237"/>
      <c r="L25" s="237"/>
      <c r="M25" s="119">
        <f>+K25+'2'!M25+L25</f>
        <v>0</v>
      </c>
    </row>
    <row r="26" spans="1:14" ht="13.5" thickBot="1">
      <c r="A26" s="782"/>
      <c r="B26" s="215"/>
      <c r="C26" s="224"/>
      <c r="D26" s="217"/>
      <c r="E26" s="225"/>
      <c r="F26" s="229">
        <v>10</v>
      </c>
      <c r="G26" s="550" t="s">
        <v>11</v>
      </c>
      <c r="H26" s="551" t="s">
        <v>416</v>
      </c>
      <c r="I26" s="785"/>
      <c r="J26" s="214">
        <f>+'2'!J26</f>
        <v>0</v>
      </c>
      <c r="K26" s="237"/>
      <c r="L26" s="237"/>
      <c r="M26" s="119">
        <f>+K26+'2'!M26+L26</f>
        <v>0</v>
      </c>
    </row>
    <row r="27" spans="1:14" ht="13.5" thickBot="1">
      <c r="A27" s="782"/>
      <c r="B27" s="215"/>
      <c r="C27" s="216"/>
      <c r="D27" s="217"/>
      <c r="E27" s="223"/>
      <c r="F27" s="229"/>
      <c r="G27" s="548"/>
      <c r="H27" s="551" t="s">
        <v>455</v>
      </c>
      <c r="I27" s="785"/>
      <c r="J27" s="214">
        <f>+'2'!J27</f>
        <v>0</v>
      </c>
      <c r="K27" s="237"/>
      <c r="L27" s="237"/>
      <c r="M27" s="119">
        <f>+K27+'2'!M27+L27</f>
        <v>0</v>
      </c>
    </row>
    <row r="28" spans="1:14" ht="26.25" thickBot="1">
      <c r="A28" s="782"/>
      <c r="B28" s="215"/>
      <c r="C28" s="216"/>
      <c r="D28" s="217"/>
      <c r="E28" s="223"/>
      <c r="F28" s="226"/>
      <c r="G28" s="230"/>
      <c r="H28" s="228" t="s">
        <v>456</v>
      </c>
      <c r="I28" s="785"/>
      <c r="J28" s="214">
        <f>+'2'!J28</f>
        <v>0</v>
      </c>
      <c r="K28" s="237"/>
      <c r="L28" s="237"/>
      <c r="M28" s="119">
        <f>+K28+'2'!M28+L28</f>
        <v>0</v>
      </c>
    </row>
    <row r="29" spans="1:14" ht="26.25" thickBot="1">
      <c r="A29" s="782"/>
      <c r="B29" s="215"/>
      <c r="C29" s="216"/>
      <c r="D29" s="217"/>
      <c r="E29" s="223"/>
      <c r="F29" s="226"/>
      <c r="G29" s="230"/>
      <c r="H29" s="231" t="s">
        <v>457</v>
      </c>
      <c r="I29" s="785"/>
      <c r="J29" s="214">
        <f>+'2'!J29</f>
        <v>0</v>
      </c>
      <c r="K29" s="237"/>
      <c r="L29" s="237"/>
      <c r="M29" s="119">
        <f>+K29+'2'!M29+L29</f>
        <v>0</v>
      </c>
    </row>
    <row r="30" spans="1:14" ht="13.5" thickBot="1">
      <c r="A30" s="782"/>
      <c r="B30" s="215"/>
      <c r="C30" s="224"/>
      <c r="D30" s="217"/>
      <c r="E30" s="223"/>
      <c r="F30" s="229"/>
      <c r="G30" s="230"/>
      <c r="H30" s="231"/>
      <c r="I30" s="785"/>
      <c r="J30" s="214">
        <f>+'2'!J30</f>
        <v>0</v>
      </c>
      <c r="K30" s="237"/>
      <c r="L30" s="237"/>
      <c r="M30" s="119">
        <f>+K30+'2'!M30+L30</f>
        <v>0</v>
      </c>
      <c r="N30" s="157"/>
    </row>
    <row r="31" spans="1:14" ht="13.5" thickBot="1">
      <c r="A31" s="782"/>
      <c r="B31" s="215"/>
      <c r="C31" s="224"/>
      <c r="D31" s="217"/>
      <c r="E31" s="223"/>
      <c r="F31" s="234"/>
      <c r="G31" s="230"/>
      <c r="H31" s="231"/>
      <c r="I31" s="786"/>
      <c r="J31" s="214">
        <f>+'2'!J31</f>
        <v>0</v>
      </c>
      <c r="K31" s="237"/>
      <c r="L31" s="237"/>
      <c r="M31" s="119">
        <f>+K31+'2'!M31+L31</f>
        <v>0</v>
      </c>
    </row>
    <row r="32" spans="1:14" ht="13.5" thickBot="1">
      <c r="A32" s="783"/>
      <c r="B32" s="167" t="s">
        <v>2</v>
      </c>
      <c r="C32" s="101">
        <f>SUM(C25:C31)</f>
        <v>19066</v>
      </c>
      <c r="D32" s="102">
        <f>SUM(D25:D31)</f>
        <v>0</v>
      </c>
      <c r="E32" s="103">
        <f>SUM(E25:E31)</f>
        <v>0</v>
      </c>
      <c r="F32" s="101">
        <f>SUM(F24:F31)</f>
        <v>10</v>
      </c>
      <c r="G32" s="171"/>
      <c r="H32" s="172"/>
      <c r="I32" s="170"/>
      <c r="J32" s="214">
        <f>+'2'!J32</f>
        <v>0</v>
      </c>
      <c r="K32" s="239"/>
      <c r="L32" s="241"/>
      <c r="M32" s="119">
        <f>+K32+'2'!M32+L32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57096</v>
      </c>
      <c r="D34" s="109">
        <f>D14+D23+D32</f>
        <v>0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57096</v>
      </c>
      <c r="L34" s="212">
        <f>SUM(L7:L32)</f>
        <v>0</v>
      </c>
      <c r="M34" s="122">
        <f>SUM(M7:M32)</f>
        <v>164967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(14*1440)/1440*G42*2.85*1440/1000000</f>
        <v>56.766528000000008</v>
      </c>
      <c r="J37" s="127">
        <f>+I37+'2'!J37</f>
        <v>169.16562433750002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27</v>
      </c>
      <c r="D38" s="120">
        <f>+C38+'2'!D38</f>
        <v>101</v>
      </c>
      <c r="E38" s="145">
        <f t="shared" ref="E38:E51" si="0">D38/60</f>
        <v>1.6833333333333333</v>
      </c>
      <c r="F38" s="330">
        <v>1300</v>
      </c>
      <c r="G38" s="330">
        <f>+F38-F38*0.24</f>
        <v>988</v>
      </c>
      <c r="H38" s="187" t="s">
        <v>65</v>
      </c>
      <c r="I38" s="243">
        <f>19.307+18.012+17.669</f>
        <v>54.988</v>
      </c>
      <c r="J38" s="129">
        <f>+I38+'2'!J38</f>
        <v>162.80000000000001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+C39+'2'!D39</f>
        <v>0</v>
      </c>
      <c r="E39" s="145">
        <f t="shared" si="0"/>
        <v>0</v>
      </c>
      <c r="F39" s="330">
        <v>1300</v>
      </c>
      <c r="G39" s="330">
        <f>+F39-F39*0.24</f>
        <v>988</v>
      </c>
      <c r="H39" s="187" t="s">
        <v>66</v>
      </c>
      <c r="I39" s="144"/>
      <c r="J39" s="131">
        <f>J37/G4</f>
        <v>56.38854144583334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+C40+'2'!D40</f>
        <v>0</v>
      </c>
      <c r="E40" s="145">
        <f t="shared" si="0"/>
        <v>0</v>
      </c>
      <c r="F40" s="330">
        <v>1300</v>
      </c>
      <c r="G40" s="330">
        <f>+F40-F40*0.24</f>
        <v>988</v>
      </c>
      <c r="H40" s="187" t="s">
        <v>68</v>
      </c>
      <c r="I40" s="120">
        <f>(K34+L34)/1000</f>
        <v>57.095999999999997</v>
      </c>
      <c r="J40" s="133">
        <f>+I40+'2'!J40</f>
        <v>164.96700000000001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+C41+'2'!D41</f>
        <v>0</v>
      </c>
      <c r="E41" s="145">
        <f t="shared" si="0"/>
        <v>0</v>
      </c>
      <c r="F41" s="330"/>
      <c r="G41" s="330"/>
      <c r="H41" s="187" t="s">
        <v>70</v>
      </c>
      <c r="I41" s="144"/>
      <c r="J41" s="131">
        <f>J40/G4</f>
        <v>54.989000000000004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+C42+'2'!D42</f>
        <v>0</v>
      </c>
      <c r="E42" s="145">
        <f t="shared" si="0"/>
        <v>0</v>
      </c>
      <c r="F42" s="330">
        <f>+(F38*480+F39*480+F40*480)/1440</f>
        <v>1300</v>
      </c>
      <c r="G42" s="330">
        <f>+(G38*480+G39*480+G40*480)/1440</f>
        <v>988</v>
      </c>
      <c r="H42" s="187" t="s">
        <v>71</v>
      </c>
      <c r="I42" s="244" t="s">
        <v>412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+C43+'2'!D43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+Report1!Z11</f>
        <v>128.6</v>
      </c>
      <c r="J43" s="135">
        <f>+I43+'2'!J43</f>
        <v>383.5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+C44+'2'!D44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2.338692078271623</v>
      </c>
      <c r="J44" s="136">
        <f>J43/J38</f>
        <v>2.3556511056511056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+C45+'2'!D45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2.2523469244780721</v>
      </c>
      <c r="J45" s="136">
        <f>J43/J40</f>
        <v>2.3247073657155672</v>
      </c>
      <c r="K45" s="132" t="s">
        <v>64</v>
      </c>
      <c r="M45" s="157"/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+C46+'2'!D46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+SUMIF(Listrik!AN10,"&gt;0")</f>
        <v>34318.839999999342</v>
      </c>
      <c r="J46" s="137">
        <f>+I46+'2'!J46</f>
        <v>100182.10000000002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+C47+'2'!D47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624.11507965373062</v>
      </c>
      <c r="J47" s="137">
        <f>J46/J38</f>
        <v>615.36916461916474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+C48+'2'!D48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601.07257951519102</v>
      </c>
      <c r="J48" s="137">
        <f>J46/J40</f>
        <v>607.28569956415538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+C49+'2'!D49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+I49+'2'!J49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+C50+'2'!D50</f>
        <v>0</v>
      </c>
      <c r="E50" s="145">
        <f t="shared" si="0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+C51+'2'!D51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27</v>
      </c>
      <c r="D52" s="146">
        <f>SUM(D38:D51)</f>
        <v>109</v>
      </c>
      <c r="E52" s="147">
        <f>SUM(E38:E51)</f>
        <v>1.8166666666666667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1.8749999999999999E-2</v>
      </c>
      <c r="D53" s="148">
        <f>D52/(24*60*G4)</f>
        <v>2.5231481481481483E-2</v>
      </c>
      <c r="E53" s="149">
        <f>E52/(G4*24)</f>
        <v>2.523148148148148E-2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+D34+'2'!J56</f>
        <v>0</v>
      </c>
      <c r="K56" s="201">
        <f>J56/(J40+J56/1000)/1000</f>
        <v>0</v>
      </c>
    </row>
    <row r="57" spans="1:11">
      <c r="A57" s="176"/>
      <c r="I57" s="199" t="s">
        <v>90</v>
      </c>
      <c r="J57" s="200">
        <f>+E34+'2'!J57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22" zoomScale="80" zoomScaleNormal="75" zoomScaleSheetLayoutView="80" workbookViewId="0">
      <selection activeCell="I38" sqref="I3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customWidth="1"/>
    <col min="7" max="7" width="11.42578125" style="15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42578125" style="151" bestFit="1" customWidth="1"/>
    <col min="14" max="16384" width="9.140625" style="151"/>
  </cols>
  <sheetData>
    <row r="1" spans="1:16" ht="15.75">
      <c r="A1" s="150"/>
    </row>
    <row r="2" spans="1:16" ht="15.75">
      <c r="A2" s="150" t="s">
        <v>224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2</v>
      </c>
      <c r="H4" s="156" t="str">
        <f>+'1'!H4</f>
        <v>.12.25</v>
      </c>
    </row>
    <row r="5" spans="1:16" ht="13.5" thickBot="1">
      <c r="C5" s="157"/>
      <c r="D5" s="157"/>
    </row>
    <row r="6" spans="1:16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379+383+385</f>
        <v>1147</v>
      </c>
    </row>
    <row r="7" spans="1:16" ht="13.5" customHeight="1" thickBot="1">
      <c r="A7" s="781" t="s">
        <v>227</v>
      </c>
      <c r="B7" s="215" t="s">
        <v>426</v>
      </c>
      <c r="C7" s="216">
        <v>20808</v>
      </c>
      <c r="D7" s="217"/>
      <c r="E7" s="218"/>
      <c r="F7" s="229">
        <v>16</v>
      </c>
      <c r="G7" s="548" t="s">
        <v>11</v>
      </c>
      <c r="H7" s="549" t="s">
        <v>447</v>
      </c>
      <c r="I7" s="784" t="s">
        <v>412</v>
      </c>
      <c r="J7" s="214" t="str">
        <f>+'1'!J7</f>
        <v>F 15 VP OW</v>
      </c>
      <c r="K7" s="236"/>
      <c r="L7" s="240"/>
      <c r="M7" s="119">
        <f>+K7+'1'!M7+L7</f>
        <v>12732</v>
      </c>
    </row>
    <row r="8" spans="1:16" ht="13.5" thickBot="1">
      <c r="A8" s="782"/>
      <c r="B8" s="215"/>
      <c r="C8" s="216"/>
      <c r="D8" s="217"/>
      <c r="E8" s="219"/>
      <c r="F8" s="229">
        <v>2</v>
      </c>
      <c r="G8" s="550" t="s">
        <v>11</v>
      </c>
      <c r="H8" s="549" t="s">
        <v>446</v>
      </c>
      <c r="I8" s="785"/>
      <c r="J8" s="214" t="str">
        <f>+'1'!J8</f>
        <v>T 12,5 VP OW</v>
      </c>
      <c r="K8" s="237"/>
      <c r="L8" s="237"/>
      <c r="M8" s="119">
        <f>+K8+'1'!M8+L8</f>
        <v>14342</v>
      </c>
      <c r="N8" s="176">
        <v>1300</v>
      </c>
      <c r="O8" s="176">
        <f>+N8-N8*0.24</f>
        <v>988</v>
      </c>
      <c r="P8" s="176"/>
    </row>
    <row r="9" spans="1:16" ht="13.5" thickBot="1">
      <c r="A9" s="782"/>
      <c r="B9" s="215"/>
      <c r="C9" s="216"/>
      <c r="D9" s="217"/>
      <c r="E9" s="220"/>
      <c r="F9" s="229">
        <v>10</v>
      </c>
      <c r="G9" s="550" t="s">
        <v>11</v>
      </c>
      <c r="H9" s="551" t="s">
        <v>384</v>
      </c>
      <c r="I9" s="785"/>
      <c r="J9" s="214" t="str">
        <f>+'1'!J9</f>
        <v>T 14 VP OW</v>
      </c>
      <c r="K9" s="237">
        <f>+C34</f>
        <v>53106</v>
      </c>
      <c r="L9" s="237"/>
      <c r="M9" s="119">
        <f>+K9+'1'!M9+L9</f>
        <v>71595</v>
      </c>
    </row>
    <row r="10" spans="1:16" ht="13.5" thickBot="1">
      <c r="A10" s="782"/>
      <c r="B10" s="215"/>
      <c r="C10" s="216"/>
      <c r="D10" s="217"/>
      <c r="E10" s="219"/>
      <c r="F10" s="229"/>
      <c r="G10" s="548"/>
      <c r="H10" s="551" t="s">
        <v>404</v>
      </c>
      <c r="I10" s="785"/>
      <c r="J10" s="214" t="str">
        <f>+'1'!J10</f>
        <v>F 12 VP OW</v>
      </c>
      <c r="K10" s="237"/>
      <c r="L10" s="237"/>
      <c r="M10" s="119">
        <f>+K10+'1'!M10+L10</f>
        <v>9202</v>
      </c>
    </row>
    <row r="11" spans="1:16" ht="13.5" thickBot="1">
      <c r="A11" s="782"/>
      <c r="B11" s="215"/>
      <c r="C11" s="216"/>
      <c r="D11" s="217"/>
      <c r="E11" s="219"/>
      <c r="F11" s="476"/>
      <c r="G11" s="477"/>
      <c r="H11" s="228" t="s">
        <v>438</v>
      </c>
      <c r="I11" s="785"/>
      <c r="J11" s="214">
        <f>+'1'!J11</f>
        <v>0</v>
      </c>
      <c r="K11" s="237"/>
      <c r="L11" s="237"/>
      <c r="M11" s="119">
        <f>+K11+'1'!M11+L11</f>
        <v>0</v>
      </c>
    </row>
    <row r="12" spans="1:16" ht="13.5" thickBot="1">
      <c r="A12" s="782"/>
      <c r="B12" s="215"/>
      <c r="C12" s="216"/>
      <c r="D12" s="217"/>
      <c r="E12" s="219"/>
      <c r="F12" s="226"/>
      <c r="G12" s="230"/>
      <c r="H12" s="231" t="s">
        <v>436</v>
      </c>
      <c r="I12" s="785"/>
      <c r="J12" s="214">
        <f>+'1'!J12</f>
        <v>0</v>
      </c>
      <c r="K12" s="237"/>
      <c r="L12" s="237"/>
      <c r="M12" s="119">
        <f>+K12+'1'!M12+L12</f>
        <v>0</v>
      </c>
    </row>
    <row r="13" spans="1:16" ht="13.5" thickBot="1">
      <c r="A13" s="782"/>
      <c r="B13" s="215"/>
      <c r="C13" s="216"/>
      <c r="D13" s="216"/>
      <c r="E13" s="219"/>
      <c r="F13" s="226"/>
      <c r="G13" s="230"/>
      <c r="H13" s="231" t="s">
        <v>437</v>
      </c>
      <c r="I13" s="786"/>
      <c r="J13" s="214">
        <f>+'1'!J13</f>
        <v>0</v>
      </c>
      <c r="K13" s="237"/>
      <c r="L13" s="237"/>
      <c r="M13" s="119">
        <f>+K13+'1'!M13+L13</f>
        <v>0</v>
      </c>
    </row>
    <row r="14" spans="1:16" ht="13.5" thickBot="1">
      <c r="A14" s="783"/>
      <c r="B14" s="167" t="s">
        <v>2</v>
      </c>
      <c r="C14" s="101">
        <f>SUM(C7:C13)</f>
        <v>20808</v>
      </c>
      <c r="D14" s="113">
        <f>SUM(D7:D13)</f>
        <v>0</v>
      </c>
      <c r="E14" s="114">
        <f>SUM(E9:E13)</f>
        <v>0</v>
      </c>
      <c r="F14" s="104">
        <f>SUM(F6:F13)</f>
        <v>28</v>
      </c>
      <c r="G14" s="161"/>
      <c r="H14" s="168"/>
      <c r="I14" s="169"/>
      <c r="J14" s="214">
        <f>+'1'!J14</f>
        <v>0</v>
      </c>
      <c r="K14" s="237"/>
      <c r="L14" s="237"/>
      <c r="M14" s="119">
        <f>+K14+'1'!M14+L14</f>
        <v>0</v>
      </c>
    </row>
    <row r="15" spans="1:16" ht="13.5" customHeight="1" thickBot="1">
      <c r="A15" s="787" t="s">
        <v>424</v>
      </c>
      <c r="B15" s="506"/>
      <c r="C15" s="553">
        <f>C14/($C$32+$D$32+$E$32)</f>
        <v>1.1588327021608376</v>
      </c>
      <c r="D15" s="106">
        <f>D14/($C$32+$D$32+$E$32)</f>
        <v>0</v>
      </c>
      <c r="E15" s="107">
        <f>E14/($C$32+$D$32+$E$32)</f>
        <v>0</v>
      </c>
      <c r="F15" s="229">
        <v>5</v>
      </c>
      <c r="G15" s="548" t="s">
        <v>11</v>
      </c>
      <c r="H15" s="549" t="s">
        <v>448</v>
      </c>
      <c r="I15" s="784" t="s">
        <v>412</v>
      </c>
      <c r="J15" s="214">
        <f>+'1'!J15</f>
        <v>0</v>
      </c>
      <c r="K15" s="237"/>
      <c r="L15" s="237"/>
      <c r="M15" s="119">
        <f>+K15+'1'!M15+L15</f>
        <v>0</v>
      </c>
    </row>
    <row r="16" spans="1:16" ht="13.5" thickBot="1">
      <c r="A16" s="782"/>
      <c r="B16" s="215" t="s">
        <v>426</v>
      </c>
      <c r="C16" s="507">
        <v>14342</v>
      </c>
      <c r="D16" s="221"/>
      <c r="E16" s="222"/>
      <c r="F16" s="229"/>
      <c r="G16" s="550" t="s">
        <v>11</v>
      </c>
      <c r="H16" s="549" t="s">
        <v>415</v>
      </c>
      <c r="I16" s="785"/>
      <c r="J16" s="214">
        <f>+'1'!J16</f>
        <v>0</v>
      </c>
      <c r="K16" s="227"/>
      <c r="L16" s="227"/>
      <c r="M16" s="119">
        <f>+K16+'1'!M16+L16</f>
        <v>0</v>
      </c>
    </row>
    <row r="17" spans="1:18" ht="13.5" thickBot="1">
      <c r="A17" s="782"/>
      <c r="B17" s="215"/>
      <c r="C17" s="216"/>
      <c r="D17" s="217"/>
      <c r="E17" s="223"/>
      <c r="F17" s="229">
        <v>9</v>
      </c>
      <c r="G17" s="550" t="s">
        <v>11</v>
      </c>
      <c r="H17" s="551" t="s">
        <v>384</v>
      </c>
      <c r="I17" s="785"/>
      <c r="J17" s="214">
        <f>+'1'!J17</f>
        <v>0</v>
      </c>
      <c r="K17" s="227"/>
      <c r="L17" s="227"/>
      <c r="M17" s="119">
        <f>+K17+'1'!M17+L17</f>
        <v>0</v>
      </c>
    </row>
    <row r="18" spans="1:18" ht="13.5" thickBot="1">
      <c r="A18" s="782"/>
      <c r="B18" s="215"/>
      <c r="C18" s="216"/>
      <c r="D18" s="217"/>
      <c r="E18" s="223"/>
      <c r="F18" s="229"/>
      <c r="G18" s="548"/>
      <c r="H18" s="551" t="s">
        <v>404</v>
      </c>
      <c r="I18" s="785"/>
      <c r="J18" s="214">
        <f>+'1'!J18</f>
        <v>0</v>
      </c>
      <c r="K18" s="237"/>
      <c r="L18" s="237"/>
      <c r="M18" s="119">
        <f>+K18+'1'!M18+L18</f>
        <v>0</v>
      </c>
      <c r="P18" s="176"/>
    </row>
    <row r="19" spans="1:18" ht="26.25" thickBot="1">
      <c r="A19" s="782"/>
      <c r="B19" s="215"/>
      <c r="C19" s="216"/>
      <c r="D19" s="217"/>
      <c r="E19" s="223" t="s">
        <v>445</v>
      </c>
      <c r="F19" s="476">
        <v>8</v>
      </c>
      <c r="G19" s="477" t="s">
        <v>16</v>
      </c>
      <c r="H19" s="228" t="s">
        <v>439</v>
      </c>
      <c r="I19" s="785"/>
      <c r="J19" s="214">
        <f>+'1'!J19</f>
        <v>0</v>
      </c>
      <c r="K19" s="237"/>
      <c r="L19" s="237"/>
      <c r="M19" s="119">
        <f>+K19+'1'!M19+L19</f>
        <v>0</v>
      </c>
      <c r="Q19" s="176"/>
      <c r="R19" s="176"/>
    </row>
    <row r="20" spans="1:18" ht="26.25" thickBot="1">
      <c r="A20" s="782"/>
      <c r="B20" s="215"/>
      <c r="C20" s="216"/>
      <c r="D20" s="217"/>
      <c r="E20" s="223"/>
      <c r="F20" s="226"/>
      <c r="G20" s="230"/>
      <c r="H20" s="231" t="s">
        <v>440</v>
      </c>
      <c r="I20" s="785"/>
      <c r="J20" s="214">
        <f>+'1'!J20</f>
        <v>0</v>
      </c>
      <c r="K20" s="238"/>
      <c r="L20" s="238"/>
      <c r="M20" s="119">
        <f>+K20+'1'!M20+L20</f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 t="s">
        <v>441</v>
      </c>
      <c r="I21" s="785"/>
      <c r="J21" s="214">
        <f>+'1'!J21</f>
        <v>0</v>
      </c>
      <c r="K21" s="237"/>
      <c r="L21" s="237"/>
      <c r="M21" s="119">
        <f>+K21+'1'!M21+L21</f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 t="s">
        <v>444</v>
      </c>
      <c r="I22" s="786"/>
      <c r="J22" s="214">
        <f>+'1'!J22</f>
        <v>0</v>
      </c>
      <c r="K22" s="237"/>
      <c r="L22" s="237"/>
      <c r="M22" s="119">
        <f>+K22+'1'!M22+L22</f>
        <v>0</v>
      </c>
    </row>
    <row r="23" spans="1:18" ht="13.5" thickBot="1">
      <c r="A23" s="783"/>
      <c r="B23" s="167" t="s">
        <v>2</v>
      </c>
      <c r="C23" s="101">
        <f>SUM(C16:C22)</f>
        <v>14342</v>
      </c>
      <c r="D23" s="113">
        <f>SUM(D16:D22)</f>
        <v>0</v>
      </c>
      <c r="E23" s="114">
        <f>SUM(E18:E22)</f>
        <v>0</v>
      </c>
      <c r="F23" s="104">
        <f>SUM(F15:F22)</f>
        <v>22</v>
      </c>
      <c r="G23" s="161"/>
      <c r="H23" s="168"/>
      <c r="I23" s="170"/>
      <c r="J23" s="214">
        <f>+'1'!J23</f>
        <v>0</v>
      </c>
      <c r="K23" s="237"/>
      <c r="L23" s="237"/>
      <c r="M23" s="119">
        <f>+K23+'1'!M23+L23</f>
        <v>0</v>
      </c>
    </row>
    <row r="24" spans="1:18" ht="13.5" customHeight="1" thickBot="1">
      <c r="A24" s="787" t="s">
        <v>425</v>
      </c>
      <c r="B24" s="506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48" t="s">
        <v>11</v>
      </c>
      <c r="H24" s="549" t="s">
        <v>392</v>
      </c>
      <c r="I24" s="784" t="s">
        <v>412</v>
      </c>
      <c r="J24" s="214">
        <f>+'1'!J24</f>
        <v>0</v>
      </c>
      <c r="K24" s="237"/>
      <c r="L24" s="237"/>
      <c r="M24" s="119">
        <f>+K24+'1'!M24+L24</f>
        <v>0</v>
      </c>
    </row>
    <row r="25" spans="1:18" ht="13.5" thickBot="1">
      <c r="A25" s="782"/>
      <c r="B25" s="215" t="s">
        <v>426</v>
      </c>
      <c r="C25" s="224">
        <v>17956</v>
      </c>
      <c r="D25" s="217"/>
      <c r="E25" s="223"/>
      <c r="F25" s="229"/>
      <c r="G25" s="550" t="s">
        <v>11</v>
      </c>
      <c r="H25" s="549" t="s">
        <v>415</v>
      </c>
      <c r="I25" s="785"/>
      <c r="J25" s="214">
        <f>+'1'!J25</f>
        <v>0</v>
      </c>
      <c r="K25" s="237"/>
      <c r="L25" s="237"/>
      <c r="M25" s="119">
        <f>+K25+'1'!M25+L25</f>
        <v>0</v>
      </c>
    </row>
    <row r="26" spans="1:18" ht="13.5" thickBot="1">
      <c r="A26" s="782"/>
      <c r="B26" s="215"/>
      <c r="C26" s="224"/>
      <c r="D26" s="217"/>
      <c r="E26" s="225"/>
      <c r="F26" s="229">
        <v>9</v>
      </c>
      <c r="G26" s="550" t="s">
        <v>11</v>
      </c>
      <c r="H26" s="551" t="s">
        <v>416</v>
      </c>
      <c r="I26" s="785"/>
      <c r="J26" s="214">
        <f>+'1'!J26</f>
        <v>0</v>
      </c>
      <c r="K26" s="237"/>
      <c r="L26" s="237"/>
      <c r="M26" s="119">
        <f>+K26+'1'!M26+L26</f>
        <v>0</v>
      </c>
    </row>
    <row r="27" spans="1:18" ht="13.5" thickBot="1">
      <c r="A27" s="782"/>
      <c r="B27" s="215"/>
      <c r="C27" s="216"/>
      <c r="D27" s="217"/>
      <c r="E27" s="223"/>
      <c r="F27" s="229"/>
      <c r="G27" s="548"/>
      <c r="H27" s="551" t="s">
        <v>404</v>
      </c>
      <c r="I27" s="785"/>
      <c r="J27" s="214">
        <f>+'1'!J27</f>
        <v>0</v>
      </c>
      <c r="K27" s="237"/>
      <c r="L27" s="237"/>
      <c r="M27" s="119">
        <f>+K27+'1'!M27+L27</f>
        <v>0</v>
      </c>
      <c r="P27" s="176"/>
    </row>
    <row r="28" spans="1:18" ht="39" thickBot="1">
      <c r="A28" s="782"/>
      <c r="B28" s="215"/>
      <c r="C28" s="216"/>
      <c r="D28" s="217"/>
      <c r="E28" s="223"/>
      <c r="F28" s="476"/>
      <c r="G28" s="477"/>
      <c r="H28" s="228" t="s">
        <v>442</v>
      </c>
      <c r="I28" s="785"/>
      <c r="J28" s="214">
        <f>+'1'!J28</f>
        <v>0</v>
      </c>
      <c r="K28" s="237"/>
      <c r="L28" s="237"/>
      <c r="M28" s="119">
        <f>+K28+'1'!M28+L28</f>
        <v>0</v>
      </c>
      <c r="Q28" s="176"/>
      <c r="R28" s="176"/>
    </row>
    <row r="29" spans="1:18" ht="39" thickBot="1">
      <c r="A29" s="782"/>
      <c r="B29" s="215"/>
      <c r="C29" s="216"/>
      <c r="D29" s="217"/>
      <c r="E29" s="223"/>
      <c r="F29" s="234"/>
      <c r="G29" s="230"/>
      <c r="H29" s="231" t="s">
        <v>443</v>
      </c>
      <c r="I29" s="785"/>
      <c r="J29" s="214">
        <f>+'1'!J29</f>
        <v>0</v>
      </c>
      <c r="K29" s="237"/>
      <c r="L29" s="237"/>
      <c r="M29" s="119">
        <f>+K29+'1'!M29+L29</f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231"/>
      <c r="I30" s="785"/>
      <c r="J30" s="214">
        <f>+'1'!J30</f>
        <v>0</v>
      </c>
      <c r="K30" s="237"/>
      <c r="L30" s="237"/>
      <c r="M30" s="119">
        <f>+K30+'1'!M30+L30</f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14">
        <f>+'1'!J31</f>
        <v>0</v>
      </c>
      <c r="K31" s="237"/>
      <c r="L31" s="237"/>
      <c r="M31" s="119">
        <f>+K31+'1'!M31+L31</f>
        <v>0</v>
      </c>
    </row>
    <row r="32" spans="1:18" ht="13.5" thickBot="1">
      <c r="A32" s="783"/>
      <c r="B32" s="167" t="s">
        <v>2</v>
      </c>
      <c r="C32" s="101">
        <f>SUM(C25:C31)</f>
        <v>17956</v>
      </c>
      <c r="D32" s="102">
        <f>SUM(D25:D31)</f>
        <v>0</v>
      </c>
      <c r="E32" s="103">
        <f>SUM(E25:E31)</f>
        <v>0</v>
      </c>
      <c r="F32" s="101">
        <f>SUM(F24:F31)</f>
        <v>9</v>
      </c>
      <c r="G32" s="171"/>
      <c r="H32" s="172"/>
      <c r="I32" s="170"/>
      <c r="J32" s="214">
        <f>+'1'!J32</f>
        <v>0</v>
      </c>
      <c r="K32" s="239"/>
      <c r="L32" s="241"/>
      <c r="M32" s="119">
        <f>+K32+'1'!M32+L32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53106</v>
      </c>
      <c r="D34" s="109">
        <f>D14+D23+D32</f>
        <v>0</v>
      </c>
      <c r="E34" s="109">
        <f>E14+E23+E32</f>
        <v>0</v>
      </c>
      <c r="F34" s="110">
        <f>F14+F23+F32</f>
        <v>59</v>
      </c>
      <c r="H34" s="178"/>
      <c r="I34" s="178"/>
      <c r="J34" s="125" t="s">
        <v>27</v>
      </c>
      <c r="K34" s="126">
        <f>SUM(K7:K32)</f>
        <v>53106</v>
      </c>
      <c r="L34" s="212">
        <f>SUM(L7:L32)</f>
        <v>0</v>
      </c>
      <c r="M34" s="122">
        <f>SUM(M7:M32)</f>
        <v>107871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330"/>
      <c r="G37" s="332"/>
      <c r="H37" s="186" t="s">
        <v>63</v>
      </c>
      <c r="I37" s="242">
        <f>(14*1432)/1432*G42*2.85*1432/1000000</f>
        <v>56.451158400000004</v>
      </c>
      <c r="J37" s="127">
        <f>+I37+'1'!J37</f>
        <v>112.39909633750001</v>
      </c>
      <c r="K37" s="128" t="s">
        <v>64</v>
      </c>
    </row>
    <row r="38" spans="1:14" ht="17.45" customHeight="1">
      <c r="A38" s="779" t="s">
        <v>11</v>
      </c>
      <c r="B38" s="780"/>
      <c r="C38" s="166">
        <f>SUMIF($G$7:$G$31,"Process",$F$7:$F$31)</f>
        <v>51</v>
      </c>
      <c r="D38" s="120">
        <f>+C38+'1'!D38</f>
        <v>74</v>
      </c>
      <c r="E38" s="145">
        <f t="shared" ref="E38:E51" si="0">D38/60</f>
        <v>1.2333333333333334</v>
      </c>
      <c r="F38" s="330">
        <v>1300</v>
      </c>
      <c r="G38" s="330">
        <f>+F38-F38*0.24</f>
        <v>988</v>
      </c>
      <c r="H38" s="187" t="s">
        <v>65</v>
      </c>
      <c r="I38" s="243">
        <f>18.027+17.517+18.183</f>
        <v>53.726999999999997</v>
      </c>
      <c r="J38" s="129">
        <f>+I38+'1'!J38</f>
        <v>107.81200000000001</v>
      </c>
      <c r="K38" s="130" t="s">
        <v>64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+C39+'1'!D39</f>
        <v>0</v>
      </c>
      <c r="E39" s="145">
        <f t="shared" si="0"/>
        <v>0</v>
      </c>
      <c r="F39" s="330">
        <v>1300</v>
      </c>
      <c r="G39" s="330">
        <f>+F39-F39*0.24</f>
        <v>988</v>
      </c>
      <c r="H39" s="187" t="s">
        <v>66</v>
      </c>
      <c r="I39" s="144"/>
      <c r="J39" s="131">
        <f>J37/G4</f>
        <v>56.199548168750006</v>
      </c>
      <c r="K39" s="132" t="s">
        <v>64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>+C40+'1'!D40</f>
        <v>0</v>
      </c>
      <c r="E40" s="145">
        <f t="shared" si="0"/>
        <v>0</v>
      </c>
      <c r="F40" s="330">
        <v>1300</v>
      </c>
      <c r="G40" s="330">
        <f>+F40-F40*0.24</f>
        <v>988</v>
      </c>
      <c r="H40" s="187" t="s">
        <v>68</v>
      </c>
      <c r="I40" s="120">
        <f>(K34+L34)/1000</f>
        <v>53.106000000000002</v>
      </c>
      <c r="J40" s="133">
        <f>+I40+'1'!J40</f>
        <v>107.87100000000001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>+C41+'1'!D41</f>
        <v>0</v>
      </c>
      <c r="E41" s="145">
        <f t="shared" si="0"/>
        <v>0</v>
      </c>
      <c r="F41" s="330"/>
      <c r="G41" s="330"/>
      <c r="H41" s="187" t="s">
        <v>70</v>
      </c>
      <c r="I41" s="144"/>
      <c r="J41" s="131">
        <f>J40/G4</f>
        <v>53.935500000000005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>+C42+'1'!D42</f>
        <v>0</v>
      </c>
      <c r="E42" s="145">
        <f t="shared" si="0"/>
        <v>0</v>
      </c>
      <c r="F42" s="330">
        <f>+(F38*480+F39*472+F40*480)/1432</f>
        <v>1300</v>
      </c>
      <c r="G42" s="330">
        <f>+(G38*480+G39*472+G40*480)/1432</f>
        <v>988</v>
      </c>
      <c r="H42" s="187" t="s">
        <v>71</v>
      </c>
      <c r="I42" s="244" t="s">
        <v>412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>+C43+'1'!D43</f>
        <v>0</v>
      </c>
      <c r="E43" s="145">
        <f t="shared" si="0"/>
        <v>0</v>
      </c>
      <c r="F43" s="330"/>
      <c r="G43" s="331"/>
      <c r="H43" s="188" t="s">
        <v>74</v>
      </c>
      <c r="I43" s="120">
        <f>+Report1!Z10</f>
        <v>128.5</v>
      </c>
      <c r="J43" s="135">
        <f>+I43+'1'!J43</f>
        <v>254.9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8</v>
      </c>
      <c r="D44" s="120">
        <f>+C44+'1'!D44</f>
        <v>8</v>
      </c>
      <c r="E44" s="145">
        <f t="shared" si="0"/>
        <v>0.13333333333333333</v>
      </c>
      <c r="F44" s="330"/>
      <c r="G44" s="331"/>
      <c r="H44" s="188" t="s">
        <v>75</v>
      </c>
      <c r="I44" s="120">
        <f>I43/I38</f>
        <v>2.3917211085673871</v>
      </c>
      <c r="J44" s="136">
        <f>J43/J38</f>
        <v>2.3643008199458313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>+C45+'1'!D45</f>
        <v>0</v>
      </c>
      <c r="E45" s="145">
        <f t="shared" si="0"/>
        <v>0</v>
      </c>
      <c r="F45" s="330"/>
      <c r="G45" s="333"/>
      <c r="H45" s="188" t="s">
        <v>76</v>
      </c>
      <c r="I45" s="120">
        <f>I43/I40</f>
        <v>2.4196889240387152</v>
      </c>
      <c r="J45" s="136">
        <f>J43/J40</f>
        <v>2.3630076665646929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>+C46+'1'!D46</f>
        <v>0</v>
      </c>
      <c r="E46" s="145">
        <f t="shared" si="0"/>
        <v>0</v>
      </c>
      <c r="F46" s="330"/>
      <c r="G46" s="331"/>
      <c r="H46" s="188" t="s">
        <v>78</v>
      </c>
      <c r="I46" s="142">
        <f>+SUMIF(Listrik!AN9,"&gt;0")</f>
        <v>32671.900000000827</v>
      </c>
      <c r="J46" s="137">
        <f>+I46+'1'!J46</f>
        <v>65863.260000000679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>+C47+'1'!D47</f>
        <v>0</v>
      </c>
      <c r="E47" s="145">
        <f t="shared" si="0"/>
        <v>0</v>
      </c>
      <c r="F47" s="330"/>
      <c r="G47" s="331"/>
      <c r="H47" s="188" t="s">
        <v>81</v>
      </c>
      <c r="I47" s="120">
        <f>I46/I38</f>
        <v>608.10951663038747</v>
      </c>
      <c r="J47" s="137">
        <f>J46/J38</f>
        <v>610.90843319853695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>+C48+'1'!D48</f>
        <v>0</v>
      </c>
      <c r="E48" s="145">
        <f t="shared" si="0"/>
        <v>0</v>
      </c>
      <c r="F48" s="330"/>
      <c r="G48" s="331"/>
      <c r="H48" s="188" t="s">
        <v>82</v>
      </c>
      <c r="I48" s="120">
        <f>I46/I40</f>
        <v>615.22050239145904</v>
      </c>
      <c r="J48" s="137">
        <f>J46/J40</f>
        <v>610.57429707707047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>+C49+'1'!D49</f>
        <v>0</v>
      </c>
      <c r="E49" s="145">
        <f t="shared" si="0"/>
        <v>0</v>
      </c>
      <c r="F49" s="185"/>
      <c r="H49" s="188" t="s">
        <v>181</v>
      </c>
      <c r="I49" s="120">
        <v>0</v>
      </c>
      <c r="J49" s="137">
        <f>+I49+'1'!J49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>+C50+'1'!D50</f>
        <v>0</v>
      </c>
      <c r="E50" s="145">
        <f t="shared" si="0"/>
        <v>0</v>
      </c>
      <c r="F50" s="185"/>
      <c r="H50" s="188" t="s">
        <v>85</v>
      </c>
      <c r="I50" s="142"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>+C51+'1'!D51</f>
        <v>0</v>
      </c>
      <c r="E51" s="145">
        <f t="shared" si="0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59</v>
      </c>
      <c r="D52" s="146">
        <f>SUM(D38:D51)</f>
        <v>82</v>
      </c>
      <c r="E52" s="147">
        <f>SUM(E38:E51)</f>
        <v>1.3666666666666667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4.0972222222222222E-2</v>
      </c>
      <c r="D53" s="148">
        <f>D52/(24*60*G4)</f>
        <v>2.8472222222222222E-2</v>
      </c>
      <c r="E53" s="149">
        <f>E52/(G4*24)</f>
        <v>2.8472222222222222E-2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+D34+'1'!J56</f>
        <v>0</v>
      </c>
      <c r="K56" s="201">
        <f>J56/(J40+J56/1000)/1000</f>
        <v>0</v>
      </c>
    </row>
    <row r="57" spans="1:11">
      <c r="A57" s="176"/>
      <c r="I57" s="199" t="s">
        <v>90</v>
      </c>
      <c r="J57" s="200">
        <f>+E34+'1'!J57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J8" sqref="J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710937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42578125" style="151" bestFit="1" customWidth="1"/>
    <col min="14" max="14" width="9.140625" style="151" bestFit="1"/>
    <col min="15" max="16384" width="9.140625" style="151"/>
  </cols>
  <sheetData>
    <row r="1" spans="1:18" ht="15.75">
      <c r="A1" s="150"/>
    </row>
    <row r="2" spans="1:18" ht="15.75">
      <c r="A2" s="150" t="s">
        <v>224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</v>
      </c>
      <c r="H4" s="156" t="s">
        <v>401</v>
      </c>
    </row>
    <row r="5" spans="1:18" ht="13.5" thickBot="1">
      <c r="C5" s="157"/>
      <c r="D5" s="157"/>
    </row>
    <row r="6" spans="1:18" ht="26.25" thickBot="1">
      <c r="A6" s="158" t="s">
        <v>48</v>
      </c>
      <c r="B6" s="159" t="s">
        <v>8</v>
      </c>
      <c r="C6" s="159" t="s">
        <v>49</v>
      </c>
      <c r="D6" s="159" t="s">
        <v>50</v>
      </c>
      <c r="E6" s="160" t="s">
        <v>51</v>
      </c>
      <c r="F6" s="104" t="s">
        <v>52</v>
      </c>
      <c r="G6" s="159" t="s">
        <v>53</v>
      </c>
      <c r="H6" s="161" t="s">
        <v>54</v>
      </c>
      <c r="I6" s="162" t="s">
        <v>55</v>
      </c>
      <c r="J6" s="163" t="s">
        <v>8</v>
      </c>
      <c r="K6" s="164" t="s">
        <v>56</v>
      </c>
      <c r="L6" s="210" t="s">
        <v>144</v>
      </c>
      <c r="M6" s="165" t="s">
        <v>57</v>
      </c>
      <c r="N6" s="151">
        <f>449+367+399</f>
        <v>1215</v>
      </c>
    </row>
    <row r="7" spans="1:18" ht="13.5" customHeight="1" thickBot="1">
      <c r="A7" s="781" t="s">
        <v>227</v>
      </c>
      <c r="B7" s="215" t="s">
        <v>428</v>
      </c>
      <c r="C7" s="216">
        <v>12732</v>
      </c>
      <c r="D7" s="217"/>
      <c r="E7" s="218"/>
      <c r="F7" s="229"/>
      <c r="G7" s="548" t="s">
        <v>11</v>
      </c>
      <c r="H7" s="549" t="s">
        <v>392</v>
      </c>
      <c r="I7" s="784" t="s">
        <v>408</v>
      </c>
      <c r="J7" s="248" t="s">
        <v>428</v>
      </c>
      <c r="K7" s="236">
        <f>+C7</f>
        <v>12732</v>
      </c>
      <c r="L7" s="240"/>
      <c r="M7" s="119">
        <f>+K7+L7</f>
        <v>12732</v>
      </c>
    </row>
    <row r="8" spans="1:18" ht="13.5" thickBot="1">
      <c r="A8" s="782"/>
      <c r="B8" s="508" t="s">
        <v>383</v>
      </c>
      <c r="C8" s="216">
        <v>9202</v>
      </c>
      <c r="D8" s="217"/>
      <c r="E8" s="219"/>
      <c r="F8" s="229"/>
      <c r="G8" s="550" t="s">
        <v>11</v>
      </c>
      <c r="H8" s="549" t="s">
        <v>415</v>
      </c>
      <c r="I8" s="785"/>
      <c r="J8" s="249" t="s">
        <v>427</v>
      </c>
      <c r="K8" s="237">
        <f>C16</f>
        <v>14342</v>
      </c>
      <c r="L8" s="237"/>
      <c r="M8" s="119">
        <f t="shared" ref="M8:M32" si="0">+K8+L8</f>
        <v>14342</v>
      </c>
      <c r="N8" s="176">
        <v>1250</v>
      </c>
      <c r="O8" s="176">
        <f>+N8-N8*0.24</f>
        <v>950</v>
      </c>
      <c r="P8" s="176">
        <f>240+50</f>
        <v>290</v>
      </c>
      <c r="Q8" s="151">
        <f>+N8*P8</f>
        <v>362500</v>
      </c>
      <c r="R8" s="151">
        <f>+O8*P8</f>
        <v>275500</v>
      </c>
    </row>
    <row r="9" spans="1:18" ht="13.5" thickBot="1">
      <c r="A9" s="782"/>
      <c r="B9" s="215"/>
      <c r="C9" s="216"/>
      <c r="D9" s="217"/>
      <c r="E9" s="220"/>
      <c r="F9" s="229">
        <v>8</v>
      </c>
      <c r="G9" s="550" t="s">
        <v>11</v>
      </c>
      <c r="H9" s="551" t="s">
        <v>416</v>
      </c>
      <c r="I9" s="785"/>
      <c r="J9" s="249" t="s">
        <v>426</v>
      </c>
      <c r="K9" s="237">
        <f>+C17+C25</f>
        <v>18489</v>
      </c>
      <c r="L9" s="237"/>
      <c r="M9" s="119">
        <f t="shared" si="0"/>
        <v>18489</v>
      </c>
      <c r="N9" s="151">
        <v>1350</v>
      </c>
      <c r="O9" s="176">
        <f>+N9-N9*0.24</f>
        <v>1026</v>
      </c>
      <c r="P9" s="151">
        <f>10+180</f>
        <v>190</v>
      </c>
      <c r="Q9" s="151">
        <f>+N9*P9</f>
        <v>256500</v>
      </c>
      <c r="R9" s="151">
        <f>+O9*P9</f>
        <v>194940</v>
      </c>
    </row>
    <row r="10" spans="1:18" ht="13.5" thickBot="1">
      <c r="A10" s="782"/>
      <c r="B10" s="215"/>
      <c r="C10" s="216"/>
      <c r="D10" s="217"/>
      <c r="E10" s="219"/>
      <c r="F10" s="229"/>
      <c r="G10" s="548"/>
      <c r="H10" s="551" t="s">
        <v>407</v>
      </c>
      <c r="I10" s="785"/>
      <c r="J10" s="248" t="s">
        <v>383</v>
      </c>
      <c r="K10" s="237">
        <f>+C8</f>
        <v>9202</v>
      </c>
      <c r="L10" s="237"/>
      <c r="M10" s="119">
        <f t="shared" si="0"/>
        <v>9202</v>
      </c>
      <c r="P10" s="151">
        <f>SUM(P8:P9)</f>
        <v>480</v>
      </c>
      <c r="Q10" s="151">
        <f>SUM(Q8:Q9)</f>
        <v>619000</v>
      </c>
      <c r="R10" s="151">
        <f>SUM(R8:R9)</f>
        <v>470440</v>
      </c>
    </row>
    <row r="11" spans="1:18" ht="13.5" thickBot="1">
      <c r="A11" s="782"/>
      <c r="B11" s="215"/>
      <c r="C11" s="216"/>
      <c r="D11" s="217"/>
      <c r="E11" s="219"/>
      <c r="F11" s="476"/>
      <c r="G11" s="477"/>
      <c r="H11" s="228" t="s">
        <v>418</v>
      </c>
      <c r="I11" s="785"/>
      <c r="J11" s="248"/>
      <c r="K11" s="237"/>
      <c r="L11" s="237"/>
      <c r="M11" s="119">
        <f t="shared" si="0"/>
        <v>0</v>
      </c>
      <c r="Q11" s="151">
        <f>+Q10/P10</f>
        <v>1289.5833333333333</v>
      </c>
      <c r="R11" s="151">
        <f>+R10/P10</f>
        <v>980.08333333333337</v>
      </c>
    </row>
    <row r="12" spans="1:18" ht="13.5" thickBot="1">
      <c r="A12" s="782"/>
      <c r="B12" s="215"/>
      <c r="C12" s="216"/>
      <c r="D12" s="217"/>
      <c r="E12" s="219"/>
      <c r="F12" s="226"/>
      <c r="G12" s="230"/>
      <c r="H12" s="231" t="s">
        <v>402</v>
      </c>
      <c r="I12" s="785"/>
      <c r="J12" s="248"/>
      <c r="K12" s="237"/>
      <c r="L12" s="237"/>
      <c r="M12" s="119">
        <f t="shared" si="0"/>
        <v>0</v>
      </c>
    </row>
    <row r="13" spans="1:18" ht="13.5" thickBot="1">
      <c r="A13" s="782"/>
      <c r="B13" s="215"/>
      <c r="C13" s="216"/>
      <c r="D13" s="216"/>
      <c r="E13" s="219"/>
      <c r="F13" s="226"/>
      <c r="G13" s="230"/>
      <c r="H13" s="231"/>
      <c r="I13" s="786"/>
      <c r="J13" s="248"/>
      <c r="K13" s="237"/>
      <c r="L13" s="237"/>
      <c r="M13" s="119">
        <f t="shared" si="0"/>
        <v>0</v>
      </c>
    </row>
    <row r="14" spans="1:18" ht="13.5" thickBot="1">
      <c r="A14" s="783"/>
      <c r="B14" s="167"/>
      <c r="C14" s="113">
        <f>SUM(C7:C13)</f>
        <v>21934</v>
      </c>
      <c r="D14" s="113">
        <f>SUM(D7:D13)</f>
        <v>0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48"/>
      <c r="K14" s="237"/>
      <c r="L14" s="237"/>
      <c r="M14" s="119">
        <f t="shared" si="0"/>
        <v>0</v>
      </c>
    </row>
    <row r="15" spans="1:18" ht="13.5" thickBot="1">
      <c r="A15" s="787" t="s">
        <v>424</v>
      </c>
      <c r="B15" s="506"/>
      <c r="C15" s="106">
        <f>C14/($C$32+$D$32+$E$32)</f>
        <v>1.4035065267468645</v>
      </c>
      <c r="D15" s="106">
        <f>D14/($C$32+$D$32+$E$32)</f>
        <v>0</v>
      </c>
      <c r="E15" s="107">
        <f>E14/($C$32+$D$32+$E$32)</f>
        <v>0</v>
      </c>
      <c r="F15" s="229"/>
      <c r="G15" s="548" t="s">
        <v>11</v>
      </c>
      <c r="H15" s="549" t="s">
        <v>392</v>
      </c>
      <c r="I15" s="784" t="s">
        <v>411</v>
      </c>
      <c r="J15" s="248"/>
      <c r="K15" s="237"/>
      <c r="L15" s="237"/>
      <c r="M15" s="119">
        <f t="shared" si="0"/>
        <v>0</v>
      </c>
      <c r="N15" s="176">
        <v>1350</v>
      </c>
      <c r="O15" s="176">
        <f>+N15-N15*0.24</f>
        <v>1026</v>
      </c>
      <c r="P15" s="176">
        <f>240+10</f>
        <v>250</v>
      </c>
      <c r="Q15" s="151">
        <f>+N15*P15</f>
        <v>337500</v>
      </c>
      <c r="R15" s="151">
        <f>+O15*P15</f>
        <v>256500</v>
      </c>
    </row>
    <row r="16" spans="1:18" ht="13.5" thickBot="1">
      <c r="A16" s="782"/>
      <c r="B16" s="508" t="s">
        <v>427</v>
      </c>
      <c r="C16" s="507">
        <v>14342</v>
      </c>
      <c r="D16" s="221"/>
      <c r="E16" s="222"/>
      <c r="F16" s="229"/>
      <c r="G16" s="550" t="s">
        <v>11</v>
      </c>
      <c r="H16" s="549" t="s">
        <v>415</v>
      </c>
      <c r="I16" s="785"/>
      <c r="J16" s="248"/>
      <c r="K16" s="227"/>
      <c r="L16" s="227"/>
      <c r="M16" s="119">
        <f t="shared" si="0"/>
        <v>0</v>
      </c>
      <c r="N16" s="151">
        <v>1300</v>
      </c>
      <c r="O16" s="176">
        <f>+N16-N16*0.24</f>
        <v>988</v>
      </c>
      <c r="P16" s="151">
        <f>50+180</f>
        <v>230</v>
      </c>
      <c r="Q16" s="151">
        <f>+N16*P16</f>
        <v>299000</v>
      </c>
      <c r="R16" s="151">
        <f>+O16*P16</f>
        <v>227240</v>
      </c>
    </row>
    <row r="17" spans="1:18" ht="13.5" thickBot="1">
      <c r="A17" s="782"/>
      <c r="B17" s="215" t="s">
        <v>426</v>
      </c>
      <c r="C17" s="216">
        <v>2861</v>
      </c>
      <c r="D17" s="217"/>
      <c r="E17" s="223"/>
      <c r="F17" s="229">
        <v>8</v>
      </c>
      <c r="G17" s="550" t="s">
        <v>11</v>
      </c>
      <c r="H17" s="551" t="s">
        <v>414</v>
      </c>
      <c r="I17" s="785"/>
      <c r="J17" s="248"/>
      <c r="K17" s="227"/>
      <c r="L17" s="227"/>
      <c r="M17" s="119">
        <f t="shared" si="0"/>
        <v>0</v>
      </c>
      <c r="P17" s="151">
        <f>SUM(P15:P16)</f>
        <v>480</v>
      </c>
      <c r="Q17" s="151">
        <f>SUM(Q15:Q16)</f>
        <v>636500</v>
      </c>
      <c r="R17" s="151">
        <f>SUM(R15:R16)</f>
        <v>483740</v>
      </c>
    </row>
    <row r="18" spans="1:18" ht="13.5" thickBot="1">
      <c r="A18" s="782"/>
      <c r="B18" s="215"/>
      <c r="C18" s="216"/>
      <c r="D18" s="217"/>
      <c r="E18" s="223"/>
      <c r="F18" s="229"/>
      <c r="G18" s="548"/>
      <c r="H18" s="551" t="s">
        <v>410</v>
      </c>
      <c r="I18" s="785"/>
      <c r="J18" s="248"/>
      <c r="K18" s="237"/>
      <c r="L18" s="237"/>
      <c r="M18" s="119">
        <f t="shared" si="0"/>
        <v>0</v>
      </c>
      <c r="Q18" s="151">
        <f>+Q17/P17</f>
        <v>1326.0416666666667</v>
      </c>
      <c r="R18" s="151">
        <f>+R17/P17</f>
        <v>1007.7916666666666</v>
      </c>
    </row>
    <row r="19" spans="1:18" ht="13.5" thickBot="1">
      <c r="A19" s="782"/>
      <c r="B19" s="215"/>
      <c r="C19" s="216"/>
      <c r="D19" s="217"/>
      <c r="E19" s="223"/>
      <c r="F19" s="476"/>
      <c r="G19" s="477"/>
      <c r="H19" s="231" t="s">
        <v>409</v>
      </c>
      <c r="I19" s="785"/>
      <c r="J19" s="248"/>
      <c r="K19" s="237"/>
      <c r="L19" s="237"/>
      <c r="M19" s="119">
        <f t="shared" si="0"/>
        <v>0</v>
      </c>
    </row>
    <row r="20" spans="1:18" ht="13.5" thickBot="1">
      <c r="A20" s="782"/>
      <c r="B20" s="215"/>
      <c r="C20" s="216"/>
      <c r="D20" s="217"/>
      <c r="E20" s="223"/>
      <c r="F20" s="226"/>
      <c r="G20" s="230"/>
      <c r="H20" s="231" t="s">
        <v>403</v>
      </c>
      <c r="I20" s="785"/>
      <c r="J20" s="248"/>
      <c r="K20" s="238"/>
      <c r="L20" s="238"/>
      <c r="M20" s="119">
        <f t="shared" si="0"/>
        <v>0</v>
      </c>
    </row>
    <row r="21" spans="1:18" ht="13.5" thickBot="1">
      <c r="A21" s="782"/>
      <c r="B21" s="215"/>
      <c r="C21" s="216"/>
      <c r="D21" s="217"/>
      <c r="E21" s="223"/>
      <c r="F21" s="229"/>
      <c r="G21" s="230"/>
      <c r="H21" s="231"/>
      <c r="I21" s="785"/>
      <c r="J21" s="248"/>
      <c r="K21" s="237"/>
      <c r="L21" s="237"/>
      <c r="M21" s="119">
        <f t="shared" si="0"/>
        <v>0</v>
      </c>
    </row>
    <row r="22" spans="1:18" ht="13.5" thickBot="1">
      <c r="A22" s="782"/>
      <c r="B22" s="215"/>
      <c r="C22" s="216"/>
      <c r="D22" s="217"/>
      <c r="E22" s="223"/>
      <c r="F22" s="234"/>
      <c r="G22" s="230"/>
      <c r="H22" s="231"/>
      <c r="I22" s="786"/>
      <c r="J22" s="248"/>
      <c r="K22" s="237"/>
      <c r="L22" s="237"/>
      <c r="M22" s="119">
        <f t="shared" si="0"/>
        <v>0</v>
      </c>
    </row>
    <row r="23" spans="1:18" ht="13.5" thickBot="1">
      <c r="A23" s="783"/>
      <c r="B23" s="167" t="s">
        <v>2</v>
      </c>
      <c r="C23" s="101">
        <f>SUM(C16:C22)</f>
        <v>17203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48"/>
      <c r="K23" s="237"/>
      <c r="L23" s="237"/>
      <c r="M23" s="119">
        <f t="shared" si="0"/>
        <v>0</v>
      </c>
    </row>
    <row r="24" spans="1:18" ht="13.5" thickBot="1">
      <c r="A24" s="787" t="s">
        <v>425</v>
      </c>
      <c r="B24" s="506"/>
      <c r="C24" s="105">
        <f>C23/($C$32+$D$32+$E$32)</f>
        <v>1.1007806501151778</v>
      </c>
      <c r="D24" s="106">
        <f>D23/($C$32+$D$32+$E$32)</f>
        <v>0</v>
      </c>
      <c r="E24" s="107">
        <f>E23/($C$32+$D$32+$E$32)</f>
        <v>0</v>
      </c>
      <c r="F24" s="229"/>
      <c r="G24" s="548" t="s">
        <v>11</v>
      </c>
      <c r="H24" s="549" t="s">
        <v>392</v>
      </c>
      <c r="I24" s="784" t="s">
        <v>412</v>
      </c>
      <c r="J24" s="248"/>
      <c r="K24" s="237"/>
      <c r="L24" s="237"/>
      <c r="M24" s="119">
        <f t="shared" si="0"/>
        <v>0</v>
      </c>
    </row>
    <row r="25" spans="1:18" ht="13.5" thickBot="1">
      <c r="A25" s="782"/>
      <c r="B25" s="215" t="s">
        <v>426</v>
      </c>
      <c r="C25" s="224">
        <v>15628</v>
      </c>
      <c r="D25" s="217"/>
      <c r="E25" s="223"/>
      <c r="F25" s="229"/>
      <c r="G25" s="550" t="s">
        <v>11</v>
      </c>
      <c r="H25" s="549" t="s">
        <v>415</v>
      </c>
      <c r="I25" s="785"/>
      <c r="J25" s="248"/>
      <c r="K25" s="237"/>
      <c r="L25" s="237"/>
      <c r="M25" s="119">
        <f t="shared" si="0"/>
        <v>0</v>
      </c>
    </row>
    <row r="26" spans="1:18" ht="13.5" thickBot="1">
      <c r="A26" s="782"/>
      <c r="B26" s="215"/>
      <c r="C26" s="224"/>
      <c r="D26" s="217"/>
      <c r="E26" s="225"/>
      <c r="F26" s="229">
        <v>7</v>
      </c>
      <c r="G26" s="550" t="s">
        <v>11</v>
      </c>
      <c r="H26" s="551" t="s">
        <v>416</v>
      </c>
      <c r="I26" s="785"/>
      <c r="J26" s="248"/>
      <c r="K26" s="237"/>
      <c r="L26" s="237"/>
      <c r="M26" s="119">
        <f t="shared" si="0"/>
        <v>0</v>
      </c>
      <c r="N26" s="151">
        <v>1300</v>
      </c>
      <c r="O26" s="151">
        <f>+N26-N26*0.24</f>
        <v>988</v>
      </c>
      <c r="P26" s="151">
        <v>480</v>
      </c>
    </row>
    <row r="27" spans="1:18" ht="13.5" thickBot="1">
      <c r="A27" s="782"/>
      <c r="B27" s="215"/>
      <c r="C27" s="216"/>
      <c r="D27" s="217"/>
      <c r="E27" s="223"/>
      <c r="F27" s="229"/>
      <c r="G27" s="548"/>
      <c r="H27" s="551" t="s">
        <v>404</v>
      </c>
      <c r="I27" s="785"/>
      <c r="J27" s="248"/>
      <c r="K27" s="237"/>
      <c r="L27" s="237"/>
      <c r="M27" s="119">
        <f t="shared" si="0"/>
        <v>0</v>
      </c>
      <c r="P27" s="176"/>
    </row>
    <row r="28" spans="1:18" ht="39" thickBot="1">
      <c r="A28" s="782"/>
      <c r="B28" s="215"/>
      <c r="C28" s="216"/>
      <c r="D28" s="217"/>
      <c r="E28" s="223"/>
      <c r="F28" s="476"/>
      <c r="G28" s="477"/>
      <c r="H28" s="231" t="s">
        <v>405</v>
      </c>
      <c r="I28" s="785"/>
      <c r="J28" s="248"/>
      <c r="K28" s="237"/>
      <c r="L28" s="237"/>
      <c r="M28" s="119">
        <f t="shared" si="0"/>
        <v>0</v>
      </c>
      <c r="Q28" s="176"/>
      <c r="R28" s="176"/>
    </row>
    <row r="29" spans="1:18" ht="39" thickBot="1">
      <c r="A29" s="782"/>
      <c r="B29" s="215"/>
      <c r="C29" s="216"/>
      <c r="D29" s="217"/>
      <c r="E29" s="223"/>
      <c r="F29" s="226"/>
      <c r="G29" s="230"/>
      <c r="H29" s="231" t="s">
        <v>406</v>
      </c>
      <c r="I29" s="785"/>
      <c r="J29" s="248"/>
      <c r="K29" s="237"/>
      <c r="L29" s="237"/>
      <c r="M29" s="119">
        <f t="shared" si="0"/>
        <v>0</v>
      </c>
    </row>
    <row r="30" spans="1:18" ht="13.5" thickBot="1">
      <c r="A30" s="782"/>
      <c r="B30" s="215"/>
      <c r="C30" s="224"/>
      <c r="D30" s="217"/>
      <c r="E30" s="223"/>
      <c r="F30" s="234"/>
      <c r="G30" s="230"/>
      <c r="H30" s="435"/>
      <c r="I30" s="785"/>
      <c r="J30" s="248"/>
      <c r="K30" s="237"/>
      <c r="L30" s="237"/>
      <c r="M30" s="119">
        <f t="shared" si="0"/>
        <v>0</v>
      </c>
      <c r="N30" s="157"/>
    </row>
    <row r="31" spans="1:18" ht="13.5" thickBot="1">
      <c r="A31" s="782"/>
      <c r="B31" s="215"/>
      <c r="C31" s="224"/>
      <c r="D31" s="217"/>
      <c r="E31" s="223"/>
      <c r="F31" s="234"/>
      <c r="G31" s="235"/>
      <c r="H31" s="435"/>
      <c r="I31" s="786"/>
      <c r="J31" s="248"/>
      <c r="K31" s="237"/>
      <c r="L31" s="237"/>
      <c r="M31" s="119">
        <f t="shared" si="0"/>
        <v>0</v>
      </c>
    </row>
    <row r="32" spans="1:18" ht="13.5" thickBot="1">
      <c r="A32" s="783"/>
      <c r="B32" s="167" t="s">
        <v>2</v>
      </c>
      <c r="C32" s="101">
        <f>SUM(C25:C31)</f>
        <v>15628</v>
      </c>
      <c r="D32" s="102">
        <f>SUM(D25:D31)</f>
        <v>0</v>
      </c>
      <c r="E32" s="103">
        <f>SUM(E25:E31)</f>
        <v>0</v>
      </c>
      <c r="F32" s="101">
        <f>SUM(F24:F31)</f>
        <v>7</v>
      </c>
      <c r="G32" s="171"/>
      <c r="H32" s="172"/>
      <c r="I32" s="170"/>
      <c r="J32" s="250"/>
      <c r="K32" s="239"/>
      <c r="L32" s="241"/>
      <c r="M32" s="119">
        <f t="shared" si="0"/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788" t="s">
        <v>58</v>
      </c>
      <c r="B34" s="789"/>
      <c r="C34" s="109">
        <f>C14+C23+C32</f>
        <v>54765</v>
      </c>
      <c r="D34" s="109">
        <f>D14+D23+D32</f>
        <v>0</v>
      </c>
      <c r="E34" s="109">
        <f>E14+E23+E32</f>
        <v>0</v>
      </c>
      <c r="F34" s="110">
        <f>F14+F23+F32</f>
        <v>23</v>
      </c>
      <c r="H34" s="178"/>
      <c r="I34" s="178"/>
      <c r="J34" s="125" t="s">
        <v>27</v>
      </c>
      <c r="K34" s="126">
        <f>SUM(K7:K32)</f>
        <v>54765</v>
      </c>
      <c r="L34" s="212">
        <f>SUM(L7:L32)</f>
        <v>0</v>
      </c>
      <c r="M34" s="122">
        <f>SUM(M7:M32)</f>
        <v>54765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790" t="s">
        <v>59</v>
      </c>
      <c r="B37" s="791"/>
      <c r="C37" s="164" t="s">
        <v>60</v>
      </c>
      <c r="D37" s="183" t="s">
        <v>61</v>
      </c>
      <c r="E37" s="184" t="s">
        <v>62</v>
      </c>
      <c r="F37" s="185"/>
      <c r="G37" s="157"/>
      <c r="H37" s="186" t="s">
        <v>63</v>
      </c>
      <c r="I37" s="242">
        <f>(15*290+12.5*440+14*710)/1440*G42*2.85*1440/1000000</f>
        <v>55.947937937500008</v>
      </c>
      <c r="J37" s="127">
        <f>I37</f>
        <v>55.947937937500008</v>
      </c>
      <c r="K37" s="128" t="s">
        <v>64</v>
      </c>
      <c r="L37" s="151">
        <f>17.42-2.166-2.166</f>
        <v>13.088000000000001</v>
      </c>
    </row>
    <row r="38" spans="1:14" ht="17.45" customHeight="1">
      <c r="A38" s="779" t="s">
        <v>11</v>
      </c>
      <c r="B38" s="780"/>
      <c r="C38" s="166">
        <f>SUMIF($G$7:$G$31,"Process",$F$7:$F$31)</f>
        <v>23</v>
      </c>
      <c r="D38" s="120">
        <f>C38</f>
        <v>23</v>
      </c>
      <c r="E38" s="145">
        <f t="shared" ref="E38:E51" si="1">D38/60</f>
        <v>0.38333333333333336</v>
      </c>
      <c r="F38" s="185">
        <v>1289.5833333333333</v>
      </c>
      <c r="G38" s="185">
        <v>980.08333333333337</v>
      </c>
      <c r="H38" s="187" t="s">
        <v>65</v>
      </c>
      <c r="I38" s="561">
        <f>17.42+18.501+18.164</f>
        <v>54.085000000000008</v>
      </c>
      <c r="J38" s="129">
        <f>I38</f>
        <v>54.085000000000008</v>
      </c>
      <c r="K38" s="130" t="s">
        <v>64</v>
      </c>
      <c r="L38" s="562">
        <f>+I38-L37-L39</f>
        <v>14.989000000000004</v>
      </c>
    </row>
    <row r="39" spans="1:14" ht="17.45" customHeight="1">
      <c r="A39" s="775" t="s">
        <v>12</v>
      </c>
      <c r="B39" s="776"/>
      <c r="C39" s="166">
        <f>SUMIF($G$7:$G$31,"Cleaning",$F$7:$F$31)</f>
        <v>0</v>
      </c>
      <c r="D39" s="120">
        <f>C39</f>
        <v>0</v>
      </c>
      <c r="E39" s="145">
        <f t="shared" si="1"/>
        <v>0</v>
      </c>
      <c r="F39" s="185">
        <v>1326.0416666666667</v>
      </c>
      <c r="G39" s="185">
        <v>1007.7916666666666</v>
      </c>
      <c r="H39" s="187" t="s">
        <v>66</v>
      </c>
      <c r="I39" s="144"/>
      <c r="J39" s="131">
        <f>J37/G4</f>
        <v>55.947937937500008</v>
      </c>
      <c r="K39" s="132" t="s">
        <v>64</v>
      </c>
      <c r="L39" s="151">
        <f>1.98+1.98+1.942+1.942+18.164</f>
        <v>26.008000000000003</v>
      </c>
    </row>
    <row r="40" spans="1:14" ht="17.45" customHeight="1">
      <c r="A40" s="775" t="s">
        <v>67</v>
      </c>
      <c r="B40" s="776"/>
      <c r="C40" s="166">
        <f>SUMIF($G$7:$G$31,"Mechanical",$F$7:$F$31)</f>
        <v>0</v>
      </c>
      <c r="D40" s="120">
        <f t="shared" ref="D40:D51" si="2">C40</f>
        <v>0</v>
      </c>
      <c r="E40" s="145">
        <f t="shared" si="1"/>
        <v>0</v>
      </c>
      <c r="F40" s="185">
        <v>1300</v>
      </c>
      <c r="G40" s="185">
        <v>988</v>
      </c>
      <c r="H40" s="187" t="s">
        <v>68</v>
      </c>
      <c r="I40" s="120">
        <f>(K34+L34)/1000</f>
        <v>54.765000000000001</v>
      </c>
      <c r="J40" s="133">
        <f>M34/1000</f>
        <v>54.765000000000001</v>
      </c>
      <c r="K40" s="132" t="s">
        <v>64</v>
      </c>
    </row>
    <row r="41" spans="1:14" ht="17.45" customHeight="1">
      <c r="A41" s="775" t="s">
        <v>69</v>
      </c>
      <c r="B41" s="776"/>
      <c r="C41" s="166">
        <f>SUMIF($G$7:$G$31,"Electrical",$F$7:$F$31)</f>
        <v>0</v>
      </c>
      <c r="D41" s="120">
        <f t="shared" si="2"/>
        <v>0</v>
      </c>
      <c r="E41" s="145">
        <f t="shared" si="1"/>
        <v>0</v>
      </c>
      <c r="F41" s="185"/>
      <c r="G41" s="185"/>
      <c r="H41" s="187" t="s">
        <v>70</v>
      </c>
      <c r="I41" s="144"/>
      <c r="J41" s="131">
        <f>J40/G4</f>
        <v>54.765000000000001</v>
      </c>
      <c r="K41" s="132" t="s">
        <v>64</v>
      </c>
    </row>
    <row r="42" spans="1:14" ht="17.45" customHeight="1">
      <c r="A42" s="775" t="s">
        <v>15</v>
      </c>
      <c r="B42" s="776"/>
      <c r="C42" s="166">
        <f>SUMIF($G$7:$G$31,"Instrument",$F$7:$F$31)</f>
        <v>0</v>
      </c>
      <c r="D42" s="120">
        <f t="shared" si="2"/>
        <v>0</v>
      </c>
      <c r="E42" s="145">
        <f t="shared" si="1"/>
        <v>0</v>
      </c>
      <c r="F42" s="330">
        <f>+(F38*480+F39*480+F40*480)/1440</f>
        <v>1305.2083333333333</v>
      </c>
      <c r="G42" s="330">
        <f>+(G38*480+G39*480+G40*480)/1440</f>
        <v>991.95833333333337</v>
      </c>
      <c r="H42" s="187" t="s">
        <v>71</v>
      </c>
      <c r="I42" s="244" t="s">
        <v>413</v>
      </c>
      <c r="J42" s="134"/>
      <c r="K42" s="132" t="s">
        <v>72</v>
      </c>
    </row>
    <row r="43" spans="1:14" ht="17.45" customHeight="1">
      <c r="A43" s="775" t="s">
        <v>73</v>
      </c>
      <c r="B43" s="776"/>
      <c r="C43" s="166">
        <f>SUMIF($G$7:$G$31,"Water",$F$7:$F$31)</f>
        <v>0</v>
      </c>
      <c r="D43" s="120">
        <f t="shared" si="2"/>
        <v>0</v>
      </c>
      <c r="E43" s="145">
        <f t="shared" si="1"/>
        <v>0</v>
      </c>
      <c r="F43" s="185"/>
      <c r="H43" s="188" t="s">
        <v>74</v>
      </c>
      <c r="I43" s="120">
        <f>+Report1!Z9</f>
        <v>126.4</v>
      </c>
      <c r="J43" s="135">
        <f>I43</f>
        <v>126.4</v>
      </c>
      <c r="K43" s="132" t="s">
        <v>64</v>
      </c>
      <c r="L43" s="189"/>
    </row>
    <row r="44" spans="1:14" ht="17.45" customHeight="1">
      <c r="A44" s="775" t="s">
        <v>16</v>
      </c>
      <c r="B44" s="776"/>
      <c r="C44" s="166">
        <f>SUMIF($G$7:$G$31,"PLN",$F$7:$F$31)</f>
        <v>0</v>
      </c>
      <c r="D44" s="120">
        <f>C44</f>
        <v>0</v>
      </c>
      <c r="E44" s="145">
        <f t="shared" si="1"/>
        <v>0</v>
      </c>
      <c r="F44" s="185"/>
      <c r="H44" s="188" t="s">
        <v>75</v>
      </c>
      <c r="I44" s="120">
        <f>I43/I38</f>
        <v>2.3370620319866875</v>
      </c>
      <c r="J44" s="136">
        <f>J43/J38</f>
        <v>2.3370620319866875</v>
      </c>
      <c r="K44" s="132" t="s">
        <v>64</v>
      </c>
    </row>
    <row r="45" spans="1:14" ht="17.45" customHeight="1">
      <c r="A45" s="775" t="s">
        <v>17</v>
      </c>
      <c r="B45" s="776"/>
      <c r="C45" s="166">
        <f>SUMIF($G$7:$G$31,"Boiler",$F$7:$F$31)</f>
        <v>0</v>
      </c>
      <c r="D45" s="120">
        <f t="shared" si="2"/>
        <v>0</v>
      </c>
      <c r="E45" s="145">
        <f t="shared" si="1"/>
        <v>0</v>
      </c>
      <c r="F45" s="185"/>
      <c r="G45" s="176"/>
      <c r="H45" s="188" t="s">
        <v>76</v>
      </c>
      <c r="I45" s="120">
        <f>I43/I40</f>
        <v>2.3080434584132203</v>
      </c>
      <c r="J45" s="136">
        <f>J43/J40</f>
        <v>2.3080434584132203</v>
      </c>
      <c r="K45" s="132" t="s">
        <v>64</v>
      </c>
    </row>
    <row r="46" spans="1:14" ht="17.45" customHeight="1">
      <c r="A46" s="775" t="s">
        <v>77</v>
      </c>
      <c r="B46" s="776"/>
      <c r="C46" s="166">
        <f>SUMIF($G$7:$G$31,"Gas",$F$7:$F$31)</f>
        <v>0</v>
      </c>
      <c r="D46" s="120">
        <f t="shared" si="2"/>
        <v>0</v>
      </c>
      <c r="E46" s="145">
        <f t="shared" si="1"/>
        <v>0</v>
      </c>
      <c r="F46" s="185"/>
      <c r="H46" s="188" t="s">
        <v>78</v>
      </c>
      <c r="I46" s="142">
        <f>+SUMIF(Listrik!AN8,"&gt;0")</f>
        <v>33191.359999999855</v>
      </c>
      <c r="J46" s="137">
        <f>I46</f>
        <v>33191.359999999855</v>
      </c>
      <c r="K46" s="132" t="s">
        <v>79</v>
      </c>
    </row>
    <row r="47" spans="1:14" ht="17.45" customHeight="1">
      <c r="A47" s="775" t="s">
        <v>80</v>
      </c>
      <c r="B47" s="776"/>
      <c r="C47" s="166">
        <f>SUMIF($G$7:$G$31,"Gas",$F$7:$F$31)</f>
        <v>0</v>
      </c>
      <c r="D47" s="120">
        <f t="shared" si="2"/>
        <v>0</v>
      </c>
      <c r="E47" s="145">
        <f t="shared" si="1"/>
        <v>0</v>
      </c>
      <c r="F47" s="185"/>
      <c r="H47" s="188" t="s">
        <v>81</v>
      </c>
      <c r="I47" s="120">
        <f>I46/I38</f>
        <v>613.68882314874452</v>
      </c>
      <c r="J47" s="137">
        <f>J46/J38</f>
        <v>613.68882314874452</v>
      </c>
      <c r="K47" s="132" t="s">
        <v>23</v>
      </c>
    </row>
    <row r="48" spans="1:14" ht="17.45" customHeight="1">
      <c r="A48" s="775" t="s">
        <v>13</v>
      </c>
      <c r="B48" s="776"/>
      <c r="C48" s="166">
        <f>SUMIF($G$7:$G$31,"Start Up",$F$7:$F$31)</f>
        <v>0</v>
      </c>
      <c r="D48" s="120">
        <f t="shared" si="2"/>
        <v>0</v>
      </c>
      <c r="E48" s="145">
        <f t="shared" si="1"/>
        <v>0</v>
      </c>
      <c r="F48" s="185"/>
      <c r="H48" s="188" t="s">
        <v>82</v>
      </c>
      <c r="I48" s="120">
        <f>I46/I40</f>
        <v>606.06883958732499</v>
      </c>
      <c r="J48" s="137">
        <f>J46/J40</f>
        <v>606.06883958732499</v>
      </c>
      <c r="K48" s="132" t="s">
        <v>23</v>
      </c>
    </row>
    <row r="49" spans="1:11" ht="17.45" customHeight="1">
      <c r="A49" s="775" t="s">
        <v>19</v>
      </c>
      <c r="B49" s="776"/>
      <c r="C49" s="166">
        <f>SUMIF($G$7:$G$31,"Others",$F$7:$F$31)</f>
        <v>0</v>
      </c>
      <c r="D49" s="120">
        <f t="shared" si="2"/>
        <v>0</v>
      </c>
      <c r="E49" s="145">
        <f t="shared" si="1"/>
        <v>0</v>
      </c>
      <c r="F49" s="185"/>
      <c r="H49" s="188" t="s">
        <v>181</v>
      </c>
      <c r="I49" s="120"/>
      <c r="J49" s="137">
        <f>I49</f>
        <v>0</v>
      </c>
      <c r="K49" s="132" t="s">
        <v>84</v>
      </c>
    </row>
    <row r="50" spans="1:11" ht="17.45" customHeight="1">
      <c r="A50" s="775" t="s">
        <v>18</v>
      </c>
      <c r="B50" s="776"/>
      <c r="C50" s="166">
        <f>SUMIF($G$7:$G$31,"Steam",$F$7:$F$31)</f>
        <v>0</v>
      </c>
      <c r="D50" s="120">
        <f t="shared" si="2"/>
        <v>0</v>
      </c>
      <c r="E50" s="145">
        <f t="shared" si="1"/>
        <v>0</v>
      </c>
      <c r="F50" s="185"/>
      <c r="H50" s="188" t="s">
        <v>85</v>
      </c>
      <c r="I50" s="142">
        <f>I49/I38</f>
        <v>0</v>
      </c>
      <c r="J50" s="135">
        <f>J49/J38</f>
        <v>0</v>
      </c>
      <c r="K50" s="132" t="s">
        <v>84</v>
      </c>
    </row>
    <row r="51" spans="1:11" ht="17.45" customHeight="1" thickBot="1">
      <c r="A51" s="777" t="s">
        <v>86</v>
      </c>
      <c r="B51" s="778"/>
      <c r="C51" s="166">
        <f>SUMIF($G$7:$G$31,"Planned shut",$F$7:$F$31)</f>
        <v>0</v>
      </c>
      <c r="D51" s="120">
        <f t="shared" si="2"/>
        <v>0</v>
      </c>
      <c r="E51" s="145">
        <f t="shared" si="1"/>
        <v>0</v>
      </c>
      <c r="F51" s="185"/>
      <c r="H51" s="190" t="s">
        <v>87</v>
      </c>
      <c r="I51" s="143">
        <f>I49/I40</f>
        <v>0</v>
      </c>
      <c r="J51" s="138">
        <f>J49/J40</f>
        <v>0</v>
      </c>
      <c r="K51" s="139" t="s">
        <v>84</v>
      </c>
    </row>
    <row r="52" spans="1:11" ht="13.5" thickBot="1">
      <c r="A52" s="779" t="s">
        <v>27</v>
      </c>
      <c r="B52" s="780"/>
      <c r="C52" s="146">
        <f>SUM(C38:C51)</f>
        <v>23</v>
      </c>
      <c r="D52" s="146">
        <f>SUM(D38:D51)</f>
        <v>23</v>
      </c>
      <c r="E52" s="147">
        <f>SUM(E38:E51)</f>
        <v>0.38333333333333336</v>
      </c>
      <c r="F52" s="185"/>
      <c r="H52" s="191"/>
      <c r="I52" s="192"/>
      <c r="J52" s="140"/>
      <c r="K52" s="141"/>
    </row>
    <row r="53" spans="1:11" ht="13.5" thickBot="1">
      <c r="A53" s="773"/>
      <c r="B53" s="774"/>
      <c r="C53" s="148">
        <f>C52/(24*60)</f>
        <v>1.5972222222222221E-2</v>
      </c>
      <c r="D53" s="148">
        <f>D52/(24*60*G4)</f>
        <v>1.5972222222222221E-2</v>
      </c>
      <c r="E53" s="149">
        <f>E52/(G4*24)</f>
        <v>1.5972222222222224E-2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88</v>
      </c>
      <c r="B56" s="195"/>
      <c r="C56" s="196"/>
      <c r="D56" s="196"/>
      <c r="E56" s="196"/>
      <c r="F56" s="197"/>
      <c r="G56" s="196"/>
      <c r="H56" s="198"/>
      <c r="I56" s="199" t="s">
        <v>89</v>
      </c>
      <c r="J56" s="200">
        <f>D34</f>
        <v>0</v>
      </c>
      <c r="K56" s="201">
        <f>J56/(J40+J56/1000)/1000</f>
        <v>0</v>
      </c>
    </row>
    <row r="57" spans="1:11">
      <c r="A57" s="176"/>
      <c r="I57" s="199" t="s">
        <v>90</v>
      </c>
      <c r="J57" s="200">
        <f>+E34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0" type="noConversion"/>
  <printOptions horizontalCentered="1"/>
  <pageMargins left="0.15625" right="0.15625" top="0.17" bottom="0.16" header="0" footer="0"/>
  <pageSetup paperSize="9" scale="44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37</vt:i4>
      </vt:variant>
    </vt:vector>
  </HeadingPairs>
  <TitlesOfParts>
    <vt:vector size="79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  <vt:lpstr>summary!Print_Area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2026-01-02T07:47:58Z</cp:lastPrinted>
  <dcterms:created xsi:type="dcterms:W3CDTF">2007-07-30T03:52:39Z</dcterms:created>
  <dcterms:modified xsi:type="dcterms:W3CDTF">2026-01-09T05:23:09Z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  <property fmtid="{D5CDD505-2E9C-101B-9397-08002B2CF9AE}" pid="3" name="NXPowerLiteLastOptimized">
    <vt:lpwstr>521628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S10.3.1</vt:lpwstr>
  </property>
</Properties>
</file>