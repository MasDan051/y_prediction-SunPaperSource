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040" tabRatio="930" activeTab="10"/>
  </bookViews>
  <sheets>
    <sheet name="Report1" sheetId="48" r:id="rId1"/>
    <sheet name="GRAFIK" sheetId="50" r:id="rId2"/>
    <sheet name="Listrik" sheetId="45" r:id="rId3"/>
    <sheet name="Trim Rwd" sheetId="47" r:id="rId4"/>
    <sheet name="Efficiency1" sheetId="56" r:id="rId5"/>
    <sheet name="Efficiency2" sheetId="55" r:id="rId6"/>
    <sheet name="Chem" sheetId="1" r:id="rId7"/>
    <sheet name="BB" sheetId="2" r:id="rId8"/>
    <sheet name="RBP" sheetId="51" r:id="rId9"/>
    <sheet name="Sheet1" sheetId="53" r:id="rId10"/>
    <sheet name="summary" sheetId="54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</externalReferences>
  <definedNames>
    <definedName name="_xlnm._FilterDatabase" localSheetId="9" hidden="1">Sheet1!$B$1:$F$45</definedName>
    <definedName name="_xlnm.Print_Area" localSheetId="41">'1'!$A$1:$M$61</definedName>
    <definedName name="_xlnm.Print_Area" localSheetId="32">'10'!$A$1:$M$61</definedName>
    <definedName name="_xlnm.Print_Area" localSheetId="31">'11'!$A$1:$M$61</definedName>
    <definedName name="_xlnm.Print_Area" localSheetId="30">'12'!$A$1:$M$61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'2'!$A$1:$M$61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'31'!$A$1:$M$63</definedName>
    <definedName name="_xlnm.Print_Area" localSheetId="38">'4'!$A$1:$M$61</definedName>
    <definedName name="_xlnm.Print_Area" localSheetId="37">'5'!$A$1:$M$61</definedName>
    <definedName name="_xlnm.Print_Area" localSheetId="36">'6'!$A$1:$M$61</definedName>
    <definedName name="_xlnm.Print_Area" localSheetId="35">'7'!$A$1:$M$61</definedName>
    <definedName name="_xlnm.Print_Area" localSheetId="34">'8'!$A$1:$M$61</definedName>
    <definedName name="_xlnm.Print_Area" localSheetId="33">'9'!$A$1:$M$62</definedName>
    <definedName name="_xlnm.Print_Area" localSheetId="6">Chem!$CE$7:$CQ$16</definedName>
    <definedName name="_xlnm.Print_Area" localSheetId="4">Efficiency1!$A$1:$AD$155</definedName>
    <definedName name="_xlnm.Print_Area" localSheetId="5">Efficiency2!$A$1:$AD$155</definedName>
    <definedName name="_xlnm.Print_Area" localSheetId="2">Listrik!$A$2:$AT$40</definedName>
    <definedName name="_xlnm.Print_Area" localSheetId="0">Report1!$A$3:$AK$41</definedName>
    <definedName name="_xlnm.Print_Area" localSheetId="10">summary!$A$1:$H$52</definedName>
  </definedNames>
  <calcPr calcId="144525"/>
</workbook>
</file>

<file path=xl/calcChain.xml><?xml version="1.0" encoding="utf-8"?>
<calcChain xmlns="http://schemas.openxmlformats.org/spreadsheetml/2006/main">
  <c r="DS40" i="2" l="1"/>
  <c r="S40" i="2"/>
  <c r="AF3" i="51" l="1"/>
  <c r="AF7" i="51"/>
  <c r="AF6" i="51"/>
  <c r="Q101" i="55"/>
  <c r="S101" i="55"/>
  <c r="AV104" i="55"/>
  <c r="Q6" i="55"/>
  <c r="R6" i="55"/>
  <c r="AW9" i="55"/>
  <c r="AW158" i="55"/>
  <c r="AV158" i="55"/>
  <c r="AR9" i="55"/>
  <c r="BA9" i="55" s="1"/>
  <c r="AM9" i="55"/>
  <c r="AR8" i="55"/>
  <c r="BA8" i="55" s="1"/>
  <c r="AM8" i="55"/>
  <c r="AR7" i="55"/>
  <c r="BA7" i="55" s="1"/>
  <c r="AM7" i="55"/>
  <c r="W7" i="55"/>
  <c r="M7" i="55"/>
  <c r="N7" i="55" s="1"/>
  <c r="AR6" i="55"/>
  <c r="BA6" i="55" s="1"/>
  <c r="AD6" i="55" s="1"/>
  <c r="AM6" i="55"/>
  <c r="M6" i="55"/>
  <c r="A6" i="55"/>
  <c r="AD8" i="55" l="1"/>
  <c r="AD7" i="55"/>
  <c r="H7" i="55"/>
  <c r="AD9" i="55"/>
  <c r="N6" i="55"/>
  <c r="H6" i="55" l="1"/>
  <c r="J7" i="55"/>
  <c r="J6" i="55" l="1"/>
  <c r="W136" i="55" l="1"/>
  <c r="Z128" i="55"/>
  <c r="Z127" i="55"/>
  <c r="Z125" i="55"/>
  <c r="Z123" i="55"/>
  <c r="Z120" i="55"/>
  <c r="Z119" i="55"/>
  <c r="Z109" i="55"/>
  <c r="Z106" i="55"/>
  <c r="Z102" i="55"/>
  <c r="Z101" i="55"/>
  <c r="Z97" i="55"/>
  <c r="Z94" i="55"/>
  <c r="Z93" i="55"/>
  <c r="Z77" i="55"/>
  <c r="Z71" i="55"/>
  <c r="W69" i="55"/>
  <c r="Z68" i="55"/>
  <c r="Z67" i="55"/>
  <c r="W61" i="55"/>
  <c r="W36" i="55"/>
  <c r="W26" i="55"/>
  <c r="Z17" i="55"/>
  <c r="Z16" i="55"/>
  <c r="Z15" i="55"/>
  <c r="N38" i="43"/>
  <c r="I119" i="47"/>
  <c r="F118" i="47"/>
  <c r="E119" i="47"/>
  <c r="G119" i="47" s="1"/>
  <c r="H119" i="47" s="1"/>
  <c r="O136" i="56" s="1"/>
  <c r="E118" i="47"/>
  <c r="K19" i="43"/>
  <c r="K7" i="43"/>
  <c r="W135" i="55" s="1"/>
  <c r="C25" i="43"/>
  <c r="G118" i="47" l="1"/>
  <c r="H118" i="47" s="1"/>
  <c r="O136" i="55"/>
  <c r="AR137" i="55"/>
  <c r="BA137" i="55" s="1"/>
  <c r="AM137" i="55"/>
  <c r="AD137" i="55" s="1"/>
  <c r="AR136" i="55"/>
  <c r="BA136" i="55" s="1"/>
  <c r="AM136" i="55"/>
  <c r="U136" i="55"/>
  <c r="M136" i="55"/>
  <c r="N136" i="55" s="1"/>
  <c r="H136" i="55" s="1"/>
  <c r="AR135" i="55"/>
  <c r="BA135" i="55" s="1"/>
  <c r="AM135" i="55"/>
  <c r="AD135" i="55" s="1"/>
  <c r="M135" i="55"/>
  <c r="W136" i="56"/>
  <c r="W135" i="56"/>
  <c r="M136" i="56"/>
  <c r="M135" i="56"/>
  <c r="N135" i="56"/>
  <c r="H135" i="56" s="1"/>
  <c r="AM135" i="56"/>
  <c r="AR135" i="56"/>
  <c r="BA135" i="56"/>
  <c r="N136" i="56"/>
  <c r="H136" i="56" s="1"/>
  <c r="U136" i="56"/>
  <c r="AM136" i="56"/>
  <c r="AR136" i="56"/>
  <c r="BA136" i="56"/>
  <c r="AM137" i="56"/>
  <c r="AR137" i="56"/>
  <c r="BA137" i="56" s="1"/>
  <c r="I38" i="43"/>
  <c r="N37" i="43" s="1"/>
  <c r="I118" i="47" s="1"/>
  <c r="G39" i="43"/>
  <c r="G38" i="43"/>
  <c r="Q27" i="43"/>
  <c r="Q28" i="43" s="1"/>
  <c r="R26" i="43"/>
  <c r="R25" i="43"/>
  <c r="R27" i="43" s="1"/>
  <c r="R28" i="43" s="1"/>
  <c r="Q26" i="43"/>
  <c r="Q25" i="43"/>
  <c r="P27" i="43"/>
  <c r="O26" i="43"/>
  <c r="O25" i="43"/>
  <c r="O9" i="43"/>
  <c r="O8" i="43"/>
  <c r="N6" i="43"/>
  <c r="AD136" i="55" l="1"/>
  <c r="AD135" i="56"/>
  <c r="AD136" i="56"/>
  <c r="O135" i="56"/>
  <c r="P135" i="56" s="1"/>
  <c r="O135" i="55"/>
  <c r="P135" i="55" s="1"/>
  <c r="AD137" i="56"/>
  <c r="P136" i="56"/>
  <c r="C136" i="56"/>
  <c r="T136" i="56"/>
  <c r="K135" i="56"/>
  <c r="U135" i="56"/>
  <c r="K136" i="55"/>
  <c r="J136" i="55"/>
  <c r="C135" i="55"/>
  <c r="V136" i="55"/>
  <c r="P136" i="55"/>
  <c r="N135" i="55"/>
  <c r="C136" i="55"/>
  <c r="T136" i="55"/>
  <c r="T135" i="55"/>
  <c r="V136" i="56"/>
  <c r="V135" i="56"/>
  <c r="J135" i="56"/>
  <c r="K136" i="56"/>
  <c r="AC136" i="56" s="1"/>
  <c r="J136" i="56"/>
  <c r="AG4" i="51"/>
  <c r="AG3" i="51"/>
  <c r="AE7" i="51"/>
  <c r="AE6" i="51"/>
  <c r="AD7" i="51"/>
  <c r="AD6" i="51"/>
  <c r="T135" i="56" l="1"/>
  <c r="C135" i="56"/>
  <c r="N39" i="48" s="1"/>
  <c r="U135" i="55"/>
  <c r="Y135" i="55"/>
  <c r="Y131" i="55"/>
  <c r="Y135" i="56"/>
  <c r="AC136" i="55"/>
  <c r="L39" i="48"/>
  <c r="AC135" i="56"/>
  <c r="V135" i="55"/>
  <c r="H135" i="55"/>
  <c r="X135" i="56"/>
  <c r="E116" i="47"/>
  <c r="G116" i="47"/>
  <c r="H116" i="47" s="1"/>
  <c r="O132" i="56" s="1"/>
  <c r="E115" i="47"/>
  <c r="G115" i="47" s="1"/>
  <c r="H115" i="47" s="1"/>
  <c r="K12" i="4"/>
  <c r="W131" i="55" s="1"/>
  <c r="C26" i="4"/>
  <c r="K13" i="4" s="1"/>
  <c r="C14" i="4"/>
  <c r="DS39" i="2"/>
  <c r="S39" i="2"/>
  <c r="W132" i="55" l="1"/>
  <c r="W132" i="56"/>
  <c r="J135" i="55"/>
  <c r="K135" i="55"/>
  <c r="O131" i="55"/>
  <c r="O131" i="56"/>
  <c r="O132" i="55"/>
  <c r="P132" i="55" s="1"/>
  <c r="AR133" i="55"/>
  <c r="BA133" i="55" s="1"/>
  <c r="AM133" i="55"/>
  <c r="AR132" i="55"/>
  <c r="BA132" i="55" s="1"/>
  <c r="AM132" i="55"/>
  <c r="M132" i="55"/>
  <c r="AR131" i="55"/>
  <c r="BA131" i="55" s="1"/>
  <c r="AM131" i="55"/>
  <c r="U131" i="55"/>
  <c r="M131" i="55"/>
  <c r="N131" i="55" s="1"/>
  <c r="W131" i="56"/>
  <c r="M132" i="56"/>
  <c r="C132" i="56" s="1"/>
  <c r="M131" i="56"/>
  <c r="U131" i="56" s="1"/>
  <c r="T132" i="56"/>
  <c r="N132" i="56"/>
  <c r="V132" i="56" s="1"/>
  <c r="U132" i="56"/>
  <c r="AM131" i="56"/>
  <c r="AR131" i="56"/>
  <c r="BA131" i="56"/>
  <c r="AM132" i="56"/>
  <c r="AR132" i="56"/>
  <c r="BA132" i="56" s="1"/>
  <c r="AM133" i="56"/>
  <c r="AR133" i="56"/>
  <c r="BA133" i="56"/>
  <c r="N38" i="4"/>
  <c r="I116" i="47" s="1"/>
  <c r="I38" i="4"/>
  <c r="N37" i="4" s="1"/>
  <c r="I115" i="47" s="1"/>
  <c r="G39" i="4"/>
  <c r="G38" i="4"/>
  <c r="Q26" i="4"/>
  <c r="R26" i="4"/>
  <c r="R25" i="4"/>
  <c r="Q25" i="4"/>
  <c r="P27" i="4"/>
  <c r="O26" i="4"/>
  <c r="O25" i="4"/>
  <c r="O8" i="4"/>
  <c r="N6" i="4"/>
  <c r="U132" i="55" l="1"/>
  <c r="AL39" i="48"/>
  <c r="X135" i="55"/>
  <c r="AC135" i="55"/>
  <c r="AD133" i="55"/>
  <c r="AD131" i="55"/>
  <c r="AD131" i="56"/>
  <c r="N131" i="56"/>
  <c r="H131" i="56" s="1"/>
  <c r="AD133" i="56"/>
  <c r="AD132" i="55"/>
  <c r="P131" i="55"/>
  <c r="T131" i="55"/>
  <c r="C131" i="55"/>
  <c r="T131" i="56"/>
  <c r="P131" i="56"/>
  <c r="V131" i="55"/>
  <c r="H131" i="55"/>
  <c r="N132" i="55"/>
  <c r="C132" i="55"/>
  <c r="T132" i="55"/>
  <c r="H132" i="56"/>
  <c r="P132" i="56"/>
  <c r="C131" i="56"/>
  <c r="N38" i="48" s="1"/>
  <c r="AD132" i="56"/>
  <c r="Q27" i="4"/>
  <c r="Q28" i="4" s="1"/>
  <c r="R27" i="4"/>
  <c r="R28" i="4" s="1"/>
  <c r="Z128" i="56"/>
  <c r="Z127" i="56"/>
  <c r="V131" i="56" l="1"/>
  <c r="V132" i="55"/>
  <c r="H132" i="55"/>
  <c r="K131" i="55"/>
  <c r="J131" i="55"/>
  <c r="J132" i="56"/>
  <c r="K132" i="56"/>
  <c r="AC132" i="56" s="1"/>
  <c r="J131" i="56"/>
  <c r="K131" i="56"/>
  <c r="E113" i="47"/>
  <c r="G113" i="47" s="1"/>
  <c r="E112" i="47"/>
  <c r="H112" i="47" s="1"/>
  <c r="O128" i="55" s="1"/>
  <c r="E111" i="47"/>
  <c r="G111" i="47" s="1"/>
  <c r="H111" i="47" s="1"/>
  <c r="K9" i="37"/>
  <c r="W127" i="55" s="1"/>
  <c r="C8" i="37"/>
  <c r="K12" i="37" s="1"/>
  <c r="W128" i="55" s="1"/>
  <c r="DS38" i="2"/>
  <c r="S38" i="2"/>
  <c r="BW40" i="2"/>
  <c r="DK40" i="2"/>
  <c r="EA40" i="2"/>
  <c r="EI40" i="2" l="1"/>
  <c r="H40" i="2" s="1"/>
  <c r="G112" i="47"/>
  <c r="AC131" i="56"/>
  <c r="L38" i="48"/>
  <c r="AC131" i="55"/>
  <c r="K132" i="55"/>
  <c r="AL38" i="48" s="1"/>
  <c r="J132" i="55"/>
  <c r="X131" i="56"/>
  <c r="O127" i="55"/>
  <c r="O127" i="56"/>
  <c r="O128" i="56"/>
  <c r="EB40" i="2"/>
  <c r="CR40" i="2"/>
  <c r="AB40" i="2"/>
  <c r="CZ40" i="2"/>
  <c r="AJ40" i="2"/>
  <c r="CN40" i="2"/>
  <c r="BD40" i="2"/>
  <c r="BX40" i="2"/>
  <c r="AR40" i="2"/>
  <c r="CJ40" i="2"/>
  <c r="AZ40" i="2"/>
  <c r="T40" i="2"/>
  <c r="DP40" i="2"/>
  <c r="BH40" i="2"/>
  <c r="AV40" i="2"/>
  <c r="EF40" i="2"/>
  <c r="DL40" i="2"/>
  <c r="X40" i="2"/>
  <c r="CV40" i="2"/>
  <c r="AF40" i="2"/>
  <c r="DD40" i="2"/>
  <c r="AN40" i="2"/>
  <c r="P40" i="2" l="1"/>
  <c r="X131" i="55"/>
  <c r="DT40" i="2"/>
  <c r="DX40" i="2"/>
  <c r="L40" i="2"/>
  <c r="CF40" i="2"/>
  <c r="AC132" i="55"/>
  <c r="AR129" i="55"/>
  <c r="BA129" i="55" s="1"/>
  <c r="AM129" i="55"/>
  <c r="AR128" i="55"/>
  <c r="BA128" i="55" s="1"/>
  <c r="AM128" i="55"/>
  <c r="M128" i="55"/>
  <c r="N128" i="55" s="1"/>
  <c r="AR127" i="55"/>
  <c r="BA127" i="55" s="1"/>
  <c r="AM127" i="55"/>
  <c r="P127" i="55"/>
  <c r="M127" i="55"/>
  <c r="N127" i="55" s="1"/>
  <c r="H127" i="55" s="1"/>
  <c r="W127" i="56"/>
  <c r="M128" i="56"/>
  <c r="M127" i="56"/>
  <c r="N128" i="56"/>
  <c r="H128" i="56" s="1"/>
  <c r="P127" i="56"/>
  <c r="AR129" i="56"/>
  <c r="BA129" i="56" s="1"/>
  <c r="AM129" i="56"/>
  <c r="AR128" i="56"/>
  <c r="BA128" i="56" s="1"/>
  <c r="AM128" i="56"/>
  <c r="P128" i="56"/>
  <c r="AR127" i="56"/>
  <c r="BA127" i="56" s="1"/>
  <c r="AM127" i="56"/>
  <c r="W128" i="56"/>
  <c r="C14" i="37"/>
  <c r="G40" i="37"/>
  <c r="G39" i="37"/>
  <c r="G38" i="37"/>
  <c r="N38" i="37"/>
  <c r="I112" i="47" s="1"/>
  <c r="N37" i="37"/>
  <c r="I111" i="47" s="1"/>
  <c r="O10" i="37"/>
  <c r="O9" i="37"/>
  <c r="O8" i="37"/>
  <c r="N6" i="37"/>
  <c r="AD128" i="55" l="1"/>
  <c r="AD129" i="55"/>
  <c r="H128" i="55"/>
  <c r="V128" i="55"/>
  <c r="AD129" i="56"/>
  <c r="AD127" i="56"/>
  <c r="AD127" i="55"/>
  <c r="U127" i="55"/>
  <c r="U127" i="56"/>
  <c r="T128" i="55"/>
  <c r="T128" i="56"/>
  <c r="J128" i="55"/>
  <c r="K128" i="55"/>
  <c r="K127" i="55"/>
  <c r="X127" i="55" s="1"/>
  <c r="J127" i="55"/>
  <c r="V127" i="55"/>
  <c r="P128" i="55"/>
  <c r="C128" i="55"/>
  <c r="U128" i="55"/>
  <c r="C127" i="55"/>
  <c r="T127" i="55"/>
  <c r="J128" i="56"/>
  <c r="K128" i="56"/>
  <c r="AC128" i="56" s="1"/>
  <c r="N127" i="56"/>
  <c r="C127" i="56"/>
  <c r="T127" i="56"/>
  <c r="AD128" i="56"/>
  <c r="U128" i="56"/>
  <c r="V128" i="56"/>
  <c r="C128" i="56"/>
  <c r="AC3" i="51"/>
  <c r="AC7" i="51"/>
  <c r="AC6" i="51"/>
  <c r="AB7" i="51"/>
  <c r="AB6" i="51"/>
  <c r="AA7" i="51"/>
  <c r="AA6" i="51"/>
  <c r="Z7" i="51"/>
  <c r="Z6" i="51"/>
  <c r="Y7" i="51"/>
  <c r="Y11" i="51"/>
  <c r="Y6" i="51"/>
  <c r="X10" i="51"/>
  <c r="X7" i="51"/>
  <c r="X11" i="51"/>
  <c r="X6" i="51"/>
  <c r="W7" i="51"/>
  <c r="W6" i="51"/>
  <c r="Y131" i="56" l="1"/>
  <c r="AA127" i="55"/>
  <c r="AC128" i="55"/>
  <c r="AA127" i="56"/>
  <c r="N37" i="48"/>
  <c r="AL37" i="48"/>
  <c r="AC127" i="55"/>
  <c r="V127" i="56"/>
  <c r="H127" i="56"/>
  <c r="AR125" i="55"/>
  <c r="BA125" i="55" s="1"/>
  <c r="AM125" i="55"/>
  <c r="AR124" i="55"/>
  <c r="BA124" i="55" s="1"/>
  <c r="AM124" i="55"/>
  <c r="M124" i="55"/>
  <c r="N124" i="55" s="1"/>
  <c r="H124" i="55" s="1"/>
  <c r="J124" i="55" s="1"/>
  <c r="AR123" i="55"/>
  <c r="BA123" i="55" s="1"/>
  <c r="AM123" i="55"/>
  <c r="M123" i="55"/>
  <c r="BA121" i="55"/>
  <c r="AR121" i="55"/>
  <c r="AM121" i="55"/>
  <c r="AR120" i="55"/>
  <c r="BA120" i="55" s="1"/>
  <c r="AM120" i="55"/>
  <c r="M120" i="55"/>
  <c r="AR119" i="55"/>
  <c r="BA119" i="55" s="1"/>
  <c r="AM119" i="55"/>
  <c r="AD119" i="55" s="1"/>
  <c r="M119" i="55"/>
  <c r="N119" i="55" s="1"/>
  <c r="AR117" i="55"/>
  <c r="BA117" i="55" s="1"/>
  <c r="AM117" i="55"/>
  <c r="AR116" i="55"/>
  <c r="BA116" i="55" s="1"/>
  <c r="AM116" i="55"/>
  <c r="AR115" i="55"/>
  <c r="BA115" i="55" s="1"/>
  <c r="AM115" i="55"/>
  <c r="N115" i="55"/>
  <c r="AR113" i="55"/>
  <c r="BA113" i="55" s="1"/>
  <c r="AM113" i="55"/>
  <c r="AR112" i="55"/>
  <c r="BA112" i="55" s="1"/>
  <c r="AM112" i="55"/>
  <c r="AR111" i="55"/>
  <c r="BA111" i="55" s="1"/>
  <c r="AM111" i="55"/>
  <c r="N111" i="55"/>
  <c r="H111" i="55" s="1"/>
  <c r="N109" i="55"/>
  <c r="AR108" i="55"/>
  <c r="BA108" i="55" s="1"/>
  <c r="AM108" i="55"/>
  <c r="N108" i="55"/>
  <c r="AR107" i="55"/>
  <c r="BA107" i="55" s="1"/>
  <c r="AM107" i="55"/>
  <c r="N107" i="55"/>
  <c r="AR106" i="55"/>
  <c r="BA106" i="55" s="1"/>
  <c r="AD106" i="55" s="1"/>
  <c r="AM106" i="55"/>
  <c r="N106" i="55"/>
  <c r="H106" i="55" s="1"/>
  <c r="AR104" i="55"/>
  <c r="BA104" i="55" s="1"/>
  <c r="AM104" i="55"/>
  <c r="AR103" i="55"/>
  <c r="BA103" i="55" s="1"/>
  <c r="AM103" i="55"/>
  <c r="M103" i="55"/>
  <c r="N103" i="55" s="1"/>
  <c r="AR102" i="55"/>
  <c r="BA102" i="55" s="1"/>
  <c r="AM102" i="55"/>
  <c r="M102" i="55"/>
  <c r="N102" i="55" s="1"/>
  <c r="AR101" i="55"/>
  <c r="BA101" i="55" s="1"/>
  <c r="AM101" i="55"/>
  <c r="M101" i="55"/>
  <c r="AR99" i="55"/>
  <c r="BA99" i="55" s="1"/>
  <c r="AM99" i="55"/>
  <c r="N99" i="55"/>
  <c r="H99" i="55" s="1"/>
  <c r="AR98" i="55"/>
  <c r="BA98" i="55" s="1"/>
  <c r="AM98" i="55"/>
  <c r="N98" i="55"/>
  <c r="H98" i="55"/>
  <c r="J98" i="55" s="1"/>
  <c r="AR97" i="55"/>
  <c r="BA97" i="55" s="1"/>
  <c r="AM97" i="55"/>
  <c r="N97" i="55"/>
  <c r="H97" i="55" s="1"/>
  <c r="AR95" i="55"/>
  <c r="BA95" i="55" s="1"/>
  <c r="AM95" i="55"/>
  <c r="AR94" i="55"/>
  <c r="BA94" i="55" s="1"/>
  <c r="AM94" i="55"/>
  <c r="N94" i="55"/>
  <c r="AR93" i="55"/>
  <c r="BA93" i="55" s="1"/>
  <c r="AM93" i="55"/>
  <c r="N93" i="55"/>
  <c r="H93" i="55" s="1"/>
  <c r="J93" i="55" s="1"/>
  <c r="AR91" i="55"/>
  <c r="BA91" i="55" s="1"/>
  <c r="AD91" i="55" s="1"/>
  <c r="AM91" i="55"/>
  <c r="AR90" i="55"/>
  <c r="BA90" i="55" s="1"/>
  <c r="AM90" i="55"/>
  <c r="AR89" i="55"/>
  <c r="BA89" i="55" s="1"/>
  <c r="AD89" i="55" s="1"/>
  <c r="AM89" i="55"/>
  <c r="N89" i="55"/>
  <c r="H89" i="55" s="1"/>
  <c r="J89" i="55" s="1"/>
  <c r="AR87" i="55"/>
  <c r="BA87" i="55" s="1"/>
  <c r="AM87" i="55"/>
  <c r="AR86" i="55"/>
  <c r="BA86" i="55" s="1"/>
  <c r="AM86" i="55"/>
  <c r="AR85" i="55"/>
  <c r="BA85" i="55" s="1"/>
  <c r="AM85" i="55"/>
  <c r="N85" i="55"/>
  <c r="H85" i="55" s="1"/>
  <c r="AR83" i="55"/>
  <c r="BA83" i="55" s="1"/>
  <c r="AM83" i="55"/>
  <c r="AR82" i="55"/>
  <c r="BA82" i="55" s="1"/>
  <c r="AM82" i="55"/>
  <c r="AR81" i="55"/>
  <c r="BA81" i="55" s="1"/>
  <c r="AM81" i="55"/>
  <c r="S81" i="55"/>
  <c r="N81" i="55"/>
  <c r="H81" i="55" s="1"/>
  <c r="J81" i="55" s="1"/>
  <c r="AR79" i="55"/>
  <c r="BA79" i="55" s="1"/>
  <c r="AM79" i="55"/>
  <c r="AR78" i="55"/>
  <c r="BA78" i="55" s="1"/>
  <c r="AM78" i="55"/>
  <c r="N78" i="55"/>
  <c r="H78" i="55" s="1"/>
  <c r="AR77" i="55"/>
  <c r="BA77" i="55" s="1"/>
  <c r="AM77" i="55"/>
  <c r="Q77" i="55"/>
  <c r="N77" i="55"/>
  <c r="AR75" i="55"/>
  <c r="BA75" i="55" s="1"/>
  <c r="AD75" i="55" s="1"/>
  <c r="AM75" i="55"/>
  <c r="AR74" i="55"/>
  <c r="BA74" i="55" s="1"/>
  <c r="AM74" i="55"/>
  <c r="AR73" i="55"/>
  <c r="BA73" i="55" s="1"/>
  <c r="AM73" i="55"/>
  <c r="AR72" i="55"/>
  <c r="BA72" i="55" s="1"/>
  <c r="AM72" i="55"/>
  <c r="N72" i="55"/>
  <c r="H72" i="55" s="1"/>
  <c r="AR71" i="55"/>
  <c r="BA71" i="55" s="1"/>
  <c r="AM71" i="55"/>
  <c r="M71" i="55"/>
  <c r="N71" i="55" s="1"/>
  <c r="H71" i="55" s="1"/>
  <c r="AR69" i="55"/>
  <c r="BA69" i="55" s="1"/>
  <c r="AM69" i="55"/>
  <c r="M69" i="55"/>
  <c r="N69" i="55" s="1"/>
  <c r="AR68" i="55"/>
  <c r="BA68" i="55" s="1"/>
  <c r="AM68" i="55"/>
  <c r="N68" i="55"/>
  <c r="AR67" i="55"/>
  <c r="BA67" i="55" s="1"/>
  <c r="AM67" i="55"/>
  <c r="M67" i="55"/>
  <c r="N67" i="55" s="1"/>
  <c r="AR65" i="55"/>
  <c r="BA65" i="55" s="1"/>
  <c r="AM65" i="55"/>
  <c r="AR64" i="55"/>
  <c r="BA64" i="55" s="1"/>
  <c r="AM64" i="55"/>
  <c r="N64" i="55"/>
  <c r="AR63" i="55"/>
  <c r="BA63" i="55" s="1"/>
  <c r="AM63" i="55"/>
  <c r="M63" i="55"/>
  <c r="J63" i="55"/>
  <c r="AR61" i="55"/>
  <c r="BA61" i="55" s="1"/>
  <c r="AM61" i="55"/>
  <c r="M61" i="55"/>
  <c r="N61" i="55" s="1"/>
  <c r="J61" i="55"/>
  <c r="AR60" i="55"/>
  <c r="BA60" i="55" s="1"/>
  <c r="AM60" i="55"/>
  <c r="M60" i="55"/>
  <c r="J60" i="55"/>
  <c r="AR59" i="55"/>
  <c r="BA59" i="55" s="1"/>
  <c r="AM59" i="55"/>
  <c r="M59" i="55"/>
  <c r="J59" i="55"/>
  <c r="AR57" i="55"/>
  <c r="BA57" i="55" s="1"/>
  <c r="AM57" i="55"/>
  <c r="AR56" i="55"/>
  <c r="BA56" i="55" s="1"/>
  <c r="AM56" i="55"/>
  <c r="M56" i="55"/>
  <c r="N56" i="55" s="1"/>
  <c r="J56" i="55"/>
  <c r="AR55" i="55"/>
  <c r="BA55" i="55" s="1"/>
  <c r="AM55" i="55"/>
  <c r="Q55" i="55"/>
  <c r="M55" i="55"/>
  <c r="J55" i="55"/>
  <c r="AR54" i="55"/>
  <c r="BA54" i="55" s="1"/>
  <c r="AM54" i="55"/>
  <c r="M54" i="55"/>
  <c r="J54" i="55"/>
  <c r="AR52" i="55"/>
  <c r="BA52" i="55" s="1"/>
  <c r="AM52" i="55"/>
  <c r="AR51" i="55"/>
  <c r="BA51" i="55" s="1"/>
  <c r="AM51" i="55"/>
  <c r="M51" i="55"/>
  <c r="N51" i="55" s="1"/>
  <c r="J51" i="55"/>
  <c r="AR50" i="55"/>
  <c r="BA50" i="55" s="1"/>
  <c r="AM50" i="55"/>
  <c r="M50" i="55"/>
  <c r="J50" i="55"/>
  <c r="AR48" i="55"/>
  <c r="BA48" i="55" s="1"/>
  <c r="AM48" i="55"/>
  <c r="AR47" i="55"/>
  <c r="BA47" i="55" s="1"/>
  <c r="AM47" i="55"/>
  <c r="AR46" i="55"/>
  <c r="BA46" i="55" s="1"/>
  <c r="AM46" i="55"/>
  <c r="N46" i="55"/>
  <c r="J46" i="55"/>
  <c r="AR44" i="55"/>
  <c r="BA44" i="55" s="1"/>
  <c r="AM44" i="55"/>
  <c r="AR43" i="55"/>
  <c r="BA43" i="55" s="1"/>
  <c r="AM43" i="55"/>
  <c r="AR42" i="55"/>
  <c r="BA42" i="55" s="1"/>
  <c r="AM42" i="55"/>
  <c r="N42" i="55"/>
  <c r="J42" i="55"/>
  <c r="AR40" i="55"/>
  <c r="BA40" i="55" s="1"/>
  <c r="AM40" i="55"/>
  <c r="AR39" i="55"/>
  <c r="BA39" i="55" s="1"/>
  <c r="AM39" i="55"/>
  <c r="AR38" i="55"/>
  <c r="BA38" i="55" s="1"/>
  <c r="AM38" i="55"/>
  <c r="L38" i="55"/>
  <c r="N38" i="55" s="1"/>
  <c r="J38" i="55"/>
  <c r="Q36" i="55"/>
  <c r="M36" i="55"/>
  <c r="N36" i="55" s="1"/>
  <c r="J36" i="55"/>
  <c r="AR35" i="55"/>
  <c r="BA35" i="55" s="1"/>
  <c r="AM35" i="55"/>
  <c r="Q35" i="55"/>
  <c r="M35" i="55"/>
  <c r="J35" i="55"/>
  <c r="AR34" i="55"/>
  <c r="BA34" i="55" s="1"/>
  <c r="AM34" i="55"/>
  <c r="Q34" i="55"/>
  <c r="M34" i="55"/>
  <c r="J34" i="55"/>
  <c r="AR33" i="55"/>
  <c r="BA33" i="55" s="1"/>
  <c r="AM33" i="55"/>
  <c r="M33" i="55"/>
  <c r="J33" i="55"/>
  <c r="AR31" i="55"/>
  <c r="BA31" i="55" s="1"/>
  <c r="AM31" i="55"/>
  <c r="AR30" i="55"/>
  <c r="BA30" i="55" s="1"/>
  <c r="AD30" i="55" s="1"/>
  <c r="AM30" i="55"/>
  <c r="AR29" i="55"/>
  <c r="BA29" i="55" s="1"/>
  <c r="AM29" i="55"/>
  <c r="M29" i="55"/>
  <c r="N29" i="55" s="1"/>
  <c r="J29" i="55"/>
  <c r="AR27" i="55"/>
  <c r="BA27" i="55" s="1"/>
  <c r="AM27" i="55"/>
  <c r="AR26" i="55"/>
  <c r="BA26" i="55" s="1"/>
  <c r="AM26" i="55"/>
  <c r="AD26" i="55" s="1"/>
  <c r="M26" i="55"/>
  <c r="N26" i="55" s="1"/>
  <c r="J26" i="55"/>
  <c r="AR25" i="55"/>
  <c r="BA25" i="55" s="1"/>
  <c r="AM25" i="55"/>
  <c r="M25" i="55"/>
  <c r="N25" i="55" s="1"/>
  <c r="J25" i="55"/>
  <c r="M23" i="55"/>
  <c r="N23" i="55" s="1"/>
  <c r="J23" i="55"/>
  <c r="AR22" i="55"/>
  <c r="BA22" i="55" s="1"/>
  <c r="AM22" i="55"/>
  <c r="M22" i="55"/>
  <c r="J22" i="55"/>
  <c r="AR21" i="55"/>
  <c r="BA21" i="55" s="1"/>
  <c r="AD21" i="55" s="1"/>
  <c r="AM21" i="55"/>
  <c r="M21" i="55"/>
  <c r="N21" i="55" s="1"/>
  <c r="J21" i="55"/>
  <c r="AR20" i="55"/>
  <c r="BA20" i="55" s="1"/>
  <c r="AM20" i="55"/>
  <c r="M20" i="55"/>
  <c r="J20" i="55"/>
  <c r="BA18" i="55"/>
  <c r="AR18" i="55"/>
  <c r="AM18" i="55"/>
  <c r="AR17" i="55"/>
  <c r="BA17" i="55" s="1"/>
  <c r="AM17" i="55"/>
  <c r="AR16" i="55"/>
  <c r="BA16" i="55" s="1"/>
  <c r="AM16" i="55"/>
  <c r="S16" i="55"/>
  <c r="M16" i="55"/>
  <c r="N16" i="55" s="1"/>
  <c r="J16" i="55"/>
  <c r="AR15" i="55"/>
  <c r="BA15" i="55" s="1"/>
  <c r="AM15" i="55"/>
  <c r="S15" i="55"/>
  <c r="M15" i="55"/>
  <c r="N15" i="55" s="1"/>
  <c r="J15" i="55"/>
  <c r="AR13" i="55"/>
  <c r="BA13" i="55" s="1"/>
  <c r="AM13" i="55"/>
  <c r="AR12" i="55"/>
  <c r="BA12" i="55" s="1"/>
  <c r="AM12" i="55"/>
  <c r="N12" i="55"/>
  <c r="J12" i="55"/>
  <c r="AR11" i="55"/>
  <c r="BA11" i="55" s="1"/>
  <c r="AM11" i="55"/>
  <c r="N11" i="55"/>
  <c r="Z125" i="56"/>
  <c r="Z123" i="56"/>
  <c r="F107" i="47"/>
  <c r="E109" i="47"/>
  <c r="G109" i="47" s="1"/>
  <c r="H109" i="47" s="1"/>
  <c r="E108" i="47"/>
  <c r="G108" i="47" s="1"/>
  <c r="H108" i="47" s="1"/>
  <c r="E107" i="47"/>
  <c r="F106" i="47"/>
  <c r="E106" i="47"/>
  <c r="K13" i="6"/>
  <c r="W125" i="55" s="1"/>
  <c r="C25" i="6"/>
  <c r="C16" i="6"/>
  <c r="H106" i="47" l="1"/>
  <c r="O123" i="55" s="1"/>
  <c r="P123" i="55" s="1"/>
  <c r="AD13" i="55"/>
  <c r="AD59" i="55"/>
  <c r="AD61" i="55"/>
  <c r="AD72" i="55"/>
  <c r="AD56" i="55"/>
  <c r="AD73" i="55"/>
  <c r="AD121" i="55"/>
  <c r="AD115" i="55"/>
  <c r="AD20" i="55"/>
  <c r="AD29" i="55"/>
  <c r="AD69" i="55"/>
  <c r="AD111" i="55"/>
  <c r="AD52" i="55"/>
  <c r="AD81" i="55"/>
  <c r="AD93" i="55"/>
  <c r="AD90" i="55"/>
  <c r="AD113" i="55"/>
  <c r="AD117" i="55"/>
  <c r="AD120" i="55"/>
  <c r="AD16" i="55"/>
  <c r="AB127" i="55"/>
  <c r="AD57" i="55"/>
  <c r="AD60" i="55"/>
  <c r="AD116" i="55"/>
  <c r="AD25" i="55"/>
  <c r="AD124" i="55"/>
  <c r="AD78" i="55"/>
  <c r="AD67" i="55"/>
  <c r="AD104" i="55"/>
  <c r="AD18" i="55"/>
  <c r="AD51" i="55"/>
  <c r="AD87" i="55"/>
  <c r="K127" i="56"/>
  <c r="L37" i="48" s="1"/>
  <c r="J127" i="56"/>
  <c r="H67" i="55"/>
  <c r="J67" i="55" s="1"/>
  <c r="O124" i="55"/>
  <c r="O124" i="56"/>
  <c r="J111" i="55"/>
  <c r="J99" i="55"/>
  <c r="AD15" i="55"/>
  <c r="N22" i="55"/>
  <c r="N33" i="55"/>
  <c r="N60" i="55"/>
  <c r="N63" i="55"/>
  <c r="AD63" i="55"/>
  <c r="AD65" i="55"/>
  <c r="AD68" i="55"/>
  <c r="AD83" i="55"/>
  <c r="AD107" i="55"/>
  <c r="AD31" i="55"/>
  <c r="N35" i="55"/>
  <c r="AD44" i="55"/>
  <c r="AD48" i="55"/>
  <c r="AD50" i="55"/>
  <c r="AD55" i="55"/>
  <c r="AD79" i="55"/>
  <c r="AD95" i="55"/>
  <c r="O123" i="56"/>
  <c r="W125" i="56"/>
  <c r="AD98" i="55"/>
  <c r="AD101" i="55"/>
  <c r="AD112" i="55"/>
  <c r="AD42" i="55"/>
  <c r="AD46" i="55"/>
  <c r="H69" i="55"/>
  <c r="AD71" i="55"/>
  <c r="AD86" i="55"/>
  <c r="N54" i="55"/>
  <c r="N59" i="55"/>
  <c r="AD74" i="55"/>
  <c r="N101" i="55"/>
  <c r="AD103" i="55"/>
  <c r="AD108" i="55"/>
  <c r="U123" i="55"/>
  <c r="AD11" i="55"/>
  <c r="AD12" i="55"/>
  <c r="AD17" i="55"/>
  <c r="AD22" i="55"/>
  <c r="AD27" i="55"/>
  <c r="AD34" i="55"/>
  <c r="AD39" i="55"/>
  <c r="AD64" i="55"/>
  <c r="AD77" i="55"/>
  <c r="AD82" i="55"/>
  <c r="K124" i="55"/>
  <c r="N34" i="55"/>
  <c r="AD94" i="55"/>
  <c r="H119" i="55"/>
  <c r="N20" i="55"/>
  <c r="AD85" i="55"/>
  <c r="AD99" i="55"/>
  <c r="N55" i="55"/>
  <c r="AD33" i="55"/>
  <c r="AD54" i="55"/>
  <c r="AD123" i="55"/>
  <c r="AD40" i="55"/>
  <c r="AD43" i="55"/>
  <c r="AD97" i="55"/>
  <c r="AD38" i="55"/>
  <c r="AD125" i="55"/>
  <c r="H11" i="55"/>
  <c r="AD35" i="55"/>
  <c r="AD47" i="55"/>
  <c r="H68" i="55"/>
  <c r="J71" i="55"/>
  <c r="AD102" i="55"/>
  <c r="N50" i="55"/>
  <c r="J78" i="55"/>
  <c r="J97" i="55"/>
  <c r="N123" i="55"/>
  <c r="J85" i="55"/>
  <c r="H102" i="55"/>
  <c r="J106" i="55"/>
  <c r="H77" i="55"/>
  <c r="H94" i="55"/>
  <c r="N120" i="55"/>
  <c r="H103" i="55"/>
  <c r="C123" i="55"/>
  <c r="T123" i="55"/>
  <c r="H64" i="55"/>
  <c r="H107" i="55"/>
  <c r="H108" i="55"/>
  <c r="H109" i="55"/>
  <c r="H115" i="55"/>
  <c r="J72" i="55"/>
  <c r="G107" i="47"/>
  <c r="G106" i="47"/>
  <c r="DS37" i="2"/>
  <c r="S37" i="2"/>
  <c r="AC127" i="56" l="1"/>
  <c r="X127" i="56"/>
  <c r="AB127" i="56"/>
  <c r="J69" i="55"/>
  <c r="V124" i="55"/>
  <c r="U124" i="55"/>
  <c r="C124" i="55"/>
  <c r="T124" i="55"/>
  <c r="AC124" i="55" s="1"/>
  <c r="P124" i="55"/>
  <c r="H101" i="55"/>
  <c r="J115" i="55"/>
  <c r="J103" i="55"/>
  <c r="V123" i="55"/>
  <c r="H123" i="55"/>
  <c r="J64" i="55"/>
  <c r="J94" i="55"/>
  <c r="J11" i="55"/>
  <c r="J109" i="55"/>
  <c r="J108" i="55"/>
  <c r="J107" i="55"/>
  <c r="H120" i="55"/>
  <c r="J77" i="55"/>
  <c r="J102" i="55"/>
  <c r="J68" i="55"/>
  <c r="J119" i="55"/>
  <c r="J101" i="55" l="1"/>
  <c r="K123" i="55"/>
  <c r="J123" i="55"/>
  <c r="J120" i="55"/>
  <c r="AC123" i="55" l="1"/>
  <c r="M124" i="56" l="1"/>
  <c r="M123" i="56"/>
  <c r="N123" i="56" s="1"/>
  <c r="H123" i="56" s="1"/>
  <c r="AR123" i="56"/>
  <c r="BA123" i="56" s="1"/>
  <c r="AM123" i="56"/>
  <c r="AD123" i="56" s="1"/>
  <c r="AR125" i="56"/>
  <c r="BA125" i="56" s="1"/>
  <c r="AM125" i="56"/>
  <c r="AR124" i="56"/>
  <c r="BA124" i="56" s="1"/>
  <c r="AM124" i="56"/>
  <c r="P124" i="56"/>
  <c r="C14" i="6"/>
  <c r="K9" i="6"/>
  <c r="W124" i="55" s="1"/>
  <c r="K12" i="6"/>
  <c r="W123" i="55" s="1"/>
  <c r="X123" i="55" s="1"/>
  <c r="N38" i="6"/>
  <c r="I109" i="47" s="1"/>
  <c r="I38" i="6"/>
  <c r="N37" i="6" s="1"/>
  <c r="I106" i="47" s="1"/>
  <c r="Q9" i="6"/>
  <c r="P10" i="6"/>
  <c r="Q26" i="6"/>
  <c r="P25" i="6"/>
  <c r="P27" i="6" s="1"/>
  <c r="O26" i="6"/>
  <c r="R26" i="6" s="1"/>
  <c r="O25" i="6"/>
  <c r="R25" i="6" s="1"/>
  <c r="O9" i="6"/>
  <c r="R9" i="6" s="1"/>
  <c r="O8" i="6"/>
  <c r="N6" i="6"/>
  <c r="AD124" i="56" l="1"/>
  <c r="J123" i="56"/>
  <c r="K123" i="56"/>
  <c r="Q25" i="6"/>
  <c r="Q27" i="6" s="1"/>
  <c r="Q28" i="6" s="1"/>
  <c r="W124" i="56"/>
  <c r="W123" i="56"/>
  <c r="U124" i="56"/>
  <c r="V123" i="56"/>
  <c r="U123" i="56"/>
  <c r="P123" i="56"/>
  <c r="C123" i="56"/>
  <c r="T123" i="56"/>
  <c r="AD125" i="56"/>
  <c r="N124" i="56"/>
  <c r="H124" i="56" s="1"/>
  <c r="J124" i="56" s="1"/>
  <c r="T124" i="56"/>
  <c r="C124" i="56"/>
  <c r="R8" i="6"/>
  <c r="R10" i="6" s="1"/>
  <c r="R11" i="6" s="1"/>
  <c r="Q8" i="6"/>
  <c r="Q10" i="6" s="1"/>
  <c r="Q11" i="6" s="1"/>
  <c r="R27" i="6"/>
  <c r="R28" i="6" s="1"/>
  <c r="N36" i="48" l="1"/>
  <c r="K124" i="56"/>
  <c r="V124" i="56"/>
  <c r="AC124" i="56" l="1"/>
  <c r="L36" i="48"/>
  <c r="AC123" i="56"/>
  <c r="X123" i="56"/>
  <c r="AL36" i="48" l="1"/>
  <c r="V6" i="51" l="1"/>
  <c r="V7" i="51"/>
  <c r="U3" i="51"/>
  <c r="T7" i="51"/>
  <c r="T6" i="51"/>
  <c r="S3" i="51"/>
  <c r="S7" i="51"/>
  <c r="S6" i="51"/>
  <c r="R7" i="51"/>
  <c r="R6" i="51"/>
  <c r="Q7" i="51"/>
  <c r="Q6" i="51"/>
  <c r="P3" i="51"/>
  <c r="P6" i="51"/>
  <c r="P7" i="51"/>
  <c r="K12" i="7" l="1"/>
  <c r="W120" i="55" s="1"/>
  <c r="W120" i="56" l="1"/>
  <c r="N37" i="7"/>
  <c r="I103" i="47" s="1"/>
  <c r="E104" i="47"/>
  <c r="G104" i="47" s="1"/>
  <c r="H104" i="47"/>
  <c r="O120" i="55" s="1"/>
  <c r="G103" i="47"/>
  <c r="H103" i="47" s="1"/>
  <c r="O119" i="55" s="1"/>
  <c r="Z120" i="56"/>
  <c r="Z119" i="56"/>
  <c r="C14" i="7"/>
  <c r="P120" i="55" l="1"/>
  <c r="U120" i="55"/>
  <c r="C120" i="55"/>
  <c r="T120" i="55"/>
  <c r="V120" i="55"/>
  <c r="K120" i="55"/>
  <c r="AC120" i="55" s="1"/>
  <c r="U119" i="55"/>
  <c r="P119" i="55"/>
  <c r="C119" i="55"/>
  <c r="V119" i="55"/>
  <c r="T119" i="55"/>
  <c r="K119" i="55"/>
  <c r="AC119" i="55" s="1"/>
  <c r="O119" i="56"/>
  <c r="O120" i="56"/>
  <c r="M120" i="56" l="1"/>
  <c r="U120" i="56" s="1"/>
  <c r="M119" i="56"/>
  <c r="N119" i="56" s="1"/>
  <c r="H119" i="56" s="1"/>
  <c r="P120" i="56"/>
  <c r="P119" i="56"/>
  <c r="AM119" i="56"/>
  <c r="AR119" i="56"/>
  <c r="BA119" i="56" s="1"/>
  <c r="AM120" i="56"/>
  <c r="AR120" i="56"/>
  <c r="BA120" i="56" s="1"/>
  <c r="AM121" i="56"/>
  <c r="AR121" i="56"/>
  <c r="BA121" i="56"/>
  <c r="P26" i="7"/>
  <c r="P8" i="7"/>
  <c r="K13" i="7"/>
  <c r="W119" i="55" s="1"/>
  <c r="X119" i="55" s="1"/>
  <c r="I38" i="7"/>
  <c r="N38" i="7" s="1"/>
  <c r="I104" i="47" s="1"/>
  <c r="G40" i="7"/>
  <c r="G38" i="7"/>
  <c r="O26" i="7"/>
  <c r="Q17" i="7"/>
  <c r="P18" i="7"/>
  <c r="Q18" i="7" s="1"/>
  <c r="O18" i="7"/>
  <c r="R18" i="7" s="1"/>
  <c r="O17" i="7"/>
  <c r="R17" i="7" s="1"/>
  <c r="O8" i="7"/>
  <c r="N6" i="7"/>
  <c r="DS36" i="2"/>
  <c r="S36" i="2"/>
  <c r="AD119" i="56" l="1"/>
  <c r="R19" i="7"/>
  <c r="AA119" i="55"/>
  <c r="AB119" i="55" s="1"/>
  <c r="AD121" i="56"/>
  <c r="C119" i="56"/>
  <c r="Q19" i="7"/>
  <c r="P19" i="7"/>
  <c r="R20" i="7" s="1"/>
  <c r="W119" i="56"/>
  <c r="N120" i="56"/>
  <c r="H120" i="56" s="1"/>
  <c r="J120" i="56" s="1"/>
  <c r="T120" i="56"/>
  <c r="C120" i="56"/>
  <c r="AD120" i="56"/>
  <c r="J119" i="56"/>
  <c r="K119" i="56"/>
  <c r="T119" i="56"/>
  <c r="V119" i="56"/>
  <c r="U119" i="56"/>
  <c r="S101" i="56"/>
  <c r="AM104" i="56"/>
  <c r="AR104" i="56"/>
  <c r="BA104" i="56" s="1"/>
  <c r="U32" i="11"/>
  <c r="Q31" i="11"/>
  <c r="R31" i="11" s="1"/>
  <c r="V21" i="11"/>
  <c r="Q21" i="11"/>
  <c r="R21" i="11" s="1"/>
  <c r="Q11" i="11"/>
  <c r="R11" i="11" s="1"/>
  <c r="V11" i="11"/>
  <c r="Q20" i="7" l="1"/>
  <c r="N35" i="48"/>
  <c r="AL35" i="48"/>
  <c r="AC119" i="56"/>
  <c r="V120" i="56"/>
  <c r="K120" i="56"/>
  <c r="AC120" i="56" s="1"/>
  <c r="AD104" i="56"/>
  <c r="L35" i="48" l="1"/>
  <c r="X119" i="56"/>
  <c r="Z102" i="56"/>
  <c r="Z101" i="56"/>
  <c r="Q35" i="1" l="1"/>
  <c r="T35" i="1"/>
  <c r="W35" i="1"/>
  <c r="Z35" i="1"/>
  <c r="AC35" i="1"/>
  <c r="AF35" i="1"/>
  <c r="AI35" i="1"/>
  <c r="AL35" i="1"/>
  <c r="AO35" i="1"/>
  <c r="AR35" i="1"/>
  <c r="AU35" i="1"/>
  <c r="AX35" i="1"/>
  <c r="BA35" i="1"/>
  <c r="BD35" i="1"/>
  <c r="BG35" i="1"/>
  <c r="BJ35" i="1"/>
  <c r="BM35" i="1"/>
  <c r="BP35" i="1"/>
  <c r="BS35" i="1"/>
  <c r="BV35" i="1"/>
  <c r="BY35" i="1"/>
  <c r="CB35" i="1"/>
  <c r="CE35" i="1"/>
  <c r="CH35" i="1"/>
  <c r="CK35" i="1"/>
  <c r="CN35" i="1"/>
  <c r="CQ35" i="1"/>
  <c r="CT35" i="1"/>
  <c r="CW35" i="1"/>
  <c r="CZ35" i="1"/>
  <c r="DC35" i="1"/>
  <c r="DF35" i="1"/>
  <c r="DI35" i="1"/>
  <c r="DL35" i="1"/>
  <c r="DO35" i="1"/>
  <c r="DR35" i="1"/>
  <c r="DU35" i="1"/>
  <c r="DX35" i="1"/>
  <c r="EA35" i="1"/>
  <c r="ED35" i="1"/>
  <c r="EG35" i="1"/>
  <c r="EJ35" i="1"/>
  <c r="EM35" i="1"/>
  <c r="EP35" i="1"/>
  <c r="ES35" i="1"/>
  <c r="EV35" i="1"/>
  <c r="EY35" i="1"/>
  <c r="FB35" i="1"/>
  <c r="FE35" i="1"/>
  <c r="FH35" i="1"/>
  <c r="FK35" i="1"/>
  <c r="FN35" i="1"/>
  <c r="FQ35" i="1"/>
  <c r="FT35" i="1"/>
  <c r="FW35" i="1"/>
  <c r="FZ35" i="1"/>
  <c r="GC35" i="1"/>
  <c r="GF35" i="1"/>
  <c r="GI35" i="1"/>
  <c r="GL35" i="1"/>
  <c r="GO35" i="1"/>
  <c r="GR35" i="1"/>
  <c r="GU35" i="1"/>
  <c r="GX35" i="1"/>
  <c r="HA35" i="1"/>
  <c r="HD35" i="1"/>
  <c r="HG35" i="1"/>
  <c r="HJ35" i="1"/>
  <c r="HM35" i="1"/>
  <c r="HP35" i="1"/>
  <c r="HS35" i="1"/>
  <c r="HV35" i="1"/>
  <c r="HY35" i="1"/>
  <c r="IB35" i="1"/>
  <c r="IE35" i="1"/>
  <c r="IH35" i="1"/>
  <c r="IK35" i="1"/>
  <c r="IN35" i="1"/>
  <c r="IQ35" i="1"/>
  <c r="IT35" i="1"/>
  <c r="IW35" i="1"/>
  <c r="IZ35" i="1"/>
  <c r="JC35" i="1"/>
  <c r="JF35" i="1"/>
  <c r="JI35" i="1"/>
  <c r="JK35" i="1"/>
  <c r="JL35" i="1"/>
  <c r="JN35" i="1"/>
  <c r="JO35" i="1"/>
  <c r="JQ35" i="1"/>
  <c r="JR35" i="1"/>
  <c r="JT35" i="1"/>
  <c r="JU35" i="1"/>
  <c r="JW35" i="1"/>
  <c r="JX35" i="1"/>
  <c r="JZ35" i="1"/>
  <c r="KA35" i="1"/>
  <c r="KC35" i="1"/>
  <c r="KD35" i="1"/>
  <c r="KF35" i="1"/>
  <c r="KG35" i="1"/>
  <c r="KI35" i="1"/>
  <c r="KJ35" i="1"/>
  <c r="KL35" i="1"/>
  <c r="KM35" i="1"/>
  <c r="KO35" i="1"/>
  <c r="KP35" i="1"/>
  <c r="KR35" i="1"/>
  <c r="KS35" i="1"/>
  <c r="KU35" i="1" l="1"/>
  <c r="F101" i="47"/>
  <c r="G101" i="47" s="1"/>
  <c r="H101" i="47" s="1"/>
  <c r="O115" i="55" s="1"/>
  <c r="G99" i="47"/>
  <c r="F98" i="47"/>
  <c r="H98" i="47" s="1"/>
  <c r="O111" i="55" s="1"/>
  <c r="C111" i="55" l="1"/>
  <c r="U111" i="55"/>
  <c r="T111" i="55"/>
  <c r="P111" i="55"/>
  <c r="K111" i="55"/>
  <c r="V111" i="55"/>
  <c r="G98" i="47"/>
  <c r="U115" i="55"/>
  <c r="T115" i="55"/>
  <c r="V115" i="55"/>
  <c r="C115" i="55"/>
  <c r="P115" i="55"/>
  <c r="K115" i="55"/>
  <c r="AC115" i="55" s="1"/>
  <c r="O111" i="56"/>
  <c r="O115" i="56"/>
  <c r="DS33" i="2"/>
  <c r="DS35" i="2"/>
  <c r="DS34" i="2"/>
  <c r="K35" i="2"/>
  <c r="K34" i="2"/>
  <c r="AC111" i="55" l="1"/>
  <c r="AR117" i="56"/>
  <c r="BA117" i="56" s="1"/>
  <c r="AM117" i="56"/>
  <c r="AR116" i="56"/>
  <c r="BA116" i="56" s="1"/>
  <c r="AM116" i="56"/>
  <c r="AR115" i="56"/>
  <c r="BA115" i="56" s="1"/>
  <c r="AM115" i="56"/>
  <c r="AD115" i="56" s="1"/>
  <c r="U115" i="56"/>
  <c r="N115" i="56"/>
  <c r="AR113" i="56"/>
  <c r="BA113" i="56" s="1"/>
  <c r="AM113" i="56"/>
  <c r="AR112" i="56"/>
  <c r="BA112" i="56" s="1"/>
  <c r="AM112" i="56"/>
  <c r="AR111" i="56"/>
  <c r="BA111" i="56" s="1"/>
  <c r="AM111" i="56"/>
  <c r="U111" i="56"/>
  <c r="T111" i="56"/>
  <c r="P111" i="56"/>
  <c r="N111" i="56"/>
  <c r="H111" i="56" s="1"/>
  <c r="C111" i="56"/>
  <c r="N33" i="48" s="1"/>
  <c r="C14" i="8"/>
  <c r="I38" i="8"/>
  <c r="I101" i="47" s="1"/>
  <c r="F42" i="8"/>
  <c r="G39" i="8"/>
  <c r="G38" i="8"/>
  <c r="P27" i="8"/>
  <c r="Q27" i="8" s="1"/>
  <c r="P26" i="8"/>
  <c r="O27" i="8"/>
  <c r="R27" i="8" s="1"/>
  <c r="O26" i="8"/>
  <c r="R26" i="8" s="1"/>
  <c r="O9" i="8"/>
  <c r="O8" i="8"/>
  <c r="N6" i="8"/>
  <c r="I38" i="9"/>
  <c r="I98" i="47" s="1"/>
  <c r="C14" i="9"/>
  <c r="G40" i="9"/>
  <c r="G39" i="9"/>
  <c r="G38" i="9"/>
  <c r="O10" i="9"/>
  <c r="O9" i="9"/>
  <c r="O8" i="9"/>
  <c r="N6" i="9"/>
  <c r="P28" i="8" l="1"/>
  <c r="AD111" i="56"/>
  <c r="G42" i="8"/>
  <c r="I37" i="8" s="1"/>
  <c r="Q26" i="8"/>
  <c r="Q28" i="8" s="1"/>
  <c r="Q29" i="8" s="1"/>
  <c r="J111" i="56"/>
  <c r="K111" i="56"/>
  <c r="L33" i="48" s="1"/>
  <c r="V111" i="56"/>
  <c r="R28" i="8"/>
  <c r="R29" i="8" s="1"/>
  <c r="V115" i="56"/>
  <c r="H115" i="56"/>
  <c r="K115" i="56" s="1"/>
  <c r="L34" i="48" s="1"/>
  <c r="AD116" i="56"/>
  <c r="AD117" i="56"/>
  <c r="P115" i="56"/>
  <c r="T115" i="56"/>
  <c r="C115" i="56"/>
  <c r="N34" i="48" s="1"/>
  <c r="J115" i="56"/>
  <c r="AD113" i="56"/>
  <c r="AD112" i="56"/>
  <c r="AC111" i="56" l="1"/>
  <c r="AL34" i="48"/>
  <c r="AL33" i="48"/>
  <c r="AC115" i="56"/>
  <c r="K33" i="2" l="1"/>
  <c r="Z109" i="56"/>
  <c r="Z106" i="56"/>
  <c r="N109" i="56"/>
  <c r="H109" i="56" s="1"/>
  <c r="N108" i="56"/>
  <c r="H108" i="56"/>
  <c r="J108" i="56" s="1"/>
  <c r="N107" i="56"/>
  <c r="N106" i="56"/>
  <c r="H106" i="56" s="1"/>
  <c r="F96" i="47"/>
  <c r="E96" i="47"/>
  <c r="E94" i="47"/>
  <c r="G94" i="47" s="1"/>
  <c r="H94" i="47" s="1"/>
  <c r="O107" i="55" s="1"/>
  <c r="G95" i="47"/>
  <c r="H95" i="47" s="1"/>
  <c r="O108" i="55" s="1"/>
  <c r="G93" i="47"/>
  <c r="E92" i="47"/>
  <c r="G92" i="47" s="1"/>
  <c r="K13" i="10"/>
  <c r="W106" i="55" s="1"/>
  <c r="K15" i="10"/>
  <c r="W109" i="55" s="1"/>
  <c r="K18" i="10"/>
  <c r="W107" i="55" s="1"/>
  <c r="K17" i="10"/>
  <c r="W108" i="55" s="1"/>
  <c r="U107" i="55" l="1"/>
  <c r="P107" i="55"/>
  <c r="T107" i="55"/>
  <c r="V107" i="55"/>
  <c r="C107" i="55"/>
  <c r="K107" i="55"/>
  <c r="AC107" i="55" s="1"/>
  <c r="U108" i="55"/>
  <c r="P108" i="55"/>
  <c r="T108" i="55"/>
  <c r="C108" i="55"/>
  <c r="V108" i="55"/>
  <c r="K108" i="55"/>
  <c r="AC108" i="55" s="1"/>
  <c r="W106" i="56"/>
  <c r="O107" i="56"/>
  <c r="V107" i="56" s="1"/>
  <c r="O108" i="56"/>
  <c r="T108" i="56" s="1"/>
  <c r="W109" i="56"/>
  <c r="G96" i="47"/>
  <c r="H96" i="47" s="1"/>
  <c r="O109" i="55" s="1"/>
  <c r="H92" i="47"/>
  <c r="O106" i="55" s="1"/>
  <c r="W107" i="56"/>
  <c r="W108" i="56"/>
  <c r="J106" i="56"/>
  <c r="H107" i="56"/>
  <c r="J109" i="56"/>
  <c r="T106" i="55" l="1"/>
  <c r="U106" i="55"/>
  <c r="C106" i="55"/>
  <c r="V106" i="55"/>
  <c r="P106" i="55"/>
  <c r="K106" i="55"/>
  <c r="X106" i="55" s="1"/>
  <c r="C108" i="56"/>
  <c r="U109" i="55"/>
  <c r="T109" i="55"/>
  <c r="P109" i="55"/>
  <c r="C109" i="55"/>
  <c r="V109" i="55"/>
  <c r="K109" i="55"/>
  <c r="AC109" i="55" s="1"/>
  <c r="O109" i="56"/>
  <c r="U108" i="56"/>
  <c r="P108" i="56"/>
  <c r="O106" i="56"/>
  <c r="K108" i="56"/>
  <c r="AC108" i="56" s="1"/>
  <c r="V108" i="56"/>
  <c r="P107" i="56"/>
  <c r="U107" i="56"/>
  <c r="T107" i="56"/>
  <c r="C107" i="56"/>
  <c r="K107" i="56"/>
  <c r="J107" i="56"/>
  <c r="AC106" i="55" l="1"/>
  <c r="AA106" i="55"/>
  <c r="AB106" i="55" s="1"/>
  <c r="T106" i="56"/>
  <c r="U106" i="56"/>
  <c r="C106" i="56"/>
  <c r="V106" i="56"/>
  <c r="K106" i="56"/>
  <c r="AC106" i="56" s="1"/>
  <c r="P106" i="56"/>
  <c r="V109" i="56"/>
  <c r="T109" i="56"/>
  <c r="C109" i="56"/>
  <c r="K109" i="56"/>
  <c r="U109" i="56"/>
  <c r="P109" i="56"/>
  <c r="AC107" i="56"/>
  <c r="AA106" i="56" l="1"/>
  <c r="AC109" i="56"/>
  <c r="AB106" i="56" s="1"/>
  <c r="X106" i="56"/>
  <c r="AR108" i="56"/>
  <c r="BA108" i="56" s="1"/>
  <c r="AM108" i="56"/>
  <c r="AD108" i="56" s="1"/>
  <c r="AR107" i="56"/>
  <c r="BA107" i="56" s="1"/>
  <c r="AM107" i="56"/>
  <c r="AR106" i="56"/>
  <c r="BA106" i="56" s="1"/>
  <c r="AM106" i="56"/>
  <c r="O40" i="10"/>
  <c r="I96" i="47" s="1"/>
  <c r="O39" i="10"/>
  <c r="I95" i="47" s="1"/>
  <c r="O38" i="10"/>
  <c r="I94" i="47" s="1"/>
  <c r="I38" i="10"/>
  <c r="X23" i="10"/>
  <c r="W23" i="10"/>
  <c r="V23" i="10"/>
  <c r="W12" i="10"/>
  <c r="X12" i="10"/>
  <c r="V13" i="10"/>
  <c r="O17" i="10"/>
  <c r="O16" i="10"/>
  <c r="V11" i="10"/>
  <c r="W11" i="10" s="1"/>
  <c r="U11" i="10"/>
  <c r="X11" i="10" s="1"/>
  <c r="C14" i="10"/>
  <c r="Q26" i="10"/>
  <c r="Q25" i="10"/>
  <c r="P27" i="10"/>
  <c r="Q27" i="10" s="1"/>
  <c r="O27" i="10"/>
  <c r="O26" i="10"/>
  <c r="R26" i="10" s="1"/>
  <c r="O25" i="10"/>
  <c r="R25" i="10" s="1"/>
  <c r="P17" i="10"/>
  <c r="Q17" i="10" s="1"/>
  <c r="P16" i="10"/>
  <c r="Q16" i="10" s="1"/>
  <c r="P11" i="10"/>
  <c r="P10" i="10"/>
  <c r="Q10" i="10" s="1"/>
  <c r="P9" i="10"/>
  <c r="Q9" i="10" s="1"/>
  <c r="P8" i="10"/>
  <c r="Q8" i="10" s="1"/>
  <c r="O11" i="10"/>
  <c r="O10" i="10"/>
  <c r="R10" i="10" s="1"/>
  <c r="O9" i="10"/>
  <c r="W24" i="10" l="1"/>
  <c r="AD107" i="56"/>
  <c r="X24" i="10"/>
  <c r="R17" i="10"/>
  <c r="P28" i="10"/>
  <c r="R11" i="10"/>
  <c r="R16" i="10"/>
  <c r="R18" i="10" s="1"/>
  <c r="R9" i="10"/>
  <c r="R27" i="10"/>
  <c r="R28" i="10" s="1"/>
  <c r="AD106" i="56"/>
  <c r="P12" i="10"/>
  <c r="V14" i="10"/>
  <c r="X13" i="10"/>
  <c r="X14" i="10" s="1"/>
  <c r="Q11" i="10"/>
  <c r="Q12" i="10" s="1"/>
  <c r="P18" i="10"/>
  <c r="W13" i="10"/>
  <c r="W14" i="10" s="1"/>
  <c r="O37" i="10"/>
  <c r="I92" i="47" s="1"/>
  <c r="N32" i="48"/>
  <c r="Q28" i="10"/>
  <c r="Q18" i="10"/>
  <c r="Q29" i="10" l="1"/>
  <c r="R29" i="10"/>
  <c r="Q19" i="10"/>
  <c r="X15" i="10"/>
  <c r="Q13" i="10"/>
  <c r="W15" i="10"/>
  <c r="R19" i="10"/>
  <c r="AL32" i="48"/>
  <c r="L32" i="48" l="1"/>
  <c r="O8" i="10" l="1"/>
  <c r="R8" i="10" s="1"/>
  <c r="R12" i="10" s="1"/>
  <c r="R13" i="10" s="1"/>
  <c r="N6" i="10"/>
  <c r="DS32" i="2" l="1"/>
  <c r="DO32" i="2"/>
  <c r="K32" i="2"/>
  <c r="I87" i="47" l="1"/>
  <c r="F87" i="47"/>
  <c r="E87" i="47"/>
  <c r="E88" i="47"/>
  <c r="E90" i="47"/>
  <c r="G90" i="47" s="1"/>
  <c r="H90" i="47" s="1"/>
  <c r="O103" i="55" s="1"/>
  <c r="G89" i="47"/>
  <c r="H89" i="47" s="1"/>
  <c r="O102" i="55" s="1"/>
  <c r="K13" i="11"/>
  <c r="W103" i="55" s="1"/>
  <c r="K17" i="11"/>
  <c r="W102" i="55" s="1"/>
  <c r="K18" i="11"/>
  <c r="W101" i="55" s="1"/>
  <c r="C14" i="11"/>
  <c r="P102" i="55" l="1"/>
  <c r="U102" i="55"/>
  <c r="T102" i="55"/>
  <c r="V102" i="55"/>
  <c r="C102" i="55"/>
  <c r="K102" i="55"/>
  <c r="U103" i="55"/>
  <c r="C103" i="55"/>
  <c r="T103" i="55"/>
  <c r="V103" i="55"/>
  <c r="P103" i="55"/>
  <c r="K103" i="55"/>
  <c r="AC103" i="55" s="1"/>
  <c r="H87" i="47"/>
  <c r="O101" i="55" s="1"/>
  <c r="O103" i="56"/>
  <c r="T11" i="11"/>
  <c r="O102" i="56"/>
  <c r="G87" i="47"/>
  <c r="G88" i="47"/>
  <c r="AC102" i="55" l="1"/>
  <c r="T101" i="55"/>
  <c r="P101" i="55"/>
  <c r="U101" i="55"/>
  <c r="AA101" i="55" s="1"/>
  <c r="C101" i="55"/>
  <c r="V101" i="55"/>
  <c r="K101" i="55"/>
  <c r="X101" i="55" s="1"/>
  <c r="O101" i="56"/>
  <c r="T21" i="11"/>
  <c r="U11" i="11"/>
  <c r="W11" i="11" s="1"/>
  <c r="W103" i="56"/>
  <c r="W102" i="56"/>
  <c r="W101" i="56"/>
  <c r="N38" i="11"/>
  <c r="I89" i="47" s="1"/>
  <c r="M103" i="56"/>
  <c r="N103" i="56" s="1"/>
  <c r="M102" i="56"/>
  <c r="U102" i="56" s="1"/>
  <c r="M101" i="56"/>
  <c r="AR103" i="56"/>
  <c r="BA103" i="56" s="1"/>
  <c r="AM103" i="56"/>
  <c r="AD103" i="56" s="1"/>
  <c r="AR102" i="56"/>
  <c r="BA102" i="56" s="1"/>
  <c r="AM102" i="56"/>
  <c r="AR101" i="56"/>
  <c r="BA101" i="56" s="1"/>
  <c r="AM101" i="56"/>
  <c r="I38" i="11"/>
  <c r="Q15" i="11"/>
  <c r="U101" i="56" l="1"/>
  <c r="AC101" i="55"/>
  <c r="AB101" i="55"/>
  <c r="C101" i="56"/>
  <c r="N101" i="56"/>
  <c r="H101" i="56" s="1"/>
  <c r="K101" i="56" s="1"/>
  <c r="T101" i="56"/>
  <c r="N39" i="11"/>
  <c r="I90" i="47" s="1"/>
  <c r="N102" i="56"/>
  <c r="H102" i="56" s="1"/>
  <c r="J102" i="56" s="1"/>
  <c r="U103" i="56"/>
  <c r="T31" i="11"/>
  <c r="U31" i="11" s="1"/>
  <c r="U21" i="11"/>
  <c r="W21" i="11" s="1"/>
  <c r="V103" i="56"/>
  <c r="AD102" i="56"/>
  <c r="AD101" i="56"/>
  <c r="P103" i="56"/>
  <c r="T103" i="56"/>
  <c r="C103" i="56"/>
  <c r="H103" i="56"/>
  <c r="P102" i="56"/>
  <c r="T102" i="56"/>
  <c r="C102" i="56"/>
  <c r="P101" i="56"/>
  <c r="Q16" i="11"/>
  <c r="Q17" i="11" s="1"/>
  <c r="P17" i="11"/>
  <c r="O16" i="11"/>
  <c r="R16" i="11" s="1"/>
  <c r="O15" i="11"/>
  <c r="R15" i="11" s="1"/>
  <c r="R17" i="11" s="1"/>
  <c r="Q25" i="11"/>
  <c r="P26" i="11"/>
  <c r="P27" i="11" s="1"/>
  <c r="O26" i="11"/>
  <c r="R26" i="11" s="1"/>
  <c r="O25" i="11"/>
  <c r="R25" i="11" s="1"/>
  <c r="O8" i="11"/>
  <c r="N6" i="11"/>
  <c r="J101" i="56" l="1"/>
  <c r="V102" i="56"/>
  <c r="V101" i="56"/>
  <c r="Q26" i="11"/>
  <c r="Q27" i="11" s="1"/>
  <c r="Q28" i="11" s="1"/>
  <c r="N31" i="48"/>
  <c r="R18" i="11"/>
  <c r="K102" i="56"/>
  <c r="AC102" i="56" s="1"/>
  <c r="AC101" i="56"/>
  <c r="K103" i="56"/>
  <c r="AC103" i="56" s="1"/>
  <c r="J103" i="56"/>
  <c r="Q18" i="11"/>
  <c r="R27" i="11"/>
  <c r="R28" i="11" s="1"/>
  <c r="O8" i="12"/>
  <c r="L31" i="48" l="1"/>
  <c r="X101" i="56"/>
  <c r="DS31" i="2"/>
  <c r="DO31" i="2"/>
  <c r="K31" i="2"/>
  <c r="K18" i="12"/>
  <c r="W99" i="55" s="1"/>
  <c r="K17" i="12"/>
  <c r="W98" i="55" s="1"/>
  <c r="K7" i="12"/>
  <c r="W97" i="55" s="1"/>
  <c r="C14" i="12"/>
  <c r="E85" i="47"/>
  <c r="G85" i="47" s="1"/>
  <c r="H85" i="47" s="1"/>
  <c r="O99" i="55" s="1"/>
  <c r="F84" i="47"/>
  <c r="E84" i="47"/>
  <c r="F83" i="47"/>
  <c r="E83" i="47"/>
  <c r="V99" i="55" l="1"/>
  <c r="T99" i="55"/>
  <c r="P99" i="55"/>
  <c r="U99" i="55"/>
  <c r="K99" i="55"/>
  <c r="C99" i="55"/>
  <c r="O99" i="56"/>
  <c r="AL31" i="48"/>
  <c r="G84" i="47"/>
  <c r="H84" i="47" s="1"/>
  <c r="O98" i="55" s="1"/>
  <c r="G83" i="47"/>
  <c r="H83" i="47" s="1"/>
  <c r="O97" i="55" s="1"/>
  <c r="AC99" i="55" l="1"/>
  <c r="V98" i="55"/>
  <c r="K98" i="55"/>
  <c r="P98" i="55"/>
  <c r="T98" i="55"/>
  <c r="AC98" i="55" s="1"/>
  <c r="C98" i="55"/>
  <c r="U98" i="55"/>
  <c r="U97" i="55"/>
  <c r="V97" i="55"/>
  <c r="T97" i="55"/>
  <c r="C97" i="55"/>
  <c r="K97" i="55"/>
  <c r="X97" i="55" s="1"/>
  <c r="P97" i="55"/>
  <c r="O97" i="56"/>
  <c r="C97" i="56" s="1"/>
  <c r="O98" i="56"/>
  <c r="U98" i="56" s="1"/>
  <c r="W99" i="56"/>
  <c r="W98" i="56"/>
  <c r="U99" i="56"/>
  <c r="N99" i="56"/>
  <c r="N98" i="56"/>
  <c r="P16" i="12"/>
  <c r="P17" i="12" s="1"/>
  <c r="Q15" i="12"/>
  <c r="O15" i="12"/>
  <c r="R15" i="12" s="1"/>
  <c r="N97" i="56"/>
  <c r="AR99" i="56"/>
  <c r="BA99" i="56" s="1"/>
  <c r="AM99" i="56"/>
  <c r="AR98" i="56"/>
  <c r="BA98" i="56" s="1"/>
  <c r="AM98" i="56"/>
  <c r="AR97" i="56"/>
  <c r="BA97" i="56" s="1"/>
  <c r="AM97" i="56"/>
  <c r="Z97" i="56"/>
  <c r="N39" i="12"/>
  <c r="I85" i="47" s="1"/>
  <c r="N37" i="12"/>
  <c r="I83" i="47" s="1"/>
  <c r="I38" i="12"/>
  <c r="P26" i="12"/>
  <c r="Q26" i="12" s="1"/>
  <c r="P25" i="12"/>
  <c r="P27" i="12" s="1"/>
  <c r="O26" i="12"/>
  <c r="R26" i="12" s="1"/>
  <c r="O25" i="12"/>
  <c r="R25" i="12" s="1"/>
  <c r="R27" i="12" s="1"/>
  <c r="O16" i="12"/>
  <c r="Q9" i="12"/>
  <c r="R8" i="12"/>
  <c r="Q8" i="12"/>
  <c r="P10" i="12"/>
  <c r="O9" i="12"/>
  <c r="R9" i="12" s="1"/>
  <c r="N6" i="12"/>
  <c r="AA97" i="55" l="1"/>
  <c r="AC97" i="55"/>
  <c r="N38" i="12"/>
  <c r="I84" i="47" s="1"/>
  <c r="Q25" i="12"/>
  <c r="Q27" i="12" s="1"/>
  <c r="Q10" i="12"/>
  <c r="Q11" i="12" s="1"/>
  <c r="AL30" i="48"/>
  <c r="R10" i="12"/>
  <c r="R11" i="12" s="1"/>
  <c r="AD98" i="56"/>
  <c r="AD99" i="56"/>
  <c r="V99" i="56"/>
  <c r="C98" i="56"/>
  <c r="P98" i="56"/>
  <c r="T98" i="56"/>
  <c r="V98" i="56"/>
  <c r="V97" i="56"/>
  <c r="AD97" i="56"/>
  <c r="H99" i="56"/>
  <c r="J99" i="56" s="1"/>
  <c r="K99" i="56"/>
  <c r="H98" i="56"/>
  <c r="P99" i="56"/>
  <c r="T99" i="56"/>
  <c r="C99" i="56"/>
  <c r="N30" i="48" s="1"/>
  <c r="Q16" i="12"/>
  <c r="Q17" i="12" s="1"/>
  <c r="Q18" i="12" s="1"/>
  <c r="R16" i="12"/>
  <c r="R17" i="12" s="1"/>
  <c r="R18" i="12" s="1"/>
  <c r="P97" i="56"/>
  <c r="T97" i="56"/>
  <c r="U97" i="56"/>
  <c r="H97" i="56"/>
  <c r="R28" i="12"/>
  <c r="Q28" i="12"/>
  <c r="Z94" i="56"/>
  <c r="Z93" i="56"/>
  <c r="E81" i="47"/>
  <c r="G81" i="47" s="1"/>
  <c r="H81" i="47" s="1"/>
  <c r="O94" i="55" s="1"/>
  <c r="F80" i="47"/>
  <c r="E80" i="47"/>
  <c r="F79" i="47"/>
  <c r="E79" i="47"/>
  <c r="K13" i="13"/>
  <c r="W94" i="55" s="1"/>
  <c r="C14" i="13"/>
  <c r="DS30" i="2"/>
  <c r="DO30" i="2"/>
  <c r="K30" i="2"/>
  <c r="U94" i="55" l="1"/>
  <c r="T94" i="55"/>
  <c r="P94" i="55"/>
  <c r="C94" i="55"/>
  <c r="V94" i="55"/>
  <c r="K94" i="55"/>
  <c r="AC94" i="55" s="1"/>
  <c r="AB97" i="55"/>
  <c r="AC99" i="56"/>
  <c r="O94" i="56"/>
  <c r="G80" i="47"/>
  <c r="K98" i="56"/>
  <c r="AC98" i="56" s="1"/>
  <c r="J98" i="56"/>
  <c r="J97" i="56"/>
  <c r="K97" i="56"/>
  <c r="H79" i="47"/>
  <c r="O93" i="55" s="1"/>
  <c r="G79" i="47"/>
  <c r="V93" i="55" l="1"/>
  <c r="U93" i="55"/>
  <c r="C93" i="55"/>
  <c r="T93" i="55"/>
  <c r="P93" i="55"/>
  <c r="K93" i="55"/>
  <c r="AC93" i="55" s="1"/>
  <c r="O93" i="56"/>
  <c r="P93" i="56" s="1"/>
  <c r="AC97" i="56"/>
  <c r="L30" i="48"/>
  <c r="U94" i="56"/>
  <c r="N94" i="56"/>
  <c r="P8" i="13"/>
  <c r="P24" i="13"/>
  <c r="Q24" i="13" s="1"/>
  <c r="N93" i="56"/>
  <c r="H93" i="56" s="1"/>
  <c r="AM93" i="56"/>
  <c r="AR93" i="56"/>
  <c r="BA93" i="56" s="1"/>
  <c r="AM94" i="56"/>
  <c r="AR94" i="56"/>
  <c r="BA94" i="56" s="1"/>
  <c r="AM95" i="56"/>
  <c r="AR95" i="56"/>
  <c r="BA95" i="56" s="1"/>
  <c r="W94" i="56"/>
  <c r="K12" i="13"/>
  <c r="W93" i="55" s="1"/>
  <c r="X93" i="55" s="1"/>
  <c r="N38" i="13"/>
  <c r="I81" i="47" s="1"/>
  <c r="I38" i="13"/>
  <c r="Q27" i="13"/>
  <c r="P26" i="13"/>
  <c r="Q26" i="13" s="1"/>
  <c r="P25" i="13"/>
  <c r="Q25" i="13" s="1"/>
  <c r="O27" i="13"/>
  <c r="R27" i="13" s="1"/>
  <c r="O26" i="13"/>
  <c r="O25" i="13"/>
  <c r="O24" i="13"/>
  <c r="P18" i="13"/>
  <c r="Q18" i="13" s="1"/>
  <c r="P17" i="13"/>
  <c r="Q17" i="13" s="1"/>
  <c r="O18" i="13"/>
  <c r="R18" i="13" s="1"/>
  <c r="O17" i="13"/>
  <c r="O8" i="13"/>
  <c r="N6" i="13"/>
  <c r="N37" i="13" l="1"/>
  <c r="I79" i="47" s="1"/>
  <c r="R17" i="13"/>
  <c r="R25" i="13"/>
  <c r="R26" i="13"/>
  <c r="R24" i="13"/>
  <c r="R28" i="13" s="1"/>
  <c r="AA93" i="55"/>
  <c r="AB93" i="55" s="1"/>
  <c r="P28" i="13"/>
  <c r="P19" i="13"/>
  <c r="AD94" i="56"/>
  <c r="V94" i="56"/>
  <c r="W93" i="56"/>
  <c r="T94" i="56"/>
  <c r="P94" i="56"/>
  <c r="C94" i="56"/>
  <c r="H94" i="56"/>
  <c r="AD95" i="56"/>
  <c r="K93" i="56"/>
  <c r="J93" i="56"/>
  <c r="AD93" i="56"/>
  <c r="V93" i="56"/>
  <c r="U93" i="56"/>
  <c r="C93" i="56"/>
  <c r="T93" i="56"/>
  <c r="Q28" i="13"/>
  <c r="Q19" i="13"/>
  <c r="R19" i="13"/>
  <c r="DS29" i="2"/>
  <c r="DO29" i="2"/>
  <c r="K29" i="2"/>
  <c r="R29" i="13" l="1"/>
  <c r="Q29" i="13"/>
  <c r="Q20" i="13"/>
  <c r="AA93" i="56"/>
  <c r="R20" i="13"/>
  <c r="K94" i="56"/>
  <c r="J94" i="56"/>
  <c r="AC93" i="56"/>
  <c r="E77" i="47"/>
  <c r="E76" i="47"/>
  <c r="F76" i="47"/>
  <c r="F77" i="47"/>
  <c r="X93" i="56" l="1"/>
  <c r="AC94" i="56"/>
  <c r="N29" i="48"/>
  <c r="AL29" i="48"/>
  <c r="L29" i="48"/>
  <c r="AB93" i="56"/>
  <c r="G77" i="47"/>
  <c r="H76" i="47"/>
  <c r="O89" i="55" s="1"/>
  <c r="G76" i="47"/>
  <c r="V89" i="55" l="1"/>
  <c r="P89" i="55"/>
  <c r="T89" i="55"/>
  <c r="C89" i="55"/>
  <c r="U89" i="55"/>
  <c r="K89" i="55"/>
  <c r="O89" i="56"/>
  <c r="T89" i="56" s="1"/>
  <c r="N89" i="56"/>
  <c r="H89" i="56" s="1"/>
  <c r="AM89" i="56"/>
  <c r="AR89" i="56"/>
  <c r="BA89" i="56"/>
  <c r="AM90" i="56"/>
  <c r="AR90" i="56"/>
  <c r="BA90" i="56" s="1"/>
  <c r="AM91" i="56"/>
  <c r="AR91" i="56"/>
  <c r="BA91" i="56" s="1"/>
  <c r="C14" i="14"/>
  <c r="I38" i="14"/>
  <c r="I76" i="47" s="1"/>
  <c r="G40" i="14"/>
  <c r="G39" i="14"/>
  <c r="G38" i="14"/>
  <c r="O8" i="14"/>
  <c r="N6" i="14"/>
  <c r="AC89" i="55" l="1"/>
  <c r="AD89" i="56"/>
  <c r="AD91" i="56"/>
  <c r="P89" i="56"/>
  <c r="C89" i="56"/>
  <c r="N28" i="48" s="1"/>
  <c r="AL28" i="48"/>
  <c r="U89" i="56"/>
  <c r="AD90" i="56"/>
  <c r="K89" i="56"/>
  <c r="J89" i="56"/>
  <c r="V89" i="56"/>
  <c r="AC89" i="56" l="1"/>
  <c r="L28" i="48"/>
  <c r="DS28" i="2"/>
  <c r="DS27" i="2"/>
  <c r="DO28" i="2"/>
  <c r="DO27" i="2"/>
  <c r="K28" i="2"/>
  <c r="K27" i="2"/>
  <c r="F74" i="47" l="1"/>
  <c r="E74" i="47"/>
  <c r="E73" i="47"/>
  <c r="F70" i="47"/>
  <c r="E71" i="47"/>
  <c r="G71" i="47" s="1"/>
  <c r="E70" i="47"/>
  <c r="C32" i="16"/>
  <c r="C23" i="16"/>
  <c r="C14" i="16"/>
  <c r="H70" i="47" l="1"/>
  <c r="O81" i="55" s="1"/>
  <c r="O81" i="56"/>
  <c r="H73" i="47"/>
  <c r="O85" i="55" s="1"/>
  <c r="G74" i="47"/>
  <c r="G73" i="47"/>
  <c r="G70" i="47"/>
  <c r="T85" i="55" l="1"/>
  <c r="P85" i="55"/>
  <c r="U85" i="55"/>
  <c r="C85" i="55"/>
  <c r="K85" i="55"/>
  <c r="AC85" i="55" s="1"/>
  <c r="V85" i="55"/>
  <c r="U81" i="55"/>
  <c r="K81" i="55"/>
  <c r="AC81" i="55" s="1"/>
  <c r="P81" i="55"/>
  <c r="V81" i="55"/>
  <c r="C81" i="55"/>
  <c r="T81" i="55"/>
  <c r="O85" i="56"/>
  <c r="I38" i="16"/>
  <c r="I70" i="47" s="1"/>
  <c r="I38" i="15"/>
  <c r="I73" i="47" s="1"/>
  <c r="AR87" i="56" l="1"/>
  <c r="BA87" i="56" s="1"/>
  <c r="AM87" i="56"/>
  <c r="AR86" i="56"/>
  <c r="BA86" i="56" s="1"/>
  <c r="AM86" i="56"/>
  <c r="AR85" i="56"/>
  <c r="BA85" i="56" s="1"/>
  <c r="AM85" i="56"/>
  <c r="T85" i="56"/>
  <c r="N85" i="56"/>
  <c r="H85" i="56" s="1"/>
  <c r="K85" i="56" s="1"/>
  <c r="AC85" i="56" s="1"/>
  <c r="S81" i="56"/>
  <c r="AR83" i="56"/>
  <c r="BA83" i="56" s="1"/>
  <c r="AM83" i="56"/>
  <c r="AR82" i="56"/>
  <c r="BA82" i="56" s="1"/>
  <c r="AM82" i="56"/>
  <c r="AR81" i="56"/>
  <c r="BA81" i="56" s="1"/>
  <c r="AM81" i="56"/>
  <c r="C14" i="15"/>
  <c r="G40" i="15"/>
  <c r="G39" i="15"/>
  <c r="Q11" i="15"/>
  <c r="Q10" i="15"/>
  <c r="P12" i="15"/>
  <c r="P13" i="15" s="1"/>
  <c r="O12" i="15"/>
  <c r="R12" i="15" s="1"/>
  <c r="O11" i="15"/>
  <c r="R11" i="15" s="1"/>
  <c r="O10" i="15"/>
  <c r="R10" i="15" s="1"/>
  <c r="N6" i="15"/>
  <c r="G40" i="16"/>
  <c r="G39" i="16"/>
  <c r="G38" i="16"/>
  <c r="O8" i="16"/>
  <c r="N6" i="16"/>
  <c r="Q12" i="15" l="1"/>
  <c r="Q13" i="15" s="1"/>
  <c r="Q14" i="15" s="1"/>
  <c r="AD85" i="56"/>
  <c r="AD83" i="56"/>
  <c r="L27" i="48"/>
  <c r="U81" i="56"/>
  <c r="AL26" i="48"/>
  <c r="AD87" i="56"/>
  <c r="AD86" i="56"/>
  <c r="P85" i="56"/>
  <c r="C85" i="56"/>
  <c r="N27" i="48" s="1"/>
  <c r="U85" i="56"/>
  <c r="J85" i="56"/>
  <c r="V85" i="56"/>
  <c r="AD82" i="56"/>
  <c r="AD81" i="56"/>
  <c r="P81" i="56"/>
  <c r="N81" i="56"/>
  <c r="T81" i="56"/>
  <c r="C81" i="56"/>
  <c r="N26" i="48" s="1"/>
  <c r="R13" i="15"/>
  <c r="R14" i="15" s="1"/>
  <c r="N38" i="17"/>
  <c r="I68" i="47" s="1"/>
  <c r="F67" i="47"/>
  <c r="E68" i="47"/>
  <c r="G68" i="47" s="1"/>
  <c r="H68" i="47" s="1"/>
  <c r="O78" i="55" s="1"/>
  <c r="E67" i="47"/>
  <c r="O26" i="17"/>
  <c r="K12" i="17"/>
  <c r="W78" i="55" s="1"/>
  <c r="K9" i="17"/>
  <c r="W77" i="55" s="1"/>
  <c r="W77" i="56"/>
  <c r="K9" i="18"/>
  <c r="W72" i="55" s="1"/>
  <c r="Q77" i="56"/>
  <c r="N78" i="56"/>
  <c r="H78" i="56" s="1"/>
  <c r="J78" i="56" s="1"/>
  <c r="C14" i="17"/>
  <c r="DS26" i="2"/>
  <c r="DO26" i="2"/>
  <c r="K26" i="2"/>
  <c r="U78" i="55" l="1"/>
  <c r="V78" i="55"/>
  <c r="T78" i="55"/>
  <c r="C78" i="55"/>
  <c r="P78" i="55"/>
  <c r="K78" i="55"/>
  <c r="AC78" i="55" s="1"/>
  <c r="W72" i="56"/>
  <c r="W78" i="56"/>
  <c r="O78" i="56"/>
  <c r="P78" i="56" s="1"/>
  <c r="AL27" i="48"/>
  <c r="V81" i="56"/>
  <c r="H81" i="56"/>
  <c r="G67" i="47"/>
  <c r="H67" i="47" s="1"/>
  <c r="O77" i="55" s="1"/>
  <c r="U78" i="56"/>
  <c r="T78" i="56"/>
  <c r="K78" i="56" l="1"/>
  <c r="U77" i="55"/>
  <c r="AA77" i="55" s="1"/>
  <c r="P77" i="55"/>
  <c r="V77" i="55"/>
  <c r="C77" i="55"/>
  <c r="T77" i="55"/>
  <c r="K77" i="55"/>
  <c r="X77" i="55" s="1"/>
  <c r="C78" i="56"/>
  <c r="V78" i="56"/>
  <c r="O77" i="56"/>
  <c r="J81" i="56"/>
  <c r="K81" i="56"/>
  <c r="AC78" i="56"/>
  <c r="AC77" i="55" l="1"/>
  <c r="AB77" i="55"/>
  <c r="AC81" i="56"/>
  <c r="L26" i="48"/>
  <c r="U77" i="56"/>
  <c r="N77" i="56"/>
  <c r="AR79" i="56"/>
  <c r="BA79" i="56" s="1"/>
  <c r="AM79" i="56"/>
  <c r="AR78" i="56"/>
  <c r="BA78" i="56" s="1"/>
  <c r="AM78" i="56"/>
  <c r="AR77" i="56"/>
  <c r="BA77" i="56" s="1"/>
  <c r="AM77" i="56"/>
  <c r="Z77" i="56"/>
  <c r="I38" i="17"/>
  <c r="N37" i="17" s="1"/>
  <c r="I67" i="47" s="1"/>
  <c r="G42" i="17"/>
  <c r="I37" i="17" s="1"/>
  <c r="F42" i="17"/>
  <c r="Q26" i="17"/>
  <c r="R26" i="17"/>
  <c r="Q25" i="17"/>
  <c r="P27" i="17"/>
  <c r="O17" i="17"/>
  <c r="O25" i="17"/>
  <c r="R25" i="17" s="1"/>
  <c r="R27" i="17" s="1"/>
  <c r="R28" i="17" s="1"/>
  <c r="O8" i="17"/>
  <c r="N6" i="17"/>
  <c r="AD79" i="56" l="1"/>
  <c r="AD77" i="56"/>
  <c r="AL25" i="48"/>
  <c r="V77" i="56"/>
  <c r="P77" i="56"/>
  <c r="Q27" i="17"/>
  <c r="Q28" i="17" s="1"/>
  <c r="T77" i="56"/>
  <c r="C77" i="56"/>
  <c r="N25" i="48" s="1"/>
  <c r="H77" i="56"/>
  <c r="AD78" i="56"/>
  <c r="J77" i="56" l="1"/>
  <c r="K77" i="56"/>
  <c r="L25" i="48" s="1"/>
  <c r="AC77" i="56" l="1"/>
  <c r="DO25" i="2" l="1"/>
  <c r="DS25" i="2"/>
  <c r="DS23" i="2"/>
  <c r="K25" i="2"/>
  <c r="Z71" i="56"/>
  <c r="F65" i="47"/>
  <c r="E65" i="47"/>
  <c r="E64" i="47"/>
  <c r="E63" i="47"/>
  <c r="G63" i="47" s="1"/>
  <c r="H63" i="47" s="1"/>
  <c r="O71" i="55" s="1"/>
  <c r="K14" i="18"/>
  <c r="W73" i="55" s="1"/>
  <c r="K16" i="18"/>
  <c r="W71" i="55" s="1"/>
  <c r="C14" i="18"/>
  <c r="W73" i="56" l="1"/>
  <c r="T71" i="55"/>
  <c r="P71" i="55"/>
  <c r="C71" i="55"/>
  <c r="V71" i="55"/>
  <c r="K71" i="55"/>
  <c r="AC71" i="55" s="1"/>
  <c r="U71" i="55"/>
  <c r="O71" i="56"/>
  <c r="G65" i="47"/>
  <c r="H65" i="47" s="1"/>
  <c r="G64" i="47"/>
  <c r="H64" i="47" s="1"/>
  <c r="O72" i="55" s="1"/>
  <c r="D38" i="54"/>
  <c r="M38" i="54"/>
  <c r="AM74" i="56"/>
  <c r="AR74" i="56"/>
  <c r="BA74" i="56" s="1"/>
  <c r="AM75" i="56"/>
  <c r="AR75" i="56"/>
  <c r="BA75" i="56" s="1"/>
  <c r="W71" i="56"/>
  <c r="M71" i="56"/>
  <c r="AR73" i="56"/>
  <c r="BA73" i="56" s="1"/>
  <c r="AM73" i="56"/>
  <c r="AR72" i="56"/>
  <c r="BA72" i="56" s="1"/>
  <c r="AM72" i="56"/>
  <c r="AD72" i="56" s="1"/>
  <c r="AR71" i="56"/>
  <c r="BA71" i="56" s="1"/>
  <c r="AM71" i="56"/>
  <c r="N37" i="18"/>
  <c r="I63" i="47" s="1"/>
  <c r="I38" i="18"/>
  <c r="N38" i="18" s="1"/>
  <c r="I64" i="47" s="1"/>
  <c r="P26" i="18"/>
  <c r="Q28" i="18"/>
  <c r="R28" i="18"/>
  <c r="Q27" i="18"/>
  <c r="P29" i="18"/>
  <c r="Q29" i="18" s="1"/>
  <c r="P30" i="18"/>
  <c r="Q30" i="18" s="1"/>
  <c r="P28" i="18"/>
  <c r="O30" i="18"/>
  <c r="O29" i="18"/>
  <c r="O28" i="18"/>
  <c r="O27" i="18"/>
  <c r="R27" i="18" s="1"/>
  <c r="O26" i="18"/>
  <c r="Q17" i="18"/>
  <c r="Q16" i="18"/>
  <c r="P18" i="18"/>
  <c r="O17" i="18"/>
  <c r="R17" i="18" s="1"/>
  <c r="O16" i="18"/>
  <c r="R16" i="18" s="1"/>
  <c r="O8" i="18"/>
  <c r="N6" i="18"/>
  <c r="Q18" i="18" l="1"/>
  <c r="Q19" i="18" s="1"/>
  <c r="U72" i="55"/>
  <c r="AA71" i="55" s="1"/>
  <c r="AB71" i="55" s="1"/>
  <c r="V72" i="55"/>
  <c r="T72" i="55"/>
  <c r="C72" i="55"/>
  <c r="K72" i="55"/>
  <c r="AC72" i="55" s="1"/>
  <c r="P72" i="55"/>
  <c r="R29" i="18"/>
  <c r="R26" i="18"/>
  <c r="R30" i="18"/>
  <c r="O72" i="56"/>
  <c r="T72" i="56" s="1"/>
  <c r="AD74" i="56"/>
  <c r="P71" i="56"/>
  <c r="AD75" i="56"/>
  <c r="AD71" i="56"/>
  <c r="N72" i="56"/>
  <c r="H72" i="56" s="1"/>
  <c r="J72" i="56" s="1"/>
  <c r="N71" i="56"/>
  <c r="AD73" i="56"/>
  <c r="Q26" i="18"/>
  <c r="Q31" i="18" s="1"/>
  <c r="P31" i="18"/>
  <c r="R18" i="18"/>
  <c r="R19" i="18" s="1"/>
  <c r="X71" i="55" l="1"/>
  <c r="R31" i="18"/>
  <c r="R32" i="18" s="1"/>
  <c r="C72" i="56"/>
  <c r="P72" i="56"/>
  <c r="U72" i="56"/>
  <c r="T71" i="56"/>
  <c r="C71" i="56"/>
  <c r="N24" i="48" s="1"/>
  <c r="U71" i="56"/>
  <c r="AA71" i="56" s="1"/>
  <c r="K72" i="56"/>
  <c r="V72" i="56"/>
  <c r="V71" i="56"/>
  <c r="H71" i="56"/>
  <c r="Q32" i="18"/>
  <c r="P17" i="19"/>
  <c r="E61" i="47"/>
  <c r="H61" i="47" s="1"/>
  <c r="O69" i="55" s="1"/>
  <c r="Z67" i="56"/>
  <c r="Z68" i="56"/>
  <c r="F59" i="47"/>
  <c r="E59" i="47"/>
  <c r="E60" i="47"/>
  <c r="K14" i="19"/>
  <c r="W68" i="55" s="1"/>
  <c r="C16" i="19"/>
  <c r="K15" i="19" s="1"/>
  <c r="W67" i="55" s="1"/>
  <c r="G59" i="47" l="1"/>
  <c r="H59" i="47" s="1"/>
  <c r="O67" i="55" s="1"/>
  <c r="P67" i="55" s="1"/>
  <c r="V67" i="55"/>
  <c r="U67" i="55"/>
  <c r="C67" i="55"/>
  <c r="T67" i="55"/>
  <c r="K67" i="55"/>
  <c r="AC67" i="55" s="1"/>
  <c r="G61" i="47"/>
  <c r="P69" i="55"/>
  <c r="C69" i="55"/>
  <c r="U69" i="55"/>
  <c r="T69" i="55"/>
  <c r="V69" i="55"/>
  <c r="K69" i="55"/>
  <c r="AC69" i="55" s="1"/>
  <c r="AL24" i="48"/>
  <c r="O69" i="56"/>
  <c r="J71" i="56"/>
  <c r="K71" i="56"/>
  <c r="L24" i="48" s="1"/>
  <c r="AC72" i="56"/>
  <c r="G60" i="47"/>
  <c r="H60" i="47" s="1"/>
  <c r="O68" i="55" s="1"/>
  <c r="U68" i="55" l="1"/>
  <c r="T68" i="55"/>
  <c r="P68" i="55"/>
  <c r="C68" i="55"/>
  <c r="V68" i="55"/>
  <c r="K68" i="55"/>
  <c r="AC68" i="55" s="1"/>
  <c r="AA67" i="55"/>
  <c r="AC71" i="56"/>
  <c r="AB71" i="56" s="1"/>
  <c r="X71" i="56"/>
  <c r="DO24" i="2"/>
  <c r="CQ24" i="2"/>
  <c r="K24" i="2"/>
  <c r="X67" i="55" l="1"/>
  <c r="AB67" i="55"/>
  <c r="AL23" i="48"/>
  <c r="W69" i="56"/>
  <c r="W68" i="56"/>
  <c r="W67" i="56"/>
  <c r="M69" i="56"/>
  <c r="N69" i="56" s="1"/>
  <c r="H69" i="56" s="1"/>
  <c r="J69" i="56" s="1"/>
  <c r="P18" i="19"/>
  <c r="P19" i="19" s="1"/>
  <c r="M67" i="56"/>
  <c r="N67" i="56" s="1"/>
  <c r="P69" i="56"/>
  <c r="O67" i="56"/>
  <c r="AM67" i="56"/>
  <c r="AR67" i="56"/>
  <c r="BA67" i="56" s="1"/>
  <c r="N68" i="56"/>
  <c r="H68" i="56" s="1"/>
  <c r="O68" i="56"/>
  <c r="U68" i="56" s="1"/>
  <c r="AM68" i="56"/>
  <c r="AR68" i="56"/>
  <c r="BA68" i="56" s="1"/>
  <c r="AM69" i="56"/>
  <c r="AR69" i="56"/>
  <c r="BA69" i="56" s="1"/>
  <c r="N39" i="19"/>
  <c r="I61" i="47" s="1"/>
  <c r="N37" i="19"/>
  <c r="I59" i="47" s="1"/>
  <c r="I38" i="19"/>
  <c r="N38" i="19" s="1"/>
  <c r="I60" i="47" s="1"/>
  <c r="P26" i="19"/>
  <c r="P27" i="19" s="1"/>
  <c r="O10" i="19"/>
  <c r="O17" i="19"/>
  <c r="R17" i="19" s="1"/>
  <c r="O18" i="19"/>
  <c r="O25" i="19"/>
  <c r="R25" i="19" s="1"/>
  <c r="O26" i="19"/>
  <c r="Q25" i="19"/>
  <c r="Q17" i="19"/>
  <c r="P10" i="19"/>
  <c r="Q10" i="19" s="1"/>
  <c r="P9" i="19"/>
  <c r="Q9" i="19" s="1"/>
  <c r="O9" i="19"/>
  <c r="R9" i="19" l="1"/>
  <c r="R10" i="19"/>
  <c r="P11" i="19"/>
  <c r="C67" i="56"/>
  <c r="AD69" i="56"/>
  <c r="C68" i="56"/>
  <c r="T68" i="56"/>
  <c r="V68" i="56"/>
  <c r="V67" i="56"/>
  <c r="P68" i="56"/>
  <c r="T67" i="56"/>
  <c r="U69" i="56"/>
  <c r="C69" i="56"/>
  <c r="J68" i="56"/>
  <c r="K68" i="56"/>
  <c r="AC68" i="56" s="1"/>
  <c r="R18" i="19"/>
  <c r="R19" i="19" s="1"/>
  <c r="R20" i="19" s="1"/>
  <c r="H67" i="56"/>
  <c r="K69" i="56"/>
  <c r="T69" i="56"/>
  <c r="V69" i="56"/>
  <c r="P67" i="56"/>
  <c r="U67" i="56"/>
  <c r="AD67" i="56"/>
  <c r="AD68" i="56"/>
  <c r="R26" i="19"/>
  <c r="R27" i="19" s="1"/>
  <c r="R28" i="19" s="1"/>
  <c r="Q26" i="19"/>
  <c r="Q27" i="19" s="1"/>
  <c r="Q28" i="19" s="1"/>
  <c r="Q18" i="19"/>
  <c r="Q19" i="19" s="1"/>
  <c r="Q20" i="19" s="1"/>
  <c r="Q11" i="19"/>
  <c r="Q12" i="19" s="1"/>
  <c r="R11" i="19"/>
  <c r="R12" i="19" s="1"/>
  <c r="N6" i="19"/>
  <c r="AC69" i="56" l="1"/>
  <c r="N23" i="48"/>
  <c r="J67" i="56"/>
  <c r="K67" i="56"/>
  <c r="L23" i="48" s="1"/>
  <c r="AC67" i="56" l="1"/>
  <c r="X67" i="56"/>
  <c r="O7" i="51" l="1"/>
  <c r="O6" i="51"/>
  <c r="N7" i="51"/>
  <c r="N11" i="51"/>
  <c r="N6" i="51"/>
  <c r="AA123" i="55" l="1"/>
  <c r="AB123" i="55" s="1"/>
  <c r="AA123" i="56"/>
  <c r="AB123" i="56" s="1"/>
  <c r="AA119" i="56"/>
  <c r="AB119" i="56" s="1"/>
  <c r="CQ23" i="2"/>
  <c r="DO23" i="2"/>
  <c r="K23" i="2"/>
  <c r="K13" i="20"/>
  <c r="W65" i="55" s="1"/>
  <c r="K14" i="20"/>
  <c r="W63" i="55" s="1"/>
  <c r="N37" i="20"/>
  <c r="I55" i="47" s="1"/>
  <c r="F56" i="47"/>
  <c r="E56" i="47"/>
  <c r="E57" i="47"/>
  <c r="G57" i="47" s="1"/>
  <c r="H57" i="47" s="1"/>
  <c r="E55" i="47"/>
  <c r="G55" i="47" s="1"/>
  <c r="H55" i="47" s="1"/>
  <c r="O63" i="55" s="1"/>
  <c r="C26" i="20"/>
  <c r="C17" i="20"/>
  <c r="K15" i="20" s="1"/>
  <c r="W64" i="55" s="1"/>
  <c r="P63" i="55" l="1"/>
  <c r="T63" i="55"/>
  <c r="C63" i="55"/>
  <c r="U63" i="55"/>
  <c r="K63" i="55"/>
  <c r="AC63" i="55" s="1"/>
  <c r="V63" i="55"/>
  <c r="W65" i="56"/>
  <c r="G56" i="47"/>
  <c r="H56" i="47" s="1"/>
  <c r="O64" i="55" s="1"/>
  <c r="U64" i="55" l="1"/>
  <c r="P64" i="55"/>
  <c r="C64" i="55"/>
  <c r="V64" i="55"/>
  <c r="T64" i="55"/>
  <c r="K64" i="55"/>
  <c r="X63" i="55" s="1"/>
  <c r="W64" i="56"/>
  <c r="W63" i="56"/>
  <c r="M63" i="56"/>
  <c r="O64" i="56"/>
  <c r="T64" i="56" s="1"/>
  <c r="N64" i="56"/>
  <c r="H64" i="56" s="1"/>
  <c r="J64" i="56" s="1"/>
  <c r="O63" i="56"/>
  <c r="P63" i="56" s="1"/>
  <c r="J63" i="56"/>
  <c r="AM63" i="56"/>
  <c r="AR63" i="56"/>
  <c r="BA63" i="56" s="1"/>
  <c r="AM64" i="56"/>
  <c r="AR64" i="56"/>
  <c r="BA64" i="56" s="1"/>
  <c r="AM65" i="56"/>
  <c r="AR65" i="56"/>
  <c r="BA65" i="56" s="1"/>
  <c r="I38" i="20"/>
  <c r="N38" i="20" s="1"/>
  <c r="I56" i="47" s="1"/>
  <c r="P8" i="20"/>
  <c r="Q24" i="20"/>
  <c r="O24" i="20"/>
  <c r="R24" i="20" s="1"/>
  <c r="O25" i="20"/>
  <c r="R25" i="20" s="1"/>
  <c r="P26" i="20"/>
  <c r="P27" i="20" s="1"/>
  <c r="O26" i="20"/>
  <c r="Q25" i="20"/>
  <c r="Q18" i="20"/>
  <c r="R18" i="20"/>
  <c r="R17" i="20"/>
  <c r="Q17" i="20"/>
  <c r="P18" i="20"/>
  <c r="P19" i="20" s="1"/>
  <c r="O18" i="20"/>
  <c r="O17" i="20"/>
  <c r="O8" i="20"/>
  <c r="N6" i="20"/>
  <c r="AC64" i="55" l="1"/>
  <c r="R19" i="20"/>
  <c r="R20" i="20" s="1"/>
  <c r="AL22" i="48"/>
  <c r="V64" i="56"/>
  <c r="U63" i="56"/>
  <c r="AD65" i="56"/>
  <c r="AD64" i="56"/>
  <c r="AD63" i="56"/>
  <c r="U64" i="56"/>
  <c r="K64" i="56"/>
  <c r="AC64" i="56" s="1"/>
  <c r="P64" i="56"/>
  <c r="C64" i="56"/>
  <c r="N63" i="56"/>
  <c r="T63" i="56"/>
  <c r="C63" i="56"/>
  <c r="Q26" i="20"/>
  <c r="Q27" i="20" s="1"/>
  <c r="R26" i="20"/>
  <c r="Q19" i="20"/>
  <c r="Q20" i="20" s="1"/>
  <c r="DO22" i="2"/>
  <c r="K22" i="2"/>
  <c r="K10" i="22"/>
  <c r="W60" i="55" s="1"/>
  <c r="W61" i="56"/>
  <c r="M61" i="56"/>
  <c r="M60" i="56"/>
  <c r="M59" i="56"/>
  <c r="P8" i="22"/>
  <c r="P11" i="22" s="1"/>
  <c r="J61" i="56"/>
  <c r="I50" i="47"/>
  <c r="E53" i="47"/>
  <c r="H53" i="47" s="1"/>
  <c r="O61" i="55" s="1"/>
  <c r="N39" i="22"/>
  <c r="I53" i="47" s="1"/>
  <c r="E51" i="47"/>
  <c r="E52" i="47"/>
  <c r="F52" i="47"/>
  <c r="F50" i="47"/>
  <c r="E50" i="47"/>
  <c r="K13" i="22"/>
  <c r="W59" i="55" s="1"/>
  <c r="P61" i="55" l="1"/>
  <c r="T61" i="55"/>
  <c r="U61" i="55"/>
  <c r="C61" i="55"/>
  <c r="V61" i="55"/>
  <c r="K61" i="55"/>
  <c r="AC61" i="55" s="1"/>
  <c r="W60" i="56"/>
  <c r="W59" i="56"/>
  <c r="Q28" i="20"/>
  <c r="R27" i="20"/>
  <c r="R28" i="20" s="1"/>
  <c r="N22" i="48"/>
  <c r="H50" i="47"/>
  <c r="O59" i="55" s="1"/>
  <c r="O61" i="56"/>
  <c r="T61" i="56" s="1"/>
  <c r="G52" i="47"/>
  <c r="H52" i="47" s="1"/>
  <c r="O60" i="55" s="1"/>
  <c r="G51" i="47"/>
  <c r="V63" i="56"/>
  <c r="K63" i="56"/>
  <c r="L22" i="48" s="1"/>
  <c r="N61" i="56"/>
  <c r="G50" i="47"/>
  <c r="U59" i="55" l="1"/>
  <c r="P59" i="55"/>
  <c r="C59" i="55"/>
  <c r="T59" i="55"/>
  <c r="K59" i="55"/>
  <c r="X59" i="55" s="1"/>
  <c r="V59" i="55"/>
  <c r="P60" i="55"/>
  <c r="U60" i="55"/>
  <c r="C60" i="55"/>
  <c r="T60" i="55"/>
  <c r="V60" i="55"/>
  <c r="K60" i="55"/>
  <c r="AC60" i="55" s="1"/>
  <c r="C61" i="56"/>
  <c r="O59" i="56"/>
  <c r="X63" i="56"/>
  <c r="O60" i="56"/>
  <c r="P61" i="56"/>
  <c r="U61" i="56"/>
  <c r="AC63" i="56"/>
  <c r="K61" i="56"/>
  <c r="AC61" i="56" s="1"/>
  <c r="V61" i="56"/>
  <c r="AC59" i="55" l="1"/>
  <c r="AL21" i="48"/>
  <c r="P60" i="56" l="1"/>
  <c r="T60" i="56"/>
  <c r="J60" i="56"/>
  <c r="C60" i="56"/>
  <c r="P59" i="56"/>
  <c r="N59" i="56"/>
  <c r="AR61" i="56"/>
  <c r="BA61" i="56" s="1"/>
  <c r="AM61" i="56"/>
  <c r="AR60" i="56"/>
  <c r="BA60" i="56" s="1"/>
  <c r="AM60" i="56"/>
  <c r="AR59" i="56"/>
  <c r="BA59" i="56" s="1"/>
  <c r="AM59" i="56"/>
  <c r="AD59" i="56" s="1"/>
  <c r="I38" i="22"/>
  <c r="N38" i="22" s="1"/>
  <c r="I52" i="47" s="1"/>
  <c r="G39" i="22"/>
  <c r="G38" i="22"/>
  <c r="Q27" i="22"/>
  <c r="Q26" i="22"/>
  <c r="P28" i="22"/>
  <c r="O27" i="22"/>
  <c r="R27" i="22" s="1"/>
  <c r="O26" i="22"/>
  <c r="R26" i="22" s="1"/>
  <c r="O10" i="22"/>
  <c r="O9" i="22"/>
  <c r="O8" i="22"/>
  <c r="N6" i="22"/>
  <c r="AD60" i="56" l="1"/>
  <c r="AD61" i="56"/>
  <c r="U60" i="56"/>
  <c r="C59" i="56"/>
  <c r="N21" i="48" s="1"/>
  <c r="T59" i="56"/>
  <c r="U59" i="56"/>
  <c r="K59" i="56"/>
  <c r="J59" i="56"/>
  <c r="N60" i="56"/>
  <c r="V59" i="56"/>
  <c r="Q28" i="22"/>
  <c r="Q29" i="22" s="1"/>
  <c r="R28" i="22"/>
  <c r="R29" i="22" s="1"/>
  <c r="AC59" i="56" l="1"/>
  <c r="K60" i="56"/>
  <c r="L21" i="48" s="1"/>
  <c r="V60" i="56"/>
  <c r="X59" i="56" l="1"/>
  <c r="AC60" i="56"/>
  <c r="M7" i="51" l="1"/>
  <c r="M6" i="51"/>
  <c r="L7" i="51"/>
  <c r="L6" i="51"/>
  <c r="K7" i="51"/>
  <c r="K6" i="51"/>
  <c r="J6" i="51"/>
  <c r="I7" i="51"/>
  <c r="I6" i="51"/>
  <c r="H7" i="51"/>
  <c r="H6" i="51"/>
  <c r="G7" i="51"/>
  <c r="G6" i="51"/>
  <c r="F3" i="51"/>
  <c r="F12" i="51"/>
  <c r="F7" i="51"/>
  <c r="F6" i="51"/>
  <c r="E7" i="51"/>
  <c r="E6" i="51"/>
  <c r="DO21" i="2" l="1"/>
  <c r="DO20" i="2"/>
  <c r="K21" i="2"/>
  <c r="K20" i="2"/>
  <c r="K13" i="21"/>
  <c r="W56" i="55" s="1"/>
  <c r="K14" i="21"/>
  <c r="W54" i="55" s="1"/>
  <c r="K15" i="21"/>
  <c r="W55" i="55" s="1"/>
  <c r="I45" i="47"/>
  <c r="E48" i="47"/>
  <c r="G48" i="47" s="1"/>
  <c r="H48" i="47" s="1"/>
  <c r="O56" i="55" s="1"/>
  <c r="F47" i="47"/>
  <c r="E47" i="47"/>
  <c r="F45" i="47"/>
  <c r="E46" i="47"/>
  <c r="E45" i="47"/>
  <c r="H45" i="47" s="1"/>
  <c r="O54" i="55" s="1"/>
  <c r="F42" i="47"/>
  <c r="G42" i="47" s="1"/>
  <c r="H42" i="47" s="1"/>
  <c r="O50" i="55" s="1"/>
  <c r="E43" i="47"/>
  <c r="K14" i="23"/>
  <c r="W51" i="55" s="1"/>
  <c r="K13" i="23"/>
  <c r="W50" i="55" s="1"/>
  <c r="P50" i="55" l="1"/>
  <c r="C50" i="55"/>
  <c r="U50" i="55"/>
  <c r="T50" i="55"/>
  <c r="V50" i="55"/>
  <c r="K50" i="55"/>
  <c r="AC50" i="55" s="1"/>
  <c r="U54" i="55"/>
  <c r="P54" i="55"/>
  <c r="C54" i="55"/>
  <c r="T54" i="55"/>
  <c r="V54" i="55"/>
  <c r="K54" i="55"/>
  <c r="AC54" i="55" s="1"/>
  <c r="P56" i="55"/>
  <c r="T56" i="55"/>
  <c r="V56" i="55"/>
  <c r="K56" i="55"/>
  <c r="C56" i="55"/>
  <c r="U56" i="55"/>
  <c r="O50" i="56"/>
  <c r="O56" i="56"/>
  <c r="O54" i="56"/>
  <c r="G47" i="47"/>
  <c r="H47" i="47" s="1"/>
  <c r="O55" i="55" s="1"/>
  <c r="G45" i="47"/>
  <c r="G46" i="47"/>
  <c r="G43" i="47"/>
  <c r="H43" i="47" s="1"/>
  <c r="O51" i="55" s="1"/>
  <c r="C55" i="55" l="1"/>
  <c r="T55" i="55"/>
  <c r="P55" i="55"/>
  <c r="U55" i="55"/>
  <c r="AA54" i="55" s="1"/>
  <c r="V55" i="55"/>
  <c r="K55" i="55"/>
  <c r="AC55" i="55" s="1"/>
  <c r="P51" i="55"/>
  <c r="V51" i="55"/>
  <c r="U51" i="55"/>
  <c r="AA50" i="55" s="1"/>
  <c r="C51" i="55"/>
  <c r="T51" i="55"/>
  <c r="K51" i="55"/>
  <c r="AC51" i="55" s="1"/>
  <c r="AC56" i="55"/>
  <c r="O55" i="56"/>
  <c r="O51" i="56"/>
  <c r="X54" i="55" l="1"/>
  <c r="X50" i="55"/>
  <c r="AB50" i="55"/>
  <c r="AB54" i="55"/>
  <c r="AL20" i="48"/>
  <c r="AL19" i="48"/>
  <c r="AM57" i="56"/>
  <c r="AR57" i="56"/>
  <c r="BA57" i="56" s="1"/>
  <c r="AD57" i="56" l="1"/>
  <c r="W56" i="56" l="1"/>
  <c r="W55" i="56"/>
  <c r="W54" i="56"/>
  <c r="Q55" i="56"/>
  <c r="M56" i="56"/>
  <c r="T56" i="56" s="1"/>
  <c r="M55" i="56"/>
  <c r="N55" i="56" s="1"/>
  <c r="M54" i="56"/>
  <c r="N54" i="56" s="1"/>
  <c r="K54" i="56" s="1"/>
  <c r="P56" i="56"/>
  <c r="J56" i="56"/>
  <c r="P54" i="56"/>
  <c r="J54" i="56"/>
  <c r="AR56" i="56"/>
  <c r="BA56" i="56" s="1"/>
  <c r="AM56" i="56"/>
  <c r="AR55" i="56"/>
  <c r="BA55" i="56" s="1"/>
  <c r="AM55" i="56"/>
  <c r="J55" i="56"/>
  <c r="AR54" i="56"/>
  <c r="BA54" i="56" s="1"/>
  <c r="AM54" i="56"/>
  <c r="J14" i="21"/>
  <c r="N38" i="21"/>
  <c r="I47" i="47" s="1"/>
  <c r="I38" i="21"/>
  <c r="N39" i="21" s="1"/>
  <c r="I48" i="47" s="1"/>
  <c r="F42" i="21"/>
  <c r="G39" i="21"/>
  <c r="G38" i="21"/>
  <c r="G42" i="21" s="1"/>
  <c r="I37" i="21" s="1"/>
  <c r="O27" i="21"/>
  <c r="R27" i="21" s="1"/>
  <c r="Q27" i="21"/>
  <c r="Q26" i="21"/>
  <c r="P28" i="21"/>
  <c r="O26" i="21"/>
  <c r="R26" i="21" s="1"/>
  <c r="P17" i="21"/>
  <c r="O17" i="21"/>
  <c r="O8" i="21"/>
  <c r="W51" i="56"/>
  <c r="W50" i="56"/>
  <c r="J51" i="56"/>
  <c r="M51" i="56"/>
  <c r="T51" i="56" s="1"/>
  <c r="M50" i="56"/>
  <c r="N50" i="56" s="1"/>
  <c r="AR52" i="56"/>
  <c r="BA52" i="56" s="1"/>
  <c r="AM52" i="56"/>
  <c r="AR51" i="56"/>
  <c r="BA51" i="56" s="1"/>
  <c r="AM51" i="56"/>
  <c r="AR50" i="56"/>
  <c r="BA50" i="56" s="1"/>
  <c r="AM50" i="56"/>
  <c r="J50" i="56"/>
  <c r="N38" i="23"/>
  <c r="I43" i="47" s="1"/>
  <c r="I38" i="23"/>
  <c r="N37" i="23" s="1"/>
  <c r="I42" i="47" s="1"/>
  <c r="G39" i="23"/>
  <c r="G38" i="23"/>
  <c r="P27" i="23"/>
  <c r="Q27" i="23" s="1"/>
  <c r="O27" i="23"/>
  <c r="R27" i="23" s="1"/>
  <c r="O26" i="23"/>
  <c r="P26" i="23"/>
  <c r="P28" i="23" s="1"/>
  <c r="P9" i="23"/>
  <c r="O9" i="23"/>
  <c r="N6" i="23"/>
  <c r="N6" i="21"/>
  <c r="C50" i="56" l="1"/>
  <c r="R26" i="23"/>
  <c r="Q28" i="21"/>
  <c r="Q29" i="21" s="1"/>
  <c r="R28" i="21"/>
  <c r="R29" i="21" s="1"/>
  <c r="T50" i="56"/>
  <c r="C54" i="56"/>
  <c r="Q26" i="23"/>
  <c r="Q28" i="23" s="1"/>
  <c r="Q29" i="23" s="1"/>
  <c r="N51" i="56"/>
  <c r="V51" i="56" s="1"/>
  <c r="T54" i="56"/>
  <c r="AC54" i="56" s="1"/>
  <c r="AD55" i="56"/>
  <c r="AD50" i="56"/>
  <c r="AD54" i="56"/>
  <c r="AD56" i="56"/>
  <c r="U54" i="56"/>
  <c r="P51" i="56"/>
  <c r="U50" i="56"/>
  <c r="K50" i="56"/>
  <c r="V55" i="56"/>
  <c r="U56" i="56"/>
  <c r="C56" i="56"/>
  <c r="N56" i="56"/>
  <c r="V54" i="56"/>
  <c r="K55" i="56"/>
  <c r="P55" i="56"/>
  <c r="T55" i="56"/>
  <c r="C55" i="56"/>
  <c r="U55" i="56"/>
  <c r="C51" i="56"/>
  <c r="N19" i="48" s="1"/>
  <c r="U51" i="56"/>
  <c r="V50" i="56"/>
  <c r="AD51" i="56"/>
  <c r="AD52" i="56"/>
  <c r="P50" i="56"/>
  <c r="R28" i="23"/>
  <c r="R29" i="23" s="1"/>
  <c r="K51" i="56" l="1"/>
  <c r="AC51" i="56" s="1"/>
  <c r="N20" i="48"/>
  <c r="AA50" i="56"/>
  <c r="AA54" i="56"/>
  <c r="AC50" i="56"/>
  <c r="K56" i="56"/>
  <c r="L20" i="48" s="1"/>
  <c r="V56" i="56"/>
  <c r="AC55" i="56"/>
  <c r="DO19" i="2"/>
  <c r="K19" i="2"/>
  <c r="X50" i="56" l="1"/>
  <c r="AB50" i="56"/>
  <c r="L19" i="48"/>
  <c r="X54" i="56"/>
  <c r="AC56" i="56"/>
  <c r="AB54" i="56"/>
  <c r="F40" i="47"/>
  <c r="H39" i="47" s="1"/>
  <c r="O46" i="55" s="1"/>
  <c r="G39" i="47"/>
  <c r="C46" i="55" l="1"/>
  <c r="T46" i="55"/>
  <c r="U46" i="55"/>
  <c r="P46" i="55"/>
  <c r="K46" i="55"/>
  <c r="AC46" i="55" s="1"/>
  <c r="V46" i="55"/>
  <c r="O46" i="56"/>
  <c r="P46" i="56" s="1"/>
  <c r="G40" i="47"/>
  <c r="N46" i="56"/>
  <c r="AR48" i="56"/>
  <c r="BA48" i="56" s="1"/>
  <c r="AM48" i="56"/>
  <c r="AR47" i="56"/>
  <c r="BA47" i="56" s="1"/>
  <c r="AM47" i="56"/>
  <c r="AR46" i="56"/>
  <c r="BA46" i="56" s="1"/>
  <c r="AM46" i="56"/>
  <c r="J46" i="56"/>
  <c r="I38" i="24"/>
  <c r="I39" i="47" s="1"/>
  <c r="G40" i="24"/>
  <c r="G39" i="24"/>
  <c r="Q8" i="24"/>
  <c r="O9" i="24"/>
  <c r="P9" i="24"/>
  <c r="Q9" i="24" s="1"/>
  <c r="Q10" i="24" s="1"/>
  <c r="O8" i="24"/>
  <c r="R8" i="24" s="1"/>
  <c r="N6" i="24"/>
  <c r="P10" i="24" l="1"/>
  <c r="R9" i="24"/>
  <c r="R10" i="24" s="1"/>
  <c r="R11" i="24" s="1"/>
  <c r="Q11" i="24"/>
  <c r="AD47" i="56"/>
  <c r="AL18" i="48"/>
  <c r="V46" i="56"/>
  <c r="AD46" i="56"/>
  <c r="AD48" i="56"/>
  <c r="K46" i="56"/>
  <c r="L18" i="48" s="1"/>
  <c r="U46" i="56"/>
  <c r="T46" i="56"/>
  <c r="C46" i="56"/>
  <c r="N18" i="48" s="1"/>
  <c r="AC46" i="56" l="1"/>
  <c r="F36" i="47" l="1"/>
  <c r="H36" i="47" s="1"/>
  <c r="O42" i="55" s="1"/>
  <c r="G37" i="47"/>
  <c r="C42" i="55" l="1"/>
  <c r="U42" i="55"/>
  <c r="T42" i="55"/>
  <c r="P42" i="55"/>
  <c r="K42" i="55"/>
  <c r="AC42" i="55" s="1"/>
  <c r="V42" i="55"/>
  <c r="O42" i="56"/>
  <c r="G36" i="47"/>
  <c r="AL17" i="48" l="1"/>
  <c r="K18" i="2"/>
  <c r="DO18" i="2"/>
  <c r="J42" i="56"/>
  <c r="N42" i="56"/>
  <c r="T42" i="56"/>
  <c r="AM42" i="56"/>
  <c r="AR42" i="56"/>
  <c r="BA42" i="56" s="1"/>
  <c r="AM43" i="56"/>
  <c r="AR43" i="56"/>
  <c r="BA43" i="56"/>
  <c r="AM44" i="56"/>
  <c r="AR44" i="56"/>
  <c r="BA44" i="56" s="1"/>
  <c r="I38" i="25"/>
  <c r="I36" i="47" s="1"/>
  <c r="G40" i="25"/>
  <c r="G39" i="25"/>
  <c r="G38" i="25"/>
  <c r="O10" i="25"/>
  <c r="O9" i="25"/>
  <c r="O8" i="25"/>
  <c r="N6" i="25"/>
  <c r="AD44" i="56" l="1"/>
  <c r="AD43" i="56"/>
  <c r="AD42" i="56"/>
  <c r="V42" i="56"/>
  <c r="P42" i="56"/>
  <c r="K42" i="56"/>
  <c r="L17" i="48" s="1"/>
  <c r="U42" i="56"/>
  <c r="C42" i="56"/>
  <c r="N17" i="48" s="1"/>
  <c r="AC42" i="56" l="1"/>
  <c r="DO17" i="2" l="1"/>
  <c r="K17" i="2"/>
  <c r="E34" i="47"/>
  <c r="G34" i="47" s="1"/>
  <c r="F33" i="47"/>
  <c r="E33" i="47"/>
  <c r="G33" i="47" l="1"/>
  <c r="H33" i="47"/>
  <c r="O38" i="55" s="1"/>
  <c r="T38" i="55" l="1"/>
  <c r="C38" i="55"/>
  <c r="U38" i="55"/>
  <c r="P38" i="55"/>
  <c r="K38" i="55"/>
  <c r="AC38" i="55" s="1"/>
  <c r="V38" i="55"/>
  <c r="G40" i="26"/>
  <c r="G39" i="26"/>
  <c r="G38" i="26"/>
  <c r="L38" i="56"/>
  <c r="O38" i="56"/>
  <c r="P38" i="56" s="1"/>
  <c r="AM38" i="56"/>
  <c r="AR38" i="56"/>
  <c r="BA38" i="56"/>
  <c r="AM39" i="56"/>
  <c r="AR39" i="56"/>
  <c r="BA39" i="56" s="1"/>
  <c r="AD39" i="56" s="1"/>
  <c r="AM40" i="56"/>
  <c r="AR40" i="56"/>
  <c r="BA40" i="56"/>
  <c r="I38" i="26"/>
  <c r="I33" i="47" s="1"/>
  <c r="O10" i="26"/>
  <c r="O9" i="26"/>
  <c r="O8" i="26"/>
  <c r="N6" i="26"/>
  <c r="AD40" i="56" l="1"/>
  <c r="AD38" i="56"/>
  <c r="AL16" i="48"/>
  <c r="U38" i="56"/>
  <c r="C38" i="56"/>
  <c r="N16" i="48" s="1"/>
  <c r="T38" i="56"/>
  <c r="N38" i="56"/>
  <c r="V38" i="56" l="1"/>
  <c r="K38" i="56" l="1"/>
  <c r="L16" i="48" s="1"/>
  <c r="J38" i="56"/>
  <c r="AC38" i="56" l="1"/>
  <c r="M36" i="56" l="1"/>
  <c r="R27" i="28"/>
  <c r="Q28" i="28"/>
  <c r="Q29" i="28" s="1"/>
  <c r="P28" i="28"/>
  <c r="S28" i="28" s="1"/>
  <c r="P27" i="28"/>
  <c r="S27" i="28" s="1"/>
  <c r="S29" i="28" s="1"/>
  <c r="P22" i="28"/>
  <c r="R28" i="28" l="1"/>
  <c r="R29" i="28" s="1"/>
  <c r="R30" i="28" s="1"/>
  <c r="S30" i="28"/>
  <c r="E31" i="47"/>
  <c r="H31" i="47" s="1"/>
  <c r="O36" i="55" s="1"/>
  <c r="L40" i="28"/>
  <c r="I31" i="47" s="1"/>
  <c r="L38" i="28"/>
  <c r="I27" i="47"/>
  <c r="I28" i="47"/>
  <c r="F29" i="47"/>
  <c r="E30" i="47"/>
  <c r="G30" i="47" s="1"/>
  <c r="H30" i="47" s="1"/>
  <c r="O35" i="55" s="1"/>
  <c r="F27" i="47"/>
  <c r="F28" i="47"/>
  <c r="E29" i="47"/>
  <c r="E28" i="47"/>
  <c r="G28" i="47" s="1"/>
  <c r="E27" i="47"/>
  <c r="G27" i="47" s="1"/>
  <c r="H27" i="47" s="1"/>
  <c r="O33" i="55" s="1"/>
  <c r="C33" i="55" l="1"/>
  <c r="P33" i="55"/>
  <c r="T33" i="55"/>
  <c r="U33" i="55"/>
  <c r="V33" i="55"/>
  <c r="K33" i="55"/>
  <c r="P35" i="55"/>
  <c r="U35" i="55"/>
  <c r="C35" i="55"/>
  <c r="T35" i="55"/>
  <c r="K35" i="55"/>
  <c r="AC35" i="55" s="1"/>
  <c r="V35" i="55"/>
  <c r="C36" i="55"/>
  <c r="U36" i="55"/>
  <c r="V36" i="55"/>
  <c r="K36" i="55"/>
  <c r="AC36" i="55" s="1"/>
  <c r="T36" i="55"/>
  <c r="P36" i="55"/>
  <c r="G29" i="47"/>
  <c r="O33" i="56"/>
  <c r="O36" i="56"/>
  <c r="O35" i="56"/>
  <c r="H28" i="47"/>
  <c r="O34" i="55" s="1"/>
  <c r="I30" i="47"/>
  <c r="K9" i="28"/>
  <c r="W35" i="55" s="1"/>
  <c r="C17" i="28"/>
  <c r="C16" i="28"/>
  <c r="C8" i="28"/>
  <c r="K12" i="28" s="1"/>
  <c r="W34" i="55" s="1"/>
  <c r="C7" i="28"/>
  <c r="K8" i="28" s="1"/>
  <c r="W33" i="55" s="1"/>
  <c r="DO16" i="2"/>
  <c r="K16" i="2"/>
  <c r="AC33" i="55" l="1"/>
  <c r="P34" i="55"/>
  <c r="T34" i="55"/>
  <c r="C34" i="55"/>
  <c r="U34" i="55"/>
  <c r="AA33" i="55" s="1"/>
  <c r="V34" i="55"/>
  <c r="K34" i="55"/>
  <c r="AC34" i="55" s="1"/>
  <c r="W33" i="56"/>
  <c r="O34" i="56"/>
  <c r="W36" i="56"/>
  <c r="W35" i="56"/>
  <c r="W34" i="56"/>
  <c r="Q36" i="56"/>
  <c r="U36" i="56" s="1"/>
  <c r="Q35" i="56"/>
  <c r="P35" i="56" s="1"/>
  <c r="Q34" i="56"/>
  <c r="M35" i="56"/>
  <c r="M34" i="56"/>
  <c r="N34" i="56" s="1"/>
  <c r="M33" i="56"/>
  <c r="N36" i="56"/>
  <c r="V36" i="56" s="1"/>
  <c r="J35" i="56"/>
  <c r="J34" i="56"/>
  <c r="AR35" i="56"/>
  <c r="BA35" i="56" s="1"/>
  <c r="AM35" i="56"/>
  <c r="AR34" i="56"/>
  <c r="BA34" i="56" s="1"/>
  <c r="AM34" i="56"/>
  <c r="AR33" i="56"/>
  <c r="BA33" i="56" s="1"/>
  <c r="AM33" i="56"/>
  <c r="P33" i="56"/>
  <c r="J33" i="56"/>
  <c r="X33" i="55" l="1"/>
  <c r="AB33" i="55"/>
  <c r="AD35" i="56"/>
  <c r="K34" i="56"/>
  <c r="AL15" i="48"/>
  <c r="U35" i="56"/>
  <c r="U33" i="56"/>
  <c r="AD33" i="56"/>
  <c r="P36" i="56"/>
  <c r="T36" i="56"/>
  <c r="C36" i="56"/>
  <c r="T34" i="56"/>
  <c r="P34" i="56"/>
  <c r="C34" i="56"/>
  <c r="U34" i="56"/>
  <c r="N35" i="56"/>
  <c r="V34" i="56"/>
  <c r="T35" i="56"/>
  <c r="C35" i="56"/>
  <c r="AD34" i="56"/>
  <c r="N33" i="56"/>
  <c r="T33" i="56"/>
  <c r="C33" i="56"/>
  <c r="AC34" i="56" l="1"/>
  <c r="N15" i="48"/>
  <c r="AA33" i="56"/>
  <c r="J36" i="56"/>
  <c r="K36" i="56"/>
  <c r="V35" i="56"/>
  <c r="K35" i="56"/>
  <c r="AC35" i="56" s="1"/>
  <c r="V33" i="56"/>
  <c r="K33" i="56"/>
  <c r="L15" i="48" l="1"/>
  <c r="AC36" i="56"/>
  <c r="AC33" i="56"/>
  <c r="AB33" i="56" s="1"/>
  <c r="X33" i="56"/>
  <c r="I38" i="28" l="1"/>
  <c r="Q22" i="28"/>
  <c r="Q21" i="28"/>
  <c r="Q20" i="28"/>
  <c r="Q23" i="28" s="1"/>
  <c r="G39" i="28"/>
  <c r="G38" i="28"/>
  <c r="P20" i="28"/>
  <c r="P21" i="28"/>
  <c r="P19" i="28"/>
  <c r="N6" i="28"/>
  <c r="F25" i="47" l="1"/>
  <c r="E25" i="47"/>
  <c r="G25" i="47" s="1"/>
  <c r="E24" i="47"/>
  <c r="H24" i="47" s="1"/>
  <c r="O29" i="55" s="1"/>
  <c r="P29" i="55" l="1"/>
  <c r="V29" i="55"/>
  <c r="T29" i="55"/>
  <c r="K29" i="55"/>
  <c r="AC29" i="55" s="1"/>
  <c r="U29" i="55"/>
  <c r="C29" i="55"/>
  <c r="O29" i="56"/>
  <c r="G24" i="47"/>
  <c r="DO15" i="2"/>
  <c r="K15" i="2"/>
  <c r="AL14" i="48" l="1"/>
  <c r="P29" i="56"/>
  <c r="M29" i="56"/>
  <c r="U29" i="56" s="1"/>
  <c r="J29" i="56"/>
  <c r="AM29" i="56"/>
  <c r="AR29" i="56"/>
  <c r="BA29" i="56" s="1"/>
  <c r="AM30" i="56"/>
  <c r="AR30" i="56"/>
  <c r="BA30" i="56" s="1"/>
  <c r="AM31" i="56"/>
  <c r="AR31" i="56"/>
  <c r="BA31" i="56" s="1"/>
  <c r="I38" i="27"/>
  <c r="I24" i="47" s="1"/>
  <c r="G40" i="27"/>
  <c r="G39" i="27"/>
  <c r="G38" i="27"/>
  <c r="AD29" i="56" l="1"/>
  <c r="AD31" i="56"/>
  <c r="AD30" i="56"/>
  <c r="N29" i="56"/>
  <c r="T29" i="56"/>
  <c r="C29" i="56"/>
  <c r="N14" i="48" s="1"/>
  <c r="V29" i="56" l="1"/>
  <c r="K29" i="56"/>
  <c r="L14" i="48" s="1"/>
  <c r="AC29" i="56" l="1"/>
  <c r="O8" i="27" l="1"/>
  <c r="N6" i="27"/>
  <c r="DO14" i="2" l="1"/>
  <c r="DO13" i="2"/>
  <c r="K14" i="2"/>
  <c r="K13" i="2"/>
  <c r="K12" i="29" l="1"/>
  <c r="W25" i="55" s="1"/>
  <c r="K11" i="30"/>
  <c r="W22" i="55" s="1"/>
  <c r="K10" i="30"/>
  <c r="W21" i="55" s="1"/>
  <c r="K7" i="30"/>
  <c r="W20" i="55" s="1"/>
  <c r="C26" i="30"/>
  <c r="K12" i="30" s="1"/>
  <c r="W23" i="55" s="1"/>
  <c r="I20" i="47"/>
  <c r="I22" i="47"/>
  <c r="H22" i="47"/>
  <c r="O26" i="55" s="1"/>
  <c r="F21" i="47"/>
  <c r="F20" i="47"/>
  <c r="E21" i="47"/>
  <c r="E20" i="47"/>
  <c r="G20" i="47" s="1"/>
  <c r="G16" i="47"/>
  <c r="H16" i="47" s="1"/>
  <c r="O21" i="55" s="1"/>
  <c r="F17" i="47"/>
  <c r="G17" i="47" s="1"/>
  <c r="H17" i="47" s="1"/>
  <c r="O22" i="55" s="1"/>
  <c r="F18" i="47"/>
  <c r="E18" i="47"/>
  <c r="F16" i="47"/>
  <c r="F15" i="47"/>
  <c r="E15" i="47"/>
  <c r="G15" i="47" s="1"/>
  <c r="H15" i="47" s="1"/>
  <c r="O20" i="55" s="1"/>
  <c r="P21" i="55" l="1"/>
  <c r="T21" i="55"/>
  <c r="K21" i="55"/>
  <c r="AC21" i="55" s="1"/>
  <c r="V21" i="55"/>
  <c r="C21" i="55"/>
  <c r="U21" i="55"/>
  <c r="P26" i="55"/>
  <c r="U26" i="55"/>
  <c r="C26" i="55"/>
  <c r="V26" i="55"/>
  <c r="K26" i="55"/>
  <c r="T26" i="55"/>
  <c r="P22" i="55"/>
  <c r="T22" i="55"/>
  <c r="U22" i="55"/>
  <c r="C22" i="55"/>
  <c r="K22" i="55"/>
  <c r="V22" i="55"/>
  <c r="P20" i="55"/>
  <c r="C20" i="55"/>
  <c r="U20" i="55"/>
  <c r="T20" i="55"/>
  <c r="V20" i="55"/>
  <c r="K20" i="55"/>
  <c r="O22" i="56"/>
  <c r="H20" i="47"/>
  <c r="O25" i="55" s="1"/>
  <c r="G21" i="47"/>
  <c r="G18" i="47"/>
  <c r="H18" i="47" s="1"/>
  <c r="O23" i="55" s="1"/>
  <c r="O26" i="56"/>
  <c r="O25" i="56"/>
  <c r="P25" i="56" s="1"/>
  <c r="O21" i="56"/>
  <c r="P21" i="56" s="1"/>
  <c r="W26" i="56"/>
  <c r="W25" i="56"/>
  <c r="M26" i="56"/>
  <c r="M25" i="56"/>
  <c r="N25" i="56" s="1"/>
  <c r="J26" i="56"/>
  <c r="J25" i="56"/>
  <c r="AR27" i="56"/>
  <c r="BA27" i="56" s="1"/>
  <c r="AM27" i="56"/>
  <c r="AR26" i="56"/>
  <c r="BA26" i="56" s="1"/>
  <c r="AM26" i="56"/>
  <c r="AR25" i="56"/>
  <c r="BA25" i="56" s="1"/>
  <c r="AM25" i="56"/>
  <c r="W23" i="56"/>
  <c r="W22" i="56"/>
  <c r="W21" i="56"/>
  <c r="M23" i="56"/>
  <c r="M22" i="56"/>
  <c r="M21" i="56"/>
  <c r="N21" i="56" s="1"/>
  <c r="M20" i="56"/>
  <c r="N20" i="56" s="1"/>
  <c r="J23" i="56"/>
  <c r="P22" i="56"/>
  <c r="J22" i="56"/>
  <c r="J20" i="56"/>
  <c r="AR22" i="56"/>
  <c r="BA22" i="56" s="1"/>
  <c r="AM22" i="56"/>
  <c r="AR21" i="56"/>
  <c r="BA21" i="56" s="1"/>
  <c r="AM21" i="56"/>
  <c r="J21" i="56"/>
  <c r="AR20" i="56"/>
  <c r="BA20" i="56" s="1"/>
  <c r="AM20" i="56"/>
  <c r="I38" i="29"/>
  <c r="P10" i="29"/>
  <c r="G40" i="29"/>
  <c r="G39" i="29"/>
  <c r="G38" i="29"/>
  <c r="O9" i="29"/>
  <c r="O8" i="29"/>
  <c r="N40" i="30"/>
  <c r="I18" i="47" s="1"/>
  <c r="N39" i="30"/>
  <c r="I17" i="47" s="1"/>
  <c r="N37" i="30"/>
  <c r="I15" i="47" s="1"/>
  <c r="I38" i="30"/>
  <c r="G40" i="30"/>
  <c r="G39" i="30"/>
  <c r="P21" i="30"/>
  <c r="P20" i="30"/>
  <c r="Q21" i="30"/>
  <c r="Q20" i="30"/>
  <c r="Q19" i="30"/>
  <c r="P19" i="30"/>
  <c r="Q18" i="30"/>
  <c r="P18" i="30"/>
  <c r="P9" i="30"/>
  <c r="Q9" i="30" s="1"/>
  <c r="P8" i="30"/>
  <c r="Q8" i="30" s="1"/>
  <c r="O9" i="30"/>
  <c r="R9" i="30" s="1"/>
  <c r="O8" i="30"/>
  <c r="R8" i="30" s="1"/>
  <c r="N6" i="30"/>
  <c r="N6" i="29"/>
  <c r="P23" i="55" l="1"/>
  <c r="T23" i="55"/>
  <c r="K23" i="55"/>
  <c r="X20" i="55" s="1"/>
  <c r="V23" i="55"/>
  <c r="U23" i="55"/>
  <c r="C23" i="55"/>
  <c r="AA20" i="55"/>
  <c r="T26" i="56"/>
  <c r="P25" i="55"/>
  <c r="V25" i="55"/>
  <c r="T25" i="55"/>
  <c r="U25" i="55"/>
  <c r="C25" i="55"/>
  <c r="K25" i="55"/>
  <c r="X25" i="55" s="1"/>
  <c r="AC26" i="55"/>
  <c r="Q22" i="30"/>
  <c r="U22" i="56"/>
  <c r="AC22" i="55"/>
  <c r="AC20" i="55"/>
  <c r="AD26" i="56"/>
  <c r="AD21" i="56"/>
  <c r="AD25" i="56"/>
  <c r="O20" i="56"/>
  <c r="P20" i="56" s="1"/>
  <c r="N38" i="30"/>
  <c r="I16" i="47" s="1"/>
  <c r="P10" i="30"/>
  <c r="O23" i="56"/>
  <c r="AD20" i="56"/>
  <c r="N26" i="56"/>
  <c r="K26" i="56" s="1"/>
  <c r="AD22" i="56"/>
  <c r="AD27" i="56"/>
  <c r="P26" i="56"/>
  <c r="U26" i="56"/>
  <c r="C26" i="56"/>
  <c r="C21" i="56"/>
  <c r="U21" i="56"/>
  <c r="K25" i="56"/>
  <c r="V25" i="56"/>
  <c r="T25" i="56"/>
  <c r="C25" i="56"/>
  <c r="U25" i="56"/>
  <c r="N23" i="56"/>
  <c r="C23" i="56"/>
  <c r="T23" i="56"/>
  <c r="N22" i="56"/>
  <c r="C22" i="56"/>
  <c r="T22" i="56"/>
  <c r="K21" i="56"/>
  <c r="V21" i="56"/>
  <c r="T21" i="56"/>
  <c r="Q10" i="30"/>
  <c r="R10" i="30"/>
  <c r="B11" i="51"/>
  <c r="D7" i="51"/>
  <c r="C7" i="51"/>
  <c r="B7" i="51"/>
  <c r="D6" i="51"/>
  <c r="C6" i="51"/>
  <c r="B6" i="51"/>
  <c r="D3" i="51"/>
  <c r="AC25" i="55" l="1"/>
  <c r="AC23" i="55"/>
  <c r="AB20" i="55" s="1"/>
  <c r="AC26" i="56"/>
  <c r="R11" i="30"/>
  <c r="Q11" i="30"/>
  <c r="L13" i="48"/>
  <c r="AL13" i="48"/>
  <c r="N13" i="48"/>
  <c r="AL12" i="48"/>
  <c r="V20" i="56"/>
  <c r="K20" i="56"/>
  <c r="P23" i="56"/>
  <c r="U23" i="56"/>
  <c r="V26" i="56"/>
  <c r="U20" i="56"/>
  <c r="C20" i="56"/>
  <c r="N12" i="48" s="1"/>
  <c r="T20" i="56"/>
  <c r="AC21" i="56"/>
  <c r="K23" i="56"/>
  <c r="AC23" i="56" s="1"/>
  <c r="V23" i="56"/>
  <c r="V22" i="56"/>
  <c r="K22" i="56"/>
  <c r="AC22" i="56" s="1"/>
  <c r="DO12" i="2"/>
  <c r="K12" i="2"/>
  <c r="Z17" i="56"/>
  <c r="Z16" i="56"/>
  <c r="Z15" i="56"/>
  <c r="F11" i="47"/>
  <c r="E12" i="47"/>
  <c r="E13" i="47"/>
  <c r="G13" i="47" s="1"/>
  <c r="H13" i="47" s="1"/>
  <c r="K9" i="31"/>
  <c r="W15" i="55" s="1"/>
  <c r="K7" i="31"/>
  <c r="W16" i="55" s="1"/>
  <c r="C8" i="31"/>
  <c r="K8" i="31" s="1"/>
  <c r="W17" i="55" s="1"/>
  <c r="L12" i="48" l="1"/>
  <c r="AC20" i="56"/>
  <c r="W17" i="56"/>
  <c r="X25" i="56"/>
  <c r="AC25" i="56"/>
  <c r="L38" i="31" l="1"/>
  <c r="I12" i="47"/>
  <c r="E11" i="47"/>
  <c r="G11" i="47" s="1"/>
  <c r="H11" i="47" s="1"/>
  <c r="O15" i="55" s="1"/>
  <c r="AM18" i="56"/>
  <c r="AR18" i="56"/>
  <c r="BA18" i="56" s="1"/>
  <c r="W15" i="56"/>
  <c r="S16" i="56"/>
  <c r="S15" i="56"/>
  <c r="M16" i="56"/>
  <c r="N16" i="56" s="1"/>
  <c r="M15" i="56"/>
  <c r="J15" i="56"/>
  <c r="AM15" i="56"/>
  <c r="AR15" i="56"/>
  <c r="BA15" i="56" s="1"/>
  <c r="AM16" i="56"/>
  <c r="AR16" i="56"/>
  <c r="BA16" i="56" s="1"/>
  <c r="AM17" i="56"/>
  <c r="AR17" i="56"/>
  <c r="BA17" i="56" s="1"/>
  <c r="I38" i="31"/>
  <c r="L37" i="31" s="1"/>
  <c r="I11" i="47" s="1"/>
  <c r="C15" i="55" l="1"/>
  <c r="P15" i="55"/>
  <c r="T15" i="55"/>
  <c r="K15" i="55"/>
  <c r="V15" i="55"/>
  <c r="U15" i="55"/>
  <c r="N15" i="56"/>
  <c r="O15" i="56"/>
  <c r="C15" i="56" s="1"/>
  <c r="AD18" i="56"/>
  <c r="AD16" i="56"/>
  <c r="G12" i="47"/>
  <c r="H12" i="47" s="1"/>
  <c r="O16" i="55" s="1"/>
  <c r="AD15" i="56"/>
  <c r="J16" i="56"/>
  <c r="AD17" i="56"/>
  <c r="P16" i="55" l="1"/>
  <c r="C16" i="55"/>
  <c r="T16" i="55"/>
  <c r="V16" i="55"/>
  <c r="K16" i="55"/>
  <c r="AC16" i="55" s="1"/>
  <c r="U16" i="55"/>
  <c r="AA15" i="55" s="1"/>
  <c r="AC15" i="55"/>
  <c r="O16" i="56"/>
  <c r="C16" i="56" s="1"/>
  <c r="N11" i="48" s="1"/>
  <c r="U15" i="56"/>
  <c r="V15" i="56"/>
  <c r="K15" i="56"/>
  <c r="T15" i="56"/>
  <c r="P15" i="56"/>
  <c r="X15" i="55" l="1"/>
  <c r="AB15" i="55"/>
  <c r="AL11" i="48"/>
  <c r="K16" i="56"/>
  <c r="L11" i="48" s="1"/>
  <c r="U16" i="56"/>
  <c r="V16" i="56"/>
  <c r="T16" i="56"/>
  <c r="P16" i="56"/>
  <c r="AC15" i="56"/>
  <c r="G39" i="31"/>
  <c r="G38" i="31"/>
  <c r="Q27" i="31"/>
  <c r="Q26" i="31"/>
  <c r="P28" i="31"/>
  <c r="O27" i="31"/>
  <c r="R27" i="31" s="1"/>
  <c r="O26" i="31"/>
  <c r="R26" i="31" s="1"/>
  <c r="Q28" i="31" l="1"/>
  <c r="Q29" i="31" s="1"/>
  <c r="AC16" i="56"/>
  <c r="R28" i="31"/>
  <c r="R29" i="31" s="1"/>
  <c r="V15" i="31"/>
  <c r="R15" i="31"/>
  <c r="O8" i="31" l="1"/>
  <c r="N6" i="31"/>
  <c r="DO11" i="2" l="1"/>
  <c r="K11" i="2"/>
  <c r="N12" i="56"/>
  <c r="J12" i="56"/>
  <c r="N11" i="56"/>
  <c r="H11" i="56" s="1"/>
  <c r="G9" i="47"/>
  <c r="H9" i="47" s="1"/>
  <c r="F7" i="47"/>
  <c r="J11" i="56" l="1"/>
  <c r="K7" i="32"/>
  <c r="W13" i="55" s="1"/>
  <c r="C7" i="32"/>
  <c r="W13" i="56" l="1"/>
  <c r="I8" i="47"/>
  <c r="E8" i="47"/>
  <c r="H8" i="47" s="1"/>
  <c r="O12" i="55" s="1"/>
  <c r="E7" i="47"/>
  <c r="G7" i="47" s="1"/>
  <c r="H7" i="47" s="1"/>
  <c r="O11" i="55" s="1"/>
  <c r="P12" i="55" l="1"/>
  <c r="V12" i="55"/>
  <c r="T12" i="55"/>
  <c r="C12" i="55"/>
  <c r="U12" i="55"/>
  <c r="K12" i="55"/>
  <c r="AC12" i="55" s="1"/>
  <c r="U11" i="55"/>
  <c r="P11" i="55"/>
  <c r="T11" i="55"/>
  <c r="V11" i="55"/>
  <c r="C11" i="55"/>
  <c r="K11" i="55"/>
  <c r="AC11" i="55" s="1"/>
  <c r="T15" i="31"/>
  <c r="U15" i="31" s="1"/>
  <c r="W15" i="31" s="1"/>
  <c r="O11" i="56"/>
  <c r="O12" i="56"/>
  <c r="G8" i="47"/>
  <c r="AM11" i="56"/>
  <c r="AR11" i="56"/>
  <c r="BA11" i="56" s="1"/>
  <c r="AM12" i="56"/>
  <c r="AR12" i="56"/>
  <c r="BA12" i="56" s="1"/>
  <c r="AM13" i="56"/>
  <c r="AR13" i="56"/>
  <c r="BA13" i="56" s="1"/>
  <c r="K9" i="32"/>
  <c r="W12" i="55" s="1"/>
  <c r="K8" i="32"/>
  <c r="W11" i="55" s="1"/>
  <c r="X11" i="55" l="1"/>
  <c r="AL10" i="48"/>
  <c r="W11" i="56"/>
  <c r="V12" i="56"/>
  <c r="T12" i="56"/>
  <c r="K12" i="56"/>
  <c r="U12" i="56"/>
  <c r="C12" i="56"/>
  <c r="P12" i="56"/>
  <c r="W12" i="56"/>
  <c r="AD13" i="56"/>
  <c r="T11" i="56"/>
  <c r="K11" i="56"/>
  <c r="C11" i="56"/>
  <c r="V11" i="56"/>
  <c r="U11" i="56"/>
  <c r="P11" i="56"/>
  <c r="AD12" i="56"/>
  <c r="AD11" i="56"/>
  <c r="N10" i="48" l="1"/>
  <c r="L10" i="48"/>
  <c r="X11" i="56"/>
  <c r="AC12" i="56"/>
  <c r="AC11" i="56" l="1"/>
  <c r="I38" i="32" l="1"/>
  <c r="L37" i="32" s="1"/>
  <c r="I7" i="47" s="1"/>
  <c r="P9" i="32"/>
  <c r="Q9" i="32" s="1"/>
  <c r="P25" i="32"/>
  <c r="P24" i="32"/>
  <c r="Q24" i="32" s="1"/>
  <c r="O25" i="32"/>
  <c r="O24" i="32"/>
  <c r="R24" i="32" s="1"/>
  <c r="O9" i="32"/>
  <c r="O8" i="32"/>
  <c r="P8" i="32"/>
  <c r="P10" i="32" l="1"/>
  <c r="R8" i="32"/>
  <c r="Q8" i="32"/>
  <c r="Q10" i="32" s="1"/>
  <c r="Q11" i="32" s="1"/>
  <c r="R9" i="32"/>
  <c r="R10" i="32" s="1"/>
  <c r="R11" i="32" s="1"/>
  <c r="R25" i="32"/>
  <c r="R26" i="32"/>
  <c r="Q25" i="32"/>
  <c r="Q26" i="32" s="1"/>
  <c r="P26" i="32"/>
  <c r="N6" i="32"/>
  <c r="Q27" i="32" l="1"/>
  <c r="R27" i="32"/>
  <c r="AK38" i="45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C38" i="45"/>
  <c r="AC37" i="45"/>
  <c r="AC36" i="45"/>
  <c r="AC35" i="45"/>
  <c r="AC34" i="45"/>
  <c r="AC33" i="45"/>
  <c r="AC32" i="45"/>
  <c r="AC31" i="45"/>
  <c r="AC30" i="45"/>
  <c r="AC29" i="45"/>
  <c r="AC28" i="45"/>
  <c r="AC27" i="45"/>
  <c r="AC26" i="45"/>
  <c r="AC25" i="45"/>
  <c r="AC24" i="45"/>
  <c r="AC23" i="45"/>
  <c r="AC22" i="45"/>
  <c r="AC21" i="45"/>
  <c r="AC20" i="45"/>
  <c r="AC19" i="45"/>
  <c r="AC18" i="45"/>
  <c r="AC17" i="45"/>
  <c r="AC16" i="45"/>
  <c r="AC15" i="45"/>
  <c r="AC14" i="45"/>
  <c r="AC13" i="45"/>
  <c r="AC12" i="45"/>
  <c r="AC11" i="45"/>
  <c r="AC10" i="45"/>
  <c r="AC9" i="45"/>
  <c r="AC8" i="45"/>
  <c r="Y38" i="45"/>
  <c r="Y37" i="45"/>
  <c r="Y36" i="45"/>
  <c r="Y35" i="45"/>
  <c r="Y34" i="45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20" i="45"/>
  <c r="Y19" i="45"/>
  <c r="Y18" i="45"/>
  <c r="Y17" i="45"/>
  <c r="Y16" i="45"/>
  <c r="Y15" i="45"/>
  <c r="Y14" i="45"/>
  <c r="Y13" i="45"/>
  <c r="Y12" i="45"/>
  <c r="Y11" i="45"/>
  <c r="Y10" i="45"/>
  <c r="Y9" i="45"/>
  <c r="Y8" i="45"/>
  <c r="U38" i="45"/>
  <c r="U37" i="45"/>
  <c r="U36" i="45"/>
  <c r="U35" i="45"/>
  <c r="U34" i="45"/>
  <c r="U33" i="45"/>
  <c r="U32" i="45"/>
  <c r="U31" i="45"/>
  <c r="U30" i="45"/>
  <c r="U29" i="45"/>
  <c r="U28" i="45"/>
  <c r="U27" i="45"/>
  <c r="U26" i="45"/>
  <c r="U25" i="45"/>
  <c r="U24" i="45"/>
  <c r="U23" i="45"/>
  <c r="U22" i="45"/>
  <c r="U21" i="45"/>
  <c r="U20" i="45"/>
  <c r="U19" i="45"/>
  <c r="U18" i="45"/>
  <c r="U17" i="45"/>
  <c r="U16" i="45"/>
  <c r="U15" i="45"/>
  <c r="U14" i="45"/>
  <c r="U13" i="45"/>
  <c r="U12" i="45"/>
  <c r="U11" i="45"/>
  <c r="U10" i="45"/>
  <c r="U9" i="45"/>
  <c r="U8" i="45"/>
  <c r="L38" i="33" l="1"/>
  <c r="I5" i="47" s="1"/>
  <c r="E5" i="47"/>
  <c r="H5" i="47" s="1"/>
  <c r="O7" i="55" s="1"/>
  <c r="DO10" i="2"/>
  <c r="K10" i="2"/>
  <c r="P7" i="55" l="1"/>
  <c r="C7" i="55"/>
  <c r="T7" i="55"/>
  <c r="U7" i="55"/>
  <c r="V7" i="55"/>
  <c r="K7" i="55"/>
  <c r="AC7" i="55" s="1"/>
  <c r="O7" i="56"/>
  <c r="AM9" i="56"/>
  <c r="AR9" i="56"/>
  <c r="BA9" i="56" s="1"/>
  <c r="W7" i="56"/>
  <c r="M7" i="56"/>
  <c r="M6" i="56"/>
  <c r="N7" i="56"/>
  <c r="H7" i="56" s="1"/>
  <c r="I38" i="33"/>
  <c r="L37" i="33" s="1"/>
  <c r="I4" i="47" s="1"/>
  <c r="G42" i="33"/>
  <c r="I37" i="33" s="1"/>
  <c r="F42" i="33"/>
  <c r="P17" i="33"/>
  <c r="P27" i="33"/>
  <c r="Q27" i="33" s="1"/>
  <c r="P26" i="33"/>
  <c r="P28" i="33" s="1"/>
  <c r="O27" i="33"/>
  <c r="R27" i="33" s="1"/>
  <c r="O26" i="33"/>
  <c r="O17" i="33"/>
  <c r="N6" i="33"/>
  <c r="R26" i="33" l="1"/>
  <c r="Q26" i="33"/>
  <c r="Q28" i="33" s="1"/>
  <c r="Q29" i="33" s="1"/>
  <c r="K7" i="56"/>
  <c r="AD9" i="56"/>
  <c r="J7" i="56"/>
  <c r="V7" i="56"/>
  <c r="P7" i="56"/>
  <c r="T7" i="56"/>
  <c r="C7" i="56"/>
  <c r="U7" i="56"/>
  <c r="R28" i="33"/>
  <c r="R29" i="33" s="1"/>
  <c r="AC7" i="56" l="1"/>
  <c r="A6" i="56" l="1"/>
  <c r="N6" i="56"/>
  <c r="H6" i="56" s="1"/>
  <c r="J6" i="56" l="1"/>
  <c r="EE42" i="2" l="1"/>
  <c r="DW42" i="2"/>
  <c r="DO42" i="2"/>
  <c r="DG42" i="2"/>
  <c r="DC42" i="2"/>
  <c r="CY42" i="2"/>
  <c r="CU42" i="2"/>
  <c r="CQ42" i="2"/>
  <c r="CM42" i="2"/>
  <c r="CI42" i="2"/>
  <c r="CE42" i="2"/>
  <c r="CA42" i="2"/>
  <c r="CB42" i="2" s="1"/>
  <c r="BS42" i="2"/>
  <c r="BK42" i="2"/>
  <c r="BG42" i="2"/>
  <c r="BC42" i="2"/>
  <c r="AY42" i="2"/>
  <c r="AU42" i="2"/>
  <c r="AQ42" i="2"/>
  <c r="AM42" i="2"/>
  <c r="AI42" i="2"/>
  <c r="AE42" i="2"/>
  <c r="AA42" i="2"/>
  <c r="K42" i="2"/>
  <c r="G42" i="2"/>
  <c r="EA39" i="2"/>
  <c r="DK39" i="2"/>
  <c r="BW39" i="2"/>
  <c r="EA38" i="2"/>
  <c r="DK38" i="2"/>
  <c r="BW38" i="2"/>
  <c r="EA37" i="2"/>
  <c r="DK37" i="2"/>
  <c r="BW37" i="2"/>
  <c r="EA36" i="2"/>
  <c r="DK36" i="2"/>
  <c r="BW36" i="2"/>
  <c r="EA35" i="2"/>
  <c r="DK35" i="2"/>
  <c r="BW35" i="2"/>
  <c r="EA34" i="2"/>
  <c r="DK34" i="2"/>
  <c r="BW34" i="2"/>
  <c r="EA33" i="2"/>
  <c r="DK33" i="2"/>
  <c r="BW33" i="2"/>
  <c r="EA32" i="2"/>
  <c r="DK32" i="2"/>
  <c r="BW32" i="2"/>
  <c r="EA31" i="2"/>
  <c r="DK31" i="2"/>
  <c r="BW31" i="2"/>
  <c r="EA30" i="2"/>
  <c r="DK30" i="2"/>
  <c r="BW30" i="2"/>
  <c r="EA29" i="2"/>
  <c r="DK29" i="2"/>
  <c r="BW29" i="2"/>
  <c r="EA28" i="2"/>
  <c r="DK28" i="2"/>
  <c r="BW28" i="2"/>
  <c r="EA27" i="2"/>
  <c r="DK27" i="2"/>
  <c r="BW27" i="2"/>
  <c r="EA26" i="2"/>
  <c r="DK26" i="2"/>
  <c r="BW26" i="2"/>
  <c r="EA25" i="2"/>
  <c r="DK25" i="2"/>
  <c r="BW25" i="2"/>
  <c r="EA24" i="2"/>
  <c r="DK24" i="2"/>
  <c r="BW24" i="2"/>
  <c r="EA23" i="2"/>
  <c r="DK23" i="2"/>
  <c r="BW23" i="2"/>
  <c r="EA22" i="2"/>
  <c r="DK22" i="2"/>
  <c r="BW22" i="2"/>
  <c r="EA21" i="2"/>
  <c r="DK21" i="2"/>
  <c r="BW21" i="2"/>
  <c r="EA20" i="2"/>
  <c r="DK20" i="2"/>
  <c r="BW20" i="2"/>
  <c r="EA19" i="2"/>
  <c r="DK19" i="2"/>
  <c r="BW19" i="2"/>
  <c r="EA18" i="2"/>
  <c r="DK18" i="2"/>
  <c r="BW18" i="2"/>
  <c r="EA17" i="2"/>
  <c r="DK17" i="2"/>
  <c r="BW17" i="2"/>
  <c r="EA16" i="2"/>
  <c r="DK16" i="2"/>
  <c r="BW16" i="2"/>
  <c r="EA15" i="2"/>
  <c r="DK15" i="2"/>
  <c r="BW15" i="2"/>
  <c r="EA14" i="2"/>
  <c r="DK14" i="2"/>
  <c r="BW14" i="2"/>
  <c r="EA13" i="2"/>
  <c r="DK13" i="2"/>
  <c r="BW13" i="2"/>
  <c r="EA12" i="2"/>
  <c r="DK12" i="2"/>
  <c r="BW12" i="2"/>
  <c r="EA11" i="2"/>
  <c r="DK11" i="2"/>
  <c r="BW11" i="2"/>
  <c r="EG10" i="2"/>
  <c r="EG11" i="2" s="1"/>
  <c r="DY10" i="2"/>
  <c r="DY11" i="2" s="1"/>
  <c r="DS42" i="2"/>
  <c r="DQ10" i="2"/>
  <c r="DK10" i="2"/>
  <c r="DM10" i="2" s="1"/>
  <c r="DE10" i="2"/>
  <c r="DE11" i="2" s="1"/>
  <c r="DA10" i="2"/>
  <c r="DA11" i="2" s="1"/>
  <c r="CW10" i="2"/>
  <c r="CW11" i="2" s="1"/>
  <c r="CW12" i="2" s="1"/>
  <c r="CS10" i="2"/>
  <c r="CO10" i="2"/>
  <c r="CO11" i="2" s="1"/>
  <c r="CO12" i="2" s="1"/>
  <c r="CK10" i="2"/>
  <c r="CK11" i="2" s="1"/>
  <c r="CG10" i="2"/>
  <c r="CG11" i="2" s="1"/>
  <c r="CC10" i="2"/>
  <c r="BW10" i="2"/>
  <c r="BU10" i="2"/>
  <c r="BQ10" i="2"/>
  <c r="BM10" i="2"/>
  <c r="BI10" i="2"/>
  <c r="BI11" i="2" s="1"/>
  <c r="BE10" i="2"/>
  <c r="BE11" i="2" s="1"/>
  <c r="BE12" i="2" s="1"/>
  <c r="BA10" i="2"/>
  <c r="AW10" i="2"/>
  <c r="AW11" i="2" s="1"/>
  <c r="AS10" i="2"/>
  <c r="AS11" i="2" s="1"/>
  <c r="AO10" i="2"/>
  <c r="AO11" i="2" s="1"/>
  <c r="AO12" i="2" s="1"/>
  <c r="AK10" i="2"/>
  <c r="AK11" i="2" s="1"/>
  <c r="AG10" i="2"/>
  <c r="AC10" i="2"/>
  <c r="AC11" i="2" s="1"/>
  <c r="AC12" i="2" s="1"/>
  <c r="Y10" i="2"/>
  <c r="Y11" i="2" s="1"/>
  <c r="U10" i="2"/>
  <c r="U11" i="2" s="1"/>
  <c r="Q10" i="2"/>
  <c r="Q11" i="2" s="1"/>
  <c r="M10" i="2"/>
  <c r="M11" i="2" s="1"/>
  <c r="I10" i="2"/>
  <c r="I11" i="2" s="1"/>
  <c r="EI36" i="2" l="1"/>
  <c r="CZ36" i="2" s="1"/>
  <c r="EI34" i="2"/>
  <c r="EI28" i="2"/>
  <c r="AB28" i="2" s="1"/>
  <c r="DM11" i="2"/>
  <c r="DM12" i="2" s="1"/>
  <c r="EI23" i="2"/>
  <c r="CN23" i="2" s="1"/>
  <c r="EI20" i="2"/>
  <c r="AR20" i="2" s="1"/>
  <c r="EI19" i="2"/>
  <c r="CR19" i="2" s="1"/>
  <c r="EI13" i="2"/>
  <c r="DX13" i="2" s="1"/>
  <c r="EI31" i="2"/>
  <c r="L31" i="2" s="1"/>
  <c r="DX36" i="2"/>
  <c r="EI12" i="2"/>
  <c r="H12" i="2" s="1"/>
  <c r="EI17" i="2"/>
  <c r="EB17" i="2" s="1"/>
  <c r="EI11" i="2"/>
  <c r="BD11" i="2" s="1"/>
  <c r="DL28" i="2"/>
  <c r="AF28" i="2"/>
  <c r="CZ28" i="2"/>
  <c r="EB28" i="2"/>
  <c r="AJ34" i="2"/>
  <c r="AB34" i="2"/>
  <c r="EI22" i="2"/>
  <c r="BH22" i="2" s="1"/>
  <c r="EI35" i="2"/>
  <c r="AV35" i="2" s="1"/>
  <c r="AJ36" i="2"/>
  <c r="DL34" i="2"/>
  <c r="DU10" i="2"/>
  <c r="DU11" i="2" s="1"/>
  <c r="DU12" i="2" s="1"/>
  <c r="DU13" i="2" s="1"/>
  <c r="EI16" i="2"/>
  <c r="EB16" i="2" s="1"/>
  <c r="EI37" i="2"/>
  <c r="EF37" i="2" s="1"/>
  <c r="BW42" i="2"/>
  <c r="DK42" i="2"/>
  <c r="U12" i="2"/>
  <c r="BE13" i="2"/>
  <c r="CO13" i="2"/>
  <c r="AK12" i="2"/>
  <c r="DA12" i="2"/>
  <c r="M12" i="2"/>
  <c r="DY12" i="2"/>
  <c r="I12" i="2"/>
  <c r="AS12" i="2"/>
  <c r="BA11" i="2"/>
  <c r="BI12" i="2"/>
  <c r="Y12" i="2"/>
  <c r="CV12" i="2"/>
  <c r="AO13" i="2"/>
  <c r="Q12" i="2"/>
  <c r="AC13" i="2"/>
  <c r="AW12" i="2"/>
  <c r="DQ11" i="2"/>
  <c r="CG12" i="2"/>
  <c r="CS11" i="2"/>
  <c r="AF11" i="2"/>
  <c r="DE12" i="2"/>
  <c r="EG12" i="2"/>
  <c r="DM13" i="2"/>
  <c r="DM14" i="2" s="1"/>
  <c r="AG11" i="2"/>
  <c r="BY10" i="2"/>
  <c r="CK12" i="2"/>
  <c r="CW13" i="2"/>
  <c r="CR17" i="2"/>
  <c r="L17" i="2"/>
  <c r="DT17" i="2"/>
  <c r="AF17" i="2"/>
  <c r="EI21" i="2"/>
  <c r="EB21" i="2" s="1"/>
  <c r="EI14" i="2"/>
  <c r="DL14" i="2" s="1"/>
  <c r="DL17" i="2"/>
  <c r="DL20" i="2"/>
  <c r="EI29" i="2"/>
  <c r="EI15" i="2"/>
  <c r="BX15" i="2" s="1"/>
  <c r="L19" i="2"/>
  <c r="H19" i="2"/>
  <c r="EF22" i="2"/>
  <c r="EF20" i="2"/>
  <c r="EB20" i="2"/>
  <c r="CJ20" i="2"/>
  <c r="AZ20" i="2"/>
  <c r="CR20" i="2"/>
  <c r="BH20" i="2"/>
  <c r="AB20" i="2"/>
  <c r="AJ20" i="2"/>
  <c r="EA10" i="2"/>
  <c r="EI10" i="2" s="1"/>
  <c r="BX20" i="2"/>
  <c r="DP22" i="2"/>
  <c r="EI18" i="2"/>
  <c r="DL18" i="2" s="1"/>
  <c r="T23" i="2"/>
  <c r="EI30" i="2"/>
  <c r="DL30" i="2" s="1"/>
  <c r="DT23" i="2"/>
  <c r="CV23" i="2"/>
  <c r="DD23" i="2"/>
  <c r="AN23" i="2"/>
  <c r="H23" i="2"/>
  <c r="DP23" i="2"/>
  <c r="CR23" i="2"/>
  <c r="BH23" i="2"/>
  <c r="AB23" i="2"/>
  <c r="EI32" i="2"/>
  <c r="EB32" i="2" s="1"/>
  <c r="AJ23" i="2"/>
  <c r="AZ23" i="2"/>
  <c r="BX23" i="2"/>
  <c r="DL23" i="2"/>
  <c r="EB23" i="2"/>
  <c r="X23" i="2"/>
  <c r="EF23" i="2"/>
  <c r="L23" i="2"/>
  <c r="BD23" i="2"/>
  <c r="CF23" i="2"/>
  <c r="P23" i="2"/>
  <c r="AF23" i="2"/>
  <c r="DX23" i="2"/>
  <c r="EI24" i="2"/>
  <c r="DL24" i="2" s="1"/>
  <c r="EI25" i="2"/>
  <c r="EB25" i="2" s="1"/>
  <c r="EI26" i="2"/>
  <c r="DL26" i="2" s="1"/>
  <c r="CF28" i="2"/>
  <c r="AV28" i="2"/>
  <c r="P28" i="2"/>
  <c r="AR28" i="2"/>
  <c r="L28" i="2"/>
  <c r="DT28" i="2"/>
  <c r="CR28" i="2"/>
  <c r="AZ28" i="2"/>
  <c r="X28" i="2"/>
  <c r="EF28" i="2"/>
  <c r="DD28" i="2"/>
  <c r="AJ28" i="2"/>
  <c r="H28" i="2"/>
  <c r="CJ28" i="2"/>
  <c r="BH28" i="2"/>
  <c r="DT34" i="2"/>
  <c r="CV34" i="2"/>
  <c r="AF34" i="2"/>
  <c r="EB34" i="2"/>
  <c r="CJ34" i="2"/>
  <c r="AZ34" i="2"/>
  <c r="T34" i="2"/>
  <c r="DD34" i="2"/>
  <c r="AN34" i="2"/>
  <c r="H34" i="2"/>
  <c r="CF34" i="2"/>
  <c r="AV34" i="2"/>
  <c r="P34" i="2"/>
  <c r="DX34" i="2"/>
  <c r="CZ34" i="2"/>
  <c r="EF34" i="2"/>
  <c r="CN34" i="2"/>
  <c r="BD34" i="2"/>
  <c r="X34" i="2"/>
  <c r="BX34" i="2"/>
  <c r="AR34" i="2"/>
  <c r="L34" i="2"/>
  <c r="DP34" i="2"/>
  <c r="CR34" i="2"/>
  <c r="BH34" i="2"/>
  <c r="AN35" i="2"/>
  <c r="DP35" i="2"/>
  <c r="AJ35" i="2"/>
  <c r="DL35" i="2"/>
  <c r="DT35" i="2"/>
  <c r="AF35" i="2"/>
  <c r="EI27" i="2"/>
  <c r="DL27" i="2" s="1"/>
  <c r="BX28" i="2"/>
  <c r="EI38" i="2"/>
  <c r="DL36" i="2"/>
  <c r="DD36" i="2"/>
  <c r="AN36" i="2"/>
  <c r="H36" i="2"/>
  <c r="DP36" i="2"/>
  <c r="CR36" i="2"/>
  <c r="BH36" i="2"/>
  <c r="AB36" i="2"/>
  <c r="CF36" i="2"/>
  <c r="AV36" i="2"/>
  <c r="P36" i="2"/>
  <c r="EF36" i="2"/>
  <c r="CN36" i="2"/>
  <c r="BD36" i="2"/>
  <c r="X36" i="2"/>
  <c r="BX36" i="2"/>
  <c r="AR36" i="2"/>
  <c r="L36" i="2"/>
  <c r="DT36" i="2"/>
  <c r="CV36" i="2"/>
  <c r="AF36" i="2"/>
  <c r="EB36" i="2"/>
  <c r="CJ36" i="2"/>
  <c r="AZ36" i="2"/>
  <c r="T36" i="2"/>
  <c r="EI39" i="2"/>
  <c r="BX39" i="2" s="1"/>
  <c r="BX35" i="2"/>
  <c r="EI33" i="2"/>
  <c r="BX33" i="2" s="1"/>
  <c r="BF155" i="56"/>
  <c r="BE155" i="56"/>
  <c r="BD155" i="56"/>
  <c r="BC155" i="56"/>
  <c r="BB155" i="56"/>
  <c r="AZ155" i="56"/>
  <c r="AY155" i="56"/>
  <c r="AX155" i="56"/>
  <c r="AW155" i="56"/>
  <c r="AV155" i="56"/>
  <c r="AU155" i="56"/>
  <c r="AT155" i="56"/>
  <c r="AS155" i="56"/>
  <c r="AQ155" i="56"/>
  <c r="AP155" i="56"/>
  <c r="AO155" i="56"/>
  <c r="AN155" i="56"/>
  <c r="AL155" i="56"/>
  <c r="AK155" i="56"/>
  <c r="AJ155" i="56"/>
  <c r="AI155" i="56"/>
  <c r="AH155" i="56"/>
  <c r="AG155" i="56"/>
  <c r="AF155" i="56"/>
  <c r="Y155" i="56"/>
  <c r="S155" i="56"/>
  <c r="R155" i="56"/>
  <c r="Q155" i="56"/>
  <c r="Q156" i="56" s="1"/>
  <c r="AC154" i="56"/>
  <c r="AA154" i="56"/>
  <c r="AC153" i="56"/>
  <c r="AA153" i="56"/>
  <c r="AR8" i="56"/>
  <c r="BA8" i="56" s="1"/>
  <c r="AM8" i="56"/>
  <c r="AR7" i="56"/>
  <c r="BA7" i="56" s="1"/>
  <c r="AM7" i="56"/>
  <c r="AR6" i="56"/>
  <c r="BA6" i="56" s="1"/>
  <c r="AM6" i="56"/>
  <c r="CN20" i="2" l="1"/>
  <c r="DX28" i="2"/>
  <c r="CR11" i="2"/>
  <c r="AN28" i="2"/>
  <c r="EB22" i="2"/>
  <c r="T22" i="2"/>
  <c r="X22" i="2"/>
  <c r="CR22" i="2"/>
  <c r="P22" i="2"/>
  <c r="AR22" i="2"/>
  <c r="CZ22" i="2"/>
  <c r="BX22" i="2"/>
  <c r="L22" i="2"/>
  <c r="AN19" i="2"/>
  <c r="DP28" i="2"/>
  <c r="AJ22" i="2"/>
  <c r="DT19" i="2"/>
  <c r="CN28" i="2"/>
  <c r="EB19" i="2"/>
  <c r="DD19" i="2"/>
  <c r="AR19" i="2"/>
  <c r="CZ20" i="2"/>
  <c r="DP20" i="2"/>
  <c r="AF20" i="2"/>
  <c r="DL19" i="2"/>
  <c r="T19" i="2"/>
  <c r="AJ19" i="2"/>
  <c r="L20" i="2"/>
  <c r="DX20" i="2"/>
  <c r="H20" i="2"/>
  <c r="CV20" i="2"/>
  <c r="BX19" i="2"/>
  <c r="AZ19" i="2"/>
  <c r="CZ19" i="2"/>
  <c r="P20" i="2"/>
  <c r="AN20" i="2"/>
  <c r="DT20" i="2"/>
  <c r="X19" i="2"/>
  <c r="P19" i="2"/>
  <c r="CJ19" i="2"/>
  <c r="DX19" i="2"/>
  <c r="AD8" i="56"/>
  <c r="AV20" i="2"/>
  <c r="DD20" i="2"/>
  <c r="X20" i="2"/>
  <c r="AV19" i="2"/>
  <c r="AF19" i="2"/>
  <c r="AR23" i="2"/>
  <c r="CJ37" i="2"/>
  <c r="CF20" i="2"/>
  <c r="T20" i="2"/>
  <c r="BD20" i="2"/>
  <c r="CF19" i="2"/>
  <c r="CV19" i="2"/>
  <c r="T28" i="2"/>
  <c r="CV28" i="2"/>
  <c r="CJ23" i="2"/>
  <c r="DX37" i="2"/>
  <c r="CJ13" i="2"/>
  <c r="AN13" i="2"/>
  <c r="AZ13" i="2"/>
  <c r="H13" i="2"/>
  <c r="CZ13" i="2"/>
  <c r="AR13" i="2"/>
  <c r="T13" i="2"/>
  <c r="CR13" i="2"/>
  <c r="EB13" i="2"/>
  <c r="AJ13" i="2"/>
  <c r="L13" i="2"/>
  <c r="BD13" i="2"/>
  <c r="DD13" i="2"/>
  <c r="DT13" i="2"/>
  <c r="CF13" i="2"/>
  <c r="BX13" i="2"/>
  <c r="EF13" i="2"/>
  <c r="CV13" i="2"/>
  <c r="AV13" i="2"/>
  <c r="DD11" i="2"/>
  <c r="CN13" i="2"/>
  <c r="BD37" i="2"/>
  <c r="AF13" i="2"/>
  <c r="P13" i="2"/>
  <c r="DT11" i="2"/>
  <c r="AV23" i="2"/>
  <c r="BD28" i="2"/>
  <c r="CZ23" i="2"/>
  <c r="BH13" i="2"/>
  <c r="EF19" i="2"/>
  <c r="DP13" i="2"/>
  <c r="DX31" i="2"/>
  <c r="DP31" i="2"/>
  <c r="BD31" i="2"/>
  <c r="T31" i="2"/>
  <c r="X31" i="2"/>
  <c r="CN31" i="2"/>
  <c r="BX31" i="2"/>
  <c r="CF31" i="2"/>
  <c r="CJ31" i="2"/>
  <c r="DL31" i="2"/>
  <c r="CV31" i="2"/>
  <c r="AF31" i="2"/>
  <c r="EB31" i="2"/>
  <c r="H31" i="2"/>
  <c r="EF31" i="2"/>
  <c r="BH31" i="2"/>
  <c r="P31" i="2"/>
  <c r="AN31" i="2"/>
  <c r="CZ31" i="2"/>
  <c r="DT31" i="2"/>
  <c r="AV31" i="2"/>
  <c r="DD31" i="2"/>
  <c r="AR31" i="2"/>
  <c r="AJ31" i="2"/>
  <c r="CR31" i="2"/>
  <c r="AZ16" i="2"/>
  <c r="DP19" i="2"/>
  <c r="AB19" i="2"/>
  <c r="BD19" i="2"/>
  <c r="BH19" i="2"/>
  <c r="CN19" i="2"/>
  <c r="AB13" i="2"/>
  <c r="BX16" i="2"/>
  <c r="X13" i="2"/>
  <c r="AR16" i="2"/>
  <c r="P16" i="2"/>
  <c r="DD16" i="2"/>
  <c r="H22" i="2"/>
  <c r="DX22" i="2"/>
  <c r="DD22" i="2"/>
  <c r="CJ22" i="2"/>
  <c r="BD22" i="2"/>
  <c r="CF22" i="2"/>
  <c r="CV22" i="2"/>
  <c r="AB22" i="2"/>
  <c r="AZ22" i="2"/>
  <c r="DL22" i="2"/>
  <c r="AF22" i="2"/>
  <c r="AV22" i="2"/>
  <c r="CN22" i="2"/>
  <c r="DT22" i="2"/>
  <c r="AN22" i="2"/>
  <c r="DL21" i="2"/>
  <c r="AR17" i="2"/>
  <c r="BD17" i="2"/>
  <c r="CN17" i="2"/>
  <c r="EF17" i="2"/>
  <c r="AJ17" i="2"/>
  <c r="CV17" i="2"/>
  <c r="CF17" i="2"/>
  <c r="BH17" i="2"/>
  <c r="CJ17" i="2"/>
  <c r="CZ17" i="2"/>
  <c r="DP17" i="2"/>
  <c r="DX17" i="2"/>
  <c r="H17" i="2"/>
  <c r="BX17" i="2"/>
  <c r="P17" i="2"/>
  <c r="AN17" i="2"/>
  <c r="X17" i="2"/>
  <c r="AV17" i="2"/>
  <c r="DD17" i="2"/>
  <c r="T17" i="2"/>
  <c r="AB17" i="2"/>
  <c r="AZ17" i="2"/>
  <c r="BD16" i="2"/>
  <c r="DX16" i="2"/>
  <c r="AV16" i="2"/>
  <c r="AN16" i="2"/>
  <c r="P37" i="2"/>
  <c r="BX37" i="2"/>
  <c r="T37" i="2"/>
  <c r="AJ37" i="2"/>
  <c r="CR37" i="2"/>
  <c r="BD12" i="2"/>
  <c r="AZ37" i="2"/>
  <c r="CZ37" i="2"/>
  <c r="DP37" i="2"/>
  <c r="BX25" i="2"/>
  <c r="BX30" i="2"/>
  <c r="BH12" i="2"/>
  <c r="DL37" i="2"/>
  <c r="CV37" i="2"/>
  <c r="AV37" i="2"/>
  <c r="EB37" i="2"/>
  <c r="CF16" i="2"/>
  <c r="AF37" i="2"/>
  <c r="H37" i="2"/>
  <c r="DT37" i="2"/>
  <c r="CF37" i="2"/>
  <c r="CN37" i="2"/>
  <c r="AN37" i="2"/>
  <c r="L37" i="2"/>
  <c r="AB37" i="2"/>
  <c r="X37" i="2"/>
  <c r="DD37" i="2"/>
  <c r="AR37" i="2"/>
  <c r="BH37" i="2"/>
  <c r="X16" i="2"/>
  <c r="T16" i="2"/>
  <c r="DL13" i="2"/>
  <c r="EF12" i="2"/>
  <c r="P11" i="2"/>
  <c r="CV11" i="2"/>
  <c r="DP11" i="2"/>
  <c r="AB12" i="2"/>
  <c r="AF12" i="2"/>
  <c r="CN12" i="2"/>
  <c r="AR11" i="2"/>
  <c r="CR12" i="2"/>
  <c r="DT12" i="2"/>
  <c r="P12" i="2"/>
  <c r="CZ12" i="2"/>
  <c r="BX11" i="2"/>
  <c r="DD12" i="2"/>
  <c r="EB12" i="2"/>
  <c r="CZ11" i="2"/>
  <c r="DX12" i="2"/>
  <c r="DP12" i="2"/>
  <c r="L12" i="2"/>
  <c r="AV12" i="2"/>
  <c r="CN16" i="2"/>
  <c r="AB16" i="2"/>
  <c r="CF11" i="2"/>
  <c r="DL12" i="2"/>
  <c r="AV11" i="2"/>
  <c r="CN11" i="2"/>
  <c r="DL11" i="2"/>
  <c r="AN12" i="2"/>
  <c r="DX11" i="2"/>
  <c r="AJ12" i="2"/>
  <c r="T12" i="2"/>
  <c r="AR12" i="2"/>
  <c r="CF12" i="2"/>
  <c r="DL16" i="2"/>
  <c r="BH16" i="2"/>
  <c r="AF16" i="2"/>
  <c r="L11" i="2"/>
  <c r="AB31" i="2"/>
  <c r="T11" i="2"/>
  <c r="CJ11" i="2"/>
  <c r="EB11" i="2"/>
  <c r="H11" i="2"/>
  <c r="AB11" i="2"/>
  <c r="AZ12" i="2"/>
  <c r="BX12" i="2"/>
  <c r="EF16" i="2"/>
  <c r="DP16" i="2"/>
  <c r="CV16" i="2"/>
  <c r="AZ31" i="2"/>
  <c r="X11" i="2"/>
  <c r="AZ11" i="2"/>
  <c r="AN11" i="2"/>
  <c r="BH11" i="2"/>
  <c r="CJ12" i="2"/>
  <c r="X12" i="2"/>
  <c r="L16" i="2"/>
  <c r="CZ16" i="2"/>
  <c r="H16" i="2"/>
  <c r="DT16" i="2"/>
  <c r="AJ11" i="2"/>
  <c r="EF11" i="2"/>
  <c r="CV35" i="2"/>
  <c r="EF35" i="2"/>
  <c r="H35" i="2"/>
  <c r="L35" i="2"/>
  <c r="CZ35" i="2"/>
  <c r="DD35" i="2"/>
  <c r="BX21" i="2"/>
  <c r="AR35" i="2"/>
  <c r="DX35" i="2"/>
  <c r="T35" i="2"/>
  <c r="X35" i="2"/>
  <c r="AB35" i="2"/>
  <c r="AZ35" i="2"/>
  <c r="CF35" i="2"/>
  <c r="BD35" i="2"/>
  <c r="BH35" i="2"/>
  <c r="CJ35" i="2"/>
  <c r="CJ16" i="2"/>
  <c r="EB35" i="2"/>
  <c r="P35" i="2"/>
  <c r="CN35" i="2"/>
  <c r="CR35" i="2"/>
  <c r="AJ16" i="2"/>
  <c r="CR16" i="2"/>
  <c r="BD157" i="56"/>
  <c r="BE157" i="56"/>
  <c r="DM15" i="2"/>
  <c r="DX39" i="2"/>
  <c r="CZ39" i="2"/>
  <c r="AJ39" i="2"/>
  <c r="EF39" i="2"/>
  <c r="DL39" i="2"/>
  <c r="CN39" i="2"/>
  <c r="BD39" i="2"/>
  <c r="X39" i="2"/>
  <c r="AR39" i="2"/>
  <c r="L39" i="2"/>
  <c r="CJ39" i="2"/>
  <c r="AZ39" i="2"/>
  <c r="T39" i="2"/>
  <c r="DD39" i="2"/>
  <c r="AN39" i="2"/>
  <c r="H39" i="2"/>
  <c r="DP39" i="2"/>
  <c r="CR39" i="2"/>
  <c r="BH39" i="2"/>
  <c r="AB39" i="2"/>
  <c r="CF39" i="2"/>
  <c r="AV39" i="2"/>
  <c r="P39" i="2"/>
  <c r="DT39" i="2"/>
  <c r="AF39" i="2"/>
  <c r="CV39" i="2"/>
  <c r="DP25" i="2"/>
  <c r="CF25" i="2"/>
  <c r="AV25" i="2"/>
  <c r="P25" i="2"/>
  <c r="AR25" i="2"/>
  <c r="L25" i="2"/>
  <c r="DT25" i="2"/>
  <c r="DD25" i="2"/>
  <c r="AJ25" i="2"/>
  <c r="H25" i="2"/>
  <c r="CN25" i="2"/>
  <c r="T25" i="2"/>
  <c r="CJ25" i="2"/>
  <c r="BH25" i="2"/>
  <c r="DL25" i="2"/>
  <c r="CV25" i="2"/>
  <c r="EF25" i="2"/>
  <c r="CZ25" i="2"/>
  <c r="AF25" i="2"/>
  <c r="DX25" i="2"/>
  <c r="BD25" i="2"/>
  <c r="AB25" i="2"/>
  <c r="CR25" i="2"/>
  <c r="AZ25" i="2"/>
  <c r="X25" i="2"/>
  <c r="AN25" i="2"/>
  <c r="EB18" i="2"/>
  <c r="CK13" i="2"/>
  <c r="EG13" i="2"/>
  <c r="EB15" i="2"/>
  <c r="CO14" i="2"/>
  <c r="AR33" i="2"/>
  <c r="L33" i="2"/>
  <c r="DT33" i="2"/>
  <c r="CV33" i="2"/>
  <c r="CJ33" i="2"/>
  <c r="AZ33" i="2"/>
  <c r="DP33" i="2"/>
  <c r="CR33" i="2"/>
  <c r="BH33" i="2"/>
  <c r="DX33" i="2"/>
  <c r="EF33" i="2"/>
  <c r="CZ33" i="2"/>
  <c r="AJ33" i="2"/>
  <c r="X33" i="2"/>
  <c r="DL33" i="2"/>
  <c r="CF33" i="2"/>
  <c r="AN33" i="2"/>
  <c r="T33" i="2"/>
  <c r="BD33" i="2"/>
  <c r="AF33" i="2"/>
  <c r="AB33" i="2"/>
  <c r="DD33" i="2"/>
  <c r="AV33" i="2"/>
  <c r="P33" i="2"/>
  <c r="CN33" i="2"/>
  <c r="H33" i="2"/>
  <c r="EF30" i="2"/>
  <c r="CN30" i="2"/>
  <c r="BD30" i="2"/>
  <c r="X30" i="2"/>
  <c r="CJ30" i="2"/>
  <c r="AZ30" i="2"/>
  <c r="T30" i="2"/>
  <c r="CF30" i="2"/>
  <c r="AN30" i="2"/>
  <c r="L30" i="2"/>
  <c r="DX30" i="2"/>
  <c r="CR30" i="2"/>
  <c r="AV30" i="2"/>
  <c r="CZ30" i="2"/>
  <c r="AR30" i="2"/>
  <c r="DP30" i="2"/>
  <c r="CV30" i="2"/>
  <c r="BH30" i="2"/>
  <c r="P30" i="2"/>
  <c r="AJ30" i="2"/>
  <c r="AF30" i="2"/>
  <c r="H30" i="2"/>
  <c r="DD30" i="2"/>
  <c r="AB30" i="2"/>
  <c r="DT30" i="2"/>
  <c r="DX29" i="2"/>
  <c r="CZ29" i="2"/>
  <c r="AJ29" i="2"/>
  <c r="DT29" i="2"/>
  <c r="CV29" i="2"/>
  <c r="AF29" i="2"/>
  <c r="BH29" i="2"/>
  <c r="AR29" i="2"/>
  <c r="P29" i="2"/>
  <c r="DD29" i="2"/>
  <c r="BX29" i="2"/>
  <c r="AZ29" i="2"/>
  <c r="X29" i="2"/>
  <c r="EB29" i="2"/>
  <c r="CJ29" i="2"/>
  <c r="AB29" i="2"/>
  <c r="CF29" i="2"/>
  <c r="T29" i="2"/>
  <c r="AN29" i="2"/>
  <c r="CR29" i="2"/>
  <c r="DP29" i="2"/>
  <c r="CN29" i="2"/>
  <c r="EF29" i="2"/>
  <c r="L29" i="2"/>
  <c r="H29" i="2"/>
  <c r="BD29" i="2"/>
  <c r="AV29" i="2"/>
  <c r="CG13" i="2"/>
  <c r="AC14" i="2"/>
  <c r="I13" i="2"/>
  <c r="EF32" i="2"/>
  <c r="BX32" i="2"/>
  <c r="AR32" i="2"/>
  <c r="L32" i="2"/>
  <c r="DT32" i="2"/>
  <c r="CV32" i="2"/>
  <c r="AF32" i="2"/>
  <c r="DP32" i="2"/>
  <c r="CR32" i="2"/>
  <c r="BH32" i="2"/>
  <c r="AB32" i="2"/>
  <c r="CF32" i="2"/>
  <c r="BD32" i="2"/>
  <c r="T32" i="2"/>
  <c r="AZ32" i="2"/>
  <c r="AJ32" i="2"/>
  <c r="DX32" i="2"/>
  <c r="CZ32" i="2"/>
  <c r="H32" i="2"/>
  <c r="CN32" i="2"/>
  <c r="DL32" i="2"/>
  <c r="CJ32" i="2"/>
  <c r="AV32" i="2"/>
  <c r="X32" i="2"/>
  <c r="P32" i="2"/>
  <c r="AN32" i="2"/>
  <c r="DD32" i="2"/>
  <c r="DL29" i="2"/>
  <c r="DU14" i="2"/>
  <c r="DE13" i="2"/>
  <c r="BI13" i="2"/>
  <c r="AK13" i="2"/>
  <c r="DP27" i="2"/>
  <c r="CR27" i="2"/>
  <c r="BH27" i="2"/>
  <c r="AB27" i="2"/>
  <c r="EF27" i="2"/>
  <c r="CN27" i="2"/>
  <c r="BD27" i="2"/>
  <c r="CV27" i="2"/>
  <c r="CF27" i="2"/>
  <c r="P27" i="2"/>
  <c r="DT27" i="2"/>
  <c r="DD27" i="2"/>
  <c r="AJ27" i="2"/>
  <c r="X27" i="2"/>
  <c r="L27" i="2"/>
  <c r="CZ27" i="2"/>
  <c r="BX27" i="2"/>
  <c r="H27" i="2"/>
  <c r="AR27" i="2"/>
  <c r="T27" i="2"/>
  <c r="EB27" i="2"/>
  <c r="AZ27" i="2"/>
  <c r="AV27" i="2"/>
  <c r="AN27" i="2"/>
  <c r="DX27" i="2"/>
  <c r="CJ27" i="2"/>
  <c r="AF27" i="2"/>
  <c r="AR15" i="2"/>
  <c r="L15" i="2"/>
  <c r="DT15" i="2"/>
  <c r="CV15" i="2"/>
  <c r="AF15" i="2"/>
  <c r="CJ15" i="2"/>
  <c r="AZ15" i="2"/>
  <c r="T15" i="2"/>
  <c r="DD15" i="2"/>
  <c r="AN15" i="2"/>
  <c r="H15" i="2"/>
  <c r="DP15" i="2"/>
  <c r="CR15" i="2"/>
  <c r="BH15" i="2"/>
  <c r="AB15" i="2"/>
  <c r="CF15" i="2"/>
  <c r="AV15" i="2"/>
  <c r="P15" i="2"/>
  <c r="DX15" i="2"/>
  <c r="CZ15" i="2"/>
  <c r="AJ15" i="2"/>
  <c r="EF15" i="2"/>
  <c r="DL15" i="2"/>
  <c r="CN15" i="2"/>
  <c r="BD15" i="2"/>
  <c r="X15" i="2"/>
  <c r="DQ12" i="2"/>
  <c r="Q13" i="2"/>
  <c r="DY13" i="2"/>
  <c r="BE14" i="2"/>
  <c r="DA13" i="2"/>
  <c r="CF38" i="2"/>
  <c r="AV38" i="2"/>
  <c r="P38" i="2"/>
  <c r="DX38" i="2"/>
  <c r="CZ38" i="2"/>
  <c r="AJ38" i="2"/>
  <c r="EF38" i="2"/>
  <c r="CN38" i="2"/>
  <c r="BD38" i="2"/>
  <c r="X38" i="2"/>
  <c r="DT38" i="2"/>
  <c r="CV38" i="2"/>
  <c r="AF38" i="2"/>
  <c r="EB38" i="2"/>
  <c r="CJ38" i="2"/>
  <c r="AZ38" i="2"/>
  <c r="T38" i="2"/>
  <c r="DD38" i="2"/>
  <c r="AN38" i="2"/>
  <c r="H38" i="2"/>
  <c r="DP38" i="2"/>
  <c r="CR38" i="2"/>
  <c r="BH38" i="2"/>
  <c r="AB38" i="2"/>
  <c r="BX38" i="2"/>
  <c r="AR38" i="2"/>
  <c r="L38" i="2"/>
  <c r="EB33" i="2"/>
  <c r="EB30" i="2"/>
  <c r="EA42" i="2"/>
  <c r="EB10" i="2"/>
  <c r="EC10" i="2"/>
  <c r="EF14" i="2"/>
  <c r="CN14" i="2"/>
  <c r="BD14" i="2"/>
  <c r="X14" i="2"/>
  <c r="BX14" i="2"/>
  <c r="AR14" i="2"/>
  <c r="L14" i="2"/>
  <c r="DT14" i="2"/>
  <c r="CV14" i="2"/>
  <c r="AF14" i="2"/>
  <c r="EB14" i="2"/>
  <c r="CJ14" i="2"/>
  <c r="AZ14" i="2"/>
  <c r="T14" i="2"/>
  <c r="DD14" i="2"/>
  <c r="AN14" i="2"/>
  <c r="H14" i="2"/>
  <c r="DP14" i="2"/>
  <c r="CR14" i="2"/>
  <c r="BH14" i="2"/>
  <c r="AB14" i="2"/>
  <c r="CF14" i="2"/>
  <c r="AV14" i="2"/>
  <c r="P14" i="2"/>
  <c r="DX14" i="2"/>
  <c r="CZ14" i="2"/>
  <c r="AJ14" i="2"/>
  <c r="DL38" i="2"/>
  <c r="EB39" i="2"/>
  <c r="CF26" i="2"/>
  <c r="AV26" i="2"/>
  <c r="P26" i="2"/>
  <c r="DX26" i="2"/>
  <c r="CZ26" i="2"/>
  <c r="AJ26" i="2"/>
  <c r="DT26" i="2"/>
  <c r="CV26" i="2"/>
  <c r="AF26" i="2"/>
  <c r="BD26" i="2"/>
  <c r="AN26" i="2"/>
  <c r="EF26" i="2"/>
  <c r="T26" i="2"/>
  <c r="BX26" i="2"/>
  <c r="CR26" i="2"/>
  <c r="L26" i="2"/>
  <c r="H26" i="2"/>
  <c r="DD26" i="2"/>
  <c r="AB26" i="2"/>
  <c r="BH26" i="2"/>
  <c r="X26" i="2"/>
  <c r="CN26" i="2"/>
  <c r="AZ26" i="2"/>
  <c r="DP26" i="2"/>
  <c r="CJ26" i="2"/>
  <c r="AR26" i="2"/>
  <c r="EB26" i="2"/>
  <c r="AR21" i="2"/>
  <c r="L21" i="2"/>
  <c r="CJ21" i="2"/>
  <c r="AZ21" i="2"/>
  <c r="T21" i="2"/>
  <c r="DD21" i="2"/>
  <c r="AN21" i="2"/>
  <c r="H21" i="2"/>
  <c r="DP21" i="2"/>
  <c r="CR21" i="2"/>
  <c r="BH21" i="2"/>
  <c r="AB21" i="2"/>
  <c r="CF21" i="2"/>
  <c r="AV21" i="2"/>
  <c r="P21" i="2"/>
  <c r="DX21" i="2"/>
  <c r="CZ21" i="2"/>
  <c r="AJ21" i="2"/>
  <c r="EF21" i="2"/>
  <c r="CN21" i="2"/>
  <c r="BD21" i="2"/>
  <c r="X21" i="2"/>
  <c r="DT21" i="2"/>
  <c r="AF21" i="2"/>
  <c r="CV21" i="2"/>
  <c r="CW14" i="2"/>
  <c r="AG12" i="2"/>
  <c r="AO14" i="2"/>
  <c r="BA12" i="2"/>
  <c r="DP24" i="2"/>
  <c r="CR24" i="2"/>
  <c r="EF24" i="2"/>
  <c r="AF24" i="2"/>
  <c r="DX24" i="2"/>
  <c r="CV24" i="2"/>
  <c r="CJ24" i="2"/>
  <c r="AZ24" i="2"/>
  <c r="T24" i="2"/>
  <c r="DT24" i="2"/>
  <c r="BH24" i="2"/>
  <c r="AB24" i="2"/>
  <c r="DD24" i="2"/>
  <c r="CF24" i="2"/>
  <c r="AV24" i="2"/>
  <c r="P24" i="2"/>
  <c r="CN24" i="2"/>
  <c r="AJ24" i="2"/>
  <c r="L24" i="2"/>
  <c r="EB24" i="2"/>
  <c r="H24" i="2"/>
  <c r="CZ24" i="2"/>
  <c r="BX24" i="2"/>
  <c r="X24" i="2"/>
  <c r="AR24" i="2"/>
  <c r="AN24" i="2"/>
  <c r="BD24" i="2"/>
  <c r="BY11" i="2"/>
  <c r="EI42" i="2"/>
  <c r="EJ10" i="2"/>
  <c r="BZ10" i="2" s="1"/>
  <c r="CJ10" i="2"/>
  <c r="BD10" i="2"/>
  <c r="X10" i="2"/>
  <c r="AF10" i="2"/>
  <c r="BL10" i="2"/>
  <c r="DD10" i="2"/>
  <c r="CR10" i="2"/>
  <c r="CF10" i="2"/>
  <c r="AZ10" i="2"/>
  <c r="T10" i="2"/>
  <c r="DP10" i="2"/>
  <c r="AN10" i="2"/>
  <c r="H10" i="2"/>
  <c r="BH10" i="2"/>
  <c r="DT10" i="2"/>
  <c r="AR10" i="2"/>
  <c r="AB10" i="2"/>
  <c r="BX10" i="2"/>
  <c r="L10" i="2"/>
  <c r="DX10" i="2"/>
  <c r="CZ10" i="2"/>
  <c r="CN10" i="2"/>
  <c r="CB10" i="2"/>
  <c r="AV10" i="2"/>
  <c r="P10" i="2"/>
  <c r="DL10" i="2"/>
  <c r="BP10" i="2"/>
  <c r="AJ10" i="2"/>
  <c r="EF10" i="2"/>
  <c r="CV10" i="2"/>
  <c r="CF18" i="2"/>
  <c r="AV18" i="2"/>
  <c r="P18" i="2"/>
  <c r="EF18" i="2"/>
  <c r="CN18" i="2"/>
  <c r="BD18" i="2"/>
  <c r="X18" i="2"/>
  <c r="DT18" i="2"/>
  <c r="CV18" i="2"/>
  <c r="DP18" i="2"/>
  <c r="CR18" i="2"/>
  <c r="BH18" i="2"/>
  <c r="AB18" i="2"/>
  <c r="CJ18" i="2"/>
  <c r="AN18" i="2"/>
  <c r="H18" i="2"/>
  <c r="DD18" i="2"/>
  <c r="AJ18" i="2"/>
  <c r="T18" i="2"/>
  <c r="CZ18" i="2"/>
  <c r="AZ18" i="2"/>
  <c r="BX18" i="2"/>
  <c r="AF18" i="2"/>
  <c r="DX18" i="2"/>
  <c r="AR18" i="2"/>
  <c r="L18" i="2"/>
  <c r="CS12" i="2"/>
  <c r="AW13" i="2"/>
  <c r="Y13" i="2"/>
  <c r="AS13" i="2"/>
  <c r="M13" i="2"/>
  <c r="U13" i="2"/>
  <c r="AM155" i="56"/>
  <c r="S157" i="56" s="1"/>
  <c r="BA155" i="56"/>
  <c r="R157" i="56" s="1"/>
  <c r="BB157" i="56"/>
  <c r="BC157" i="56"/>
  <c r="BF157" i="56"/>
  <c r="AD7" i="56"/>
  <c r="AR155" i="56"/>
  <c r="R156" i="56"/>
  <c r="S156" i="56"/>
  <c r="AD6" i="56"/>
  <c r="BF155" i="55"/>
  <c r="BE155" i="55"/>
  <c r="BD155" i="55"/>
  <c r="CG14" i="2" l="1"/>
  <c r="AW14" i="2"/>
  <c r="AP10" i="2"/>
  <c r="BV10" i="2"/>
  <c r="BJ10" i="2"/>
  <c r="AD10" i="2"/>
  <c r="BR10" i="2"/>
  <c r="DF10" i="2"/>
  <c r="DN10" i="2"/>
  <c r="AL10" i="2"/>
  <c r="J10" i="2"/>
  <c r="CH10" i="2"/>
  <c r="EH10" i="2"/>
  <c r="DV10" i="2"/>
  <c r="CX10" i="2"/>
  <c r="AX10" i="2"/>
  <c r="AH10" i="2"/>
  <c r="CP10" i="2"/>
  <c r="Z10" i="2"/>
  <c r="BN10" i="2"/>
  <c r="BB10" i="2"/>
  <c r="DB10" i="2"/>
  <c r="DR10" i="2"/>
  <c r="CD10" i="2"/>
  <c r="DZ10" i="2"/>
  <c r="N10" i="2"/>
  <c r="BF10" i="2"/>
  <c r="EJ11" i="2"/>
  <c r="BZ11" i="2" s="1"/>
  <c r="V10" i="2"/>
  <c r="AT10" i="2"/>
  <c r="CL10" i="2"/>
  <c r="R10" i="2"/>
  <c r="CT10" i="2"/>
  <c r="CW15" i="2"/>
  <c r="EC11" i="2"/>
  <c r="ED10" i="2"/>
  <c r="BI14" i="2"/>
  <c r="DY14" i="2"/>
  <c r="U14" i="2"/>
  <c r="DD42" i="2"/>
  <c r="EJ42" i="2"/>
  <c r="CV42" i="2"/>
  <c r="H42" i="2"/>
  <c r="DP42" i="2"/>
  <c r="EF42" i="2"/>
  <c r="AV42" i="2"/>
  <c r="DT42" i="2"/>
  <c r="AR42" i="2"/>
  <c r="CJ42" i="2"/>
  <c r="CR42" i="2"/>
  <c r="BT42" i="2"/>
  <c r="CF42" i="2"/>
  <c r="CN42" i="2"/>
  <c r="BL42" i="2"/>
  <c r="DL42" i="2"/>
  <c r="AB42" i="2"/>
  <c r="DX42" i="2"/>
  <c r="BX42" i="2"/>
  <c r="AZ42" i="2"/>
  <c r="BD42" i="2"/>
  <c r="BH42" i="2"/>
  <c r="AN42" i="2"/>
  <c r="CZ42" i="2"/>
  <c r="Q14" i="2"/>
  <c r="EG14" i="2"/>
  <c r="M14" i="2"/>
  <c r="BA13" i="2"/>
  <c r="EB42" i="2"/>
  <c r="DE14" i="2"/>
  <c r="Y14" i="2"/>
  <c r="CS13" i="2"/>
  <c r="BY12" i="2"/>
  <c r="DA14" i="2"/>
  <c r="DQ13" i="2"/>
  <c r="CK14" i="2"/>
  <c r="AS14" i="2"/>
  <c r="AO15" i="2"/>
  <c r="DU15" i="2"/>
  <c r="I14" i="2"/>
  <c r="BE15" i="2"/>
  <c r="AG13" i="2"/>
  <c r="AK14" i="2"/>
  <c r="AC15" i="2"/>
  <c r="CO15" i="2"/>
  <c r="DM16" i="2"/>
  <c r="AD155" i="56"/>
  <c r="I9" i="53" s="1"/>
  <c r="F23" i="32"/>
  <c r="F14" i="32"/>
  <c r="C14" i="33"/>
  <c r="DM17" i="2" l="1"/>
  <c r="EG15" i="2"/>
  <c r="AG14" i="2"/>
  <c r="DA15" i="2"/>
  <c r="Q15" i="2"/>
  <c r="AO16" i="2"/>
  <c r="DE15" i="2"/>
  <c r="BI15" i="2"/>
  <c r="CG15" i="2"/>
  <c r="CO16" i="2"/>
  <c r="BE16" i="2"/>
  <c r="AS15" i="2"/>
  <c r="BY13" i="2"/>
  <c r="ED11" i="2"/>
  <c r="EC12" i="2"/>
  <c r="EJ12" i="2"/>
  <c r="BZ12" i="2" s="1"/>
  <c r="DV11" i="2"/>
  <c r="BF11" i="2"/>
  <c r="CL11" i="2"/>
  <c r="V11" i="2"/>
  <c r="N11" i="2"/>
  <c r="AT11" i="2"/>
  <c r="AX11" i="2"/>
  <c r="BJ11" i="2"/>
  <c r="Z11" i="2"/>
  <c r="DN11" i="2"/>
  <c r="J11" i="2"/>
  <c r="DZ11" i="2"/>
  <c r="R11" i="2"/>
  <c r="AP11" i="2"/>
  <c r="AD11" i="2"/>
  <c r="AL11" i="2"/>
  <c r="CX11" i="2"/>
  <c r="DF11" i="2"/>
  <c r="CH11" i="2"/>
  <c r="DB11" i="2"/>
  <c r="EH11" i="2"/>
  <c r="CP11" i="2"/>
  <c r="AH11" i="2"/>
  <c r="DR11" i="2"/>
  <c r="CT11" i="2"/>
  <c r="BB11" i="2"/>
  <c r="BA14" i="2"/>
  <c r="CK15" i="2"/>
  <c r="CW16" i="2"/>
  <c r="M15" i="2"/>
  <c r="AC16" i="2"/>
  <c r="I15" i="2"/>
  <c r="CS14" i="2"/>
  <c r="U15" i="2"/>
  <c r="AK15" i="2"/>
  <c r="DU16" i="2"/>
  <c r="DQ14" i="2"/>
  <c r="Y15" i="2"/>
  <c r="DY15" i="2"/>
  <c r="AW15" i="2"/>
  <c r="A10" i="1"/>
  <c r="A10" i="2" s="1"/>
  <c r="B1" i="47"/>
  <c r="A8" i="45"/>
  <c r="AC17" i="2" l="1"/>
  <c r="Q16" i="2"/>
  <c r="BY14" i="2"/>
  <c r="DM18" i="2"/>
  <c r="DY16" i="2"/>
  <c r="AK16" i="2"/>
  <c r="BA15" i="2"/>
  <c r="CG16" i="2"/>
  <c r="Y16" i="2"/>
  <c r="U16" i="2"/>
  <c r="M16" i="2"/>
  <c r="AS16" i="2"/>
  <c r="BI16" i="2"/>
  <c r="DA16" i="2"/>
  <c r="CS15" i="2"/>
  <c r="DE16" i="2"/>
  <c r="EC13" i="2"/>
  <c r="ED12" i="2"/>
  <c r="CP12" i="2"/>
  <c r="EJ13" i="2"/>
  <c r="AP12" i="2"/>
  <c r="CX12" i="2"/>
  <c r="DN12" i="2"/>
  <c r="BF12" i="2"/>
  <c r="DV12" i="2"/>
  <c r="AD12" i="2"/>
  <c r="DZ12" i="2"/>
  <c r="Z12" i="2"/>
  <c r="AL12" i="2"/>
  <c r="AT12" i="2"/>
  <c r="J12" i="2"/>
  <c r="N12" i="2"/>
  <c r="CL12" i="2"/>
  <c r="DB12" i="2"/>
  <c r="DF12" i="2"/>
  <c r="AX12" i="2"/>
  <c r="EH12" i="2"/>
  <c r="CH12" i="2"/>
  <c r="R12" i="2"/>
  <c r="V12" i="2"/>
  <c r="BJ12" i="2"/>
  <c r="CT12" i="2"/>
  <c r="DR12" i="2"/>
  <c r="BB12" i="2"/>
  <c r="AH12" i="2"/>
  <c r="DQ15" i="2"/>
  <c r="CW17" i="2"/>
  <c r="BE17" i="2"/>
  <c r="AG15" i="2"/>
  <c r="AW16" i="2"/>
  <c r="DU17" i="2"/>
  <c r="I16" i="2"/>
  <c r="CK16" i="2"/>
  <c r="CO17" i="2"/>
  <c r="AO17" i="2"/>
  <c r="EG16" i="2"/>
  <c r="I43" i="31"/>
  <c r="F32" i="27"/>
  <c r="E32" i="27"/>
  <c r="D32" i="27"/>
  <c r="C32" i="27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D14" i="31"/>
  <c r="C14" i="31"/>
  <c r="D34" i="27" l="1"/>
  <c r="C24" i="30"/>
  <c r="D33" i="29"/>
  <c r="E24" i="27"/>
  <c r="C33" i="27"/>
  <c r="E34" i="29"/>
  <c r="C34" i="27"/>
  <c r="K8" i="27" s="1"/>
  <c r="C24" i="29"/>
  <c r="D24" i="30"/>
  <c r="C33" i="31"/>
  <c r="E33" i="31"/>
  <c r="C15" i="31"/>
  <c r="D24" i="31"/>
  <c r="C34" i="31"/>
  <c r="E24" i="31"/>
  <c r="E33" i="30"/>
  <c r="D34" i="31"/>
  <c r="D33" i="31"/>
  <c r="E24" i="30"/>
  <c r="E34" i="31"/>
  <c r="F34" i="31"/>
  <c r="C34" i="30"/>
  <c r="D34" i="30"/>
  <c r="D33" i="27"/>
  <c r="D15" i="31"/>
  <c r="E34" i="30"/>
  <c r="C33" i="29"/>
  <c r="E34" i="27"/>
  <c r="E33" i="27"/>
  <c r="E15" i="31"/>
  <c r="F34" i="30"/>
  <c r="D34" i="29"/>
  <c r="F34" i="27"/>
  <c r="C24" i="31"/>
  <c r="C15" i="30"/>
  <c r="C33" i="30"/>
  <c r="F34" i="29"/>
  <c r="C24" i="27"/>
  <c r="D15" i="30"/>
  <c r="D33" i="30"/>
  <c r="C34" i="29"/>
  <c r="D24" i="27"/>
  <c r="DU18" i="2"/>
  <c r="DY17" i="2"/>
  <c r="AO18" i="2"/>
  <c r="CW18" i="2"/>
  <c r="ED13" i="2"/>
  <c r="EC14" i="2"/>
  <c r="BI17" i="2"/>
  <c r="Y17" i="2"/>
  <c r="AC18" i="2"/>
  <c r="CO18" i="2"/>
  <c r="AW17" i="2"/>
  <c r="DQ16" i="2"/>
  <c r="DE17" i="2"/>
  <c r="AS17" i="2"/>
  <c r="CG17" i="2"/>
  <c r="DM19" i="2"/>
  <c r="AG16" i="2"/>
  <c r="BA16" i="2"/>
  <c r="BY15" i="2"/>
  <c r="CK17" i="2"/>
  <c r="CP13" i="2"/>
  <c r="AD13" i="2"/>
  <c r="BF13" i="2"/>
  <c r="DN13" i="2"/>
  <c r="DV13" i="2"/>
  <c r="AP13" i="2"/>
  <c r="CX13" i="2"/>
  <c r="EJ14" i="2"/>
  <c r="EH13" i="2"/>
  <c r="Z13" i="2"/>
  <c r="AL13" i="2"/>
  <c r="CL13" i="2"/>
  <c r="AX13" i="2"/>
  <c r="DZ13" i="2"/>
  <c r="N13" i="2"/>
  <c r="V13" i="2"/>
  <c r="J13" i="2"/>
  <c r="CH13" i="2"/>
  <c r="DF13" i="2"/>
  <c r="DB13" i="2"/>
  <c r="AT13" i="2"/>
  <c r="R13" i="2"/>
  <c r="BJ13" i="2"/>
  <c r="AH13" i="2"/>
  <c r="DR13" i="2"/>
  <c r="CT13" i="2"/>
  <c r="BB13" i="2"/>
  <c r="CS16" i="2"/>
  <c r="M17" i="2"/>
  <c r="BZ13" i="2"/>
  <c r="EG17" i="2"/>
  <c r="I17" i="2"/>
  <c r="BE18" i="2"/>
  <c r="DA17" i="2"/>
  <c r="U17" i="2"/>
  <c r="AK17" i="2"/>
  <c r="Q17" i="2"/>
  <c r="C15" i="27"/>
  <c r="D15" i="27"/>
  <c r="E15" i="27"/>
  <c r="C15" i="29"/>
  <c r="D24" i="29"/>
  <c r="E33" i="29"/>
  <c r="D15" i="29"/>
  <c r="E24" i="29"/>
  <c r="E15" i="29"/>
  <c r="E15" i="30"/>
  <c r="Z25" i="55" l="1"/>
  <c r="AA25" i="55" s="1"/>
  <c r="AB25" i="55" s="1"/>
  <c r="Z25" i="56"/>
  <c r="AA25" i="56" s="1"/>
  <c r="AB25" i="56" s="1"/>
  <c r="E35" i="29"/>
  <c r="C35" i="27"/>
  <c r="C35" i="30"/>
  <c r="D35" i="31"/>
  <c r="C35" i="31"/>
  <c r="E35" i="31"/>
  <c r="E35" i="30"/>
  <c r="E35" i="27"/>
  <c r="D35" i="30"/>
  <c r="D35" i="27"/>
  <c r="D35" i="29"/>
  <c r="C35" i="29"/>
  <c r="AK18" i="2"/>
  <c r="BA17" i="2"/>
  <c r="CO19" i="2"/>
  <c r="DU19" i="2"/>
  <c r="AC19" i="2"/>
  <c r="I18" i="2"/>
  <c r="EC15" i="2"/>
  <c r="ED14" i="2"/>
  <c r="AS18" i="2"/>
  <c r="U18" i="2"/>
  <c r="EG18" i="2"/>
  <c r="EJ15" i="2"/>
  <c r="BZ15" i="2" s="1"/>
  <c r="DN14" i="2"/>
  <c r="DV14" i="2"/>
  <c r="CX14" i="2"/>
  <c r="AD14" i="2"/>
  <c r="BF14" i="2"/>
  <c r="CP14" i="2"/>
  <c r="AP14" i="2"/>
  <c r="CL14" i="2"/>
  <c r="AX14" i="2"/>
  <c r="EH14" i="2"/>
  <c r="J14" i="2"/>
  <c r="DF14" i="2"/>
  <c r="V14" i="2"/>
  <c r="DZ14" i="2"/>
  <c r="DB14" i="2"/>
  <c r="BJ14" i="2"/>
  <c r="AT14" i="2"/>
  <c r="N14" i="2"/>
  <c r="Z14" i="2"/>
  <c r="R14" i="2"/>
  <c r="CH14" i="2"/>
  <c r="AL14" i="2"/>
  <c r="AH14" i="2"/>
  <c r="BB14" i="2"/>
  <c r="CT14" i="2"/>
  <c r="DR14" i="2"/>
  <c r="AG17" i="2"/>
  <c r="DE18" i="2"/>
  <c r="CW19" i="2"/>
  <c r="DM20" i="2"/>
  <c r="M18" i="2"/>
  <c r="Y18" i="2"/>
  <c r="BY16" i="2"/>
  <c r="DA18" i="2"/>
  <c r="CK18" i="2"/>
  <c r="DQ17" i="2"/>
  <c r="AO19" i="2"/>
  <c r="Q18" i="2"/>
  <c r="BE19" i="2"/>
  <c r="CS17" i="2"/>
  <c r="BZ14" i="2"/>
  <c r="CG18" i="2"/>
  <c r="AW18" i="2"/>
  <c r="BI18" i="2"/>
  <c r="DY18" i="2"/>
  <c r="BI19" i="2" l="1"/>
  <c r="M19" i="2"/>
  <c r="CK19" i="2"/>
  <c r="AG18" i="2"/>
  <c r="AC20" i="2"/>
  <c r="DM21" i="2"/>
  <c r="BE20" i="2"/>
  <c r="U19" i="2"/>
  <c r="AK19" i="2"/>
  <c r="AW19" i="2"/>
  <c r="Q19" i="2"/>
  <c r="DA19" i="2"/>
  <c r="AS19" i="2"/>
  <c r="DU20" i="2"/>
  <c r="EJ16" i="2"/>
  <c r="DN15" i="2"/>
  <c r="DV15" i="2"/>
  <c r="CX15" i="2"/>
  <c r="AP15" i="2"/>
  <c r="CP15" i="2"/>
  <c r="BF15" i="2"/>
  <c r="AD15" i="2"/>
  <c r="EH15" i="2"/>
  <c r="N15" i="2"/>
  <c r="R15" i="2"/>
  <c r="AL15" i="2"/>
  <c r="V15" i="2"/>
  <c r="DB15" i="2"/>
  <c r="J15" i="2"/>
  <c r="CL15" i="2"/>
  <c r="BJ15" i="2"/>
  <c r="CH15" i="2"/>
  <c r="AT15" i="2"/>
  <c r="DF15" i="2"/>
  <c r="AX15" i="2"/>
  <c r="DZ15" i="2"/>
  <c r="Z15" i="2"/>
  <c r="CT15" i="2"/>
  <c r="DR15" i="2"/>
  <c r="BB15" i="2"/>
  <c r="AH15" i="2"/>
  <c r="AO20" i="2"/>
  <c r="CW20" i="2"/>
  <c r="ED15" i="2"/>
  <c r="EC16" i="2"/>
  <c r="DY19" i="2"/>
  <c r="EG19" i="2"/>
  <c r="CG19" i="2"/>
  <c r="BY17" i="2"/>
  <c r="CO20" i="2"/>
  <c r="CS18" i="2"/>
  <c r="DQ18" i="2"/>
  <c r="Y19" i="2"/>
  <c r="DE19" i="2"/>
  <c r="I19" i="2"/>
  <c r="BA18" i="2"/>
  <c r="Z8" i="27"/>
  <c r="X8" i="27"/>
  <c r="AA8" i="27" s="1"/>
  <c r="F42" i="27"/>
  <c r="Y7" i="27"/>
  <c r="Z7" i="27" s="1"/>
  <c r="X7" i="27"/>
  <c r="AA7" i="27" s="1"/>
  <c r="Y6" i="27"/>
  <c r="Z6" i="27" s="1"/>
  <c r="X6" i="27"/>
  <c r="Z5" i="27"/>
  <c r="X5" i="27"/>
  <c r="AA5" i="27" s="1"/>
  <c r="Z4" i="27"/>
  <c r="X4" i="27"/>
  <c r="AA4" i="27" s="1"/>
  <c r="Y3" i="27"/>
  <c r="Z3" i="27" s="1"/>
  <c r="X3" i="27"/>
  <c r="AA3" i="27" s="1"/>
  <c r="Y2" i="27"/>
  <c r="Z2" i="27" s="1"/>
  <c r="X2" i="27"/>
  <c r="Y1" i="27"/>
  <c r="Z1" i="27" s="1"/>
  <c r="X1" i="27"/>
  <c r="G42" i="27"/>
  <c r="I37" i="27" s="1"/>
  <c r="AA1" i="27" l="1"/>
  <c r="AA2" i="27"/>
  <c r="AA6" i="27"/>
  <c r="AA9" i="27"/>
  <c r="Z9" i="27"/>
  <c r="Y9" i="27"/>
  <c r="AA10" i="27" s="1"/>
  <c r="CS19" i="2"/>
  <c r="EG20" i="2"/>
  <c r="AC21" i="2"/>
  <c r="I20" i="2"/>
  <c r="AO21" i="2"/>
  <c r="AS20" i="2"/>
  <c r="AK20" i="2"/>
  <c r="BI20" i="2"/>
  <c r="DE20" i="2"/>
  <c r="CO21" i="2"/>
  <c r="DY20" i="2"/>
  <c r="DA20" i="2"/>
  <c r="U20" i="2"/>
  <c r="AG19" i="2"/>
  <c r="ED16" i="2"/>
  <c r="EC17" i="2"/>
  <c r="EJ17" i="2"/>
  <c r="DN16" i="2"/>
  <c r="BF16" i="2"/>
  <c r="AD16" i="2"/>
  <c r="DV16" i="2"/>
  <c r="CP16" i="2"/>
  <c r="CX16" i="2"/>
  <c r="AP16" i="2"/>
  <c r="J16" i="2"/>
  <c r="AL16" i="2"/>
  <c r="R16" i="2"/>
  <c r="Z16" i="2"/>
  <c r="CL16" i="2"/>
  <c r="DZ16" i="2"/>
  <c r="BJ16" i="2"/>
  <c r="AX16" i="2"/>
  <c r="CH16" i="2"/>
  <c r="N16" i="2"/>
  <c r="DB16" i="2"/>
  <c r="V16" i="2"/>
  <c r="DF16" i="2"/>
  <c r="EH16" i="2"/>
  <c r="AT16" i="2"/>
  <c r="DR16" i="2"/>
  <c r="CT16" i="2"/>
  <c r="BB16" i="2"/>
  <c r="AH16" i="2"/>
  <c r="BZ16" i="2"/>
  <c r="Q20" i="2"/>
  <c r="CW21" i="2"/>
  <c r="DU21" i="2"/>
  <c r="BY18" i="2"/>
  <c r="Y20" i="2"/>
  <c r="BE21" i="2"/>
  <c r="CK20" i="2"/>
  <c r="DQ19" i="2"/>
  <c r="BA19" i="2"/>
  <c r="CG20" i="2"/>
  <c r="AW20" i="2"/>
  <c r="DM22" i="2"/>
  <c r="M20" i="2"/>
  <c r="E14" i="19"/>
  <c r="D14" i="19"/>
  <c r="C14" i="19"/>
  <c r="E14" i="20"/>
  <c r="D14" i="20"/>
  <c r="C14" i="20"/>
  <c r="E14" i="22"/>
  <c r="D14" i="22"/>
  <c r="C14" i="22"/>
  <c r="E14" i="21"/>
  <c r="D14" i="21"/>
  <c r="C14" i="21"/>
  <c r="E14" i="23"/>
  <c r="D14" i="23"/>
  <c r="C14" i="23"/>
  <c r="E14" i="24"/>
  <c r="D14" i="24"/>
  <c r="C14" i="24"/>
  <c r="E14" i="25"/>
  <c r="D14" i="25"/>
  <c r="C14" i="25"/>
  <c r="E14" i="26"/>
  <c r="D14" i="26"/>
  <c r="C14" i="26"/>
  <c r="E14" i="28"/>
  <c r="D14" i="28"/>
  <c r="C14" i="28"/>
  <c r="Z10" i="27" l="1"/>
  <c r="CK21" i="2"/>
  <c r="DA21" i="2"/>
  <c r="BI21" i="2"/>
  <c r="I21" i="2"/>
  <c r="AW21" i="2"/>
  <c r="CG21" i="2"/>
  <c r="BE22" i="2"/>
  <c r="CW22" i="2"/>
  <c r="ED17" i="2"/>
  <c r="EC18" i="2"/>
  <c r="DY21" i="2"/>
  <c r="AK21" i="2"/>
  <c r="AC22" i="2"/>
  <c r="EJ18" i="2"/>
  <c r="BZ18" i="2" s="1"/>
  <c r="DN17" i="2"/>
  <c r="BF17" i="2"/>
  <c r="AP17" i="2"/>
  <c r="AD17" i="2"/>
  <c r="CP17" i="2"/>
  <c r="CX17" i="2"/>
  <c r="DV17" i="2"/>
  <c r="EH17" i="2"/>
  <c r="BJ17" i="2"/>
  <c r="DF17" i="2"/>
  <c r="J17" i="2"/>
  <c r="Z17" i="2"/>
  <c r="DZ17" i="2"/>
  <c r="CH17" i="2"/>
  <c r="DB17" i="2"/>
  <c r="N17" i="2"/>
  <c r="V17" i="2"/>
  <c r="CL17" i="2"/>
  <c r="AT17" i="2"/>
  <c r="R17" i="2"/>
  <c r="AX17" i="2"/>
  <c r="AL17" i="2"/>
  <c r="DR17" i="2"/>
  <c r="BB17" i="2"/>
  <c r="CT17" i="2"/>
  <c r="AH17" i="2"/>
  <c r="Q21" i="2"/>
  <c r="DU22" i="2"/>
  <c r="Y21" i="2"/>
  <c r="BY19" i="2"/>
  <c r="AG20" i="2"/>
  <c r="CO22" i="2"/>
  <c r="AS21" i="2"/>
  <c r="EG21" i="2"/>
  <c r="M21" i="2"/>
  <c r="DM23" i="2"/>
  <c r="DQ20" i="2"/>
  <c r="BZ17" i="2"/>
  <c r="BA20" i="2"/>
  <c r="U21" i="2"/>
  <c r="DE21" i="2"/>
  <c r="AO22" i="2"/>
  <c r="CS20" i="2"/>
  <c r="F42" i="29"/>
  <c r="G42" i="29"/>
  <c r="I37" i="29" s="1"/>
  <c r="U22" i="2" l="1"/>
  <c r="DQ21" i="2"/>
  <c r="Y22" i="2"/>
  <c r="DE22" i="2"/>
  <c r="DM24" i="2"/>
  <c r="CO23" i="2"/>
  <c r="DU23" i="2"/>
  <c r="CW23" i="2"/>
  <c r="M22" i="2"/>
  <c r="AK22" i="2"/>
  <c r="BE23" i="2"/>
  <c r="BI22" i="2"/>
  <c r="Q22" i="2"/>
  <c r="BA21" i="2"/>
  <c r="AC23" i="2"/>
  <c r="EG22" i="2"/>
  <c r="BY20" i="2"/>
  <c r="DY22" i="2"/>
  <c r="CG22" i="2"/>
  <c r="DA22" i="2"/>
  <c r="AG21" i="2"/>
  <c r="CS21" i="2"/>
  <c r="AO23" i="2"/>
  <c r="EJ19" i="2"/>
  <c r="DN18" i="2"/>
  <c r="CP18" i="2"/>
  <c r="CX18" i="2"/>
  <c r="AP18" i="2"/>
  <c r="AD18" i="2"/>
  <c r="BF18" i="2"/>
  <c r="DV18" i="2"/>
  <c r="CH18" i="2"/>
  <c r="CL18" i="2"/>
  <c r="R18" i="2"/>
  <c r="N18" i="2"/>
  <c r="AX18" i="2"/>
  <c r="Z18" i="2"/>
  <c r="DZ18" i="2"/>
  <c r="AL18" i="2"/>
  <c r="EH18" i="2"/>
  <c r="J18" i="2"/>
  <c r="V18" i="2"/>
  <c r="DB18" i="2"/>
  <c r="DF18" i="2"/>
  <c r="BJ18" i="2"/>
  <c r="AT18" i="2"/>
  <c r="CT18" i="2"/>
  <c r="DR18" i="2"/>
  <c r="AH18" i="2"/>
  <c r="BB18" i="2"/>
  <c r="ED18" i="2"/>
  <c r="EC19" i="2"/>
  <c r="I22" i="2"/>
  <c r="AS22" i="2"/>
  <c r="AW22" i="2"/>
  <c r="CK22" i="2"/>
  <c r="F42" i="30"/>
  <c r="G42" i="31"/>
  <c r="I37" i="31" s="1"/>
  <c r="F42" i="31"/>
  <c r="G42" i="30"/>
  <c r="I37" i="30" s="1"/>
  <c r="W16" i="56" l="1"/>
  <c r="CW24" i="2"/>
  <c r="DE23" i="2"/>
  <c r="BE24" i="2"/>
  <c r="AO24" i="2"/>
  <c r="CG23" i="2"/>
  <c r="AC24" i="2"/>
  <c r="DU24" i="2"/>
  <c r="Y23" i="2"/>
  <c r="AS23" i="2"/>
  <c r="DA23" i="2"/>
  <c r="I23" i="2"/>
  <c r="CK23" i="2"/>
  <c r="ED19" i="2"/>
  <c r="EC20" i="2"/>
  <c r="AK23" i="2"/>
  <c r="EG23" i="2"/>
  <c r="BI23" i="2"/>
  <c r="CS22" i="2"/>
  <c r="DY23" i="2"/>
  <c r="BA22" i="2"/>
  <c r="CO24" i="2"/>
  <c r="DQ22" i="2"/>
  <c r="EJ20" i="2"/>
  <c r="BZ20" i="2" s="1"/>
  <c r="DN19" i="2"/>
  <c r="DV19" i="2"/>
  <c r="CX19" i="2"/>
  <c r="BF19" i="2"/>
  <c r="CP19" i="2"/>
  <c r="AD19" i="2"/>
  <c r="AP19" i="2"/>
  <c r="CL19" i="2"/>
  <c r="AX19" i="2"/>
  <c r="DF19" i="2"/>
  <c r="V19" i="2"/>
  <c r="BJ19" i="2"/>
  <c r="DB19" i="2"/>
  <c r="EH19" i="2"/>
  <c r="AT19" i="2"/>
  <c r="R19" i="2"/>
  <c r="Z19" i="2"/>
  <c r="N19" i="2"/>
  <c r="AL19" i="2"/>
  <c r="DZ19" i="2"/>
  <c r="CH19" i="2"/>
  <c r="J19" i="2"/>
  <c r="DR19" i="2"/>
  <c r="AH19" i="2"/>
  <c r="CT19" i="2"/>
  <c r="BB19" i="2"/>
  <c r="BZ19" i="2"/>
  <c r="AW23" i="2"/>
  <c r="AG22" i="2"/>
  <c r="BY21" i="2"/>
  <c r="Q23" i="2"/>
  <c r="M23" i="2"/>
  <c r="DM25" i="2"/>
  <c r="U23" i="2"/>
  <c r="W20" i="56" l="1"/>
  <c r="AA15" i="56"/>
  <c r="AB15" i="56" s="1"/>
  <c r="X15" i="56"/>
  <c r="DM26" i="2"/>
  <c r="M24" i="2"/>
  <c r="AW24" i="2"/>
  <c r="CO25" i="2"/>
  <c r="AK24" i="2"/>
  <c r="AO25" i="2"/>
  <c r="Q24" i="2"/>
  <c r="BA23" i="2"/>
  <c r="I24" i="2"/>
  <c r="CK24" i="2"/>
  <c r="EG24" i="2"/>
  <c r="DU25" i="2"/>
  <c r="BE25" i="2"/>
  <c r="AG23" i="2"/>
  <c r="DA24" i="2"/>
  <c r="BI24" i="2"/>
  <c r="Y24" i="2"/>
  <c r="BY22" i="2"/>
  <c r="U24" i="2"/>
  <c r="EJ21" i="2"/>
  <c r="DN20" i="2"/>
  <c r="DV20" i="2"/>
  <c r="AP20" i="2"/>
  <c r="CP20" i="2"/>
  <c r="AD20" i="2"/>
  <c r="CX20" i="2"/>
  <c r="BF20" i="2"/>
  <c r="DF20" i="2"/>
  <c r="CL20" i="2"/>
  <c r="AX20" i="2"/>
  <c r="Z20" i="2"/>
  <c r="AT20" i="2"/>
  <c r="EH20" i="2"/>
  <c r="AL20" i="2"/>
  <c r="R20" i="2"/>
  <c r="N20" i="2"/>
  <c r="DB20" i="2"/>
  <c r="CH20" i="2"/>
  <c r="DZ20" i="2"/>
  <c r="BJ20" i="2"/>
  <c r="V20" i="2"/>
  <c r="J20" i="2"/>
  <c r="AH20" i="2"/>
  <c r="DR20" i="2"/>
  <c r="BB20" i="2"/>
  <c r="CT20" i="2"/>
  <c r="DY24" i="2"/>
  <c r="DE24" i="2"/>
  <c r="AC25" i="2"/>
  <c r="EC21" i="2"/>
  <c r="ED20" i="2"/>
  <c r="DQ23" i="2"/>
  <c r="CS23" i="2"/>
  <c r="AS24" i="2"/>
  <c r="CG24" i="2"/>
  <c r="CW25" i="2"/>
  <c r="KV11" i="1"/>
  <c r="KV12" i="1"/>
  <c r="KV13" i="1"/>
  <c r="KV14" i="1"/>
  <c r="KV15" i="1"/>
  <c r="KV16" i="1"/>
  <c r="KV17" i="1"/>
  <c r="KV18" i="1"/>
  <c r="KV19" i="1"/>
  <c r="KV20" i="1"/>
  <c r="KV21" i="1"/>
  <c r="KV22" i="1"/>
  <c r="KV23" i="1"/>
  <c r="KV24" i="1"/>
  <c r="KV25" i="1"/>
  <c r="KV26" i="1"/>
  <c r="KV27" i="1"/>
  <c r="KV28" i="1"/>
  <c r="KV29" i="1"/>
  <c r="KV30" i="1"/>
  <c r="KV31" i="1"/>
  <c r="KV32" i="1"/>
  <c r="KV33" i="1"/>
  <c r="KV34" i="1"/>
  <c r="KV35" i="1"/>
  <c r="KV36" i="1"/>
  <c r="KV37" i="1"/>
  <c r="KV38" i="1"/>
  <c r="KV39" i="1"/>
  <c r="KV40" i="1"/>
  <c r="AA20" i="56" l="1"/>
  <c r="AB20" i="56" s="1"/>
  <c r="X20" i="56"/>
  <c r="BA24" i="2"/>
  <c r="DE25" i="2"/>
  <c r="DA25" i="2"/>
  <c r="AC26" i="2"/>
  <c r="EJ22" i="2"/>
  <c r="DN21" i="2"/>
  <c r="CP21" i="2"/>
  <c r="BF21" i="2"/>
  <c r="AP21" i="2"/>
  <c r="CX21" i="2"/>
  <c r="AD21" i="2"/>
  <c r="DV21" i="2"/>
  <c r="AX21" i="2"/>
  <c r="V21" i="2"/>
  <c r="N21" i="2"/>
  <c r="R21" i="2"/>
  <c r="CL21" i="2"/>
  <c r="J21" i="2"/>
  <c r="EH21" i="2"/>
  <c r="BJ21" i="2"/>
  <c r="AL21" i="2"/>
  <c r="Z21" i="2"/>
  <c r="CH21" i="2"/>
  <c r="AT21" i="2"/>
  <c r="DZ21" i="2"/>
  <c r="DF21" i="2"/>
  <c r="DB21" i="2"/>
  <c r="DR21" i="2"/>
  <c r="AH21" i="2"/>
  <c r="BB21" i="2"/>
  <c r="CT21" i="2"/>
  <c r="CS24" i="2"/>
  <c r="U25" i="2"/>
  <c r="EG25" i="2"/>
  <c r="Q25" i="2"/>
  <c r="AW25" i="2"/>
  <c r="BZ21" i="2"/>
  <c r="AG24" i="2"/>
  <c r="AO26" i="2"/>
  <c r="M25" i="2"/>
  <c r="AS25" i="2"/>
  <c r="BI25" i="2"/>
  <c r="CW26" i="2"/>
  <c r="DQ24" i="2"/>
  <c r="DY25" i="2"/>
  <c r="BY23" i="2"/>
  <c r="CK25" i="2"/>
  <c r="CO26" i="2"/>
  <c r="Y25" i="2"/>
  <c r="DM27" i="2"/>
  <c r="DU26" i="2"/>
  <c r="CG25" i="2"/>
  <c r="ED21" i="2"/>
  <c r="EC22" i="2"/>
  <c r="BE26" i="2"/>
  <c r="I25" i="2"/>
  <c r="AK25" i="2"/>
  <c r="G42" i="32"/>
  <c r="I37" i="32" s="1"/>
  <c r="F42" i="32"/>
  <c r="BE27" i="2" l="1"/>
  <c r="DM28" i="2"/>
  <c r="BY24" i="2"/>
  <c r="AG25" i="2"/>
  <c r="AC27" i="2"/>
  <c r="U26" i="2"/>
  <c r="AS26" i="2"/>
  <c r="CG26" i="2"/>
  <c r="DQ25" i="2"/>
  <c r="AW26" i="2"/>
  <c r="CS25" i="2"/>
  <c r="DA26" i="2"/>
  <c r="AK26" i="2"/>
  <c r="CO27" i="2"/>
  <c r="M26" i="2"/>
  <c r="DE26" i="2"/>
  <c r="EC23" i="2"/>
  <c r="ED22" i="2"/>
  <c r="I26" i="2"/>
  <c r="AO27" i="2"/>
  <c r="Q26" i="2"/>
  <c r="Y26" i="2"/>
  <c r="DY26" i="2"/>
  <c r="DU27" i="2"/>
  <c r="CK26" i="2"/>
  <c r="CW27" i="2"/>
  <c r="EJ23" i="2"/>
  <c r="DN22" i="2"/>
  <c r="AD22" i="2"/>
  <c r="CP22" i="2"/>
  <c r="DV22" i="2"/>
  <c r="CX22" i="2"/>
  <c r="BF22" i="2"/>
  <c r="AP22" i="2"/>
  <c r="AX22" i="2"/>
  <c r="CH22" i="2"/>
  <c r="AT22" i="2"/>
  <c r="DF22" i="2"/>
  <c r="DB22" i="2"/>
  <c r="AL22" i="2"/>
  <c r="DZ22" i="2"/>
  <c r="J22" i="2"/>
  <c r="V22" i="2"/>
  <c r="EH22" i="2"/>
  <c r="R22" i="2"/>
  <c r="Z22" i="2"/>
  <c r="CL22" i="2"/>
  <c r="BJ22" i="2"/>
  <c r="N22" i="2"/>
  <c r="AH22" i="2"/>
  <c r="DR22" i="2"/>
  <c r="CT22" i="2"/>
  <c r="BB22" i="2"/>
  <c r="BZ22" i="2"/>
  <c r="BI26" i="2"/>
  <c r="EG26" i="2"/>
  <c r="BA25" i="2"/>
  <c r="E14" i="32"/>
  <c r="D14" i="32"/>
  <c r="C14" i="32"/>
  <c r="DE27" i="2" l="1"/>
  <c r="EJ24" i="2"/>
  <c r="DN23" i="2"/>
  <c r="AD23" i="2"/>
  <c r="BF23" i="2"/>
  <c r="DV23" i="2"/>
  <c r="CP23" i="2"/>
  <c r="AP23" i="2"/>
  <c r="CX23" i="2"/>
  <c r="Z23" i="2"/>
  <c r="EH23" i="2"/>
  <c r="AL23" i="2"/>
  <c r="J23" i="2"/>
  <c r="CH23" i="2"/>
  <c r="V23" i="2"/>
  <c r="N23" i="2"/>
  <c r="CL23" i="2"/>
  <c r="DZ23" i="2"/>
  <c r="R23" i="2"/>
  <c r="DB23" i="2"/>
  <c r="DF23" i="2"/>
  <c r="AX23" i="2"/>
  <c r="BJ23" i="2"/>
  <c r="AT23" i="2"/>
  <c r="AH23" i="2"/>
  <c r="BB23" i="2"/>
  <c r="DR23" i="2"/>
  <c r="CT23" i="2"/>
  <c r="CK27" i="2"/>
  <c r="Q27" i="2"/>
  <c r="DA27" i="2"/>
  <c r="CG27" i="2"/>
  <c r="AG26" i="2"/>
  <c r="EG27" i="2"/>
  <c r="BZ24" i="2"/>
  <c r="BY25" i="2"/>
  <c r="BA26" i="2"/>
  <c r="DU28" i="2"/>
  <c r="AO28" i="2"/>
  <c r="M27" i="2"/>
  <c r="CS26" i="2"/>
  <c r="AS27" i="2"/>
  <c r="BZ23" i="2"/>
  <c r="I27" i="2"/>
  <c r="CO28" i="2"/>
  <c r="AW27" i="2"/>
  <c r="DY27" i="2"/>
  <c r="U27" i="2"/>
  <c r="DM29" i="2"/>
  <c r="CW28" i="2"/>
  <c r="DQ26" i="2"/>
  <c r="BI27" i="2"/>
  <c r="Y27" i="2"/>
  <c r="ED23" i="2"/>
  <c r="EC24" i="2"/>
  <c r="AK27" i="2"/>
  <c r="AC28" i="2"/>
  <c r="BE28" i="2"/>
  <c r="KV10" i="1"/>
  <c r="KV41" i="1" s="1"/>
  <c r="AK28" i="2" l="1"/>
  <c r="Q28" i="2"/>
  <c r="DY28" i="2"/>
  <c r="AG27" i="2"/>
  <c r="CK28" i="2"/>
  <c r="AC29" i="2"/>
  <c r="DQ27" i="2"/>
  <c r="ED24" i="2"/>
  <c r="EC25" i="2"/>
  <c r="AS28" i="2"/>
  <c r="DU29" i="2"/>
  <c r="AW28" i="2"/>
  <c r="Y28" i="2"/>
  <c r="BA27" i="2"/>
  <c r="CG28" i="2"/>
  <c r="CW29" i="2"/>
  <c r="DM30" i="2"/>
  <c r="CS27" i="2"/>
  <c r="BE29" i="2"/>
  <c r="CO29" i="2"/>
  <c r="M28" i="2"/>
  <c r="BY26" i="2"/>
  <c r="EJ25" i="2"/>
  <c r="BZ25" i="2" s="1"/>
  <c r="DN24" i="2"/>
  <c r="AD24" i="2"/>
  <c r="BF24" i="2"/>
  <c r="AP24" i="2"/>
  <c r="CX24" i="2"/>
  <c r="CP24" i="2"/>
  <c r="DV24" i="2"/>
  <c r="EH24" i="2"/>
  <c r="J24" i="2"/>
  <c r="AT24" i="2"/>
  <c r="DF24" i="2"/>
  <c r="CL24" i="2"/>
  <c r="Z24" i="2"/>
  <c r="R24" i="2"/>
  <c r="CH24" i="2"/>
  <c r="N24" i="2"/>
  <c r="AL24" i="2"/>
  <c r="DB24" i="2"/>
  <c r="AX24" i="2"/>
  <c r="V24" i="2"/>
  <c r="BJ24" i="2"/>
  <c r="DZ24" i="2"/>
  <c r="DR24" i="2"/>
  <c r="BB24" i="2"/>
  <c r="CT24" i="2"/>
  <c r="AH24" i="2"/>
  <c r="U28" i="2"/>
  <c r="I28" i="2"/>
  <c r="DA28" i="2"/>
  <c r="BI28" i="2"/>
  <c r="AO29" i="2"/>
  <c r="EG28" i="2"/>
  <c r="DE28" i="2"/>
  <c r="D23" i="33"/>
  <c r="D14" i="33"/>
  <c r="DM31" i="2" l="1"/>
  <c r="ED25" i="2"/>
  <c r="EC26" i="2"/>
  <c r="AG28" i="2"/>
  <c r="I29" i="2"/>
  <c r="AS29" i="2"/>
  <c r="AO30" i="2"/>
  <c r="M29" i="2"/>
  <c r="Y29" i="2"/>
  <c r="EG29" i="2"/>
  <c r="CS28" i="2"/>
  <c r="AK29" i="2"/>
  <c r="U29" i="2"/>
  <c r="AW29" i="2"/>
  <c r="DQ28" i="2"/>
  <c r="BI29" i="2"/>
  <c r="CO30" i="2"/>
  <c r="CW30" i="2"/>
  <c r="DY29" i="2"/>
  <c r="EJ26" i="2"/>
  <c r="BZ26" i="2" s="1"/>
  <c r="DN25" i="2"/>
  <c r="BF25" i="2"/>
  <c r="AP25" i="2"/>
  <c r="CX25" i="2"/>
  <c r="DV25" i="2"/>
  <c r="CP25" i="2"/>
  <c r="AD25" i="2"/>
  <c r="AL25" i="2"/>
  <c r="Z25" i="2"/>
  <c r="AX25" i="2"/>
  <c r="J25" i="2"/>
  <c r="EH25" i="2"/>
  <c r="DZ25" i="2"/>
  <c r="V25" i="2"/>
  <c r="AT25" i="2"/>
  <c r="N25" i="2"/>
  <c r="DF25" i="2"/>
  <c r="CH25" i="2"/>
  <c r="DB25" i="2"/>
  <c r="R25" i="2"/>
  <c r="CL25" i="2"/>
  <c r="BJ25" i="2"/>
  <c r="DR25" i="2"/>
  <c r="BB25" i="2"/>
  <c r="CT25" i="2"/>
  <c r="AH25" i="2"/>
  <c r="CG29" i="2"/>
  <c r="Q29" i="2"/>
  <c r="DE29" i="2"/>
  <c r="DA29" i="2"/>
  <c r="BE30" i="2"/>
  <c r="DU30" i="2"/>
  <c r="AC30" i="2"/>
  <c r="BY27" i="2"/>
  <c r="BA28" i="2"/>
  <c r="CK29" i="2"/>
  <c r="F4" i="47"/>
  <c r="E4" i="47"/>
  <c r="BA29" i="2" l="1"/>
  <c r="CG30" i="2"/>
  <c r="EG30" i="2"/>
  <c r="BY28" i="2"/>
  <c r="DA30" i="2"/>
  <c r="CO31" i="2"/>
  <c r="AS30" i="2"/>
  <c r="U30" i="2"/>
  <c r="Y30" i="2"/>
  <c r="I30" i="2"/>
  <c r="AC31" i="2"/>
  <c r="EJ27" i="2"/>
  <c r="DN26" i="2"/>
  <c r="CX26" i="2"/>
  <c r="BF26" i="2"/>
  <c r="AD26" i="2"/>
  <c r="CP26" i="2"/>
  <c r="AP26" i="2"/>
  <c r="DV26" i="2"/>
  <c r="R26" i="2"/>
  <c r="J26" i="2"/>
  <c r="V26" i="2"/>
  <c r="N26" i="2"/>
  <c r="BJ26" i="2"/>
  <c r="DB26" i="2"/>
  <c r="Z26" i="2"/>
  <c r="CH26" i="2"/>
  <c r="CL26" i="2"/>
  <c r="AX26" i="2"/>
  <c r="AT26" i="2"/>
  <c r="AL26" i="2"/>
  <c r="DF26" i="2"/>
  <c r="EH26" i="2"/>
  <c r="DZ26" i="2"/>
  <c r="CT26" i="2"/>
  <c r="DR26" i="2"/>
  <c r="BB26" i="2"/>
  <c r="AH26" i="2"/>
  <c r="AK30" i="2"/>
  <c r="M30" i="2"/>
  <c r="BI30" i="2"/>
  <c r="AG29" i="2"/>
  <c r="DY30" i="2"/>
  <c r="DQ29" i="2"/>
  <c r="CS29" i="2"/>
  <c r="EC27" i="2"/>
  <c r="ED26" i="2"/>
  <c r="DE30" i="2"/>
  <c r="CK30" i="2"/>
  <c r="DU31" i="2"/>
  <c r="Q30" i="2"/>
  <c r="AO31" i="2"/>
  <c r="BE31" i="2"/>
  <c r="CW31" i="2"/>
  <c r="AW30" i="2"/>
  <c r="DM32" i="2"/>
  <c r="G5" i="47"/>
  <c r="G4" i="47"/>
  <c r="H4" i="47" s="1"/>
  <c r="O6" i="55" s="1"/>
  <c r="P6" i="55" l="1"/>
  <c r="U6" i="55"/>
  <c r="C6" i="55"/>
  <c r="T6" i="55"/>
  <c r="V6" i="55"/>
  <c r="K6" i="55"/>
  <c r="AC6" i="55" s="1"/>
  <c r="O6" i="56"/>
  <c r="DA31" i="2"/>
  <c r="EJ28" i="2"/>
  <c r="BZ28" i="2" s="1"/>
  <c r="DN27" i="2"/>
  <c r="AD27" i="2"/>
  <c r="CP27" i="2"/>
  <c r="BF27" i="2"/>
  <c r="CX27" i="2"/>
  <c r="DV27" i="2"/>
  <c r="AP27" i="2"/>
  <c r="AL27" i="2"/>
  <c r="AT27" i="2"/>
  <c r="R27" i="2"/>
  <c r="CH27" i="2"/>
  <c r="AX27" i="2"/>
  <c r="DZ27" i="2"/>
  <c r="BJ27" i="2"/>
  <c r="J27" i="2"/>
  <c r="DF27" i="2"/>
  <c r="Z27" i="2"/>
  <c r="N27" i="2"/>
  <c r="V27" i="2"/>
  <c r="CL27" i="2"/>
  <c r="EH27" i="2"/>
  <c r="DB27" i="2"/>
  <c r="CT27" i="2"/>
  <c r="DR27" i="2"/>
  <c r="AH27" i="2"/>
  <c r="BB27" i="2"/>
  <c r="BZ27" i="2"/>
  <c r="Y31" i="2"/>
  <c r="BA30" i="2"/>
  <c r="CW32" i="2"/>
  <c r="DU32" i="2"/>
  <c r="CS30" i="2"/>
  <c r="BI31" i="2"/>
  <c r="U31" i="2"/>
  <c r="BY29" i="2"/>
  <c r="DQ30" i="2"/>
  <c r="BE32" i="2"/>
  <c r="M31" i="2"/>
  <c r="AC32" i="2"/>
  <c r="AS31" i="2"/>
  <c r="CK31" i="2"/>
  <c r="AK31" i="2"/>
  <c r="CO32" i="2"/>
  <c r="CG31" i="2"/>
  <c r="EC28" i="2"/>
  <c r="ED27" i="2"/>
  <c r="EG31" i="2"/>
  <c r="AO32" i="2"/>
  <c r="DE31" i="2"/>
  <c r="DY31" i="2"/>
  <c r="I31" i="2"/>
  <c r="DM33" i="2"/>
  <c r="AW31" i="2"/>
  <c r="Q31" i="2"/>
  <c r="AG30" i="2"/>
  <c r="AL9" i="48" l="1"/>
  <c r="V6" i="56"/>
  <c r="V155" i="56" s="1"/>
  <c r="C6" i="56"/>
  <c r="N9" i="48" s="1"/>
  <c r="T6" i="56"/>
  <c r="T155" i="56" s="1"/>
  <c r="U6" i="56"/>
  <c r="P6" i="56"/>
  <c r="P155" i="56" s="1"/>
  <c r="O155" i="56" s="1"/>
  <c r="K6" i="56"/>
  <c r="L9" i="48" s="1"/>
  <c r="AW32" i="2"/>
  <c r="CG32" i="2"/>
  <c r="AS32" i="2"/>
  <c r="DQ31" i="2"/>
  <c r="CS31" i="2"/>
  <c r="AO33" i="2"/>
  <c r="BY30" i="2"/>
  <c r="DM34" i="2"/>
  <c r="CO33" i="2"/>
  <c r="AC33" i="2"/>
  <c r="DU33" i="2"/>
  <c r="AG31" i="2"/>
  <c r="I32" i="2"/>
  <c r="EG32" i="2"/>
  <c r="AK32" i="2"/>
  <c r="M32" i="2"/>
  <c r="U32" i="2"/>
  <c r="CW33" i="2"/>
  <c r="EJ29" i="2"/>
  <c r="DN28" i="2"/>
  <c r="AD28" i="2"/>
  <c r="DV28" i="2"/>
  <c r="BF28" i="2"/>
  <c r="CX28" i="2"/>
  <c r="CP28" i="2"/>
  <c r="AP28" i="2"/>
  <c r="AT28" i="2"/>
  <c r="EH28" i="2"/>
  <c r="CH28" i="2"/>
  <c r="DZ28" i="2"/>
  <c r="N28" i="2"/>
  <c r="AL28" i="2"/>
  <c r="R28" i="2"/>
  <c r="CL28" i="2"/>
  <c r="BJ28" i="2"/>
  <c r="DF28" i="2"/>
  <c r="DB28" i="2"/>
  <c r="AX28" i="2"/>
  <c r="J28" i="2"/>
  <c r="Z28" i="2"/>
  <c r="V28" i="2"/>
  <c r="BB28" i="2"/>
  <c r="DR28" i="2"/>
  <c r="CT28" i="2"/>
  <c r="AH28" i="2"/>
  <c r="Q32" i="2"/>
  <c r="DY32" i="2"/>
  <c r="CK32" i="2"/>
  <c r="BE33" i="2"/>
  <c r="ED28" i="2"/>
  <c r="EC29" i="2"/>
  <c r="BI32" i="2"/>
  <c r="BA31" i="2"/>
  <c r="DE32" i="2"/>
  <c r="Y32" i="2"/>
  <c r="DA32" i="2"/>
  <c r="K155" i="56" l="1"/>
  <c r="V156" i="56" s="1"/>
  <c r="AC6" i="56"/>
  <c r="AC155" i="56" s="1"/>
  <c r="U155" i="56"/>
  <c r="C155" i="56"/>
  <c r="I10" i="53"/>
  <c r="E38" i="54" s="1"/>
  <c r="DE33" i="2"/>
  <c r="ED29" i="2"/>
  <c r="EC30" i="2"/>
  <c r="BE34" i="2"/>
  <c r="M33" i="2"/>
  <c r="AG32" i="2"/>
  <c r="DM35" i="2"/>
  <c r="DQ32" i="2"/>
  <c r="AS33" i="2"/>
  <c r="EJ30" i="2"/>
  <c r="BZ30" i="2" s="1"/>
  <c r="DN29" i="2"/>
  <c r="AP29" i="2"/>
  <c r="DV29" i="2"/>
  <c r="AD29" i="2"/>
  <c r="CP29" i="2"/>
  <c r="CX29" i="2"/>
  <c r="BF29" i="2"/>
  <c r="DB29" i="2"/>
  <c r="Z29" i="2"/>
  <c r="R29" i="2"/>
  <c r="CH29" i="2"/>
  <c r="AL29" i="2"/>
  <c r="N29" i="2"/>
  <c r="J29" i="2"/>
  <c r="DZ29" i="2"/>
  <c r="DF29" i="2"/>
  <c r="CL29" i="2"/>
  <c r="AT29" i="2"/>
  <c r="EH29" i="2"/>
  <c r="BJ29" i="2"/>
  <c r="AX29" i="2"/>
  <c r="V29" i="2"/>
  <c r="CT29" i="2"/>
  <c r="DR29" i="2"/>
  <c r="BB29" i="2"/>
  <c r="AH29" i="2"/>
  <c r="BY31" i="2"/>
  <c r="CK33" i="2"/>
  <c r="AK33" i="2"/>
  <c r="DU34" i="2"/>
  <c r="BZ29" i="2"/>
  <c r="DY33" i="2"/>
  <c r="DA33" i="2"/>
  <c r="BI33" i="2"/>
  <c r="CW34" i="2"/>
  <c r="EG33" i="2"/>
  <c r="AC34" i="2"/>
  <c r="AO34" i="2"/>
  <c r="CG33" i="2"/>
  <c r="BA32" i="2"/>
  <c r="I33" i="2"/>
  <c r="Y33" i="2"/>
  <c r="Q33" i="2"/>
  <c r="U33" i="2"/>
  <c r="CO34" i="2"/>
  <c r="CS32" i="2"/>
  <c r="AW33" i="2"/>
  <c r="K7" i="33"/>
  <c r="W6" i="55" s="1"/>
  <c r="X6" i="55" l="1"/>
  <c r="W6" i="56"/>
  <c r="AT156" i="56"/>
  <c r="X180" i="56" s="1"/>
  <c r="AV156" i="56"/>
  <c r="X183" i="56" s="1"/>
  <c r="BA156" i="56"/>
  <c r="AP156" i="56"/>
  <c r="X177" i="56" s="1"/>
  <c r="AK156" i="56"/>
  <c r="X173" i="56" s="1"/>
  <c r="AW156" i="56"/>
  <c r="X182" i="56" s="1"/>
  <c r="AR156" i="56"/>
  <c r="AX156" i="56"/>
  <c r="AG156" i="56"/>
  <c r="X169" i="56" s="1"/>
  <c r="AY156" i="56"/>
  <c r="AS156" i="56"/>
  <c r="X179" i="56" s="1"/>
  <c r="AZ156" i="56"/>
  <c r="X185" i="56" s="1"/>
  <c r="AI156" i="56"/>
  <c r="X171" i="56" s="1"/>
  <c r="AO156" i="56"/>
  <c r="X176" i="56" s="1"/>
  <c r="AF156" i="56"/>
  <c r="X168" i="56" s="1"/>
  <c r="AU156" i="56"/>
  <c r="X181" i="56" s="1"/>
  <c r="AM156" i="56"/>
  <c r="AN156" i="56"/>
  <c r="X175" i="56" s="1"/>
  <c r="AJ156" i="56"/>
  <c r="X172" i="56" s="1"/>
  <c r="AH156" i="56"/>
  <c r="X170" i="56" s="1"/>
  <c r="AQ156" i="56"/>
  <c r="X178" i="56" s="1"/>
  <c r="AL156" i="56"/>
  <c r="X174" i="56" s="1"/>
  <c r="AC156" i="56"/>
  <c r="X165" i="56" s="1"/>
  <c r="I5" i="53"/>
  <c r="AH4" i="51"/>
  <c r="AH3" i="51"/>
  <c r="Y156" i="56"/>
  <c r="X163" i="56" s="1"/>
  <c r="I8" i="53"/>
  <c r="AC35" i="2"/>
  <c r="CK34" i="2"/>
  <c r="AS34" i="2"/>
  <c r="M34" i="2"/>
  <c r="EG34" i="2"/>
  <c r="DQ33" i="2"/>
  <c r="Q34" i="2"/>
  <c r="BE35" i="2"/>
  <c r="AW34" i="2"/>
  <c r="DM36" i="2"/>
  <c r="EC31" i="2"/>
  <c r="ED30" i="2"/>
  <c r="DY34" i="2"/>
  <c r="CG34" i="2"/>
  <c r="BI34" i="2"/>
  <c r="DU35" i="2"/>
  <c r="U34" i="2"/>
  <c r="BA33" i="2"/>
  <c r="AO35" i="2"/>
  <c r="EJ31" i="2"/>
  <c r="DN30" i="2"/>
  <c r="AD30" i="2"/>
  <c r="BF30" i="2"/>
  <c r="CP30" i="2"/>
  <c r="AP30" i="2"/>
  <c r="DV30" i="2"/>
  <c r="CX30" i="2"/>
  <c r="AT30" i="2"/>
  <c r="CH30" i="2"/>
  <c r="AX30" i="2"/>
  <c r="DB30" i="2"/>
  <c r="CL30" i="2"/>
  <c r="DZ30" i="2"/>
  <c r="R30" i="2"/>
  <c r="BJ30" i="2"/>
  <c r="V30" i="2"/>
  <c r="N30" i="2"/>
  <c r="AL30" i="2"/>
  <c r="EH30" i="2"/>
  <c r="J30" i="2"/>
  <c r="Z30" i="2"/>
  <c r="DF30" i="2"/>
  <c r="CT30" i="2"/>
  <c r="BB30" i="2"/>
  <c r="DR30" i="2"/>
  <c r="AH30" i="2"/>
  <c r="CO35" i="2"/>
  <c r="BY32" i="2"/>
  <c r="CW35" i="2"/>
  <c r="CS33" i="2"/>
  <c r="Y34" i="2"/>
  <c r="I34" i="2"/>
  <c r="DA34" i="2"/>
  <c r="AK34" i="2"/>
  <c r="AG33" i="2"/>
  <c r="DE34" i="2"/>
  <c r="X6" i="56" l="1"/>
  <c r="X184" i="56"/>
  <c r="CS34" i="2"/>
  <c r="U35" i="2"/>
  <c r="DY35" i="2"/>
  <c r="BE36" i="2"/>
  <c r="M35" i="2"/>
  <c r="EJ32" i="2"/>
  <c r="BZ32" i="2" s="1"/>
  <c r="DN31" i="2"/>
  <c r="BF31" i="2"/>
  <c r="CX31" i="2"/>
  <c r="AP31" i="2"/>
  <c r="DV31" i="2"/>
  <c r="AD31" i="2"/>
  <c r="CP31" i="2"/>
  <c r="J31" i="2"/>
  <c r="AX31" i="2"/>
  <c r="V31" i="2"/>
  <c r="R31" i="2"/>
  <c r="Z31" i="2"/>
  <c r="DZ31" i="2"/>
  <c r="DB31" i="2"/>
  <c r="BJ31" i="2"/>
  <c r="CH31" i="2"/>
  <c r="EH31" i="2"/>
  <c r="AL31" i="2"/>
  <c r="AT31" i="2"/>
  <c r="CL31" i="2"/>
  <c r="N31" i="2"/>
  <c r="DF31" i="2"/>
  <c r="AH31" i="2"/>
  <c r="CT31" i="2"/>
  <c r="DR31" i="2"/>
  <c r="BB31" i="2"/>
  <c r="Q35" i="2"/>
  <c r="DA35" i="2"/>
  <c r="CW36" i="2"/>
  <c r="DU36" i="2"/>
  <c r="ED31" i="2"/>
  <c r="EC32" i="2"/>
  <c r="AS35" i="2"/>
  <c r="DM37" i="2"/>
  <c r="DQ34" i="2"/>
  <c r="CK35" i="2"/>
  <c r="AK35" i="2"/>
  <c r="DE35" i="2"/>
  <c r="BI35" i="2"/>
  <c r="BA34" i="2"/>
  <c r="BY33" i="2"/>
  <c r="I35" i="2"/>
  <c r="BZ31" i="2"/>
  <c r="AO36" i="2"/>
  <c r="AG34" i="2"/>
  <c r="Y35" i="2"/>
  <c r="CO36" i="2"/>
  <c r="CG35" i="2"/>
  <c r="AW35" i="2"/>
  <c r="EG35" i="2"/>
  <c r="AC36" i="2"/>
  <c r="F14" i="33"/>
  <c r="E14" i="33"/>
  <c r="AG35" i="2" l="1"/>
  <c r="ED32" i="2"/>
  <c r="EC33" i="2"/>
  <c r="BE37" i="2"/>
  <c r="AW36" i="2"/>
  <c r="AO37" i="2"/>
  <c r="DY36" i="2"/>
  <c r="CK36" i="2"/>
  <c r="DQ35" i="2"/>
  <c r="DU37" i="2"/>
  <c r="Q36" i="2"/>
  <c r="CO37" i="2"/>
  <c r="EJ33" i="2"/>
  <c r="BZ33" i="2" s="1"/>
  <c r="DN32" i="2"/>
  <c r="CP32" i="2"/>
  <c r="DV32" i="2"/>
  <c r="AP32" i="2"/>
  <c r="AD32" i="2"/>
  <c r="CX32" i="2"/>
  <c r="BF32" i="2"/>
  <c r="BJ32" i="2"/>
  <c r="DF32" i="2"/>
  <c r="AL32" i="2"/>
  <c r="R32" i="2"/>
  <c r="AX32" i="2"/>
  <c r="Z32" i="2"/>
  <c r="DZ32" i="2"/>
  <c r="CH32" i="2"/>
  <c r="V32" i="2"/>
  <c r="EH32" i="2"/>
  <c r="N32" i="2"/>
  <c r="AT32" i="2"/>
  <c r="CL32" i="2"/>
  <c r="DB32" i="2"/>
  <c r="J32" i="2"/>
  <c r="BB32" i="2"/>
  <c r="AH32" i="2"/>
  <c r="CT32" i="2"/>
  <c r="DR32" i="2"/>
  <c r="DM38" i="2"/>
  <c r="CW37" i="2"/>
  <c r="U36" i="2"/>
  <c r="BI36" i="2"/>
  <c r="I36" i="2"/>
  <c r="EG36" i="2"/>
  <c r="Y36" i="2"/>
  <c r="AK36" i="2"/>
  <c r="BA35" i="2"/>
  <c r="CG36" i="2"/>
  <c r="AC37" i="2"/>
  <c r="DE36" i="2"/>
  <c r="BY34" i="2"/>
  <c r="AS36" i="2"/>
  <c r="DA36" i="2"/>
  <c r="M36" i="2"/>
  <c r="CS35" i="2"/>
  <c r="M40" i="54"/>
  <c r="D40" i="54"/>
  <c r="M39" i="54"/>
  <c r="D39" i="54"/>
  <c r="M37" i="54"/>
  <c r="D37" i="54"/>
  <c r="M36" i="54"/>
  <c r="D36" i="54"/>
  <c r="M35" i="54"/>
  <c r="D35" i="54"/>
  <c r="M34" i="54"/>
  <c r="D34" i="54"/>
  <c r="M33" i="54"/>
  <c r="D33" i="54"/>
  <c r="M32" i="54"/>
  <c r="D32" i="54"/>
  <c r="M31" i="54"/>
  <c r="D31" i="54"/>
  <c r="M30" i="54"/>
  <c r="D30" i="54"/>
  <c r="M29" i="54"/>
  <c r="D29" i="54"/>
  <c r="M28" i="54"/>
  <c r="D28" i="54"/>
  <c r="M27" i="54"/>
  <c r="D27" i="54"/>
  <c r="M26" i="54"/>
  <c r="D26" i="54"/>
  <c r="M25" i="54"/>
  <c r="D25" i="54"/>
  <c r="M24" i="54"/>
  <c r="D24" i="54"/>
  <c r="M23" i="54"/>
  <c r="D23" i="54"/>
  <c r="M22" i="54"/>
  <c r="D22" i="54"/>
  <c r="M21" i="54"/>
  <c r="D21" i="54"/>
  <c r="M20" i="54"/>
  <c r="D20" i="54"/>
  <c r="M19" i="54"/>
  <c r="D19" i="54"/>
  <c r="M18" i="54"/>
  <c r="D18" i="54"/>
  <c r="M17" i="54"/>
  <c r="D17" i="54"/>
  <c r="M16" i="54"/>
  <c r="D16" i="54"/>
  <c r="M11" i="54"/>
  <c r="D11" i="54"/>
  <c r="M10" i="54"/>
  <c r="D10" i="54"/>
  <c r="M9" i="54"/>
  <c r="D9" i="54"/>
  <c r="M8" i="54"/>
  <c r="D8" i="54"/>
  <c r="M7" i="54"/>
  <c r="D7" i="54"/>
  <c r="M6" i="54"/>
  <c r="D6" i="54"/>
  <c r="M5" i="54"/>
  <c r="D5" i="54"/>
  <c r="M4" i="54"/>
  <c r="D4" i="54"/>
  <c r="E3" i="54"/>
  <c r="F3" i="54" s="1"/>
  <c r="G3" i="54" s="1"/>
  <c r="H3" i="54" s="1"/>
  <c r="M3" i="54" s="1"/>
  <c r="N3" i="54" s="1"/>
  <c r="O3" i="54" s="1"/>
  <c r="P3" i="54" s="1"/>
  <c r="Q3" i="54" s="1"/>
  <c r="EJ34" i="2" l="1"/>
  <c r="DN33" i="2"/>
  <c r="AD33" i="2"/>
  <c r="CP33" i="2"/>
  <c r="AP33" i="2"/>
  <c r="DV33" i="2"/>
  <c r="CX33" i="2"/>
  <c r="BF33" i="2"/>
  <c r="DF33" i="2"/>
  <c r="DB33" i="2"/>
  <c r="AL33" i="2"/>
  <c r="EH33" i="2"/>
  <c r="AX33" i="2"/>
  <c r="CH33" i="2"/>
  <c r="Z33" i="2"/>
  <c r="J33" i="2"/>
  <c r="CL33" i="2"/>
  <c r="BJ33" i="2"/>
  <c r="R33" i="2"/>
  <c r="AT33" i="2"/>
  <c r="N33" i="2"/>
  <c r="DZ33" i="2"/>
  <c r="V33" i="2"/>
  <c r="AH33" i="2"/>
  <c r="CT33" i="2"/>
  <c r="DR33" i="2"/>
  <c r="BB33" i="2"/>
  <c r="U37" i="2"/>
  <c r="DQ36" i="2"/>
  <c r="AW37" i="2"/>
  <c r="DA37" i="2"/>
  <c r="AS37" i="2"/>
  <c r="EG37" i="2"/>
  <c r="CW38" i="2"/>
  <c r="CO38" i="2"/>
  <c r="CK37" i="2"/>
  <c r="BE38" i="2"/>
  <c r="Y37" i="2"/>
  <c r="DM39" i="2"/>
  <c r="DM40" i="2" s="1"/>
  <c r="ED33" i="2"/>
  <c r="EC34" i="2"/>
  <c r="BY35" i="2"/>
  <c r="BZ34" i="2"/>
  <c r="BA36" i="2"/>
  <c r="I37" i="2"/>
  <c r="Q37" i="2"/>
  <c r="DY37" i="2"/>
  <c r="CS36" i="2"/>
  <c r="AC38" i="2"/>
  <c r="CG37" i="2"/>
  <c r="M37" i="2"/>
  <c r="DE37" i="2"/>
  <c r="AK37" i="2"/>
  <c r="BI37" i="2"/>
  <c r="DU38" i="2"/>
  <c r="AO38" i="2"/>
  <c r="AG36" i="2"/>
  <c r="D41" i="54"/>
  <c r="M41" i="54"/>
  <c r="F32" i="4"/>
  <c r="E32" i="4"/>
  <c r="D32" i="4"/>
  <c r="C32" i="4"/>
  <c r="F23" i="4"/>
  <c r="E23" i="4"/>
  <c r="D23" i="4"/>
  <c r="C23" i="4"/>
  <c r="F14" i="4"/>
  <c r="E14" i="4"/>
  <c r="D14" i="4"/>
  <c r="F32" i="37"/>
  <c r="E32" i="37"/>
  <c r="D32" i="37"/>
  <c r="C32" i="37"/>
  <c r="F23" i="37"/>
  <c r="E23" i="37"/>
  <c r="D23" i="37"/>
  <c r="C23" i="37"/>
  <c r="F14" i="37"/>
  <c r="E14" i="37"/>
  <c r="D14" i="37"/>
  <c r="F32" i="6"/>
  <c r="E32" i="6"/>
  <c r="D32" i="6"/>
  <c r="C32" i="6"/>
  <c r="F23" i="6"/>
  <c r="E23" i="6"/>
  <c r="D23" i="6"/>
  <c r="C23" i="6"/>
  <c r="F14" i="6"/>
  <c r="E14" i="6"/>
  <c r="D14" i="6"/>
  <c r="F32" i="7"/>
  <c r="E32" i="7"/>
  <c r="D32" i="7"/>
  <c r="C32" i="7"/>
  <c r="F23" i="7"/>
  <c r="E23" i="7"/>
  <c r="D23" i="7"/>
  <c r="C23" i="7"/>
  <c r="F14" i="7"/>
  <c r="E14" i="7"/>
  <c r="E34" i="7" s="1"/>
  <c r="D14" i="7"/>
  <c r="F32" i="8"/>
  <c r="E32" i="8"/>
  <c r="D32" i="8"/>
  <c r="C32" i="8"/>
  <c r="F23" i="8"/>
  <c r="E23" i="8"/>
  <c r="D23" i="8"/>
  <c r="C23" i="8"/>
  <c r="F14" i="8"/>
  <c r="E14" i="8"/>
  <c r="D14" i="8"/>
  <c r="F32" i="9"/>
  <c r="E32" i="9"/>
  <c r="D32" i="9"/>
  <c r="C32" i="9"/>
  <c r="F23" i="9"/>
  <c r="E23" i="9"/>
  <c r="D23" i="9"/>
  <c r="C23" i="9"/>
  <c r="F14" i="9"/>
  <c r="E14" i="9"/>
  <c r="D14" i="9"/>
  <c r="F32" i="10"/>
  <c r="E32" i="10"/>
  <c r="D32" i="10"/>
  <c r="C32" i="10"/>
  <c r="F23" i="10"/>
  <c r="E23" i="10"/>
  <c r="D23" i="10"/>
  <c r="C23" i="10"/>
  <c r="F14" i="10"/>
  <c r="E14" i="10"/>
  <c r="D14" i="10"/>
  <c r="F32" i="11"/>
  <c r="E32" i="11"/>
  <c r="D32" i="11"/>
  <c r="C32" i="11"/>
  <c r="F23" i="11"/>
  <c r="E23" i="11"/>
  <c r="D23" i="11"/>
  <c r="C23" i="11"/>
  <c r="F14" i="11"/>
  <c r="E14" i="11"/>
  <c r="D14" i="11"/>
  <c r="F32" i="12"/>
  <c r="E32" i="12"/>
  <c r="D32" i="12"/>
  <c r="C32" i="12"/>
  <c r="F23" i="12"/>
  <c r="E23" i="12"/>
  <c r="D23" i="12"/>
  <c r="C23" i="12"/>
  <c r="F14" i="12"/>
  <c r="E14" i="12"/>
  <c r="D14" i="12"/>
  <c r="D34" i="12" s="1"/>
  <c r="F32" i="13"/>
  <c r="E32" i="13"/>
  <c r="D32" i="13"/>
  <c r="C32" i="13"/>
  <c r="F23" i="13"/>
  <c r="E23" i="13"/>
  <c r="D23" i="13"/>
  <c r="C23" i="13"/>
  <c r="F14" i="13"/>
  <c r="E14" i="13"/>
  <c r="D14" i="13"/>
  <c r="F32" i="14"/>
  <c r="E32" i="14"/>
  <c r="D32" i="14"/>
  <c r="C32" i="14"/>
  <c r="F23" i="14"/>
  <c r="E23" i="14"/>
  <c r="D23" i="14"/>
  <c r="C23" i="14"/>
  <c r="F14" i="14"/>
  <c r="E14" i="14"/>
  <c r="E34" i="14" s="1"/>
  <c r="D14" i="14"/>
  <c r="F32" i="15"/>
  <c r="E32" i="15"/>
  <c r="D32" i="15"/>
  <c r="C32" i="15"/>
  <c r="F23" i="15"/>
  <c r="E23" i="15"/>
  <c r="D23" i="15"/>
  <c r="C23" i="15"/>
  <c r="F14" i="15"/>
  <c r="E14" i="15"/>
  <c r="D14" i="15"/>
  <c r="F32" i="16"/>
  <c r="E32" i="16"/>
  <c r="D32" i="16"/>
  <c r="F23" i="16"/>
  <c r="E23" i="16"/>
  <c r="D23" i="16"/>
  <c r="F14" i="16"/>
  <c r="E14" i="16"/>
  <c r="E34" i="16" s="1"/>
  <c r="D14" i="16"/>
  <c r="F32" i="17"/>
  <c r="E32" i="17"/>
  <c r="D32" i="17"/>
  <c r="C32" i="17"/>
  <c r="F23" i="17"/>
  <c r="E23" i="17"/>
  <c r="D23" i="17"/>
  <c r="C23" i="17"/>
  <c r="C15" i="17" s="1"/>
  <c r="F14" i="17"/>
  <c r="E14" i="17"/>
  <c r="D14" i="17"/>
  <c r="F32" i="18"/>
  <c r="E32" i="18"/>
  <c r="D32" i="18"/>
  <c r="C32" i="18"/>
  <c r="F23" i="18"/>
  <c r="E23" i="18"/>
  <c r="D23" i="18"/>
  <c r="C23" i="18"/>
  <c r="F14" i="18"/>
  <c r="E14" i="18"/>
  <c r="D14" i="18"/>
  <c r="D34" i="18" s="1"/>
  <c r="F32" i="19"/>
  <c r="E32" i="19"/>
  <c r="D32" i="19"/>
  <c r="C32" i="19"/>
  <c r="F23" i="19"/>
  <c r="E23" i="19"/>
  <c r="D23" i="19"/>
  <c r="C23" i="19"/>
  <c r="F14" i="19"/>
  <c r="F32" i="20"/>
  <c r="E32" i="20"/>
  <c r="D32" i="20"/>
  <c r="C32" i="20"/>
  <c r="F23" i="20"/>
  <c r="E23" i="20"/>
  <c r="D23" i="20"/>
  <c r="C23" i="20"/>
  <c r="F14" i="20"/>
  <c r="F32" i="22"/>
  <c r="E32" i="22"/>
  <c r="D32" i="22"/>
  <c r="C32" i="22"/>
  <c r="F23" i="22"/>
  <c r="E23" i="22"/>
  <c r="D23" i="22"/>
  <c r="C23" i="22"/>
  <c r="C24" i="22" s="1"/>
  <c r="F14" i="22"/>
  <c r="F32" i="21"/>
  <c r="E32" i="21"/>
  <c r="D32" i="21"/>
  <c r="C32" i="21"/>
  <c r="F23" i="21"/>
  <c r="E23" i="21"/>
  <c r="D23" i="21"/>
  <c r="C23" i="21"/>
  <c r="F14" i="21"/>
  <c r="E34" i="21"/>
  <c r="F32" i="23"/>
  <c r="E32" i="23"/>
  <c r="D32" i="23"/>
  <c r="C32" i="23"/>
  <c r="F23" i="23"/>
  <c r="E23" i="23"/>
  <c r="D23" i="23"/>
  <c r="C23" i="23"/>
  <c r="F14" i="23"/>
  <c r="F32" i="24"/>
  <c r="E32" i="24"/>
  <c r="D32" i="24"/>
  <c r="C32" i="24"/>
  <c r="F23" i="24"/>
  <c r="E23" i="24"/>
  <c r="D23" i="24"/>
  <c r="C23" i="24"/>
  <c r="F14" i="24"/>
  <c r="F32" i="25"/>
  <c r="E32" i="25"/>
  <c r="D32" i="25"/>
  <c r="C32" i="25"/>
  <c r="F23" i="25"/>
  <c r="E23" i="25"/>
  <c r="D23" i="25"/>
  <c r="C23" i="25"/>
  <c r="F14" i="25"/>
  <c r="F32" i="26"/>
  <c r="E32" i="26"/>
  <c r="D32" i="26"/>
  <c r="C32" i="26"/>
  <c r="F23" i="26"/>
  <c r="E23" i="26"/>
  <c r="D23" i="26"/>
  <c r="C23" i="26"/>
  <c r="F14" i="26"/>
  <c r="F32" i="28"/>
  <c r="E32" i="28"/>
  <c r="D32" i="28"/>
  <c r="C32" i="28"/>
  <c r="F23" i="28"/>
  <c r="E23" i="28"/>
  <c r="D23" i="28"/>
  <c r="C23" i="28"/>
  <c r="F14" i="28"/>
  <c r="F32" i="32"/>
  <c r="E32" i="32"/>
  <c r="D32" i="32"/>
  <c r="C32" i="32"/>
  <c r="E23" i="32"/>
  <c r="E34" i="32" s="1"/>
  <c r="D23" i="32"/>
  <c r="C23" i="32"/>
  <c r="C15" i="4" l="1"/>
  <c r="C15" i="37"/>
  <c r="C15" i="6"/>
  <c r="D24" i="16"/>
  <c r="C15" i="16"/>
  <c r="C24" i="16"/>
  <c r="C33" i="17"/>
  <c r="E34" i="9"/>
  <c r="C15" i="7"/>
  <c r="C33" i="8"/>
  <c r="C15" i="8"/>
  <c r="C15" i="9"/>
  <c r="C33" i="10"/>
  <c r="C15" i="10"/>
  <c r="F34" i="10"/>
  <c r="C15" i="11"/>
  <c r="F34" i="11"/>
  <c r="C34" i="12"/>
  <c r="C15" i="12"/>
  <c r="C15" i="13"/>
  <c r="D34" i="13"/>
  <c r="D33" i="13"/>
  <c r="C24" i="14"/>
  <c r="C15" i="14"/>
  <c r="E33" i="15"/>
  <c r="C34" i="15"/>
  <c r="K12" i="15" s="1"/>
  <c r="C15" i="15"/>
  <c r="D24" i="15"/>
  <c r="F34" i="16"/>
  <c r="C15" i="18"/>
  <c r="F34" i="18"/>
  <c r="D34" i="19"/>
  <c r="F34" i="19"/>
  <c r="F34" i="24"/>
  <c r="D24" i="25"/>
  <c r="F34" i="26"/>
  <c r="C24" i="19"/>
  <c r="D33" i="15"/>
  <c r="D33" i="7"/>
  <c r="D33" i="9"/>
  <c r="E24" i="23"/>
  <c r="F34" i="28"/>
  <c r="F34" i="20"/>
  <c r="D34" i="16"/>
  <c r="Z81" i="55" s="1"/>
  <c r="F34" i="14"/>
  <c r="E15" i="11"/>
  <c r="E33" i="25"/>
  <c r="D33" i="24"/>
  <c r="E15" i="37"/>
  <c r="E34" i="26"/>
  <c r="C34" i="24"/>
  <c r="K13" i="24" s="1"/>
  <c r="E34" i="23"/>
  <c r="C33" i="4"/>
  <c r="C24" i="23"/>
  <c r="D24" i="23"/>
  <c r="D24" i="26"/>
  <c r="C24" i="25"/>
  <c r="D34" i="24"/>
  <c r="E33" i="24"/>
  <c r="E24" i="15"/>
  <c r="F34" i="23"/>
  <c r="E33" i="18"/>
  <c r="D15" i="15"/>
  <c r="F34" i="13"/>
  <c r="E34" i="10"/>
  <c r="C24" i="8"/>
  <c r="F34" i="37"/>
  <c r="F34" i="9"/>
  <c r="D34" i="4"/>
  <c r="F34" i="21"/>
  <c r="C34" i="18"/>
  <c r="D15" i="16"/>
  <c r="E34" i="12"/>
  <c r="F34" i="7"/>
  <c r="D34" i="32"/>
  <c r="C33" i="11"/>
  <c r="C24" i="7"/>
  <c r="DU39" i="2"/>
  <c r="DU40" i="2" s="1"/>
  <c r="M38" i="2"/>
  <c r="DY38" i="2"/>
  <c r="BY36" i="2"/>
  <c r="BE39" i="2"/>
  <c r="BE40" i="2" s="1"/>
  <c r="EG38" i="2"/>
  <c r="DQ37" i="2"/>
  <c r="ED34" i="2"/>
  <c r="EC35" i="2"/>
  <c r="AS38" i="2"/>
  <c r="BI38" i="2"/>
  <c r="CG38" i="2"/>
  <c r="Q38" i="2"/>
  <c r="CK38" i="2"/>
  <c r="U38" i="2"/>
  <c r="AG37" i="2"/>
  <c r="AK38" i="2"/>
  <c r="AC39" i="2"/>
  <c r="AC40" i="2" s="1"/>
  <c r="I38" i="2"/>
  <c r="CO39" i="2"/>
  <c r="CO40" i="2" s="1"/>
  <c r="DA38" i="2"/>
  <c r="CW39" i="2"/>
  <c r="CW40" i="2" s="1"/>
  <c r="EJ35" i="2"/>
  <c r="BZ35" i="2" s="1"/>
  <c r="DN34" i="2"/>
  <c r="AD34" i="2"/>
  <c r="CP34" i="2"/>
  <c r="CX34" i="2"/>
  <c r="AP34" i="2"/>
  <c r="DV34" i="2"/>
  <c r="BF34" i="2"/>
  <c r="AL34" i="2"/>
  <c r="AX34" i="2"/>
  <c r="Z34" i="2"/>
  <c r="N34" i="2"/>
  <c r="DB34" i="2"/>
  <c r="AT34" i="2"/>
  <c r="EH34" i="2"/>
  <c r="BJ34" i="2"/>
  <c r="V34" i="2"/>
  <c r="DF34" i="2"/>
  <c r="J34" i="2"/>
  <c r="DZ34" i="2"/>
  <c r="CH34" i="2"/>
  <c r="R34" i="2"/>
  <c r="CL34" i="2"/>
  <c r="AH34" i="2"/>
  <c r="BB34" i="2"/>
  <c r="CT34" i="2"/>
  <c r="DR34" i="2"/>
  <c r="AO39" i="2"/>
  <c r="AO40" i="2" s="1"/>
  <c r="DE38" i="2"/>
  <c r="CS37" i="2"/>
  <c r="BA37" i="2"/>
  <c r="Y38" i="2"/>
  <c r="AW38" i="2"/>
  <c r="D33" i="23"/>
  <c r="D24" i="20"/>
  <c r="D33" i="18"/>
  <c r="C24" i="17"/>
  <c r="E24" i="13"/>
  <c r="C24" i="10"/>
  <c r="D34" i="9"/>
  <c r="Z111" i="55" s="1"/>
  <c r="E15" i="8"/>
  <c r="C33" i="7"/>
  <c r="D24" i="28"/>
  <c r="D33" i="26"/>
  <c r="D33" i="21"/>
  <c r="C33" i="22"/>
  <c r="D15" i="22"/>
  <c r="E15" i="22"/>
  <c r="C15" i="22"/>
  <c r="D24" i="19"/>
  <c r="D33" i="11"/>
  <c r="D24" i="8"/>
  <c r="E34" i="37"/>
  <c r="D15" i="21"/>
  <c r="C15" i="21"/>
  <c r="E15" i="21"/>
  <c r="E24" i="28"/>
  <c r="C34" i="26"/>
  <c r="K13" i="26" s="1"/>
  <c r="C33" i="25"/>
  <c r="E15" i="25"/>
  <c r="D15" i="25"/>
  <c r="C15" i="25"/>
  <c r="E15" i="20"/>
  <c r="C15" i="20"/>
  <c r="D15" i="20"/>
  <c r="E24" i="19"/>
  <c r="E33" i="11"/>
  <c r="E15" i="9"/>
  <c r="E24" i="8"/>
  <c r="D24" i="37"/>
  <c r="C33" i="26"/>
  <c r="D15" i="26"/>
  <c r="E15" i="26"/>
  <c r="C15" i="26"/>
  <c r="E34" i="13"/>
  <c r="E24" i="12"/>
  <c r="D34" i="8"/>
  <c r="Z115" i="55" s="1"/>
  <c r="C33" i="28"/>
  <c r="E15" i="28"/>
  <c r="C15" i="28"/>
  <c r="D15" i="28"/>
  <c r="F34" i="25"/>
  <c r="C33" i="24"/>
  <c r="C15" i="24"/>
  <c r="E15" i="24"/>
  <c r="D15" i="24"/>
  <c r="F34" i="22"/>
  <c r="E34" i="20"/>
  <c r="D15" i="19"/>
  <c r="C15" i="19"/>
  <c r="E15" i="19"/>
  <c r="F34" i="15"/>
  <c r="D34" i="10"/>
  <c r="D24" i="9"/>
  <c r="E34" i="6"/>
  <c r="F34" i="12"/>
  <c r="E24" i="18"/>
  <c r="E15" i="17"/>
  <c r="E15" i="13"/>
  <c r="E24" i="9"/>
  <c r="F34" i="8"/>
  <c r="F34" i="6"/>
  <c r="C24" i="32"/>
  <c r="C24" i="26"/>
  <c r="E15" i="23"/>
  <c r="C15" i="23"/>
  <c r="D15" i="23"/>
  <c r="C24" i="20"/>
  <c r="C33" i="16"/>
  <c r="D34" i="15"/>
  <c r="C33" i="14"/>
  <c r="D24" i="11"/>
  <c r="D15" i="8"/>
  <c r="C24" i="6"/>
  <c r="D34" i="26"/>
  <c r="E34" i="22"/>
  <c r="E34" i="19"/>
  <c r="E34" i="18"/>
  <c r="E34" i="17"/>
  <c r="E33" i="16"/>
  <c r="C33" i="12"/>
  <c r="C24" i="11"/>
  <c r="E34" i="25"/>
  <c r="C24" i="24"/>
  <c r="D34" i="23"/>
  <c r="D24" i="13"/>
  <c r="D33" i="12"/>
  <c r="D15" i="9"/>
  <c r="C33" i="9"/>
  <c r="C33" i="6"/>
  <c r="C24" i="37"/>
  <c r="C24" i="28"/>
  <c r="E33" i="28"/>
  <c r="C33" i="20"/>
  <c r="C33" i="19"/>
  <c r="D34" i="17"/>
  <c r="C24" i="15"/>
  <c r="E34" i="11"/>
  <c r="D34" i="6"/>
  <c r="E34" i="24"/>
  <c r="C34" i="23"/>
  <c r="C35" i="23" s="1"/>
  <c r="C24" i="21"/>
  <c r="D33" i="20"/>
  <c r="D33" i="19"/>
  <c r="C33" i="18"/>
  <c r="E24" i="16"/>
  <c r="E34" i="15"/>
  <c r="D15" i="13"/>
  <c r="C33" i="13"/>
  <c r="D15" i="12"/>
  <c r="D33" i="10"/>
  <c r="C24" i="9"/>
  <c r="D33" i="8"/>
  <c r="D33" i="4"/>
  <c r="E34" i="4"/>
  <c r="D33" i="25"/>
  <c r="D33" i="22"/>
  <c r="D24" i="17"/>
  <c r="D33" i="16"/>
  <c r="C33" i="15"/>
  <c r="D34" i="14"/>
  <c r="C24" i="13"/>
  <c r="F34" i="4"/>
  <c r="D34" i="20"/>
  <c r="E33" i="20"/>
  <c r="D24" i="18"/>
  <c r="E34" i="8"/>
  <c r="C33" i="37"/>
  <c r="C24" i="4"/>
  <c r="E24" i="24"/>
  <c r="C33" i="23"/>
  <c r="C33" i="21"/>
  <c r="F34" i="17"/>
  <c r="D33" i="17"/>
  <c r="D33" i="37"/>
  <c r="C33" i="32"/>
  <c r="D15" i="32"/>
  <c r="E15" i="32"/>
  <c r="C15" i="32"/>
  <c r="E33" i="32"/>
  <c r="D33" i="32"/>
  <c r="D24" i="32"/>
  <c r="E24" i="32"/>
  <c r="C34" i="32"/>
  <c r="E35" i="32" s="1"/>
  <c r="F34" i="32"/>
  <c r="D24" i="4"/>
  <c r="E33" i="4"/>
  <c r="D15" i="4"/>
  <c r="E24" i="4"/>
  <c r="C34" i="4"/>
  <c r="E15" i="4"/>
  <c r="E33" i="37"/>
  <c r="D15" i="37"/>
  <c r="E24" i="37"/>
  <c r="C34" i="37"/>
  <c r="D34" i="37"/>
  <c r="D24" i="6"/>
  <c r="E33" i="6"/>
  <c r="D33" i="6"/>
  <c r="D15" i="6"/>
  <c r="E24" i="6"/>
  <c r="C34" i="6"/>
  <c r="E15" i="6"/>
  <c r="D24" i="7"/>
  <c r="E33" i="7"/>
  <c r="D15" i="7"/>
  <c r="E24" i="7"/>
  <c r="C34" i="7"/>
  <c r="E15" i="7"/>
  <c r="D34" i="7"/>
  <c r="E33" i="8"/>
  <c r="C34" i="8"/>
  <c r="K13" i="8" s="1"/>
  <c r="E33" i="9"/>
  <c r="C34" i="9"/>
  <c r="K13" i="9" s="1"/>
  <c r="D24" i="10"/>
  <c r="E33" i="10"/>
  <c r="D15" i="10"/>
  <c r="E24" i="10"/>
  <c r="C34" i="10"/>
  <c r="E15" i="10"/>
  <c r="D15" i="11"/>
  <c r="E24" i="11"/>
  <c r="C34" i="11"/>
  <c r="D34" i="11"/>
  <c r="C24" i="12"/>
  <c r="D24" i="12"/>
  <c r="E33" i="12"/>
  <c r="E15" i="12"/>
  <c r="E33" i="13"/>
  <c r="C34" i="13"/>
  <c r="C35" i="13" s="1"/>
  <c r="D24" i="14"/>
  <c r="E33" i="14"/>
  <c r="D33" i="14"/>
  <c r="D15" i="14"/>
  <c r="E24" i="14"/>
  <c r="C34" i="14"/>
  <c r="K12" i="14" s="1"/>
  <c r="E15" i="14"/>
  <c r="E15" i="15"/>
  <c r="C34" i="16"/>
  <c r="E15" i="16"/>
  <c r="E33" i="17"/>
  <c r="D15" i="17"/>
  <c r="E24" i="17"/>
  <c r="C34" i="17"/>
  <c r="C24" i="18"/>
  <c r="D15" i="18"/>
  <c r="E15" i="18"/>
  <c r="E33" i="19"/>
  <c r="C34" i="19"/>
  <c r="E24" i="20"/>
  <c r="C34" i="20"/>
  <c r="D24" i="22"/>
  <c r="E33" i="22"/>
  <c r="E24" i="22"/>
  <c r="C34" i="22"/>
  <c r="D34" i="22"/>
  <c r="D24" i="21"/>
  <c r="E33" i="21"/>
  <c r="E24" i="21"/>
  <c r="C34" i="21"/>
  <c r="D34" i="21"/>
  <c r="E33" i="23"/>
  <c r="D24" i="24"/>
  <c r="E24" i="25"/>
  <c r="C34" i="25"/>
  <c r="K13" i="25" s="1"/>
  <c r="D34" i="25"/>
  <c r="E33" i="26"/>
  <c r="E24" i="26"/>
  <c r="D33" i="28"/>
  <c r="E34" i="28"/>
  <c r="C34" i="28"/>
  <c r="D34" i="28"/>
  <c r="Z63" i="55" l="1"/>
  <c r="AA63" i="55" s="1"/>
  <c r="AB63" i="55" s="1"/>
  <c r="Z131" i="56"/>
  <c r="AA131" i="56" s="1"/>
  <c r="AB131" i="56" s="1"/>
  <c r="Z131" i="55"/>
  <c r="AA131" i="55" s="1"/>
  <c r="AB131" i="55" s="1"/>
  <c r="Z11" i="55"/>
  <c r="AA11" i="55" s="1"/>
  <c r="AB11" i="55" s="1"/>
  <c r="AA59" i="55"/>
  <c r="AB59" i="55" s="1"/>
  <c r="Z59" i="55"/>
  <c r="C35" i="19"/>
  <c r="D35" i="15"/>
  <c r="C35" i="12"/>
  <c r="C35" i="6"/>
  <c r="Z11" i="56"/>
  <c r="AA11" i="56" s="1"/>
  <c r="AB11" i="56" s="1"/>
  <c r="C35" i="16"/>
  <c r="K12" i="16"/>
  <c r="Z115" i="56"/>
  <c r="Z63" i="56"/>
  <c r="AA63" i="56" s="1"/>
  <c r="AB63" i="56" s="1"/>
  <c r="Z59" i="56"/>
  <c r="AA59" i="56" s="1"/>
  <c r="AB59" i="56" s="1"/>
  <c r="Z111" i="56"/>
  <c r="Z81" i="56"/>
  <c r="C35" i="20"/>
  <c r="C35" i="15"/>
  <c r="E35" i="12"/>
  <c r="C35" i="10"/>
  <c r="E35" i="15"/>
  <c r="E35" i="26"/>
  <c r="D35" i="12"/>
  <c r="C35" i="17"/>
  <c r="D35" i="4"/>
  <c r="C35" i="26"/>
  <c r="C35" i="32"/>
  <c r="D35" i="20"/>
  <c r="C35" i="14"/>
  <c r="D35" i="37"/>
  <c r="D35" i="7"/>
  <c r="D35" i="26"/>
  <c r="Y39" i="2"/>
  <c r="Y40" i="2" s="1"/>
  <c r="DA39" i="2"/>
  <c r="DA40" i="2" s="1"/>
  <c r="AK39" i="2"/>
  <c r="AK40" i="2" s="1"/>
  <c r="ED35" i="2"/>
  <c r="EC36" i="2"/>
  <c r="Q39" i="2"/>
  <c r="Q40" i="2" s="1"/>
  <c r="BY37" i="2"/>
  <c r="BA38" i="2"/>
  <c r="AG38" i="2"/>
  <c r="EJ36" i="2"/>
  <c r="BZ36" i="2" s="1"/>
  <c r="DN35" i="2"/>
  <c r="CP35" i="2"/>
  <c r="AD35" i="2"/>
  <c r="AP35" i="2"/>
  <c r="CX35" i="2"/>
  <c r="DV35" i="2"/>
  <c r="BF35" i="2"/>
  <c r="BJ35" i="2"/>
  <c r="AL35" i="2"/>
  <c r="DF35" i="2"/>
  <c r="N35" i="2"/>
  <c r="DZ35" i="2"/>
  <c r="R35" i="2"/>
  <c r="J35" i="2"/>
  <c r="CL35" i="2"/>
  <c r="EH35" i="2"/>
  <c r="CH35" i="2"/>
  <c r="AT35" i="2"/>
  <c r="AX35" i="2"/>
  <c r="V35" i="2"/>
  <c r="Z35" i="2"/>
  <c r="DB35" i="2"/>
  <c r="BB35" i="2"/>
  <c r="CT35" i="2"/>
  <c r="AH35" i="2"/>
  <c r="DR35" i="2"/>
  <c r="CG39" i="2"/>
  <c r="CG40" i="2" s="1"/>
  <c r="DQ38" i="2"/>
  <c r="DY39" i="2"/>
  <c r="DY40" i="2" s="1"/>
  <c r="CS38" i="2"/>
  <c r="I39" i="2"/>
  <c r="I40" i="2" s="1"/>
  <c r="U39" i="2"/>
  <c r="U40" i="2" s="1"/>
  <c r="BI39" i="2"/>
  <c r="BI40" i="2" s="1"/>
  <c r="EG39" i="2"/>
  <c r="EG40" i="2" s="1"/>
  <c r="M39" i="2"/>
  <c r="M40" i="2" s="1"/>
  <c r="AW39" i="2"/>
  <c r="AW40" i="2" s="1"/>
  <c r="DE39" i="2"/>
  <c r="DE40" i="2" s="1"/>
  <c r="CK39" i="2"/>
  <c r="CK40" i="2" s="1"/>
  <c r="AS39" i="2"/>
  <c r="AS40" i="2" s="1"/>
  <c r="C35" i="9"/>
  <c r="C35" i="8"/>
  <c r="C35" i="21"/>
  <c r="D35" i="14"/>
  <c r="E35" i="7"/>
  <c r="E35" i="23"/>
  <c r="C35" i="22"/>
  <c r="C35" i="11"/>
  <c r="E35" i="21"/>
  <c r="D35" i="25"/>
  <c r="D35" i="21"/>
  <c r="D35" i="23"/>
  <c r="C35" i="4"/>
  <c r="D35" i="6"/>
  <c r="D35" i="28"/>
  <c r="C35" i="37"/>
  <c r="D35" i="11"/>
  <c r="C35" i="7"/>
  <c r="D35" i="32"/>
  <c r="E35" i="4"/>
  <c r="E35" i="37"/>
  <c r="E35" i="6"/>
  <c r="D35" i="8"/>
  <c r="E35" i="8"/>
  <c r="E35" i="9"/>
  <c r="D35" i="9"/>
  <c r="E35" i="10"/>
  <c r="D35" i="10"/>
  <c r="E35" i="11"/>
  <c r="D35" i="13"/>
  <c r="E35" i="13"/>
  <c r="E35" i="14"/>
  <c r="E35" i="16"/>
  <c r="D35" i="16"/>
  <c r="E35" i="17"/>
  <c r="D35" i="17"/>
  <c r="D35" i="19"/>
  <c r="E35" i="19"/>
  <c r="E35" i="20"/>
  <c r="D35" i="22"/>
  <c r="E35" i="22"/>
  <c r="C35" i="25"/>
  <c r="E35" i="25"/>
  <c r="C35" i="28"/>
  <c r="E35" i="28"/>
  <c r="AA101" i="56" l="1"/>
  <c r="AB101" i="56" s="1"/>
  <c r="BA39" i="2"/>
  <c r="BA40" i="2" s="1"/>
  <c r="CS39" i="2"/>
  <c r="CS40" i="2" s="1"/>
  <c r="EJ37" i="2"/>
  <c r="BZ37" i="2" s="1"/>
  <c r="DN36" i="2"/>
  <c r="AP36" i="2"/>
  <c r="DV36" i="2"/>
  <c r="BF36" i="2"/>
  <c r="CP36" i="2"/>
  <c r="CX36" i="2"/>
  <c r="AD36" i="2"/>
  <c r="AX36" i="2"/>
  <c r="Z36" i="2"/>
  <c r="DF36" i="2"/>
  <c r="DB36" i="2"/>
  <c r="J36" i="2"/>
  <c r="AL36" i="2"/>
  <c r="AT36" i="2"/>
  <c r="V36" i="2"/>
  <c r="CL36" i="2"/>
  <c r="R36" i="2"/>
  <c r="CH36" i="2"/>
  <c r="BJ36" i="2"/>
  <c r="EH36" i="2"/>
  <c r="DZ36" i="2"/>
  <c r="N36" i="2"/>
  <c r="CT36" i="2"/>
  <c r="DR36" i="2"/>
  <c r="AH36" i="2"/>
  <c r="BB36" i="2"/>
  <c r="BY38" i="2"/>
  <c r="AG39" i="2"/>
  <c r="AG40" i="2" s="1"/>
  <c r="DQ39" i="2"/>
  <c r="DQ40" i="2" s="1"/>
  <c r="EC37" i="2"/>
  <c r="ED36" i="2"/>
  <c r="G42" i="37"/>
  <c r="I37" i="37" s="1"/>
  <c r="F42" i="37"/>
  <c r="ED37" i="2" l="1"/>
  <c r="EC38" i="2"/>
  <c r="EJ38" i="2"/>
  <c r="DN37" i="2"/>
  <c r="CX37" i="2"/>
  <c r="AP37" i="2"/>
  <c r="CP37" i="2"/>
  <c r="AD37" i="2"/>
  <c r="BF37" i="2"/>
  <c r="DV37" i="2"/>
  <c r="AL37" i="2"/>
  <c r="DB37" i="2"/>
  <c r="Z37" i="2"/>
  <c r="AT37" i="2"/>
  <c r="CL37" i="2"/>
  <c r="DF37" i="2"/>
  <c r="AX37" i="2"/>
  <c r="N37" i="2"/>
  <c r="EH37" i="2"/>
  <c r="BJ37" i="2"/>
  <c r="V37" i="2"/>
  <c r="J37" i="2"/>
  <c r="DZ37" i="2"/>
  <c r="CH37" i="2"/>
  <c r="R37" i="2"/>
  <c r="AH37" i="2"/>
  <c r="DR37" i="2"/>
  <c r="CT37" i="2"/>
  <c r="BB37" i="2"/>
  <c r="BZ38" i="2"/>
  <c r="BY39" i="2"/>
  <c r="BY40" i="2" s="1"/>
  <c r="G42" i="6"/>
  <c r="I37" i="6" s="1"/>
  <c r="F42" i="6"/>
  <c r="EJ39" i="2" l="1"/>
  <c r="EJ40" i="2" s="1"/>
  <c r="DN38" i="2"/>
  <c r="AP38" i="2"/>
  <c r="DV38" i="2"/>
  <c r="BF38" i="2"/>
  <c r="AD38" i="2"/>
  <c r="CX38" i="2"/>
  <c r="CP38" i="2"/>
  <c r="Z38" i="2"/>
  <c r="V38" i="2"/>
  <c r="AX38" i="2"/>
  <c r="AT38" i="2"/>
  <c r="EH38" i="2"/>
  <c r="R38" i="2"/>
  <c r="DZ38" i="2"/>
  <c r="BJ38" i="2"/>
  <c r="DF38" i="2"/>
  <c r="CL38" i="2"/>
  <c r="DB38" i="2"/>
  <c r="AL38" i="2"/>
  <c r="CH38" i="2"/>
  <c r="J38" i="2"/>
  <c r="N38" i="2"/>
  <c r="CT38" i="2"/>
  <c r="DR38" i="2"/>
  <c r="AH38" i="2"/>
  <c r="BB38" i="2"/>
  <c r="EC39" i="2"/>
  <c r="ED38" i="2"/>
  <c r="BZ39" i="2"/>
  <c r="G42" i="7"/>
  <c r="I37" i="7" s="1"/>
  <c r="F42" i="7"/>
  <c r="ED39" i="2" l="1"/>
  <c r="EC40" i="2"/>
  <c r="R40" i="2"/>
  <c r="AD40" i="2"/>
  <c r="AX40" i="2"/>
  <c r="AP40" i="2"/>
  <c r="CP40" i="2"/>
  <c r="AT40" i="2"/>
  <c r="DR40" i="2"/>
  <c r="AL40" i="2"/>
  <c r="ED40" i="2"/>
  <c r="N40" i="2"/>
  <c r="CX40" i="2"/>
  <c r="DV40" i="2"/>
  <c r="DF40" i="2"/>
  <c r="DN40" i="2"/>
  <c r="EH40" i="2"/>
  <c r="CL40" i="2"/>
  <c r="DZ40" i="2"/>
  <c r="AH40" i="2"/>
  <c r="BF40" i="2"/>
  <c r="BB40" i="2"/>
  <c r="DB40" i="2"/>
  <c r="CT40" i="2"/>
  <c r="BJ40" i="2"/>
  <c r="CH40" i="2"/>
  <c r="J40" i="2"/>
  <c r="Z40" i="2"/>
  <c r="V40" i="2"/>
  <c r="BZ40" i="2"/>
  <c r="DN39" i="2"/>
  <c r="CX39" i="2"/>
  <c r="BF39" i="2"/>
  <c r="DV39" i="2"/>
  <c r="AP39" i="2"/>
  <c r="AD39" i="2"/>
  <c r="CP39" i="2"/>
  <c r="CL39" i="2"/>
  <c r="BJ39" i="2"/>
  <c r="AX39" i="2"/>
  <c r="DZ39" i="2"/>
  <c r="DF39" i="2"/>
  <c r="DB39" i="2"/>
  <c r="CH39" i="2"/>
  <c r="V39" i="2"/>
  <c r="R39" i="2"/>
  <c r="J39" i="2"/>
  <c r="AL39" i="2"/>
  <c r="N39" i="2"/>
  <c r="Z39" i="2"/>
  <c r="EH39" i="2"/>
  <c r="AT39" i="2"/>
  <c r="CT39" i="2"/>
  <c r="AH39" i="2"/>
  <c r="DR39" i="2"/>
  <c r="BB39" i="2"/>
  <c r="G42" i="9" l="1"/>
  <c r="I37" i="9" s="1"/>
  <c r="F42" i="9"/>
  <c r="G42" i="10" l="1"/>
  <c r="I37" i="10" s="1"/>
  <c r="F42" i="10"/>
  <c r="G42" i="11" l="1"/>
  <c r="I37" i="11" s="1"/>
  <c r="F42" i="11"/>
  <c r="G42" i="12"/>
  <c r="I37" i="12" s="1"/>
  <c r="F42" i="12"/>
  <c r="W97" i="56" l="1"/>
  <c r="G42" i="13"/>
  <c r="I37" i="13" s="1"/>
  <c r="F42" i="13"/>
  <c r="AA97" i="56" l="1"/>
  <c r="AB97" i="56" s="1"/>
  <c r="X97" i="56"/>
  <c r="G42" i="43"/>
  <c r="I37" i="43" s="1"/>
  <c r="F42" i="43"/>
  <c r="G42" i="4"/>
  <c r="I37" i="4" s="1"/>
  <c r="F42" i="4"/>
  <c r="G42" i="14" l="1"/>
  <c r="I37" i="14" s="1"/>
  <c r="F42" i="14"/>
  <c r="G42" i="15"/>
  <c r="I37" i="15" s="1"/>
  <c r="F42" i="15"/>
  <c r="G42" i="16"/>
  <c r="I37" i="16" s="1"/>
  <c r="F42" i="16"/>
  <c r="G42" i="18" l="1"/>
  <c r="I37" i="18" s="1"/>
  <c r="F42" i="18"/>
  <c r="G42" i="19" l="1"/>
  <c r="I37" i="19" s="1"/>
  <c r="F42" i="19"/>
  <c r="F42" i="20" l="1"/>
  <c r="G42" i="20"/>
  <c r="I37" i="20" s="1"/>
  <c r="F42" i="22" l="1"/>
  <c r="G42" i="22"/>
  <c r="I37" i="22" s="1"/>
  <c r="G42" i="23" l="1"/>
  <c r="I37" i="23" s="1"/>
  <c r="F42" i="23"/>
  <c r="C45" i="24" l="1"/>
  <c r="C43" i="24"/>
  <c r="C42" i="24"/>
  <c r="C41" i="24"/>
  <c r="C40" i="24"/>
  <c r="C39" i="24"/>
  <c r="F42" i="24"/>
  <c r="G42" i="24"/>
  <c r="I37" i="24" s="1"/>
  <c r="F42" i="26" l="1"/>
  <c r="G42" i="25"/>
  <c r="I37" i="25" s="1"/>
  <c r="F42" i="25"/>
  <c r="G42" i="26"/>
  <c r="I37" i="26" s="1"/>
  <c r="G42" i="28" l="1"/>
  <c r="I37" i="28" s="1"/>
  <c r="F42" i="28"/>
  <c r="C38" i="29" l="1"/>
  <c r="I43" i="29"/>
  <c r="I43" i="30" l="1"/>
  <c r="C51" i="29" l="1"/>
  <c r="C50" i="29"/>
  <c r="C49" i="29"/>
  <c r="C48" i="29"/>
  <c r="C47" i="29"/>
  <c r="C46" i="29"/>
  <c r="C45" i="29"/>
  <c r="C44" i="29"/>
  <c r="C43" i="29"/>
  <c r="C42" i="29"/>
  <c r="C41" i="29"/>
  <c r="C40" i="29"/>
  <c r="C39" i="29"/>
  <c r="L34" i="29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L34" i="30"/>
  <c r="K34" i="30"/>
  <c r="I40" i="30" l="1"/>
  <c r="I51" i="30"/>
  <c r="C52" i="29"/>
  <c r="C53" i="29" s="1"/>
  <c r="I50" i="29"/>
  <c r="I44" i="29"/>
  <c r="I50" i="30"/>
  <c r="I44" i="30"/>
  <c r="K34" i="29"/>
  <c r="C52" i="30"/>
  <c r="C53" i="30" s="1"/>
  <c r="I45" i="30" l="1"/>
  <c r="I40" i="29"/>
  <c r="I51" i="29" s="1"/>
  <c r="I45" i="29" l="1"/>
  <c r="AN10" i="45" l="1"/>
  <c r="J8" i="32" l="1"/>
  <c r="J8" i="31" s="1"/>
  <c r="J8" i="30" s="1"/>
  <c r="J8" i="29" s="1"/>
  <c r="J9" i="31"/>
  <c r="J9" i="30" s="1"/>
  <c r="J9" i="29" s="1"/>
  <c r="J10" i="32"/>
  <c r="J10" i="31" s="1"/>
  <c r="J10" i="29" s="1"/>
  <c r="J11" i="32"/>
  <c r="J11" i="31" s="1"/>
  <c r="J11" i="29" s="1"/>
  <c r="J12" i="32"/>
  <c r="J12" i="31" s="1"/>
  <c r="J12" i="29" s="1"/>
  <c r="J13" i="32"/>
  <c r="J13" i="31" s="1"/>
  <c r="J13" i="30" s="1"/>
  <c r="J14" i="32"/>
  <c r="J14" i="31" s="1"/>
  <c r="J14" i="30" s="1"/>
  <c r="J14" i="29" s="1"/>
  <c r="J15" i="32"/>
  <c r="J15" i="31" s="1"/>
  <c r="J15" i="30" s="1"/>
  <c r="J15" i="29" s="1"/>
  <c r="J16" i="32"/>
  <c r="J16" i="31" s="1"/>
  <c r="J16" i="30" s="1"/>
  <c r="J16" i="29" s="1"/>
  <c r="J17" i="32"/>
  <c r="J17" i="31" s="1"/>
  <c r="J17" i="30" s="1"/>
  <c r="J17" i="29" s="1"/>
  <c r="J18" i="32"/>
  <c r="J18" i="31" s="1"/>
  <c r="J18" i="30" s="1"/>
  <c r="J18" i="29" s="1"/>
  <c r="J19" i="32"/>
  <c r="J19" i="31" s="1"/>
  <c r="J19" i="30" s="1"/>
  <c r="J19" i="29" s="1"/>
  <c r="J20" i="32"/>
  <c r="J21" i="32"/>
  <c r="J22" i="32"/>
  <c r="J23" i="32"/>
  <c r="J24" i="32"/>
  <c r="J25" i="32"/>
  <c r="AK40" i="45" l="1"/>
  <c r="AG40" i="45"/>
  <c r="AC40" i="45"/>
  <c r="Y40" i="45"/>
  <c r="U40" i="45" l="1"/>
  <c r="AN8" i="45"/>
  <c r="BC155" i="55" l="1"/>
  <c r="BB155" i="55"/>
  <c r="AZ155" i="55"/>
  <c r="AY155" i="55"/>
  <c r="AX155" i="55"/>
  <c r="AW155" i="55"/>
  <c r="AV155" i="55"/>
  <c r="AU155" i="55"/>
  <c r="AT155" i="55"/>
  <c r="AS155" i="55"/>
  <c r="AQ155" i="55"/>
  <c r="AP155" i="55"/>
  <c r="AO155" i="55"/>
  <c r="AN155" i="55"/>
  <c r="AL155" i="55"/>
  <c r="AK155" i="55"/>
  <c r="AJ155" i="55"/>
  <c r="AI155" i="55"/>
  <c r="AH155" i="55"/>
  <c r="AG155" i="55"/>
  <c r="AF155" i="55"/>
  <c r="Y155" i="55"/>
  <c r="R155" i="55"/>
  <c r="Q155" i="55"/>
  <c r="Q156" i="55" s="1"/>
  <c r="AC154" i="55"/>
  <c r="AA154" i="55"/>
  <c r="AC153" i="55"/>
  <c r="AA153" i="55"/>
  <c r="S155" i="55"/>
  <c r="BD157" i="55" l="1"/>
  <c r="BE157" i="55"/>
  <c r="BF157" i="55"/>
  <c r="BB157" i="55"/>
  <c r="BC157" i="55"/>
  <c r="AR155" i="55"/>
  <c r="R156" i="55"/>
  <c r="S156" i="55"/>
  <c r="BA155" i="55"/>
  <c r="R157" i="55" s="1"/>
  <c r="AM155" i="55"/>
  <c r="S157" i="55" s="1"/>
  <c r="KQ42" i="1"/>
  <c r="KN42" i="1"/>
  <c r="KK42" i="1"/>
  <c r="KH42" i="1"/>
  <c r="KE42" i="1"/>
  <c r="KB42" i="1"/>
  <c r="JY42" i="1"/>
  <c r="JV42" i="1"/>
  <c r="JS42" i="1"/>
  <c r="JP42" i="1"/>
  <c r="JM42" i="1"/>
  <c r="JJ42" i="1"/>
  <c r="JG42" i="1"/>
  <c r="JD42" i="1"/>
  <c r="JA42" i="1"/>
  <c r="IX42" i="1"/>
  <c r="IU42" i="1"/>
  <c r="IR42" i="1"/>
  <c r="IO42" i="1"/>
  <c r="IL42" i="1"/>
  <c r="II42" i="1"/>
  <c r="IF42" i="1"/>
  <c r="IC42" i="1"/>
  <c r="HZ42" i="1"/>
  <c r="HW42" i="1"/>
  <c r="HT42" i="1"/>
  <c r="HQ42" i="1"/>
  <c r="HN42" i="1"/>
  <c r="HK42" i="1"/>
  <c r="HH42" i="1"/>
  <c r="HE42" i="1"/>
  <c r="HB42" i="1"/>
  <c r="GY42" i="1"/>
  <c r="GV42" i="1"/>
  <c r="GS42" i="1"/>
  <c r="GP42" i="1"/>
  <c r="GM42" i="1"/>
  <c r="GJ42" i="1"/>
  <c r="GG42" i="1"/>
  <c r="GD42" i="1"/>
  <c r="GA42" i="1"/>
  <c r="FX42" i="1"/>
  <c r="FU42" i="1"/>
  <c r="FR42" i="1"/>
  <c r="FO42" i="1"/>
  <c r="FL42" i="1"/>
  <c r="FI42" i="1"/>
  <c r="FF42" i="1"/>
  <c r="FC42" i="1"/>
  <c r="EZ42" i="1"/>
  <c r="EW42" i="1"/>
  <c r="ET42" i="1"/>
  <c r="EQ42" i="1"/>
  <c r="EN42" i="1"/>
  <c r="EK42" i="1"/>
  <c r="EH42" i="1"/>
  <c r="EE42" i="1"/>
  <c r="EB42" i="1"/>
  <c r="DY42" i="1"/>
  <c r="DV42" i="1"/>
  <c r="DS42" i="1"/>
  <c r="DP42" i="1"/>
  <c r="DM42" i="1"/>
  <c r="DJ42" i="1"/>
  <c r="DG42" i="1"/>
  <c r="DD42" i="1"/>
  <c r="DA42" i="1"/>
  <c r="CX42" i="1"/>
  <c r="CU42" i="1"/>
  <c r="CR42" i="1"/>
  <c r="CO42" i="1"/>
  <c r="CL42" i="1"/>
  <c r="CI42" i="1"/>
  <c r="CF42" i="1"/>
  <c r="CC42" i="1"/>
  <c r="BZ42" i="1"/>
  <c r="BW42" i="1"/>
  <c r="BT42" i="1"/>
  <c r="BQ42" i="1"/>
  <c r="BN42" i="1"/>
  <c r="BK42" i="1"/>
  <c r="BH42" i="1"/>
  <c r="BE42" i="1"/>
  <c r="BB42" i="1"/>
  <c r="AY42" i="1"/>
  <c r="AV42" i="1"/>
  <c r="AS42" i="1"/>
  <c r="AP42" i="1"/>
  <c r="AM42" i="1"/>
  <c r="AJ42" i="1"/>
  <c r="AG42" i="1"/>
  <c r="AD42" i="1"/>
  <c r="AA42" i="1"/>
  <c r="X42" i="1"/>
  <c r="U42" i="1"/>
  <c r="R42" i="1"/>
  <c r="O42" i="1"/>
  <c r="L42" i="1"/>
  <c r="I42" i="1"/>
  <c r="F42" i="1"/>
  <c r="KR40" i="1"/>
  <c r="KO40" i="1"/>
  <c r="KL40" i="1"/>
  <c r="KI40" i="1"/>
  <c r="KF40" i="1"/>
  <c r="KC40" i="1"/>
  <c r="JZ40" i="1"/>
  <c r="JW40" i="1"/>
  <c r="JT40" i="1"/>
  <c r="JQ40" i="1"/>
  <c r="JN40" i="1"/>
  <c r="JK40" i="1"/>
  <c r="JI40" i="1"/>
  <c r="JF40" i="1"/>
  <c r="JC40" i="1"/>
  <c r="IZ40" i="1"/>
  <c r="IW40" i="1"/>
  <c r="IT40" i="1"/>
  <c r="IQ40" i="1"/>
  <c r="IN40" i="1"/>
  <c r="IK40" i="1"/>
  <c r="IH40" i="1"/>
  <c r="IE40" i="1"/>
  <c r="IB40" i="1"/>
  <c r="HY40" i="1"/>
  <c r="HV40" i="1"/>
  <c r="HS40" i="1"/>
  <c r="HP40" i="1"/>
  <c r="HM40" i="1"/>
  <c r="HJ40" i="1"/>
  <c r="HG40" i="1"/>
  <c r="HD40" i="1"/>
  <c r="HA40" i="1"/>
  <c r="GX40" i="1"/>
  <c r="GU40" i="1"/>
  <c r="GR40" i="1"/>
  <c r="GO40" i="1"/>
  <c r="GL40" i="1"/>
  <c r="GI40" i="1"/>
  <c r="GF40" i="1"/>
  <c r="GC40" i="1"/>
  <c r="FZ40" i="1"/>
  <c r="FW40" i="1"/>
  <c r="FT40" i="1"/>
  <c r="FQ40" i="1"/>
  <c r="FN40" i="1"/>
  <c r="FK40" i="1"/>
  <c r="FH40" i="1"/>
  <c r="FE40" i="1"/>
  <c r="FB40" i="1"/>
  <c r="EY40" i="1"/>
  <c r="EV40" i="1"/>
  <c r="ES40" i="1"/>
  <c r="EP40" i="1"/>
  <c r="EM40" i="1"/>
  <c r="EJ40" i="1"/>
  <c r="EG40" i="1"/>
  <c r="ED40" i="1"/>
  <c r="EA40" i="1"/>
  <c r="DX40" i="1"/>
  <c r="DU40" i="1"/>
  <c r="DR40" i="1"/>
  <c r="DO40" i="1"/>
  <c r="DL40" i="1"/>
  <c r="DI40" i="1"/>
  <c r="DF40" i="1"/>
  <c r="DC40" i="1"/>
  <c r="CZ40" i="1"/>
  <c r="CW40" i="1"/>
  <c r="CT40" i="1"/>
  <c r="CQ40" i="1"/>
  <c r="CN40" i="1"/>
  <c r="CK40" i="1"/>
  <c r="CH40" i="1"/>
  <c r="CE40" i="1"/>
  <c r="CB40" i="1"/>
  <c r="BY40" i="1"/>
  <c r="BV40" i="1"/>
  <c r="BS40" i="1"/>
  <c r="BP40" i="1"/>
  <c r="BM40" i="1"/>
  <c r="BJ40" i="1"/>
  <c r="BG40" i="1"/>
  <c r="BD40" i="1"/>
  <c r="BA40" i="1"/>
  <c r="AX40" i="1"/>
  <c r="AU40" i="1"/>
  <c r="AR40" i="1"/>
  <c r="AO40" i="1"/>
  <c r="AL40" i="1"/>
  <c r="AI40" i="1"/>
  <c r="AF40" i="1"/>
  <c r="AC40" i="1"/>
  <c r="Z40" i="1"/>
  <c r="W40" i="1"/>
  <c r="T40" i="1"/>
  <c r="Q40" i="1"/>
  <c r="N40" i="1"/>
  <c r="K40" i="1"/>
  <c r="H40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S15" i="1"/>
  <c r="KP18" i="1"/>
  <c r="KM20" i="1"/>
  <c r="KJ40" i="1"/>
  <c r="KG38" i="1"/>
  <c r="KD13" i="1"/>
  <c r="KA11" i="1"/>
  <c r="JX40" i="1"/>
  <c r="JU12" i="1"/>
  <c r="JR10" i="1"/>
  <c r="JO16" i="1"/>
  <c r="JL40" i="1"/>
  <c r="KT35" i="1" l="1"/>
  <c r="KV42" i="1"/>
  <c r="HR42" i="1"/>
  <c r="W42" i="1"/>
  <c r="AU42" i="1"/>
  <c r="FN42" i="1"/>
  <c r="JF42" i="1"/>
  <c r="K42" i="1"/>
  <c r="FT42" i="1"/>
  <c r="GR42" i="1"/>
  <c r="J42" i="1"/>
  <c r="KT32" i="1"/>
  <c r="KT40" i="1"/>
  <c r="BI42" i="1"/>
  <c r="DZ42" i="1"/>
  <c r="EY42" i="1"/>
  <c r="GT42" i="1"/>
  <c r="KT17" i="1"/>
  <c r="KT37" i="1"/>
  <c r="CK42" i="1"/>
  <c r="KC42" i="1"/>
  <c r="FE42" i="1"/>
  <c r="CQ42" i="1"/>
  <c r="IQ42" i="1"/>
  <c r="AX42" i="1"/>
  <c r="EL42" i="1"/>
  <c r="FK42" i="1"/>
  <c r="IW42" i="1"/>
  <c r="AI42" i="1"/>
  <c r="HF42" i="1"/>
  <c r="AK42" i="1"/>
  <c r="CE42" i="1"/>
  <c r="DC42" i="1"/>
  <c r="ID42" i="1"/>
  <c r="JC42" i="1"/>
  <c r="M42" i="1"/>
  <c r="AH42" i="1"/>
  <c r="AT42" i="1"/>
  <c r="BG42" i="1"/>
  <c r="BM42" i="1"/>
  <c r="BS42" i="1"/>
  <c r="BV42" i="1"/>
  <c r="CB42" i="1"/>
  <c r="CZ42" i="1"/>
  <c r="DB42" i="1"/>
  <c r="DO42" i="1"/>
  <c r="EA42" i="1"/>
  <c r="EC42" i="1"/>
  <c r="EM42" i="1"/>
  <c r="EP42" i="1"/>
  <c r="FA42" i="1"/>
  <c r="FV42" i="1"/>
  <c r="GC42" i="1"/>
  <c r="GI42" i="1"/>
  <c r="GU42" i="1"/>
  <c r="HG42" i="1"/>
  <c r="HS42" i="1"/>
  <c r="HU42" i="1"/>
  <c r="IE42" i="1"/>
  <c r="IH42" i="1"/>
  <c r="IS42" i="1"/>
  <c r="JN42" i="1"/>
  <c r="JZ42" i="1"/>
  <c r="KL42" i="1"/>
  <c r="KT15" i="1"/>
  <c r="KT25" i="1"/>
  <c r="KT18" i="1"/>
  <c r="KT16" i="1"/>
  <c r="KT24" i="1"/>
  <c r="KT20" i="1"/>
  <c r="KT23" i="1"/>
  <c r="KT19" i="1"/>
  <c r="KT21" i="1"/>
  <c r="KT26" i="1"/>
  <c r="KT27" i="1"/>
  <c r="KT22" i="1"/>
  <c r="KT28" i="1"/>
  <c r="KT29" i="1"/>
  <c r="KT30" i="1"/>
  <c r="KT31" i="1"/>
  <c r="KT33" i="1"/>
  <c r="KT39" i="1"/>
  <c r="KT34" i="1"/>
  <c r="KT36" i="1"/>
  <c r="V42" i="1"/>
  <c r="AW42" i="1"/>
  <c r="BJ42" i="1"/>
  <c r="BX42" i="1"/>
  <c r="CN42" i="1"/>
  <c r="DN42" i="1"/>
  <c r="EO42" i="1"/>
  <c r="FB42" i="1"/>
  <c r="FP42" i="1"/>
  <c r="GF42" i="1"/>
  <c r="IG42" i="1"/>
  <c r="IT42" i="1"/>
  <c r="JH42" i="1"/>
  <c r="KT38" i="1"/>
  <c r="Y42" i="1"/>
  <c r="AL42" i="1"/>
  <c r="AZ42" i="1"/>
  <c r="BP42" i="1"/>
  <c r="CP42" i="1"/>
  <c r="DQ42" i="1"/>
  <c r="ED42" i="1"/>
  <c r="ER42" i="1"/>
  <c r="FH42" i="1"/>
  <c r="GH42" i="1"/>
  <c r="HI42" i="1"/>
  <c r="HV42" i="1"/>
  <c r="IJ42" i="1"/>
  <c r="IZ42" i="1"/>
  <c r="KF42" i="1"/>
  <c r="Z42" i="1"/>
  <c r="AO42" i="1"/>
  <c r="BD42" i="1"/>
  <c r="CD42" i="1"/>
  <c r="DE42" i="1"/>
  <c r="DR42" i="1"/>
  <c r="EG42" i="1"/>
  <c r="EV42" i="1"/>
  <c r="GW42" i="1"/>
  <c r="HJ42" i="1"/>
  <c r="HY42" i="1"/>
  <c r="IN42" i="1"/>
  <c r="N42" i="1"/>
  <c r="AB42" i="1"/>
  <c r="AR42" i="1"/>
  <c r="BR42" i="1"/>
  <c r="CS42" i="1"/>
  <c r="DF42" i="1"/>
  <c r="DT42" i="1"/>
  <c r="EJ42" i="1"/>
  <c r="FJ42" i="1"/>
  <c r="FW42" i="1"/>
  <c r="GK42" i="1"/>
  <c r="GX42" i="1"/>
  <c r="HL42" i="1"/>
  <c r="IB42" i="1"/>
  <c r="JB42" i="1"/>
  <c r="JQ42" i="1"/>
  <c r="Q42" i="1"/>
  <c r="AF42" i="1"/>
  <c r="BF42" i="1"/>
  <c r="CG42" i="1"/>
  <c r="CT42" i="1"/>
  <c r="DI42" i="1"/>
  <c r="DX42" i="1"/>
  <c r="EX42" i="1"/>
  <c r="FY42" i="1"/>
  <c r="GL42" i="1"/>
  <c r="HA42" i="1"/>
  <c r="HP42" i="1"/>
  <c r="IP42" i="1"/>
  <c r="T42" i="1"/>
  <c r="BU42" i="1"/>
  <c r="CH42" i="1"/>
  <c r="CV42" i="1"/>
  <c r="DL42" i="1"/>
  <c r="FM42" i="1"/>
  <c r="FZ42" i="1"/>
  <c r="GN42" i="1"/>
  <c r="HD42" i="1"/>
  <c r="JE42" i="1"/>
  <c r="KO42" i="1"/>
  <c r="AD155" i="55"/>
  <c r="T9" i="53" s="1"/>
  <c r="KJ12" i="1"/>
  <c r="KJ13" i="1"/>
  <c r="KJ14" i="1"/>
  <c r="KM16" i="1"/>
  <c r="KJ18" i="1"/>
  <c r="JX12" i="1"/>
  <c r="KA20" i="1"/>
  <c r="JL42" i="1"/>
  <c r="JL10" i="1"/>
  <c r="KA16" i="1"/>
  <c r="JX17" i="1"/>
  <c r="JL22" i="1"/>
  <c r="KG10" i="1"/>
  <c r="KG11" i="1"/>
  <c r="JL12" i="1"/>
  <c r="KA12" i="1"/>
  <c r="JX13" i="1"/>
  <c r="JX14" i="1"/>
  <c r="JX18" i="1"/>
  <c r="KJ42" i="1"/>
  <c r="JO11" i="1"/>
  <c r="JO20" i="1"/>
  <c r="KG20" i="1"/>
  <c r="KJ22" i="1"/>
  <c r="KJ10" i="1"/>
  <c r="KT12" i="1"/>
  <c r="JO12" i="1"/>
  <c r="KG15" i="1"/>
  <c r="KG16" i="1"/>
  <c r="JL17" i="1"/>
  <c r="KM11" i="1"/>
  <c r="KG12" i="1"/>
  <c r="KT13" i="1"/>
  <c r="JL13" i="1"/>
  <c r="JL14" i="1"/>
  <c r="JL18" i="1"/>
  <c r="JX42" i="1"/>
  <c r="JX10" i="1"/>
  <c r="KJ17" i="1"/>
  <c r="JX22" i="1"/>
  <c r="JR13" i="1"/>
  <c r="KS12" i="1"/>
  <c r="JU15" i="1"/>
  <c r="JO34" i="1"/>
  <c r="JO26" i="1"/>
  <c r="JO18" i="1"/>
  <c r="JO42" i="1"/>
  <c r="JO39" i="1"/>
  <c r="JO31" i="1"/>
  <c r="JO23" i="1"/>
  <c r="JO36" i="1"/>
  <c r="JO28" i="1"/>
  <c r="JO33" i="1"/>
  <c r="JO25" i="1"/>
  <c r="JO17" i="1"/>
  <c r="JO38" i="1"/>
  <c r="JO30" i="1"/>
  <c r="JO22" i="1"/>
  <c r="JO14" i="1"/>
  <c r="JO27" i="1"/>
  <c r="JO19" i="1"/>
  <c r="JO40" i="1"/>
  <c r="JO32" i="1"/>
  <c r="JO24" i="1"/>
  <c r="JO37" i="1"/>
  <c r="JO29" i="1"/>
  <c r="JO21" i="1"/>
  <c r="JO13" i="1"/>
  <c r="JO10" i="1"/>
  <c r="JO15" i="1"/>
  <c r="KM34" i="1"/>
  <c r="KM26" i="1"/>
  <c r="KM18" i="1"/>
  <c r="KM42" i="1"/>
  <c r="KM39" i="1"/>
  <c r="KM31" i="1"/>
  <c r="KM23" i="1"/>
  <c r="KM36" i="1"/>
  <c r="KM28" i="1"/>
  <c r="KM33" i="1"/>
  <c r="KM25" i="1"/>
  <c r="KM17" i="1"/>
  <c r="KM14" i="1"/>
  <c r="KM38" i="1"/>
  <c r="KM30" i="1"/>
  <c r="KM22" i="1"/>
  <c r="KM27" i="1"/>
  <c r="KM19" i="1"/>
  <c r="KM40" i="1"/>
  <c r="KM32" i="1"/>
  <c r="KM24" i="1"/>
  <c r="KM37" i="1"/>
  <c r="KM29" i="1"/>
  <c r="KM21" i="1"/>
  <c r="KM13" i="1"/>
  <c r="KM10" i="1"/>
  <c r="KM15" i="1"/>
  <c r="KT14" i="1"/>
  <c r="JU16" i="1"/>
  <c r="JR36" i="1"/>
  <c r="JR28" i="1"/>
  <c r="JR20" i="1"/>
  <c r="JR33" i="1"/>
  <c r="JR25" i="1"/>
  <c r="JR17" i="1"/>
  <c r="JR38" i="1"/>
  <c r="JR30" i="1"/>
  <c r="JR22" i="1"/>
  <c r="JR27" i="1"/>
  <c r="JR19" i="1"/>
  <c r="JR11" i="1"/>
  <c r="JR40" i="1"/>
  <c r="JR32" i="1"/>
  <c r="JR24" i="1"/>
  <c r="JR16" i="1"/>
  <c r="JR37" i="1"/>
  <c r="JR29" i="1"/>
  <c r="JR21" i="1"/>
  <c r="JR42" i="1"/>
  <c r="JR34" i="1"/>
  <c r="JR26" i="1"/>
  <c r="JR39" i="1"/>
  <c r="JR31" i="1"/>
  <c r="JR23" i="1"/>
  <c r="JR15" i="1"/>
  <c r="JR12" i="1"/>
  <c r="KS11" i="1"/>
  <c r="KD14" i="1"/>
  <c r="KS38" i="1"/>
  <c r="KS30" i="1"/>
  <c r="KS22" i="1"/>
  <c r="KS14" i="1"/>
  <c r="KS27" i="1"/>
  <c r="KS19" i="1"/>
  <c r="KS40" i="1"/>
  <c r="KS32" i="1"/>
  <c r="KS24" i="1"/>
  <c r="KS37" i="1"/>
  <c r="KS29" i="1"/>
  <c r="KS21" i="1"/>
  <c r="KS13" i="1"/>
  <c r="KS10" i="1"/>
  <c r="KS34" i="1"/>
  <c r="KS26" i="1"/>
  <c r="KS18" i="1"/>
  <c r="KS39" i="1"/>
  <c r="KS31" i="1"/>
  <c r="KS23" i="1"/>
  <c r="KS36" i="1"/>
  <c r="KS28" i="1"/>
  <c r="KS20" i="1"/>
  <c r="KS33" i="1"/>
  <c r="KS25" i="1"/>
  <c r="KS17" i="1"/>
  <c r="KD18" i="1"/>
  <c r="KP36" i="1"/>
  <c r="KP28" i="1"/>
  <c r="KP20" i="1"/>
  <c r="KP12" i="1"/>
  <c r="KP33" i="1"/>
  <c r="KP25" i="1"/>
  <c r="KP38" i="1"/>
  <c r="KP30" i="1"/>
  <c r="KP22" i="1"/>
  <c r="KP27" i="1"/>
  <c r="KP19" i="1"/>
  <c r="KP11" i="1"/>
  <c r="KP40" i="1"/>
  <c r="KP32" i="1"/>
  <c r="KP24" i="1"/>
  <c r="KP16" i="1"/>
  <c r="KP37" i="1"/>
  <c r="KP29" i="1"/>
  <c r="KP21" i="1"/>
  <c r="KP42" i="1"/>
  <c r="KP34" i="1"/>
  <c r="KP26" i="1"/>
  <c r="KP39" i="1"/>
  <c r="KP31" i="1"/>
  <c r="KP23" i="1"/>
  <c r="KP15" i="1"/>
  <c r="KP17" i="1"/>
  <c r="JU38" i="1"/>
  <c r="JU30" i="1"/>
  <c r="JU22" i="1"/>
  <c r="JU14" i="1"/>
  <c r="JU27" i="1"/>
  <c r="JU19" i="1"/>
  <c r="JU40" i="1"/>
  <c r="JU32" i="1"/>
  <c r="JU24" i="1"/>
  <c r="JU37" i="1"/>
  <c r="JU29" i="1"/>
  <c r="JU21" i="1"/>
  <c r="JU13" i="1"/>
  <c r="JU10" i="1"/>
  <c r="JU34" i="1"/>
  <c r="JU26" i="1"/>
  <c r="JU18" i="1"/>
  <c r="JU39" i="1"/>
  <c r="JU31" i="1"/>
  <c r="JU23" i="1"/>
  <c r="JU36" i="1"/>
  <c r="JU28" i="1"/>
  <c r="JU33" i="1"/>
  <c r="JU25" i="1"/>
  <c r="JU17" i="1"/>
  <c r="KP13" i="1"/>
  <c r="KT11" i="1"/>
  <c r="JR14" i="1"/>
  <c r="KA34" i="1"/>
  <c r="KA26" i="1"/>
  <c r="KA18" i="1"/>
  <c r="KA10" i="1"/>
  <c r="KA15" i="1"/>
  <c r="KA39" i="1"/>
  <c r="KA31" i="1"/>
  <c r="KA23" i="1"/>
  <c r="KA36" i="1"/>
  <c r="KA28" i="1"/>
  <c r="KA33" i="1"/>
  <c r="KA25" i="1"/>
  <c r="KA17" i="1"/>
  <c r="KA14" i="1"/>
  <c r="KA38" i="1"/>
  <c r="KA30" i="1"/>
  <c r="KA22" i="1"/>
  <c r="KA42" i="1"/>
  <c r="KA27" i="1"/>
  <c r="KA19" i="1"/>
  <c r="KA40" i="1"/>
  <c r="KA32" i="1"/>
  <c r="KA24" i="1"/>
  <c r="KA37" i="1"/>
  <c r="KA29" i="1"/>
  <c r="KA21" i="1"/>
  <c r="KA13" i="1"/>
  <c r="KT10" i="1"/>
  <c r="KP10" i="1"/>
  <c r="KM12" i="1"/>
  <c r="KS16" i="1"/>
  <c r="JR18" i="1"/>
  <c r="KD36" i="1"/>
  <c r="KD28" i="1"/>
  <c r="KD20" i="1"/>
  <c r="KD17" i="1"/>
  <c r="KD33" i="1"/>
  <c r="KD25" i="1"/>
  <c r="KD42" i="1"/>
  <c r="KD38" i="1"/>
  <c r="KD30" i="1"/>
  <c r="KD22" i="1"/>
  <c r="KD27" i="1"/>
  <c r="KD19" i="1"/>
  <c r="KD11" i="1"/>
  <c r="KD40" i="1"/>
  <c r="KD32" i="1"/>
  <c r="KD24" i="1"/>
  <c r="KD16" i="1"/>
  <c r="KD37" i="1"/>
  <c r="KD29" i="1"/>
  <c r="KD21" i="1"/>
  <c r="KD34" i="1"/>
  <c r="KD26" i="1"/>
  <c r="KD39" i="1"/>
  <c r="KD31" i="1"/>
  <c r="KD23" i="1"/>
  <c r="KD15" i="1"/>
  <c r="KD12" i="1"/>
  <c r="KD10" i="1"/>
  <c r="JU11" i="1"/>
  <c r="JU42" i="1"/>
  <c r="JU20" i="1"/>
  <c r="KP14" i="1"/>
  <c r="KS42" i="1"/>
  <c r="JL11" i="1"/>
  <c r="JX11" i="1"/>
  <c r="KJ11" i="1"/>
  <c r="KG17" i="1"/>
  <c r="JL19" i="1"/>
  <c r="JX19" i="1"/>
  <c r="KJ19" i="1"/>
  <c r="KG25" i="1"/>
  <c r="JL27" i="1"/>
  <c r="JX27" i="1"/>
  <c r="KJ27" i="1"/>
  <c r="KG33" i="1"/>
  <c r="AC42" i="1"/>
  <c r="BA42" i="1"/>
  <c r="BY42" i="1"/>
  <c r="CW42" i="1"/>
  <c r="DU42" i="1"/>
  <c r="ES42" i="1"/>
  <c r="FQ42" i="1"/>
  <c r="GO42" i="1"/>
  <c r="HM42" i="1"/>
  <c r="IK42" i="1"/>
  <c r="JI42" i="1"/>
  <c r="KG42" i="1"/>
  <c r="KG28" i="1"/>
  <c r="JL30" i="1"/>
  <c r="JX30" i="1"/>
  <c r="KJ30" i="1"/>
  <c r="KG36" i="1"/>
  <c r="JL38" i="1"/>
  <c r="JX38" i="1"/>
  <c r="KJ38" i="1"/>
  <c r="KG23" i="1"/>
  <c r="JL25" i="1"/>
  <c r="JX25" i="1"/>
  <c r="KJ25" i="1"/>
  <c r="KG31" i="1"/>
  <c r="JL33" i="1"/>
  <c r="JX33" i="1"/>
  <c r="KJ33" i="1"/>
  <c r="KG39" i="1"/>
  <c r="G42" i="1"/>
  <c r="AE42" i="1"/>
  <c r="BC42" i="1"/>
  <c r="CA42" i="1"/>
  <c r="CY42" i="1"/>
  <c r="DW42" i="1"/>
  <c r="EU42" i="1"/>
  <c r="FS42" i="1"/>
  <c r="GQ42" i="1"/>
  <c r="HO42" i="1"/>
  <c r="IM42" i="1"/>
  <c r="JK42" i="1"/>
  <c r="KI42" i="1"/>
  <c r="KG18" i="1"/>
  <c r="JL20" i="1"/>
  <c r="JX20" i="1"/>
  <c r="KJ20" i="1"/>
  <c r="KG26" i="1"/>
  <c r="JL28" i="1"/>
  <c r="JX28" i="1"/>
  <c r="KJ28" i="1"/>
  <c r="KG34" i="1"/>
  <c r="JL36" i="1"/>
  <c r="JX36" i="1"/>
  <c r="KJ36" i="1"/>
  <c r="H42" i="1"/>
  <c r="P42" i="1"/>
  <c r="AN42" i="1"/>
  <c r="BL42" i="1"/>
  <c r="CJ42" i="1"/>
  <c r="DH42" i="1"/>
  <c r="EF42" i="1"/>
  <c r="FD42" i="1"/>
  <c r="GB42" i="1"/>
  <c r="GZ42" i="1"/>
  <c r="HX42" i="1"/>
  <c r="IV42" i="1"/>
  <c r="JT42" i="1"/>
  <c r="KR42" i="1"/>
  <c r="KG13" i="1"/>
  <c r="JL15" i="1"/>
  <c r="JX15" i="1"/>
  <c r="KJ15" i="1"/>
  <c r="KG21" i="1"/>
  <c r="JL23" i="1"/>
  <c r="JX23" i="1"/>
  <c r="KJ23" i="1"/>
  <c r="KG29" i="1"/>
  <c r="JL31" i="1"/>
  <c r="JX31" i="1"/>
  <c r="KJ31" i="1"/>
  <c r="KG37" i="1"/>
  <c r="JL39" i="1"/>
  <c r="JX39" i="1"/>
  <c r="KJ39" i="1"/>
  <c r="KG24" i="1"/>
  <c r="JL26" i="1"/>
  <c r="JX26" i="1"/>
  <c r="KJ26" i="1"/>
  <c r="KG32" i="1"/>
  <c r="JL34" i="1"/>
  <c r="JX34" i="1"/>
  <c r="KJ34" i="1"/>
  <c r="KG40" i="1"/>
  <c r="KG19" i="1"/>
  <c r="JL21" i="1"/>
  <c r="JX21" i="1"/>
  <c r="KJ21" i="1"/>
  <c r="KG27" i="1"/>
  <c r="JL29" i="1"/>
  <c r="JX29" i="1"/>
  <c r="KJ29" i="1"/>
  <c r="JL37" i="1"/>
  <c r="JX37" i="1"/>
  <c r="KJ37" i="1"/>
  <c r="S42" i="1"/>
  <c r="AQ42" i="1"/>
  <c r="BO42" i="1"/>
  <c r="CM42" i="1"/>
  <c r="DK42" i="1"/>
  <c r="EI42" i="1"/>
  <c r="FG42" i="1"/>
  <c r="GE42" i="1"/>
  <c r="HC42" i="1"/>
  <c r="IA42" i="1"/>
  <c r="IY42" i="1"/>
  <c r="JW42" i="1"/>
  <c r="KG14" i="1"/>
  <c r="JL16" i="1"/>
  <c r="JX16" i="1"/>
  <c r="KJ16" i="1"/>
  <c r="KG22" i="1"/>
  <c r="JL24" i="1"/>
  <c r="JX24" i="1"/>
  <c r="KJ24" i="1"/>
  <c r="KG30" i="1"/>
  <c r="JL32" i="1"/>
  <c r="JX32" i="1"/>
  <c r="KJ32" i="1"/>
  <c r="KU12" i="1" l="1"/>
  <c r="KU31" i="1"/>
  <c r="KU15" i="1"/>
  <c r="KU29" i="1"/>
  <c r="KU24" i="1"/>
  <c r="KU25" i="1"/>
  <c r="KU40" i="1"/>
  <c r="KU34" i="1"/>
  <c r="KU33" i="1"/>
  <c r="KU11" i="1"/>
  <c r="KU32" i="1"/>
  <c r="KU21" i="1"/>
  <c r="KU39" i="1"/>
  <c r="KU36" i="1"/>
  <c r="KU20" i="1"/>
  <c r="KU38" i="1"/>
  <c r="KU23" i="1"/>
  <c r="KU27" i="1"/>
  <c r="KU37" i="1"/>
  <c r="KU22" i="1"/>
  <c r="KU16" i="1"/>
  <c r="KU42" i="1"/>
  <c r="KU28" i="1"/>
  <c r="KU26" i="1"/>
  <c r="KU30" i="1"/>
  <c r="KU19" i="1"/>
  <c r="KU17" i="1"/>
  <c r="KU10" i="1"/>
  <c r="KU18" i="1"/>
  <c r="KU13" i="1"/>
  <c r="KT42" i="1"/>
  <c r="KU14" i="1"/>
  <c r="AJ8" i="45" l="1"/>
  <c r="AF8" i="45"/>
  <c r="AB8" i="45"/>
  <c r="X8" i="45"/>
  <c r="X9" i="45" s="1"/>
  <c r="X10" i="45" s="1"/>
  <c r="Q40" i="45"/>
  <c r="M40" i="45"/>
  <c r="I40" i="45"/>
  <c r="E40" i="45"/>
  <c r="AU21" i="45"/>
  <c r="AT21" i="45"/>
  <c r="AU20" i="45"/>
  <c r="AT20" i="45"/>
  <c r="AU18" i="45"/>
  <c r="AT18" i="45"/>
  <c r="AU17" i="45"/>
  <c r="AT17" i="45"/>
  <c r="AU15" i="45"/>
  <c r="AT15" i="45"/>
  <c r="AU14" i="45"/>
  <c r="AT14" i="45"/>
  <c r="AU13" i="45"/>
  <c r="AT13" i="45"/>
  <c r="AU12" i="45"/>
  <c r="AT12" i="45"/>
  <c r="AU11" i="45"/>
  <c r="AT11" i="45"/>
  <c r="P8" i="45"/>
  <c r="P9" i="45" s="1"/>
  <c r="L8" i="45"/>
  <c r="L9" i="45" s="1"/>
  <c r="H8" i="45"/>
  <c r="H9" i="45" s="1"/>
  <c r="D8" i="45"/>
  <c r="D9" i="45" s="1"/>
  <c r="AU19" i="45" l="1"/>
  <c r="H10" i="45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D10" i="45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L10" i="45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P10" i="45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AT19" i="45"/>
  <c r="AN40" i="45"/>
  <c r="AN42" i="45" s="1"/>
  <c r="AU22" i="45"/>
  <c r="AN23" i="45"/>
  <c r="I46" i="18" s="1"/>
  <c r="I46" i="31"/>
  <c r="AN18" i="45"/>
  <c r="I46" i="23" s="1"/>
  <c r="AN26" i="45"/>
  <c r="I46" i="15" s="1"/>
  <c r="AB9" i="45"/>
  <c r="AN15" i="45"/>
  <c r="I46" i="26" s="1"/>
  <c r="X11" i="45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X22" i="45" s="1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AN20" i="45"/>
  <c r="I46" i="22" s="1"/>
  <c r="AN28" i="45"/>
  <c r="I46" i="13" s="1"/>
  <c r="AN22" i="45"/>
  <c r="I46" i="19" s="1"/>
  <c r="AN24" i="45"/>
  <c r="I46" i="17" s="1"/>
  <c r="AN11" i="45"/>
  <c r="I46" i="30" s="1"/>
  <c r="AN14" i="45"/>
  <c r="I46" i="28" s="1"/>
  <c r="AN16" i="45"/>
  <c r="I46" i="25" s="1"/>
  <c r="AN13" i="45"/>
  <c r="I46" i="27" s="1"/>
  <c r="AN21" i="45"/>
  <c r="AT16" i="45"/>
  <c r="AU16" i="45"/>
  <c r="AT22" i="45"/>
  <c r="AJ9" i="45"/>
  <c r="AN17" i="45"/>
  <c r="I46" i="24" s="1"/>
  <c r="AF9" i="45"/>
  <c r="AN19" i="45"/>
  <c r="AN9" i="45"/>
  <c r="I46" i="32" s="1"/>
  <c r="AN25" i="45"/>
  <c r="I46" i="16" s="1"/>
  <c r="AN12" i="45"/>
  <c r="I46" i="29" s="1"/>
  <c r="T8" i="45"/>
  <c r="T9" i="45" s="1"/>
  <c r="A9" i="45"/>
  <c r="AN27" i="45"/>
  <c r="I46" i="14" s="1"/>
  <c r="AN29" i="45"/>
  <c r="I46" i="12" s="1"/>
  <c r="AN30" i="45"/>
  <c r="I46" i="11" s="1"/>
  <c r="AN31" i="45"/>
  <c r="I46" i="10" s="1"/>
  <c r="AN32" i="45"/>
  <c r="I46" i="9" s="1"/>
  <c r="AN33" i="45"/>
  <c r="I46" i="8" s="1"/>
  <c r="AN34" i="45"/>
  <c r="I46" i="7" s="1"/>
  <c r="AN35" i="45"/>
  <c r="I46" i="6" s="1"/>
  <c r="AN36" i="45"/>
  <c r="I46" i="37" s="1"/>
  <c r="AN37" i="45"/>
  <c r="I46" i="4" s="1"/>
  <c r="AN38" i="45"/>
  <c r="I46" i="43" s="1"/>
  <c r="AU24" i="45" l="1"/>
  <c r="A10" i="45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I48" i="29"/>
  <c r="I47" i="29"/>
  <c r="I47" i="30"/>
  <c r="I48" i="30"/>
  <c r="AJ10" i="45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J22" i="45" s="1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T10" i="45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T22" i="45" s="1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AB10" i="45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F10" i="45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F22" i="45" s="1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AT24" i="45"/>
  <c r="I46" i="20"/>
  <c r="I46" i="21"/>
  <c r="I46" i="33"/>
  <c r="AU26" i="45" l="1"/>
  <c r="A4" i="47" l="1"/>
  <c r="T155" i="55" l="1"/>
  <c r="P155" i="55"/>
  <c r="O155" i="55" s="1"/>
  <c r="V155" i="55"/>
  <c r="C155" i="55"/>
  <c r="T10" i="53" l="1"/>
  <c r="N38" i="54" s="1"/>
  <c r="U155" i="55"/>
  <c r="AC155" i="55"/>
  <c r="K155" i="55"/>
  <c r="N32" i="54" l="1"/>
  <c r="N19" i="54"/>
  <c r="N7" i="54"/>
  <c r="N31" i="54"/>
  <c r="N20" i="54"/>
  <c r="N8" i="54"/>
  <c r="N10" i="54"/>
  <c r="N18" i="54"/>
  <c r="N23" i="54"/>
  <c r="N27" i="54"/>
  <c r="N16" i="54"/>
  <c r="N28" i="54"/>
  <c r="N5" i="54"/>
  <c r="N17" i="54"/>
  <c r="N25" i="54"/>
  <c r="N33" i="54"/>
  <c r="N34" i="54"/>
  <c r="N6" i="54"/>
  <c r="N11" i="54"/>
  <c r="N22" i="54"/>
  <c r="N26" i="54"/>
  <c r="N35" i="54"/>
  <c r="N40" i="54"/>
  <c r="N4" i="54"/>
  <c r="N24" i="54"/>
  <c r="N36" i="54"/>
  <c r="N9" i="54"/>
  <c r="N21" i="54"/>
  <c r="N29" i="54"/>
  <c r="N37" i="54"/>
  <c r="N30" i="54"/>
  <c r="N39" i="54"/>
  <c r="E35" i="54"/>
  <c r="E31" i="54"/>
  <c r="E25" i="54"/>
  <c r="E24" i="54"/>
  <c r="E17" i="54"/>
  <c r="E16" i="54"/>
  <c r="E9" i="54"/>
  <c r="E8" i="54"/>
  <c r="E37" i="54"/>
  <c r="E33" i="54"/>
  <c r="E29" i="54"/>
  <c r="E28" i="54"/>
  <c r="E27" i="54"/>
  <c r="E21" i="54"/>
  <c r="E20" i="54"/>
  <c r="E5" i="54"/>
  <c r="E4" i="54"/>
  <c r="E11" i="54"/>
  <c r="E23" i="54"/>
  <c r="E40" i="54"/>
  <c r="E10" i="54"/>
  <c r="E22" i="54"/>
  <c r="E30" i="54"/>
  <c r="E39" i="54"/>
  <c r="E19" i="54"/>
  <c r="E32" i="54"/>
  <c r="E36" i="54"/>
  <c r="E7" i="54"/>
  <c r="E6" i="54"/>
  <c r="E18" i="54"/>
  <c r="E26" i="54"/>
  <c r="E34" i="54"/>
  <c r="AC156" i="55"/>
  <c r="X165" i="55" s="1"/>
  <c r="T5" i="53"/>
  <c r="N15" i="54" s="1"/>
  <c r="T8" i="53"/>
  <c r="Y156" i="55"/>
  <c r="X163" i="55" s="1"/>
  <c r="AL41" i="48"/>
  <c r="AM9" i="48"/>
  <c r="AM10" i="48" s="1"/>
  <c r="AM11" i="48" s="1"/>
  <c r="AM12" i="48" s="1"/>
  <c r="AM13" i="48" s="1"/>
  <c r="AM14" i="48" s="1"/>
  <c r="AM15" i="48" s="1"/>
  <c r="AM16" i="48" s="1"/>
  <c r="AM17" i="48" s="1"/>
  <c r="AM18" i="48" s="1"/>
  <c r="AM19" i="48" s="1"/>
  <c r="AM20" i="48" s="1"/>
  <c r="AM21" i="48" s="1"/>
  <c r="AM22" i="48" s="1"/>
  <c r="AM23" i="48" s="1"/>
  <c r="AM24" i="48" s="1"/>
  <c r="AM25" i="48" s="1"/>
  <c r="AM26" i="48" s="1"/>
  <c r="AM27" i="48" s="1"/>
  <c r="AM28" i="48" s="1"/>
  <c r="AM29" i="48" s="1"/>
  <c r="AM30" i="48" s="1"/>
  <c r="AM31" i="48" s="1"/>
  <c r="AM32" i="48" s="1"/>
  <c r="AM33" i="48" s="1"/>
  <c r="AM34" i="48" s="1"/>
  <c r="AM35" i="48" s="1"/>
  <c r="AM36" i="48" s="1"/>
  <c r="AM37" i="48" s="1"/>
  <c r="AM38" i="48" s="1"/>
  <c r="AM39" i="48" s="1"/>
  <c r="AI3" i="51"/>
  <c r="V156" i="55"/>
  <c r="E15" i="54"/>
  <c r="F15" i="54" l="1"/>
  <c r="G15" i="54" s="1"/>
  <c r="T11" i="53"/>
  <c r="O38" i="54" s="1"/>
  <c r="AM156" i="55"/>
  <c r="AN156" i="55"/>
  <c r="X175" i="55" s="1"/>
  <c r="AG156" i="55"/>
  <c r="X169" i="55" s="1"/>
  <c r="AZ156" i="55"/>
  <c r="X185" i="55" s="1"/>
  <c r="AT156" i="55"/>
  <c r="X180" i="55" s="1"/>
  <c r="AP156" i="55"/>
  <c r="X177" i="55" s="1"/>
  <c r="AL156" i="55"/>
  <c r="X174" i="55" s="1"/>
  <c r="AR156" i="55"/>
  <c r="AI156" i="55"/>
  <c r="X171" i="55" s="1"/>
  <c r="AK156" i="55"/>
  <c r="X173" i="55" s="1"/>
  <c r="AU156" i="55"/>
  <c r="X181" i="55" s="1"/>
  <c r="AS156" i="55"/>
  <c r="X179" i="55" s="1"/>
  <c r="AF156" i="55"/>
  <c r="X168" i="55" s="1"/>
  <c r="BA156" i="55"/>
  <c r="AQ156" i="55"/>
  <c r="X178" i="55" s="1"/>
  <c r="AH156" i="55"/>
  <c r="X170" i="55" s="1"/>
  <c r="AO156" i="55"/>
  <c r="X176" i="55" s="1"/>
  <c r="AX156" i="55"/>
  <c r="AW156" i="55"/>
  <c r="X182" i="55" s="1"/>
  <c r="AV156" i="55"/>
  <c r="X183" i="55" s="1"/>
  <c r="AY156" i="55"/>
  <c r="AJ156" i="55"/>
  <c r="X172" i="55" s="1"/>
  <c r="U5" i="53"/>
  <c r="O15" i="54" s="1"/>
  <c r="P15" i="54" s="1"/>
  <c r="AF39" i="51"/>
  <c r="AE39" i="51"/>
  <c r="AD39" i="51"/>
  <c r="AC39" i="51"/>
  <c r="AB39" i="51"/>
  <c r="AA39" i="51"/>
  <c r="Z39" i="51"/>
  <c r="Y39" i="51"/>
  <c r="X39" i="5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AG37" i="51"/>
  <c r="AG36" i="51"/>
  <c r="AG35" i="51"/>
  <c r="AG34" i="51"/>
  <c r="AG33" i="51"/>
  <c r="AG32" i="51"/>
  <c r="AG31" i="51"/>
  <c r="AG30" i="51"/>
  <c r="AG29" i="51"/>
  <c r="AG28" i="51"/>
  <c r="AG27" i="51"/>
  <c r="AG26" i="51"/>
  <c r="AG25" i="51"/>
  <c r="AG24" i="51"/>
  <c r="AG23" i="51"/>
  <c r="AG22" i="51"/>
  <c r="AG21" i="51"/>
  <c r="AG20" i="51"/>
  <c r="AG19" i="51"/>
  <c r="AG18" i="51"/>
  <c r="AG17" i="51"/>
  <c r="AG16" i="51"/>
  <c r="AG15" i="51"/>
  <c r="AG14" i="51"/>
  <c r="AG13" i="51"/>
  <c r="AG12" i="51"/>
  <c r="AG11" i="51"/>
  <c r="AG10" i="51"/>
  <c r="AG9" i="51"/>
  <c r="AG8" i="51"/>
  <c r="AG7" i="51"/>
  <c r="AG6" i="51"/>
  <c r="AG39" i="51" l="1"/>
  <c r="AH38" i="51" s="1"/>
  <c r="X184" i="55"/>
  <c r="O26" i="54"/>
  <c r="O40" i="54"/>
  <c r="O4" i="54"/>
  <c r="P4" i="54" s="1"/>
  <c r="O7" i="54"/>
  <c r="P7" i="54" s="1"/>
  <c r="O16" i="54"/>
  <c r="O21" i="54"/>
  <c r="O25" i="54"/>
  <c r="O32" i="54"/>
  <c r="O8" i="54"/>
  <c r="P8" i="54" s="1"/>
  <c r="O29" i="54"/>
  <c r="O31" i="54"/>
  <c r="O34" i="54"/>
  <c r="O36" i="54"/>
  <c r="O39" i="54"/>
  <c r="P39" i="54" s="1"/>
  <c r="Q39" i="54" s="1"/>
  <c r="O11" i="54"/>
  <c r="P11" i="54" s="1"/>
  <c r="O27" i="54"/>
  <c r="O35" i="54"/>
  <c r="O6" i="54"/>
  <c r="P6" i="54" s="1"/>
  <c r="O18" i="54"/>
  <c r="P18" i="54" s="1"/>
  <c r="O9" i="54"/>
  <c r="P9" i="54" s="1"/>
  <c r="O17" i="54"/>
  <c r="O19" i="54"/>
  <c r="O24" i="54"/>
  <c r="O5" i="54"/>
  <c r="P5" i="54" s="1"/>
  <c r="O20" i="54"/>
  <c r="O28" i="54"/>
  <c r="O30" i="54"/>
  <c r="O33" i="54"/>
  <c r="O37" i="54"/>
  <c r="O23" i="54"/>
  <c r="O10" i="54"/>
  <c r="P10" i="54" s="1"/>
  <c r="O22" i="54"/>
  <c r="P36" i="54" l="1"/>
  <c r="AH20" i="51"/>
  <c r="AH6" i="51"/>
  <c r="AH21" i="51"/>
  <c r="AH22" i="51"/>
  <c r="AH19" i="51"/>
  <c r="AH14" i="51"/>
  <c r="AH12" i="51"/>
  <c r="AH37" i="51"/>
  <c r="AH35" i="51"/>
  <c r="AH28" i="51"/>
  <c r="AH32" i="51"/>
  <c r="AH30" i="51"/>
  <c r="AH13" i="51"/>
  <c r="AH29" i="51"/>
  <c r="AH11" i="51"/>
  <c r="AH27" i="51"/>
  <c r="AH8" i="51"/>
  <c r="AH16" i="51"/>
  <c r="AH24" i="51"/>
  <c r="AH36" i="51"/>
  <c r="AH10" i="51"/>
  <c r="AH18" i="51"/>
  <c r="AH26" i="51"/>
  <c r="AH9" i="51"/>
  <c r="AH17" i="51"/>
  <c r="AH25" i="51"/>
  <c r="AH33" i="51"/>
  <c r="AH7" i="51"/>
  <c r="AH15" i="51"/>
  <c r="AH23" i="51"/>
  <c r="AH31" i="51"/>
  <c r="AH34" i="51"/>
  <c r="P19" i="54"/>
  <c r="P33" i="54"/>
  <c r="P31" i="54"/>
  <c r="P24" i="54"/>
  <c r="P16" i="54"/>
  <c r="Q4" i="54"/>
  <c r="Q24" i="54" l="1"/>
  <c r="AH39" i="51"/>
  <c r="C49" i="24"/>
  <c r="F23" i="33" l="1"/>
  <c r="C38" i="24" l="1"/>
  <c r="T41" i="48" l="1"/>
  <c r="U9" i="48"/>
  <c r="U10" i="48" s="1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U39" i="48" s="1"/>
  <c r="D39" i="48"/>
  <c r="D38" i="48"/>
  <c r="E35" i="48"/>
  <c r="D35" i="48"/>
  <c r="D37" i="48"/>
  <c r="D36" i="48"/>
  <c r="D34" i="48"/>
  <c r="D33" i="48"/>
  <c r="D32" i="48"/>
  <c r="D31" i="48"/>
  <c r="D29" i="48"/>
  <c r="D30" i="48"/>
  <c r="K34" i="14"/>
  <c r="W89" i="55" s="1"/>
  <c r="X89" i="55" s="1"/>
  <c r="D12" i="48"/>
  <c r="E12" i="48"/>
  <c r="D13" i="48"/>
  <c r="D17" i="48"/>
  <c r="E17" i="48"/>
  <c r="D25" i="48"/>
  <c r="E25" i="48"/>
  <c r="D28" i="48"/>
  <c r="D27" i="48"/>
  <c r="D26" i="48"/>
  <c r="D24" i="48"/>
  <c r="D23" i="48"/>
  <c r="D22" i="48"/>
  <c r="D21" i="48"/>
  <c r="D20" i="48"/>
  <c r="I43" i="43"/>
  <c r="I44" i="43" s="1"/>
  <c r="I43" i="4"/>
  <c r="I44" i="4" s="1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3" i="14"/>
  <c r="I44" i="14" s="1"/>
  <c r="I43" i="15"/>
  <c r="I44" i="15" s="1"/>
  <c r="I43" i="16"/>
  <c r="I44" i="16" s="1"/>
  <c r="I43" i="17"/>
  <c r="I44" i="17" s="1"/>
  <c r="I43" i="18"/>
  <c r="I44" i="18" s="1"/>
  <c r="I43" i="19"/>
  <c r="I43" i="20"/>
  <c r="I44" i="20" s="1"/>
  <c r="I43" i="22"/>
  <c r="I44" i="22" s="1"/>
  <c r="I43" i="21"/>
  <c r="I44" i="21" s="1"/>
  <c r="I43" i="23"/>
  <c r="I44" i="23" s="1"/>
  <c r="I43" i="24"/>
  <c r="I44" i="24" s="1"/>
  <c r="I43" i="25"/>
  <c r="I44" i="25" s="1"/>
  <c r="I43" i="26"/>
  <c r="I44" i="26" s="1"/>
  <c r="I43" i="28"/>
  <c r="I43" i="27"/>
  <c r="I44" i="27" s="1"/>
  <c r="I50" i="31"/>
  <c r="I43" i="32"/>
  <c r="I44" i="32" s="1"/>
  <c r="I43" i="33"/>
  <c r="C11" i="1"/>
  <c r="C11" i="2" s="1"/>
  <c r="C12" i="1"/>
  <c r="C12" i="2" s="1"/>
  <c r="C13" i="1"/>
  <c r="C13" i="2" s="1"/>
  <c r="C14" i="1"/>
  <c r="C14" i="2" s="1"/>
  <c r="C15" i="1"/>
  <c r="C15" i="2" s="1"/>
  <c r="C16" i="1"/>
  <c r="C16" i="2" s="1"/>
  <c r="C17" i="1"/>
  <c r="C17" i="2" s="1"/>
  <c r="C18" i="1"/>
  <c r="C18" i="2" s="1"/>
  <c r="C19" i="1"/>
  <c r="C19" i="2" s="1"/>
  <c r="C20" i="1"/>
  <c r="C20" i="2" s="1"/>
  <c r="C21" i="1"/>
  <c r="C21" i="2" s="1"/>
  <c r="C22" i="1"/>
  <c r="C22" i="2" s="1"/>
  <c r="C23" i="1"/>
  <c r="C23" i="2" s="1"/>
  <c r="C24" i="1"/>
  <c r="C24" i="2" s="1"/>
  <c r="C25" i="1"/>
  <c r="C25" i="2" s="1"/>
  <c r="C26" i="1"/>
  <c r="C26" i="2" s="1"/>
  <c r="C27" i="1"/>
  <c r="C27" i="2" s="1"/>
  <c r="C28" i="1"/>
  <c r="C28" i="2" s="1"/>
  <c r="C29" i="1"/>
  <c r="C29" i="2" s="1"/>
  <c r="C30" i="1"/>
  <c r="C30" i="2" s="1"/>
  <c r="C31" i="1"/>
  <c r="C31" i="2" s="1"/>
  <c r="C32" i="1"/>
  <c r="C32" i="2" s="1"/>
  <c r="C33" i="1"/>
  <c r="C33" i="2" s="1"/>
  <c r="C34" i="1"/>
  <c r="C34" i="2" s="1"/>
  <c r="C35" i="1"/>
  <c r="C35" i="2" s="1"/>
  <c r="C36" i="1"/>
  <c r="C36" i="2" s="1"/>
  <c r="C37" i="1"/>
  <c r="C37" i="2" s="1"/>
  <c r="C38" i="1"/>
  <c r="C38" i="2" s="1"/>
  <c r="C39" i="1"/>
  <c r="C39" i="2" s="1"/>
  <c r="C40" i="1"/>
  <c r="C40" i="2" s="1"/>
  <c r="C10" i="1"/>
  <c r="C10" i="2" s="1"/>
  <c r="B11" i="1"/>
  <c r="B11" i="2" s="1"/>
  <c r="B12" i="1"/>
  <c r="B12" i="2" s="1"/>
  <c r="B13" i="1"/>
  <c r="B13" i="2" s="1"/>
  <c r="B14" i="1"/>
  <c r="B14" i="2" s="1"/>
  <c r="B15" i="1"/>
  <c r="B15" i="2" s="1"/>
  <c r="B16" i="1"/>
  <c r="B16" i="2" s="1"/>
  <c r="B17" i="1"/>
  <c r="B17" i="2" s="1"/>
  <c r="B18" i="1"/>
  <c r="B18" i="2" s="1"/>
  <c r="B19" i="1"/>
  <c r="B19" i="2" s="1"/>
  <c r="B20" i="1"/>
  <c r="B20" i="2" s="1"/>
  <c r="B21" i="1"/>
  <c r="B21" i="2" s="1"/>
  <c r="B22" i="1"/>
  <c r="B22" i="2" s="1"/>
  <c r="B23" i="1"/>
  <c r="B23" i="2" s="1"/>
  <c r="B24" i="1"/>
  <c r="B24" i="2" s="1"/>
  <c r="B25" i="1"/>
  <c r="B25" i="2" s="1"/>
  <c r="B26" i="1"/>
  <c r="B26" i="2" s="1"/>
  <c r="B27" i="1"/>
  <c r="B27" i="2" s="1"/>
  <c r="B28" i="1"/>
  <c r="B28" i="2" s="1"/>
  <c r="B29" i="1"/>
  <c r="B29" i="2" s="1"/>
  <c r="B30" i="1"/>
  <c r="B30" i="2" s="1"/>
  <c r="B31" i="1"/>
  <c r="B31" i="2" s="1"/>
  <c r="B32" i="1"/>
  <c r="B32" i="2" s="1"/>
  <c r="B33" i="1"/>
  <c r="B33" i="2" s="1"/>
  <c r="B34" i="1"/>
  <c r="B34" i="2" s="1"/>
  <c r="B35" i="1"/>
  <c r="B35" i="2" s="1"/>
  <c r="B36" i="1"/>
  <c r="B36" i="2" s="1"/>
  <c r="B37" i="1"/>
  <c r="B37" i="2" s="1"/>
  <c r="B38" i="1"/>
  <c r="B38" i="2" s="1"/>
  <c r="B39" i="1"/>
  <c r="B39" i="2" s="1"/>
  <c r="B40" i="1"/>
  <c r="B40" i="2" s="1"/>
  <c r="B10" i="1"/>
  <c r="B10" i="2" s="1"/>
  <c r="P39" i="48"/>
  <c r="B38" i="45" s="1"/>
  <c r="P38" i="48"/>
  <c r="B37" i="45" s="1"/>
  <c r="P37" i="48"/>
  <c r="P36" i="48"/>
  <c r="B35" i="45" s="1"/>
  <c r="P35" i="48"/>
  <c r="B34" i="45" s="1"/>
  <c r="P34" i="48"/>
  <c r="B33" i="45" s="1"/>
  <c r="P33" i="48"/>
  <c r="P32" i="48"/>
  <c r="B31" i="45" s="1"/>
  <c r="P31" i="48"/>
  <c r="B30" i="45" s="1"/>
  <c r="P30" i="48"/>
  <c r="B29" i="45" s="1"/>
  <c r="P29" i="48"/>
  <c r="P28" i="48"/>
  <c r="B27" i="45" s="1"/>
  <c r="P27" i="48"/>
  <c r="B26" i="45" s="1"/>
  <c r="P26" i="48"/>
  <c r="AB26" i="48" s="1"/>
  <c r="P25" i="48"/>
  <c r="B24" i="45" s="1"/>
  <c r="P24" i="48"/>
  <c r="B23" i="45" s="1"/>
  <c r="P23" i="48"/>
  <c r="B22" i="45" s="1"/>
  <c r="P22" i="48"/>
  <c r="B21" i="45" s="1"/>
  <c r="P21" i="48"/>
  <c r="P20" i="48"/>
  <c r="B19" i="45" s="1"/>
  <c r="P19" i="48"/>
  <c r="B18" i="45" s="1"/>
  <c r="P18" i="48"/>
  <c r="B17" i="45" s="1"/>
  <c r="P17" i="48"/>
  <c r="P16" i="48"/>
  <c r="H16" i="48" s="1"/>
  <c r="P15" i="48"/>
  <c r="P14" i="48"/>
  <c r="B13" i="45" s="1"/>
  <c r="P13" i="48"/>
  <c r="B12" i="45" s="1"/>
  <c r="P12" i="48"/>
  <c r="P11" i="48"/>
  <c r="B10" i="45" s="1"/>
  <c r="P10" i="48"/>
  <c r="AA9" i="48"/>
  <c r="AA10" i="48" s="1"/>
  <c r="AA11" i="48" s="1"/>
  <c r="AA12" i="48" s="1"/>
  <c r="AA13" i="48" s="1"/>
  <c r="AA14" i="48" s="1"/>
  <c r="AA15" i="48" s="1"/>
  <c r="AA16" i="48" s="1"/>
  <c r="AA17" i="48" s="1"/>
  <c r="AA18" i="48" s="1"/>
  <c r="AA19" i="48" s="1"/>
  <c r="AA20" i="48" s="1"/>
  <c r="AA21" i="48" s="1"/>
  <c r="AA22" i="48" s="1"/>
  <c r="AA23" i="48" s="1"/>
  <c r="AA24" i="48" s="1"/>
  <c r="AA25" i="48" s="1"/>
  <c r="AA26" i="48" s="1"/>
  <c r="AA27" i="48" s="1"/>
  <c r="AA28" i="48" s="1"/>
  <c r="AA29" i="48" s="1"/>
  <c r="AA30" i="48" s="1"/>
  <c r="AA31" i="48" s="1"/>
  <c r="AA32" i="48" s="1"/>
  <c r="AA33" i="48" s="1"/>
  <c r="AA34" i="48" s="1"/>
  <c r="AA35" i="48" s="1"/>
  <c r="AA36" i="48" s="1"/>
  <c r="AA37" i="48" s="1"/>
  <c r="AA38" i="48" s="1"/>
  <c r="AA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D18" i="48"/>
  <c r="D16" i="48"/>
  <c r="D15" i="48"/>
  <c r="D14" i="48"/>
  <c r="E13" i="48"/>
  <c r="D11" i="48"/>
  <c r="P9" i="48"/>
  <c r="B8" i="45" s="1"/>
  <c r="L34" i="26"/>
  <c r="K34" i="26"/>
  <c r="W38" i="55" s="1"/>
  <c r="X38" i="55" s="1"/>
  <c r="D10" i="48"/>
  <c r="D9" i="48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K34" i="43"/>
  <c r="L34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K34" i="37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K34" i="6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K3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K34" i="8"/>
  <c r="W115" i="55" s="1"/>
  <c r="X115" i="55" s="1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K34" i="9"/>
  <c r="W111" i="55" s="1"/>
  <c r="X111" i="55" s="1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K3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V31" i="11" s="1"/>
  <c r="W31" i="11" s="1"/>
  <c r="C39" i="11"/>
  <c r="C40" i="11"/>
  <c r="C41" i="11"/>
  <c r="C42" i="11"/>
  <c r="C43" i="11"/>
  <c r="C44" i="11"/>
  <c r="C45" i="11"/>
  <c r="C46" i="11"/>
  <c r="C47" i="11"/>
  <c r="C48" i="11"/>
  <c r="C49" i="11"/>
  <c r="C50" i="11"/>
  <c r="I50" i="11"/>
  <c r="C51" i="11"/>
  <c r="H4" i="12"/>
  <c r="K34" i="12"/>
  <c r="L34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H4" i="13"/>
  <c r="K34" i="13"/>
  <c r="L34" i="13"/>
  <c r="C38" i="13"/>
  <c r="C39" i="13"/>
  <c r="C40" i="13"/>
  <c r="C41" i="13"/>
  <c r="C42" i="13"/>
  <c r="C43" i="13"/>
  <c r="C44" i="13"/>
  <c r="I44" i="13"/>
  <c r="C45" i="13"/>
  <c r="C46" i="13"/>
  <c r="C47" i="13"/>
  <c r="C48" i="13"/>
  <c r="C49" i="13"/>
  <c r="C50" i="13"/>
  <c r="I50" i="13"/>
  <c r="C51" i="13"/>
  <c r="H4" i="14"/>
  <c r="L34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I50" i="14"/>
  <c r="C51" i="14"/>
  <c r="H4" i="15"/>
  <c r="K34" i="15"/>
  <c r="W85" i="55" s="1"/>
  <c r="X85" i="55" s="1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I50" i="15"/>
  <c r="C51" i="15"/>
  <c r="H4" i="16"/>
  <c r="K34" i="16"/>
  <c r="W81" i="55" s="1"/>
  <c r="X81" i="55" s="1"/>
  <c r="L34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I50" i="16"/>
  <c r="C51" i="16"/>
  <c r="H4" i="17"/>
  <c r="K34" i="17"/>
  <c r="L34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I50" i="17"/>
  <c r="C51" i="17"/>
  <c r="H4" i="18"/>
  <c r="K34" i="18"/>
  <c r="L34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I50" i="18"/>
  <c r="C51" i="18"/>
  <c r="H4" i="19"/>
  <c r="K34" i="19"/>
  <c r="L34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I50" i="19"/>
  <c r="C51" i="19"/>
  <c r="H4" i="20"/>
  <c r="K3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I50" i="20"/>
  <c r="C51" i="20"/>
  <c r="H4" i="22"/>
  <c r="K3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I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K34" i="21"/>
  <c r="L34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C44" i="24"/>
  <c r="C46" i="24"/>
  <c r="C47" i="24"/>
  <c r="C48" i="24"/>
  <c r="C50" i="24"/>
  <c r="C51" i="24"/>
  <c r="H4" i="25"/>
  <c r="K34" i="25"/>
  <c r="W42" i="55" s="1"/>
  <c r="X42" i="55" s="1"/>
  <c r="L34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I50" i="26"/>
  <c r="C51" i="26"/>
  <c r="H4" i="28"/>
  <c r="K3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I50" i="28"/>
  <c r="C51" i="28"/>
  <c r="H4" i="27"/>
  <c r="L34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H4" i="31"/>
  <c r="L34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H4" i="32"/>
  <c r="J7" i="32"/>
  <c r="J7" i="31" s="1"/>
  <c r="J20" i="31"/>
  <c r="J20" i="30" s="1"/>
  <c r="J20" i="29" s="1"/>
  <c r="J21" i="31"/>
  <c r="J21" i="30" s="1"/>
  <c r="J21" i="29" s="1"/>
  <c r="J22" i="31"/>
  <c r="J22" i="30" s="1"/>
  <c r="J22" i="29" s="1"/>
  <c r="J23" i="31"/>
  <c r="J23" i="30" s="1"/>
  <c r="J23" i="29" s="1"/>
  <c r="J24" i="31"/>
  <c r="J24" i="30" s="1"/>
  <c r="J24" i="29" s="1"/>
  <c r="J25" i="31"/>
  <c r="J25" i="30" s="1"/>
  <c r="J25" i="29" s="1"/>
  <c r="J26" i="32"/>
  <c r="J26" i="31" s="1"/>
  <c r="J26" i="30" s="1"/>
  <c r="J26" i="29" s="1"/>
  <c r="J27" i="32"/>
  <c r="J27" i="31" s="1"/>
  <c r="J28" i="32"/>
  <c r="J28" i="31" s="1"/>
  <c r="J29" i="32"/>
  <c r="J29" i="31" s="1"/>
  <c r="J30" i="32"/>
  <c r="J30" i="31" s="1"/>
  <c r="J31" i="32"/>
  <c r="J31" i="31" s="1"/>
  <c r="J32" i="32"/>
  <c r="J32" i="31" s="1"/>
  <c r="L34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8" i="33"/>
  <c r="M9" i="33"/>
  <c r="M9" i="32" s="1"/>
  <c r="M9" i="31" s="1"/>
  <c r="M10" i="33"/>
  <c r="M10" i="32" s="1"/>
  <c r="M11" i="33"/>
  <c r="M11" i="32" s="1"/>
  <c r="M11" i="31" s="1"/>
  <c r="M12" i="33"/>
  <c r="M12" i="32" s="1"/>
  <c r="M12" i="31" s="1"/>
  <c r="M13" i="33"/>
  <c r="M13" i="32" s="1"/>
  <c r="M13" i="31" s="1"/>
  <c r="M14" i="33"/>
  <c r="M14" i="32" s="1"/>
  <c r="M14" i="31" s="1"/>
  <c r="M15" i="33"/>
  <c r="M15" i="32" s="1"/>
  <c r="M15" i="31" s="1"/>
  <c r="M16" i="33"/>
  <c r="M16" i="32" s="1"/>
  <c r="M16" i="31" s="1"/>
  <c r="M17" i="33"/>
  <c r="M17" i="32" s="1"/>
  <c r="M17" i="31" s="1"/>
  <c r="M18" i="33"/>
  <c r="M18" i="32" s="1"/>
  <c r="M18" i="31" s="1"/>
  <c r="M19" i="33"/>
  <c r="M19" i="32" s="1"/>
  <c r="M19" i="31" s="1"/>
  <c r="M20" i="33"/>
  <c r="M20" i="32" s="1"/>
  <c r="M20" i="31" s="1"/>
  <c r="M21" i="33"/>
  <c r="M21" i="32" s="1"/>
  <c r="M21" i="31" s="1"/>
  <c r="M22" i="33"/>
  <c r="M22" i="32" s="1"/>
  <c r="M22" i="31" s="1"/>
  <c r="C23" i="33"/>
  <c r="E23" i="33"/>
  <c r="M23" i="33"/>
  <c r="M23" i="32" s="1"/>
  <c r="M23" i="31" s="1"/>
  <c r="M24" i="33"/>
  <c r="M24" i="32" s="1"/>
  <c r="M24" i="31" s="1"/>
  <c r="M25" i="33"/>
  <c r="M25" i="32" s="1"/>
  <c r="M25" i="31" s="1"/>
  <c r="M26" i="33"/>
  <c r="M26" i="32" s="1"/>
  <c r="M26" i="31" s="1"/>
  <c r="M27" i="33"/>
  <c r="M27" i="32" s="1"/>
  <c r="M27" i="31" s="1"/>
  <c r="M28" i="33"/>
  <c r="M28" i="32" s="1"/>
  <c r="M28" i="31" s="1"/>
  <c r="M29" i="33"/>
  <c r="M29" i="32" s="1"/>
  <c r="M29" i="31" s="1"/>
  <c r="M30" i="33"/>
  <c r="M30" i="32" s="1"/>
  <c r="M30" i="31" s="1"/>
  <c r="M31" i="33"/>
  <c r="M31" i="32" s="1"/>
  <c r="M31" i="31" s="1"/>
  <c r="C32" i="33"/>
  <c r="D32" i="33"/>
  <c r="D34" i="33" s="1"/>
  <c r="Z6" i="55" s="1"/>
  <c r="AA6" i="55" s="1"/>
  <c r="AB6" i="55" s="1"/>
  <c r="E32" i="33"/>
  <c r="F32" i="33"/>
  <c r="M32" i="33"/>
  <c r="M32" i="32" s="1"/>
  <c r="M32" i="31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C38" i="33"/>
  <c r="D38" i="33" s="1"/>
  <c r="J38" i="33"/>
  <c r="J38" i="32" s="1"/>
  <c r="J38" i="31" s="1"/>
  <c r="J38" i="30" s="1"/>
  <c r="J38" i="29" s="1"/>
  <c r="C39" i="33"/>
  <c r="D39" i="33" s="1"/>
  <c r="C40" i="33"/>
  <c r="D40" i="33" s="1"/>
  <c r="C41" i="33"/>
  <c r="D41" i="33" s="1"/>
  <c r="E41" i="33" s="1"/>
  <c r="C42" i="33"/>
  <c r="D42" i="33" s="1"/>
  <c r="E42" i="33" s="1"/>
  <c r="C43" i="33"/>
  <c r="D43" i="33" s="1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J49" i="33"/>
  <c r="J49" i="32" s="1"/>
  <c r="J49" i="31" s="1"/>
  <c r="C50" i="33"/>
  <c r="D50" i="33" s="1"/>
  <c r="E50" i="33" s="1"/>
  <c r="I50" i="33"/>
  <c r="C51" i="33"/>
  <c r="D51" i="33" s="1"/>
  <c r="AF12" i="48"/>
  <c r="AF15" i="48"/>
  <c r="AH15" i="48" s="1"/>
  <c r="AF16" i="48"/>
  <c r="I47" i="21"/>
  <c r="AF22" i="48"/>
  <c r="I47" i="13"/>
  <c r="I47" i="12"/>
  <c r="AF31" i="48"/>
  <c r="I47" i="10"/>
  <c r="AF33" i="48"/>
  <c r="AF37" i="48"/>
  <c r="K34" i="27"/>
  <c r="W29" i="55" s="1"/>
  <c r="X29" i="55" s="1"/>
  <c r="I50" i="27"/>
  <c r="I50" i="12"/>
  <c r="I50" i="25"/>
  <c r="I50" i="24"/>
  <c r="I50" i="23"/>
  <c r="I50" i="21"/>
  <c r="I50" i="8"/>
  <c r="I50" i="37"/>
  <c r="I50" i="43"/>
  <c r="I50" i="10"/>
  <c r="I50" i="9"/>
  <c r="I50" i="7"/>
  <c r="R12" i="48"/>
  <c r="AN12" i="48" s="1"/>
  <c r="K34" i="24"/>
  <c r="W46" i="55" s="1"/>
  <c r="X46" i="55" s="1"/>
  <c r="K34" i="23"/>
  <c r="H18" i="48"/>
  <c r="Z41" i="48"/>
  <c r="AB17" i="48"/>
  <c r="AB22" i="48"/>
  <c r="AB30" i="48"/>
  <c r="AB33" i="48"/>
  <c r="H33" i="48"/>
  <c r="AB38" i="48"/>
  <c r="G17" i="48"/>
  <c r="E36" i="48"/>
  <c r="E15" i="48"/>
  <c r="I47" i="9"/>
  <c r="I47" i="6"/>
  <c r="AF36" i="48"/>
  <c r="I47" i="8"/>
  <c r="AF39" i="48"/>
  <c r="I47" i="43"/>
  <c r="I47" i="37"/>
  <c r="I47" i="19"/>
  <c r="AB34" i="48" l="1"/>
  <c r="G18" i="48"/>
  <c r="G34" i="48"/>
  <c r="AB18" i="48"/>
  <c r="AA81" i="55"/>
  <c r="AB81" i="55" s="1"/>
  <c r="AA42" i="55"/>
  <c r="AB42" i="55" s="1"/>
  <c r="AA85" i="55"/>
  <c r="AB85" i="55" s="1"/>
  <c r="AA111" i="55"/>
  <c r="AB111" i="55" s="1"/>
  <c r="I40" i="43"/>
  <c r="AA38" i="55"/>
  <c r="AB38" i="55" s="1"/>
  <c r="AA46" i="55"/>
  <c r="AB46" i="55" s="1"/>
  <c r="AA115" i="55"/>
  <c r="AB115" i="55" s="1"/>
  <c r="AA29" i="55"/>
  <c r="AB29" i="55" s="1"/>
  <c r="AA89" i="55"/>
  <c r="AB89" i="55" s="1"/>
  <c r="E24" i="43"/>
  <c r="Z6" i="56"/>
  <c r="AA6" i="56" s="1"/>
  <c r="AB6" i="56" s="1"/>
  <c r="AB35" i="48"/>
  <c r="W38" i="56"/>
  <c r="W115" i="56"/>
  <c r="W111" i="56"/>
  <c r="W89" i="56"/>
  <c r="W81" i="56"/>
  <c r="W85" i="56"/>
  <c r="W46" i="56"/>
  <c r="W42" i="56"/>
  <c r="W29" i="56"/>
  <c r="AB36" i="48"/>
  <c r="AB28" i="48"/>
  <c r="G22" i="48"/>
  <c r="G30" i="48"/>
  <c r="AB20" i="48"/>
  <c r="C15" i="33"/>
  <c r="D15" i="33"/>
  <c r="D24" i="33"/>
  <c r="C33" i="33"/>
  <c r="E15" i="33"/>
  <c r="E24" i="33"/>
  <c r="C24" i="33"/>
  <c r="AB9" i="48"/>
  <c r="Q9" i="48"/>
  <c r="Q10" i="48" s="1"/>
  <c r="AC10" i="48" s="1"/>
  <c r="F34" i="43"/>
  <c r="E30" i="48"/>
  <c r="F30" i="48" s="1"/>
  <c r="F25" i="48"/>
  <c r="AB24" i="48"/>
  <c r="H24" i="48"/>
  <c r="AB32" i="48"/>
  <c r="G28" i="48"/>
  <c r="F15" i="48"/>
  <c r="H28" i="48"/>
  <c r="I40" i="9"/>
  <c r="I45" i="9" s="1"/>
  <c r="G25" i="48"/>
  <c r="H25" i="48"/>
  <c r="AB25" i="48"/>
  <c r="H22" i="48"/>
  <c r="I40" i="23"/>
  <c r="R19" i="48" s="1"/>
  <c r="I40" i="24"/>
  <c r="I51" i="24" s="1"/>
  <c r="F17" i="48"/>
  <c r="G16" i="48"/>
  <c r="J32" i="30"/>
  <c r="J32" i="29" s="1"/>
  <c r="J32" i="27" s="1"/>
  <c r="J32" i="28" s="1"/>
  <c r="J32" i="26" s="1"/>
  <c r="J27" i="30"/>
  <c r="J27" i="29" s="1"/>
  <c r="J27" i="27" s="1"/>
  <c r="J27" i="28" s="1"/>
  <c r="J27" i="26" s="1"/>
  <c r="J30" i="30"/>
  <c r="J30" i="29" s="1"/>
  <c r="J30" i="27" s="1"/>
  <c r="J30" i="28" s="1"/>
  <c r="J30" i="26" s="1"/>
  <c r="J31" i="30"/>
  <c r="J31" i="29" s="1"/>
  <c r="J31" i="27" s="1"/>
  <c r="J31" i="28" s="1"/>
  <c r="J31" i="26" s="1"/>
  <c r="J29" i="30"/>
  <c r="J29" i="29" s="1"/>
  <c r="J29" i="27" s="1"/>
  <c r="J29" i="28" s="1"/>
  <c r="J29" i="26" s="1"/>
  <c r="J28" i="30"/>
  <c r="J28" i="29" s="1"/>
  <c r="J28" i="27" s="1"/>
  <c r="J28" i="28" s="1"/>
  <c r="J28" i="26" s="1"/>
  <c r="J7" i="30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I40" i="8"/>
  <c r="R34" i="48" s="1"/>
  <c r="H14" i="48"/>
  <c r="M26" i="30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1" i="30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9" i="30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25" i="30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0" i="30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16" i="30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M24" i="30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19" i="30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11" i="30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31" i="30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M23" i="30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18" i="30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3" i="30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M30" i="30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17" i="30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2" i="30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M28" i="30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15" i="30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J49" i="30"/>
  <c r="M27" i="30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2" i="30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M14" i="30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9" i="30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N10" i="45"/>
  <c r="AD10" i="45"/>
  <c r="AO10" i="45"/>
  <c r="Z10" i="45"/>
  <c r="AH10" i="45"/>
  <c r="J10" i="45"/>
  <c r="R10" i="45"/>
  <c r="V10" i="45"/>
  <c r="AL10" i="45"/>
  <c r="F10" i="45"/>
  <c r="E39" i="48"/>
  <c r="F39" i="48" s="1"/>
  <c r="J16" i="27"/>
  <c r="J16" i="28" s="1"/>
  <c r="J16" i="26" s="1"/>
  <c r="J16" i="25" s="1"/>
  <c r="J16" i="24" s="1"/>
  <c r="J16" i="23" s="1"/>
  <c r="J15" i="27"/>
  <c r="J15" i="28" s="1"/>
  <c r="J15" i="26" s="1"/>
  <c r="J15" i="25" s="1"/>
  <c r="J15" i="24" s="1"/>
  <c r="J15" i="23" s="1"/>
  <c r="J9" i="28"/>
  <c r="J9" i="26" s="1"/>
  <c r="J9" i="25" s="1"/>
  <c r="J9" i="24" s="1"/>
  <c r="J9" i="23" s="1"/>
  <c r="I40" i="25"/>
  <c r="R17" i="48" s="1"/>
  <c r="J26" i="27"/>
  <c r="J26" i="28" s="1"/>
  <c r="J26" i="26" s="1"/>
  <c r="J22" i="27"/>
  <c r="J22" i="28" s="1"/>
  <c r="J14" i="27"/>
  <c r="J14" i="28" s="1"/>
  <c r="J14" i="26" s="1"/>
  <c r="J14" i="25" s="1"/>
  <c r="J14" i="24" s="1"/>
  <c r="J8" i="28"/>
  <c r="J8" i="26" s="1"/>
  <c r="J8" i="25" s="1"/>
  <c r="J8" i="24" s="1"/>
  <c r="J8" i="23" s="1"/>
  <c r="J25" i="27"/>
  <c r="J25" i="28" s="1"/>
  <c r="J25" i="26" s="1"/>
  <c r="J21" i="27"/>
  <c r="J21" i="28" s="1"/>
  <c r="J21" i="26" s="1"/>
  <c r="J21" i="25" s="1"/>
  <c r="J21" i="24" s="1"/>
  <c r="J21" i="23" s="1"/>
  <c r="J21" i="21" s="1"/>
  <c r="J21" i="22" s="1"/>
  <c r="J24" i="27"/>
  <c r="J24" i="28" s="1"/>
  <c r="J24" i="26" s="1"/>
  <c r="J11" i="27"/>
  <c r="J11" i="28" s="1"/>
  <c r="J11" i="26" s="1"/>
  <c r="J11" i="25" s="1"/>
  <c r="J11" i="24" s="1"/>
  <c r="J11" i="23" s="1"/>
  <c r="I40" i="27"/>
  <c r="I48" i="27" s="1"/>
  <c r="J23" i="27"/>
  <c r="J23" i="28" s="1"/>
  <c r="J23" i="26" s="1"/>
  <c r="J19" i="27"/>
  <c r="J19" i="28" s="1"/>
  <c r="J19" i="26" s="1"/>
  <c r="J19" i="25" s="1"/>
  <c r="J19" i="24" s="1"/>
  <c r="J19" i="23" s="1"/>
  <c r="J18" i="27"/>
  <c r="J18" i="28" s="1"/>
  <c r="J18" i="26" s="1"/>
  <c r="J18" i="25" s="1"/>
  <c r="J18" i="24" s="1"/>
  <c r="J18" i="23" s="1"/>
  <c r="J13" i="27"/>
  <c r="J13" i="28" s="1"/>
  <c r="J13" i="26" s="1"/>
  <c r="J13" i="25" s="1"/>
  <c r="J13" i="24" s="1"/>
  <c r="J13" i="23" s="1"/>
  <c r="J17" i="27"/>
  <c r="J17" i="28" s="1"/>
  <c r="J17" i="26" s="1"/>
  <c r="J17" i="25" s="1"/>
  <c r="J17" i="24" s="1"/>
  <c r="J17" i="23" s="1"/>
  <c r="J12" i="27"/>
  <c r="J12" i="28" s="1"/>
  <c r="J12" i="26" s="1"/>
  <c r="J12" i="25" s="1"/>
  <c r="J12" i="24" s="1"/>
  <c r="J12" i="23" s="1"/>
  <c r="F13" i="48"/>
  <c r="I40" i="26"/>
  <c r="I48" i="26" s="1"/>
  <c r="D15" i="43"/>
  <c r="C52" i="10"/>
  <c r="C53" i="10" s="1"/>
  <c r="C34" i="43"/>
  <c r="AB13" i="48"/>
  <c r="C24" i="43"/>
  <c r="D24" i="43"/>
  <c r="I40" i="10"/>
  <c r="I45" i="10" s="1"/>
  <c r="C52" i="43"/>
  <c r="C53" i="43" s="1"/>
  <c r="C52" i="13"/>
  <c r="C53" i="13" s="1"/>
  <c r="C52" i="23"/>
  <c r="C53" i="23" s="1"/>
  <c r="C52" i="20"/>
  <c r="C53" i="20" s="1"/>
  <c r="C52" i="17"/>
  <c r="C53" i="17" s="1"/>
  <c r="I40" i="28"/>
  <c r="I51" i="28" s="1"/>
  <c r="E33" i="43"/>
  <c r="E34" i="43"/>
  <c r="C52" i="27"/>
  <c r="C53" i="27" s="1"/>
  <c r="I40" i="12"/>
  <c r="R30" i="48" s="1"/>
  <c r="C52" i="6"/>
  <c r="C53" i="6" s="1"/>
  <c r="K34" i="11"/>
  <c r="E34" i="33"/>
  <c r="J57" i="33" s="1"/>
  <c r="C52" i="37"/>
  <c r="C53" i="37" s="1"/>
  <c r="C52" i="4"/>
  <c r="C53" i="4" s="1"/>
  <c r="C52" i="18"/>
  <c r="C53" i="18" s="1"/>
  <c r="I40" i="17"/>
  <c r="I51" i="17" s="1"/>
  <c r="C52" i="9"/>
  <c r="C53" i="9" s="1"/>
  <c r="I40" i="7"/>
  <c r="I51" i="7" s="1"/>
  <c r="C52" i="14"/>
  <c r="C53" i="14" s="1"/>
  <c r="C52" i="12"/>
  <c r="C53" i="12" s="1"/>
  <c r="D51" i="32"/>
  <c r="E51" i="32" s="1"/>
  <c r="AD12" i="45"/>
  <c r="N12" i="45"/>
  <c r="AH12" i="45"/>
  <c r="J12" i="45"/>
  <c r="AL12" i="45"/>
  <c r="V12" i="45"/>
  <c r="F12" i="45"/>
  <c r="Z12" i="45"/>
  <c r="R12" i="45"/>
  <c r="AO12" i="45"/>
  <c r="D22" i="1"/>
  <c r="D22" i="2" s="1"/>
  <c r="B20" i="45"/>
  <c r="D30" i="1"/>
  <c r="D30" i="2" s="1"/>
  <c r="B28" i="45"/>
  <c r="D38" i="1"/>
  <c r="D38" i="2" s="1"/>
  <c r="B36" i="45"/>
  <c r="E15" i="43"/>
  <c r="I40" i="22"/>
  <c r="I48" i="22" s="1"/>
  <c r="C52" i="11"/>
  <c r="C53" i="11" s="1"/>
  <c r="C52" i="7"/>
  <c r="C53" i="7" s="1"/>
  <c r="I40" i="6"/>
  <c r="R36" i="48" s="1"/>
  <c r="AL13" i="45"/>
  <c r="J13" i="45"/>
  <c r="F13" i="45"/>
  <c r="R13" i="45"/>
  <c r="N13" i="45"/>
  <c r="Z13" i="45"/>
  <c r="AH13" i="45"/>
  <c r="AD13" i="45"/>
  <c r="AO13" i="45"/>
  <c r="V13" i="45"/>
  <c r="AL21" i="45"/>
  <c r="F21" i="45"/>
  <c r="J21" i="45"/>
  <c r="R21" i="45"/>
  <c r="Z21" i="45"/>
  <c r="AD21" i="45"/>
  <c r="AH21" i="45"/>
  <c r="AO21" i="45"/>
  <c r="N21" i="45"/>
  <c r="V21" i="45"/>
  <c r="F29" i="45"/>
  <c r="N29" i="45"/>
  <c r="J29" i="45"/>
  <c r="R29" i="45"/>
  <c r="V29" i="45"/>
  <c r="AD29" i="45"/>
  <c r="AL29" i="45"/>
  <c r="AH29" i="45"/>
  <c r="Z29" i="45"/>
  <c r="AO29" i="45"/>
  <c r="N37" i="45"/>
  <c r="V37" i="45"/>
  <c r="F37" i="45"/>
  <c r="Z37" i="45"/>
  <c r="AH37" i="45"/>
  <c r="AD37" i="45"/>
  <c r="J37" i="45"/>
  <c r="R37" i="45"/>
  <c r="AL37" i="45"/>
  <c r="AO37" i="45"/>
  <c r="N30" i="45"/>
  <c r="AH30" i="45"/>
  <c r="AL30" i="45"/>
  <c r="J30" i="45"/>
  <c r="V30" i="45"/>
  <c r="F30" i="45"/>
  <c r="Z30" i="45"/>
  <c r="AD30" i="45"/>
  <c r="R30" i="45"/>
  <c r="AO30" i="45"/>
  <c r="H13" i="48"/>
  <c r="G21" i="48"/>
  <c r="H29" i="48"/>
  <c r="D17" i="1"/>
  <c r="D17" i="2" s="1"/>
  <c r="B15" i="45"/>
  <c r="AL23" i="45"/>
  <c r="R23" i="45"/>
  <c r="V23" i="45"/>
  <c r="AH23" i="45"/>
  <c r="Z23" i="45"/>
  <c r="F23" i="45"/>
  <c r="AD23" i="45"/>
  <c r="AO23" i="45"/>
  <c r="J23" i="45"/>
  <c r="N23" i="45"/>
  <c r="N31" i="45"/>
  <c r="Z31" i="45"/>
  <c r="F31" i="45"/>
  <c r="AD31" i="45"/>
  <c r="AH31" i="45"/>
  <c r="AL31" i="45"/>
  <c r="R31" i="45"/>
  <c r="V31" i="45"/>
  <c r="J31" i="45"/>
  <c r="AO31" i="45"/>
  <c r="E29" i="48"/>
  <c r="F29" i="48" s="1"/>
  <c r="AD12" i="48"/>
  <c r="C11" i="45"/>
  <c r="AL22" i="45"/>
  <c r="N22" i="45"/>
  <c r="J22" i="45"/>
  <c r="R22" i="45"/>
  <c r="Z22" i="45"/>
  <c r="V22" i="45"/>
  <c r="AO22" i="45"/>
  <c r="AH22" i="45"/>
  <c r="F22" i="45"/>
  <c r="AD22" i="45"/>
  <c r="E18" i="48"/>
  <c r="F18" i="48" s="1"/>
  <c r="E27" i="48"/>
  <c r="F27" i="48" s="1"/>
  <c r="H31" i="48"/>
  <c r="G13" i="48"/>
  <c r="R8" i="45"/>
  <c r="AD8" i="45"/>
  <c r="F8" i="45"/>
  <c r="V8" i="45"/>
  <c r="N8" i="45"/>
  <c r="Z8" i="45"/>
  <c r="AL8" i="45"/>
  <c r="J8" i="45"/>
  <c r="AH8" i="45"/>
  <c r="AO8" i="45"/>
  <c r="D18" i="1"/>
  <c r="D18" i="2" s="1"/>
  <c r="B16" i="45"/>
  <c r="AL24" i="45"/>
  <c r="N24" i="45"/>
  <c r="AD24" i="45"/>
  <c r="AH24" i="45"/>
  <c r="R24" i="45"/>
  <c r="Z24" i="45"/>
  <c r="F24" i="45"/>
  <c r="V24" i="45"/>
  <c r="J24" i="45"/>
  <c r="AO24" i="45"/>
  <c r="D34" i="1"/>
  <c r="D34" i="2" s="1"/>
  <c r="B32" i="45"/>
  <c r="E28" i="48"/>
  <c r="F28" i="48" s="1"/>
  <c r="H21" i="48"/>
  <c r="C52" i="16"/>
  <c r="C53" i="16" s="1"/>
  <c r="C52" i="15"/>
  <c r="C53" i="15" s="1"/>
  <c r="D11" i="1"/>
  <c r="D11" i="2" s="1"/>
  <c r="B9" i="45"/>
  <c r="AD17" i="45"/>
  <c r="Z17" i="45"/>
  <c r="R17" i="45"/>
  <c r="AO17" i="45"/>
  <c r="AH17" i="45"/>
  <c r="AL17" i="45"/>
  <c r="F17" i="45"/>
  <c r="J17" i="45"/>
  <c r="V17" i="45"/>
  <c r="N17" i="45"/>
  <c r="D27" i="1"/>
  <c r="D27" i="2" s="1"/>
  <c r="B25" i="45"/>
  <c r="N33" i="45"/>
  <c r="J33" i="45"/>
  <c r="V33" i="45"/>
  <c r="R33" i="45"/>
  <c r="AD33" i="45"/>
  <c r="AH33" i="45"/>
  <c r="Z33" i="45"/>
  <c r="F33" i="45"/>
  <c r="AL33" i="45"/>
  <c r="AO33" i="45"/>
  <c r="AB15" i="48"/>
  <c r="B14" i="45"/>
  <c r="N38" i="45"/>
  <c r="R38" i="45"/>
  <c r="V38" i="45"/>
  <c r="F38" i="45"/>
  <c r="AH38" i="45"/>
  <c r="AL38" i="45"/>
  <c r="J38" i="45"/>
  <c r="Z38" i="45"/>
  <c r="AD38" i="45"/>
  <c r="AO38" i="45"/>
  <c r="E23" i="48"/>
  <c r="F23" i="48" s="1"/>
  <c r="J18" i="45"/>
  <c r="AO18" i="45"/>
  <c r="V18" i="45"/>
  <c r="R18" i="45"/>
  <c r="AL18" i="45"/>
  <c r="N18" i="45"/>
  <c r="AH18" i="45"/>
  <c r="Z18" i="45"/>
  <c r="F18" i="45"/>
  <c r="AD18" i="45"/>
  <c r="AL26" i="45"/>
  <c r="F26" i="45"/>
  <c r="J26" i="45"/>
  <c r="Z26" i="45"/>
  <c r="N26" i="45"/>
  <c r="R26" i="45"/>
  <c r="AO26" i="45"/>
  <c r="V26" i="45"/>
  <c r="AH26" i="45"/>
  <c r="AD26" i="45"/>
  <c r="N34" i="45"/>
  <c r="AH34" i="45"/>
  <c r="AL34" i="45"/>
  <c r="J34" i="45"/>
  <c r="V34" i="45"/>
  <c r="Z34" i="45"/>
  <c r="F34" i="45"/>
  <c r="R34" i="45"/>
  <c r="AD34" i="45"/>
  <c r="AO34" i="45"/>
  <c r="I45" i="43"/>
  <c r="I40" i="20"/>
  <c r="I48" i="20" s="1"/>
  <c r="D13" i="1"/>
  <c r="D13" i="2" s="1"/>
  <c r="B11" i="45"/>
  <c r="AL19" i="45"/>
  <c r="F19" i="45"/>
  <c r="V19" i="45"/>
  <c r="AH19" i="45"/>
  <c r="Z19" i="45"/>
  <c r="N19" i="45"/>
  <c r="AD19" i="45"/>
  <c r="J19" i="45"/>
  <c r="R19" i="45"/>
  <c r="AO19" i="45"/>
  <c r="N27" i="45"/>
  <c r="F27" i="45"/>
  <c r="R27" i="45"/>
  <c r="AD27" i="45"/>
  <c r="AH27" i="45"/>
  <c r="AL27" i="45"/>
  <c r="V27" i="45"/>
  <c r="Z27" i="45"/>
  <c r="J27" i="45"/>
  <c r="AO27" i="45"/>
  <c r="N35" i="45"/>
  <c r="AL35" i="45"/>
  <c r="J35" i="45"/>
  <c r="R35" i="45"/>
  <c r="Z35" i="45"/>
  <c r="AD35" i="45"/>
  <c r="F35" i="45"/>
  <c r="V35" i="45"/>
  <c r="AH35" i="45"/>
  <c r="AO35" i="45"/>
  <c r="J50" i="32"/>
  <c r="D28" i="1"/>
  <c r="D28" i="2" s="1"/>
  <c r="AB27" i="48"/>
  <c r="G27" i="48"/>
  <c r="D36" i="1"/>
  <c r="D36" i="2" s="1"/>
  <c r="J43" i="33"/>
  <c r="J44" i="33" s="1"/>
  <c r="I44" i="33"/>
  <c r="H15" i="48"/>
  <c r="C52" i="8"/>
  <c r="C53" i="8" s="1"/>
  <c r="AB11" i="48"/>
  <c r="H11" i="48"/>
  <c r="D24" i="1"/>
  <c r="D24" i="2" s="1"/>
  <c r="G23" i="48"/>
  <c r="H23" i="48"/>
  <c r="D32" i="1"/>
  <c r="D32" i="2" s="1"/>
  <c r="AB31" i="48"/>
  <c r="G31" i="48"/>
  <c r="I44" i="28"/>
  <c r="I44" i="19"/>
  <c r="AB39" i="48"/>
  <c r="AF23" i="48"/>
  <c r="AH23" i="48" s="1"/>
  <c r="I51" i="43"/>
  <c r="R39" i="48"/>
  <c r="G11" i="48"/>
  <c r="D20" i="1"/>
  <c r="D20" i="2" s="1"/>
  <c r="G19" i="48"/>
  <c r="AB19" i="48"/>
  <c r="I47" i="23"/>
  <c r="AF19" i="48"/>
  <c r="AH19" i="48" s="1"/>
  <c r="I48" i="43"/>
  <c r="AF35" i="48"/>
  <c r="H27" i="48"/>
  <c r="C52" i="25"/>
  <c r="C53" i="25" s="1"/>
  <c r="C52" i="19"/>
  <c r="C53" i="19" s="1"/>
  <c r="I40" i="21"/>
  <c r="I48" i="21" s="1"/>
  <c r="E33" i="48"/>
  <c r="F33" i="48" s="1"/>
  <c r="I40" i="19"/>
  <c r="I45" i="19" s="1"/>
  <c r="I40" i="13"/>
  <c r="I48" i="13" s="1"/>
  <c r="D33" i="43"/>
  <c r="F35" i="48"/>
  <c r="P41" i="48"/>
  <c r="D38" i="32"/>
  <c r="E38" i="32" s="1"/>
  <c r="I47" i="7"/>
  <c r="AF32" i="48"/>
  <c r="AH32" i="48" s="1"/>
  <c r="AF29" i="48"/>
  <c r="AH29" i="48" s="1"/>
  <c r="AF34" i="48"/>
  <c r="I47" i="11"/>
  <c r="AF30" i="48"/>
  <c r="AH30" i="48" s="1"/>
  <c r="I47" i="14"/>
  <c r="AF28" i="48"/>
  <c r="AH28" i="48" s="1"/>
  <c r="I47" i="15"/>
  <c r="AF27" i="48"/>
  <c r="AH27" i="48" s="1"/>
  <c r="AF21" i="48"/>
  <c r="AH21" i="48" s="1"/>
  <c r="AF26" i="48"/>
  <c r="AH26" i="48" s="1"/>
  <c r="I47" i="16"/>
  <c r="I47" i="20"/>
  <c r="I47" i="18"/>
  <c r="AF24" i="48"/>
  <c r="AH24" i="48" s="1"/>
  <c r="AF25" i="48"/>
  <c r="I47" i="17"/>
  <c r="AF20" i="48"/>
  <c r="AF18" i="48"/>
  <c r="AH18" i="48" s="1"/>
  <c r="I47" i="24"/>
  <c r="I47" i="25"/>
  <c r="AF17" i="48"/>
  <c r="AH17" i="48" s="1"/>
  <c r="I47" i="28"/>
  <c r="I47" i="22"/>
  <c r="C52" i="22"/>
  <c r="C53" i="22" s="1"/>
  <c r="C52" i="21"/>
  <c r="C53" i="21" s="1"/>
  <c r="C52" i="28"/>
  <c r="C53" i="28" s="1"/>
  <c r="I47" i="27"/>
  <c r="C52" i="26"/>
  <c r="C53" i="26" s="1"/>
  <c r="AF14" i="48"/>
  <c r="AF13" i="48"/>
  <c r="AH13" i="48" s="1"/>
  <c r="E33" i="33"/>
  <c r="C52" i="24"/>
  <c r="C53" i="24" s="1"/>
  <c r="E49" i="33"/>
  <c r="I40" i="18"/>
  <c r="I40" i="15"/>
  <c r="D34" i="43"/>
  <c r="D16" i="1"/>
  <c r="D16" i="2" s="1"/>
  <c r="V18" i="48"/>
  <c r="D19" i="1"/>
  <c r="D19" i="2" s="1"/>
  <c r="D21" i="1"/>
  <c r="D21" i="2" s="1"/>
  <c r="V22" i="48"/>
  <c r="D23" i="1"/>
  <c r="D23" i="2" s="1"/>
  <c r="D25" i="1"/>
  <c r="D25" i="2" s="1"/>
  <c r="V28" i="48"/>
  <c r="D29" i="1"/>
  <c r="D29" i="2" s="1"/>
  <c r="V30" i="48"/>
  <c r="D31" i="1"/>
  <c r="D31" i="2" s="1"/>
  <c r="V32" i="48"/>
  <c r="D33" i="1"/>
  <c r="D33" i="2" s="1"/>
  <c r="V34" i="48"/>
  <c r="D35" i="1"/>
  <c r="D35" i="2" s="1"/>
  <c r="V36" i="48"/>
  <c r="D37" i="1"/>
  <c r="D37" i="2" s="1"/>
  <c r="V38" i="48"/>
  <c r="D39" i="1"/>
  <c r="D39" i="2" s="1"/>
  <c r="E20" i="48"/>
  <c r="E32" i="48"/>
  <c r="I40" i="16"/>
  <c r="I40" i="37"/>
  <c r="I40" i="4"/>
  <c r="C33" i="43"/>
  <c r="C15" i="43"/>
  <c r="E14" i="48"/>
  <c r="E19" i="48"/>
  <c r="F19" i="48" s="1"/>
  <c r="V14" i="48"/>
  <c r="D15" i="1"/>
  <c r="D15" i="2" s="1"/>
  <c r="AB16" i="48"/>
  <c r="V25" i="48"/>
  <c r="D26" i="1"/>
  <c r="D26" i="2" s="1"/>
  <c r="G39" i="48"/>
  <c r="D40" i="1"/>
  <c r="D40" i="2" s="1"/>
  <c r="E22" i="48"/>
  <c r="E24" i="48"/>
  <c r="E26" i="48"/>
  <c r="E34" i="48"/>
  <c r="E38" i="48"/>
  <c r="I47" i="31"/>
  <c r="AF11" i="48"/>
  <c r="AH11" i="48" s="1"/>
  <c r="D12" i="1"/>
  <c r="D12" i="2" s="1"/>
  <c r="V9" i="48"/>
  <c r="D10" i="1"/>
  <c r="D10" i="2" s="1"/>
  <c r="D14" i="1"/>
  <c r="D14" i="2" s="1"/>
  <c r="E13" i="1"/>
  <c r="E13" i="2" s="1"/>
  <c r="EK13" i="2" s="1"/>
  <c r="H12" i="48"/>
  <c r="AB12" i="48"/>
  <c r="D33" i="33"/>
  <c r="C34" i="33"/>
  <c r="D39" i="32"/>
  <c r="C52" i="32"/>
  <c r="C53" i="32" s="1"/>
  <c r="D44" i="32"/>
  <c r="D44" i="31" s="1"/>
  <c r="D44" i="30" s="1"/>
  <c r="D40" i="32"/>
  <c r="E40" i="32" s="1"/>
  <c r="C52" i="31"/>
  <c r="C53" i="31" s="1"/>
  <c r="H19" i="48"/>
  <c r="AH39" i="48"/>
  <c r="AH22" i="48"/>
  <c r="H36" i="48"/>
  <c r="H30" i="48"/>
  <c r="H38" i="48"/>
  <c r="G20" i="48"/>
  <c r="H39" i="48"/>
  <c r="H17" i="48"/>
  <c r="J12" i="48"/>
  <c r="AH33" i="48"/>
  <c r="AH36" i="48"/>
  <c r="AH31" i="48"/>
  <c r="H20" i="48"/>
  <c r="G38" i="48"/>
  <c r="AH12" i="48"/>
  <c r="G24" i="48"/>
  <c r="H34" i="48"/>
  <c r="F34" i="33"/>
  <c r="M10" i="31"/>
  <c r="AC9" i="48"/>
  <c r="A11" i="1"/>
  <c r="A11" i="2" s="1"/>
  <c r="D45" i="32"/>
  <c r="D45" i="31" s="1"/>
  <c r="D41" i="32"/>
  <c r="D41" i="31" s="1"/>
  <c r="D41" i="30" s="1"/>
  <c r="D49" i="32"/>
  <c r="E49" i="32" s="1"/>
  <c r="E39" i="33"/>
  <c r="D43" i="32"/>
  <c r="D43" i="31" s="1"/>
  <c r="D43" i="30" s="1"/>
  <c r="D47" i="32"/>
  <c r="E47" i="32" s="1"/>
  <c r="E38" i="33"/>
  <c r="D52" i="33"/>
  <c r="D46" i="32"/>
  <c r="E46" i="32" s="1"/>
  <c r="D42" i="32"/>
  <c r="E51" i="33"/>
  <c r="E40" i="33"/>
  <c r="E44" i="33"/>
  <c r="D48" i="32"/>
  <c r="D48" i="31" s="1"/>
  <c r="D50" i="32"/>
  <c r="D50" i="31" s="1"/>
  <c r="D50" i="30" s="1"/>
  <c r="C52" i="33"/>
  <c r="C53" i="33" s="1"/>
  <c r="X12" i="48"/>
  <c r="AJ12" i="48"/>
  <c r="I12" i="48"/>
  <c r="G26" i="48"/>
  <c r="J50" i="33"/>
  <c r="E10" i="48"/>
  <c r="E11" i="48"/>
  <c r="E16" i="48"/>
  <c r="V16" i="48"/>
  <c r="V26" i="48"/>
  <c r="I40" i="14"/>
  <c r="J37" i="33"/>
  <c r="E9" i="48"/>
  <c r="V17" i="48"/>
  <c r="V27" i="48"/>
  <c r="E21" i="48"/>
  <c r="E31" i="48"/>
  <c r="E37" i="48"/>
  <c r="W10" i="48"/>
  <c r="V20" i="48"/>
  <c r="V24" i="48"/>
  <c r="H10" i="48"/>
  <c r="H26" i="48"/>
  <c r="G15" i="48"/>
  <c r="G10" i="48"/>
  <c r="F36" i="48"/>
  <c r="G29" i="48"/>
  <c r="G37" i="48"/>
  <c r="AH16" i="48"/>
  <c r="H37" i="48"/>
  <c r="AH37" i="48"/>
  <c r="I47" i="26"/>
  <c r="I47" i="32"/>
  <c r="AF10" i="48"/>
  <c r="AH10" i="48" s="1"/>
  <c r="AF9" i="48"/>
  <c r="J46" i="33"/>
  <c r="J46" i="32" s="1"/>
  <c r="J46" i="31" s="1"/>
  <c r="J46" i="30" s="1"/>
  <c r="I47" i="33"/>
  <c r="G36" i="48"/>
  <c r="H32" i="48"/>
  <c r="G32" i="48"/>
  <c r="AB10" i="48"/>
  <c r="V12" i="48"/>
  <c r="G12" i="48"/>
  <c r="AB14" i="48"/>
  <c r="G14" i="48"/>
  <c r="V19" i="48"/>
  <c r="V21" i="48"/>
  <c r="AB21" i="48"/>
  <c r="V23" i="48"/>
  <c r="AB23" i="48"/>
  <c r="AB29" i="48"/>
  <c r="V29" i="48"/>
  <c r="V31" i="48"/>
  <c r="V33" i="48"/>
  <c r="G33" i="48"/>
  <c r="V35" i="48"/>
  <c r="G35" i="48"/>
  <c r="H35" i="48"/>
  <c r="V37" i="48"/>
  <c r="AB37" i="48"/>
  <c r="I44" i="31"/>
  <c r="J50" i="31"/>
  <c r="V10" i="48"/>
  <c r="F12" i="48"/>
  <c r="V11" i="48"/>
  <c r="V13" i="48"/>
  <c r="V15" i="48"/>
  <c r="V39" i="48"/>
  <c r="Z135" i="55" l="1"/>
  <c r="Z135" i="56"/>
  <c r="AA135" i="56" s="1"/>
  <c r="AB135" i="56" s="1"/>
  <c r="AA135" i="55"/>
  <c r="AB135" i="55"/>
  <c r="AA38" i="56"/>
  <c r="AB38" i="56" s="1"/>
  <c r="X38" i="56"/>
  <c r="AA115" i="56"/>
  <c r="AB115" i="56" s="1"/>
  <c r="X115" i="56"/>
  <c r="AA111" i="56"/>
  <c r="AB111" i="56" s="1"/>
  <c r="X111" i="56"/>
  <c r="J34" i="48"/>
  <c r="AA89" i="56"/>
  <c r="AB89" i="56" s="1"/>
  <c r="X89" i="56"/>
  <c r="AA81" i="56"/>
  <c r="AB81" i="56" s="1"/>
  <c r="X81" i="56"/>
  <c r="X85" i="56"/>
  <c r="AA85" i="56"/>
  <c r="AB85" i="56" s="1"/>
  <c r="AA77" i="56"/>
  <c r="AB77" i="56" s="1"/>
  <c r="X77" i="56"/>
  <c r="AA46" i="56"/>
  <c r="AB46" i="56" s="1"/>
  <c r="X46" i="56"/>
  <c r="AA42" i="56"/>
  <c r="AB42" i="56" s="1"/>
  <c r="X42" i="56"/>
  <c r="AA29" i="56"/>
  <c r="X29" i="56"/>
  <c r="W155" i="56"/>
  <c r="D42" i="2"/>
  <c r="Q11" i="48"/>
  <c r="Q12" i="48" s="1"/>
  <c r="W9" i="48"/>
  <c r="D53" i="33"/>
  <c r="I48" i="6"/>
  <c r="AD34" i="48"/>
  <c r="R32" i="48"/>
  <c r="I40" i="11"/>
  <c r="I51" i="11" s="1"/>
  <c r="I48" i="23"/>
  <c r="I51" i="23"/>
  <c r="I48" i="10"/>
  <c r="J57" i="32"/>
  <c r="J57" i="31" s="1"/>
  <c r="J57" i="27" s="1"/>
  <c r="J57" i="28" s="1"/>
  <c r="J57" i="26" s="1"/>
  <c r="J57" i="25" s="1"/>
  <c r="I45" i="23"/>
  <c r="I51" i="10"/>
  <c r="I51" i="9"/>
  <c r="I48" i="9"/>
  <c r="R33" i="48"/>
  <c r="J39" i="48"/>
  <c r="I51" i="6"/>
  <c r="I45" i="7"/>
  <c r="E35" i="1"/>
  <c r="AN34" i="48"/>
  <c r="X34" i="48"/>
  <c r="C33" i="45"/>
  <c r="AM33" i="45" s="1"/>
  <c r="I45" i="8"/>
  <c r="I34" i="48"/>
  <c r="I51" i="8"/>
  <c r="I48" i="8"/>
  <c r="I45" i="6"/>
  <c r="R18" i="48"/>
  <c r="I45" i="24"/>
  <c r="I48" i="24"/>
  <c r="I51" i="25"/>
  <c r="I45" i="25"/>
  <c r="I48" i="25"/>
  <c r="J30" i="25"/>
  <c r="J30" i="24"/>
  <c r="J30" i="23" s="1"/>
  <c r="J30" i="21" s="1"/>
  <c r="J30" i="22" s="1"/>
  <c r="J30" i="20" s="1"/>
  <c r="J30" i="19" s="1"/>
  <c r="J30" i="18" s="1"/>
  <c r="J30" i="17" s="1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J43" i="32"/>
  <c r="J44" i="32" s="1"/>
  <c r="I48" i="28"/>
  <c r="I45" i="28"/>
  <c r="J28" i="24"/>
  <c r="J28" i="23" s="1"/>
  <c r="J28" i="21" s="1"/>
  <c r="J28" i="22" s="1"/>
  <c r="J28" i="20" s="1"/>
  <c r="J28" i="19" s="1"/>
  <c r="J28" i="18" s="1"/>
  <c r="J28" i="17" s="1"/>
  <c r="J28" i="16" s="1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28" i="25"/>
  <c r="J29" i="25"/>
  <c r="J29" i="24"/>
  <c r="J29" i="23" s="1"/>
  <c r="J29" i="21" s="1"/>
  <c r="J29" i="22" s="1"/>
  <c r="J29" i="20" s="1"/>
  <c r="J29" i="19" s="1"/>
  <c r="J29" i="18" s="1"/>
  <c r="J29" i="17" s="1"/>
  <c r="J29" i="16" s="1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J31" i="24"/>
  <c r="J31" i="23" s="1"/>
  <c r="J31" i="21" s="1"/>
  <c r="J31" i="22" s="1"/>
  <c r="J31" i="20" s="1"/>
  <c r="J31" i="19" s="1"/>
  <c r="J31" i="18" s="1"/>
  <c r="J31" i="17" s="1"/>
  <c r="J31" i="16" s="1"/>
  <c r="J31" i="15" s="1"/>
  <c r="J31" i="14" s="1"/>
  <c r="J31" i="13" s="1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J31" i="25"/>
  <c r="J27" i="24"/>
  <c r="J27" i="23" s="1"/>
  <c r="J27" i="21" s="1"/>
  <c r="J27" i="22" s="1"/>
  <c r="J27" i="20" s="1"/>
  <c r="J27" i="19" s="1"/>
  <c r="J27" i="18" s="1"/>
  <c r="J27" i="17" s="1"/>
  <c r="J27" i="16" s="1"/>
  <c r="J27" i="15" s="1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J27" i="25"/>
  <c r="J32" i="25"/>
  <c r="J32" i="24"/>
  <c r="J32" i="23" s="1"/>
  <c r="D35" i="24"/>
  <c r="X39" i="48"/>
  <c r="M20" i="11"/>
  <c r="M20" i="10" s="1"/>
  <c r="M20" i="9" s="1"/>
  <c r="M20" i="8" s="1"/>
  <c r="M20" i="7" s="1"/>
  <c r="M20" i="6" s="1"/>
  <c r="M20" i="37" s="1"/>
  <c r="M20" i="4" s="1"/>
  <c r="M20" i="43" s="1"/>
  <c r="I45" i="27"/>
  <c r="V41" i="48"/>
  <c r="J46" i="29"/>
  <c r="J47" i="30"/>
  <c r="D43" i="29"/>
  <c r="E43" i="29" s="1"/>
  <c r="E43" i="30"/>
  <c r="M10" i="30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I45" i="26"/>
  <c r="J49" i="29"/>
  <c r="J50" i="30"/>
  <c r="C35" i="24"/>
  <c r="C35" i="43"/>
  <c r="I48" i="12"/>
  <c r="I51" i="26"/>
  <c r="E48" i="31"/>
  <c r="D48" i="30"/>
  <c r="D44" i="29"/>
  <c r="E44" i="29" s="1"/>
  <c r="E44" i="30"/>
  <c r="R16" i="48"/>
  <c r="D41" i="29"/>
  <c r="E41" i="30"/>
  <c r="E45" i="31"/>
  <c r="D45" i="30"/>
  <c r="D50" i="29"/>
  <c r="E50" i="29" s="1"/>
  <c r="E50" i="30"/>
  <c r="I45" i="17"/>
  <c r="J25" i="25"/>
  <c r="J25" i="24"/>
  <c r="J25" i="23" s="1"/>
  <c r="J25" i="21" s="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25" i="4" s="1"/>
  <c r="J25" i="43" s="1"/>
  <c r="J26" i="25"/>
  <c r="J26" i="24"/>
  <c r="J26" i="23" s="1"/>
  <c r="J26" i="21" s="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R35" i="48"/>
  <c r="I45" i="12"/>
  <c r="AB41" i="48"/>
  <c r="J23" i="25"/>
  <c r="J23" i="24" s="1"/>
  <c r="J23" i="23" s="1"/>
  <c r="J23" i="21" s="1"/>
  <c r="J23" i="22" s="1"/>
  <c r="J23" i="20" s="1"/>
  <c r="J23" i="19" s="1"/>
  <c r="J23" i="18" s="1"/>
  <c r="J23" i="17" s="1"/>
  <c r="J23" i="16" s="1"/>
  <c r="J23" i="15" s="1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23" i="4" s="1"/>
  <c r="J23" i="43" s="1"/>
  <c r="J11" i="21"/>
  <c r="J11" i="22" s="1"/>
  <c r="J11" i="20" s="1"/>
  <c r="J11" i="19" s="1"/>
  <c r="J20" i="27"/>
  <c r="J20" i="28" s="1"/>
  <c r="J20" i="26" s="1"/>
  <c r="J20" i="25" s="1"/>
  <c r="J20" i="24" s="1"/>
  <c r="J20" i="23" s="1"/>
  <c r="J20" i="21" s="1"/>
  <c r="J20" i="22" s="1"/>
  <c r="J24" i="24"/>
  <c r="J24" i="23" s="1"/>
  <c r="J24" i="21" s="1"/>
  <c r="J24" i="22" s="1"/>
  <c r="J24" i="20" s="1"/>
  <c r="J24" i="19" s="1"/>
  <c r="J24" i="18" s="1"/>
  <c r="J24" i="17" s="1"/>
  <c r="J24" i="16" s="1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J24" i="4" s="1"/>
  <c r="J24" i="43" s="1"/>
  <c r="J24" i="25"/>
  <c r="J15" i="22"/>
  <c r="J15" i="20" s="1"/>
  <c r="J15" i="19" s="1"/>
  <c r="J15" i="18" s="1"/>
  <c r="J13" i="21"/>
  <c r="J13" i="22" s="1"/>
  <c r="J13" i="20" s="1"/>
  <c r="J13" i="19" s="1"/>
  <c r="J22" i="26"/>
  <c r="J22" i="25" s="1"/>
  <c r="J22" i="24" s="1"/>
  <c r="J22" i="23" s="1"/>
  <c r="J22" i="21" s="1"/>
  <c r="J22" i="22" s="1"/>
  <c r="J19" i="21"/>
  <c r="J19" i="22" s="1"/>
  <c r="J19" i="20" s="1"/>
  <c r="J19" i="19" s="1"/>
  <c r="J19" i="18" s="1"/>
  <c r="J19" i="17" s="1"/>
  <c r="J19" i="16" s="1"/>
  <c r="J19" i="15" s="1"/>
  <c r="J19" i="14" s="1"/>
  <c r="J19" i="13" s="1"/>
  <c r="J19" i="12" s="1"/>
  <c r="J19" i="11" s="1"/>
  <c r="J19" i="10" s="1"/>
  <c r="J19" i="9" s="1"/>
  <c r="J19" i="8" s="1"/>
  <c r="J19" i="7" s="1"/>
  <c r="J19" i="6" s="1"/>
  <c r="J19" i="37" s="1"/>
  <c r="J19" i="4" s="1"/>
  <c r="J18" i="21"/>
  <c r="J18" i="22" s="1"/>
  <c r="J18" i="20" s="1"/>
  <c r="J18" i="19" s="1"/>
  <c r="J18" i="18" s="1"/>
  <c r="J18" i="17" s="1"/>
  <c r="J18" i="16" s="1"/>
  <c r="J18" i="15" s="1"/>
  <c r="J18" i="14" s="1"/>
  <c r="J18" i="13" s="1"/>
  <c r="J18" i="11" s="1"/>
  <c r="J18" i="10" s="1"/>
  <c r="J18" i="9" s="1"/>
  <c r="J18" i="8" s="1"/>
  <c r="J18" i="7" s="1"/>
  <c r="J18" i="6" s="1"/>
  <c r="J18" i="37" s="1"/>
  <c r="J18" i="4" s="1"/>
  <c r="J18" i="43" s="1"/>
  <c r="J21" i="20"/>
  <c r="J21" i="19" s="1"/>
  <c r="J21" i="18" s="1"/>
  <c r="J21" i="17" s="1"/>
  <c r="J21" i="16" s="1"/>
  <c r="J21" i="15" s="1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J21" i="4" s="1"/>
  <c r="J21" i="43" s="1"/>
  <c r="J16" i="21"/>
  <c r="J16" i="22" s="1"/>
  <c r="J16" i="20" s="1"/>
  <c r="J16" i="18" s="1"/>
  <c r="J17" i="21"/>
  <c r="J17" i="22" s="1"/>
  <c r="J17" i="20" s="1"/>
  <c r="J17" i="19" s="1"/>
  <c r="J17" i="17" s="1"/>
  <c r="J17" i="16" s="1"/>
  <c r="J17" i="15" s="1"/>
  <c r="J17" i="14" s="1"/>
  <c r="J17" i="13" s="1"/>
  <c r="J17" i="11" s="1"/>
  <c r="J17" i="10" s="1"/>
  <c r="J17" i="9" s="1"/>
  <c r="J17" i="8" s="1"/>
  <c r="J17" i="7" s="1"/>
  <c r="J17" i="6" s="1"/>
  <c r="J17" i="37" s="1"/>
  <c r="J17" i="4" s="1"/>
  <c r="J17" i="43" s="1"/>
  <c r="J8" i="21"/>
  <c r="J8" i="22" s="1"/>
  <c r="J8" i="20" s="1"/>
  <c r="J8" i="19" s="1"/>
  <c r="R14" i="48"/>
  <c r="I51" i="27"/>
  <c r="J14" i="22"/>
  <c r="J14" i="20" s="1"/>
  <c r="J14" i="19" s="1"/>
  <c r="J9" i="21"/>
  <c r="J9" i="22" s="1"/>
  <c r="J9" i="20" s="1"/>
  <c r="J9" i="19" s="1"/>
  <c r="J10" i="27"/>
  <c r="J10" i="28" s="1"/>
  <c r="J10" i="26" s="1"/>
  <c r="J10" i="25" s="1"/>
  <c r="J10" i="24" s="1"/>
  <c r="J10" i="23" s="1"/>
  <c r="I48" i="7"/>
  <c r="J12" i="21"/>
  <c r="J12" i="22" s="1"/>
  <c r="J12" i="20" s="1"/>
  <c r="J12" i="19" s="1"/>
  <c r="D51" i="31"/>
  <c r="C29" i="45"/>
  <c r="O29" i="45" s="1"/>
  <c r="AN30" i="48"/>
  <c r="I30" i="48"/>
  <c r="AD30" i="48"/>
  <c r="E31" i="1"/>
  <c r="E31" i="2" s="1"/>
  <c r="EK31" i="2" s="1"/>
  <c r="X30" i="48"/>
  <c r="J30" i="48"/>
  <c r="JB13" i="1"/>
  <c r="IP13" i="1"/>
  <c r="ID13" i="1"/>
  <c r="HR13" i="1"/>
  <c r="HF13" i="1"/>
  <c r="GT13" i="1"/>
  <c r="GH13" i="1"/>
  <c r="FV13" i="1"/>
  <c r="FJ13" i="1"/>
  <c r="EX13" i="1"/>
  <c r="EL13" i="1"/>
  <c r="DZ13" i="1"/>
  <c r="DN13" i="1"/>
  <c r="DB13" i="1"/>
  <c r="CP13" i="1"/>
  <c r="CD13" i="1"/>
  <c r="BR13" i="1"/>
  <c r="BF13" i="1"/>
  <c r="AT13" i="1"/>
  <c r="AH13" i="1"/>
  <c r="V13" i="1"/>
  <c r="J13" i="1"/>
  <c r="IY13" i="1"/>
  <c r="IM13" i="1"/>
  <c r="IA13" i="1"/>
  <c r="HO13" i="1"/>
  <c r="HC13" i="1"/>
  <c r="GQ13" i="1"/>
  <c r="GE13" i="1"/>
  <c r="FS13" i="1"/>
  <c r="FG13" i="1"/>
  <c r="EU13" i="1"/>
  <c r="EI13" i="1"/>
  <c r="DW13" i="1"/>
  <c r="DK13" i="1"/>
  <c r="CY13" i="1"/>
  <c r="CM13" i="1"/>
  <c r="CA13" i="1"/>
  <c r="BO13" i="1"/>
  <c r="BC13" i="1"/>
  <c r="AQ13" i="1"/>
  <c r="AE13" i="1"/>
  <c r="S13" i="1"/>
  <c r="G13" i="1"/>
  <c r="JH13" i="1"/>
  <c r="IV13" i="1"/>
  <c r="IJ13" i="1"/>
  <c r="HX13" i="1"/>
  <c r="HL13" i="1"/>
  <c r="GZ13" i="1"/>
  <c r="GN13" i="1"/>
  <c r="GB13" i="1"/>
  <c r="FP13" i="1"/>
  <c r="FD13" i="1"/>
  <c r="ER13" i="1"/>
  <c r="EF13" i="1"/>
  <c r="DT13" i="1"/>
  <c r="DH13" i="1"/>
  <c r="CV13" i="1"/>
  <c r="CJ13" i="1"/>
  <c r="BX13" i="1"/>
  <c r="BL13" i="1"/>
  <c r="AZ13" i="1"/>
  <c r="AN13" i="1"/>
  <c r="AB13" i="1"/>
  <c r="P13" i="1"/>
  <c r="IG13" i="1"/>
  <c r="EO13" i="1"/>
  <c r="AW13" i="1"/>
  <c r="FY13" i="1"/>
  <c r="CG13" i="1"/>
  <c r="HI13" i="1"/>
  <c r="DQ13" i="1"/>
  <c r="Y13" i="1"/>
  <c r="IS13" i="1"/>
  <c r="FA13" i="1"/>
  <c r="BI13" i="1"/>
  <c r="GK13" i="1"/>
  <c r="CS13" i="1"/>
  <c r="HU13" i="1"/>
  <c r="EC13" i="1"/>
  <c r="AK13" i="1"/>
  <c r="JE13" i="1"/>
  <c r="FM13" i="1"/>
  <c r="BU13" i="1"/>
  <c r="GW13" i="1"/>
  <c r="DE13" i="1"/>
  <c r="M13" i="1"/>
  <c r="J57" i="23"/>
  <c r="J57" i="21" s="1"/>
  <c r="J57" i="22" s="1"/>
  <c r="J57" i="20" s="1"/>
  <c r="E35" i="24"/>
  <c r="R25" i="48"/>
  <c r="I51" i="12"/>
  <c r="C16" i="45"/>
  <c r="S16" i="45" s="1"/>
  <c r="AN17" i="48"/>
  <c r="C35" i="45"/>
  <c r="W35" i="45" s="1"/>
  <c r="AN36" i="48"/>
  <c r="C18" i="45"/>
  <c r="AE18" i="45" s="1"/>
  <c r="AN19" i="48"/>
  <c r="J36" i="48"/>
  <c r="C38" i="45"/>
  <c r="S38" i="45" s="1"/>
  <c r="AN39" i="48"/>
  <c r="I48" i="17"/>
  <c r="R15" i="48"/>
  <c r="AJ30" i="48"/>
  <c r="R21" i="48"/>
  <c r="I51" i="20"/>
  <c r="I45" i="20"/>
  <c r="R22" i="48"/>
  <c r="I45" i="22"/>
  <c r="N36" i="45"/>
  <c r="AD36" i="45"/>
  <c r="AH36" i="45"/>
  <c r="AL36" i="45"/>
  <c r="J36" i="45"/>
  <c r="R36" i="45"/>
  <c r="V36" i="45"/>
  <c r="F36" i="45"/>
  <c r="Z36" i="45"/>
  <c r="AO36" i="45"/>
  <c r="AL16" i="45"/>
  <c r="AH16" i="45"/>
  <c r="AD16" i="45"/>
  <c r="AO16" i="45"/>
  <c r="R16" i="45"/>
  <c r="Z16" i="45"/>
  <c r="V16" i="45"/>
  <c r="F16" i="45"/>
  <c r="J16" i="45"/>
  <c r="N16" i="45"/>
  <c r="AD9" i="45"/>
  <c r="V9" i="45"/>
  <c r="Z9" i="45"/>
  <c r="AL9" i="45"/>
  <c r="N9" i="45"/>
  <c r="R9" i="45"/>
  <c r="AH9" i="45"/>
  <c r="J9" i="45"/>
  <c r="F9" i="45"/>
  <c r="AO9" i="45"/>
  <c r="E37" i="1"/>
  <c r="E37" i="2" s="1"/>
  <c r="EK37" i="2" s="1"/>
  <c r="Z14" i="45"/>
  <c r="R14" i="45"/>
  <c r="AH14" i="45"/>
  <c r="F14" i="45"/>
  <c r="AL14" i="45"/>
  <c r="J14" i="45"/>
  <c r="N14" i="45"/>
  <c r="V14" i="45"/>
  <c r="AD14" i="45"/>
  <c r="AO14" i="45"/>
  <c r="AL25" i="45"/>
  <c r="J25" i="45"/>
  <c r="F25" i="45"/>
  <c r="R25" i="45"/>
  <c r="AO25" i="45"/>
  <c r="N25" i="45"/>
  <c r="Z25" i="45"/>
  <c r="AD25" i="45"/>
  <c r="AH25" i="45"/>
  <c r="V25" i="45"/>
  <c r="F28" i="45"/>
  <c r="N28" i="45"/>
  <c r="V28" i="45"/>
  <c r="AO28" i="45"/>
  <c r="Z28" i="45"/>
  <c r="AD28" i="45"/>
  <c r="J28" i="45"/>
  <c r="AL28" i="45"/>
  <c r="R28" i="45"/>
  <c r="AH28" i="45"/>
  <c r="X36" i="48"/>
  <c r="AL11" i="45"/>
  <c r="V11" i="45"/>
  <c r="N11" i="45"/>
  <c r="Z11" i="45"/>
  <c r="AD11" i="45"/>
  <c r="F11" i="45"/>
  <c r="AH11" i="45"/>
  <c r="J11" i="45"/>
  <c r="R11" i="45"/>
  <c r="AO11" i="45"/>
  <c r="R15" i="45"/>
  <c r="AD15" i="45"/>
  <c r="AL15" i="45"/>
  <c r="AH15" i="45"/>
  <c r="Z15" i="45"/>
  <c r="F15" i="45"/>
  <c r="N15" i="45"/>
  <c r="V15" i="45"/>
  <c r="AO15" i="45"/>
  <c r="J15" i="45"/>
  <c r="I51" i="22"/>
  <c r="O11" i="45"/>
  <c r="K11" i="45"/>
  <c r="S11" i="45"/>
  <c r="W11" i="45"/>
  <c r="AA11" i="45"/>
  <c r="AM11" i="45"/>
  <c r="G11" i="45"/>
  <c r="AE11" i="45"/>
  <c r="AI11" i="45"/>
  <c r="AP11" i="45"/>
  <c r="AL20" i="45"/>
  <c r="AD20" i="45"/>
  <c r="AO20" i="45"/>
  <c r="AH20" i="45"/>
  <c r="F20" i="45"/>
  <c r="R20" i="45"/>
  <c r="N20" i="45"/>
  <c r="Z20" i="45"/>
  <c r="V20" i="45"/>
  <c r="J20" i="45"/>
  <c r="N32" i="45"/>
  <c r="R32" i="45"/>
  <c r="V32" i="45"/>
  <c r="AD32" i="45"/>
  <c r="Z32" i="45"/>
  <c r="F32" i="45"/>
  <c r="AL32" i="45"/>
  <c r="J32" i="45"/>
  <c r="AH32" i="45"/>
  <c r="AO32" i="45"/>
  <c r="B40" i="45"/>
  <c r="D38" i="31"/>
  <c r="I47" i="4"/>
  <c r="AF38" i="48"/>
  <c r="AH38" i="48" s="1"/>
  <c r="AJ39" i="48"/>
  <c r="AD39" i="48"/>
  <c r="I39" i="48"/>
  <c r="AJ17" i="48"/>
  <c r="J17" i="48"/>
  <c r="AH35" i="48"/>
  <c r="E18" i="1"/>
  <c r="E18" i="2" s="1"/>
  <c r="EK18" i="2" s="1"/>
  <c r="I51" i="21"/>
  <c r="I45" i="21"/>
  <c r="R20" i="48"/>
  <c r="I36" i="48"/>
  <c r="AJ36" i="48"/>
  <c r="AD36" i="48"/>
  <c r="A12" i="1"/>
  <c r="A12" i="2" s="1"/>
  <c r="I51" i="19"/>
  <c r="R23" i="48"/>
  <c r="C35" i="18"/>
  <c r="E35" i="18"/>
  <c r="I17" i="48"/>
  <c r="AD17" i="48"/>
  <c r="X17" i="48"/>
  <c r="E40" i="1"/>
  <c r="E40" i="2" s="1"/>
  <c r="EK40" i="2" s="1"/>
  <c r="I51" i="13"/>
  <c r="I45" i="13"/>
  <c r="R29" i="48"/>
  <c r="D35" i="18"/>
  <c r="I48" i="19"/>
  <c r="E41" i="32"/>
  <c r="AH34" i="48"/>
  <c r="AJ34" i="48"/>
  <c r="AH20" i="48"/>
  <c r="AH25" i="48"/>
  <c r="AH14" i="48"/>
  <c r="E20" i="1"/>
  <c r="E20" i="2" s="1"/>
  <c r="EK20" i="2" s="1"/>
  <c r="F24" i="48"/>
  <c r="I51" i="37"/>
  <c r="I45" i="37"/>
  <c r="I48" i="37"/>
  <c r="R37" i="48"/>
  <c r="F32" i="48"/>
  <c r="F20" i="48"/>
  <c r="R27" i="48"/>
  <c r="I48" i="15"/>
  <c r="I51" i="15"/>
  <c r="I45" i="15"/>
  <c r="F38" i="48"/>
  <c r="F34" i="48"/>
  <c r="F26" i="48"/>
  <c r="F22" i="48"/>
  <c r="F14" i="48"/>
  <c r="I45" i="4"/>
  <c r="I51" i="4"/>
  <c r="R38" i="48"/>
  <c r="I48" i="4"/>
  <c r="I45" i="16"/>
  <c r="R26" i="48"/>
  <c r="I48" i="16"/>
  <c r="I51" i="16"/>
  <c r="D35" i="43"/>
  <c r="E35" i="43"/>
  <c r="I51" i="18"/>
  <c r="R24" i="48"/>
  <c r="I45" i="18"/>
  <c r="I48" i="18"/>
  <c r="E39" i="32"/>
  <c r="R13" i="48"/>
  <c r="D41" i="1"/>
  <c r="C35" i="33"/>
  <c r="E35" i="33"/>
  <c r="D35" i="33"/>
  <c r="J56" i="33"/>
  <c r="J56" i="32" s="1"/>
  <c r="J56" i="31" s="1"/>
  <c r="J56" i="30" s="1"/>
  <c r="M7" i="33"/>
  <c r="K34" i="31"/>
  <c r="E44" i="32"/>
  <c r="D40" i="31"/>
  <c r="D40" i="30" s="1"/>
  <c r="D39" i="31"/>
  <c r="D49" i="31"/>
  <c r="D49" i="30" s="1"/>
  <c r="E48" i="32"/>
  <c r="E41" i="31"/>
  <c r="E45" i="32"/>
  <c r="D47" i="31"/>
  <c r="E43" i="32"/>
  <c r="D46" i="31"/>
  <c r="E43" i="31"/>
  <c r="D52" i="32"/>
  <c r="E42" i="32"/>
  <c r="D42" i="31"/>
  <c r="D42" i="30" s="1"/>
  <c r="E50" i="32"/>
  <c r="E52" i="33"/>
  <c r="E53" i="33" s="1"/>
  <c r="E50" i="31"/>
  <c r="E44" i="31"/>
  <c r="F31" i="48"/>
  <c r="J39" i="33"/>
  <c r="J37" i="32"/>
  <c r="R28" i="48"/>
  <c r="I51" i="14"/>
  <c r="I45" i="14"/>
  <c r="I48" i="14"/>
  <c r="F11" i="48"/>
  <c r="F37" i="48"/>
  <c r="F21" i="48"/>
  <c r="F9" i="48"/>
  <c r="F16" i="48"/>
  <c r="F10" i="48"/>
  <c r="X19" i="48"/>
  <c r="I19" i="48"/>
  <c r="AJ19" i="48"/>
  <c r="J19" i="48"/>
  <c r="AD19" i="48"/>
  <c r="AG9" i="48"/>
  <c r="J47" i="32"/>
  <c r="J47" i="33"/>
  <c r="J38" i="27"/>
  <c r="W11" i="48" l="1"/>
  <c r="C34" i="45"/>
  <c r="S34" i="45" s="1"/>
  <c r="P35" i="1"/>
  <c r="AB35" i="1"/>
  <c r="AN35" i="1"/>
  <c r="AZ35" i="1"/>
  <c r="BL35" i="1"/>
  <c r="BX35" i="1"/>
  <c r="CJ35" i="1"/>
  <c r="CV35" i="1"/>
  <c r="DH35" i="1"/>
  <c r="DT35" i="1"/>
  <c r="EF35" i="1"/>
  <c r="ER35" i="1"/>
  <c r="FD35" i="1"/>
  <c r="FP35" i="1"/>
  <c r="GB35" i="1"/>
  <c r="GN35" i="1"/>
  <c r="GZ35" i="1"/>
  <c r="HL35" i="1"/>
  <c r="HX35" i="1"/>
  <c r="IJ35" i="1"/>
  <c r="IV35" i="1"/>
  <c r="JH35" i="1"/>
  <c r="S35" i="1"/>
  <c r="AE35" i="1"/>
  <c r="AQ35" i="1"/>
  <c r="BC35" i="1"/>
  <c r="BO35" i="1"/>
  <c r="CA35" i="1"/>
  <c r="CM35" i="1"/>
  <c r="CY35" i="1"/>
  <c r="DK35" i="1"/>
  <c r="DW35" i="1"/>
  <c r="EI35" i="1"/>
  <c r="EU35" i="1"/>
  <c r="FG35" i="1"/>
  <c r="FS35" i="1"/>
  <c r="GE35" i="1"/>
  <c r="GQ35" i="1"/>
  <c r="HC35" i="1"/>
  <c r="HO35" i="1"/>
  <c r="IA35" i="1"/>
  <c r="IM35" i="1"/>
  <c r="IY35" i="1"/>
  <c r="V35" i="1"/>
  <c r="AH35" i="1"/>
  <c r="AT35" i="1"/>
  <c r="BF35" i="1"/>
  <c r="BR35" i="1"/>
  <c r="CD35" i="1"/>
  <c r="CP35" i="1"/>
  <c r="DB35" i="1"/>
  <c r="DN35" i="1"/>
  <c r="DZ35" i="1"/>
  <c r="EL35" i="1"/>
  <c r="EX35" i="1"/>
  <c r="FJ35" i="1"/>
  <c r="FV35" i="1"/>
  <c r="GH35" i="1"/>
  <c r="GT35" i="1"/>
  <c r="HF35" i="1"/>
  <c r="HR35" i="1"/>
  <c r="ID35" i="1"/>
  <c r="IP35" i="1"/>
  <c r="JB35" i="1"/>
  <c r="Y35" i="1"/>
  <c r="AK35" i="1"/>
  <c r="AW35" i="1"/>
  <c r="BI35" i="1"/>
  <c r="BU35" i="1"/>
  <c r="CG35" i="1"/>
  <c r="CS35" i="1"/>
  <c r="DE35" i="1"/>
  <c r="DQ35" i="1"/>
  <c r="EC35" i="1"/>
  <c r="EO35" i="1"/>
  <c r="FA35" i="1"/>
  <c r="FM35" i="1"/>
  <c r="FY35" i="1"/>
  <c r="GK35" i="1"/>
  <c r="GW35" i="1"/>
  <c r="HI35" i="1"/>
  <c r="HU35" i="1"/>
  <c r="IG35" i="1"/>
  <c r="IS35" i="1"/>
  <c r="JE35" i="1"/>
  <c r="AN33" i="48"/>
  <c r="AN32" i="48"/>
  <c r="AN25" i="48"/>
  <c r="AN22" i="48"/>
  <c r="AN21" i="48"/>
  <c r="AN18" i="48"/>
  <c r="C15" i="45"/>
  <c r="AA15" i="45" s="1"/>
  <c r="AN15" i="48"/>
  <c r="X160" i="56"/>
  <c r="X158" i="56"/>
  <c r="X155" i="56"/>
  <c r="F42" i="54" s="1"/>
  <c r="G42" i="54" s="1"/>
  <c r="H42" i="54" s="1"/>
  <c r="AB29" i="56"/>
  <c r="E35" i="2"/>
  <c r="EK35" i="2" s="1"/>
  <c r="K33" i="45"/>
  <c r="AE33" i="45"/>
  <c r="G33" i="45"/>
  <c r="E41" i="29"/>
  <c r="D41" i="27"/>
  <c r="E41" i="27" s="1"/>
  <c r="AC11" i="48"/>
  <c r="C31" i="45"/>
  <c r="S31" i="45" s="1"/>
  <c r="AD32" i="48"/>
  <c r="AD33" i="48"/>
  <c r="E34" i="1"/>
  <c r="BX34" i="1" s="1"/>
  <c r="J33" i="48"/>
  <c r="O33" i="45"/>
  <c r="AA33" i="45"/>
  <c r="AI33" i="45"/>
  <c r="W33" i="45"/>
  <c r="AP33" i="45"/>
  <c r="C32" i="45"/>
  <c r="AA32" i="45" s="1"/>
  <c r="X33" i="48"/>
  <c r="I33" i="48"/>
  <c r="AJ33" i="48"/>
  <c r="J35" i="1"/>
  <c r="R31" i="48"/>
  <c r="AJ31" i="48" s="1"/>
  <c r="G35" i="1"/>
  <c r="M35" i="1"/>
  <c r="J32" i="48"/>
  <c r="I32" i="48"/>
  <c r="X32" i="48"/>
  <c r="E33" i="1"/>
  <c r="IA33" i="1" s="1"/>
  <c r="AJ32" i="48"/>
  <c r="I45" i="11"/>
  <c r="I48" i="11"/>
  <c r="AJ16" i="48"/>
  <c r="S33" i="45"/>
  <c r="X18" i="48"/>
  <c r="I18" i="48"/>
  <c r="C17" i="45"/>
  <c r="AM17" i="45" s="1"/>
  <c r="E19" i="1"/>
  <c r="JH19" i="1" s="1"/>
  <c r="AD18" i="48"/>
  <c r="J18" i="48"/>
  <c r="AJ18" i="48"/>
  <c r="J16" i="17"/>
  <c r="J16" i="16" s="1"/>
  <c r="J16" i="15" s="1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6" i="4" s="1"/>
  <c r="J16" i="43" s="1"/>
  <c r="AM18" i="45"/>
  <c r="J9" i="18"/>
  <c r="J9" i="17" s="1"/>
  <c r="J9" i="16" s="1"/>
  <c r="J9" i="15" s="1"/>
  <c r="J9" i="14" s="1"/>
  <c r="J9" i="13" s="1"/>
  <c r="J9" i="12" s="1"/>
  <c r="J11" i="18"/>
  <c r="J11" i="17" s="1"/>
  <c r="J11" i="16" s="1"/>
  <c r="J11" i="15" s="1"/>
  <c r="J11" i="14" s="1"/>
  <c r="J11" i="13" s="1"/>
  <c r="J11" i="12" s="1"/>
  <c r="J14" i="18"/>
  <c r="J14" i="17" s="1"/>
  <c r="J14" i="16" s="1"/>
  <c r="J14" i="15" s="1"/>
  <c r="J14" i="14" s="1"/>
  <c r="J14" i="13" s="1"/>
  <c r="J14" i="12" s="1"/>
  <c r="AI29" i="45"/>
  <c r="J13" i="18"/>
  <c r="J13" i="17" s="1"/>
  <c r="J13" i="16" s="1"/>
  <c r="J13" i="15" s="1"/>
  <c r="J13" i="14" s="1"/>
  <c r="J13" i="13" s="1"/>
  <c r="J13" i="12" s="1"/>
  <c r="J12" i="18"/>
  <c r="J12" i="17" s="1"/>
  <c r="J12" i="16" s="1"/>
  <c r="J12" i="15" s="1"/>
  <c r="J12" i="14" s="1"/>
  <c r="J12" i="13" s="1"/>
  <c r="J12" i="12" s="1"/>
  <c r="J8" i="18"/>
  <c r="J8" i="17" s="1"/>
  <c r="J8" i="16" s="1"/>
  <c r="J8" i="15" s="1"/>
  <c r="J8" i="14" s="1"/>
  <c r="J8" i="13" s="1"/>
  <c r="J8" i="12" s="1"/>
  <c r="J15" i="17"/>
  <c r="J15" i="16" s="1"/>
  <c r="J15" i="15" s="1"/>
  <c r="J15" i="14" s="1"/>
  <c r="J15" i="13" s="1"/>
  <c r="J15" i="12" s="1"/>
  <c r="J15" i="11" s="1"/>
  <c r="J15" i="10" s="1"/>
  <c r="J15" i="9" s="1"/>
  <c r="J15" i="8" s="1"/>
  <c r="J15" i="7" s="1"/>
  <c r="J15" i="6" s="1"/>
  <c r="J15" i="37" s="1"/>
  <c r="J15" i="4" s="1"/>
  <c r="J15" i="43" s="1"/>
  <c r="J25" i="48"/>
  <c r="J16" i="48"/>
  <c r="AP18" i="45"/>
  <c r="E26" i="1"/>
  <c r="W18" i="45"/>
  <c r="J43" i="31"/>
  <c r="J43" i="30" s="1"/>
  <c r="J44" i="30" s="1"/>
  <c r="AI18" i="45"/>
  <c r="K18" i="45"/>
  <c r="O18" i="45"/>
  <c r="S18" i="45"/>
  <c r="G18" i="45"/>
  <c r="AA18" i="45"/>
  <c r="O31" i="45"/>
  <c r="AM31" i="45"/>
  <c r="G31" i="45"/>
  <c r="AM16" i="45"/>
  <c r="AA29" i="45"/>
  <c r="AM29" i="45"/>
  <c r="AP29" i="45"/>
  <c r="S29" i="45"/>
  <c r="G29" i="45"/>
  <c r="AE29" i="45"/>
  <c r="AN35" i="48"/>
  <c r="AJ35" i="48"/>
  <c r="W29" i="45"/>
  <c r="K29" i="45"/>
  <c r="I16" i="48"/>
  <c r="I25" i="48"/>
  <c r="AD16" i="48"/>
  <c r="D45" i="29"/>
  <c r="E45" i="29" s="1"/>
  <c r="E45" i="30"/>
  <c r="D42" i="29"/>
  <c r="E42" i="29" s="1"/>
  <c r="E42" i="30"/>
  <c r="J56" i="29"/>
  <c r="E46" i="31"/>
  <c r="D46" i="30"/>
  <c r="E39" i="31"/>
  <c r="D39" i="30"/>
  <c r="E38" i="31"/>
  <c r="D38" i="30"/>
  <c r="D40" i="29"/>
  <c r="E40" i="30"/>
  <c r="C24" i="45"/>
  <c r="S24" i="45" s="1"/>
  <c r="E51" i="31"/>
  <c r="D51" i="30"/>
  <c r="E47" i="31"/>
  <c r="D47" i="30"/>
  <c r="AJ25" i="48"/>
  <c r="J15" i="48"/>
  <c r="AP38" i="45"/>
  <c r="AD25" i="48"/>
  <c r="AN16" i="48"/>
  <c r="D48" i="29"/>
  <c r="E48" i="29" s="1"/>
  <c r="E48" i="30"/>
  <c r="D49" i="29"/>
  <c r="E49" i="29" s="1"/>
  <c r="E49" i="30"/>
  <c r="X25" i="48"/>
  <c r="W38" i="45"/>
  <c r="X16" i="48"/>
  <c r="E17" i="1"/>
  <c r="E17" i="2" s="1"/>
  <c r="EK17" i="2" s="1"/>
  <c r="J50" i="29"/>
  <c r="J49" i="27"/>
  <c r="J49" i="28" s="1"/>
  <c r="J49" i="26" s="1"/>
  <c r="J49" i="25" s="1"/>
  <c r="J49" i="24" s="1"/>
  <c r="J49" i="23" s="1"/>
  <c r="J49" i="21" s="1"/>
  <c r="J47" i="29"/>
  <c r="AM35" i="45"/>
  <c r="AP35" i="45"/>
  <c r="AA35" i="45"/>
  <c r="J35" i="48"/>
  <c r="X35" i="48"/>
  <c r="AD35" i="48"/>
  <c r="E36" i="1"/>
  <c r="E36" i="2" s="1"/>
  <c r="EK36" i="2" s="1"/>
  <c r="I35" i="48"/>
  <c r="AI35" i="45"/>
  <c r="G35" i="45"/>
  <c r="J22" i="20"/>
  <c r="J22" i="19" s="1"/>
  <c r="J22" i="18" s="1"/>
  <c r="J22" i="17" s="1"/>
  <c r="J22" i="16" s="1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2" i="4" s="1"/>
  <c r="J22" i="43" s="1"/>
  <c r="J20" i="20"/>
  <c r="J20" i="19" s="1"/>
  <c r="J20" i="18" s="1"/>
  <c r="J20" i="17" s="1"/>
  <c r="J20" i="16" s="1"/>
  <c r="J20" i="15" s="1"/>
  <c r="J20" i="14" s="1"/>
  <c r="J20" i="13" s="1"/>
  <c r="J20" i="12" s="1"/>
  <c r="J20" i="11" s="1"/>
  <c r="J20" i="10" s="1"/>
  <c r="J20" i="9" s="1"/>
  <c r="J20" i="8" s="1"/>
  <c r="J20" i="7" s="1"/>
  <c r="J20" i="6" s="1"/>
  <c r="J20" i="37" s="1"/>
  <c r="J20" i="4" s="1"/>
  <c r="J20" i="43" s="1"/>
  <c r="K35" i="45"/>
  <c r="S35" i="45"/>
  <c r="AJ21" i="48"/>
  <c r="AD40" i="45"/>
  <c r="Z40" i="45"/>
  <c r="AH40" i="45"/>
  <c r="V40" i="45"/>
  <c r="AL40" i="45"/>
  <c r="O35" i="45"/>
  <c r="J14" i="48"/>
  <c r="AD14" i="48"/>
  <c r="X14" i="48"/>
  <c r="I14" i="48"/>
  <c r="E15" i="1"/>
  <c r="E15" i="2" s="1"/>
  <c r="EK15" i="2" s="1"/>
  <c r="C13" i="45"/>
  <c r="AN14" i="48"/>
  <c r="AE35" i="45"/>
  <c r="AJ14" i="48"/>
  <c r="J10" i="21"/>
  <c r="J10" i="22" s="1"/>
  <c r="J10" i="20" s="1"/>
  <c r="J10" i="19" s="1"/>
  <c r="K16" i="45"/>
  <c r="C26" i="45"/>
  <c r="K26" i="45" s="1"/>
  <c r="AN27" i="48"/>
  <c r="K38" i="45"/>
  <c r="C27" i="45"/>
  <c r="O27" i="45" s="1"/>
  <c r="AN28" i="48"/>
  <c r="C23" i="45"/>
  <c r="O23" i="45" s="1"/>
  <c r="AN24" i="48"/>
  <c r="C19" i="45"/>
  <c r="AM19" i="45" s="1"/>
  <c r="AN20" i="48"/>
  <c r="AA16" i="45"/>
  <c r="G38" i="45"/>
  <c r="C25" i="45"/>
  <c r="O25" i="45" s="1"/>
  <c r="AN26" i="48"/>
  <c r="AE16" i="45"/>
  <c r="AI16" i="45"/>
  <c r="AE38" i="45"/>
  <c r="JH31" i="1"/>
  <c r="IV31" i="1"/>
  <c r="IJ31" i="1"/>
  <c r="HX31" i="1"/>
  <c r="HL31" i="1"/>
  <c r="GZ31" i="1"/>
  <c r="GN31" i="1"/>
  <c r="GB31" i="1"/>
  <c r="FP31" i="1"/>
  <c r="FD31" i="1"/>
  <c r="ER31" i="1"/>
  <c r="EF31" i="1"/>
  <c r="DT31" i="1"/>
  <c r="DH31" i="1"/>
  <c r="CV31" i="1"/>
  <c r="CJ31" i="1"/>
  <c r="BX31" i="1"/>
  <c r="BL31" i="1"/>
  <c r="AZ31" i="1"/>
  <c r="AN31" i="1"/>
  <c r="AB31" i="1"/>
  <c r="P31" i="1"/>
  <c r="JE31" i="1"/>
  <c r="IS31" i="1"/>
  <c r="IG31" i="1"/>
  <c r="HU31" i="1"/>
  <c r="HI31" i="1"/>
  <c r="GW31" i="1"/>
  <c r="GK31" i="1"/>
  <c r="FY31" i="1"/>
  <c r="FM31" i="1"/>
  <c r="FA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JB31" i="1"/>
  <c r="IP31" i="1"/>
  <c r="ID31" i="1"/>
  <c r="HR31" i="1"/>
  <c r="HF31" i="1"/>
  <c r="GT31" i="1"/>
  <c r="GH31" i="1"/>
  <c r="FV31" i="1"/>
  <c r="FJ31" i="1"/>
  <c r="EX31" i="1"/>
  <c r="EL31" i="1"/>
  <c r="DZ31" i="1"/>
  <c r="DN31" i="1"/>
  <c r="DB31" i="1"/>
  <c r="CP31" i="1"/>
  <c r="CD31" i="1"/>
  <c r="BR31" i="1"/>
  <c r="BF31" i="1"/>
  <c r="AT31" i="1"/>
  <c r="AH31" i="1"/>
  <c r="V31" i="1"/>
  <c r="J31" i="1"/>
  <c r="IY31" i="1"/>
  <c r="IM31" i="1"/>
  <c r="IA31" i="1"/>
  <c r="HO31" i="1"/>
  <c r="HC31" i="1"/>
  <c r="EI31" i="1"/>
  <c r="AQ31" i="1"/>
  <c r="FS31" i="1"/>
  <c r="CA31" i="1"/>
  <c r="DK31" i="1"/>
  <c r="S31" i="1"/>
  <c r="EU31" i="1"/>
  <c r="BC31" i="1"/>
  <c r="GE31" i="1"/>
  <c r="CM31" i="1"/>
  <c r="DW31" i="1"/>
  <c r="AE31" i="1"/>
  <c r="FG31" i="1"/>
  <c r="BO31" i="1"/>
  <c r="GQ31" i="1"/>
  <c r="CY31" i="1"/>
  <c r="G31" i="1"/>
  <c r="C37" i="45"/>
  <c r="S37" i="45" s="1"/>
  <c r="AN38" i="48"/>
  <c r="JB20" i="1"/>
  <c r="IP20" i="1"/>
  <c r="ID20" i="1"/>
  <c r="HR20" i="1"/>
  <c r="HF20" i="1"/>
  <c r="GT20" i="1"/>
  <c r="GH20" i="1"/>
  <c r="FV20" i="1"/>
  <c r="FJ20" i="1"/>
  <c r="EX20" i="1"/>
  <c r="EL20" i="1"/>
  <c r="DZ20" i="1"/>
  <c r="DN20" i="1"/>
  <c r="DB20" i="1"/>
  <c r="CP20" i="1"/>
  <c r="CD20" i="1"/>
  <c r="BR20" i="1"/>
  <c r="BF20" i="1"/>
  <c r="AT20" i="1"/>
  <c r="AH20" i="1"/>
  <c r="V20" i="1"/>
  <c r="J20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CV20" i="1"/>
  <c r="CJ20" i="1"/>
  <c r="BX20" i="1"/>
  <c r="BL20" i="1"/>
  <c r="AZ20" i="1"/>
  <c r="AN20" i="1"/>
  <c r="AB20" i="1"/>
  <c r="P20" i="1"/>
  <c r="IG20" i="1"/>
  <c r="EO20" i="1"/>
  <c r="AW20" i="1"/>
  <c r="FY20" i="1"/>
  <c r="CG20" i="1"/>
  <c r="HI20" i="1"/>
  <c r="DQ20" i="1"/>
  <c r="Y20" i="1"/>
  <c r="IS20" i="1"/>
  <c r="FA20" i="1"/>
  <c r="BI20" i="1"/>
  <c r="GK20" i="1"/>
  <c r="CS20" i="1"/>
  <c r="HU20" i="1"/>
  <c r="EC20" i="1"/>
  <c r="AK20" i="1"/>
  <c r="JE20" i="1"/>
  <c r="FM20" i="1"/>
  <c r="BU20" i="1"/>
  <c r="GW20" i="1"/>
  <c r="DE20" i="1"/>
  <c r="M20" i="1"/>
  <c r="JE40" i="1"/>
  <c r="IS40" i="1"/>
  <c r="IG40" i="1"/>
  <c r="HU40" i="1"/>
  <c r="HI40" i="1"/>
  <c r="GW40" i="1"/>
  <c r="GK40" i="1"/>
  <c r="FY40" i="1"/>
  <c r="FM40" i="1"/>
  <c r="FA40" i="1"/>
  <c r="EO40" i="1"/>
  <c r="EC40" i="1"/>
  <c r="DQ40" i="1"/>
  <c r="DE40" i="1"/>
  <c r="CS40" i="1"/>
  <c r="CG40" i="1"/>
  <c r="BU40" i="1"/>
  <c r="BI40" i="1"/>
  <c r="AW40" i="1"/>
  <c r="AK40" i="1"/>
  <c r="Y40" i="1"/>
  <c r="M40" i="1"/>
  <c r="JB40" i="1"/>
  <c r="IP40" i="1"/>
  <c r="ID40" i="1"/>
  <c r="HR40" i="1"/>
  <c r="HF40" i="1"/>
  <c r="GT40" i="1"/>
  <c r="GH40" i="1"/>
  <c r="FV40" i="1"/>
  <c r="FJ40" i="1"/>
  <c r="EX40" i="1"/>
  <c r="EL40" i="1"/>
  <c r="DZ40" i="1"/>
  <c r="DN40" i="1"/>
  <c r="DB40" i="1"/>
  <c r="CP40" i="1"/>
  <c r="CD40" i="1"/>
  <c r="BR40" i="1"/>
  <c r="BF40" i="1"/>
  <c r="AT40" i="1"/>
  <c r="AH40" i="1"/>
  <c r="V40" i="1"/>
  <c r="J40" i="1"/>
  <c r="IY40" i="1"/>
  <c r="IM40" i="1"/>
  <c r="IA40" i="1"/>
  <c r="HO40" i="1"/>
  <c r="HC40" i="1"/>
  <c r="GQ40" i="1"/>
  <c r="GE40" i="1"/>
  <c r="FS40" i="1"/>
  <c r="FG40" i="1"/>
  <c r="EU40" i="1"/>
  <c r="EI40" i="1"/>
  <c r="DW40" i="1"/>
  <c r="DK40" i="1"/>
  <c r="CY40" i="1"/>
  <c r="CM40" i="1"/>
  <c r="CA40" i="1"/>
  <c r="BO40" i="1"/>
  <c r="BC40" i="1"/>
  <c r="AQ40" i="1"/>
  <c r="AE40" i="1"/>
  <c r="S40" i="1"/>
  <c r="G40" i="1"/>
  <c r="HX40" i="1"/>
  <c r="EF40" i="1"/>
  <c r="AN40" i="1"/>
  <c r="JH40" i="1"/>
  <c r="FP40" i="1"/>
  <c r="BX40" i="1"/>
  <c r="GZ40" i="1"/>
  <c r="DH40" i="1"/>
  <c r="P40" i="1"/>
  <c r="IJ40" i="1"/>
  <c r="ER40" i="1"/>
  <c r="AZ40" i="1"/>
  <c r="GB40" i="1"/>
  <c r="CJ40" i="1"/>
  <c r="HL40" i="1"/>
  <c r="DT40" i="1"/>
  <c r="AB40" i="1"/>
  <c r="IV40" i="1"/>
  <c r="FD40" i="1"/>
  <c r="BL40" i="1"/>
  <c r="GN40" i="1"/>
  <c r="CV40" i="1"/>
  <c r="C22" i="45"/>
  <c r="W22" i="45" s="1"/>
  <c r="AN23" i="48"/>
  <c r="GN19" i="1"/>
  <c r="JB19" i="1"/>
  <c r="BR19" i="1"/>
  <c r="Y19" i="1"/>
  <c r="BO19" i="1"/>
  <c r="GW19" i="1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S37" i="1"/>
  <c r="HL37" i="1"/>
  <c r="GW37" i="1"/>
  <c r="FP37" i="1"/>
  <c r="FA37" i="1"/>
  <c r="DT37" i="1"/>
  <c r="DE37" i="1"/>
  <c r="BX37" i="1"/>
  <c r="BI37" i="1"/>
  <c r="AB37" i="1"/>
  <c r="M37" i="1"/>
  <c r="JE37" i="1"/>
  <c r="HX37" i="1"/>
  <c r="HI37" i="1"/>
  <c r="GB37" i="1"/>
  <c r="FM37" i="1"/>
  <c r="EF37" i="1"/>
  <c r="DQ37" i="1"/>
  <c r="CJ37" i="1"/>
  <c r="BU37" i="1"/>
  <c r="AN37" i="1"/>
  <c r="Y37" i="1"/>
  <c r="IJ37" i="1"/>
  <c r="HU37" i="1"/>
  <c r="GN37" i="1"/>
  <c r="FY37" i="1"/>
  <c r="ER37" i="1"/>
  <c r="EC37" i="1"/>
  <c r="CV37" i="1"/>
  <c r="CG37" i="1"/>
  <c r="AZ37" i="1"/>
  <c r="AK37" i="1"/>
  <c r="FD37" i="1"/>
  <c r="CS37" i="1"/>
  <c r="IG37" i="1"/>
  <c r="DH37" i="1"/>
  <c r="AW37" i="1"/>
  <c r="IV37" i="1"/>
  <c r="GK37" i="1"/>
  <c r="BL37" i="1"/>
  <c r="P37" i="1"/>
  <c r="EO37" i="1"/>
  <c r="GZ37" i="1"/>
  <c r="AP16" i="45"/>
  <c r="O16" i="45"/>
  <c r="AM38" i="45"/>
  <c r="AA38" i="45"/>
  <c r="G16" i="45"/>
  <c r="AI38" i="45"/>
  <c r="FP34" i="1"/>
  <c r="V34" i="1"/>
  <c r="GE34" i="1"/>
  <c r="C12" i="45"/>
  <c r="W12" i="45" s="1"/>
  <c r="AN13" i="48"/>
  <c r="C28" i="45"/>
  <c r="AP28" i="45" s="1"/>
  <c r="AN29" i="48"/>
  <c r="C36" i="45"/>
  <c r="W36" i="45" s="1"/>
  <c r="AN37" i="48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HX18" i="1"/>
  <c r="EF18" i="1"/>
  <c r="AN18" i="1"/>
  <c r="JH18" i="1"/>
  <c r="FP18" i="1"/>
  <c r="BX18" i="1"/>
  <c r="GZ18" i="1"/>
  <c r="DH18" i="1"/>
  <c r="P18" i="1"/>
  <c r="IJ18" i="1"/>
  <c r="ER18" i="1"/>
  <c r="AZ18" i="1"/>
  <c r="GB18" i="1"/>
  <c r="CJ18" i="1"/>
  <c r="HL18" i="1"/>
  <c r="DT18" i="1"/>
  <c r="AB18" i="1"/>
  <c r="FD18" i="1"/>
  <c r="BL18" i="1"/>
  <c r="GN18" i="1"/>
  <c r="CV18" i="1"/>
  <c r="IV18" i="1"/>
  <c r="W16" i="45"/>
  <c r="O38" i="45"/>
  <c r="W155" i="55"/>
  <c r="X15" i="48"/>
  <c r="I15" i="48"/>
  <c r="E16" i="1"/>
  <c r="E16" i="2" s="1"/>
  <c r="EK16" i="2" s="1"/>
  <c r="AJ15" i="48"/>
  <c r="AD15" i="48"/>
  <c r="C14" i="45"/>
  <c r="AM14" i="45" s="1"/>
  <c r="D53" i="32"/>
  <c r="AF41" i="48"/>
  <c r="AH41" i="48" s="1"/>
  <c r="J40" i="45"/>
  <c r="N40" i="45"/>
  <c r="F40" i="45"/>
  <c r="R40" i="45"/>
  <c r="AO40" i="45"/>
  <c r="C21" i="45"/>
  <c r="AD22" i="48"/>
  <c r="E23" i="1"/>
  <c r="E23" i="2" s="1"/>
  <c r="EK23" i="2" s="1"/>
  <c r="X22" i="48"/>
  <c r="J22" i="48"/>
  <c r="I22" i="48"/>
  <c r="AJ22" i="48"/>
  <c r="AD21" i="48"/>
  <c r="C20" i="45"/>
  <c r="X21" i="48"/>
  <c r="J21" i="48"/>
  <c r="I21" i="48"/>
  <c r="E22" i="1"/>
  <c r="E22" i="2" s="1"/>
  <c r="EK22" i="2" s="1"/>
  <c r="AJ20" i="48"/>
  <c r="A13" i="1"/>
  <c r="A13" i="2" s="1"/>
  <c r="AD29" i="48"/>
  <c r="AJ29" i="48"/>
  <c r="I29" i="48"/>
  <c r="E30" i="1"/>
  <c r="E30" i="2" s="1"/>
  <c r="EK30" i="2" s="1"/>
  <c r="X29" i="48"/>
  <c r="J29" i="48"/>
  <c r="I20" i="48"/>
  <c r="AD20" i="48"/>
  <c r="E21" i="1"/>
  <c r="E21" i="2" s="1"/>
  <c r="EK21" i="2" s="1"/>
  <c r="J20" i="48"/>
  <c r="X20" i="48"/>
  <c r="AJ23" i="48"/>
  <c r="J23" i="48"/>
  <c r="I23" i="48"/>
  <c r="E24" i="1"/>
  <c r="E24" i="2" s="1"/>
  <c r="EK24" i="2" s="1"/>
  <c r="X23" i="48"/>
  <c r="AD23" i="48"/>
  <c r="X24" i="48"/>
  <c r="E25" i="1"/>
  <c r="E25" i="2" s="1"/>
  <c r="EK25" i="2" s="1"/>
  <c r="I24" i="48"/>
  <c r="AD24" i="48"/>
  <c r="J24" i="48"/>
  <c r="AJ24" i="48"/>
  <c r="E28" i="1"/>
  <c r="E28" i="2" s="1"/>
  <c r="EK28" i="2" s="1"/>
  <c r="AJ27" i="48"/>
  <c r="X27" i="48"/>
  <c r="AD27" i="48"/>
  <c r="J27" i="48"/>
  <c r="I27" i="48"/>
  <c r="X37" i="48"/>
  <c r="E38" i="1"/>
  <c r="E38" i="2" s="1"/>
  <c r="EK38" i="2" s="1"/>
  <c r="J37" i="48"/>
  <c r="AD37" i="48"/>
  <c r="I37" i="48"/>
  <c r="AJ37" i="48"/>
  <c r="E29" i="1"/>
  <c r="E29" i="2" s="1"/>
  <c r="EK29" i="2" s="1"/>
  <c r="E27" i="1"/>
  <c r="E27" i="2" s="1"/>
  <c r="EK27" i="2" s="1"/>
  <c r="AD26" i="48"/>
  <c r="AJ26" i="48"/>
  <c r="I26" i="48"/>
  <c r="X26" i="48"/>
  <c r="J26" i="48"/>
  <c r="E39" i="1"/>
  <c r="E39" i="2" s="1"/>
  <c r="EK39" i="2" s="1"/>
  <c r="AD38" i="48"/>
  <c r="X38" i="48"/>
  <c r="J38" i="48"/>
  <c r="AJ38" i="48"/>
  <c r="I38" i="48"/>
  <c r="E40" i="31"/>
  <c r="I13" i="48"/>
  <c r="AD13" i="48"/>
  <c r="AJ13" i="48"/>
  <c r="E14" i="1"/>
  <c r="E14" i="2" s="1"/>
  <c r="EK14" i="2" s="1"/>
  <c r="X13" i="48"/>
  <c r="J13" i="48"/>
  <c r="K34" i="33"/>
  <c r="I40" i="33" s="1"/>
  <c r="M7" i="32"/>
  <c r="M34" i="33"/>
  <c r="J40" i="33" s="1"/>
  <c r="K34" i="32"/>
  <c r="M8" i="32"/>
  <c r="I40" i="31"/>
  <c r="E49" i="31"/>
  <c r="D52" i="31"/>
  <c r="D53" i="31" s="1"/>
  <c r="E52" i="32"/>
  <c r="E53" i="32" s="1"/>
  <c r="E42" i="31"/>
  <c r="X28" i="48"/>
  <c r="J28" i="48"/>
  <c r="I28" i="48"/>
  <c r="AD28" i="48"/>
  <c r="AJ28" i="48"/>
  <c r="J39" i="32"/>
  <c r="J37" i="31"/>
  <c r="J37" i="30" s="1"/>
  <c r="J39" i="30" s="1"/>
  <c r="Q13" i="48"/>
  <c r="W12" i="48"/>
  <c r="AC12" i="48"/>
  <c r="J38" i="28"/>
  <c r="J57" i="19"/>
  <c r="N41" i="48"/>
  <c r="G41" i="48" s="1"/>
  <c r="G9" i="48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J49" i="22"/>
  <c r="J47" i="31"/>
  <c r="H9" i="48"/>
  <c r="M9" i="48"/>
  <c r="L41" i="48"/>
  <c r="AH9" i="48"/>
  <c r="AG10" i="48"/>
  <c r="FJ33" i="1" l="1"/>
  <c r="CS33" i="1"/>
  <c r="DT33" i="1"/>
  <c r="AQ33" i="1"/>
  <c r="O34" i="45"/>
  <c r="AE34" i="45"/>
  <c r="AM34" i="45"/>
  <c r="G34" i="45"/>
  <c r="AP34" i="45"/>
  <c r="K34" i="45"/>
  <c r="AI34" i="45"/>
  <c r="AA34" i="45"/>
  <c r="W34" i="45"/>
  <c r="S12" i="45"/>
  <c r="O15" i="45"/>
  <c r="W15" i="45"/>
  <c r="K15" i="45"/>
  <c r="AP15" i="45"/>
  <c r="AE15" i="45"/>
  <c r="G15" i="45"/>
  <c r="AM15" i="45"/>
  <c r="S15" i="45"/>
  <c r="AI15" i="45"/>
  <c r="JH34" i="1"/>
  <c r="DN34" i="1"/>
  <c r="HF34" i="1"/>
  <c r="AW34" i="1"/>
  <c r="EO34" i="1"/>
  <c r="IG34" i="1"/>
  <c r="CM34" i="1"/>
  <c r="AI31" i="45"/>
  <c r="AP31" i="45"/>
  <c r="AE31" i="45"/>
  <c r="AA31" i="45"/>
  <c r="W31" i="45"/>
  <c r="K31" i="45"/>
  <c r="I31" i="48"/>
  <c r="AD31" i="48"/>
  <c r="C30" i="45"/>
  <c r="AA30" i="45" s="1"/>
  <c r="E32" i="1"/>
  <c r="Y32" i="1" s="1"/>
  <c r="X31" i="48"/>
  <c r="AE24" i="45"/>
  <c r="O32" i="45"/>
  <c r="M19" i="1"/>
  <c r="FG19" i="1"/>
  <c r="DQ19" i="1"/>
  <c r="CP19" i="1"/>
  <c r="AB19" i="1"/>
  <c r="HL19" i="1"/>
  <c r="DE19" i="1"/>
  <c r="IY19" i="1"/>
  <c r="HI19" i="1"/>
  <c r="DN19" i="1"/>
  <c r="AZ19" i="1"/>
  <c r="IJ19" i="1"/>
  <c r="CA19" i="1"/>
  <c r="CG19" i="1"/>
  <c r="AQ19" i="1"/>
  <c r="EL19" i="1"/>
  <c r="BX19" i="1"/>
  <c r="IV19" i="1"/>
  <c r="E19" i="2"/>
  <c r="EK19" i="2" s="1"/>
  <c r="FS19" i="1"/>
  <c r="FY19" i="1"/>
  <c r="EI19" i="1"/>
  <c r="FJ19" i="1"/>
  <c r="CV19" i="1"/>
  <c r="IJ34" i="1"/>
  <c r="E34" i="2"/>
  <c r="EK34" i="2" s="1"/>
  <c r="AW19" i="1"/>
  <c r="G19" i="1"/>
  <c r="IA19" i="1"/>
  <c r="GH19" i="1"/>
  <c r="DT19" i="1"/>
  <c r="EO19" i="1"/>
  <c r="CY19" i="1"/>
  <c r="V19" i="1"/>
  <c r="HF19" i="1"/>
  <c r="ER19" i="1"/>
  <c r="ID26" i="1"/>
  <c r="E26" i="2"/>
  <c r="EK26" i="2" s="1"/>
  <c r="JE33" i="1"/>
  <c r="E33" i="2"/>
  <c r="EK33" i="2" s="1"/>
  <c r="IG19" i="1"/>
  <c r="GQ19" i="1"/>
  <c r="AT19" i="1"/>
  <c r="ID19" i="1"/>
  <c r="FP19" i="1"/>
  <c r="D41" i="28"/>
  <c r="D41" i="26" s="1"/>
  <c r="E41" i="26" s="1"/>
  <c r="ER33" i="1"/>
  <c r="BO33" i="1"/>
  <c r="IY33" i="1"/>
  <c r="GH33" i="1"/>
  <c r="DQ33" i="1"/>
  <c r="FP33" i="1"/>
  <c r="CM33" i="1"/>
  <c r="V33" i="1"/>
  <c r="HF33" i="1"/>
  <c r="EO33" i="1"/>
  <c r="GN33" i="1"/>
  <c r="DK33" i="1"/>
  <c r="AT33" i="1"/>
  <c r="ID33" i="1"/>
  <c r="FM33" i="1"/>
  <c r="AB33" i="1"/>
  <c r="HL33" i="1"/>
  <c r="EI33" i="1"/>
  <c r="BR33" i="1"/>
  <c r="JB33" i="1"/>
  <c r="GK33" i="1"/>
  <c r="AZ33" i="1"/>
  <c r="IJ33" i="1"/>
  <c r="FG33" i="1"/>
  <c r="CP33" i="1"/>
  <c r="Y33" i="1"/>
  <c r="HI33" i="1"/>
  <c r="BX33" i="1"/>
  <c r="JH33" i="1"/>
  <c r="GE33" i="1"/>
  <c r="DN33" i="1"/>
  <c r="AW33" i="1"/>
  <c r="IG33" i="1"/>
  <c r="CV33" i="1"/>
  <c r="S33" i="1"/>
  <c r="HC33" i="1"/>
  <c r="EL33" i="1"/>
  <c r="BU33" i="1"/>
  <c r="E40" i="29"/>
  <c r="D40" i="27"/>
  <c r="E40" i="27" s="1"/>
  <c r="CA34" i="1"/>
  <c r="FS34" i="1"/>
  <c r="J34" i="1"/>
  <c r="DB34" i="1"/>
  <c r="GT34" i="1"/>
  <c r="AK34" i="1"/>
  <c r="EC34" i="1"/>
  <c r="HU34" i="1"/>
  <c r="BL34" i="1"/>
  <c r="FD34" i="1"/>
  <c r="IV34" i="1"/>
  <c r="AP32" i="45"/>
  <c r="G34" i="1"/>
  <c r="CY34" i="1"/>
  <c r="GQ34" i="1"/>
  <c r="AH34" i="1"/>
  <c r="DZ34" i="1"/>
  <c r="HR34" i="1"/>
  <c r="BI34" i="1"/>
  <c r="FA34" i="1"/>
  <c r="IS34" i="1"/>
  <c r="CJ34" i="1"/>
  <c r="GB34" i="1"/>
  <c r="I51" i="31"/>
  <c r="I48" i="31"/>
  <c r="I45" i="31"/>
  <c r="S34" i="1"/>
  <c r="DK34" i="1"/>
  <c r="HC34" i="1"/>
  <c r="AT34" i="1"/>
  <c r="EL34" i="1"/>
  <c r="ID34" i="1"/>
  <c r="BU34" i="1"/>
  <c r="FM34" i="1"/>
  <c r="JE34" i="1"/>
  <c r="CV34" i="1"/>
  <c r="GN34" i="1"/>
  <c r="AE34" i="1"/>
  <c r="DW34" i="1"/>
  <c r="HO34" i="1"/>
  <c r="BF34" i="1"/>
  <c r="EX34" i="1"/>
  <c r="IP34" i="1"/>
  <c r="CG34" i="1"/>
  <c r="FY34" i="1"/>
  <c r="P34" i="1"/>
  <c r="DH34" i="1"/>
  <c r="GZ34" i="1"/>
  <c r="W32" i="45"/>
  <c r="AQ34" i="1"/>
  <c r="EI34" i="1"/>
  <c r="IA34" i="1"/>
  <c r="BR34" i="1"/>
  <c r="FJ34" i="1"/>
  <c r="JB34" i="1"/>
  <c r="CS34" i="1"/>
  <c r="GK34" i="1"/>
  <c r="AB34" i="1"/>
  <c r="DT34" i="1"/>
  <c r="HL34" i="1"/>
  <c r="AE32" i="45"/>
  <c r="K32" i="45"/>
  <c r="BC34" i="1"/>
  <c r="EU34" i="1"/>
  <c r="IM34" i="1"/>
  <c r="CD34" i="1"/>
  <c r="FV34" i="1"/>
  <c r="M34" i="1"/>
  <c r="DE34" i="1"/>
  <c r="GW34" i="1"/>
  <c r="AN34" i="1"/>
  <c r="EF34" i="1"/>
  <c r="HX34" i="1"/>
  <c r="BO34" i="1"/>
  <c r="FG34" i="1"/>
  <c r="IY34" i="1"/>
  <c r="CP34" i="1"/>
  <c r="GH34" i="1"/>
  <c r="Y34" i="1"/>
  <c r="DQ34" i="1"/>
  <c r="HI34" i="1"/>
  <c r="AZ34" i="1"/>
  <c r="ER34" i="1"/>
  <c r="FA19" i="1"/>
  <c r="IS19" i="1"/>
  <c r="BI19" i="1"/>
  <c r="AE19" i="1"/>
  <c r="DW19" i="1"/>
  <c r="HO19" i="1"/>
  <c r="CS19" i="1"/>
  <c r="GK19" i="1"/>
  <c r="S19" i="1"/>
  <c r="DK19" i="1"/>
  <c r="HC19" i="1"/>
  <c r="AK19" i="1"/>
  <c r="EC19" i="1"/>
  <c r="HU19" i="1"/>
  <c r="BC19" i="1"/>
  <c r="EU19" i="1"/>
  <c r="IM19" i="1"/>
  <c r="BU19" i="1"/>
  <c r="FM19" i="1"/>
  <c r="JE19" i="1"/>
  <c r="CM19" i="1"/>
  <c r="GE19" i="1"/>
  <c r="J19" i="1"/>
  <c r="AH19" i="1"/>
  <c r="BF19" i="1"/>
  <c r="CD19" i="1"/>
  <c r="DB19" i="1"/>
  <c r="DZ19" i="1"/>
  <c r="EX19" i="1"/>
  <c r="FV19" i="1"/>
  <c r="GT19" i="1"/>
  <c r="HR19" i="1"/>
  <c r="IP19" i="1"/>
  <c r="P19" i="1"/>
  <c r="AN19" i="1"/>
  <c r="BL19" i="1"/>
  <c r="CJ19" i="1"/>
  <c r="DH19" i="1"/>
  <c r="EF19" i="1"/>
  <c r="FD19" i="1"/>
  <c r="GB19" i="1"/>
  <c r="GZ19" i="1"/>
  <c r="HX19" i="1"/>
  <c r="W30" i="45"/>
  <c r="S30" i="45"/>
  <c r="AM30" i="45"/>
  <c r="K30" i="45"/>
  <c r="J50" i="27"/>
  <c r="G32" i="45"/>
  <c r="S32" i="45"/>
  <c r="AI32" i="45"/>
  <c r="AM32" i="45"/>
  <c r="AN31" i="48"/>
  <c r="J31" i="48"/>
  <c r="G37" i="45"/>
  <c r="P33" i="1"/>
  <c r="AN33" i="1"/>
  <c r="BL33" i="1"/>
  <c r="CJ33" i="1"/>
  <c r="DH33" i="1"/>
  <c r="EF33" i="1"/>
  <c r="FD33" i="1"/>
  <c r="GB33" i="1"/>
  <c r="GZ33" i="1"/>
  <c r="HX33" i="1"/>
  <c r="IV33" i="1"/>
  <c r="G33" i="1"/>
  <c r="AE33" i="1"/>
  <c r="BC33" i="1"/>
  <c r="CA33" i="1"/>
  <c r="CY33" i="1"/>
  <c r="DW33" i="1"/>
  <c r="EU33" i="1"/>
  <c r="FS33" i="1"/>
  <c r="GQ33" i="1"/>
  <c r="HO33" i="1"/>
  <c r="IM33" i="1"/>
  <c r="J33" i="1"/>
  <c r="AH33" i="1"/>
  <c r="BF33" i="1"/>
  <c r="CD33" i="1"/>
  <c r="DB33" i="1"/>
  <c r="DZ33" i="1"/>
  <c r="EX33" i="1"/>
  <c r="FV33" i="1"/>
  <c r="GT33" i="1"/>
  <c r="HR33" i="1"/>
  <c r="IP33" i="1"/>
  <c r="M33" i="1"/>
  <c r="AK33" i="1"/>
  <c r="BI33" i="1"/>
  <c r="CG33" i="1"/>
  <c r="DE33" i="1"/>
  <c r="EC33" i="1"/>
  <c r="FA33" i="1"/>
  <c r="FY33" i="1"/>
  <c r="GW33" i="1"/>
  <c r="HU33" i="1"/>
  <c r="IS33" i="1"/>
  <c r="AP30" i="45"/>
  <c r="AI30" i="45"/>
  <c r="O30" i="45"/>
  <c r="G30" i="45"/>
  <c r="AE30" i="45"/>
  <c r="W37" i="45"/>
  <c r="K37" i="45"/>
  <c r="AE37" i="45"/>
  <c r="JE17" i="1"/>
  <c r="DE17" i="1"/>
  <c r="O37" i="45"/>
  <c r="AI17" i="45"/>
  <c r="AA37" i="45"/>
  <c r="CS17" i="1"/>
  <c r="K25" i="45"/>
  <c r="AI37" i="45"/>
  <c r="S17" i="1"/>
  <c r="AA25" i="45"/>
  <c r="AM37" i="45"/>
  <c r="DK17" i="1"/>
  <c r="AP37" i="45"/>
  <c r="W17" i="45"/>
  <c r="AE17" i="45"/>
  <c r="AE28" i="45"/>
  <c r="AA17" i="45"/>
  <c r="O17" i="45"/>
  <c r="S28" i="45"/>
  <c r="AP17" i="45"/>
  <c r="S17" i="45"/>
  <c r="CG26" i="1"/>
  <c r="K17" i="45"/>
  <c r="BX26" i="1"/>
  <c r="G17" i="45"/>
  <c r="BC26" i="1"/>
  <c r="AH26" i="1"/>
  <c r="AN26" i="1"/>
  <c r="IJ26" i="1"/>
  <c r="CS26" i="1"/>
  <c r="FG26" i="1"/>
  <c r="FV26" i="1"/>
  <c r="DQ26" i="1"/>
  <c r="BU26" i="1"/>
  <c r="M26" i="1"/>
  <c r="IS26" i="1"/>
  <c r="GZ26" i="1"/>
  <c r="CY26" i="1"/>
  <c r="IM26" i="1"/>
  <c r="CP26" i="1"/>
  <c r="HR26" i="1"/>
  <c r="Y26" i="1"/>
  <c r="HI26" i="1"/>
  <c r="GB26" i="1"/>
  <c r="FM26" i="1"/>
  <c r="HU26" i="1"/>
  <c r="BI26" i="1"/>
  <c r="FA26" i="1"/>
  <c r="P26" i="1"/>
  <c r="GK26" i="1"/>
  <c r="G26" i="1"/>
  <c r="BO26" i="1"/>
  <c r="EU26" i="1"/>
  <c r="GQ26" i="1"/>
  <c r="IY26" i="1"/>
  <c r="CD26" i="1"/>
  <c r="DZ26" i="1"/>
  <c r="GH26" i="1"/>
  <c r="JE26" i="1"/>
  <c r="AE23" i="45"/>
  <c r="J44" i="31"/>
  <c r="AA36" i="45"/>
  <c r="AP23" i="45"/>
  <c r="AA23" i="45"/>
  <c r="S26" i="45"/>
  <c r="G26" i="45"/>
  <c r="G25" i="45"/>
  <c r="O24" i="45"/>
  <c r="HI17" i="1"/>
  <c r="AQ17" i="1"/>
  <c r="AM25" i="45"/>
  <c r="DN17" i="1"/>
  <c r="AZ17" i="1"/>
  <c r="FG17" i="1"/>
  <c r="CG17" i="1"/>
  <c r="CV17" i="1"/>
  <c r="HC17" i="1"/>
  <c r="O19" i="45"/>
  <c r="AN17" i="1"/>
  <c r="DT17" i="1"/>
  <c r="IA17" i="1"/>
  <c r="DQ17" i="1"/>
  <c r="GN17" i="1"/>
  <c r="GH17" i="1"/>
  <c r="AP25" i="45"/>
  <c r="IS17" i="1"/>
  <c r="IJ17" i="1"/>
  <c r="ID17" i="1"/>
  <c r="G22" i="45"/>
  <c r="J43" i="29"/>
  <c r="J44" i="29" s="1"/>
  <c r="J13" i="11"/>
  <c r="J13" i="10" s="1"/>
  <c r="J13" i="9" s="1"/>
  <c r="J13" i="8" s="1"/>
  <c r="J13" i="7" s="1"/>
  <c r="J13" i="6" s="1"/>
  <c r="J13" i="37" s="1"/>
  <c r="J13" i="4" s="1"/>
  <c r="J13" i="43" s="1"/>
  <c r="J11" i="11"/>
  <c r="J11" i="10" s="1"/>
  <c r="J11" i="9" s="1"/>
  <c r="J11" i="8" s="1"/>
  <c r="J11" i="7" s="1"/>
  <c r="J11" i="6" s="1"/>
  <c r="J11" i="37" s="1"/>
  <c r="J11" i="4" s="1"/>
  <c r="J11" i="43" s="1"/>
  <c r="J9" i="11"/>
  <c r="J9" i="10" s="1"/>
  <c r="J9" i="9" s="1"/>
  <c r="J9" i="8" s="1"/>
  <c r="J8" i="11"/>
  <c r="J12" i="11"/>
  <c r="J12" i="10" s="1"/>
  <c r="J12" i="9" s="1"/>
  <c r="J12" i="8" s="1"/>
  <c r="J12" i="7" s="1"/>
  <c r="J12" i="6" s="1"/>
  <c r="J12" i="37" s="1"/>
  <c r="J12" i="4" s="1"/>
  <c r="J12" i="43" s="1"/>
  <c r="J14" i="11"/>
  <c r="J14" i="10" s="1"/>
  <c r="J14" i="9" s="1"/>
  <c r="J14" i="8" s="1"/>
  <c r="J14" i="7" s="1"/>
  <c r="J14" i="6" s="1"/>
  <c r="J14" i="37" s="1"/>
  <c r="J14" i="4" s="1"/>
  <c r="J14" i="43" s="1"/>
  <c r="AE36" i="45"/>
  <c r="AP36" i="45"/>
  <c r="AI36" i="45"/>
  <c r="K36" i="45"/>
  <c r="S36" i="45"/>
  <c r="O36" i="45"/>
  <c r="J10" i="18"/>
  <c r="J10" i="17" s="1"/>
  <c r="J10" i="16" s="1"/>
  <c r="J10" i="15" s="1"/>
  <c r="J10" i="14" s="1"/>
  <c r="J10" i="13" s="1"/>
  <c r="J10" i="12" s="1"/>
  <c r="AM36" i="45"/>
  <c r="G36" i="45"/>
  <c r="AM22" i="45"/>
  <c r="GW26" i="1"/>
  <c r="EO26" i="1"/>
  <c r="AE26" i="1"/>
  <c r="DW26" i="1"/>
  <c r="HO26" i="1"/>
  <c r="BF26" i="1"/>
  <c r="EX26" i="1"/>
  <c r="IP26" i="1"/>
  <c r="AP22" i="45"/>
  <c r="AI25" i="45"/>
  <c r="AE25" i="45"/>
  <c r="S22" i="45"/>
  <c r="AK17" i="1"/>
  <c r="BI17" i="1"/>
  <c r="BX17" i="1"/>
  <c r="JH17" i="1"/>
  <c r="GE17" i="1"/>
  <c r="JB17" i="1"/>
  <c r="GN26" i="1"/>
  <c r="ER26" i="1"/>
  <c r="AB26" i="1"/>
  <c r="HL26" i="1"/>
  <c r="FD26" i="1"/>
  <c r="AQ26" i="1"/>
  <c r="EI26" i="1"/>
  <c r="IA26" i="1"/>
  <c r="BR26" i="1"/>
  <c r="FJ26" i="1"/>
  <c r="JB26" i="1"/>
  <c r="O22" i="45"/>
  <c r="W25" i="45"/>
  <c r="W19" i="45"/>
  <c r="K22" i="45"/>
  <c r="AA22" i="45"/>
  <c r="AB17" i="1"/>
  <c r="FY17" i="1"/>
  <c r="ER17" i="1"/>
  <c r="BO17" i="1"/>
  <c r="IY17" i="1"/>
  <c r="EF26" i="1"/>
  <c r="FY26" i="1"/>
  <c r="AK26" i="1"/>
  <c r="DE26" i="1"/>
  <c r="AW26" i="1"/>
  <c r="IG26" i="1"/>
  <c r="CA26" i="1"/>
  <c r="FS26" i="1"/>
  <c r="J26" i="1"/>
  <c r="DB26" i="1"/>
  <c r="GT26" i="1"/>
  <c r="S25" i="45"/>
  <c r="S19" i="45"/>
  <c r="AE22" i="45"/>
  <c r="AI22" i="45"/>
  <c r="BU17" i="1"/>
  <c r="AW17" i="1"/>
  <c r="FP17" i="1"/>
  <c r="CM17" i="1"/>
  <c r="FJ17" i="1"/>
  <c r="HX26" i="1"/>
  <c r="CJ26" i="1"/>
  <c r="EC26" i="1"/>
  <c r="DT26" i="1"/>
  <c r="BL26" i="1"/>
  <c r="IV26" i="1"/>
  <c r="CM26" i="1"/>
  <c r="GE26" i="1"/>
  <c r="V26" i="1"/>
  <c r="DN26" i="1"/>
  <c r="HF26" i="1"/>
  <c r="EC17" i="1"/>
  <c r="P17" i="1"/>
  <c r="EO17" i="1"/>
  <c r="HL17" i="1"/>
  <c r="EI17" i="1"/>
  <c r="HF17" i="1"/>
  <c r="CV26" i="1"/>
  <c r="AZ26" i="1"/>
  <c r="JH26" i="1"/>
  <c r="FP26" i="1"/>
  <c r="DH26" i="1"/>
  <c r="S26" i="1"/>
  <c r="DK26" i="1"/>
  <c r="HC26" i="1"/>
  <c r="AT26" i="1"/>
  <c r="EL26" i="1"/>
  <c r="AE19" i="45"/>
  <c r="K19" i="45"/>
  <c r="AP19" i="45"/>
  <c r="G19" i="45"/>
  <c r="AA19" i="45"/>
  <c r="AI19" i="45"/>
  <c r="K28" i="45"/>
  <c r="AA26" i="45"/>
  <c r="G24" i="45"/>
  <c r="AM28" i="45"/>
  <c r="AE26" i="45"/>
  <c r="K24" i="45"/>
  <c r="AI24" i="45"/>
  <c r="AI28" i="45"/>
  <c r="O26" i="45"/>
  <c r="AP24" i="45"/>
  <c r="AM24" i="45"/>
  <c r="W28" i="45"/>
  <c r="W26" i="45"/>
  <c r="AI26" i="45"/>
  <c r="AA24" i="45"/>
  <c r="AA28" i="45"/>
  <c r="AP26" i="45"/>
  <c r="AM26" i="45"/>
  <c r="W24" i="45"/>
  <c r="O28" i="45"/>
  <c r="G28" i="45"/>
  <c r="Y17" i="1"/>
  <c r="BR17" i="1"/>
  <c r="J17" i="1"/>
  <c r="GW17" i="1"/>
  <c r="FM17" i="1"/>
  <c r="M17" i="1"/>
  <c r="HU17" i="1"/>
  <c r="BF17" i="1"/>
  <c r="DB17" i="1"/>
  <c r="GK17" i="1"/>
  <c r="FA17" i="1"/>
  <c r="AT17" i="1"/>
  <c r="CP17" i="1"/>
  <c r="EL17" i="1"/>
  <c r="AH17" i="1"/>
  <c r="V17" i="1"/>
  <c r="CD17" i="1"/>
  <c r="DZ17" i="1"/>
  <c r="IG17" i="1"/>
  <c r="BL17" i="1"/>
  <c r="CJ17" i="1"/>
  <c r="DH17" i="1"/>
  <c r="EF17" i="1"/>
  <c r="FD17" i="1"/>
  <c r="GB17" i="1"/>
  <c r="GZ17" i="1"/>
  <c r="HX17" i="1"/>
  <c r="IV17" i="1"/>
  <c r="G17" i="1"/>
  <c r="AE17" i="1"/>
  <c r="BC17" i="1"/>
  <c r="CA17" i="1"/>
  <c r="CY17" i="1"/>
  <c r="DW17" i="1"/>
  <c r="EU17" i="1"/>
  <c r="FS17" i="1"/>
  <c r="GQ17" i="1"/>
  <c r="HO17" i="1"/>
  <c r="IM17" i="1"/>
  <c r="EX17" i="1"/>
  <c r="FV17" i="1"/>
  <c r="GT17" i="1"/>
  <c r="HR17" i="1"/>
  <c r="IP17" i="1"/>
  <c r="D46" i="29"/>
  <c r="E46" i="29" s="1"/>
  <c r="E46" i="30"/>
  <c r="AI27" i="45"/>
  <c r="AI14" i="45"/>
  <c r="AA27" i="45"/>
  <c r="D38" i="29"/>
  <c r="E38" i="30"/>
  <c r="D52" i="30"/>
  <c r="M7" i="31"/>
  <c r="AA14" i="45"/>
  <c r="D47" i="29"/>
  <c r="E47" i="29" s="1"/>
  <c r="E47" i="30"/>
  <c r="J37" i="29"/>
  <c r="J39" i="29" s="1"/>
  <c r="O14" i="45"/>
  <c r="D51" i="29"/>
  <c r="E51" i="29" s="1"/>
  <c r="E51" i="30"/>
  <c r="D39" i="29"/>
  <c r="E39" i="30"/>
  <c r="AE14" i="45"/>
  <c r="AM12" i="45"/>
  <c r="W23" i="45"/>
  <c r="S23" i="45"/>
  <c r="G27" i="45"/>
  <c r="IV36" i="1"/>
  <c r="FD36" i="1"/>
  <c r="BL36" i="1"/>
  <c r="HU36" i="1"/>
  <c r="BR36" i="1"/>
  <c r="M36" i="1"/>
  <c r="Y36" i="1"/>
  <c r="JB36" i="1"/>
  <c r="V36" i="1"/>
  <c r="IY36" i="1"/>
  <c r="S36" i="1"/>
  <c r="FP36" i="1"/>
  <c r="BC36" i="1"/>
  <c r="AW36" i="1"/>
  <c r="IJ36" i="1"/>
  <c r="ER36" i="1"/>
  <c r="AZ36" i="1"/>
  <c r="HI36" i="1"/>
  <c r="AQ36" i="1"/>
  <c r="IP36" i="1"/>
  <c r="GT36" i="1"/>
  <c r="IM36" i="1"/>
  <c r="GQ36" i="1"/>
  <c r="HR36" i="1"/>
  <c r="CG36" i="1"/>
  <c r="IG36" i="1"/>
  <c r="HX36" i="1"/>
  <c r="EF36" i="1"/>
  <c r="AN36" i="1"/>
  <c r="ID36" i="1"/>
  <c r="GW36" i="1"/>
  <c r="IA36" i="1"/>
  <c r="FS36" i="1"/>
  <c r="HF36" i="1"/>
  <c r="FA36" i="1"/>
  <c r="HC36" i="1"/>
  <c r="DW36" i="1"/>
  <c r="CS36" i="1"/>
  <c r="G36" i="1"/>
  <c r="HL36" i="1"/>
  <c r="DT36" i="1"/>
  <c r="AB36" i="1"/>
  <c r="HO36" i="1"/>
  <c r="FV36" i="1"/>
  <c r="GH36" i="1"/>
  <c r="EC36" i="1"/>
  <c r="GE36" i="1"/>
  <c r="DZ36" i="1"/>
  <c r="FM36" i="1"/>
  <c r="BF36" i="1"/>
  <c r="GZ36" i="1"/>
  <c r="DH36" i="1"/>
  <c r="P36" i="1"/>
  <c r="GK36" i="1"/>
  <c r="EU36" i="1"/>
  <c r="FG36" i="1"/>
  <c r="DB36" i="1"/>
  <c r="EO36" i="1"/>
  <c r="CY36" i="1"/>
  <c r="EL36" i="1"/>
  <c r="AE36" i="1"/>
  <c r="JH36" i="1"/>
  <c r="BO36" i="1"/>
  <c r="GN36" i="1"/>
  <c r="CV36" i="1"/>
  <c r="JE36" i="1"/>
  <c r="FJ36" i="1"/>
  <c r="DE36" i="1"/>
  <c r="DQ36" i="1"/>
  <c r="CA36" i="1"/>
  <c r="DN36" i="1"/>
  <c r="BI36" i="1"/>
  <c r="DK36" i="1"/>
  <c r="FY36" i="1"/>
  <c r="GB36" i="1"/>
  <c r="CJ36" i="1"/>
  <c r="IS36" i="1"/>
  <c r="EI36" i="1"/>
  <c r="CD36" i="1"/>
  <c r="CP36" i="1"/>
  <c r="AK36" i="1"/>
  <c r="CM36" i="1"/>
  <c r="AH36" i="1"/>
  <c r="BU36" i="1"/>
  <c r="EX36" i="1"/>
  <c r="BX36" i="1"/>
  <c r="J36" i="1"/>
  <c r="AT36" i="1"/>
  <c r="AP14" i="45"/>
  <c r="AA12" i="45"/>
  <c r="K23" i="45"/>
  <c r="S27" i="45"/>
  <c r="O12" i="45"/>
  <c r="S14" i="45"/>
  <c r="AP12" i="45"/>
  <c r="AE12" i="45"/>
  <c r="AI23" i="45"/>
  <c r="W27" i="45"/>
  <c r="K14" i="45"/>
  <c r="K12" i="45"/>
  <c r="AI12" i="45"/>
  <c r="AM23" i="45"/>
  <c r="AP27" i="45"/>
  <c r="AE27" i="45"/>
  <c r="G14" i="45"/>
  <c r="G12" i="45"/>
  <c r="G23" i="45"/>
  <c r="K27" i="45"/>
  <c r="AM27" i="45"/>
  <c r="W14" i="45"/>
  <c r="AE13" i="45"/>
  <c r="O13" i="45"/>
  <c r="G13" i="45"/>
  <c r="W13" i="45"/>
  <c r="S13" i="45"/>
  <c r="AA13" i="45"/>
  <c r="K13" i="45"/>
  <c r="AM13" i="45"/>
  <c r="AP13" i="45"/>
  <c r="AI13" i="45"/>
  <c r="IY15" i="1"/>
  <c r="FG15" i="1"/>
  <c r="BO15" i="1"/>
  <c r="IJ15" i="1"/>
  <c r="ER15" i="1"/>
  <c r="AZ15" i="1"/>
  <c r="HI15" i="1"/>
  <c r="DQ15" i="1"/>
  <c r="Y15" i="1"/>
  <c r="GT15" i="1"/>
  <c r="HF15" i="1"/>
  <c r="IM15" i="1"/>
  <c r="EU15" i="1"/>
  <c r="BC15" i="1"/>
  <c r="HX15" i="1"/>
  <c r="EF15" i="1"/>
  <c r="AN15" i="1"/>
  <c r="GW15" i="1"/>
  <c r="DE15" i="1"/>
  <c r="M15" i="1"/>
  <c r="DB15" i="1"/>
  <c r="DN15" i="1"/>
  <c r="IV15" i="1"/>
  <c r="EC15" i="1"/>
  <c r="CP15" i="1"/>
  <c r="IA15" i="1"/>
  <c r="EI15" i="1"/>
  <c r="AQ15" i="1"/>
  <c r="HL15" i="1"/>
  <c r="DT15" i="1"/>
  <c r="AB15" i="1"/>
  <c r="GK15" i="1"/>
  <c r="CS15" i="1"/>
  <c r="HR15" i="1"/>
  <c r="J15" i="1"/>
  <c r="V15" i="1"/>
  <c r="CA15" i="1"/>
  <c r="HU15" i="1"/>
  <c r="HO15" i="1"/>
  <c r="DW15" i="1"/>
  <c r="AE15" i="1"/>
  <c r="GZ15" i="1"/>
  <c r="DH15" i="1"/>
  <c r="P15" i="1"/>
  <c r="FY15" i="1"/>
  <c r="CG15" i="1"/>
  <c r="DZ15" i="1"/>
  <c r="ID15" i="1"/>
  <c r="IP15" i="1"/>
  <c r="FS15" i="1"/>
  <c r="BR15" i="1"/>
  <c r="HC15" i="1"/>
  <c r="DK15" i="1"/>
  <c r="S15" i="1"/>
  <c r="GN15" i="1"/>
  <c r="CV15" i="1"/>
  <c r="JE15" i="1"/>
  <c r="FM15" i="1"/>
  <c r="BU15" i="1"/>
  <c r="AH15" i="1"/>
  <c r="EL15" i="1"/>
  <c r="EX15" i="1"/>
  <c r="FD15" i="1"/>
  <c r="AK15" i="1"/>
  <c r="GQ15" i="1"/>
  <c r="CY15" i="1"/>
  <c r="G15" i="1"/>
  <c r="GB15" i="1"/>
  <c r="CJ15" i="1"/>
  <c r="IS15" i="1"/>
  <c r="FA15" i="1"/>
  <c r="BI15" i="1"/>
  <c r="JB15" i="1"/>
  <c r="AT15" i="1"/>
  <c r="BF15" i="1"/>
  <c r="GE15" i="1"/>
  <c r="CM15" i="1"/>
  <c r="JH15" i="1"/>
  <c r="FP15" i="1"/>
  <c r="BX15" i="1"/>
  <c r="IG15" i="1"/>
  <c r="EO15" i="1"/>
  <c r="AW15" i="1"/>
  <c r="FJ15" i="1"/>
  <c r="FV15" i="1"/>
  <c r="GH15" i="1"/>
  <c r="BL15" i="1"/>
  <c r="CD15" i="1"/>
  <c r="I45" i="33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FP29" i="1"/>
  <c r="BX29" i="1"/>
  <c r="GZ29" i="1"/>
  <c r="DH29" i="1"/>
  <c r="AN29" i="1"/>
  <c r="Y29" i="1"/>
  <c r="IJ29" i="1"/>
  <c r="ER29" i="1"/>
  <c r="GB29" i="1"/>
  <c r="CJ29" i="1"/>
  <c r="AZ29" i="1"/>
  <c r="AK29" i="1"/>
  <c r="HL29" i="1"/>
  <c r="DT29" i="1"/>
  <c r="IV29" i="1"/>
  <c r="FD29" i="1"/>
  <c r="BL29" i="1"/>
  <c r="AW29" i="1"/>
  <c r="P29" i="1"/>
  <c r="GN29" i="1"/>
  <c r="CV29" i="1"/>
  <c r="M29" i="1"/>
  <c r="AB29" i="1"/>
  <c r="HX29" i="1"/>
  <c r="EF29" i="1"/>
  <c r="BI29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GQ24" i="1"/>
  <c r="CY24" i="1"/>
  <c r="G24" i="1"/>
  <c r="IA24" i="1"/>
  <c r="EI24" i="1"/>
  <c r="AQ24" i="1"/>
  <c r="FS24" i="1"/>
  <c r="CA24" i="1"/>
  <c r="HC24" i="1"/>
  <c r="DK24" i="1"/>
  <c r="S24" i="1"/>
  <c r="IM24" i="1"/>
  <c r="EU24" i="1"/>
  <c r="BC24" i="1"/>
  <c r="GE24" i="1"/>
  <c r="CM24" i="1"/>
  <c r="DW24" i="1"/>
  <c r="IY24" i="1"/>
  <c r="AE24" i="1"/>
  <c r="FG24" i="1"/>
  <c r="BO24" i="1"/>
  <c r="HO24" i="1"/>
  <c r="JB30" i="1"/>
  <c r="IP30" i="1"/>
  <c r="ID30" i="1"/>
  <c r="HR30" i="1"/>
  <c r="HF30" i="1"/>
  <c r="JE30" i="1"/>
  <c r="HO30" i="1"/>
  <c r="IA30" i="1"/>
  <c r="GZ30" i="1"/>
  <c r="GN30" i="1"/>
  <c r="GB30" i="1"/>
  <c r="FP30" i="1"/>
  <c r="FD30" i="1"/>
  <c r="ER30" i="1"/>
  <c r="EF30" i="1"/>
  <c r="DT30" i="1"/>
  <c r="DH30" i="1"/>
  <c r="CV30" i="1"/>
  <c r="CJ30" i="1"/>
  <c r="BX30" i="1"/>
  <c r="BL30" i="1"/>
  <c r="AZ30" i="1"/>
  <c r="AN30" i="1"/>
  <c r="AB30" i="1"/>
  <c r="P30" i="1"/>
  <c r="IM30" i="1"/>
  <c r="HL30" i="1"/>
  <c r="IY30" i="1"/>
  <c r="HX30" i="1"/>
  <c r="GW30" i="1"/>
  <c r="GK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IJ30" i="1"/>
  <c r="HI30" i="1"/>
  <c r="IV30" i="1"/>
  <c r="HU30" i="1"/>
  <c r="GT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V30" i="1"/>
  <c r="J30" i="1"/>
  <c r="FG30" i="1"/>
  <c r="BO30" i="1"/>
  <c r="IG30" i="1"/>
  <c r="GQ30" i="1"/>
  <c r="CY30" i="1"/>
  <c r="G30" i="1"/>
  <c r="EI30" i="1"/>
  <c r="AQ30" i="1"/>
  <c r="FS30" i="1"/>
  <c r="CA30" i="1"/>
  <c r="IS30" i="1"/>
  <c r="HC30" i="1"/>
  <c r="DK30" i="1"/>
  <c r="S30" i="1"/>
  <c r="EU30" i="1"/>
  <c r="BC30" i="1"/>
  <c r="JH30" i="1"/>
  <c r="GE30" i="1"/>
  <c r="CM30" i="1"/>
  <c r="AE30" i="1"/>
  <c r="DW30" i="1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DH14" i="1"/>
  <c r="CV14" i="1"/>
  <c r="CJ14" i="1"/>
  <c r="BX14" i="1"/>
  <c r="BL14" i="1"/>
  <c r="AZ14" i="1"/>
  <c r="AN14" i="1"/>
  <c r="AB14" i="1"/>
  <c r="P14" i="1"/>
  <c r="JE14" i="1"/>
  <c r="IS14" i="1"/>
  <c r="IG14" i="1"/>
  <c r="HU14" i="1"/>
  <c r="HI14" i="1"/>
  <c r="GW14" i="1"/>
  <c r="GK14" i="1"/>
  <c r="FY14" i="1"/>
  <c r="FM14" i="1"/>
  <c r="FA14" i="1"/>
  <c r="EO14" i="1"/>
  <c r="EC14" i="1"/>
  <c r="DQ14" i="1"/>
  <c r="DE14" i="1"/>
  <c r="CS14" i="1"/>
  <c r="CG14" i="1"/>
  <c r="BU14" i="1"/>
  <c r="BI14" i="1"/>
  <c r="AW14" i="1"/>
  <c r="AK14" i="1"/>
  <c r="Y14" i="1"/>
  <c r="M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DB14" i="1"/>
  <c r="CP14" i="1"/>
  <c r="CD14" i="1"/>
  <c r="BR14" i="1"/>
  <c r="BF14" i="1"/>
  <c r="AT14" i="1"/>
  <c r="AH14" i="1"/>
  <c r="V14" i="1"/>
  <c r="J14" i="1"/>
  <c r="FS14" i="1"/>
  <c r="CA14" i="1"/>
  <c r="HC14" i="1"/>
  <c r="DK14" i="1"/>
  <c r="S14" i="1"/>
  <c r="IM14" i="1"/>
  <c r="EU14" i="1"/>
  <c r="BC14" i="1"/>
  <c r="GE14" i="1"/>
  <c r="CM14" i="1"/>
  <c r="HO14" i="1"/>
  <c r="DW14" i="1"/>
  <c r="AE14" i="1"/>
  <c r="IY14" i="1"/>
  <c r="FG14" i="1"/>
  <c r="BO14" i="1"/>
  <c r="GQ14" i="1"/>
  <c r="CY14" i="1"/>
  <c r="G14" i="1"/>
  <c r="IA14" i="1"/>
  <c r="EI14" i="1"/>
  <c r="AQ14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JB23" i="1"/>
  <c r="IM23" i="1"/>
  <c r="HF23" i="1"/>
  <c r="GQ23" i="1"/>
  <c r="FJ23" i="1"/>
  <c r="EU23" i="1"/>
  <c r="DN23" i="1"/>
  <c r="CY23" i="1"/>
  <c r="BR23" i="1"/>
  <c r="BC23" i="1"/>
  <c r="V23" i="1"/>
  <c r="G23" i="1"/>
  <c r="IY23" i="1"/>
  <c r="HR23" i="1"/>
  <c r="HC23" i="1"/>
  <c r="FV23" i="1"/>
  <c r="FG23" i="1"/>
  <c r="DZ23" i="1"/>
  <c r="DK23" i="1"/>
  <c r="CD23" i="1"/>
  <c r="BO23" i="1"/>
  <c r="AH23" i="1"/>
  <c r="S23" i="1"/>
  <c r="ID23" i="1"/>
  <c r="HO23" i="1"/>
  <c r="GH23" i="1"/>
  <c r="FS23" i="1"/>
  <c r="EL23" i="1"/>
  <c r="DW23" i="1"/>
  <c r="CP23" i="1"/>
  <c r="CA23" i="1"/>
  <c r="AT23" i="1"/>
  <c r="AE23" i="1"/>
  <c r="GT23" i="1"/>
  <c r="EI23" i="1"/>
  <c r="J23" i="1"/>
  <c r="EX23" i="1"/>
  <c r="CM23" i="1"/>
  <c r="IA23" i="1"/>
  <c r="DB23" i="1"/>
  <c r="AQ23" i="1"/>
  <c r="BF23" i="1"/>
  <c r="GE23" i="1"/>
  <c r="IP23" i="1"/>
  <c r="JH16" i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HL16" i="1"/>
  <c r="DT16" i="1"/>
  <c r="AB16" i="1"/>
  <c r="IV16" i="1"/>
  <c r="FD16" i="1"/>
  <c r="BL16" i="1"/>
  <c r="GN16" i="1"/>
  <c r="CV16" i="1"/>
  <c r="HX16" i="1"/>
  <c r="EF16" i="1"/>
  <c r="AN16" i="1"/>
  <c r="FP16" i="1"/>
  <c r="BX16" i="1"/>
  <c r="GZ16" i="1"/>
  <c r="DH16" i="1"/>
  <c r="P16" i="1"/>
  <c r="IJ16" i="1"/>
  <c r="ER16" i="1"/>
  <c r="AZ16" i="1"/>
  <c r="GB16" i="1"/>
  <c r="CJ16" i="1"/>
  <c r="X160" i="55"/>
  <c r="X155" i="55"/>
  <c r="O42" i="54" s="1"/>
  <c r="P42" i="54" s="1"/>
  <c r="Q42" i="54" s="1"/>
  <c r="X158" i="55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IP22" i="1"/>
  <c r="IA22" i="1"/>
  <c r="GT22" i="1"/>
  <c r="GE22" i="1"/>
  <c r="EX22" i="1"/>
  <c r="EI22" i="1"/>
  <c r="DB22" i="1"/>
  <c r="CM22" i="1"/>
  <c r="BF22" i="1"/>
  <c r="AQ22" i="1"/>
  <c r="J22" i="1"/>
  <c r="JB22" i="1"/>
  <c r="IM22" i="1"/>
  <c r="HF22" i="1"/>
  <c r="GQ22" i="1"/>
  <c r="FJ22" i="1"/>
  <c r="EU22" i="1"/>
  <c r="DN22" i="1"/>
  <c r="CY22" i="1"/>
  <c r="BR22" i="1"/>
  <c r="BC22" i="1"/>
  <c r="V22" i="1"/>
  <c r="G22" i="1"/>
  <c r="IY22" i="1"/>
  <c r="HR22" i="1"/>
  <c r="HC22" i="1"/>
  <c r="FV22" i="1"/>
  <c r="FG22" i="1"/>
  <c r="DZ22" i="1"/>
  <c r="DK22" i="1"/>
  <c r="CD22" i="1"/>
  <c r="BO22" i="1"/>
  <c r="AH22" i="1"/>
  <c r="S22" i="1"/>
  <c r="HO22" i="1"/>
  <c r="CP22" i="1"/>
  <c r="AE22" i="1"/>
  <c r="ID22" i="1"/>
  <c r="FS22" i="1"/>
  <c r="AT22" i="1"/>
  <c r="GH22" i="1"/>
  <c r="DW22" i="1"/>
  <c r="CA22" i="1"/>
  <c r="EL22" i="1"/>
  <c r="IY25" i="1"/>
  <c r="IM25" i="1"/>
  <c r="IA25" i="1"/>
  <c r="HO25" i="1"/>
  <c r="HC25" i="1"/>
  <c r="GQ25" i="1"/>
  <c r="GE25" i="1"/>
  <c r="FS25" i="1"/>
  <c r="FG25" i="1"/>
  <c r="EU25" i="1"/>
  <c r="EI25" i="1"/>
  <c r="DW25" i="1"/>
  <c r="DK25" i="1"/>
  <c r="CY25" i="1"/>
  <c r="CM25" i="1"/>
  <c r="CA25" i="1"/>
  <c r="JH25" i="1"/>
  <c r="IV25" i="1"/>
  <c r="IJ25" i="1"/>
  <c r="HX25" i="1"/>
  <c r="HL25" i="1"/>
  <c r="GZ25" i="1"/>
  <c r="JB25" i="1"/>
  <c r="HU25" i="1"/>
  <c r="HF25" i="1"/>
  <c r="GB25" i="1"/>
  <c r="FA25" i="1"/>
  <c r="DZ25" i="1"/>
  <c r="CJ25" i="1"/>
  <c r="GN25" i="1"/>
  <c r="FM25" i="1"/>
  <c r="EL25" i="1"/>
  <c r="CV25" i="1"/>
  <c r="BU25" i="1"/>
  <c r="BI25" i="1"/>
  <c r="AW25" i="1"/>
  <c r="AK25" i="1"/>
  <c r="Y25" i="1"/>
  <c r="M25" i="1"/>
  <c r="IG25" i="1"/>
  <c r="HR25" i="1"/>
  <c r="FY25" i="1"/>
  <c r="EX25" i="1"/>
  <c r="DH25" i="1"/>
  <c r="GK25" i="1"/>
  <c r="FJ25" i="1"/>
  <c r="DT25" i="1"/>
  <c r="CS25" i="1"/>
  <c r="BR25" i="1"/>
  <c r="BF25" i="1"/>
  <c r="AT25" i="1"/>
  <c r="AH25" i="1"/>
  <c r="V25" i="1"/>
  <c r="J25" i="1"/>
  <c r="IS25" i="1"/>
  <c r="ID25" i="1"/>
  <c r="GW25" i="1"/>
  <c r="FV25" i="1"/>
  <c r="EF25" i="1"/>
  <c r="DE25" i="1"/>
  <c r="CD25" i="1"/>
  <c r="JE25" i="1"/>
  <c r="IP25" i="1"/>
  <c r="HI25" i="1"/>
  <c r="GT25" i="1"/>
  <c r="FD25" i="1"/>
  <c r="EC25" i="1"/>
  <c r="DB25" i="1"/>
  <c r="DQ25" i="1"/>
  <c r="BL25" i="1"/>
  <c r="AE25" i="1"/>
  <c r="P25" i="1"/>
  <c r="DN25" i="1"/>
  <c r="CP25" i="1"/>
  <c r="BX25" i="1"/>
  <c r="AQ25" i="1"/>
  <c r="AB25" i="1"/>
  <c r="FP25" i="1"/>
  <c r="GH25" i="1"/>
  <c r="ER25" i="1"/>
  <c r="BC25" i="1"/>
  <c r="AN25" i="1"/>
  <c r="G25" i="1"/>
  <c r="BO25" i="1"/>
  <c r="CG25" i="1"/>
  <c r="S25" i="1"/>
  <c r="EO25" i="1"/>
  <c r="AZ25" i="1"/>
  <c r="JB21" i="1"/>
  <c r="IP21" i="1"/>
  <c r="ID21" i="1"/>
  <c r="HR21" i="1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GZ21" i="1"/>
  <c r="FJ21" i="1"/>
  <c r="EI21" i="1"/>
  <c r="DH21" i="1"/>
  <c r="BR21" i="1"/>
  <c r="AQ21" i="1"/>
  <c r="P21" i="1"/>
  <c r="JH21" i="1"/>
  <c r="IA21" i="1"/>
  <c r="HL21" i="1"/>
  <c r="FV21" i="1"/>
  <c r="EU21" i="1"/>
  <c r="DT21" i="1"/>
  <c r="CD21" i="1"/>
  <c r="BC21" i="1"/>
  <c r="AB21" i="1"/>
  <c r="GH21" i="1"/>
  <c r="FG21" i="1"/>
  <c r="EF21" i="1"/>
  <c r="CP21" i="1"/>
  <c r="BO21" i="1"/>
  <c r="AN21" i="1"/>
  <c r="HF21" i="1"/>
  <c r="GE21" i="1"/>
  <c r="FD21" i="1"/>
  <c r="DN21" i="1"/>
  <c r="CM21" i="1"/>
  <c r="BL21" i="1"/>
  <c r="V21" i="1"/>
  <c r="IY21" i="1"/>
  <c r="IJ21" i="1"/>
  <c r="GQ21" i="1"/>
  <c r="FP21" i="1"/>
  <c r="DZ21" i="1"/>
  <c r="CY21" i="1"/>
  <c r="BX21" i="1"/>
  <c r="AH21" i="1"/>
  <c r="G21" i="1"/>
  <c r="IM21" i="1"/>
  <c r="DK21" i="1"/>
  <c r="CA21" i="1"/>
  <c r="BF21" i="1"/>
  <c r="S21" i="1"/>
  <c r="HO21" i="1"/>
  <c r="ER21" i="1"/>
  <c r="GT21" i="1"/>
  <c r="GB21" i="1"/>
  <c r="DW21" i="1"/>
  <c r="AZ21" i="1"/>
  <c r="IV21" i="1"/>
  <c r="DB21" i="1"/>
  <c r="CJ21" i="1"/>
  <c r="AE21" i="1"/>
  <c r="EL21" i="1"/>
  <c r="J21" i="1"/>
  <c r="HX21" i="1"/>
  <c r="GN21" i="1"/>
  <c r="AT21" i="1"/>
  <c r="HC21" i="1"/>
  <c r="CV21" i="1"/>
  <c r="FS21" i="1"/>
  <c r="EX21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V27" i="1"/>
  <c r="HO27" i="1"/>
  <c r="GZ27" i="1"/>
  <c r="FS27" i="1"/>
  <c r="FD27" i="1"/>
  <c r="DW27" i="1"/>
  <c r="DH27" i="1"/>
  <c r="CA27" i="1"/>
  <c r="BL27" i="1"/>
  <c r="AE27" i="1"/>
  <c r="P27" i="1"/>
  <c r="JH27" i="1"/>
  <c r="IA27" i="1"/>
  <c r="HL27" i="1"/>
  <c r="GE27" i="1"/>
  <c r="FP27" i="1"/>
  <c r="EI27" i="1"/>
  <c r="DT27" i="1"/>
  <c r="CM27" i="1"/>
  <c r="BX27" i="1"/>
  <c r="AQ27" i="1"/>
  <c r="AB27" i="1"/>
  <c r="IM27" i="1"/>
  <c r="HX27" i="1"/>
  <c r="ER27" i="1"/>
  <c r="AZ27" i="1"/>
  <c r="IJ27" i="1"/>
  <c r="GB27" i="1"/>
  <c r="FG27" i="1"/>
  <c r="CJ27" i="1"/>
  <c r="BO27" i="1"/>
  <c r="GQ27" i="1"/>
  <c r="CY27" i="1"/>
  <c r="G27" i="1"/>
  <c r="IY27" i="1"/>
  <c r="GN27" i="1"/>
  <c r="CV27" i="1"/>
  <c r="HC27" i="1"/>
  <c r="EF27" i="1"/>
  <c r="DK27" i="1"/>
  <c r="AN27" i="1"/>
  <c r="S27" i="1"/>
  <c r="EU27" i="1"/>
  <c r="BC27" i="1"/>
  <c r="JH39" i="1"/>
  <c r="IV39" i="1"/>
  <c r="IJ39" i="1"/>
  <c r="HX39" i="1"/>
  <c r="HL39" i="1"/>
  <c r="GZ39" i="1"/>
  <c r="GN39" i="1"/>
  <c r="GB39" i="1"/>
  <c r="FP39" i="1"/>
  <c r="FD39" i="1"/>
  <c r="ER39" i="1"/>
  <c r="EF39" i="1"/>
  <c r="DT39" i="1"/>
  <c r="DH39" i="1"/>
  <c r="CV39" i="1"/>
  <c r="CJ39" i="1"/>
  <c r="BX39" i="1"/>
  <c r="BL39" i="1"/>
  <c r="AZ39" i="1"/>
  <c r="AN39" i="1"/>
  <c r="AB39" i="1"/>
  <c r="P39" i="1"/>
  <c r="JE39" i="1"/>
  <c r="IS39" i="1"/>
  <c r="IG39" i="1"/>
  <c r="HU39" i="1"/>
  <c r="HI39" i="1"/>
  <c r="GW39" i="1"/>
  <c r="GK39" i="1"/>
  <c r="FY39" i="1"/>
  <c r="FM39" i="1"/>
  <c r="FA39" i="1"/>
  <c r="EO39" i="1"/>
  <c r="EC39" i="1"/>
  <c r="DQ39" i="1"/>
  <c r="DE39" i="1"/>
  <c r="CS39" i="1"/>
  <c r="CG39" i="1"/>
  <c r="BU39" i="1"/>
  <c r="BI39" i="1"/>
  <c r="AW39" i="1"/>
  <c r="AK39" i="1"/>
  <c r="Y39" i="1"/>
  <c r="M39" i="1"/>
  <c r="JB39" i="1"/>
  <c r="IP39" i="1"/>
  <c r="ID39" i="1"/>
  <c r="HR39" i="1"/>
  <c r="HF39" i="1"/>
  <c r="GT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GQ39" i="1"/>
  <c r="CY39" i="1"/>
  <c r="G39" i="1"/>
  <c r="IA39" i="1"/>
  <c r="EI39" i="1"/>
  <c r="AQ39" i="1"/>
  <c r="FS39" i="1"/>
  <c r="CA39" i="1"/>
  <c r="HC39" i="1"/>
  <c r="DK39" i="1"/>
  <c r="S39" i="1"/>
  <c r="IM39" i="1"/>
  <c r="EU39" i="1"/>
  <c r="BC39" i="1"/>
  <c r="GE39" i="1"/>
  <c r="CM39" i="1"/>
  <c r="HO39" i="1"/>
  <c r="DW39" i="1"/>
  <c r="AE39" i="1"/>
  <c r="IY39" i="1"/>
  <c r="FG39" i="1"/>
  <c r="BO39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IM38" i="1"/>
  <c r="HX38" i="1"/>
  <c r="GQ38" i="1"/>
  <c r="GB38" i="1"/>
  <c r="EU38" i="1"/>
  <c r="EF38" i="1"/>
  <c r="CY38" i="1"/>
  <c r="CJ38" i="1"/>
  <c r="BC38" i="1"/>
  <c r="AN38" i="1"/>
  <c r="G38" i="1"/>
  <c r="IY38" i="1"/>
  <c r="IJ38" i="1"/>
  <c r="HC38" i="1"/>
  <c r="GN38" i="1"/>
  <c r="FG38" i="1"/>
  <c r="ER38" i="1"/>
  <c r="DK38" i="1"/>
  <c r="CV38" i="1"/>
  <c r="BO38" i="1"/>
  <c r="AZ38" i="1"/>
  <c r="S38" i="1"/>
  <c r="IV38" i="1"/>
  <c r="HO38" i="1"/>
  <c r="GZ38" i="1"/>
  <c r="FS38" i="1"/>
  <c r="FD38" i="1"/>
  <c r="DW38" i="1"/>
  <c r="DH38" i="1"/>
  <c r="CA38" i="1"/>
  <c r="BL38" i="1"/>
  <c r="AE38" i="1"/>
  <c r="P38" i="1"/>
  <c r="JH38" i="1"/>
  <c r="EI38" i="1"/>
  <c r="BX38" i="1"/>
  <c r="HL38" i="1"/>
  <c r="CM38" i="1"/>
  <c r="AB38" i="1"/>
  <c r="IA38" i="1"/>
  <c r="FP38" i="1"/>
  <c r="AQ38" i="1"/>
  <c r="DT38" i="1"/>
  <c r="GE38" i="1"/>
  <c r="JB28" i="1"/>
  <c r="IP28" i="1"/>
  <c r="ID28" i="1"/>
  <c r="HR28" i="1"/>
  <c r="HF28" i="1"/>
  <c r="GT28" i="1"/>
  <c r="GH28" i="1"/>
  <c r="FV28" i="1"/>
  <c r="FJ28" i="1"/>
  <c r="EX28" i="1"/>
  <c r="EL28" i="1"/>
  <c r="DZ28" i="1"/>
  <c r="DN28" i="1"/>
  <c r="DB28" i="1"/>
  <c r="CP28" i="1"/>
  <c r="CD28" i="1"/>
  <c r="BR28" i="1"/>
  <c r="BF28" i="1"/>
  <c r="AT28" i="1"/>
  <c r="AH28" i="1"/>
  <c r="V28" i="1"/>
  <c r="J28" i="1"/>
  <c r="IY28" i="1"/>
  <c r="IM28" i="1"/>
  <c r="IA28" i="1"/>
  <c r="HO28" i="1"/>
  <c r="HC28" i="1"/>
  <c r="GQ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HU28" i="1"/>
  <c r="EC28" i="1"/>
  <c r="AK28" i="1"/>
  <c r="JE28" i="1"/>
  <c r="FM28" i="1"/>
  <c r="BU28" i="1"/>
  <c r="GW28" i="1"/>
  <c r="DE28" i="1"/>
  <c r="M28" i="1"/>
  <c r="IG28" i="1"/>
  <c r="EO28" i="1"/>
  <c r="AW28" i="1"/>
  <c r="FY28" i="1"/>
  <c r="CG28" i="1"/>
  <c r="HI28" i="1"/>
  <c r="DQ28" i="1"/>
  <c r="Y28" i="1"/>
  <c r="IS28" i="1"/>
  <c r="FA28" i="1"/>
  <c r="BI28" i="1"/>
  <c r="GK28" i="1"/>
  <c r="CS28" i="1"/>
  <c r="A14" i="1"/>
  <c r="A14" i="2" s="1"/>
  <c r="G20" i="45"/>
  <c r="AI20" i="45"/>
  <c r="AE20" i="45"/>
  <c r="AA20" i="45"/>
  <c r="O20" i="45"/>
  <c r="AP20" i="45"/>
  <c r="S20" i="45"/>
  <c r="W20" i="45"/>
  <c r="AM20" i="45"/>
  <c r="K20" i="45"/>
  <c r="AM21" i="45"/>
  <c r="AI21" i="45"/>
  <c r="AE21" i="45"/>
  <c r="G21" i="45"/>
  <c r="O21" i="45"/>
  <c r="S21" i="45"/>
  <c r="AA21" i="45"/>
  <c r="K21" i="45"/>
  <c r="W21" i="45"/>
  <c r="AP21" i="45"/>
  <c r="I11" i="53"/>
  <c r="F38" i="54" s="1"/>
  <c r="J51" i="33"/>
  <c r="J41" i="33"/>
  <c r="J45" i="33"/>
  <c r="K57" i="33"/>
  <c r="K56" i="33"/>
  <c r="J48" i="33"/>
  <c r="I48" i="33"/>
  <c r="I51" i="33"/>
  <c r="M34" i="32"/>
  <c r="M8" i="31"/>
  <c r="M8" i="30" s="1"/>
  <c r="M8" i="29" s="1"/>
  <c r="I40" i="32"/>
  <c r="R11" i="48"/>
  <c r="E52" i="31"/>
  <c r="E53" i="31" s="1"/>
  <c r="D49" i="27"/>
  <c r="D49" i="28" s="1"/>
  <c r="D49" i="26" s="1"/>
  <c r="D45" i="27"/>
  <c r="D43" i="27"/>
  <c r="D48" i="27"/>
  <c r="E48" i="27" s="1"/>
  <c r="D50" i="27"/>
  <c r="D44" i="27"/>
  <c r="J39" i="31"/>
  <c r="Q14" i="48"/>
  <c r="W13" i="48"/>
  <c r="AC13" i="48"/>
  <c r="H41" i="48"/>
  <c r="M10" i="48"/>
  <c r="AI9" i="48"/>
  <c r="J49" i="20"/>
  <c r="AG11" i="48"/>
  <c r="J56" i="27"/>
  <c r="J57" i="18"/>
  <c r="J38" i="26"/>
  <c r="J50" i="28"/>
  <c r="S32" i="1" l="1"/>
  <c r="BU32" i="1"/>
  <c r="HO32" i="1"/>
  <c r="CP32" i="1"/>
  <c r="AE32" i="1"/>
  <c r="FA32" i="1"/>
  <c r="DH32" i="1"/>
  <c r="DB32" i="1"/>
  <c r="IG32" i="1"/>
  <c r="M32" i="1"/>
  <c r="GQ32" i="1"/>
  <c r="G32" i="1"/>
  <c r="CJ32" i="1"/>
  <c r="BF32" i="1"/>
  <c r="GK32" i="1"/>
  <c r="DE32" i="1"/>
  <c r="IJ32" i="1"/>
  <c r="JB32" i="1"/>
  <c r="CM32" i="1"/>
  <c r="DN32" i="1"/>
  <c r="DT32" i="1"/>
  <c r="CD32" i="1"/>
  <c r="FS32" i="1"/>
  <c r="IV32" i="1"/>
  <c r="BL32" i="1"/>
  <c r="J32" i="1"/>
  <c r="EO32" i="1"/>
  <c r="AT32" i="1"/>
  <c r="GN32" i="1"/>
  <c r="FJ32" i="1"/>
  <c r="HI32" i="1"/>
  <c r="HL32" i="1"/>
  <c r="V32" i="1"/>
  <c r="EU32" i="1"/>
  <c r="HX32" i="1"/>
  <c r="AN32" i="1"/>
  <c r="HU32" i="1"/>
  <c r="CS32" i="1"/>
  <c r="IY32" i="1"/>
  <c r="ER32" i="1"/>
  <c r="BR32" i="1"/>
  <c r="GH32" i="1"/>
  <c r="HF32" i="1"/>
  <c r="DW32" i="1"/>
  <c r="GZ32" i="1"/>
  <c r="P32" i="1"/>
  <c r="FY32" i="1"/>
  <c r="AW32" i="1"/>
  <c r="HC32" i="1"/>
  <c r="CV32" i="1"/>
  <c r="HR32" i="1"/>
  <c r="FP32" i="1"/>
  <c r="IA32" i="1"/>
  <c r="AB32" i="1"/>
  <c r="FV32" i="1"/>
  <c r="CY32" i="1"/>
  <c r="GB32" i="1"/>
  <c r="IP32" i="1"/>
  <c r="EC32" i="1"/>
  <c r="IS32" i="1"/>
  <c r="FG32" i="1"/>
  <c r="AZ32" i="1"/>
  <c r="DZ32" i="1"/>
  <c r="ID32" i="1"/>
  <c r="CA32" i="1"/>
  <c r="FD32" i="1"/>
  <c r="GT32" i="1"/>
  <c r="CG32" i="1"/>
  <c r="BI32" i="1"/>
  <c r="DK32" i="1"/>
  <c r="JE32" i="1"/>
  <c r="AH32" i="1"/>
  <c r="AQ32" i="1"/>
  <c r="BX32" i="1"/>
  <c r="IM32" i="1"/>
  <c r="BC32" i="1"/>
  <c r="EF32" i="1"/>
  <c r="EX32" i="1"/>
  <c r="AK32" i="1"/>
  <c r="EL32" i="1"/>
  <c r="BO32" i="1"/>
  <c r="FM32" i="1"/>
  <c r="GW32" i="1"/>
  <c r="DQ32" i="1"/>
  <c r="EI32" i="1"/>
  <c r="JH32" i="1"/>
  <c r="E32" i="2"/>
  <c r="EK32" i="2" s="1"/>
  <c r="GE32" i="1"/>
  <c r="E41" i="28"/>
  <c r="D41" i="25"/>
  <c r="D41" i="24" s="1"/>
  <c r="D41" i="23" s="1"/>
  <c r="E41" i="23" s="1"/>
  <c r="D38" i="27"/>
  <c r="E38" i="27" s="1"/>
  <c r="E39" i="29"/>
  <c r="D39" i="27"/>
  <c r="E39" i="27" s="1"/>
  <c r="D53" i="30"/>
  <c r="F27" i="54"/>
  <c r="F21" i="54"/>
  <c r="F19" i="54"/>
  <c r="F11" i="54"/>
  <c r="G11" i="54" s="1"/>
  <c r="F5" i="54"/>
  <c r="G5" i="54" s="1"/>
  <c r="F35" i="54"/>
  <c r="F31" i="54"/>
  <c r="F25" i="54"/>
  <c r="F23" i="54"/>
  <c r="F17" i="54"/>
  <c r="F9" i="54"/>
  <c r="G9" i="54" s="1"/>
  <c r="F7" i="54"/>
  <c r="G7" i="54" s="1"/>
  <c r="F8" i="54"/>
  <c r="G8" i="54" s="1"/>
  <c r="F18" i="54"/>
  <c r="G18" i="54" s="1"/>
  <c r="F24" i="54"/>
  <c r="F30" i="54"/>
  <c r="F34" i="54"/>
  <c r="F39" i="54"/>
  <c r="F6" i="54"/>
  <c r="G6" i="54" s="1"/>
  <c r="F20" i="54"/>
  <c r="F29" i="54"/>
  <c r="F37" i="54"/>
  <c r="F32" i="54"/>
  <c r="F36" i="54"/>
  <c r="F10" i="54"/>
  <c r="G10" i="54" s="1"/>
  <c r="F16" i="54"/>
  <c r="G16" i="54" s="1"/>
  <c r="F26" i="54"/>
  <c r="F40" i="54"/>
  <c r="F22" i="54"/>
  <c r="F28" i="54"/>
  <c r="F33" i="54"/>
  <c r="F4" i="54"/>
  <c r="G4" i="54" s="1"/>
  <c r="J8" i="10"/>
  <c r="J8" i="9" s="1"/>
  <c r="J8" i="8" s="1"/>
  <c r="J8" i="7" s="1"/>
  <c r="J8" i="6" s="1"/>
  <c r="J8" i="37" s="1"/>
  <c r="J8" i="4" s="1"/>
  <c r="J8" i="43" s="1"/>
  <c r="J9" i="7"/>
  <c r="J9" i="6" s="1"/>
  <c r="J9" i="37" s="1"/>
  <c r="J9" i="4" s="1"/>
  <c r="J9" i="43" s="1"/>
  <c r="D51" i="27"/>
  <c r="E51" i="27" s="1"/>
  <c r="D47" i="27"/>
  <c r="D47" i="28" s="1"/>
  <c r="J10" i="11"/>
  <c r="J10" i="10" s="1"/>
  <c r="J10" i="9" s="1"/>
  <c r="J10" i="8" s="1"/>
  <c r="J10" i="7" s="1"/>
  <c r="J10" i="6" s="1"/>
  <c r="J10" i="37" s="1"/>
  <c r="J10" i="4" s="1"/>
  <c r="J10" i="43" s="1"/>
  <c r="E52" i="30"/>
  <c r="E53" i="30" s="1"/>
  <c r="E38" i="29"/>
  <c r="E52" i="29" s="1"/>
  <c r="E53" i="29" s="1"/>
  <c r="D52" i="29"/>
  <c r="M34" i="31"/>
  <c r="M7" i="30"/>
  <c r="AN11" i="48"/>
  <c r="C10" i="45"/>
  <c r="R9" i="48"/>
  <c r="AN9" i="48" s="1"/>
  <c r="A15" i="1"/>
  <c r="A15" i="2" s="1"/>
  <c r="E12" i="1"/>
  <c r="E12" i="2" s="1"/>
  <c r="EK12" i="2" s="1"/>
  <c r="J5" i="53"/>
  <c r="I45" i="32"/>
  <c r="J40" i="32"/>
  <c r="I51" i="32"/>
  <c r="R10" i="48"/>
  <c r="I48" i="32"/>
  <c r="I11" i="48"/>
  <c r="X11" i="48"/>
  <c r="AD11" i="48"/>
  <c r="J11" i="48"/>
  <c r="AJ11" i="48"/>
  <c r="E49" i="28"/>
  <c r="E49" i="27"/>
  <c r="D46" i="27"/>
  <c r="E46" i="27" s="1"/>
  <c r="D48" i="28"/>
  <c r="E48" i="28" s="1"/>
  <c r="E45" i="27"/>
  <c r="D45" i="28"/>
  <c r="D43" i="28"/>
  <c r="E43" i="27"/>
  <c r="D42" i="27"/>
  <c r="D50" i="28"/>
  <c r="E50" i="27"/>
  <c r="E44" i="27"/>
  <c r="D44" i="28"/>
  <c r="D40" i="28"/>
  <c r="AC14" i="48"/>
  <c r="Q15" i="48"/>
  <c r="W14" i="48"/>
  <c r="J57" i="17"/>
  <c r="J43" i="27"/>
  <c r="E49" i="26"/>
  <c r="D49" i="25"/>
  <c r="J49" i="19"/>
  <c r="AI10" i="48"/>
  <c r="M11" i="48"/>
  <c r="J38" i="25"/>
  <c r="J50" i="26"/>
  <c r="J56" i="28"/>
  <c r="J46" i="27"/>
  <c r="AG12" i="48"/>
  <c r="D39" i="28" l="1"/>
  <c r="G36" i="54"/>
  <c r="E41" i="25"/>
  <c r="E41" i="24"/>
  <c r="D41" i="21"/>
  <c r="D41" i="22" s="1"/>
  <c r="E41" i="22" s="1"/>
  <c r="AN10" i="48"/>
  <c r="G31" i="54"/>
  <c r="D38" i="28"/>
  <c r="D51" i="28"/>
  <c r="E51" i="28" s="1"/>
  <c r="H4" i="54"/>
  <c r="G39" i="54"/>
  <c r="H39" i="54" s="1"/>
  <c r="G33" i="54"/>
  <c r="G24" i="54"/>
  <c r="G19" i="54"/>
  <c r="E47" i="27"/>
  <c r="AJ9" i="48"/>
  <c r="M7" i="29"/>
  <c r="M34" i="30"/>
  <c r="A16" i="1"/>
  <c r="A16" i="2" s="1"/>
  <c r="D53" i="29"/>
  <c r="K10" i="45"/>
  <c r="G10" i="45"/>
  <c r="S10" i="45"/>
  <c r="AE10" i="45"/>
  <c r="AA10" i="45"/>
  <c r="AM10" i="45"/>
  <c r="AI10" i="45"/>
  <c r="W10" i="45"/>
  <c r="AP10" i="45"/>
  <c r="O10" i="45"/>
  <c r="AD9" i="48"/>
  <c r="C8" i="45"/>
  <c r="AI8" i="45" s="1"/>
  <c r="J9" i="48"/>
  <c r="S9" i="48"/>
  <c r="AO9" i="48" s="1"/>
  <c r="I9" i="48"/>
  <c r="X9" i="48"/>
  <c r="E10" i="1"/>
  <c r="AW10" i="1" s="1"/>
  <c r="IY12" i="1"/>
  <c r="IM12" i="1"/>
  <c r="IA12" i="1"/>
  <c r="HO12" i="1"/>
  <c r="HC12" i="1"/>
  <c r="GQ12" i="1"/>
  <c r="GE12" i="1"/>
  <c r="FS12" i="1"/>
  <c r="FG12" i="1"/>
  <c r="EU12" i="1"/>
  <c r="EI12" i="1"/>
  <c r="DW12" i="1"/>
  <c r="DK12" i="1"/>
  <c r="CY12" i="1"/>
  <c r="CM12" i="1"/>
  <c r="CA12" i="1"/>
  <c r="BO12" i="1"/>
  <c r="BC12" i="1"/>
  <c r="AQ12" i="1"/>
  <c r="AE12" i="1"/>
  <c r="S12" i="1"/>
  <c r="G12" i="1"/>
  <c r="JH12" i="1"/>
  <c r="IV12" i="1"/>
  <c r="IJ12" i="1"/>
  <c r="HX12" i="1"/>
  <c r="HL12" i="1"/>
  <c r="GZ12" i="1"/>
  <c r="GN12" i="1"/>
  <c r="GB12" i="1"/>
  <c r="FP12" i="1"/>
  <c r="FD12" i="1"/>
  <c r="ER12" i="1"/>
  <c r="EF12" i="1"/>
  <c r="DT12" i="1"/>
  <c r="DH12" i="1"/>
  <c r="CV12" i="1"/>
  <c r="CJ12" i="1"/>
  <c r="BX12" i="1"/>
  <c r="BL12" i="1"/>
  <c r="AZ12" i="1"/>
  <c r="AN12" i="1"/>
  <c r="AB12" i="1"/>
  <c r="P12" i="1"/>
  <c r="JE12" i="1"/>
  <c r="IS12" i="1"/>
  <c r="IG12" i="1"/>
  <c r="HU12" i="1"/>
  <c r="HI12" i="1"/>
  <c r="GW12" i="1"/>
  <c r="GK12" i="1"/>
  <c r="FY12" i="1"/>
  <c r="FM12" i="1"/>
  <c r="FA12" i="1"/>
  <c r="EO12" i="1"/>
  <c r="EC12" i="1"/>
  <c r="DQ12" i="1"/>
  <c r="DE12" i="1"/>
  <c r="CS12" i="1"/>
  <c r="CG12" i="1"/>
  <c r="BU12" i="1"/>
  <c r="BI12" i="1"/>
  <c r="AW12" i="1"/>
  <c r="AK12" i="1"/>
  <c r="Y12" i="1"/>
  <c r="M12" i="1"/>
  <c r="GH12" i="1"/>
  <c r="CP12" i="1"/>
  <c r="HR12" i="1"/>
  <c r="DZ12" i="1"/>
  <c r="AH12" i="1"/>
  <c r="JB12" i="1"/>
  <c r="FJ12" i="1"/>
  <c r="BR12" i="1"/>
  <c r="GT12" i="1"/>
  <c r="DB12" i="1"/>
  <c r="J12" i="1"/>
  <c r="ID12" i="1"/>
  <c r="EL12" i="1"/>
  <c r="AT12" i="1"/>
  <c r="FV12" i="1"/>
  <c r="CD12" i="1"/>
  <c r="HF12" i="1"/>
  <c r="DN12" i="1"/>
  <c r="V12" i="1"/>
  <c r="IP12" i="1"/>
  <c r="EX12" i="1"/>
  <c r="BF12" i="1"/>
  <c r="C9" i="45"/>
  <c r="R41" i="48"/>
  <c r="E11" i="1"/>
  <c r="E11" i="2" s="1"/>
  <c r="EK11" i="2" s="1"/>
  <c r="X10" i="48"/>
  <c r="AJ10" i="48"/>
  <c r="AD10" i="48"/>
  <c r="I10" i="48"/>
  <c r="J10" i="48"/>
  <c r="J51" i="32"/>
  <c r="K56" i="32"/>
  <c r="J41" i="32"/>
  <c r="J45" i="32"/>
  <c r="K57" i="32"/>
  <c r="J48" i="32"/>
  <c r="J40" i="31"/>
  <c r="J40" i="30" s="1"/>
  <c r="D46" i="28"/>
  <c r="E46" i="28" s="1"/>
  <c r="D48" i="26"/>
  <c r="D48" i="25" s="1"/>
  <c r="D45" i="26"/>
  <c r="E45" i="28"/>
  <c r="D39" i="26"/>
  <c r="E39" i="28"/>
  <c r="E43" i="28"/>
  <c r="D43" i="26"/>
  <c r="E42" i="27"/>
  <c r="D42" i="28"/>
  <c r="D52" i="27"/>
  <c r="D50" i="26"/>
  <c r="E50" i="28"/>
  <c r="E40" i="28"/>
  <c r="D40" i="26"/>
  <c r="D44" i="26"/>
  <c r="E44" i="28"/>
  <c r="J37" i="27"/>
  <c r="E47" i="28"/>
  <c r="D47" i="26"/>
  <c r="Q16" i="48"/>
  <c r="AC15" i="48"/>
  <c r="W15" i="48"/>
  <c r="J57" i="16"/>
  <c r="AG13" i="48"/>
  <c r="J47" i="27"/>
  <c r="J46" i="28"/>
  <c r="J56" i="26"/>
  <c r="J38" i="24"/>
  <c r="J50" i="25"/>
  <c r="M12" i="48"/>
  <c r="AI11" i="48"/>
  <c r="J49" i="18"/>
  <c r="D49" i="24"/>
  <c r="E49" i="25"/>
  <c r="J43" i="28"/>
  <c r="J44" i="27"/>
  <c r="H24" i="54" l="1"/>
  <c r="D51" i="26"/>
  <c r="D51" i="25" s="1"/>
  <c r="E41" i="21"/>
  <c r="D41" i="20"/>
  <c r="E41" i="20" s="1"/>
  <c r="ID10" i="1"/>
  <c r="E10" i="2"/>
  <c r="D38" i="26"/>
  <c r="E38" i="28"/>
  <c r="A17" i="1"/>
  <c r="A17" i="2" s="1"/>
  <c r="CY10" i="1"/>
  <c r="GE10" i="1"/>
  <c r="BU10" i="1"/>
  <c r="CM10" i="1"/>
  <c r="GQ10" i="1"/>
  <c r="DE10" i="1"/>
  <c r="JH10" i="1"/>
  <c r="P10" i="1"/>
  <c r="EO10" i="1"/>
  <c r="FD10" i="1"/>
  <c r="AE10" i="1"/>
  <c r="GN10" i="1"/>
  <c r="AQ10" i="1"/>
  <c r="CP10" i="1"/>
  <c r="BX10" i="1"/>
  <c r="FY10" i="1"/>
  <c r="BF10" i="1"/>
  <c r="CD10" i="1"/>
  <c r="HX10" i="1"/>
  <c r="IP10" i="1"/>
  <c r="JE10" i="1"/>
  <c r="JB10" i="1"/>
  <c r="AP8" i="45"/>
  <c r="AE8" i="45"/>
  <c r="G8" i="45"/>
  <c r="K8" i="45"/>
  <c r="AM8" i="45"/>
  <c r="Y9" i="48"/>
  <c r="DT10" i="1"/>
  <c r="AB10" i="1"/>
  <c r="GK10" i="1"/>
  <c r="BC10" i="1"/>
  <c r="HU10" i="1"/>
  <c r="CJ10" i="1"/>
  <c r="M10" i="1"/>
  <c r="DK10" i="1"/>
  <c r="HC10" i="1"/>
  <c r="DB10" i="1"/>
  <c r="FA10" i="1"/>
  <c r="AN10" i="1"/>
  <c r="GZ10" i="1"/>
  <c r="BO10" i="1"/>
  <c r="IJ10" i="1"/>
  <c r="DQ10" i="1"/>
  <c r="Y10" i="1"/>
  <c r="DW10" i="1"/>
  <c r="HO10" i="1"/>
  <c r="EX10" i="1"/>
  <c r="FP10" i="1"/>
  <c r="AZ10" i="1"/>
  <c r="IG10" i="1"/>
  <c r="CG10" i="1"/>
  <c r="J10" i="1"/>
  <c r="EF10" i="1"/>
  <c r="AK10" i="1"/>
  <c r="EI10" i="1"/>
  <c r="IA10" i="1"/>
  <c r="FJ10" i="1"/>
  <c r="GW10" i="1"/>
  <c r="BL10" i="1"/>
  <c r="CV10" i="1"/>
  <c r="FM10" i="1"/>
  <c r="IM10" i="1"/>
  <c r="HL10" i="1"/>
  <c r="CS10" i="1"/>
  <c r="G10" i="1"/>
  <c r="EC10" i="1"/>
  <c r="AH10" i="1"/>
  <c r="GB10" i="1"/>
  <c r="BI10" i="1"/>
  <c r="FG10" i="1"/>
  <c r="IY10" i="1"/>
  <c r="GH10" i="1"/>
  <c r="IV10" i="1"/>
  <c r="V10" i="1"/>
  <c r="EU10" i="1"/>
  <c r="FV10" i="1"/>
  <c r="IS10" i="1"/>
  <c r="DH10" i="1"/>
  <c r="S10" i="1"/>
  <c r="ER10" i="1"/>
  <c r="AT10" i="1"/>
  <c r="HI10" i="1"/>
  <c r="CA10" i="1"/>
  <c r="FS10" i="1"/>
  <c r="BR10" i="1"/>
  <c r="GT10" i="1"/>
  <c r="D53" i="27"/>
  <c r="K57" i="30"/>
  <c r="J41" i="30"/>
  <c r="J40" i="29"/>
  <c r="J48" i="30"/>
  <c r="J51" i="30"/>
  <c r="J45" i="30"/>
  <c r="K56" i="30"/>
  <c r="M34" i="29"/>
  <c r="M7" i="27"/>
  <c r="M7" i="28" s="1"/>
  <c r="M7" i="26" s="1"/>
  <c r="M7" i="25" s="1"/>
  <c r="M7" i="24" s="1"/>
  <c r="DN10" i="1"/>
  <c r="HF10" i="1"/>
  <c r="DZ10" i="1"/>
  <c r="HR10" i="1"/>
  <c r="EL10" i="1"/>
  <c r="AK9" i="48"/>
  <c r="O8" i="45"/>
  <c r="W8" i="45"/>
  <c r="S8" i="45"/>
  <c r="AA8" i="45"/>
  <c r="C40" i="45"/>
  <c r="AI40" i="45" s="1"/>
  <c r="S10" i="48"/>
  <c r="K9" i="48"/>
  <c r="AE9" i="48"/>
  <c r="JB11" i="1"/>
  <c r="IP11" i="1"/>
  <c r="ID11" i="1"/>
  <c r="HR11" i="1"/>
  <c r="HF11" i="1"/>
  <c r="GT11" i="1"/>
  <c r="GH11" i="1"/>
  <c r="FV11" i="1"/>
  <c r="FJ11" i="1"/>
  <c r="IY11" i="1"/>
  <c r="IM11" i="1"/>
  <c r="IA11" i="1"/>
  <c r="HO11" i="1"/>
  <c r="HC11" i="1"/>
  <c r="GQ11" i="1"/>
  <c r="GE11" i="1"/>
  <c r="FS11" i="1"/>
  <c r="FG11" i="1"/>
  <c r="EU11" i="1"/>
  <c r="EI11" i="1"/>
  <c r="DW11" i="1"/>
  <c r="DK11" i="1"/>
  <c r="CY11" i="1"/>
  <c r="CM11" i="1"/>
  <c r="CA11" i="1"/>
  <c r="ER11" i="1"/>
  <c r="DQ11" i="1"/>
  <c r="CP11" i="1"/>
  <c r="BO11" i="1"/>
  <c r="BC11" i="1"/>
  <c r="AQ11" i="1"/>
  <c r="AE11" i="1"/>
  <c r="S11" i="1"/>
  <c r="G11" i="1"/>
  <c r="IV11" i="1"/>
  <c r="IG11" i="1"/>
  <c r="GZ11" i="1"/>
  <c r="GK11" i="1"/>
  <c r="FD11" i="1"/>
  <c r="EC11" i="1"/>
  <c r="DB11" i="1"/>
  <c r="EO11" i="1"/>
  <c r="DN11" i="1"/>
  <c r="BX11" i="1"/>
  <c r="BL11" i="1"/>
  <c r="AZ11" i="1"/>
  <c r="AN11" i="1"/>
  <c r="AB11" i="1"/>
  <c r="P11" i="1"/>
  <c r="JH11" i="1"/>
  <c r="IS11" i="1"/>
  <c r="HL11" i="1"/>
  <c r="GW11" i="1"/>
  <c r="FP11" i="1"/>
  <c r="FA11" i="1"/>
  <c r="DZ11" i="1"/>
  <c r="CJ11" i="1"/>
  <c r="EL11" i="1"/>
  <c r="CV11" i="1"/>
  <c r="BU11" i="1"/>
  <c r="BI11" i="1"/>
  <c r="AW11" i="1"/>
  <c r="AK11" i="1"/>
  <c r="Y11" i="1"/>
  <c r="M11" i="1"/>
  <c r="JE11" i="1"/>
  <c r="HX11" i="1"/>
  <c r="HI11" i="1"/>
  <c r="GB11" i="1"/>
  <c r="FM11" i="1"/>
  <c r="EX11" i="1"/>
  <c r="DH11" i="1"/>
  <c r="CG11" i="1"/>
  <c r="DT11" i="1"/>
  <c r="CS11" i="1"/>
  <c r="BR11" i="1"/>
  <c r="BF11" i="1"/>
  <c r="AT11" i="1"/>
  <c r="AH11" i="1"/>
  <c r="V11" i="1"/>
  <c r="J11" i="1"/>
  <c r="IJ11" i="1"/>
  <c r="HU11" i="1"/>
  <c r="GN11" i="1"/>
  <c r="FY11" i="1"/>
  <c r="EF11" i="1"/>
  <c r="DE11" i="1"/>
  <c r="CD11" i="1"/>
  <c r="AN41" i="48"/>
  <c r="J41" i="48"/>
  <c r="I41" i="48"/>
  <c r="AJ41" i="48"/>
  <c r="X41" i="48"/>
  <c r="AE9" i="45"/>
  <c r="AA9" i="45"/>
  <c r="O9" i="45"/>
  <c r="S9" i="45"/>
  <c r="AP9" i="45"/>
  <c r="W9" i="45"/>
  <c r="AI9" i="45"/>
  <c r="AM9" i="45"/>
  <c r="G9" i="45"/>
  <c r="K9" i="45"/>
  <c r="E41" i="1"/>
  <c r="AD41" i="48"/>
  <c r="M8" i="27"/>
  <c r="J41" i="31"/>
  <c r="J45" i="31"/>
  <c r="K57" i="31"/>
  <c r="K56" i="31"/>
  <c r="J51" i="31"/>
  <c r="J48" i="31"/>
  <c r="D52" i="28"/>
  <c r="E48" i="26"/>
  <c r="D46" i="26"/>
  <c r="E46" i="26" s="1"/>
  <c r="E52" i="27"/>
  <c r="E53" i="27" s="1"/>
  <c r="D39" i="25"/>
  <c r="E39" i="26"/>
  <c r="D45" i="25"/>
  <c r="E45" i="26"/>
  <c r="E43" i="26"/>
  <c r="D43" i="25"/>
  <c r="E42" i="28"/>
  <c r="D42" i="26"/>
  <c r="D50" i="25"/>
  <c r="E50" i="26"/>
  <c r="D40" i="25"/>
  <c r="E40" i="26"/>
  <c r="E48" i="25"/>
  <c r="D48" i="24"/>
  <c r="E44" i="26"/>
  <c r="D44" i="25"/>
  <c r="J37" i="28"/>
  <c r="J39" i="27"/>
  <c r="D47" i="25"/>
  <c r="E47" i="26"/>
  <c r="W16" i="48"/>
  <c r="AC16" i="48"/>
  <c r="Q17" i="48"/>
  <c r="J44" i="28"/>
  <c r="J43" i="26"/>
  <c r="AI12" i="48"/>
  <c r="M13" i="48"/>
  <c r="J47" i="28"/>
  <c r="J46" i="26"/>
  <c r="AG14" i="48"/>
  <c r="J57" i="15"/>
  <c r="D49" i="23"/>
  <c r="E49" i="24"/>
  <c r="J49" i="17"/>
  <c r="J38" i="23"/>
  <c r="J50" i="24"/>
  <c r="J56" i="25"/>
  <c r="E51" i="26" l="1"/>
  <c r="D41" i="19"/>
  <c r="D41" i="18" s="1"/>
  <c r="D41" i="17" s="1"/>
  <c r="E42" i="2"/>
  <c r="EK42" i="2" s="1"/>
  <c r="F10" i="2"/>
  <c r="EK10" i="2"/>
  <c r="AO10" i="48"/>
  <c r="E52" i="28"/>
  <c r="E53" i="28" s="1"/>
  <c r="A18" i="1"/>
  <c r="A18" i="2" s="1"/>
  <c r="E38" i="26"/>
  <c r="D38" i="25"/>
  <c r="Y10" i="48"/>
  <c r="D53" i="28"/>
  <c r="S11" i="48"/>
  <c r="AK10" i="48"/>
  <c r="K57" i="29"/>
  <c r="J41" i="29"/>
  <c r="J51" i="29"/>
  <c r="J48" i="29"/>
  <c r="K56" i="29"/>
  <c r="J45" i="29"/>
  <c r="O40" i="45"/>
  <c r="AA40" i="45"/>
  <c r="AP40" i="45"/>
  <c r="G40" i="45"/>
  <c r="AM40" i="45"/>
  <c r="W40" i="45"/>
  <c r="S40" i="45"/>
  <c r="K40" i="45"/>
  <c r="AE40" i="45"/>
  <c r="K10" i="48"/>
  <c r="AE10" i="48"/>
  <c r="M8" i="28"/>
  <c r="M34" i="27"/>
  <c r="D46" i="25"/>
  <c r="D46" i="24" s="1"/>
  <c r="E45" i="25"/>
  <c r="D45" i="24"/>
  <c r="D39" i="24"/>
  <c r="E39" i="25"/>
  <c r="D43" i="24"/>
  <c r="E43" i="25"/>
  <c r="D42" i="25"/>
  <c r="E42" i="26"/>
  <c r="D52" i="26"/>
  <c r="D53" i="26" s="1"/>
  <c r="D50" i="24"/>
  <c r="E50" i="25"/>
  <c r="D51" i="24"/>
  <c r="E51" i="25"/>
  <c r="E44" i="25"/>
  <c r="D44" i="24"/>
  <c r="D48" i="23"/>
  <c r="E48" i="24"/>
  <c r="E40" i="25"/>
  <c r="D40" i="24"/>
  <c r="D47" i="24"/>
  <c r="E47" i="25"/>
  <c r="J37" i="26"/>
  <c r="J39" i="28"/>
  <c r="Q18" i="48"/>
  <c r="W17" i="48"/>
  <c r="AC17" i="48"/>
  <c r="J56" i="24"/>
  <c r="J49" i="16"/>
  <c r="J57" i="14"/>
  <c r="AG15" i="48"/>
  <c r="M14" i="48"/>
  <c r="AI13" i="48"/>
  <c r="J38" i="21"/>
  <c r="J50" i="23"/>
  <c r="D49" i="21"/>
  <c r="E49" i="23"/>
  <c r="J47" i="26"/>
  <c r="J46" i="25"/>
  <c r="M7" i="23"/>
  <c r="J43" i="25"/>
  <c r="J44" i="26"/>
  <c r="A19" i="1" l="1"/>
  <c r="A19" i="2" s="1"/>
  <c r="E41" i="18"/>
  <c r="E41" i="19"/>
  <c r="F11" i="2"/>
  <c r="EL10" i="2"/>
  <c r="E52" i="26"/>
  <c r="E53" i="26" s="1"/>
  <c r="AO11" i="48"/>
  <c r="E38" i="25"/>
  <c r="D38" i="24"/>
  <c r="S12" i="48"/>
  <c r="S13" i="48" s="1"/>
  <c r="AK11" i="48"/>
  <c r="K11" i="48"/>
  <c r="AE11" i="48"/>
  <c r="Y11" i="48"/>
  <c r="E46" i="25"/>
  <c r="M34" i="28"/>
  <c r="M8" i="26"/>
  <c r="J40" i="27"/>
  <c r="E45" i="24"/>
  <c r="D45" i="23"/>
  <c r="E39" i="24"/>
  <c r="D39" i="23"/>
  <c r="E43" i="24"/>
  <c r="D43" i="23"/>
  <c r="E42" i="25"/>
  <c r="D42" i="24"/>
  <c r="D52" i="25"/>
  <c r="D53" i="25" s="1"/>
  <c r="D50" i="23"/>
  <c r="E50" i="24"/>
  <c r="D40" i="23"/>
  <c r="E40" i="24"/>
  <c r="D44" i="23"/>
  <c r="E44" i="24"/>
  <c r="E48" i="23"/>
  <c r="D48" i="21"/>
  <c r="D51" i="23"/>
  <c r="E51" i="24"/>
  <c r="J37" i="25"/>
  <c r="J39" i="26"/>
  <c r="D41" i="16"/>
  <c r="E41" i="17"/>
  <c r="D47" i="23"/>
  <c r="E47" i="24"/>
  <c r="D46" i="23"/>
  <c r="E46" i="24"/>
  <c r="AC18" i="48"/>
  <c r="Q19" i="48"/>
  <c r="W18" i="48"/>
  <c r="J43" i="24"/>
  <c r="J44" i="25"/>
  <c r="M7" i="21"/>
  <c r="J46" i="24"/>
  <c r="J47" i="25"/>
  <c r="E49" i="21"/>
  <c r="D49" i="22"/>
  <c r="A20" i="1"/>
  <c r="A20" i="2" s="1"/>
  <c r="J57" i="13"/>
  <c r="J56" i="23"/>
  <c r="J38" i="22"/>
  <c r="J50" i="21"/>
  <c r="M15" i="48"/>
  <c r="AI14" i="48"/>
  <c r="AG16" i="48"/>
  <c r="J49" i="15"/>
  <c r="D52" i="24" l="1"/>
  <c r="D53" i="24" s="1"/>
  <c r="F12" i="2"/>
  <c r="EL11" i="2"/>
  <c r="AO12" i="48"/>
  <c r="AO13" i="48"/>
  <c r="D38" i="23"/>
  <c r="E38" i="24"/>
  <c r="K12" i="48"/>
  <c r="AE12" i="48"/>
  <c r="Y12" i="48"/>
  <c r="AK12" i="48"/>
  <c r="E52" i="25"/>
  <c r="E53" i="25" s="1"/>
  <c r="Y13" i="48"/>
  <c r="S14" i="48"/>
  <c r="K13" i="48"/>
  <c r="AE13" i="48"/>
  <c r="AK13" i="48"/>
  <c r="M8" i="25"/>
  <c r="M34" i="26"/>
  <c r="J40" i="28"/>
  <c r="J41" i="27"/>
  <c r="J48" i="27"/>
  <c r="J51" i="27"/>
  <c r="K56" i="27"/>
  <c r="K57" i="27"/>
  <c r="J45" i="27"/>
  <c r="D39" i="21"/>
  <c r="E39" i="23"/>
  <c r="D45" i="21"/>
  <c r="E45" i="23"/>
  <c r="E43" i="23"/>
  <c r="D43" i="21"/>
  <c r="E42" i="24"/>
  <c r="D42" i="23"/>
  <c r="E50" i="23"/>
  <c r="D50" i="21"/>
  <c r="D51" i="21"/>
  <c r="E51" i="23"/>
  <c r="E48" i="21"/>
  <c r="D48" i="22"/>
  <c r="D44" i="21"/>
  <c r="E44" i="23"/>
  <c r="D40" i="21"/>
  <c r="E40" i="23"/>
  <c r="E46" i="23"/>
  <c r="D46" i="21"/>
  <c r="D47" i="21"/>
  <c r="E47" i="23"/>
  <c r="E41" i="16"/>
  <c r="D41" i="15"/>
  <c r="J39" i="25"/>
  <c r="J37" i="24"/>
  <c r="Q20" i="48"/>
  <c r="AC19" i="48"/>
  <c r="W19" i="48"/>
  <c r="J49" i="14"/>
  <c r="AG17" i="48"/>
  <c r="AI15" i="48"/>
  <c r="M16" i="48"/>
  <c r="J56" i="21"/>
  <c r="J57" i="12"/>
  <c r="A21" i="1"/>
  <c r="A21" i="2" s="1"/>
  <c r="D49" i="20"/>
  <c r="E49" i="22"/>
  <c r="J44" i="24"/>
  <c r="J43" i="23"/>
  <c r="J38" i="20"/>
  <c r="J50" i="22"/>
  <c r="J46" i="23"/>
  <c r="J47" i="24"/>
  <c r="M7" i="22"/>
  <c r="D52" i="23" l="1"/>
  <c r="D53" i="23" s="1"/>
  <c r="E52" i="24"/>
  <c r="E53" i="24" s="1"/>
  <c r="F13" i="2"/>
  <c r="EL12" i="2"/>
  <c r="AO14" i="48"/>
  <c r="D38" i="21"/>
  <c r="E38" i="23"/>
  <c r="K56" i="28"/>
  <c r="K57" i="28"/>
  <c r="J40" i="26"/>
  <c r="J45" i="28"/>
  <c r="J41" i="28"/>
  <c r="J51" i="28"/>
  <c r="J48" i="28"/>
  <c r="M34" i="25"/>
  <c r="M8" i="24"/>
  <c r="AK14" i="48"/>
  <c r="K14" i="48"/>
  <c r="AE14" i="48"/>
  <c r="Y14" i="48"/>
  <c r="S15" i="48"/>
  <c r="D45" i="22"/>
  <c r="E45" i="21"/>
  <c r="E39" i="21"/>
  <c r="D39" i="22"/>
  <c r="E43" i="21"/>
  <c r="D43" i="22"/>
  <c r="D42" i="21"/>
  <c r="E42" i="23"/>
  <c r="D50" i="22"/>
  <c r="E50" i="21"/>
  <c r="D48" i="20"/>
  <c r="E48" i="22"/>
  <c r="D40" i="22"/>
  <c r="E40" i="21"/>
  <c r="E44" i="21"/>
  <c r="D44" i="22"/>
  <c r="D51" i="22"/>
  <c r="E51" i="21"/>
  <c r="E47" i="21"/>
  <c r="D47" i="22"/>
  <c r="E46" i="21"/>
  <c r="D46" i="22"/>
  <c r="J37" i="23"/>
  <c r="J39" i="24"/>
  <c r="D41" i="14"/>
  <c r="E41" i="15"/>
  <c r="W20" i="48"/>
  <c r="Q21" i="48"/>
  <c r="AC20" i="48"/>
  <c r="J46" i="21"/>
  <c r="J47" i="23"/>
  <c r="J56" i="22"/>
  <c r="AI16" i="48"/>
  <c r="M17" i="48"/>
  <c r="J49" i="13"/>
  <c r="M7" i="20"/>
  <c r="J38" i="19"/>
  <c r="J50" i="20"/>
  <c r="J43" i="21"/>
  <c r="J44" i="23"/>
  <c r="D49" i="19"/>
  <c r="E49" i="20"/>
  <c r="A22" i="1"/>
  <c r="A22" i="2" s="1"/>
  <c r="J57" i="11"/>
  <c r="AG18" i="48"/>
  <c r="D52" i="21" l="1"/>
  <c r="D53" i="21" s="1"/>
  <c r="E52" i="23"/>
  <c r="E53" i="23" s="1"/>
  <c r="F14" i="2"/>
  <c r="EL13" i="2"/>
  <c r="AO15" i="48"/>
  <c r="D38" i="22"/>
  <c r="E38" i="21"/>
  <c r="M8" i="23"/>
  <c r="M34" i="24"/>
  <c r="AK15" i="48"/>
  <c r="K15" i="48"/>
  <c r="AE15" i="48"/>
  <c r="S16" i="48"/>
  <c r="Y15" i="48"/>
  <c r="K57" i="26"/>
  <c r="J51" i="26"/>
  <c r="J48" i="26"/>
  <c r="J40" i="25"/>
  <c r="K56" i="26"/>
  <c r="J41" i="26"/>
  <c r="J45" i="26"/>
  <c r="D39" i="20"/>
  <c r="E39" i="22"/>
  <c r="D45" i="20"/>
  <c r="E45" i="22"/>
  <c r="D43" i="20"/>
  <c r="E43" i="22"/>
  <c r="D42" i="22"/>
  <c r="E42" i="21"/>
  <c r="E50" i="22"/>
  <c r="D50" i="20"/>
  <c r="E51" i="22"/>
  <c r="D51" i="20"/>
  <c r="D40" i="20"/>
  <c r="E40" i="22"/>
  <c r="E48" i="20"/>
  <c r="D48" i="19"/>
  <c r="E44" i="22"/>
  <c r="D44" i="20"/>
  <c r="D41" i="13"/>
  <c r="E41" i="14"/>
  <c r="J37" i="21"/>
  <c r="J39" i="23"/>
  <c r="D46" i="20"/>
  <c r="E46" i="22"/>
  <c r="D47" i="20"/>
  <c r="E47" i="22"/>
  <c r="AC21" i="48"/>
  <c r="Q22" i="48"/>
  <c r="W21" i="48"/>
  <c r="J43" i="22"/>
  <c r="J44" i="21"/>
  <c r="J38" i="18"/>
  <c r="J50" i="19"/>
  <c r="J49" i="12"/>
  <c r="J46" i="22"/>
  <c r="J47" i="21"/>
  <c r="AG19" i="48"/>
  <c r="J57" i="10"/>
  <c r="A23" i="1"/>
  <c r="A23" i="2" s="1"/>
  <c r="E49" i="19"/>
  <c r="D49" i="18"/>
  <c r="M7" i="19"/>
  <c r="M18" i="48"/>
  <c r="AI17" i="48"/>
  <c r="J56" i="20"/>
  <c r="AA67" i="56" l="1"/>
  <c r="Z155" i="56"/>
  <c r="D52" i="22"/>
  <c r="D53" i="22" s="1"/>
  <c r="F15" i="2"/>
  <c r="EL14" i="2"/>
  <c r="AO16" i="48"/>
  <c r="E52" i="21"/>
  <c r="E53" i="21" s="1"/>
  <c r="E38" i="22"/>
  <c r="D38" i="20"/>
  <c r="AK16" i="48"/>
  <c r="K16" i="48"/>
  <c r="S17" i="48"/>
  <c r="AE16" i="48"/>
  <c r="Y16" i="48"/>
  <c r="K57" i="25"/>
  <c r="J51" i="25"/>
  <c r="J45" i="25"/>
  <c r="J40" i="24"/>
  <c r="K56" i="25"/>
  <c r="J41" i="25"/>
  <c r="J48" i="25"/>
  <c r="M34" i="23"/>
  <c r="M8" i="21"/>
  <c r="D45" i="19"/>
  <c r="E45" i="20"/>
  <c r="D39" i="19"/>
  <c r="E39" i="20"/>
  <c r="E43" i="20"/>
  <c r="D43" i="19"/>
  <c r="D42" i="20"/>
  <c r="E42" i="22"/>
  <c r="E50" i="20"/>
  <c r="D50" i="19"/>
  <c r="D48" i="18"/>
  <c r="E48" i="19"/>
  <c r="D51" i="19"/>
  <c r="E51" i="20"/>
  <c r="E44" i="20"/>
  <c r="D44" i="19"/>
  <c r="D40" i="19"/>
  <c r="E40" i="20"/>
  <c r="E47" i="20"/>
  <c r="D47" i="19"/>
  <c r="E46" i="20"/>
  <c r="D46" i="19"/>
  <c r="J39" i="21"/>
  <c r="J37" i="22"/>
  <c r="D41" i="12"/>
  <c r="E41" i="13"/>
  <c r="AC22" i="48"/>
  <c r="Q23" i="48"/>
  <c r="W22" i="48"/>
  <c r="J56" i="19"/>
  <c r="E49" i="18"/>
  <c r="D49" i="17"/>
  <c r="J57" i="9"/>
  <c r="J46" i="20"/>
  <c r="J47" i="22"/>
  <c r="J49" i="11"/>
  <c r="J43" i="20"/>
  <c r="J44" i="22"/>
  <c r="M19" i="48"/>
  <c r="AI18" i="48"/>
  <c r="M7" i="18"/>
  <c r="A24" i="1"/>
  <c r="A24" i="2" s="1"/>
  <c r="AG20" i="48"/>
  <c r="J38" i="17"/>
  <c r="J50" i="18"/>
  <c r="Z155" i="55" l="1"/>
  <c r="I2" i="53"/>
  <c r="Z156" i="56"/>
  <c r="X164" i="56" s="1"/>
  <c r="AB67" i="56"/>
  <c r="AB155" i="56" s="1"/>
  <c r="AA155" i="56"/>
  <c r="E52" i="22"/>
  <c r="E53" i="22" s="1"/>
  <c r="F16" i="2"/>
  <c r="EL15" i="2"/>
  <c r="AO17" i="48"/>
  <c r="D38" i="19"/>
  <c r="E38" i="20"/>
  <c r="M8" i="22"/>
  <c r="M34" i="21"/>
  <c r="J41" i="24"/>
  <c r="J40" i="23"/>
  <c r="J45" i="24"/>
  <c r="K57" i="24"/>
  <c r="K56" i="24"/>
  <c r="J51" i="24"/>
  <c r="J48" i="24"/>
  <c r="Y17" i="48"/>
  <c r="S18" i="48"/>
  <c r="AK17" i="48"/>
  <c r="K17" i="48"/>
  <c r="AE17" i="48"/>
  <c r="D39" i="18"/>
  <c r="E39" i="19"/>
  <c r="D45" i="18"/>
  <c r="E45" i="19"/>
  <c r="E43" i="19"/>
  <c r="D43" i="18"/>
  <c r="D42" i="19"/>
  <c r="E42" i="20"/>
  <c r="D52" i="20"/>
  <c r="E50" i="19"/>
  <c r="D50" i="18"/>
  <c r="D44" i="18"/>
  <c r="E44" i="19"/>
  <c r="D40" i="18"/>
  <c r="E40" i="19"/>
  <c r="E51" i="19"/>
  <c r="D51" i="18"/>
  <c r="D48" i="17"/>
  <c r="E48" i="18"/>
  <c r="E41" i="12"/>
  <c r="D41" i="11"/>
  <c r="E46" i="19"/>
  <c r="D46" i="18"/>
  <c r="D47" i="18"/>
  <c r="E47" i="19"/>
  <c r="J39" i="22"/>
  <c r="J37" i="20"/>
  <c r="Q24" i="48"/>
  <c r="AC23" i="48"/>
  <c r="W23" i="48"/>
  <c r="A25" i="1"/>
  <c r="A25" i="2" s="1"/>
  <c r="J46" i="19"/>
  <c r="J47" i="20"/>
  <c r="J57" i="8"/>
  <c r="J38" i="16"/>
  <c r="J50" i="17"/>
  <c r="AG21" i="48"/>
  <c r="M7" i="17"/>
  <c r="M20" i="48"/>
  <c r="AI19" i="48"/>
  <c r="J44" i="20"/>
  <c r="J43" i="19"/>
  <c r="J49" i="10"/>
  <c r="D49" i="16"/>
  <c r="E49" i="17"/>
  <c r="J56" i="18"/>
  <c r="T2" i="53" l="1"/>
  <c r="Z156" i="55"/>
  <c r="X164" i="55" s="1"/>
  <c r="AB155" i="55"/>
  <c r="AA155" i="55"/>
  <c r="AA156" i="56"/>
  <c r="X166" i="56" s="1"/>
  <c r="I3" i="53"/>
  <c r="I4" i="53"/>
  <c r="AB156" i="56"/>
  <c r="X167" i="56" s="1"/>
  <c r="E52" i="20"/>
  <c r="E53" i="20" s="1"/>
  <c r="F17" i="2"/>
  <c r="EL16" i="2"/>
  <c r="AO18" i="48"/>
  <c r="D38" i="18"/>
  <c r="E38" i="19"/>
  <c r="D53" i="20"/>
  <c r="AK18" i="48"/>
  <c r="K18" i="48"/>
  <c r="AE18" i="48"/>
  <c r="Y18" i="48"/>
  <c r="S19" i="48"/>
  <c r="K57" i="23"/>
  <c r="J41" i="23"/>
  <c r="J45" i="23"/>
  <c r="J40" i="21"/>
  <c r="K56" i="23"/>
  <c r="J51" i="23"/>
  <c r="J48" i="23"/>
  <c r="M34" i="22"/>
  <c r="M8" i="20"/>
  <c r="E45" i="18"/>
  <c r="D45" i="17"/>
  <c r="D39" i="17"/>
  <c r="E39" i="18"/>
  <c r="D43" i="17"/>
  <c r="E43" i="18"/>
  <c r="E42" i="19"/>
  <c r="D42" i="18"/>
  <c r="D52" i="19"/>
  <c r="E50" i="18"/>
  <c r="D50" i="17"/>
  <c r="D51" i="17"/>
  <c r="E51" i="18"/>
  <c r="D48" i="16"/>
  <c r="E48" i="17"/>
  <c r="E40" i="18"/>
  <c r="D40" i="17"/>
  <c r="E44" i="18"/>
  <c r="D44" i="17"/>
  <c r="D46" i="17"/>
  <c r="E46" i="18"/>
  <c r="D41" i="10"/>
  <c r="E41" i="11"/>
  <c r="J37" i="19"/>
  <c r="J39" i="20"/>
  <c r="E47" i="18"/>
  <c r="D47" i="17"/>
  <c r="W24" i="48"/>
  <c r="AC24" i="48"/>
  <c r="Q25" i="48"/>
  <c r="J49" i="9"/>
  <c r="J46" i="18"/>
  <c r="J47" i="19"/>
  <c r="A26" i="1"/>
  <c r="A26" i="2" s="1"/>
  <c r="J56" i="17"/>
  <c r="D49" i="15"/>
  <c r="E49" i="16"/>
  <c r="J43" i="18"/>
  <c r="J44" i="19"/>
  <c r="M21" i="48"/>
  <c r="AI20" i="48"/>
  <c r="M7" i="16"/>
  <c r="AG22" i="48"/>
  <c r="J38" i="15"/>
  <c r="J50" i="16"/>
  <c r="J57" i="7"/>
  <c r="X186" i="56" l="1"/>
  <c r="X188" i="56" s="1"/>
  <c r="AA156" i="55"/>
  <c r="X166" i="55" s="1"/>
  <c r="T3" i="53"/>
  <c r="AB156" i="55"/>
  <c r="X167" i="55" s="1"/>
  <c r="T4" i="53"/>
  <c r="N12" i="54"/>
  <c r="U2" i="53"/>
  <c r="O12" i="54" s="1"/>
  <c r="E52" i="19"/>
  <c r="E53" i="19" s="1"/>
  <c r="F18" i="2"/>
  <c r="EL17" i="2"/>
  <c r="AO19" i="48"/>
  <c r="E38" i="18"/>
  <c r="D38" i="17"/>
  <c r="D53" i="19"/>
  <c r="J40" i="22"/>
  <c r="K56" i="21"/>
  <c r="K57" i="21"/>
  <c r="J45" i="21"/>
  <c r="J51" i="21"/>
  <c r="J41" i="21"/>
  <c r="J48" i="21"/>
  <c r="AK19" i="48"/>
  <c r="Y19" i="48"/>
  <c r="S20" i="48"/>
  <c r="AE19" i="48"/>
  <c r="K19" i="48"/>
  <c r="M34" i="20"/>
  <c r="M8" i="19"/>
  <c r="D45" i="16"/>
  <c r="E45" i="17"/>
  <c r="E39" i="17"/>
  <c r="D39" i="16"/>
  <c r="E43" i="17"/>
  <c r="D43" i="16"/>
  <c r="D42" i="17"/>
  <c r="E42" i="18"/>
  <c r="E52" i="18" s="1"/>
  <c r="E53" i="18" s="1"/>
  <c r="D52" i="18"/>
  <c r="E50" i="17"/>
  <c r="D50" i="16"/>
  <c r="D44" i="16"/>
  <c r="E44" i="17"/>
  <c r="D40" i="16"/>
  <c r="E40" i="17"/>
  <c r="D48" i="15"/>
  <c r="E48" i="16"/>
  <c r="D51" i="16"/>
  <c r="E51" i="17"/>
  <c r="J39" i="19"/>
  <c r="J37" i="18"/>
  <c r="D41" i="9"/>
  <c r="E41" i="10"/>
  <c r="D46" i="16"/>
  <c r="E46" i="17"/>
  <c r="D47" i="16"/>
  <c r="E47" i="17"/>
  <c r="Q26" i="48"/>
  <c r="AC25" i="48"/>
  <c r="W25" i="48"/>
  <c r="AG23" i="48"/>
  <c r="M7" i="15"/>
  <c r="M22" i="48"/>
  <c r="AI21" i="48"/>
  <c r="A27" i="1"/>
  <c r="A27" i="2" s="1"/>
  <c r="J47" i="18"/>
  <c r="J46" i="17"/>
  <c r="J49" i="8"/>
  <c r="J57" i="6"/>
  <c r="J38" i="14"/>
  <c r="J50" i="15"/>
  <c r="J43" i="17"/>
  <c r="J44" i="18"/>
  <c r="D49" i="14"/>
  <c r="E49" i="15"/>
  <c r="J56" i="16"/>
  <c r="X186" i="55" l="1"/>
  <c r="X188" i="55" s="1"/>
  <c r="P12" i="54"/>
  <c r="N14" i="54"/>
  <c r="U4" i="53"/>
  <c r="O14" i="54" s="1"/>
  <c r="P14" i="54" s="1"/>
  <c r="Q14" i="54" s="1"/>
  <c r="N13" i="54"/>
  <c r="N41" i="54" s="1"/>
  <c r="U3" i="53"/>
  <c r="O13" i="54" s="1"/>
  <c r="P13" i="54" s="1"/>
  <c r="Q12" i="54" s="1"/>
  <c r="F19" i="2"/>
  <c r="EL18" i="2"/>
  <c r="AO20" i="48"/>
  <c r="E38" i="17"/>
  <c r="D38" i="16"/>
  <c r="D53" i="18"/>
  <c r="M34" i="19"/>
  <c r="M8" i="18"/>
  <c r="AK20" i="48"/>
  <c r="K20" i="48"/>
  <c r="S21" i="48"/>
  <c r="AE20" i="48"/>
  <c r="Y20" i="48"/>
  <c r="J40" i="20"/>
  <c r="K56" i="22"/>
  <c r="K57" i="22"/>
  <c r="J45" i="22"/>
  <c r="J51" i="22"/>
  <c r="J41" i="22"/>
  <c r="J48" i="22"/>
  <c r="D39" i="15"/>
  <c r="E39" i="16"/>
  <c r="E45" i="16"/>
  <c r="D45" i="15"/>
  <c r="D43" i="15"/>
  <c r="E43" i="16"/>
  <c r="E42" i="17"/>
  <c r="D42" i="16"/>
  <c r="D52" i="17"/>
  <c r="E50" i="16"/>
  <c r="D50" i="15"/>
  <c r="E51" i="16"/>
  <c r="D51" i="15"/>
  <c r="D48" i="14"/>
  <c r="E48" i="15"/>
  <c r="D40" i="15"/>
  <c r="E40" i="16"/>
  <c r="D44" i="15"/>
  <c r="E44" i="16"/>
  <c r="E46" i="16"/>
  <c r="D46" i="15"/>
  <c r="E41" i="9"/>
  <c r="D41" i="8"/>
  <c r="D47" i="15"/>
  <c r="E47" i="16"/>
  <c r="J37" i="17"/>
  <c r="J39" i="18"/>
  <c r="AC26" i="48"/>
  <c r="Q27" i="48"/>
  <c r="W26" i="48"/>
  <c r="J47" i="17"/>
  <c r="J46" i="16"/>
  <c r="A28" i="1"/>
  <c r="A28" i="2" s="1"/>
  <c r="AI22" i="48"/>
  <c r="M23" i="48"/>
  <c r="AG24" i="48"/>
  <c r="J56" i="15"/>
  <c r="D49" i="13"/>
  <c r="E49" i="14"/>
  <c r="J44" i="17"/>
  <c r="J43" i="16"/>
  <c r="J38" i="13"/>
  <c r="J50" i="14"/>
  <c r="J57" i="37"/>
  <c r="J49" i="7"/>
  <c r="M7" i="14"/>
  <c r="Q41" i="54" l="1"/>
  <c r="Q43" i="54" s="1"/>
  <c r="R11" i="53" s="1"/>
  <c r="O41" i="54"/>
  <c r="O43" i="54" s="1"/>
  <c r="P41" i="54"/>
  <c r="P43" i="54" s="1"/>
  <c r="F20" i="2"/>
  <c r="EL19" i="2"/>
  <c r="AO21" i="48"/>
  <c r="E52" i="17"/>
  <c r="E53" i="17" s="1"/>
  <c r="D38" i="15"/>
  <c r="E38" i="16"/>
  <c r="D53" i="17"/>
  <c r="K56" i="20"/>
  <c r="K57" i="20"/>
  <c r="J51" i="20"/>
  <c r="J45" i="20"/>
  <c r="J40" i="19"/>
  <c r="J41" i="20"/>
  <c r="J48" i="20"/>
  <c r="M34" i="18"/>
  <c r="M8" i="17"/>
  <c r="AK21" i="48"/>
  <c r="Y21" i="48"/>
  <c r="K21" i="48"/>
  <c r="S22" i="48"/>
  <c r="AE21" i="48"/>
  <c r="D45" i="14"/>
  <c r="E45" i="15"/>
  <c r="D39" i="14"/>
  <c r="E39" i="15"/>
  <c r="D43" i="14"/>
  <c r="E43" i="15"/>
  <c r="D42" i="15"/>
  <c r="E42" i="16"/>
  <c r="D52" i="16"/>
  <c r="D50" i="14"/>
  <c r="E50" i="15"/>
  <c r="E44" i="15"/>
  <c r="D44" i="14"/>
  <c r="D40" i="14"/>
  <c r="E40" i="15"/>
  <c r="E48" i="14"/>
  <c r="D48" i="13"/>
  <c r="E51" i="15"/>
  <c r="D51" i="14"/>
  <c r="E41" i="8"/>
  <c r="D41" i="7"/>
  <c r="D46" i="14"/>
  <c r="E46" i="15"/>
  <c r="J39" i="17"/>
  <c r="J37" i="16"/>
  <c r="D47" i="14"/>
  <c r="E47" i="15"/>
  <c r="Q28" i="48"/>
  <c r="AC27" i="48"/>
  <c r="W27" i="48"/>
  <c r="M7" i="13"/>
  <c r="J49" i="6"/>
  <c r="J57" i="4"/>
  <c r="J38" i="12"/>
  <c r="J50" i="13"/>
  <c r="D49" i="12"/>
  <c r="E49" i="13"/>
  <c r="M24" i="48"/>
  <c r="M25" i="48" s="1"/>
  <c r="AI23" i="48"/>
  <c r="J47" i="16"/>
  <c r="J46" i="15"/>
  <c r="J44" i="16"/>
  <c r="J43" i="15"/>
  <c r="J56" i="14"/>
  <c r="AG25" i="48"/>
  <c r="A29" i="1"/>
  <c r="A29" i="2" s="1"/>
  <c r="F21" i="2" l="1"/>
  <c r="EL20" i="2"/>
  <c r="AO22" i="48"/>
  <c r="E52" i="16"/>
  <c r="E53" i="16" s="1"/>
  <c r="E38" i="15"/>
  <c r="D38" i="14"/>
  <c r="D53" i="16"/>
  <c r="AK22" i="48"/>
  <c r="Y22" i="48"/>
  <c r="AE22" i="48"/>
  <c r="K22" i="48"/>
  <c r="S23" i="48"/>
  <c r="M34" i="17"/>
  <c r="M8" i="16"/>
  <c r="J51" i="19"/>
  <c r="K57" i="19"/>
  <c r="J45" i="19"/>
  <c r="J40" i="18"/>
  <c r="J41" i="19"/>
  <c r="K56" i="19"/>
  <c r="J48" i="19"/>
  <c r="E39" i="14"/>
  <c r="D39" i="13"/>
  <c r="E45" i="14"/>
  <c r="D45" i="13"/>
  <c r="E43" i="14"/>
  <c r="D43" i="13"/>
  <c r="E42" i="15"/>
  <c r="D42" i="14"/>
  <c r="D52" i="15"/>
  <c r="E50" i="14"/>
  <c r="D50" i="13"/>
  <c r="D51" i="13"/>
  <c r="E51" i="14"/>
  <c r="E48" i="13"/>
  <c r="D48" i="12"/>
  <c r="E44" i="14"/>
  <c r="D44" i="13"/>
  <c r="D40" i="13"/>
  <c r="E40" i="14"/>
  <c r="E46" i="14"/>
  <c r="D46" i="13"/>
  <c r="E47" i="14"/>
  <c r="D47" i="13"/>
  <c r="J37" i="15"/>
  <c r="J39" i="16"/>
  <c r="D41" i="6"/>
  <c r="E41" i="7"/>
  <c r="Q29" i="48"/>
  <c r="AC28" i="48"/>
  <c r="W28" i="48"/>
  <c r="A30" i="1"/>
  <c r="A30" i="2" s="1"/>
  <c r="AG26" i="48"/>
  <c r="J57" i="43"/>
  <c r="J49" i="37"/>
  <c r="M7" i="12"/>
  <c r="J56" i="13"/>
  <c r="J44" i="15"/>
  <c r="J43" i="14"/>
  <c r="J47" i="15"/>
  <c r="J46" i="14"/>
  <c r="AI24" i="48"/>
  <c r="E49" i="12"/>
  <c r="D49" i="11"/>
  <c r="J38" i="11"/>
  <c r="J50" i="12"/>
  <c r="E52" i="15" l="1"/>
  <c r="E53" i="15" s="1"/>
  <c r="F22" i="2"/>
  <c r="EL21" i="2"/>
  <c r="AO23" i="48"/>
  <c r="D38" i="13"/>
  <c r="E38" i="14"/>
  <c r="D53" i="15"/>
  <c r="Y23" i="48"/>
  <c r="K23" i="48"/>
  <c r="S24" i="48"/>
  <c r="AE23" i="48"/>
  <c r="AK23" i="48"/>
  <c r="J40" i="17"/>
  <c r="K56" i="18"/>
  <c r="K57" i="18"/>
  <c r="J45" i="18"/>
  <c r="J51" i="18"/>
  <c r="J41" i="18"/>
  <c r="J48" i="18"/>
  <c r="M34" i="16"/>
  <c r="M8" i="15"/>
  <c r="E45" i="13"/>
  <c r="D45" i="12"/>
  <c r="E39" i="13"/>
  <c r="D39" i="12"/>
  <c r="D43" i="12"/>
  <c r="E43" i="13"/>
  <c r="D42" i="13"/>
  <c r="E42" i="14"/>
  <c r="D52" i="14"/>
  <c r="E50" i="13"/>
  <c r="D50" i="12"/>
  <c r="E51" i="13"/>
  <c r="D51" i="12"/>
  <c r="E40" i="13"/>
  <c r="D40" i="12"/>
  <c r="E44" i="13"/>
  <c r="D44" i="12"/>
  <c r="E48" i="12"/>
  <c r="D48" i="11"/>
  <c r="D47" i="12"/>
  <c r="E47" i="13"/>
  <c r="D46" i="12"/>
  <c r="E46" i="13"/>
  <c r="D41" i="37"/>
  <c r="E41" i="6"/>
  <c r="J39" i="15"/>
  <c r="J37" i="14"/>
  <c r="Q30" i="48"/>
  <c r="W29" i="48"/>
  <c r="AC29" i="48"/>
  <c r="J38" i="10"/>
  <c r="J50" i="11"/>
  <c r="AI25" i="48"/>
  <c r="M26" i="48"/>
  <c r="J47" i="14"/>
  <c r="J46" i="13"/>
  <c r="J44" i="14"/>
  <c r="J43" i="13"/>
  <c r="J56" i="12"/>
  <c r="M7" i="11"/>
  <c r="A31" i="1"/>
  <c r="A31" i="2" s="1"/>
  <c r="D49" i="10"/>
  <c r="E49" i="11"/>
  <c r="J49" i="4"/>
  <c r="AG27" i="48"/>
  <c r="F23" i="2" l="1"/>
  <c r="EL22" i="2"/>
  <c r="AO24" i="48"/>
  <c r="E52" i="14"/>
  <c r="E53" i="14" s="1"/>
  <c r="E38" i="13"/>
  <c r="D38" i="12"/>
  <c r="D52" i="13"/>
  <c r="D53" i="14"/>
  <c r="M8" i="14"/>
  <c r="M34" i="15"/>
  <c r="J51" i="17"/>
  <c r="J41" i="17"/>
  <c r="J48" i="17"/>
  <c r="J40" i="16"/>
  <c r="K56" i="17"/>
  <c r="K57" i="17"/>
  <c r="J45" i="17"/>
  <c r="AK24" i="48"/>
  <c r="K24" i="48"/>
  <c r="Y24" i="48"/>
  <c r="AE24" i="48"/>
  <c r="S25" i="48"/>
  <c r="D39" i="11"/>
  <c r="E39" i="12"/>
  <c r="D45" i="11"/>
  <c r="E45" i="12"/>
  <c r="E43" i="12"/>
  <c r="D43" i="11"/>
  <c r="D42" i="12"/>
  <c r="E42" i="13"/>
  <c r="D50" i="11"/>
  <c r="E50" i="12"/>
  <c r="D48" i="10"/>
  <c r="E48" i="11"/>
  <c r="D44" i="11"/>
  <c r="E44" i="12"/>
  <c r="D40" i="11"/>
  <c r="E40" i="12"/>
  <c r="D51" i="11"/>
  <c r="E51" i="12"/>
  <c r="J39" i="14"/>
  <c r="J37" i="13"/>
  <c r="D41" i="4"/>
  <c r="E41" i="37"/>
  <c r="D46" i="11"/>
  <c r="E46" i="12"/>
  <c r="E47" i="12"/>
  <c r="D47" i="11"/>
  <c r="W30" i="48"/>
  <c r="AC30" i="48"/>
  <c r="Q31" i="48"/>
  <c r="J49" i="43"/>
  <c r="J47" i="13"/>
  <c r="J46" i="12"/>
  <c r="J38" i="9"/>
  <c r="J50" i="10"/>
  <c r="AG28" i="48"/>
  <c r="E49" i="10"/>
  <c r="D49" i="9"/>
  <c r="A32" i="1"/>
  <c r="A32" i="2" s="1"/>
  <c r="M7" i="10"/>
  <c r="J56" i="11"/>
  <c r="J56" i="10" s="1"/>
  <c r="J44" i="13"/>
  <c r="J43" i="12"/>
  <c r="M27" i="48"/>
  <c r="AI26" i="48"/>
  <c r="E52" i="13" l="1"/>
  <c r="E53" i="13" s="1"/>
  <c r="F24" i="2"/>
  <c r="EL23" i="2"/>
  <c r="AO25" i="48"/>
  <c r="D52" i="12"/>
  <c r="D53" i="12" s="1"/>
  <c r="E38" i="12"/>
  <c r="D38" i="11"/>
  <c r="D53" i="13"/>
  <c r="M8" i="13"/>
  <c r="M34" i="14"/>
  <c r="S26" i="48"/>
  <c r="Y25" i="48"/>
  <c r="K25" i="48"/>
  <c r="AE25" i="48"/>
  <c r="AK25" i="48"/>
  <c r="K57" i="16"/>
  <c r="J41" i="16"/>
  <c r="J48" i="16"/>
  <c r="J40" i="15"/>
  <c r="K56" i="16"/>
  <c r="J51" i="16"/>
  <c r="J45" i="16"/>
  <c r="E45" i="11"/>
  <c r="D45" i="10"/>
  <c r="D39" i="10"/>
  <c r="E39" i="11"/>
  <c r="E43" i="11"/>
  <c r="D43" i="10"/>
  <c r="E42" i="12"/>
  <c r="D42" i="11"/>
  <c r="D50" i="10"/>
  <c r="E50" i="11"/>
  <c r="E51" i="11"/>
  <c r="D51" i="10"/>
  <c r="D40" i="10"/>
  <c r="E40" i="11"/>
  <c r="D44" i="10"/>
  <c r="E44" i="11"/>
  <c r="E48" i="10"/>
  <c r="D48" i="9"/>
  <c r="D47" i="10"/>
  <c r="E47" i="11"/>
  <c r="J37" i="12"/>
  <c r="J39" i="13"/>
  <c r="E46" i="11"/>
  <c r="D46" i="10"/>
  <c r="D41" i="43"/>
  <c r="E41" i="43" s="1"/>
  <c r="E41" i="4"/>
  <c r="Q32" i="48"/>
  <c r="AC31" i="48"/>
  <c r="W31" i="48"/>
  <c r="J44" i="12"/>
  <c r="J43" i="11"/>
  <c r="A33" i="1"/>
  <c r="A33" i="2" s="1"/>
  <c r="AG29" i="48"/>
  <c r="J38" i="8"/>
  <c r="J50" i="9"/>
  <c r="J47" i="12"/>
  <c r="J46" i="11"/>
  <c r="AI27" i="48"/>
  <c r="M28" i="48"/>
  <c r="M7" i="9"/>
  <c r="E49" i="9"/>
  <c r="D49" i="8"/>
  <c r="F25" i="2" l="1"/>
  <c r="EL24" i="2"/>
  <c r="AO26" i="48"/>
  <c r="E52" i="12"/>
  <c r="E53" i="12" s="1"/>
  <c r="D52" i="11"/>
  <c r="D53" i="11" s="1"/>
  <c r="E38" i="11"/>
  <c r="D38" i="10"/>
  <c r="J41" i="15"/>
  <c r="K56" i="15"/>
  <c r="J51" i="15"/>
  <c r="J48" i="15"/>
  <c r="K57" i="15"/>
  <c r="J40" i="14"/>
  <c r="J45" i="15"/>
  <c r="AK26" i="48"/>
  <c r="K26" i="48"/>
  <c r="Y26" i="48"/>
  <c r="AE26" i="48"/>
  <c r="S27" i="48"/>
  <c r="M8" i="12"/>
  <c r="M34" i="13"/>
  <c r="D45" i="9"/>
  <c r="E45" i="10"/>
  <c r="E39" i="10"/>
  <c r="D39" i="9"/>
  <c r="D43" i="9"/>
  <c r="E43" i="10"/>
  <c r="D42" i="10"/>
  <c r="E42" i="11"/>
  <c r="D50" i="9"/>
  <c r="E50" i="10"/>
  <c r="D44" i="9"/>
  <c r="E44" i="10"/>
  <c r="D40" i="9"/>
  <c r="E40" i="10"/>
  <c r="D48" i="8"/>
  <c r="E48" i="9"/>
  <c r="D51" i="9"/>
  <c r="E51" i="10"/>
  <c r="E47" i="10"/>
  <c r="D47" i="9"/>
  <c r="E46" i="10"/>
  <c r="D46" i="9"/>
  <c r="J37" i="11"/>
  <c r="J39" i="12"/>
  <c r="AC32" i="48"/>
  <c r="Q33" i="48"/>
  <c r="W32" i="48"/>
  <c r="M7" i="8"/>
  <c r="E49" i="8"/>
  <c r="D49" i="7"/>
  <c r="M29" i="48"/>
  <c r="AI28" i="48"/>
  <c r="J47" i="11"/>
  <c r="J46" i="10"/>
  <c r="J38" i="7"/>
  <c r="J50" i="8"/>
  <c r="AG30" i="48"/>
  <c r="A34" i="1"/>
  <c r="A34" i="2" s="1"/>
  <c r="J56" i="9"/>
  <c r="J43" i="10"/>
  <c r="J44" i="11"/>
  <c r="F26" i="2" l="1"/>
  <c r="EL25" i="2"/>
  <c r="AO27" i="48"/>
  <c r="E52" i="11"/>
  <c r="E53" i="11" s="1"/>
  <c r="D52" i="10"/>
  <c r="D53" i="10" s="1"/>
  <c r="E38" i="10"/>
  <c r="D38" i="9"/>
  <c r="M8" i="11"/>
  <c r="M34" i="12"/>
  <c r="AE27" i="48"/>
  <c r="K27" i="48"/>
  <c r="S28" i="48"/>
  <c r="Y27" i="48"/>
  <c r="AK27" i="48"/>
  <c r="J40" i="13"/>
  <c r="J41" i="14"/>
  <c r="J48" i="14"/>
  <c r="K56" i="14"/>
  <c r="K57" i="14"/>
  <c r="J51" i="14"/>
  <c r="J45" i="14"/>
  <c r="D39" i="8"/>
  <c r="E39" i="9"/>
  <c r="D45" i="8"/>
  <c r="E45" i="9"/>
  <c r="E43" i="9"/>
  <c r="D43" i="8"/>
  <c r="D42" i="9"/>
  <c r="E42" i="10"/>
  <c r="D50" i="8"/>
  <c r="E50" i="9"/>
  <c r="D51" i="8"/>
  <c r="E51" i="9"/>
  <c r="E48" i="8"/>
  <c r="D48" i="7"/>
  <c r="E40" i="9"/>
  <c r="D40" i="8"/>
  <c r="D44" i="8"/>
  <c r="E44" i="9"/>
  <c r="D46" i="8"/>
  <c r="E46" i="9"/>
  <c r="E47" i="9"/>
  <c r="D47" i="8"/>
  <c r="J37" i="10"/>
  <c r="J39" i="11"/>
  <c r="W33" i="48"/>
  <c r="AC33" i="48"/>
  <c r="Q34" i="48"/>
  <c r="J43" i="9"/>
  <c r="J44" i="10"/>
  <c r="J46" i="9"/>
  <c r="J47" i="10"/>
  <c r="M30" i="48"/>
  <c r="AI29" i="48"/>
  <c r="J56" i="8"/>
  <c r="A35" i="1"/>
  <c r="A35" i="2" s="1"/>
  <c r="AG31" i="48"/>
  <c r="J38" i="6"/>
  <c r="J50" i="7"/>
  <c r="D49" i="6"/>
  <c r="E49" i="7"/>
  <c r="M7" i="7"/>
  <c r="F27" i="2" l="1"/>
  <c r="EL26" i="2"/>
  <c r="AO28" i="48"/>
  <c r="E52" i="10"/>
  <c r="E53" i="10" s="1"/>
  <c r="D52" i="9"/>
  <c r="D53" i="9" s="1"/>
  <c r="E38" i="9"/>
  <c r="D38" i="8"/>
  <c r="J41" i="13"/>
  <c r="K56" i="13"/>
  <c r="K57" i="13"/>
  <c r="J45" i="13"/>
  <c r="J51" i="13"/>
  <c r="J40" i="12"/>
  <c r="J48" i="13"/>
  <c r="M8" i="10"/>
  <c r="M34" i="11"/>
  <c r="AK28" i="48"/>
  <c r="K28" i="48"/>
  <c r="Y28" i="48"/>
  <c r="AE28" i="48"/>
  <c r="S29" i="48"/>
  <c r="D45" i="7"/>
  <c r="E45" i="8"/>
  <c r="E39" i="8"/>
  <c r="D39" i="7"/>
  <c r="D43" i="7"/>
  <c r="E43" i="8"/>
  <c r="D42" i="8"/>
  <c r="E42" i="9"/>
  <c r="E50" i="8"/>
  <c r="D50" i="7"/>
  <c r="E40" i="8"/>
  <c r="D40" i="7"/>
  <c r="D48" i="6"/>
  <c r="E48" i="7"/>
  <c r="D44" i="7"/>
  <c r="E44" i="8"/>
  <c r="E51" i="8"/>
  <c r="D51" i="7"/>
  <c r="J37" i="9"/>
  <c r="J39" i="10"/>
  <c r="E46" i="8"/>
  <c r="D46" i="7"/>
  <c r="E47" i="8"/>
  <c r="D47" i="7"/>
  <c r="Q35" i="48"/>
  <c r="AC34" i="48"/>
  <c r="W34" i="48"/>
  <c r="M7" i="6"/>
  <c r="J56" i="7"/>
  <c r="AI30" i="48"/>
  <c r="M31" i="48"/>
  <c r="J44" i="9"/>
  <c r="J43" i="8"/>
  <c r="D49" i="37"/>
  <c r="E49" i="6"/>
  <c r="J38" i="37"/>
  <c r="J50" i="6"/>
  <c r="AG32" i="48"/>
  <c r="A36" i="1"/>
  <c r="A36" i="2" s="1"/>
  <c r="J47" i="9"/>
  <c r="J46" i="8"/>
  <c r="E52" i="9" l="1"/>
  <c r="E53" i="9" s="1"/>
  <c r="F28" i="2"/>
  <c r="EL27" i="2"/>
  <c r="AO29" i="48"/>
  <c r="D52" i="8"/>
  <c r="D53" i="8" s="1"/>
  <c r="D38" i="7"/>
  <c r="E38" i="8"/>
  <c r="E12" i="54"/>
  <c r="AK29" i="48"/>
  <c r="S30" i="48"/>
  <c r="AE29" i="48"/>
  <c r="K29" i="48"/>
  <c r="Y29" i="48"/>
  <c r="M34" i="10"/>
  <c r="M8" i="9"/>
  <c r="J40" i="11"/>
  <c r="J41" i="12"/>
  <c r="K56" i="12"/>
  <c r="J48" i="12"/>
  <c r="J51" i="12"/>
  <c r="K57" i="12"/>
  <c r="J45" i="12"/>
  <c r="E39" i="7"/>
  <c r="D39" i="6"/>
  <c r="D45" i="6"/>
  <c r="E45" i="7"/>
  <c r="E43" i="7"/>
  <c r="D43" i="6"/>
  <c r="E42" i="8"/>
  <c r="D42" i="7"/>
  <c r="D50" i="6"/>
  <c r="E50" i="7"/>
  <c r="E51" i="7"/>
  <c r="D51" i="6"/>
  <c r="D40" i="6"/>
  <c r="E40" i="7"/>
  <c r="E44" i="7"/>
  <c r="D44" i="6"/>
  <c r="D48" i="37"/>
  <c r="E48" i="6"/>
  <c r="D46" i="6"/>
  <c r="E46" i="7"/>
  <c r="E47" i="7"/>
  <c r="D47" i="6"/>
  <c r="J37" i="8"/>
  <c r="J39" i="9"/>
  <c r="W35" i="48"/>
  <c r="AC35" i="48"/>
  <c r="Q36" i="48"/>
  <c r="J47" i="8"/>
  <c r="J46" i="7"/>
  <c r="A37" i="1"/>
  <c r="A37" i="2" s="1"/>
  <c r="AG33" i="48"/>
  <c r="J38" i="4"/>
  <c r="J50" i="37"/>
  <c r="D49" i="4"/>
  <c r="E49" i="37"/>
  <c r="M7" i="37"/>
  <c r="J43" i="7"/>
  <c r="J44" i="8"/>
  <c r="AI31" i="48"/>
  <c r="M32" i="48"/>
  <c r="J56" i="6"/>
  <c r="F29" i="2" l="1"/>
  <c r="EL28" i="2"/>
  <c r="AO30" i="48"/>
  <c r="E52" i="8"/>
  <c r="E53" i="8" s="1"/>
  <c r="D38" i="6"/>
  <c r="E38" i="7"/>
  <c r="F12" i="54"/>
  <c r="E13" i="54"/>
  <c r="F13" i="54" s="1"/>
  <c r="G13" i="54" s="1"/>
  <c r="E14" i="54"/>
  <c r="F14" i="54" s="1"/>
  <c r="G14" i="54" s="1"/>
  <c r="H14" i="54" s="1"/>
  <c r="J2" i="53"/>
  <c r="J41" i="11"/>
  <c r="J40" i="10"/>
  <c r="J48" i="11"/>
  <c r="K56" i="11"/>
  <c r="J51" i="11"/>
  <c r="K57" i="11"/>
  <c r="J45" i="11"/>
  <c r="AK30" i="48"/>
  <c r="K30" i="48"/>
  <c r="AE30" i="48"/>
  <c r="Y30" i="48"/>
  <c r="S31" i="48"/>
  <c r="M8" i="8"/>
  <c r="M34" i="9"/>
  <c r="D39" i="37"/>
  <c r="E39" i="6"/>
  <c r="D45" i="37"/>
  <c r="E45" i="6"/>
  <c r="E43" i="6"/>
  <c r="D43" i="37"/>
  <c r="E42" i="7"/>
  <c r="D42" i="6"/>
  <c r="D52" i="7"/>
  <c r="D50" i="37"/>
  <c r="E50" i="6"/>
  <c r="D44" i="37"/>
  <c r="E44" i="6"/>
  <c r="E51" i="6"/>
  <c r="D51" i="37"/>
  <c r="E48" i="37"/>
  <c r="D48" i="4"/>
  <c r="E40" i="6"/>
  <c r="D40" i="37"/>
  <c r="J37" i="7"/>
  <c r="J39" i="8"/>
  <c r="D47" i="37"/>
  <c r="E47" i="6"/>
  <c r="D46" i="37"/>
  <c r="E46" i="6"/>
  <c r="Q37" i="48"/>
  <c r="AC36" i="48"/>
  <c r="W36" i="48"/>
  <c r="J56" i="37"/>
  <c r="AI32" i="48"/>
  <c r="M33" i="48"/>
  <c r="J43" i="6"/>
  <c r="J44" i="7"/>
  <c r="M7" i="4"/>
  <c r="D49" i="43"/>
  <c r="E49" i="43" s="1"/>
  <c r="E49" i="4"/>
  <c r="J38" i="43"/>
  <c r="J50" i="4"/>
  <c r="AG34" i="48"/>
  <c r="A38" i="1"/>
  <c r="A38" i="2" s="1"/>
  <c r="J47" i="7"/>
  <c r="J46" i="6"/>
  <c r="E52" i="7" l="1"/>
  <c r="E53" i="7" s="1"/>
  <c r="F30" i="2"/>
  <c r="EL29" i="2"/>
  <c r="AO31" i="48"/>
  <c r="D38" i="37"/>
  <c r="E38" i="6"/>
  <c r="E41" i="54"/>
  <c r="G12" i="54"/>
  <c r="F41" i="54"/>
  <c r="F43" i="54" s="1"/>
  <c r="D53" i="7"/>
  <c r="J4" i="53"/>
  <c r="J3" i="53"/>
  <c r="J50" i="43"/>
  <c r="M8" i="7"/>
  <c r="M34" i="8"/>
  <c r="K31" i="48"/>
  <c r="S32" i="48"/>
  <c r="AE31" i="48"/>
  <c r="Y31" i="48"/>
  <c r="AK31" i="48"/>
  <c r="J41" i="10"/>
  <c r="K56" i="10"/>
  <c r="K57" i="10"/>
  <c r="J45" i="10"/>
  <c r="J51" i="10"/>
  <c r="J40" i="9"/>
  <c r="J48" i="10"/>
  <c r="E45" i="37"/>
  <c r="D45" i="4"/>
  <c r="E39" i="37"/>
  <c r="D39" i="4"/>
  <c r="E43" i="37"/>
  <c r="D43" i="4"/>
  <c r="D42" i="37"/>
  <c r="E42" i="6"/>
  <c r="D52" i="6"/>
  <c r="E50" i="37"/>
  <c r="D50" i="4"/>
  <c r="D40" i="4"/>
  <c r="E40" i="37"/>
  <c r="E48" i="4"/>
  <c r="D48" i="43"/>
  <c r="E48" i="43" s="1"/>
  <c r="E51" i="37"/>
  <c r="D51" i="4"/>
  <c r="E44" i="37"/>
  <c r="D44" i="4"/>
  <c r="J39" i="7"/>
  <c r="J37" i="6"/>
  <c r="D46" i="4"/>
  <c r="E46" i="37"/>
  <c r="D47" i="4"/>
  <c r="E47" i="37"/>
  <c r="AC37" i="48"/>
  <c r="Q38" i="48"/>
  <c r="W37" i="48"/>
  <c r="A39" i="1"/>
  <c r="A39" i="2" s="1"/>
  <c r="J44" i="6"/>
  <c r="J43" i="37"/>
  <c r="J47" i="6"/>
  <c r="J46" i="37"/>
  <c r="AG35" i="48"/>
  <c r="M7" i="43"/>
  <c r="AI33" i="48"/>
  <c r="M34" i="48"/>
  <c r="J56" i="4"/>
  <c r="D52" i="37" l="1"/>
  <c r="D53" i="37" s="1"/>
  <c r="E52" i="6"/>
  <c r="E53" i="6" s="1"/>
  <c r="F31" i="2"/>
  <c r="EL30" i="2"/>
  <c r="AO32" i="48"/>
  <c r="E38" i="37"/>
  <c r="D38" i="4"/>
  <c r="H12" i="54"/>
  <c r="H41" i="54" s="1"/>
  <c r="H43" i="54" s="1"/>
  <c r="G11" i="53" s="1"/>
  <c r="G41" i="54"/>
  <c r="G43" i="54" s="1"/>
  <c r="D53" i="6"/>
  <c r="K57" i="9"/>
  <c r="J40" i="8"/>
  <c r="J45" i="9"/>
  <c r="J41" i="9"/>
  <c r="K56" i="9"/>
  <c r="J51" i="9"/>
  <c r="J48" i="9"/>
  <c r="M8" i="6"/>
  <c r="M34" i="7"/>
  <c r="AK32" i="48"/>
  <c r="K32" i="48"/>
  <c r="AE32" i="48"/>
  <c r="S33" i="48"/>
  <c r="Y32" i="48"/>
  <c r="E39" i="4"/>
  <c r="D39" i="43"/>
  <c r="E39" i="43" s="1"/>
  <c r="E45" i="4"/>
  <c r="D45" i="43"/>
  <c r="E45" i="43" s="1"/>
  <c r="E43" i="4"/>
  <c r="D43" i="43"/>
  <c r="E43" i="43" s="1"/>
  <c r="E42" i="37"/>
  <c r="D42" i="4"/>
  <c r="E50" i="4"/>
  <c r="D50" i="43"/>
  <c r="E50" i="43" s="1"/>
  <c r="D44" i="43"/>
  <c r="E44" i="43" s="1"/>
  <c r="E44" i="4"/>
  <c r="E40" i="4"/>
  <c r="D40" i="43"/>
  <c r="E40" i="43" s="1"/>
  <c r="D51" i="43"/>
  <c r="E51" i="43" s="1"/>
  <c r="E51" i="4"/>
  <c r="E46" i="4"/>
  <c r="D46" i="43"/>
  <c r="E46" i="43" s="1"/>
  <c r="J39" i="6"/>
  <c r="J37" i="37"/>
  <c r="E47" i="4"/>
  <c r="D47" i="43"/>
  <c r="E47" i="43" s="1"/>
  <c r="AC38" i="48"/>
  <c r="Q39" i="48"/>
  <c r="W38" i="48"/>
  <c r="AI34" i="48"/>
  <c r="M35" i="48"/>
  <c r="AG36" i="48"/>
  <c r="J47" i="37"/>
  <c r="J46" i="4"/>
  <c r="A40" i="1"/>
  <c r="A40" i="2" s="1"/>
  <c r="J56" i="43"/>
  <c r="J43" i="4"/>
  <c r="J44" i="37"/>
  <c r="Z157" i="56" l="1"/>
  <c r="Z157" i="55"/>
  <c r="E52" i="37"/>
  <c r="E53" i="37" s="1"/>
  <c r="F32" i="2"/>
  <c r="EL31" i="2"/>
  <c r="AO33" i="48"/>
  <c r="E38" i="4"/>
  <c r="D38" i="43"/>
  <c r="E38" i="43" s="1"/>
  <c r="M34" i="6"/>
  <c r="M8" i="37"/>
  <c r="J41" i="8"/>
  <c r="J40" i="7"/>
  <c r="J48" i="8"/>
  <c r="K56" i="8"/>
  <c r="K57" i="8"/>
  <c r="J51" i="8"/>
  <c r="J45" i="8"/>
  <c r="AK33" i="48"/>
  <c r="K33" i="48"/>
  <c r="AE33" i="48"/>
  <c r="Y33" i="48"/>
  <c r="S34" i="48"/>
  <c r="E42" i="4"/>
  <c r="D42" i="43"/>
  <c r="D52" i="4"/>
  <c r="D53" i="4" s="1"/>
  <c r="J39" i="37"/>
  <c r="J37" i="4"/>
  <c r="AC39" i="48"/>
  <c r="W39" i="48"/>
  <c r="J44" i="4"/>
  <c r="J43" i="43"/>
  <c r="J46" i="43"/>
  <c r="J47" i="4"/>
  <c r="AG37" i="48"/>
  <c r="M36" i="48"/>
  <c r="AI35" i="48"/>
  <c r="E52" i="4" l="1"/>
  <c r="E53" i="4" s="1"/>
  <c r="F33" i="2"/>
  <c r="EL32" i="2"/>
  <c r="AO34" i="48"/>
  <c r="AK34" i="48"/>
  <c r="S35" i="48"/>
  <c r="K34" i="48"/>
  <c r="AE34" i="48"/>
  <c r="Y34" i="48"/>
  <c r="J41" i="7"/>
  <c r="K56" i="7"/>
  <c r="J51" i="7"/>
  <c r="J45" i="7"/>
  <c r="K57" i="7"/>
  <c r="J40" i="6"/>
  <c r="J48" i="7"/>
  <c r="M34" i="37"/>
  <c r="M8" i="4"/>
  <c r="E42" i="43"/>
  <c r="E52" i="43" s="1"/>
  <c r="E53" i="43" s="1"/>
  <c r="D52" i="43"/>
  <c r="D53" i="43" s="1"/>
  <c r="J39" i="4"/>
  <c r="J37" i="43"/>
  <c r="J39" i="43" s="1"/>
  <c r="AI36" i="48"/>
  <c r="M37" i="48"/>
  <c r="AG38" i="48"/>
  <c r="J47" i="43"/>
  <c r="J44" i="43"/>
  <c r="F34" i="2" l="1"/>
  <c r="EL33" i="2"/>
  <c r="AO35" i="48"/>
  <c r="K56" i="6"/>
  <c r="J51" i="6"/>
  <c r="K57" i="6"/>
  <c r="J45" i="6"/>
  <c r="J40" i="37"/>
  <c r="J41" i="6"/>
  <c r="J48" i="6"/>
  <c r="AK35" i="48"/>
  <c r="K35" i="48"/>
  <c r="AE35" i="48"/>
  <c r="S36" i="48"/>
  <c r="Y35" i="48"/>
  <c r="M8" i="43"/>
  <c r="M34" i="43" s="1"/>
  <c r="M34" i="4"/>
  <c r="AG39" i="48"/>
  <c r="AI37" i="48"/>
  <c r="M38" i="48"/>
  <c r="W157" i="56" l="1"/>
  <c r="W157" i="55"/>
  <c r="F35" i="2"/>
  <c r="EL34" i="2"/>
  <c r="AO36" i="48"/>
  <c r="AK36" i="48"/>
  <c r="S37" i="48"/>
  <c r="K36" i="48"/>
  <c r="Y36" i="48"/>
  <c r="AE36" i="48"/>
  <c r="J51" i="37"/>
  <c r="J40" i="4"/>
  <c r="J48" i="37"/>
  <c r="J41" i="37"/>
  <c r="K56" i="37"/>
  <c r="K57" i="37"/>
  <c r="J45" i="37"/>
  <c r="M39" i="48"/>
  <c r="AI38" i="48"/>
  <c r="F36" i="2" l="1"/>
  <c r="EL35" i="2"/>
  <c r="AO37" i="48"/>
  <c r="J41" i="4"/>
  <c r="J40" i="43"/>
  <c r="K56" i="4"/>
  <c r="J48" i="4"/>
  <c r="J51" i="4"/>
  <c r="K57" i="4"/>
  <c r="J45" i="4"/>
  <c r="AK37" i="48"/>
  <c r="K37" i="48"/>
  <c r="AE37" i="48"/>
  <c r="S38" i="48"/>
  <c r="Y37" i="48"/>
  <c r="AI39" i="48"/>
  <c r="F37" i="2" l="1"/>
  <c r="EL36" i="2"/>
  <c r="AO38" i="48"/>
  <c r="AK38" i="48"/>
  <c r="K38" i="48"/>
  <c r="Y38" i="48"/>
  <c r="AE38" i="48"/>
  <c r="S39" i="48"/>
  <c r="K56" i="43"/>
  <c r="J51" i="43"/>
  <c r="J48" i="43"/>
  <c r="J41" i="43"/>
  <c r="K57" i="43"/>
  <c r="J45" i="43"/>
  <c r="F38" i="2" l="1"/>
  <c r="EL37" i="2"/>
  <c r="AO39" i="48"/>
  <c r="AK39" i="48"/>
  <c r="AE39" i="48"/>
  <c r="K39" i="48"/>
  <c r="Y39" i="48"/>
  <c r="F39" i="2" l="1"/>
  <c r="EL38" i="2"/>
  <c r="EL39" i="2" l="1"/>
  <c r="F40" i="2"/>
  <c r="EL40" i="2" s="1"/>
</calcChain>
</file>

<file path=xl/comments1.xml><?xml version="1.0" encoding="utf-8"?>
<comments xmlns="http://schemas.openxmlformats.org/spreadsheetml/2006/main">
  <authors>
    <author>win10</author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Papertech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Papertech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Tissue Connect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Tissue Connect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Tranzonic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Tranzonic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Jemar &amp; Indo paper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Jemar &amp; Indo paper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Jemar &amp; Indo paper</t>
        </r>
      </text>
    </comment>
    <comment ref="H34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HKM &amp; CVT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Pingguan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 &amp; FG Purchasing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Purchasing
FG Morcon M-99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Purchasing
FG Morcon M-99</t>
        </r>
      </text>
    </comment>
    <comment ref="H5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54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
FG P1</t>
        </r>
      </text>
    </comment>
    <comment ref="H55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Well Care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Purchasing</t>
        </r>
      </text>
    </comment>
    <comment ref="H60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3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4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7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72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
Thickness 85</t>
        </r>
      </text>
    </comment>
    <comment ref="H7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
Thickness 85</t>
        </r>
      </text>
    </comment>
    <comment ref="H7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5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3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4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2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3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6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11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15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1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20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23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24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2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2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3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32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5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6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</commentList>
</comments>
</file>

<file path=xl/comments2.xml><?xml version="1.0" encoding="utf-8"?>
<comments xmlns="http://schemas.openxmlformats.org/spreadsheetml/2006/main">
  <authors>
    <author>win10</author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Papertech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Papertech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Tissue Connect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Tissue Connect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Tranzonic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Tranzonic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Jemar &amp; Indo paper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Jemar &amp; Indo paper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Jemar &amp; Indo paper</t>
        </r>
      </text>
    </comment>
    <comment ref="H34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HKM &amp; CVT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Pingguan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Morcon &amp; FG Purchasing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Purchasing
FG Morcon M-99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Purchasing
FG Morcon M-99</t>
        </r>
      </text>
    </comment>
    <comment ref="H5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54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
FG P1</t>
        </r>
      </text>
    </comment>
    <comment ref="H55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Well Care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Prod PM:</t>
        </r>
        <r>
          <rPr>
            <sz val="9"/>
            <color indexed="81"/>
            <rFont val="Tahoma"/>
            <family val="2"/>
          </rPr>
          <t xml:space="preserve">
FG Purchasing</t>
        </r>
      </text>
    </comment>
    <comment ref="H60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3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4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6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7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72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
Thickness 85</t>
        </r>
      </text>
    </comment>
    <comment ref="H7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Spek Khusus
Thickness 85</t>
        </r>
      </text>
    </comment>
    <comment ref="H7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5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8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3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4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9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2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3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6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0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CVT</t>
        </r>
      </text>
    </comment>
    <comment ref="H11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15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19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23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24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27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28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31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HKM</t>
        </r>
      </text>
    </comment>
    <comment ref="H132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5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136" authorId="1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</commentList>
</comments>
</file>

<file path=xl/sharedStrings.xml><?xml version="1.0" encoding="utf-8"?>
<sst xmlns="http://schemas.openxmlformats.org/spreadsheetml/2006/main" count="6179" uniqueCount="907">
  <si>
    <t xml:space="preserve">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</si>
  <si>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</si>
  <si>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</si>
  <si>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</si>
  <si>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</si>
  <si>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</si>
  <si>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</si>
  <si>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</si>
  <si>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</si>
  <si>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</si>
  <si>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</si>
  <si>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</si>
  <si>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</si>
  <si>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</si>
  <si>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</si>
  <si>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</si>
  <si>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</si>
  <si>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</si>
  <si>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</si>
  <si>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</si>
  <si>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</si>
  <si>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</si>
  <si>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</si>
  <si>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</si>
  <si>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</si>
  <si>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</si>
  <si>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</si>
  <si>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</si>
  <si>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</si>
  <si>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</si>
  <si>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</si>
  <si>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</si>
  <si>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</si>
  <si>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</si>
  <si>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</si>
  <si>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</si>
  <si>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</si>
  <si>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</si>
  <si>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</si>
  <si>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</si>
  <si>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</si>
  <si>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ASPA</t>
  </si>
  <si>
    <t>HINTON</t>
  </si>
  <si>
    <t>BOISE</t>
  </si>
  <si>
    <t>HARMAC</t>
  </si>
  <si>
    <t>ENOPINE</t>
  </si>
  <si>
    <t>NBKP STENDAL</t>
  </si>
  <si>
    <t>NBKP SODRA BLUE</t>
  </si>
  <si>
    <t>NBKP CLEAR WATER</t>
  </si>
  <si>
    <t>NBKP OREGON</t>
  </si>
  <si>
    <t>NBKP OULUPIN</t>
  </si>
  <si>
    <t>TOTAL NBKP</t>
  </si>
  <si>
    <t>LBKP Gajah Mas</t>
  </si>
  <si>
    <t>LBKP BAGAS</t>
  </si>
  <si>
    <t>LBKP RAPP MHW</t>
  </si>
  <si>
    <t>BCTMP ROTTNEROS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</si>
  <si>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</si>
  <si>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</si>
  <si>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</si>
  <si>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</si>
  <si>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</si>
  <si>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</si>
  <si>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</si>
  <si>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</si>
  <si>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</si>
  <si>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</si>
  <si>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</si>
  <si>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</si>
  <si>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</si>
  <si>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</si>
  <si>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</si>
  <si>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</si>
  <si>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</si>
  <si>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</si>
  <si>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</si>
  <si>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</si>
  <si>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</si>
  <si>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</si>
  <si>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</si>
  <si>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</si>
  <si>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</si>
  <si>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</si>
  <si>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</si>
  <si>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</si>
  <si>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</si>
  <si>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</si>
  <si>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</si>
  <si>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</si>
  <si>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</si>
  <si>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</si>
  <si>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</si>
  <si>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</si>
  <si>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</si>
  <si>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</si>
  <si>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</si>
  <si>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</si>
  <si>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</si>
  <si>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</si>
  <si>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</si>
  <si>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</si>
  <si>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</si>
  <si>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</si>
  <si>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</si>
  <si>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LBKP Astra Cell</t>
  </si>
  <si>
    <t>NBKP HIBRIT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</si>
  <si>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</si>
  <si>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</si>
  <si>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</si>
  <si>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</si>
  <si>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</si>
  <si>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</si>
  <si>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</si>
  <si>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</si>
  <si>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</si>
  <si>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</si>
  <si>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</si>
  <si>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</si>
  <si>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</si>
  <si>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</si>
  <si>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</si>
  <si>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</si>
  <si>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</si>
  <si>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</si>
  <si>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</si>
  <si>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</si>
  <si>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</si>
  <si>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</si>
  <si>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</si>
  <si>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</si>
  <si>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</si>
  <si>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</si>
  <si>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</si>
  <si>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</si>
  <si>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</si>
  <si>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</si>
  <si>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</si>
  <si>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</si>
  <si>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</si>
  <si>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</si>
  <si>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</si>
  <si>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</si>
  <si>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</si>
  <si>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</si>
  <si>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</si>
  <si>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</si>
  <si>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</si>
  <si>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</si>
  <si>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</si>
  <si>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</si>
  <si>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</si>
  <si>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</si>
  <si>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</si>
  <si>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</si>
  <si>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</si>
  <si>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</si>
  <si>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</si>
  <si>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</si>
  <si>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</si>
  <si>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</si>
  <si>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MONDE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</si>
  <si>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</si>
  <si>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</si>
  <si>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</si>
  <si>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</si>
  <si>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</si>
  <si>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</si>
  <si>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</si>
  <si>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</si>
  <si>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</si>
  <si>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</si>
  <si>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</si>
  <si>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</si>
  <si>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</si>
  <si>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</si>
  <si>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</si>
  <si>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</si>
  <si>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</si>
  <si>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</si>
  <si>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</si>
  <si>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</si>
  <si>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</si>
  <si>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</si>
  <si>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</si>
  <si>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</si>
  <si>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</si>
  <si>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</si>
  <si>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</si>
  <si>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</si>
  <si>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</si>
  <si>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</si>
  <si>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</si>
  <si>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</si>
  <si>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</si>
  <si>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</si>
  <si>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</si>
  <si>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</si>
  <si>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</si>
  <si>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</si>
  <si>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</si>
  <si>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</si>
  <si>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</si>
  <si>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</si>
  <si>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</si>
  <si>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</si>
  <si>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</si>
  <si>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</si>
  <si>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</si>
  <si>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</si>
  <si>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</si>
  <si>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</si>
  <si>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</si>
  <si>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Baklog</t>
  </si>
  <si>
    <t>Sisa spool popereel</t>
  </si>
  <si>
    <t>Pending</t>
  </si>
  <si>
    <t>Ngelokor</t>
  </si>
  <si>
    <t>Keriput</t>
  </si>
  <si>
    <t>Potongan jelek</t>
  </si>
  <si>
    <t>Hole</t>
  </si>
  <si>
    <t>Kertas sobek pinggir</t>
  </si>
  <si>
    <t>Joint</t>
  </si>
  <si>
    <t>Jumbo gandeng</t>
  </si>
  <si>
    <t>Formasi jelek</t>
  </si>
  <si>
    <t>MDT &lt; std</t>
  </si>
  <si>
    <t>Lembab</t>
  </si>
  <si>
    <t>Diameter &lt; std</t>
  </si>
  <si>
    <t>Bw &lt; std</t>
  </si>
  <si>
    <t>Bulky &lt; std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</si>
  <si>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</si>
  <si>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</si>
  <si>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</si>
  <si>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</si>
  <si>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</si>
  <si>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</si>
  <si>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</si>
  <si>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PAPER MACHINE 16 DAILY REPORT 1</t>
  </si>
  <si>
    <t>PM 16</t>
  </si>
  <si>
    <t>TISSUE MACHINE 16</t>
  </si>
  <si>
    <t>Total PM16</t>
  </si>
  <si>
    <t>SODRA</t>
  </si>
  <si>
    <t>Nyoman Mariasa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</si>
  <si>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</si>
  <si>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</si>
  <si>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</si>
  <si>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</si>
  <si>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</si>
  <si>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</si>
  <si>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Sheet Breaks</t>
  </si>
  <si>
    <t>Loss Time Process</t>
  </si>
  <si>
    <t>Change Blade</t>
  </si>
  <si>
    <t>Estimasi RBP &amp; Backlog</t>
  </si>
  <si>
    <t>Change Spool</t>
  </si>
  <si>
    <t>Estimasi Basic Weight</t>
  </si>
  <si>
    <t>Loss Time Mekanik</t>
  </si>
  <si>
    <t>Loss Speed</t>
  </si>
  <si>
    <t>Scheduled Shut Down</t>
  </si>
  <si>
    <t>Theory with Available Time (ton)</t>
  </si>
  <si>
    <t>Total LT/DT (mins)</t>
  </si>
  <si>
    <t>Total LT/DT (ton)</t>
  </si>
  <si>
    <t>LT/DT Percentage</t>
  </si>
  <si>
    <t>Down Time EID</t>
  </si>
  <si>
    <t>Down Time Mekanik</t>
  </si>
  <si>
    <t>Sinergy</t>
  </si>
  <si>
    <t>PM 16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</si>
  <si>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</si>
  <si>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</si>
  <si>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</si>
  <si>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</si>
  <si>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</si>
  <si>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</si>
  <si>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</si>
  <si>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</si>
  <si>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</si>
  <si>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</si>
  <si>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Reject Broke Plant</t>
  </si>
  <si>
    <t>Basic Weight Estimation</t>
  </si>
  <si>
    <t>Down Time Process</t>
  </si>
  <si>
    <t>Loss Time Change Grade</t>
  </si>
  <si>
    <t>Change Grade</t>
  </si>
  <si>
    <t>Maintenance</t>
  </si>
  <si>
    <t>Loss Time EID</t>
  </si>
  <si>
    <t>Tonase</t>
  </si>
  <si>
    <t>Prosentase</t>
  </si>
  <si>
    <t>Total Prosentase</t>
  </si>
  <si>
    <t>Gripis</t>
  </si>
  <si>
    <t>Warisan</t>
  </si>
  <si>
    <t>Dirt</t>
  </si>
  <si>
    <t>MERCER</t>
  </si>
  <si>
    <t>PULP AND BROKE DAILY REPORT PM 16</t>
  </si>
  <si>
    <t>CHEMICAL DAILY REPORT PM 16</t>
  </si>
  <si>
    <t>Marketing</t>
  </si>
  <si>
    <t>Loss time</t>
  </si>
  <si>
    <t>Down Time</t>
  </si>
  <si>
    <t>SINERGY</t>
  </si>
  <si>
    <t>Backlog</t>
  </si>
  <si>
    <t>awal bulan produksi MG mengikuti real speed karea usia felt sudah 7minggu</t>
  </si>
  <si>
    <t>NB : info pak hartono untuk napkin + towel speed 1600mpm, gsm tinggi 92ton(&gt;17)</t>
  </si>
  <si>
    <t>Loss Time Marketing</t>
  </si>
  <si>
    <t>VP OW</t>
  </si>
  <si>
    <t>MCC</t>
  </si>
  <si>
    <t>Drive Panel</t>
  </si>
  <si>
    <t>Aux Panel</t>
  </si>
  <si>
    <t>Stock Prep</t>
  </si>
  <si>
    <t>Pulper</t>
  </si>
  <si>
    <t>Kehilangan Effisiensi PM 16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</si>
  <si>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</si>
  <si>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</si>
  <si>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</si>
  <si>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</si>
  <si>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</si>
  <si>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</si>
  <si>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</si>
  <si>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</si>
  <si>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</si>
  <si>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</si>
  <si>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</si>
  <si>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</si>
  <si>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</si>
  <si>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</si>
  <si>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</si>
  <si>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</si>
  <si>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</si>
  <si>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</si>
  <si>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</si>
  <si>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</si>
  <si>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</si>
  <si>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</si>
  <si>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</si>
  <si>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</si>
  <si>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</si>
  <si>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</si>
  <si>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</si>
  <si>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</si>
  <si>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</si>
  <si>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</si>
  <si>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</si>
  <si>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</si>
  <si>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</si>
  <si>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</si>
  <si>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</si>
  <si>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</si>
  <si>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</si>
  <si>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</si>
  <si>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</si>
  <si>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</si>
  <si>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</si>
  <si>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</si>
  <si>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</si>
  <si>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</si>
  <si>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</si>
  <si>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</si>
  <si>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</si>
  <si>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</si>
  <si>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</si>
  <si>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</si>
  <si>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</si>
  <si>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</si>
  <si>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</si>
  <si>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</si>
  <si>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</si>
  <si>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</si>
  <si>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</si>
  <si>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</si>
  <si>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</si>
  <si>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</si>
  <si>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</si>
  <si>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</si>
  <si>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</si>
  <si>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</si>
  <si>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</si>
  <si>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16 Running Time</t>
  </si>
  <si>
    <t>Running</t>
  </si>
  <si>
    <t>Down Time PLN</t>
  </si>
  <si>
    <t xml:space="preserve">Kapasitas Running (ton) </t>
  </si>
  <si>
    <t>Eff FG vs Target  Running(%)</t>
  </si>
  <si>
    <t>Dimas Selgi</t>
  </si>
  <si>
    <t>NBKP KORAB/SCA</t>
  </si>
  <si>
    <t>NBKP HOWE/HSPP</t>
  </si>
  <si>
    <t>Chest Akhir</t>
  </si>
  <si>
    <t xml:space="preserve">Sisa spool seset </t>
  </si>
  <si>
    <t>Sisa spool rewinder</t>
  </si>
  <si>
    <t>Setting potongan</t>
  </si>
  <si>
    <t>Seset cek QC</t>
  </si>
  <si>
    <t>Gelombang</t>
  </si>
  <si>
    <t>Soping</t>
  </si>
  <si>
    <t>Potongan Serabut</t>
  </si>
  <si>
    <t>Setting slitter</t>
  </si>
  <si>
    <t>Crushing</t>
  </si>
  <si>
    <t>Thickness kurang</t>
  </si>
  <si>
    <t>Potongan lari-lari</t>
  </si>
  <si>
    <t>Reject roll</t>
  </si>
  <si>
    <t>Warna kehijauan</t>
  </si>
  <si>
    <t>Putra Radian RAP</t>
  </si>
  <si>
    <t>Gulungan lari-lari</t>
  </si>
  <si>
    <t>NBKP Catalyst/Crafton</t>
  </si>
  <si>
    <t>.01.23</t>
  </si>
  <si>
    <t>0</t>
  </si>
  <si>
    <t>- Change Blade (4x)</t>
  </si>
  <si>
    <t>LBKP TEL PELITA/TEL PRIME</t>
  </si>
  <si>
    <t>F 12.5 VP OW</t>
  </si>
  <si>
    <t>F 13 VP OW</t>
  </si>
  <si>
    <t>F13 HB</t>
  </si>
  <si>
    <t>SS</t>
  </si>
  <si>
    <t>PHP PM</t>
  </si>
  <si>
    <t xml:space="preserve">PM16 Efficiency Running Report </t>
  </si>
  <si>
    <t>- Sheet Breaks (0x)</t>
  </si>
  <si>
    <t>- Change Blade (5x)</t>
  </si>
  <si>
    <t>Steam, &amp; gangguan sinergy (X)</t>
  </si>
  <si>
    <t>Freq, Trip PLN (X)</t>
  </si>
  <si>
    <t>Cleaning Holes (X)</t>
  </si>
  <si>
    <t>Per hari</t>
  </si>
  <si>
    <t>LBKP CAKRAWALA/GHN</t>
  </si>
  <si>
    <t>EBKP GHN/CAKRAWALA</t>
  </si>
  <si>
    <t>BROKE</t>
  </si>
  <si>
    <t>- Change Spool (10x)</t>
  </si>
  <si>
    <t>- Awal shift PM prod T12.5 (FG Morcon) 1250 mpm /-24%</t>
  </si>
  <si>
    <t>Abd Syuhud</t>
  </si>
  <si>
    <t>Toilet</t>
  </si>
  <si>
    <t>OKTOBER</t>
  </si>
  <si>
    <t>- Cleaning semprot felt-wire dari sisa karat
- cleaning couch pit</t>
  </si>
  <si>
    <t>-  EID perbaikan Motor dilution
- EID perbaikan Motor circulation dan exhaust hood.</t>
  </si>
  <si>
    <t>- 14:39 proses heating yankee</t>
  </si>
  <si>
    <t xml:space="preserve">- 15.00 persiapan jalan </t>
  </si>
  <si>
    <t>- 16.05 On reel PM prod T12.5 (FG Morcon) 1250 mpm /-24%</t>
  </si>
  <si>
    <t>1250/950</t>
  </si>
  <si>
    <t>1145/870</t>
  </si>
  <si>
    <t>1193/907</t>
  </si>
  <si>
    <t>- Change Blade (0x)</t>
  </si>
  <si>
    <t>- Change Spool (0x)</t>
  </si>
  <si>
    <t>- Change Spool (8x)</t>
  </si>
  <si>
    <t>- Change Blade (9x)</t>
  </si>
  <si>
    <t>- Change Spool (18x)</t>
  </si>
  <si>
    <t>T 12,5 VP OW</t>
  </si>
  <si>
    <t>T 15 VP OW</t>
  </si>
  <si>
    <t>12,5/15</t>
  </si>
  <si>
    <t>T 12,5</t>
  </si>
  <si>
    <t>T 15</t>
  </si>
  <si>
    <t>275*2</t>
  </si>
  <si>
    <t>213+43+19</t>
  </si>
  <si>
    <t>07:00 awal shift pm stop perbaikan jalur pipa steam
- siram felt 2 jam sekali
- Cleaning suction zone hood dari tepi  FS. 
- Cleaning HE  dengan air dan angin</t>
  </si>
  <si>
    <t>- Awal shift pm stop perbaikan jalur pipa steam</t>
  </si>
  <si>
    <t>PM stop perbaikan jalur pipa steam</t>
  </si>
  <si>
    <t xml:space="preserve">- 07.30 cleaning hood dan all shower
- 07.50 flushing all shower </t>
  </si>
  <si>
    <t>- 12.04 cleaning hood dan all shower</t>
  </si>
  <si>
    <t>- 17.20 Ganti blade &amp; Cleaning</t>
  </si>
  <si>
    <t>- 19.15 Ganti blade &amp; Cleaning Hood</t>
  </si>
  <si>
    <t>- 21.05 Ganti blade &amp; Cleaning</t>
  </si>
  <si>
    <t>- Hood wet posisi open ( rawan hole kondensasi ).
- 23.05 Ganti blade &amp; Cleaning  ( pakai blade sudut 83°.
- PM sering putus",
- 23.55 Ganti blade ( kembali pakai sudut 85°,</t>
  </si>
  <si>
    <t>- PM mulai stabil.
- 01.20 Ganti blade &amp; Cleaning
- 02.25 Ganti blade &amp; Cleaning
- 04.05 Ganti blade &amp; Cleaning</t>
  </si>
  <si>
    <t>- 05.00 Amisoft on.
- 05.45 Wsr off.</t>
  </si>
  <si>
    <t>- 12.02 speed naik ke 1120 mpm</t>
  </si>
  <si>
    <t>1120/854</t>
  </si>
  <si>
    <t>1120/873</t>
  </si>
  <si>
    <t>1057/803</t>
  </si>
  <si>
    <t>1099/836</t>
  </si>
  <si>
    <t>- Change Spool (7x)</t>
  </si>
  <si>
    <t>- Change Spool (9x)</t>
  </si>
  <si>
    <t>- Sheet Breaks (2x)</t>
  </si>
  <si>
    <t>.10.25</t>
  </si>
  <si>
    <t>T 14,5 VP OW</t>
  </si>
  <si>
    <t>- Awal shift PM prod T15 (Papertech) 1120 mpm/-24%</t>
  </si>
  <si>
    <t>- Awal shift PM prod T15 (Papertech) 1020 mpm/-24%</t>
  </si>
  <si>
    <t>- 03.22 ganti grade T15 ((Papertech) 1020 mpm/-24%</t>
  </si>
  <si>
    <t>- Change Blade (13x)</t>
  </si>
  <si>
    <t>- Change Spool (24x)</t>
  </si>
  <si>
    <t>15/14,5</t>
  </si>
  <si>
    <t>T 14,5</t>
  </si>
  <si>
    <t>277*1</t>
  </si>
  <si>
    <t>Putra Radian</t>
  </si>
  <si>
    <t>275*1</t>
  </si>
  <si>
    <t>- Hood wet posisi open ( rawan hole kondensasi.
- 15.05 Ganti blade &amp; Cleaning</t>
  </si>
  <si>
    <t xml:space="preserve"> SODIUM HYPOCHLORIDE</t>
  </si>
  <si>
    <t>CHEMZYME CL</t>
  </si>
  <si>
    <t>- Awal shift PM prod T14.5 ( Tissue Connect ) speed 1150 mpm/-22%.</t>
  </si>
  <si>
    <t xml:space="preserve">- Hood wet posisi open ( rawan hole kondensasi )
- 07.47 cleaning hood dan roll. </t>
  </si>
  <si>
    <t>- 11.57 kertas putus putus, mdt drop, naikkan mdt. 
- 14.14 booster pump drop, pm brosot, stock off dan bersihkan sisa kertas.</t>
  </si>
  <si>
    <t>- Hood wet posisi open ( rawan hole kondensasi.</t>
  </si>
  <si>
    <t>- 23.10 Ganti grade T12.5 speed 1350 mpm/-20%</t>
  </si>
  <si>
    <t>- 14.30 pm kembali lancar
Reject :  1292 kg / 7.6% ( penampang kotor kena oli, joint over)</t>
  </si>
  <si>
    <t>yankee</t>
  </si>
  <si>
    <t>reel</t>
  </si>
  <si>
    <t>creeping</t>
  </si>
  <si>
    <t>time</t>
  </si>
  <si>
    <t>trim</t>
  </si>
  <si>
    <t>Teori</t>
  </si>
  <si>
    <t>Accept</t>
  </si>
  <si>
    <t>Eff</t>
  </si>
  <si>
    <t>LT</t>
  </si>
  <si>
    <t>1345/1076</t>
  </si>
  <si>
    <t>1150/897</t>
  </si>
  <si>
    <t>1215/956</t>
  </si>
  <si>
    <t>- Change Blade (3x)</t>
  </si>
  <si>
    <t>- Sheet Breaks (6x)</t>
  </si>
  <si>
    <t>- Change Blade (7x)</t>
  </si>
  <si>
    <t>- Change Blade (15x)</t>
  </si>
  <si>
    <t>- Change Spool (28x)</t>
  </si>
  <si>
    <t>- Reject :  1292 kg / 7.6% ( penampang kotor kena oli, joint over)</t>
  </si>
  <si>
    <t>Reject 1292 kg penampang kotor kena oli, joint over</t>
  </si>
  <si>
    <t>14,5/12,5</t>
  </si>
  <si>
    <t>- 05.50 Ganti grade T14.5 ( Tissue Connect ) speed 1150 mpm/-22%.
- 05.55 Ganti blade &amp; Cleaning
Seset sinergi : 497 kg/2.8% (Steam drop)</t>
  </si>
  <si>
    <t>- 10.31 Ganti grade T12 (FG Tranzonic) speed 1370 mpm/-23%</t>
  </si>
  <si>
    <t>- Awal shift PM prod T12 (FG Tranzonic) speed 1370 mpm/-24%</t>
  </si>
  <si>
    <t>- 15.50 Ganti grade T13.5 (FG Tranzonic) speed  1370 mpm/-24%</t>
  </si>
  <si>
    <t>- Awal shift PM prod T13.5 (FG Tranzonic) speed  1370 mpm/-24%</t>
  </si>
  <si>
    <t>- 23.15 Ganti grade F12 (AHS) speed 1370 mpm /-24%</t>
  </si>
  <si>
    <t>- Med pasang flexibel &amp; trim box</t>
  </si>
  <si>
    <t>- Awal shift PM prod F12 (AHS) speed 1370 mpm /-24%</t>
  </si>
  <si>
    <t>- Awal shift PM prod T12.5 speed 1370 mpm/-20%</t>
  </si>
  <si>
    <t>1370/1080</t>
  </si>
  <si>
    <t>1370/1068</t>
  </si>
  <si>
    <t>T 13,5</t>
  </si>
  <si>
    <t>F 12</t>
  </si>
  <si>
    <t>1370/1072</t>
  </si>
  <si>
    <t>T 12</t>
  </si>
  <si>
    <t>- Change Blade (1x)</t>
  </si>
  <si>
    <t>- Change Spool (11x)</t>
  </si>
  <si>
    <t>- Sheet Breaks (4x)</t>
  </si>
  <si>
    <t>T 12 VP OW</t>
  </si>
  <si>
    <t>T 13,5 VP OW</t>
  </si>
  <si>
    <t>F 12 VP OW</t>
  </si>
  <si>
    <t>1370/1041</t>
  </si>
  <si>
    <t>- 06:50 change grade F12,5 (Jemar &amp; Indo paper)  speed 1370 mpm /-24%
- Deckle : 274 cm</t>
  </si>
  <si>
    <t>F 12,5 VP OW</t>
  </si>
  <si>
    <t>- Sheet Breaks (1x)</t>
  </si>
  <si>
    <t>Facial</t>
  </si>
  <si>
    <t>- Change Blade (11x)</t>
  </si>
  <si>
    <t>- Change Spool (29x)</t>
  </si>
  <si>
    <t>- Sheet Breaks (3x)</t>
  </si>
  <si>
    <t>- Change Spool (27x)</t>
  </si>
  <si>
    <t>12,5/12/13,5/12</t>
  </si>
  <si>
    <t>Toilet/Facial</t>
  </si>
  <si>
    <t>12/12,5</t>
  </si>
  <si>
    <t>273*1</t>
  </si>
  <si>
    <t>276*1</t>
  </si>
  <si>
    <t>150+120</t>
  </si>
  <si>
    <t>146+130</t>
  </si>
  <si>
    <t>F 12,5</t>
  </si>
  <si>
    <t>274*1</t>
  </si>
  <si>
    <t>AMICOAT TC 6218</t>
  </si>
  <si>
    <t>- Awal shift PM prod F12,5 (Jemar &amp; Indo paper)  speed 1370 mpm /-24%
- Deckle : 274 cm</t>
  </si>
  <si>
    <t>- 20.30 kertas brosot sisi ds, setting temperature dan naikkan stick out.</t>
  </si>
  <si>
    <t>- gantin blade &amp; cleaning</t>
  </si>
  <si>
    <t>- 00.00 cleaning hood dan flushing all shower</t>
  </si>
  <si>
    <t xml:space="preserve">- 04.15 kertas brosot satu deckle, pm stock off. </t>
  </si>
  <si>
    <t>- 04.42 pm 16 on reel</t>
  </si>
  <si>
    <t>- ganti blade &amp; cleaning</t>
  </si>
  <si>
    <t>- Change Blade (6x)</t>
  </si>
  <si>
    <t>12,5</t>
  </si>
  <si>
    <t>130+72*2</t>
  </si>
  <si>
    <t>-12.20 Ganti grade F12 (HKM+CVT) speed 1370 mpm/-24%</t>
  </si>
  <si>
    <t>-14.10 Ganti F12 LB (CVT) 1370 mpm/-24%</t>
  </si>
  <si>
    <t>- Awal shift PM prod F12 (CVT)  speed 1370 mpm /-24%
- Deckle : 266 cm</t>
  </si>
  <si>
    <t>- 22.50 Change grade F13 (pingguan) speed 1370/-24%</t>
  </si>
  <si>
    <t>- Awal shift PM prod F13 (pingguan) speed 1370/-24%</t>
  </si>
  <si>
    <t>- 02.07 cleaning hood dan change blade</t>
  </si>
  <si>
    <t>F 13</t>
  </si>
  <si>
    <t>T 13</t>
  </si>
  <si>
    <t>- Change Blade (18x)</t>
  </si>
  <si>
    <t>133*2</t>
  </si>
  <si>
    <t>- Speed fan pump masih manual, bacaan press headbox masih hunting.</t>
  </si>
  <si>
    <t>- Crane 8 T beberapa kali trip saat pasang tambor.</t>
  </si>
  <si>
    <t>- Awal shift PM prod T12,5 LB (Morcon) speed 1370/-19%
Deckle 275</t>
  </si>
  <si>
    <t xml:space="preserve">- Speed fan pump masih manual, bacaan press headbox masih hunting. </t>
  </si>
  <si>
    <t>- 21.15 cleaning hood dan roll</t>
  </si>
  <si>
    <t>- 00.00 ganti blade, cleaning</t>
  </si>
  <si>
    <t>- 01.50 ganti blade, cleaning</t>
  </si>
  <si>
    <t>- 03.38 ganti blade, cleaning
- 05.20 ganti blade, cleaning</t>
  </si>
  <si>
    <t>- 04.30 change grade T12,5 LB (Morcon) speed 1370/-20%
Deckle 275</t>
  </si>
  <si>
    <t>1370/1046</t>
  </si>
  <si>
    <t>1370/1109</t>
  </si>
  <si>
    <t>- Change Blade (14x)</t>
  </si>
  <si>
    <t>- Change Spool (26x)</t>
  </si>
  <si>
    <t>Facial/Toilet</t>
  </si>
  <si>
    <t>12,5/12/13/12,5</t>
  </si>
  <si>
    <t>Putra R</t>
  </si>
  <si>
    <t>146+126</t>
  </si>
  <si>
    <t>- PM jalan core 12"
- Speed fanpump masih manual, pressure headbox masih hunting</t>
  </si>
  <si>
    <t>- 21:22  Tail cutter auto sudah bisa</t>
  </si>
  <si>
    <t>- PM jalan core 12"
- Speed fanpump masih manual, pressure headbox masih hunting
23.18 change blade, cleaning</t>
  </si>
  <si>
    <t>00.55 change blade, cleaning hood, roll
02.20 change blade, cleaning</t>
  </si>
  <si>
    <t>04.00 change blade, cleaning</t>
  </si>
  <si>
    <t>05.30 change blade, cleaning</t>
  </si>
  <si>
    <t>- 20:54  Tali cutter auto tidak bisa (perbaikan eid)</t>
  </si>
  <si>
    <t>- Awal shift PM prod T12,5 LB (Morcon &amp; FG Purchasing) speed 1370/-19%
Deckle 275</t>
  </si>
  <si>
    <t>1390/1125</t>
  </si>
  <si>
    <t>1383/1120</t>
  </si>
  <si>
    <t>- Awal shift PM prod T12,5 LB (FG Purchasing) speed 1390/-20%</t>
  </si>
  <si>
    <t>- Sheet Breaks (5x)</t>
  </si>
  <si>
    <t>- Change Blade (17x)</t>
  </si>
  <si>
    <t>- Change Spool (32x)</t>
  </si>
  <si>
    <t>286*1</t>
  </si>
  <si>
    <t>Nyoman M</t>
  </si>
  <si>
    <t>- PM jalan core 12".</t>
  </si>
  <si>
    <t>- 13.10 Ganti pakai blade ceramic.</t>
  </si>
  <si>
    <t xml:space="preserve">- 22.24 ganti blade 2x (kertas gripis dan hole garis) </t>
  </si>
  <si>
    <t>- 12.50 Ganti T12.5 FG Morcon M-99 speed 1400/-20%</t>
  </si>
  <si>
    <t>- Awal shift PM prod T12,5 LB (FG Morcon M-99) speed 1400/-20%</t>
  </si>
  <si>
    <t>1392/1114</t>
  </si>
  <si>
    <t>1400/1120</t>
  </si>
  <si>
    <t>1397/1118</t>
  </si>
  <si>
    <t>- Change Blade (2x)</t>
  </si>
  <si>
    <t>T 12,5 VP  OW</t>
  </si>
  <si>
    <t>- Change Blade (8x)</t>
  </si>
  <si>
    <t>- 07.15 Brosot Ds, Cleaning blade.</t>
  </si>
  <si>
    <t>- 09.20 Brosot Ds, Cleaning blade.</t>
  </si>
  <si>
    <t>- 13.55 Motor osilasi doctor blade no 2 kendor, kencangkan baut.</t>
  </si>
  <si>
    <t>- 02.10 Ganti Grade T14 (CVT) speed 1300 mpm/-24%</t>
  </si>
  <si>
    <t>- Awal shift PM prod T14 (CVT, FG P1) speed 1300 mpm/-24%</t>
  </si>
  <si>
    <t xml:space="preserve">- 08.20 MED setting doctor blade  </t>
  </si>
  <si>
    <t>- 08.52 ganti blade, cleaning hood,roll</t>
  </si>
  <si>
    <t xml:space="preserve">-01.35 - 01.45 Tail cutter Trip </t>
  </si>
  <si>
    <t>-18.07 - 18.29 Ganti Blade dan slotter</t>
  </si>
  <si>
    <t>-19.35 osilasi doctor blade off</t>
  </si>
  <si>
    <t>-00.00 Ganti grade T12.5 (FG Well Care) Speed 1400 mpm/-24%</t>
  </si>
  <si>
    <t>- Awal shift PM prod T15 (CVT) speed 1300 mpm/-24%</t>
  </si>
  <si>
    <t>- Awal shift PM prod T12,5 LB (FG Morcon M-99) speed 1400/-21%</t>
  </si>
  <si>
    <t>1400/1106</t>
  </si>
  <si>
    <t>1339/1034</t>
  </si>
  <si>
    <t>1379/1082</t>
  </si>
  <si>
    <t>- Change Spool (25x)</t>
  </si>
  <si>
    <t>1300/988</t>
  </si>
  <si>
    <t>1387/1054</t>
  </si>
  <si>
    <t>1329/1010</t>
  </si>
  <si>
    <t>T 14 VP OW</t>
  </si>
  <si>
    <t xml:space="preserve">MED setting doctor blade  </t>
  </si>
  <si>
    <t>12,5/14</t>
  </si>
  <si>
    <t>14/15/12,5</t>
  </si>
  <si>
    <t>T 14</t>
  </si>
  <si>
    <t>140*2</t>
  </si>
  <si>
    <t>- Awal shift PM prod T12.5 (FG Purchasing) Speed 1400 mpm/-24%</t>
  </si>
  <si>
    <t>- 09.00 cleaning hood, roll</t>
  </si>
  <si>
    <t>- 11.10 Ganti blade</t>
  </si>
  <si>
    <t xml:space="preserve">- 20.00 Filter udara hood macet (perbaikan MED) </t>
  </si>
  <si>
    <t xml:space="preserve">- 21.00 Filter udara hood manual (atas) </t>
  </si>
  <si>
    <t>- 16.00 Ganti grade T12 (Safeway) -Deckle : 276 cm</t>
  </si>
  <si>
    <t>- Awal shift PM prod 1. T12.5 (FG Bethel) Speed 1400 mpm/-24%</t>
  </si>
  <si>
    <t>- 04.00 Ganti grade T14 (CVT) Speed 1300 mpm/-24%</t>
  </si>
  <si>
    <t xml:space="preserve">- 23.49 cleaning hood dan roll </t>
  </si>
  <si>
    <t>1400/1064</t>
  </si>
  <si>
    <t>1362/1035</t>
  </si>
  <si>
    <t>- Change Spool (30x)</t>
  </si>
  <si>
    <t>- Awal shift PM prod T14 (CVT) Speed 1300 mpm/-24%</t>
  </si>
  <si>
    <t>- 07.25 Cleaning hood</t>
  </si>
  <si>
    <t>- 10.46 Mulai coba transisi dari OW ke HW</t>
  </si>
  <si>
    <t>- bagian penampang jr saat gulung di poprell sering geser"/ ngelokor, setting pressure secondary arm.</t>
  </si>
  <si>
    <t>- 15.15 Ganti grade T15 ( HW ) speed 1250 mpm / -23%</t>
  </si>
  <si>
    <t>- Awal shift PM prod T15 (HW) Speed 1200 mpm/-23%</t>
  </si>
  <si>
    <t>- 23.35 Speed turun 1150 mpm ( jr sering ngelokor ), setting dossis coating realese.</t>
  </si>
  <si>
    <t>- Jr sudah tidak ngelokor,</t>
  </si>
  <si>
    <t>1251/963</t>
  </si>
  <si>
    <t>1153/887</t>
  </si>
  <si>
    <t>- Change Spool (12x)</t>
  </si>
  <si>
    <t>14/15</t>
  </si>
  <si>
    <t>106,5+165</t>
  </si>
  <si>
    <t>- 10.00 MED perbaikan rubber coupling poperell
- 10.17 MED selesai perbaikan</t>
  </si>
  <si>
    <t>- 13.09 stop pewarna</t>
  </si>
  <si>
    <t>- 15.55 Speed up 1300 mpm/-23%</t>
  </si>
  <si>
    <t>- Drain silo &amp; ganti air mengurangi kandungan oba/pergasol.</t>
  </si>
  <si>
    <t>- Awal shift PM prod T14 (HW) Speed 1250 mpm/-23%</t>
  </si>
  <si>
    <t>- 13.30 change grade T14 HW speed 1250/-23%</t>
  </si>
  <si>
    <t>- Awal shift PM prod T14 (HW) Speed 1300 mpm/-23%</t>
  </si>
  <si>
    <t>- 04.10 Ganti grade T17 speed 1080 mpm /-20%</t>
  </si>
  <si>
    <t>- Awal shift PM prod T15 (HW) Speed 1180 mpm/-22%</t>
  </si>
  <si>
    <t>1193/928</t>
  </si>
  <si>
    <t>1294/996</t>
  </si>
  <si>
    <t>1222/952</t>
  </si>
  <si>
    <t>1236/959</t>
  </si>
  <si>
    <t>T 17 VP OW</t>
  </si>
  <si>
    <t>- Change Spool (23x)</t>
  </si>
  <si>
    <t>15/14/17</t>
  </si>
  <si>
    <t>165+106,5</t>
  </si>
  <si>
    <t>T 17</t>
  </si>
  <si>
    <t>135*2</t>
  </si>
  <si>
    <t>- Awal shift PM prod T17 speed 1080 mpm /-20%</t>
  </si>
  <si>
    <t>- 15.55 kertas mulai stabil.
- 18.35 Rubber coupling pompa transfer nbkp storage ke mixing aus, baut putus, pulping pindah ke jalur lbkp, med &amp; eid perbaikan coupling.</t>
  </si>
  <si>
    <t>- 19.30 Perbaikan selesai ,cek pompa sudah bisa transfer.</t>
  </si>
  <si>
    <t>01.00 -&gt; 01.09 Sheetbreak (Indikasi geripis di area sisi DS), Cleaning All PM Headbox sisi Ds, Press Roll sisi Ds, Vacuum sisi Ds, Speed Down 1370 -&gt; 1360 mpm, Steam up 5.9 -&gt; 6.0 Bar (Geripis Ds hilang)</t>
  </si>
  <si>
    <t>- 04.14 Sheetbreak, Cleaning PM, Steam Up 6.00 -&gt; 6.20, Speed Down 1360 -&gt; 1355 mpm.
- 05.20 Indikasi Hole diarea FS -&gt; DS disertai dirt (Jumbo Roll nomer 13)</t>
  </si>
  <si>
    <t>Open hood wet, steam down 6.20 -&gt; 5.90, Speed down 1355 -&gt; 1350 mpm
- 06.10 -&gt; 06.17 Cleaning All PM</t>
  </si>
  <si>
    <t>- 09.00 cleaning roll dan hood</t>
  </si>
  <si>
    <t xml:space="preserve">- 10.25 - 11.04 Cek alignment popereel (MED) </t>
  </si>
  <si>
    <t>- 23.00 PM Stabil, Speed 1370 mpm / -25%, Steam 5.90 Bar
- 00.30 Cleaning Headbox, Press roll, vacuum, HPP felt)</t>
  </si>
  <si>
    <t>- Awal shift PM prod F13 speed 1350 mpm / -25% (Spek Khusus)</t>
  </si>
  <si>
    <t>- 15.05 Ganti grade F13 speed 1350 mpm / -25% 
- kertas brosot fan pump manual, cleaning uhle box, ganti blade</t>
  </si>
  <si>
    <t>1080/864</t>
  </si>
  <si>
    <t>1347/1010</t>
  </si>
  <si>
    <t>1356/1017</t>
  </si>
  <si>
    <t>1261/964</t>
  </si>
  <si>
    <t>- Sheet Breaks (7x)</t>
  </si>
  <si>
    <t>- Sheet Breaks (9x)</t>
  </si>
  <si>
    <t>- Change Spool (22x)</t>
  </si>
  <si>
    <t xml:space="preserve">Cek alignment popereel (MED) </t>
  </si>
  <si>
    <t>Kertas brosot fan pump manual, cleaning uhle box, ganti blade</t>
  </si>
  <si>
    <t>- Kertas brosot fan pump manual, cleaning uhle box, ganti blade</t>
  </si>
  <si>
    <t>17/13</t>
  </si>
  <si>
    <t>Nyomana Mariasa</t>
  </si>
  <si>
    <t>EBKP SUZANO</t>
  </si>
  <si>
    <t>- Awal shift PM prod F13 speed 1350 mpm / -25%</t>
  </si>
  <si>
    <t xml:space="preserve">- 08.10 Cleaning all pm </t>
  </si>
  <si>
    <t>- 13.50 Cleaning all pm dan ganti blade</t>
  </si>
  <si>
    <t>- Awal shift PM prod F13 (AHS &amp; Sydney) speed 1350 mpm/-25%</t>
  </si>
  <si>
    <t>- Setiap 2 jumbo cleaning pm</t>
  </si>
  <si>
    <t xml:space="preserve">- 20:50 Amisoft 1.5 liter (F13 sydney) </t>
  </si>
  <si>
    <t>- 23.00 Produksi F13 Sydney
- 00.10 Cleaning all PM, (Hood wet, Press roll sisi fs dan ds, Vacuum, hpp felt &amp; wire)
- 00.00 Change grade F13 -&gt; F12</t>
  </si>
  <si>
    <t>- 02.33 sheetbreak, indikasi tetesan air dan Tel cutter tidak dapat beroperasi lagi dikarenakan shower nozzle nya tersumbat (sudah diperbaiki)</t>
  </si>
  <si>
    <t>- 05.00 Kertas mbrosot sisi ds, steam down 5.8 -&gt; 5.6 Bar</t>
  </si>
  <si>
    <t>- 01.40 naik speed bertahap 1350 sampai 1400 
- 01.57 Tisu mbrosot, cleaning pm dan change blade ceramic. Tel cutter tidak dapat beroperasi</t>
  </si>
  <si>
    <t>1350/1012</t>
  </si>
  <si>
    <t>1393/1057</t>
  </si>
  <si>
    <t>1364/1027</t>
  </si>
  <si>
    <t>- Awal shift PM prod F12 speed 1400 mpm / -25%</t>
  </si>
  <si>
    <t>- 07:33 Jumbo turun ada dirt dari hood -&gt; cleaning hood, cleaning PM
- 07:49-07:54 Lolos pope reel 2x -&gt; Kurangi coating, naikkan load refiner
- 08:30 Cleaning area PM, flushing all shower</t>
  </si>
  <si>
    <t>- 10:25 brosot DS -&gt; gosok alloy blade, load kembali. Naikkan panas
- 13:28 Cleaning area PM</t>
  </si>
  <si>
    <t>- 13:35-13:41 brosot DS 2x -&gt; gosok alloy blade, load kembali. Setting coating release 
- 13:56 brosot DS -&gt; naikkan panas</t>
  </si>
  <si>
    <t>- 15.34 Cleaning area PM, flushing all shower</t>
  </si>
  <si>
    <t xml:space="preserve">- 17.45 brosot DS -&gt; gosok alloy blade, load kembali. Cleaning area PM. </t>
  </si>
  <si>
    <t xml:space="preserve">- 19.47 Cleaning area PM. </t>
  </si>
  <si>
    <t>- 21.24 cleaning area pm</t>
  </si>
  <si>
    <t xml:space="preserve">- 01.04 Sheetbreak, Hole sisi FS indikasi wire terkena grease atau noda, karcher wire + xylene (Hole perlahan memudar) Steam Down 5.8 -&gt; 5.5 Bar speed turun 1200 Mpm </t>
  </si>
  <si>
    <t>- 02.07 -&gt; 02.16 Sheetbreak, secondary telat balik ( sensor load nyantol )</t>
  </si>
  <si>
    <t xml:space="preserve">- 23.00 Sheetbreak, Cleaning area PM (Hood wet, press roll, vacuum, hpp felt dan wire, headbox sisi fs dan ds) </t>
  </si>
  <si>
    <t>- 23.24 Hole garis, New blade ceramic
Steam down 6.00 -&gt; 5.80 Bar</t>
  </si>
  <si>
    <t>- 07.20 Sheetbreak, Cleaning area PM (Hood wet, press roll, vacuum, hpp felt dan wire, headbox sisi fs dan ds) 
- 07.39 terdapat hole di area center, cleaning hood menggunakan air, down speed 1300, karcher wire + xyline sambil jalan (indikasi wire terdapat grease).</t>
  </si>
  <si>
    <t>- 08.13 speed up 1400 (hole sudah hilang) 
- 08.28 agitator pupler pm 16 trip (arus starting tinggi) , EID cek motor. 
- 08.54 agitator puplper pm 16 kembali normal.</t>
  </si>
  <si>
    <t xml:space="preserve">- 09.03 pembacaan konsistensi NBKP dump chest tidak terbaca. 
- 13.37 agitator pupler pm 16 trip (arus starting tinggi) , EID cek motor.
- 13.45 agitator puplper pm 16 kembali normal. 
</t>
  </si>
  <si>
    <t>- 15.00 PM Stabil, Speed 1400mpm, Steam 5.7 Bar</t>
  </si>
  <si>
    <t>- 17.48 Sheetbreak, Cleaning all PM</t>
  </si>
  <si>
    <t>- 23.00 PM Stabil, Speed 1400mpm, Steam 5.7 Bar</t>
  </si>
  <si>
    <t>- 01.23 -&gt; 01.31 Cleaning All PM ( Press roll, vacuum, Hpp felt wire, headbox), Kertas mbrosot di sisi Ds (Cleaning blade -&gt; load kembali)</t>
  </si>
  <si>
    <t>- 02.55 Kertas mbrosot, Steam down 5.70 -&gt; 5.50 Bar</t>
  </si>
  <si>
    <t>- 03.17 -&gt; 03.26 Sheetbreak, Cleaning All PM ( Press roll, vacuum, Hpp felt wire, headbox, gosok shower coating) Steam up 5.50 -&gt; 5.70 Bar</t>
  </si>
  <si>
    <t>1400/1050</t>
  </si>
  <si>
    <t>1392/1044</t>
  </si>
  <si>
    <t>1397/1048</t>
  </si>
  <si>
    <t>13/12</t>
  </si>
  <si>
    <t>12</t>
  </si>
  <si>
    <t>150+130</t>
  </si>
  <si>
    <t>- 07:16 Cleaning roll &amp; ganti filter Tc
- 09:08  Cleaning roll &amp; hood</t>
  </si>
  <si>
    <t>- 11:00 Cleaning roll 
- 12:45 Cleaning roll</t>
  </si>
  <si>
    <t>- 14:20 Cleaning roll</t>
  </si>
  <si>
    <t xml:space="preserve">- 15.20 Sheetbreak, Cleaning area PM (press roll, vacuum, hpp felt dan wire, headbox sisi fs dan ds) </t>
  </si>
  <si>
    <t xml:space="preserve">- 17.40 Sheetbreak, Cleaning area PM (Hood wet, press roll, vacuum, hpp felt dan wire, headbox sisi fs dan ds) </t>
  </si>
  <si>
    <t>- 20.18 Sheetbreak, Cleaning area PM (press roll, vacuum, hpp felt dan wire, headbox sisi fs dan ds)</t>
  </si>
  <si>
    <t>- 23.40 Tisu bagian FS muncul keriput dan sedikit kelipat</t>
  </si>
  <si>
    <t>- 23.58 Cleaning all PM dan Cleaning Hood</t>
  </si>
  <si>
    <t>- Change Spool (31x)</t>
  </si>
  <si>
    <t>140+130</t>
  </si>
  <si>
    <t>- 07:44 Cleaning hood, cleaning all roll &amp; ganti filter TC
- 10:10 Change blade alloy</t>
  </si>
  <si>
    <t>- 12:12 Kertas sisi DS lolos, Cleaning blade lalu sambung</t>
  </si>
  <si>
    <t>- 14:20  Cleaning roll</t>
  </si>
  <si>
    <t>- Awal shift PM prod F12 (HKM, CVT &amp; AHS) speed 1400 mpm/-24%</t>
  </si>
  <si>
    <t>-16.00 Sheetbreak, Cleaning area PM (hood, press roll, vacuum, hpp felt dan wire, headbox sisi fs dan ds) 
- 16.30 tail cutter tidak bisa, perbaikan EID (motor short), pergantian motor tail cutter., menggunakan tail cutter manual.</t>
  </si>
  <si>
    <t xml:space="preserve">- 18.15 motor tail cutter sudah kembali normal. </t>
  </si>
  <si>
    <t>- 20.08 shower spray coating release buntu, ganti shower spray coating release, sekalian cleaning area PM.</t>
  </si>
  <si>
    <t>- Awal shift PM prod T 12,5 (FG Morcon) speed 1320 mpm/-22%</t>
  </si>
  <si>
    <t>- 23.00 PM Stabil, Speed 1320 mpm, Steam 6.50 Bar
- 00.50 Indikasi marking, Speed down 1320 -&gt; 1300 mpm
- 01.10 Hpp Felt down 18 -&gt; 15 Bar, Steam down 6.5 -&gt; 6.3 Bar</t>
  </si>
  <si>
    <t xml:space="preserve">- 02.05 Sheetbreak, Cleaning area PM (hood, press roll, vacuum, hpp felt dan wire, headbox sisi fs dan ds) </t>
  </si>
  <si>
    <t>- 04.12 PM stabil (keriput perlahan mulai hilang), Speed up 1300 -&gt; 1350 mpm, Steam up 6.50 -&gt; 6.70 Bar</t>
  </si>
  <si>
    <t>- 06.20 HPP Wire trip, sedang dilakukan perbaikan oleh maintenance. Speed down 1350 -&gt; 1330 mpm</t>
  </si>
  <si>
    <t xml:space="preserve">- 19.20 change grade T12.5 speed 1320/-22% tissue keriput dan lembap sisi FS, setting coating release dan naikkan panas. </t>
  </si>
  <si>
    <t>1363/1048</t>
  </si>
  <si>
    <t>1320/1016</t>
  </si>
  <si>
    <t>1361/1042</t>
  </si>
  <si>
    <t>278*1</t>
  </si>
  <si>
    <t>- 16.05 Sheetbreak, Cleaning area PM (hood, press roll, vacuum, hpp felt dan wire, headbox sisi fs dan ds)</t>
  </si>
  <si>
    <t xml:space="preserve">- 18.40 Sheetbreak, Cleaning area PM (press roll, vacuum, hpp felt dan wire, headbox sisi fs dan ds) </t>
  </si>
  <si>
    <t>- 21.11 Sheetbreak, Cleaning area PM (press roll, vacuum, hpp felt dan wire, headbox sisi fs dan ds)</t>
  </si>
  <si>
    <t>- 07:00 Eid dan med bongkar ossilation hpp wire
- 07: 51 Steam drop 13 bar
- Kertas sisi DS lolos</t>
  </si>
  <si>
    <t>- 08:02 Steam sudah normal dan kertas bisa di sambung
- 13:20 Ossilation Hpp wire selesai di perbaiki</t>
  </si>
  <si>
    <t>- 02.20 Change grade T18 Speed 1030mpm dan, Cleaning area PM (hood, press roll, vacuum, hpp felt dan wire, headbox sisi fs dan ds)</t>
  </si>
  <si>
    <t>- 13:30 Amisoft masuk 2kg
- 14:00 Change Grade T14. 5 (Tissue Connect) speed 1330/-24%</t>
  </si>
  <si>
    <t>- Awal shift PM prod T 14,5 (Tissue Connect) speed 1300 mpm/-24%</t>
  </si>
  <si>
    <t>1142/868</t>
  </si>
  <si>
    <t>1257/971</t>
  </si>
  <si>
    <t>12,5/14,5/18</t>
  </si>
  <si>
    <t>T 18</t>
  </si>
  <si>
    <t>T 18 VP OW</t>
  </si>
  <si>
    <t>- Awal shift PM prod T 12,5 (FG Morcon) speed 1330 mpm/-22%</t>
  </si>
  <si>
    <t>1330/1034</t>
  </si>
  <si>
    <t>- Awal shift PM prod T 18 (Jenwin) speed 1030 mpm/-24%</t>
  </si>
  <si>
    <t>- 12:30  Cleaning filter HE</t>
  </si>
  <si>
    <t>- 13:15  Change blade</t>
  </si>
  <si>
    <t>- 17.11 steam drop 14.6 bar, tissue keriput</t>
  </si>
  <si>
    <t>1030/782</t>
  </si>
  <si>
    <t>- 00.55 Change grade T12.5, speed 1350/-24%</t>
  </si>
  <si>
    <t>- Cleaning hood dan roll area ds/fs</t>
  </si>
  <si>
    <t>- 21.00 change grade T14.5 speed 1300/-24%</t>
  </si>
  <si>
    <t>- Awal shift PM prod T14.5 speed 1300/-24%</t>
  </si>
  <si>
    <t>1131/859</t>
  </si>
  <si>
    <t>1338/1016</t>
  </si>
  <si>
    <t>1166/886</t>
  </si>
  <si>
    <t>18/14,5/12,5</t>
  </si>
  <si>
    <t>280*1</t>
  </si>
  <si>
    <t>- Awal shift PM prod T12.5, speed 1350/-24%</t>
  </si>
  <si>
    <t>- 15.35 Sheetbreak, Cleaning all PM (Hood wet, press roll, hpp felt wire, vacuum, headbox)</t>
  </si>
  <si>
    <t>- 17.31 T15 (Snh) -&gt; Change grade T12.5 (FG Morcon)</t>
  </si>
  <si>
    <t xml:space="preserve">- 20.00 Sheetbreak, indikasi blade sisi DS mbrosot (Cleaning dan Amplas sisi DS) </t>
  </si>
  <si>
    <t>- 22.38 Sheetbreak, indikasi blade sisi DS mbrosot (Cleaning all PM)</t>
  </si>
  <si>
    <t>- 07:45 Cleaning hood dan Pm
- Ganti filter TC</t>
  </si>
  <si>
    <t>1270/994</t>
  </si>
  <si>
    <t>- Awal shift PM prod T15, speed 1250/-24%</t>
  </si>
  <si>
    <t>- Awal shift PM prod T12.5, speed 1320/-24%</t>
  </si>
  <si>
    <t>- 00.40 Change Grade T15 (SnH) tambahan karena tambor Backlog keriput tidak bisa di gulung 1230/-24%</t>
  </si>
  <si>
    <t>-01.40 Change Grade kembali  T12.5 (FG Morcon), dan Cleaning all PM (Hood wet, press roll, hpp felt wire, vacuum, headbox) 1320/-24%</t>
  </si>
  <si>
    <t>1308/994</t>
  </si>
  <si>
    <t>- 10:10 Change grade T18 1050/-20%
- 11:26 Change grade T14.5 (Kooka) 1300/-20%</t>
  </si>
  <si>
    <t>- 12:45 Change grade T15 (SnH) 1050/-20%
- Change blade
- 2 x jumbo turun, cleaning pm</t>
  </si>
  <si>
    <t>1284/976</t>
  </si>
  <si>
    <t>1287/988</t>
  </si>
  <si>
    <t>12,5/18/14,5/15</t>
  </si>
  <si>
    <t xml:space="preserve">T 12,5 </t>
  </si>
  <si>
    <t xml:space="preserve">T 18 </t>
  </si>
  <si>
    <t xml:space="preserve">T 14,5 </t>
  </si>
  <si>
    <t xml:space="preserve">T 15 </t>
  </si>
  <si>
    <t>137*2</t>
  </si>
  <si>
    <t>- Awal shift PM prod T12.5, speed 1390/-24%</t>
  </si>
  <si>
    <t xml:space="preserve">- 10:30 Amisoft mulai masuk (2kg) </t>
  </si>
  <si>
    <t>- 2 x jumbo turun, cleaning pm</t>
  </si>
  <si>
    <t>- 16.40 Sheetbreak, Cleaning all pm (Hood wet, press roll, vacuum, headbox, hpp felt wire etc)</t>
  </si>
  <si>
    <t>- 17.28 Sheetbreak, indikasi shoping di area DS Steam down 6.1 -&gt; 5.9 Bar</t>
  </si>
  <si>
    <t>- 19.19 Sheetbreak, Indikasi blade mbrosot (Cleaning dan gosok blade)</t>
  </si>
  <si>
    <t>- Awal shift PM prod T12.5 (FUDAK), speed 1395/-24%</t>
  </si>
  <si>
    <t>- 00.05 Sheetbreak, Cleaning all pm (Hood wet, press roll, vacuum, headbox, hpp felt wire )</t>
  </si>
  <si>
    <t>- 01.21 Sheetbreak sirkulasi UTM, reel spool macet (angkat jumbo menggunakan crane)</t>
  </si>
  <si>
    <t>- 07.56 Sheetbreak, Cleaning all pm (Hood wet, press roll, vacuum, headbox, hpp felt wire )</t>
  </si>
  <si>
    <t>- 09.09 Sheetbreak, Cleaning all pm ( press roll, vacuum, headbox, hpp felt wire )</t>
  </si>
  <si>
    <t/>
  </si>
  <si>
    <t>- 12.23 Sheetbreak, Cleaning all pm ( press roll, vacuum, headbox, hpp felt wire )
- 14.04 Sheetbreak, Cleaning all pm ( press roll, vacuum, headbox, hpp felt wire )</t>
  </si>
  <si>
    <t xml:space="preserve">- 23.26 Sheetbreak, Cleaning all pm (Hood wet, press roll, vacuum, .headbox, hpp felt wire) </t>
  </si>
  <si>
    <t>- 23.44 cek dan cleaning filter HE</t>
  </si>
  <si>
    <t xml:space="preserve">- 02.18 Turun speed 1395 -&gt; 1390 mpm (hole sisi FS) </t>
  </si>
  <si>
    <t>- 15.30 Sheetbreak, Cleaning all pm (Hood wet, press roll, vacuum, headbox, hpp felt wire)</t>
  </si>
  <si>
    <t>- 16.30 Sheetbreak indikasi kertas sisi Ds mbrosot, Cleaning all pm dan gosok blade</t>
  </si>
  <si>
    <t>- 17.21 Sheetbreak indikasi kertas sisi Ds mbrosot, cleaning all pm</t>
  </si>
  <si>
    <t>- 20.20 Sheetbreak, Cleaning all pm (Hood wet, press roll, vacuum, headbox, hpp felt wire, shower coating release)</t>
  </si>
  <si>
    <t>1390/1056</t>
  </si>
  <si>
    <t>1395/1060</t>
  </si>
  <si>
    <t>1393/1058</t>
  </si>
  <si>
    <t>1392/1057</t>
  </si>
  <si>
    <t>1394/1059</t>
  </si>
  <si>
    <t>23*1</t>
  </si>
  <si>
    <t>- Seset steam drop dan tidak stabil</t>
  </si>
  <si>
    <t>Seset steam drop dan tidak stabil</t>
  </si>
  <si>
    <t>- 07.40 Sheetbreak, Cleaning all pm (Hood wet, press roll, vacuum, headbox, hpp felt wire) 
- ⁠Kertas ada kriput bagian Fs (coba naikan hpp 20bar dan setting temp yankee, indikasi felt mampet dan kertas kurang kering)</t>
  </si>
  <si>
    <t xml:space="preserve">- 09.50 Sheetbreak, Cleaning all pm ( press roll, vacuum, .headbox, hpp felt wire) 
- 11.47 Ganti new blade, Cleaning all pm ( press roll, vacuum, headbox, hpp felt wire) </t>
  </si>
  <si>
    <t>- 11.57 sisi DS brosot, gosok, naikkan pressure dr blade, setting coating release. 
- 14.30 Sheetbreak, Cleaning all pm ( press roll, vacuum, headbox, hpp felt wire)</t>
  </si>
  <si>
    <t>- 19.03 Mdwt rendah, Wsr UP 180 -&gt; 220 ml/min</t>
  </si>
  <si>
    <t xml:space="preserve">- 15.38 Change grade F12 HKM speed 1400/-24%
- Sheetbreak, Cleaning all pm (Hood wet, press roll, vacuum, headbox, hpp felt wire) </t>
  </si>
  <si>
    <t xml:space="preserve">- 23.22 Sheetbreak, Cleaning all pm (Hood wet, press roll, vacuum, headbox, hpp felt wire) </t>
  </si>
  <si>
    <t>- 23.45 cleaning filter hHE</t>
  </si>
  <si>
    <t xml:space="preserve">- 23.59 Sheetbreak kertas brosot sisi DS, cleaning dan gosok blade </t>
  </si>
  <si>
    <t>- Awal shift PM prod F 12 (HKM), speed 1400/-24%</t>
  </si>
  <si>
    <t>NBKP UPM Conifer</t>
  </si>
  <si>
    <t>1399/1063</t>
  </si>
  <si>
    <t>1398/1062</t>
  </si>
  <si>
    <t>12,5/12</t>
  </si>
  <si>
    <t>- 07.40 Sheetbreak, Cleaning all pm (Hood wet, press roll, vacuum, headbox, hpp felt wire) 
- 07.57 new blade</t>
  </si>
  <si>
    <t xml:space="preserve">- 10.55 Sheetbreak, Cleaning all pm ( press roll, vacuum, headbox, hpp felt wire) </t>
  </si>
  <si>
    <t>- 14.05 Sheetbreak, Cleaning all pm (bg press roll, vacuum, headbox, hpp felt wire)</t>
  </si>
  <si>
    <t>- Awal shift PM prod F 12 (HKM &amp; AHS), speed 1400/-24%</t>
  </si>
  <si>
    <t xml:space="preserve">- 16.03 Sheetbreak, Cleaning all pm (Hood wet, press roll, vacuum, headbox, hpp felt wire, shower coating release) </t>
  </si>
  <si>
    <t>- 16.40 Sheetbreak indikasi kertas sisi Ds mbrosot, Steam down 5.80 -&gt; 5.70 Bar</t>
  </si>
  <si>
    <t>- 20.34 Sheetbreak, Cleaning all pm (Hood wet, press roll, vacuum, headbox, hpp felt wire, shower coating release)</t>
  </si>
  <si>
    <t>- Ganti filter TC, cleaning Hood wet</t>
  </si>
  <si>
    <t>- Awal shift kertas soping soping sisi DS</t>
  </si>
  <si>
    <t>- 01:37  Ganti blade (kertas sisi DS berosot berosot)</t>
  </si>
  <si>
    <t xml:space="preserve"> -03:10 Change grade F13 speed 1310/-24%</t>
  </si>
  <si>
    <t>1356/1031</t>
  </si>
  <si>
    <t>1385/1053</t>
  </si>
  <si>
    <t>12/13</t>
  </si>
  <si>
    <t>- Awal shift PM prod F 13 (AHS), speed 1310/-24%</t>
  </si>
  <si>
    <t xml:space="preserve">- - 08.50 Sheetbreak, Cleaning area PM (Hood wet, press roll, vacuum, hpp felt dan wire, headbox sisi fs dan ds) </t>
  </si>
  <si>
    <t xml:space="preserve">- 10.35 - Sheetbreak, Cleaning area PM ( press roll, vacuum, hpp felt dan wire, headbox sisi fs dan ds) </t>
  </si>
  <si>
    <t xml:space="preserve">- 12.33 Sheetbreak, Cleaning area PM ( press roll, vacuum, hpp felt dan wire, headbox sisi fs dan ds) </t>
  </si>
  <si>
    <t>- 18.32 maintenance memperbaiki baut yang patah di primary dimana mangakibatkan spool starter tidak bisa memutar spool</t>
  </si>
  <si>
    <t>- Awal shift PM prod F 12 (AHS), speed 1400/-24%</t>
  </si>
  <si>
    <t>- 01:09 Kertas berosot sisi DS, cleaning blade</t>
  </si>
  <si>
    <t>- 03:02 Kertas berosot sisi DS , cleaning</t>
  </si>
  <si>
    <t>- 03:12 Kertas berosot lagi Ds, fan pump hunting</t>
  </si>
  <si>
    <t>- 05:32 Kertas putus dan berosot, fan pump hunting (manual)</t>
  </si>
  <si>
    <t>1310/995</t>
  </si>
  <si>
    <t xml:space="preserve">- 07.47 Sheetbreak, Cleaning area PM (Hood wet, press roll, vacuum, hpp felt dan wire, headbox sisi fs dan ds) 
- 10.52 Sheetbreak, Cleaning area PM ( press roll, vacuum, hpp felt dan wire, headbox sisi fs dan ds) </t>
  </si>
  <si>
    <t xml:space="preserve">- 12.40 Sheetbreak, Cleaning area PM ( press roll, vacuum, hpp felt dan wire, headbox sisi fs dan ds) </t>
  </si>
  <si>
    <t>- ⁠13.46 Sheetbreak, Cleaning area PM ( press roll, vacuum, hpp felt dan wire, headbox sisi fs dan ds)</t>
  </si>
  <si>
    <t>- 15.50 Sheetbreak, Cleaning area PM (Hood wet, press roll, vacuum, hpp felt dan wire, headbox sisi fs dan ds)</t>
  </si>
  <si>
    <t xml:space="preserve"> - rw kurang lancar awl tambor pm mdt rendah dan mudah putus</t>
  </si>
  <si>
    <t>- 23:50  Wsr Off</t>
  </si>
  <si>
    <t>- Cleaning Hood</t>
  </si>
  <si>
    <t>- Cleaning Pm(headbox) setiap 2 jumbo
- Fan pump manual</t>
  </si>
  <si>
    <t>- 00:00 Change grade T12.5 Speed 1360 mpm/-23%</t>
  </si>
  <si>
    <t>1365/1049</t>
  </si>
  <si>
    <t>1388/1059</t>
  </si>
  <si>
    <t>256+24</t>
  </si>
  <si>
    <t>- Awal shift PM prod T12.5 Speed 1360 mpm/-23%</t>
  </si>
  <si>
    <t>- 20.29 Sheetbreak, Cleaning area PM (Hood wet, press roll, vacuum, hpp felt dan wire, headbox sisi fs dan ds)</t>
  </si>
  <si>
    <t xml:space="preserve">- 11.50 Sheetbreak, Cleaning area PM ( press roll, vacuum, hpp felt dan wire, headbox sisi fs dan ds) </t>
  </si>
  <si>
    <t>- 13.49 Sheetbreak, Cleaning area PM ( press roll, vacuum, hpp felt dan wire, headbox sisi fs dan ds)</t>
  </si>
  <si>
    <t xml:space="preserve">- 07.50 Sheetbreak, Cleaning area PM (Hood wet, press roll, vacuum, hpp felt dan wire, headbox sisi fs dan ds) 
- 09.50 Sheetbreak, Cleaning area PM ( press roll, vacuum, hpp felt dan wire, headbox sisi fs dan ds) </t>
  </si>
  <si>
    <t>- 01:00 Change Blade, cleaning pm, ganti filter TC</t>
  </si>
  <si>
    <t>- Cleaning Pm(headbox) setiap 2 jumbo</t>
  </si>
  <si>
    <t>- Fan pump manual</t>
  </si>
  <si>
    <t>1360/1047</t>
  </si>
  <si>
    <t>- 02:00 Change grade T13 (CVT) speed 1350/-23%</t>
  </si>
  <si>
    <t>1353/1042</t>
  </si>
  <si>
    <t>1357/1045</t>
  </si>
  <si>
    <t>12,5/13</t>
  </si>
  <si>
    <t>T 13 VP OW</t>
  </si>
  <si>
    <t>DT 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</si>
</sst>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0.000"/>
    <numFmt numFmtId="183" formatCode="_-* #,##0.000_-;\-* #,##0.000_-;_-* &quot;-&quot;???_-;_-@_-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6" tint="-0.499984740745262"/>
      <name val="Arial"/>
      <family val="2"/>
    </font>
    <font>
      <b/>
      <sz val="10"/>
      <color theme="5" tint="-0.499984740745262"/>
      <name val="Arial"/>
      <family val="2"/>
    </font>
    <font>
      <b/>
      <sz val="10"/>
      <color theme="9" tint="-0.499984740745262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8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6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0" fontId="44" fillId="0" borderId="0"/>
    <xf numFmtId="164" fontId="44" fillId="0" borderId="0" applyFont="0" applyFill="0" applyBorder="0" applyAlignment="0" applyProtection="0"/>
  </cellStyleXfs>
  <cellXfs count="834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0" fontId="27" fillId="0" borderId="0" xfId="0" applyFont="1"/>
    <xf numFmtId="0" fontId="26" fillId="24" borderId="11" xfId="0" quotePrefix="1" applyFont="1" applyFill="1" applyBorder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7" fontId="41" fillId="0" borderId="0" xfId="0" applyNumberFormat="1" applyFont="1" applyAlignment="1">
      <alignment horizontal="center" vertical="center" wrapText="1"/>
    </xf>
    <xf numFmtId="178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1" applyNumberFormat="1" applyFont="1" applyFill="1" applyBorder="1" applyAlignment="1">
      <alignment horizontal="center" vertical="center" wrapText="1"/>
    </xf>
    <xf numFmtId="0" fontId="42" fillId="0" borderId="0" xfId="0" applyFont="1"/>
    <xf numFmtId="178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7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7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8" fontId="41" fillId="0" borderId="11" xfId="29" applyNumberFormat="1" applyFont="1" applyFill="1" applyBorder="1" applyAlignment="1">
      <alignment vertical="center"/>
    </xf>
    <xf numFmtId="166" fontId="41" fillId="0" borderId="11" xfId="51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5" applyNumberFormat="1" applyFont="1" applyBorder="1" applyAlignment="1">
      <alignment horizontal="center"/>
    </xf>
    <xf numFmtId="0" fontId="38" fillId="0" borderId="11" xfId="45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1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8" fontId="38" fillId="0" borderId="11" xfId="29" applyNumberFormat="1" applyFont="1" applyFill="1" applyBorder="1" applyAlignment="1">
      <alignment horizontal="center"/>
    </xf>
    <xf numFmtId="178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7" applyNumberFormat="1" applyFont="1" applyBorder="1"/>
    <xf numFmtId="178" fontId="42" fillId="0" borderId="11" xfId="29" applyNumberFormat="1" applyFont="1" applyFill="1" applyBorder="1" applyAlignment="1">
      <alignment vertical="center"/>
    </xf>
    <xf numFmtId="2" fontId="35" fillId="0" borderId="11" xfId="47" applyNumberFormat="1" applyFont="1" applyBorder="1"/>
    <xf numFmtId="0" fontId="41" fillId="0" borderId="11" xfId="0" applyFont="1" applyBorder="1" applyAlignment="1">
      <alignment horizontal="center" wrapText="1"/>
    </xf>
    <xf numFmtId="9" fontId="41" fillId="0" borderId="11" xfId="0" applyNumberFormat="1" applyFont="1" applyBorder="1" applyAlignment="1">
      <alignment horizontal="center" wrapText="1"/>
    </xf>
    <xf numFmtId="0" fontId="22" fillId="24" borderId="11" xfId="44" applyFont="1" applyFill="1" applyBorder="1"/>
    <xf numFmtId="178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7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8" fontId="42" fillId="25" borderId="11" xfId="29" applyNumberFormat="1" applyFont="1" applyFill="1" applyBorder="1" applyAlignment="1">
      <alignment vertical="center"/>
    </xf>
    <xf numFmtId="177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8" applyFont="1" applyBorder="1"/>
    <xf numFmtId="10" fontId="42" fillId="25" borderId="11" xfId="51" applyNumberFormat="1" applyFont="1" applyFill="1" applyBorder="1" applyAlignment="1">
      <alignment vertical="center"/>
    </xf>
    <xf numFmtId="166" fontId="42" fillId="25" borderId="11" xfId="51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8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8" fontId="42" fillId="0" borderId="0" xfId="29" applyNumberFormat="1" applyFont="1" applyFill="1" applyBorder="1" applyAlignment="1">
      <alignment horizontal="right"/>
    </xf>
    <xf numFmtId="166" fontId="42" fillId="0" borderId="0" xfId="51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1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1" applyNumberFormat="1" applyFont="1" applyFill="1" applyBorder="1" applyAlignment="1" applyProtection="1">
      <alignment horizontal="center" vertical="center"/>
    </xf>
    <xf numFmtId="166" fontId="26" fillId="24" borderId="29" xfId="51" applyNumberFormat="1" applyFont="1" applyFill="1" applyBorder="1" applyAlignment="1" applyProtection="1">
      <alignment horizontal="center" vertical="center"/>
    </xf>
    <xf numFmtId="166" fontId="26" fillId="24" borderId="37" xfId="51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1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1" applyNumberFormat="1" applyFont="1" applyFill="1" applyBorder="1" applyAlignment="1" applyProtection="1">
      <alignment horizontal="center" vertical="center"/>
    </xf>
    <xf numFmtId="166" fontId="26" fillId="24" borderId="15" xfId="51" applyNumberFormat="1" applyFont="1" applyFill="1" applyBorder="1" applyAlignment="1" applyProtection="1">
      <alignment horizontal="center" vertical="center"/>
    </xf>
    <xf numFmtId="166" fontId="26" fillId="24" borderId="34" xfId="51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1" applyNumberFormat="1" applyFont="1" applyFill="1" applyBorder="1" applyProtection="1"/>
    <xf numFmtId="166" fontId="26" fillId="24" borderId="24" xfId="51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40" xfId="0" applyFont="1" applyFill="1" applyBorder="1" applyAlignment="1">
      <alignment vertical="center" wrapText="1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1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1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165" fontId="26" fillId="24" borderId="54" xfId="51" applyNumberFormat="1" applyFont="1" applyFill="1" applyBorder="1" applyAlignment="1" applyProtection="1">
      <alignment horizontal="center" vertical="center"/>
      <protection locked="0"/>
    </xf>
    <xf numFmtId="165" fontId="26" fillId="24" borderId="64" xfId="51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68" fontId="38" fillId="0" borderId="11" xfId="0" applyNumberFormat="1" applyFont="1" applyBorder="1" applyAlignment="1">
      <alignment horizontal="center"/>
    </xf>
    <xf numFmtId="178" fontId="41" fillId="0" borderId="17" xfId="29" applyNumberFormat="1" applyFont="1" applyBorder="1" applyAlignment="1">
      <alignment vertical="center"/>
    </xf>
    <xf numFmtId="178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0" fillId="0" borderId="11" xfId="0" applyNumberFormat="1" applyBorder="1" applyProtection="1"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49" fillId="0" borderId="0" xfId="41" applyFont="1"/>
    <xf numFmtId="0" fontId="50" fillId="0" borderId="0" xfId="41" applyFont="1"/>
    <xf numFmtId="0" fontId="50" fillId="0" borderId="0" xfId="41" applyFont="1" applyAlignment="1">
      <alignment horizontal="center"/>
    </xf>
    <xf numFmtId="2" fontId="50" fillId="0" borderId="0" xfId="41" applyNumberFormat="1" applyFont="1" applyAlignment="1">
      <alignment horizontal="center"/>
    </xf>
    <xf numFmtId="0" fontId="46" fillId="0" borderId="0" xfId="41"/>
    <xf numFmtId="0" fontId="46" fillId="0" borderId="0" xfId="41" applyAlignment="1">
      <alignment horizontal="center"/>
    </xf>
    <xf numFmtId="2" fontId="46" fillId="0" borderId="0" xfId="41" applyNumberFormat="1" applyAlignment="1">
      <alignment horizontal="center"/>
    </xf>
    <xf numFmtId="2" fontId="46" fillId="0" borderId="0" xfId="41" applyNumberFormat="1"/>
    <xf numFmtId="0" fontId="51" fillId="0" borderId="0" xfId="41" applyFont="1"/>
    <xf numFmtId="16" fontId="46" fillId="0" borderId="10" xfId="41" applyNumberFormat="1" applyBorder="1"/>
    <xf numFmtId="0" fontId="46" fillId="0" borderId="11" xfId="41" applyBorder="1"/>
    <xf numFmtId="2" fontId="46" fillId="0" borderId="11" xfId="41" applyNumberFormat="1" applyBorder="1" applyAlignment="1">
      <alignment horizontal="center"/>
    </xf>
    <xf numFmtId="165" fontId="46" fillId="11" borderId="11" xfId="28" applyFont="1" applyFill="1" applyBorder="1" applyAlignment="1" applyProtection="1">
      <alignment horizontal="center"/>
    </xf>
    <xf numFmtId="0" fontId="52" fillId="0" borderId="0" xfId="41" applyFont="1"/>
    <xf numFmtId="165" fontId="52" fillId="0" borderId="23" xfId="28" applyFont="1" applyBorder="1" applyProtection="1"/>
    <xf numFmtId="0" fontId="46" fillId="0" borderId="0" xfId="42" applyAlignment="1">
      <alignment horizontal="center"/>
    </xf>
    <xf numFmtId="39" fontId="46" fillId="0" borderId="0" xfId="42" quotePrefix="1" applyNumberFormat="1" applyAlignment="1">
      <alignment horizontal="left"/>
    </xf>
    <xf numFmtId="0" fontId="46" fillId="0" borderId="0" xfId="41" quotePrefix="1"/>
    <xf numFmtId="39" fontId="46" fillId="0" borderId="0" xfId="42" applyNumberFormat="1"/>
    <xf numFmtId="39" fontId="46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2" fontId="30" fillId="0" borderId="0" xfId="0" applyNumberFormat="1" applyFont="1"/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172" fontId="35" fillId="0" borderId="0" xfId="28" applyNumberFormat="1" applyFont="1" applyBorder="1" applyAlignment="1" applyProtection="1">
      <alignment horizontal="right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7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65" fontId="45" fillId="24" borderId="10" xfId="0" applyNumberFormat="1" applyFont="1" applyFill="1" applyBorder="1" applyAlignment="1">
      <alignment horizontal="left"/>
    </xf>
    <xf numFmtId="16" fontId="22" fillId="24" borderId="0" xfId="28" applyNumberFormat="1" applyFont="1" applyFill="1" applyBorder="1" applyProtection="1">
      <protection locked="0"/>
    </xf>
    <xf numFmtId="173" fontId="46" fillId="0" borderId="67" xfId="0" applyNumberFormat="1" applyFont="1" applyBorder="1"/>
    <xf numFmtId="164" fontId="41" fillId="0" borderId="11" xfId="29" applyFont="1" applyFill="1" applyBorder="1"/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8" fontId="42" fillId="0" borderId="0" xfId="29" applyNumberFormat="1" applyFont="1" applyFill="1" applyBorder="1" applyAlignment="1">
      <alignment vertical="center"/>
    </xf>
    <xf numFmtId="178" fontId="26" fillId="24" borderId="21" xfId="29" applyNumberFormat="1" applyFont="1" applyFill="1" applyBorder="1" applyAlignment="1" applyProtection="1">
      <alignment horizontal="right" vertical="center"/>
    </xf>
    <xf numFmtId="178" fontId="26" fillId="24" borderId="17" xfId="29" applyNumberFormat="1" applyFont="1" applyFill="1" applyBorder="1" applyAlignment="1" applyProtection="1">
      <alignment horizontal="right" vertical="center"/>
    </xf>
    <xf numFmtId="178" fontId="26" fillId="0" borderId="11" xfId="29" applyNumberFormat="1" applyFont="1" applyFill="1" applyBorder="1" applyAlignment="1" applyProtection="1">
      <alignment horizontal="right"/>
    </xf>
    <xf numFmtId="178" fontId="26" fillId="24" borderId="11" xfId="29" applyNumberFormat="1" applyFont="1" applyFill="1" applyBorder="1" applyAlignment="1" applyProtection="1">
      <alignment horizontal="right" vertical="center"/>
    </xf>
    <xf numFmtId="178" fontId="22" fillId="20" borderId="11" xfId="29" applyNumberFormat="1" applyFont="1" applyFill="1" applyBorder="1" applyAlignment="1" applyProtection="1">
      <alignment horizontal="right"/>
    </xf>
    <xf numFmtId="178" fontId="26" fillId="24" borderId="11" xfId="29" applyNumberFormat="1" applyFont="1" applyFill="1" applyBorder="1" applyAlignment="1" applyProtection="1">
      <alignment horizontal="right"/>
    </xf>
    <xf numFmtId="178" fontId="26" fillId="24" borderId="14" xfId="29" applyNumberFormat="1" applyFont="1" applyFill="1" applyBorder="1" applyAlignment="1" applyProtection="1">
      <alignment horizontal="right"/>
    </xf>
    <xf numFmtId="178" fontId="26" fillId="24" borderId="23" xfId="29" applyNumberFormat="1" applyFont="1" applyFill="1" applyBorder="1" applyAlignment="1" applyProtection="1">
      <alignment horizontal="right"/>
    </xf>
    <xf numFmtId="10" fontId="41" fillId="0" borderId="0" xfId="51" applyNumberFormat="1" applyFont="1" applyFill="1" applyBorder="1"/>
    <xf numFmtId="10" fontId="42" fillId="0" borderId="11" xfId="51" applyNumberFormat="1" applyFont="1" applyFill="1" applyBorder="1"/>
    <xf numFmtId="10" fontId="41" fillId="0" borderId="0" xfId="51" applyNumberFormat="1" applyFont="1" applyFill="1" applyBorder="1" applyAlignment="1">
      <alignment vertical="center"/>
    </xf>
    <xf numFmtId="10" fontId="42" fillId="27" borderId="0" xfId="51" applyNumberFormat="1" applyFont="1" applyFill="1" applyBorder="1"/>
    <xf numFmtId="10" fontId="42" fillId="0" borderId="11" xfId="51" applyNumberFormat="1" applyFont="1" applyFill="1" applyBorder="1" applyAlignment="1">
      <alignment vertical="center"/>
    </xf>
    <xf numFmtId="0" fontId="41" fillId="28" borderId="0" xfId="0" applyFont="1" applyFill="1"/>
    <xf numFmtId="0" fontId="48" fillId="28" borderId="0" xfId="0" applyFont="1" applyFill="1"/>
    <xf numFmtId="178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0" fontId="41" fillId="28" borderId="0" xfId="0" applyNumberFormat="1" applyFont="1" applyFill="1" applyAlignment="1">
      <alignment horizontal="right"/>
    </xf>
    <xf numFmtId="165" fontId="42" fillId="28" borderId="0" xfId="0" applyNumberFormat="1" applyFont="1" applyFill="1" applyAlignment="1">
      <alignment horizontal="right"/>
    </xf>
    <xf numFmtId="166" fontId="42" fillId="28" borderId="0" xfId="51" applyNumberFormat="1" applyFont="1" applyFill="1" applyBorder="1" applyAlignment="1">
      <alignment vertical="center"/>
    </xf>
    <xf numFmtId="178" fontId="42" fillId="25" borderId="13" xfId="29" applyNumberFormat="1" applyFont="1" applyFill="1" applyBorder="1" applyAlignment="1">
      <alignment vertical="center"/>
    </xf>
    <xf numFmtId="178" fontId="42" fillId="25" borderId="19" xfId="29" applyNumberFormat="1" applyFont="1" applyFill="1" applyBorder="1" applyAlignment="1">
      <alignment vertical="center"/>
    </xf>
    <xf numFmtId="166" fontId="42" fillId="25" borderId="19" xfId="51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178" fontId="42" fillId="4" borderId="11" xfId="29" applyNumberFormat="1" applyFont="1" applyFill="1" applyBorder="1" applyAlignment="1">
      <alignment horizontal="center"/>
    </xf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7" fontId="32" fillId="35" borderId="11" xfId="28" applyNumberFormat="1" applyFont="1" applyFill="1" applyBorder="1" applyAlignment="1" applyProtection="1">
      <alignment horizontal="center"/>
    </xf>
    <xf numFmtId="168" fontId="36" fillId="35" borderId="13" xfId="0" applyNumberFormat="1" applyFont="1" applyFill="1" applyBorder="1" applyAlignment="1">
      <alignment horizontal="center" vertical="center" wrapText="1"/>
    </xf>
    <xf numFmtId="167" fontId="32" fillId="36" borderId="11" xfId="28" applyNumberFormat="1" applyFont="1" applyFill="1" applyBorder="1" applyAlignment="1" applyProtection="1">
      <alignment horizontal="center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3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3" fontId="44" fillId="0" borderId="55" xfId="0" applyNumberFormat="1" applyFont="1" applyBorder="1" applyAlignment="1">
      <alignment horizontal="center" vertical="center"/>
    </xf>
    <xf numFmtId="0" fontId="27" fillId="0" borderId="11" xfId="28" applyNumberFormat="1" applyFont="1" applyBorder="1" applyProtection="1"/>
    <xf numFmtId="0" fontId="44" fillId="0" borderId="0" xfId="0" applyFont="1"/>
    <xf numFmtId="178" fontId="53" fillId="0" borderId="0" xfId="29" applyNumberFormat="1" applyFont="1" applyProtection="1"/>
    <xf numFmtId="9" fontId="0" fillId="0" borderId="0" xfId="51" applyFont="1" applyProtection="1"/>
    <xf numFmtId="10" fontId="41" fillId="0" borderId="11" xfId="51" applyNumberFormat="1" applyFont="1" applyFill="1" applyBorder="1" applyAlignment="1">
      <alignment vertical="center"/>
    </xf>
    <xf numFmtId="16" fontId="46" fillId="0" borderId="11" xfId="41" applyNumberFormat="1" applyBorder="1"/>
    <xf numFmtId="0" fontId="0" fillId="0" borderId="17" xfId="28" applyNumberFormat="1" applyFont="1" applyBorder="1" applyProtection="1"/>
    <xf numFmtId="2" fontId="38" fillId="0" borderId="11" xfId="46" applyNumberFormat="1" applyFont="1" applyBorder="1" applyAlignment="1">
      <alignment horizontal="center"/>
    </xf>
    <xf numFmtId="2" fontId="41" fillId="0" borderId="0" xfId="0" applyNumberFormat="1" applyFont="1"/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4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7" fillId="0" borderId="66" xfId="0" applyNumberFormat="1" applyFont="1" applyBorder="1" applyAlignment="1">
      <alignment vertical="center"/>
    </xf>
    <xf numFmtId="0" fontId="27" fillId="0" borderId="66" xfId="0" applyFont="1" applyBorder="1" applyAlignment="1">
      <alignment horizontal="center" vertical="center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68" fontId="27" fillId="0" borderId="66" xfId="0" applyNumberFormat="1" applyFont="1" applyBorder="1" applyAlignment="1">
      <alignment vertical="center"/>
    </xf>
    <xf numFmtId="2" fontId="27" fillId="0" borderId="66" xfId="0" applyNumberFormat="1" applyFont="1" applyBorder="1" applyAlignment="1">
      <alignment vertical="center" wrapText="1"/>
    </xf>
    <xf numFmtId="4" fontId="27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1" applyFont="1" applyBorder="1" applyAlignment="1" applyProtection="1">
      <alignment horizontal="center" vertical="center"/>
      <protection locked="0"/>
    </xf>
    <xf numFmtId="9" fontId="0" fillId="0" borderId="62" xfId="51" applyFont="1" applyBorder="1" applyAlignment="1" applyProtection="1">
      <alignment horizontal="center" vertical="center"/>
    </xf>
    <xf numFmtId="9" fontId="27" fillId="0" borderId="66" xfId="51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2" fontId="0" fillId="0" borderId="17" xfId="28" applyNumberFormat="1" applyFont="1" applyBorder="1" applyProtection="1"/>
    <xf numFmtId="10" fontId="44" fillId="0" borderId="11" xfId="51" applyNumberFormat="1" applyFont="1" applyFill="1" applyBorder="1" applyAlignment="1" applyProtection="1">
      <alignment horizontal="center" vertical="center"/>
      <protection locked="0"/>
    </xf>
    <xf numFmtId="10" fontId="44" fillId="27" borderId="11" xfId="51" applyNumberFormat="1" applyFont="1" applyFill="1" applyBorder="1" applyAlignment="1" applyProtection="1">
      <alignment horizontal="center" vertical="center"/>
      <protection locked="0"/>
    </xf>
    <xf numFmtId="2" fontId="38" fillId="0" borderId="11" xfId="45" applyNumberFormat="1" applyFont="1" applyBorder="1" applyAlignment="1">
      <alignment horizontal="center"/>
    </xf>
    <xf numFmtId="165" fontId="42" fillId="33" borderId="11" xfId="29" applyNumberFormat="1" applyFont="1" applyFill="1" applyBorder="1" applyAlignment="1">
      <alignment vertical="center"/>
    </xf>
    <xf numFmtId="0" fontId="44" fillId="0" borderId="11" xfId="0" applyFont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horizontal="center" vertical="center" wrapText="1"/>
    </xf>
    <xf numFmtId="10" fontId="44" fillId="27" borderId="62" xfId="51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0" fontId="38" fillId="0" borderId="11" xfId="56" applyFont="1" applyBorder="1" applyAlignment="1">
      <alignment horizontal="left"/>
    </xf>
    <xf numFmtId="0" fontId="44" fillId="0" borderId="11" xfId="0" applyFont="1" applyBorder="1"/>
    <xf numFmtId="0" fontId="38" fillId="0" borderId="19" xfId="56" applyFont="1" applyBorder="1" applyAlignment="1">
      <alignment horizontal="left"/>
    </xf>
    <xf numFmtId="0" fontId="30" fillId="0" borderId="11" xfId="56" applyFont="1" applyBorder="1" applyAlignment="1">
      <alignment horizontal="left"/>
    </xf>
    <xf numFmtId="0" fontId="54" fillId="0" borderId="0" xfId="0" applyFont="1"/>
    <xf numFmtId="0" fontId="26" fillId="24" borderId="14" xfId="0" quotePrefix="1" applyFont="1" applyFill="1" applyBorder="1" applyAlignment="1" applyProtection="1">
      <alignment wrapText="1"/>
      <protection locked="0"/>
    </xf>
    <xf numFmtId="178" fontId="42" fillId="0" borderId="17" xfId="29" applyNumberFormat="1" applyFont="1" applyFill="1" applyBorder="1" applyAlignment="1">
      <alignment vertical="center" wrapText="1"/>
    </xf>
    <xf numFmtId="0" fontId="55" fillId="39" borderId="0" xfId="41" applyFont="1" applyFill="1"/>
    <xf numFmtId="0" fontId="54" fillId="0" borderId="0" xfId="57" applyFont="1"/>
    <xf numFmtId="14" fontId="54" fillId="27" borderId="0" xfId="57" applyNumberFormat="1" applyFont="1" applyFill="1" applyAlignment="1">
      <alignment horizontal="center" vertical="center"/>
    </xf>
    <xf numFmtId="2" fontId="54" fillId="27" borderId="0" xfId="57" applyNumberFormat="1" applyFont="1" applyFill="1" applyAlignment="1">
      <alignment horizontal="center" vertical="center" wrapText="1"/>
    </xf>
    <xf numFmtId="0" fontId="54" fillId="27" borderId="0" xfId="57" applyFont="1" applyFill="1" applyAlignment="1">
      <alignment horizontal="center" vertical="center"/>
    </xf>
    <xf numFmtId="0" fontId="44" fillId="0" borderId="0" xfId="57"/>
    <xf numFmtId="0" fontId="54" fillId="27" borderId="11" xfId="57" applyFont="1" applyFill="1" applyBorder="1" applyAlignment="1">
      <alignment horizontal="center" vertical="center"/>
    </xf>
    <xf numFmtId="0" fontId="54" fillId="27" borderId="11" xfId="57" applyFont="1" applyFill="1" applyBorder="1" applyAlignment="1">
      <alignment horizontal="center" vertical="center" wrapText="1"/>
    </xf>
    <xf numFmtId="2" fontId="44" fillId="0" borderId="0" xfId="57" applyNumberFormat="1"/>
    <xf numFmtId="0" fontId="44" fillId="0" borderId="0" xfId="57" quotePrefix="1"/>
    <xf numFmtId="0" fontId="44" fillId="0" borderId="11" xfId="57" applyBorder="1"/>
    <xf numFmtId="2" fontId="44" fillId="0" borderId="11" xfId="57" applyNumberFormat="1" applyBorder="1" applyAlignment="1">
      <alignment horizontal="center"/>
    </xf>
    <xf numFmtId="10" fontId="0" fillId="0" borderId="11" xfId="51" applyNumberFormat="1" applyFont="1" applyBorder="1" applyAlignment="1">
      <alignment horizontal="center"/>
    </xf>
    <xf numFmtId="2" fontId="44" fillId="0" borderId="0" xfId="57" applyNumberFormat="1" applyAlignment="1">
      <alignment horizontal="center"/>
    </xf>
    <xf numFmtId="10" fontId="0" fillId="0" borderId="0" xfId="51" applyNumberFormat="1" applyFont="1" applyBorder="1" applyAlignment="1">
      <alignment horizontal="center"/>
    </xf>
    <xf numFmtId="0" fontId="44" fillId="27" borderId="11" xfId="57" applyFill="1" applyBorder="1"/>
    <xf numFmtId="2" fontId="44" fillId="0" borderId="11" xfId="57" applyNumberFormat="1" applyBorder="1"/>
    <xf numFmtId="10" fontId="0" fillId="0" borderId="11" xfId="51" applyNumberFormat="1" applyFont="1" applyBorder="1"/>
    <xf numFmtId="14" fontId="44" fillId="0" borderId="0" xfId="57" applyNumberFormat="1" applyAlignment="1">
      <alignment horizontal="center"/>
    </xf>
    <xf numFmtId="9" fontId="54" fillId="27" borderId="11" xfId="51" applyFont="1" applyFill="1" applyBorder="1" applyAlignment="1">
      <alignment horizontal="center" vertical="center" wrapText="1"/>
    </xf>
    <xf numFmtId="2" fontId="54" fillId="38" borderId="11" xfId="0" applyNumberFormat="1" applyFont="1" applyFill="1" applyBorder="1" applyAlignment="1">
      <alignment horizontal="center"/>
    </xf>
    <xf numFmtId="10" fontId="54" fillId="38" borderId="11" xfId="51" applyNumberFormat="1" applyFont="1" applyFill="1" applyBorder="1" applyAlignment="1">
      <alignment horizontal="center"/>
    </xf>
    <xf numFmtId="0" fontId="27" fillId="38" borderId="11" xfId="0" applyFont="1" applyFill="1" applyBorder="1"/>
    <xf numFmtId="0" fontId="38" fillId="40" borderId="11" xfId="56" applyFont="1" applyFill="1" applyBorder="1" applyAlignment="1">
      <alignment horizontal="left"/>
    </xf>
    <xf numFmtId="0" fontId="0" fillId="41" borderId="11" xfId="0" applyFill="1" applyBorder="1"/>
    <xf numFmtId="0" fontId="44" fillId="41" borderId="11" xfId="0" applyFont="1" applyFill="1" applyBorder="1"/>
    <xf numFmtId="10" fontId="0" fillId="40" borderId="17" xfId="51" applyNumberFormat="1" applyFont="1" applyFill="1" applyBorder="1"/>
    <xf numFmtId="10" fontId="0" fillId="0" borderId="17" xfId="51" applyNumberFormat="1" applyFont="1" applyBorder="1"/>
    <xf numFmtId="0" fontId="59" fillId="0" borderId="11" xfId="56" applyFont="1" applyBorder="1" applyAlignment="1">
      <alignment horizontal="left"/>
    </xf>
    <xf numFmtId="10" fontId="58" fillId="27" borderId="11" xfId="51" applyNumberFormat="1" applyFont="1" applyFill="1" applyBorder="1"/>
    <xf numFmtId="10" fontId="27" fillId="0" borderId="11" xfId="0" applyNumberFormat="1" applyFont="1" applyBorder="1"/>
    <xf numFmtId="177" fontId="41" fillId="0" borderId="11" xfId="0" applyNumberFormat="1" applyFont="1" applyBorder="1" applyAlignment="1">
      <alignment horizontal="center" vertical="center" wrapText="1"/>
    </xf>
    <xf numFmtId="0" fontId="21" fillId="0" borderId="0" xfId="41" applyFont="1"/>
    <xf numFmtId="178" fontId="41" fillId="0" borderId="19" xfId="29" applyNumberFormat="1" applyFont="1" applyFill="1" applyBorder="1" applyAlignment="1">
      <alignment vertical="center"/>
    </xf>
    <xf numFmtId="181" fontId="42" fillId="25" borderId="11" xfId="29" applyNumberFormat="1" applyFont="1" applyFill="1" applyBorder="1" applyAlignment="1">
      <alignment vertical="center"/>
    </xf>
    <xf numFmtId="10" fontId="42" fillId="29" borderId="11" xfId="51" applyNumberFormat="1" applyFont="1" applyFill="1" applyBorder="1" applyAlignment="1">
      <alignment vertical="center"/>
    </xf>
    <xf numFmtId="10" fontId="42" fillId="4" borderId="11" xfId="51" applyNumberFormat="1" applyFont="1" applyFill="1" applyBorder="1" applyAlignment="1">
      <alignment vertical="center"/>
    </xf>
    <xf numFmtId="10" fontId="42" fillId="25" borderId="11" xfId="51" applyNumberFormat="1" applyFont="1" applyFill="1" applyBorder="1"/>
    <xf numFmtId="179" fontId="42" fillId="0" borderId="11" xfId="29" applyNumberFormat="1" applyFont="1" applyFill="1" applyBorder="1" applyAlignment="1">
      <alignment vertical="center"/>
    </xf>
    <xf numFmtId="166" fontId="42" fillId="0" borderId="0" xfId="52" applyNumberFormat="1" applyFont="1" applyFill="1" applyBorder="1" applyAlignment="1">
      <alignment vertical="center"/>
    </xf>
    <xf numFmtId="165" fontId="26" fillId="24" borderId="10" xfId="28" applyFont="1" applyFill="1" applyBorder="1" applyAlignment="1" applyProtection="1">
      <alignment horizontal="center" vertical="center"/>
      <protection locked="0"/>
    </xf>
    <xf numFmtId="0" fontId="26" fillId="24" borderId="14" xfId="0" applyFont="1" applyFill="1" applyBorder="1" applyAlignment="1" applyProtection="1">
      <alignment horizontal="center" vertical="center"/>
      <protection locked="0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5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2" fontId="0" fillId="0" borderId="70" xfId="0" applyNumberFormat="1" applyBorder="1" applyAlignment="1">
      <alignment vertical="center"/>
    </xf>
    <xf numFmtId="9" fontId="41" fillId="27" borderId="11" xfId="0" applyNumberFormat="1" applyFont="1" applyFill="1" applyBorder="1" applyAlignment="1">
      <alignment horizontal="center" vertical="center" wrapText="1"/>
    </xf>
    <xf numFmtId="10" fontId="44" fillId="0" borderId="0" xfId="57" applyNumberFormat="1"/>
    <xf numFmtId="178" fontId="42" fillId="42" borderId="11" xfId="58" applyNumberFormat="1" applyFont="1" applyFill="1" applyBorder="1" applyAlignment="1">
      <alignment horizontal="center" vertical="center" wrapText="1"/>
    </xf>
    <xf numFmtId="178" fontId="42" fillId="26" borderId="14" xfId="58" applyNumberFormat="1" applyFont="1" applyFill="1" applyBorder="1" applyAlignment="1">
      <alignment horizontal="center" vertical="center" wrapText="1"/>
    </xf>
    <xf numFmtId="178" fontId="42" fillId="26" borderId="11" xfId="58" applyNumberFormat="1" applyFont="1" applyFill="1" applyBorder="1" applyAlignment="1">
      <alignment horizontal="center" vertical="center" wrapText="1"/>
    </xf>
    <xf numFmtId="178" fontId="42" fillId="42" borderId="14" xfId="58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4" xfId="28" applyNumberFormat="1" applyFont="1" applyBorder="1" applyAlignment="1"/>
    <xf numFmtId="2" fontId="0" fillId="0" borderId="84" xfId="28" applyNumberFormat="1" applyFont="1" applyBorder="1" applyAlignment="1" applyProtection="1">
      <alignment horizontal="center" vertical="center"/>
      <protection hidden="1"/>
    </xf>
    <xf numFmtId="178" fontId="42" fillId="4" borderId="14" xfId="29" applyNumberFormat="1" applyFont="1" applyFill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54" fillId="27" borderId="11" xfId="57" applyFont="1" applyFill="1" applyBorder="1" applyAlignment="1">
      <alignment horizontal="center" vertical="center"/>
    </xf>
    <xf numFmtId="0" fontId="26" fillId="24" borderId="39" xfId="0" applyFont="1" applyFill="1" applyBorder="1" applyAlignment="1">
      <alignment horizontal="left" vertical="center"/>
    </xf>
    <xf numFmtId="165" fontId="26" fillId="24" borderId="45" xfId="51" applyNumberFormat="1" applyFont="1" applyFill="1" applyBorder="1" applyAlignment="1" applyProtection="1">
      <alignment horizontal="center" vertical="center"/>
      <protection locked="0"/>
    </xf>
    <xf numFmtId="0" fontId="26" fillId="24" borderId="54" xfId="0" applyFont="1" applyFill="1" applyBorder="1" applyAlignment="1" applyProtection="1">
      <alignment horizontal="left" vertical="center"/>
      <protection locked="0"/>
    </xf>
    <xf numFmtId="165" fontId="26" fillId="24" borderId="11" xfId="28" applyNumberFormat="1" applyFont="1" applyFill="1" applyBorder="1" applyAlignment="1" applyProtection="1">
      <alignment horizontal="center"/>
      <protection locked="0"/>
    </xf>
    <xf numFmtId="16" fontId="46" fillId="0" borderId="25" xfId="41" applyNumberFormat="1" applyBorder="1"/>
    <xf numFmtId="0" fontId="46" fillId="0" borderId="17" xfId="41" applyBorder="1"/>
    <xf numFmtId="16" fontId="46" fillId="0" borderId="17" xfId="41" applyNumberFormat="1" applyBorder="1"/>
    <xf numFmtId="2" fontId="46" fillId="0" borderId="17" xfId="41" applyNumberFormat="1" applyBorder="1" applyAlignment="1">
      <alignment horizontal="center"/>
    </xf>
    <xf numFmtId="2" fontId="27" fillId="0" borderId="31" xfId="28" applyNumberFormat="1" applyFont="1" applyBorder="1" applyAlignment="1">
      <alignment horizontal="center" vertical="center"/>
    </xf>
    <xf numFmtId="165" fontId="46" fillId="11" borderId="17" xfId="28" applyFont="1" applyFill="1" applyBorder="1" applyAlignment="1" applyProtection="1">
      <alignment horizontal="center"/>
    </xf>
    <xf numFmtId="2" fontId="27" fillId="27" borderId="0" xfId="41" applyNumberFormat="1" applyFont="1" applyFill="1"/>
    <xf numFmtId="0" fontId="0" fillId="0" borderId="0" xfId="0" applyFill="1" applyBorder="1"/>
    <xf numFmtId="0" fontId="44" fillId="0" borderId="0" xfId="0" applyFont="1" applyFill="1" applyBorder="1"/>
    <xf numFmtId="0" fontId="44" fillId="0" borderId="0" xfId="0" applyFont="1" applyBorder="1"/>
    <xf numFmtId="0" fontId="0" fillId="0" borderId="0" xfId="0" applyBorder="1"/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" fontId="46" fillId="0" borderId="39" xfId="0" applyNumberFormat="1" applyFont="1" applyBorder="1" applyAlignment="1">
      <alignment horizontal="center" vertical="center"/>
    </xf>
    <xf numFmtId="165" fontId="27" fillId="0" borderId="11" xfId="28" applyNumberFormat="1" applyFont="1" applyBorder="1" applyProtection="1"/>
    <xf numFmtId="173" fontId="27" fillId="27" borderId="0" xfId="0" applyNumberFormat="1" applyFont="1" applyFill="1" applyAlignment="1">
      <alignment vertical="center"/>
    </xf>
    <xf numFmtId="180" fontId="27" fillId="27" borderId="0" xfId="0" applyNumberFormat="1" applyFont="1" applyFill="1" applyAlignment="1">
      <alignment horizontal="right" vertical="center"/>
    </xf>
    <xf numFmtId="0" fontId="26" fillId="24" borderId="0" xfId="0" applyFont="1" applyFill="1" applyAlignment="1">
      <alignment horizontal="right"/>
    </xf>
    <xf numFmtId="0" fontId="62" fillId="24" borderId="0" xfId="0" applyFont="1" applyFill="1" applyAlignment="1">
      <alignment horizontal="right"/>
    </xf>
    <xf numFmtId="0" fontId="22" fillId="24" borderId="0" xfId="0" applyFont="1" applyFill="1" applyAlignment="1">
      <alignment horizontal="right"/>
    </xf>
    <xf numFmtId="176" fontId="22" fillId="24" borderId="0" xfId="0" applyNumberFormat="1" applyFont="1" applyFill="1"/>
    <xf numFmtId="176" fontId="26" fillId="24" borderId="0" xfId="0" applyNumberFormat="1" applyFont="1" applyFill="1"/>
    <xf numFmtId="0" fontId="62" fillId="24" borderId="0" xfId="0" applyFont="1" applyFill="1"/>
    <xf numFmtId="0" fontId="44" fillId="24" borderId="0" xfId="0" applyFont="1" applyFill="1" applyAlignment="1">
      <alignment horizontal="right"/>
    </xf>
    <xf numFmtId="0" fontId="44" fillId="24" borderId="0" xfId="0" applyFont="1" applyFill="1"/>
    <xf numFmtId="0" fontId="63" fillId="24" borderId="0" xfId="0" applyFont="1" applyFill="1" applyAlignment="1">
      <alignment horizontal="right"/>
    </xf>
    <xf numFmtId="0" fontId="63" fillId="24" borderId="0" xfId="0" applyFont="1" applyFill="1"/>
    <xf numFmtId="176" fontId="63" fillId="24" borderId="0" xfId="0" applyNumberFormat="1" applyFont="1" applyFill="1"/>
    <xf numFmtId="9" fontId="41" fillId="0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0" fontId="54" fillId="0" borderId="11" xfId="0" applyFont="1" applyBorder="1" applyAlignment="1">
      <alignment horizontal="left" vertical="center"/>
    </xf>
    <xf numFmtId="0" fontId="0" fillId="0" borderId="11" xfId="0" applyBorder="1" applyAlignment="1">
      <alignment vertical="top" wrapText="1"/>
    </xf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 vertical="center"/>
    </xf>
    <xf numFmtId="10" fontId="1" fillId="0" borderId="11" xfId="51" applyNumberFormat="1" applyFont="1" applyFill="1" applyBorder="1" applyAlignment="1">
      <alignment horizontal="center" vertical="center"/>
    </xf>
    <xf numFmtId="10" fontId="0" fillId="0" borderId="11" xfId="51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44" fillId="0" borderId="11" xfId="0" applyFont="1" applyBorder="1" applyAlignment="1">
      <alignment wrapText="1"/>
    </xf>
    <xf numFmtId="0" fontId="54" fillId="0" borderId="60" xfId="0" applyFont="1" applyBorder="1" applyAlignment="1">
      <alignment vertical="center"/>
    </xf>
    <xf numFmtId="10" fontId="54" fillId="0" borderId="11" xfId="51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0" fontId="27" fillId="24" borderId="85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0" fillId="0" borderId="83" xfId="0" applyBorder="1"/>
    <xf numFmtId="10" fontId="26" fillId="24" borderId="36" xfId="51" applyNumberFormat="1" applyFont="1" applyFill="1" applyBorder="1" applyAlignment="1" applyProtection="1">
      <alignment horizontal="center" vertical="center"/>
    </xf>
    <xf numFmtId="0" fontId="27" fillId="24" borderId="0" xfId="0" applyFont="1" applyFill="1"/>
    <xf numFmtId="0" fontId="64" fillId="24" borderId="0" xfId="0" applyFont="1" applyFill="1" applyAlignment="1">
      <alignment horizontal="right"/>
    </xf>
    <xf numFmtId="0" fontId="64" fillId="24" borderId="0" xfId="0" applyFont="1" applyFill="1"/>
    <xf numFmtId="1" fontId="44" fillId="27" borderId="39" xfId="0" applyNumberFormat="1" applyFont="1" applyFill="1" applyBorder="1" applyAlignment="1">
      <alignment horizontal="center" vertical="center"/>
    </xf>
    <xf numFmtId="0" fontId="42" fillId="0" borderId="14" xfId="0" applyFont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right"/>
    </xf>
    <xf numFmtId="178" fontId="42" fillId="0" borderId="19" xfId="29" applyNumberFormat="1" applyFont="1" applyFill="1" applyBorder="1" applyAlignment="1">
      <alignment horizontal="right"/>
    </xf>
    <xf numFmtId="178" fontId="42" fillId="4" borderId="14" xfId="29" applyNumberFormat="1" applyFont="1" applyFill="1" applyBorder="1" applyAlignment="1">
      <alignment horizontal="center" vertical="center" wrapText="1"/>
    </xf>
    <xf numFmtId="0" fontId="0" fillId="0" borderId="68" xfId="0" applyBorder="1"/>
    <xf numFmtId="0" fontId="44" fillId="0" borderId="26" xfId="0" applyFont="1" applyBorder="1"/>
    <xf numFmtId="0" fontId="0" fillId="0" borderId="26" xfId="0" applyFill="1" applyBorder="1"/>
    <xf numFmtId="0" fontId="44" fillId="0" borderId="26" xfId="0" applyFont="1" applyFill="1" applyBorder="1"/>
    <xf numFmtId="0" fontId="0" fillId="0" borderId="26" xfId="0" applyBorder="1"/>
    <xf numFmtId="2" fontId="0" fillId="0" borderId="40" xfId="0" applyNumberFormat="1" applyBorder="1" applyAlignment="1">
      <alignment vertical="center"/>
    </xf>
    <xf numFmtId="174" fontId="22" fillId="24" borderId="0" xfId="0" applyNumberFormat="1" applyFont="1" applyFill="1"/>
    <xf numFmtId="174" fontId="26" fillId="24" borderId="11" xfId="28" applyNumberFormat="1" applyFont="1" applyFill="1" applyBorder="1" applyAlignment="1" applyProtection="1">
      <alignment horizontal="center"/>
      <protection locked="0"/>
    </xf>
    <xf numFmtId="9" fontId="41" fillId="47" borderId="11" xfId="0" applyNumberFormat="1" applyFont="1" applyFill="1" applyBorder="1" applyAlignment="1">
      <alignment horizontal="center" vertical="center" wrapText="1"/>
    </xf>
    <xf numFmtId="0" fontId="22" fillId="24" borderId="15" xfId="0" applyFont="1" applyFill="1" applyBorder="1"/>
    <xf numFmtId="0" fontId="22" fillId="24" borderId="15" xfId="0" applyFont="1" applyFill="1" applyBorder="1" applyAlignment="1">
      <alignment horizontal="center" wrapText="1"/>
    </xf>
    <xf numFmtId="0" fontId="22" fillId="24" borderId="56" xfId="0" applyFont="1" applyFill="1" applyBorder="1"/>
    <xf numFmtId="9" fontId="22" fillId="0" borderId="21" xfId="51" applyFont="1" applyFill="1" applyBorder="1" applyAlignment="1">
      <alignment vertical="center"/>
    </xf>
    <xf numFmtId="0" fontId="22" fillId="24" borderId="21" xfId="0" applyFont="1" applyFill="1" applyBorder="1"/>
    <xf numFmtId="2" fontId="22" fillId="24" borderId="21" xfId="0" applyNumberFormat="1" applyFont="1" applyFill="1" applyBorder="1"/>
    <xf numFmtId="165" fontId="22" fillId="0" borderId="11" xfId="29" applyNumberFormat="1" applyFont="1" applyFill="1" applyBorder="1" applyAlignment="1">
      <alignment vertical="center"/>
    </xf>
    <xf numFmtId="165" fontId="22" fillId="24" borderId="21" xfId="0" applyNumberFormat="1" applyFont="1" applyFill="1" applyBorder="1"/>
    <xf numFmtId="10" fontId="41" fillId="0" borderId="13" xfId="51" applyNumberFormat="1" applyFont="1" applyFill="1" applyBorder="1" applyAlignment="1">
      <alignment vertical="center"/>
    </xf>
    <xf numFmtId="9" fontId="41" fillId="29" borderId="11" xfId="0" applyNumberFormat="1" applyFont="1" applyFill="1" applyBorder="1" applyAlignment="1">
      <alignment horizontal="center" vertical="center" wrapText="1"/>
    </xf>
    <xf numFmtId="16" fontId="0" fillId="0" borderId="83" xfId="0" applyNumberFormat="1" applyBorder="1"/>
    <xf numFmtId="182" fontId="22" fillId="24" borderId="0" xfId="0" applyNumberFormat="1" applyFont="1" applyFill="1"/>
    <xf numFmtId="0" fontId="44" fillId="0" borderId="0" xfId="57" quotePrefix="1" applyAlignment="1">
      <alignment wrapText="1"/>
    </xf>
    <xf numFmtId="183" fontId="22" fillId="24" borderId="0" xfId="0" applyNumberFormat="1" applyFont="1" applyFill="1"/>
    <xf numFmtId="0" fontId="27" fillId="0" borderId="19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73" fontId="44" fillId="0" borderId="67" xfId="0" applyNumberFormat="1" applyFont="1" applyBorder="1"/>
    <xf numFmtId="173" fontId="44" fillId="0" borderId="83" xfId="0" applyNumberFormat="1" applyFont="1" applyBorder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7" fontId="41" fillId="27" borderId="11" xfId="0" applyNumberFormat="1" applyFont="1" applyFill="1" applyBorder="1" applyAlignment="1">
      <alignment horizontal="center" vertical="center" wrapText="1"/>
    </xf>
    <xf numFmtId="10" fontId="41" fillId="0" borderId="0" xfId="51" applyNumberFormat="1" applyFont="1" applyFill="1" applyBorder="1" applyAlignment="1">
      <alignment horizontal="center" vertical="center" wrapText="1"/>
    </xf>
    <xf numFmtId="10" fontId="41" fillId="0" borderId="17" xfId="0" applyNumberFormat="1" applyFont="1" applyBorder="1"/>
    <xf numFmtId="10" fontId="42" fillId="0" borderId="0" xfId="52" applyNumberFormat="1" applyFont="1" applyFill="1" applyBorder="1" applyAlignment="1">
      <alignment vertical="center"/>
    </xf>
    <xf numFmtId="10" fontId="42" fillId="0" borderId="0" xfId="51" applyNumberFormat="1" applyFont="1" applyFill="1" applyBorder="1" applyAlignment="1">
      <alignment vertical="center"/>
    </xf>
    <xf numFmtId="10" fontId="42" fillId="0" borderId="0" xfId="29" applyNumberFormat="1" applyFont="1" applyFill="1" applyBorder="1" applyAlignment="1">
      <alignment vertical="center"/>
    </xf>
    <xf numFmtId="10" fontId="41" fillId="28" borderId="0" xfId="29" applyNumberFormat="1" applyFont="1" applyFill="1" applyBorder="1" applyAlignment="1">
      <alignment vertical="center"/>
    </xf>
    <xf numFmtId="2" fontId="44" fillId="0" borderId="70" xfId="0" applyNumberFormat="1" applyFont="1" applyBorder="1" applyAlignment="1">
      <alignment vertical="center"/>
    </xf>
    <xf numFmtId="1" fontId="42" fillId="0" borderId="0" xfId="51" applyNumberFormat="1" applyFont="1" applyFill="1" applyBorder="1" applyAlignment="1">
      <alignment vertical="center"/>
    </xf>
    <xf numFmtId="171" fontId="37" fillId="0" borderId="11" xfId="0" applyNumberFormat="1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168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69" fontId="34" fillId="0" borderId="0" xfId="0" applyNumberFormat="1" applyFont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73" xfId="0" applyFont="1" applyBorder="1" applyAlignment="1">
      <alignment horizontal="center" vertical="center" wrapText="1"/>
    </xf>
    <xf numFmtId="169" fontId="34" fillId="0" borderId="0" xfId="0" applyNumberFormat="1" applyFont="1" applyAlignment="1">
      <alignment horizontal="center" vertical="justify" wrapText="1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6" borderId="13" xfId="28" applyNumberFormat="1" applyFont="1" applyFill="1" applyBorder="1" applyAlignment="1" applyProtection="1">
      <alignment horizontal="center"/>
    </xf>
    <xf numFmtId="167" fontId="32" fillId="36" borderId="20" xfId="28" applyNumberFormat="1" applyFont="1" applyFill="1" applyBorder="1" applyAlignment="1" applyProtection="1">
      <alignment horizontal="center"/>
    </xf>
    <xf numFmtId="167" fontId="32" fillId="36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5" borderId="13" xfId="28" applyNumberFormat="1" applyFont="1" applyFill="1" applyBorder="1" applyAlignment="1" applyProtection="1">
      <alignment horizontal="center"/>
    </xf>
    <xf numFmtId="167" fontId="32" fillId="35" borderId="20" xfId="28" applyNumberFormat="1" applyFont="1" applyFill="1" applyBorder="1" applyAlignment="1" applyProtection="1">
      <alignment horizontal="center"/>
    </xf>
    <xf numFmtId="167" fontId="32" fillId="35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37" borderId="13" xfId="28" applyNumberFormat="1" applyFont="1" applyFill="1" applyBorder="1" applyAlignment="1" applyProtection="1">
      <alignment horizontal="center"/>
    </xf>
    <xf numFmtId="167" fontId="32" fillId="37" borderId="20" xfId="28" applyNumberFormat="1" applyFont="1" applyFill="1" applyBorder="1" applyAlignment="1" applyProtection="1">
      <alignment horizontal="center"/>
    </xf>
    <xf numFmtId="167" fontId="32" fillId="37" borderId="19" xfId="28" applyNumberFormat="1" applyFont="1" applyFill="1" applyBorder="1" applyAlignment="1" applyProtection="1">
      <alignment horizontal="center"/>
    </xf>
    <xf numFmtId="178" fontId="42" fillId="42" borderId="85" xfId="58" applyNumberFormat="1" applyFont="1" applyFill="1" applyBorder="1" applyAlignment="1">
      <alignment horizontal="center" vertical="center" wrapText="1"/>
    </xf>
    <xf numFmtId="178" fontId="42" fillId="42" borderId="62" xfId="58" applyNumberFormat="1" applyFont="1" applyFill="1" applyBorder="1" applyAlignment="1">
      <alignment horizontal="center" vertical="center" wrapText="1"/>
    </xf>
    <xf numFmtId="178" fontId="42" fillId="42" borderId="17" xfId="58" applyNumberFormat="1" applyFont="1" applyFill="1" applyBorder="1" applyAlignment="1">
      <alignment horizontal="center" vertical="center" wrapText="1"/>
    </xf>
    <xf numFmtId="178" fontId="42" fillId="26" borderId="85" xfId="58" applyNumberFormat="1" applyFont="1" applyFill="1" applyBorder="1" applyAlignment="1">
      <alignment horizontal="center" vertical="center" wrapText="1"/>
    </xf>
    <xf numFmtId="178" fontId="42" fillId="26" borderId="62" xfId="58" applyNumberFormat="1" applyFont="1" applyFill="1" applyBorder="1" applyAlignment="1">
      <alignment horizontal="center" vertical="center" wrapText="1"/>
    </xf>
    <xf numFmtId="178" fontId="42" fillId="26" borderId="17" xfId="58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5" xfId="0" applyFont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center" vertical="center" wrapText="1"/>
    </xf>
    <xf numFmtId="178" fontId="42" fillId="0" borderId="20" xfId="29" applyNumberFormat="1" applyFont="1" applyFill="1" applyBorder="1" applyAlignment="1">
      <alignment horizontal="center" vertical="center" wrapText="1"/>
    </xf>
    <xf numFmtId="178" fontId="42" fillId="0" borderId="19" xfId="29" applyNumberFormat="1" applyFont="1" applyFill="1" applyBorder="1" applyAlignment="1">
      <alignment horizontal="center" vertical="center" wrapText="1"/>
    </xf>
    <xf numFmtId="178" fontId="42" fillId="0" borderId="62" xfId="29" applyNumberFormat="1" applyFont="1" applyFill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178" fontId="42" fillId="0" borderId="11" xfId="29" applyNumberFormat="1" applyFont="1" applyFill="1" applyBorder="1" applyAlignment="1">
      <alignment horizontal="center" vertical="center" wrapText="1"/>
    </xf>
    <xf numFmtId="178" fontId="42" fillId="0" borderId="14" xfId="29" applyNumberFormat="1" applyFont="1" applyFill="1" applyBorder="1" applyAlignment="1">
      <alignment horizontal="center" vertical="center" wrapText="1"/>
    </xf>
    <xf numFmtId="178" fontId="42" fillId="42" borderId="58" xfId="58" applyNumberFormat="1" applyFont="1" applyFill="1" applyBorder="1" applyAlignment="1">
      <alignment horizontal="center" vertical="center" wrapText="1"/>
    </xf>
    <xf numFmtId="178" fontId="42" fillId="42" borderId="31" xfId="58" applyNumberFormat="1" applyFont="1" applyFill="1" applyBorder="1" applyAlignment="1">
      <alignment horizontal="center" vertical="center" wrapText="1"/>
    </xf>
    <xf numFmtId="178" fontId="42" fillId="26" borderId="13" xfId="58" applyNumberFormat="1" applyFont="1" applyFill="1" applyBorder="1" applyAlignment="1">
      <alignment horizontal="center" vertical="center" wrapText="1"/>
    </xf>
    <xf numFmtId="178" fontId="42" fillId="26" borderId="19" xfId="58" applyNumberFormat="1" applyFont="1" applyFill="1" applyBorder="1" applyAlignment="1">
      <alignment horizontal="center" vertical="center" wrapText="1"/>
    </xf>
    <xf numFmtId="178" fontId="42" fillId="26" borderId="14" xfId="29" applyNumberFormat="1" applyFont="1" applyFill="1" applyBorder="1" applyAlignment="1">
      <alignment horizontal="center" vertical="center" wrapText="1"/>
    </xf>
    <xf numFmtId="178" fontId="42" fillId="26" borderId="62" xfId="29" applyNumberFormat="1" applyFont="1" applyFill="1" applyBorder="1" applyAlignment="1">
      <alignment horizontal="center" vertical="center" wrapText="1"/>
    </xf>
    <xf numFmtId="178" fontId="42" fillId="26" borderId="17" xfId="29" applyNumberFormat="1" applyFont="1" applyFill="1" applyBorder="1" applyAlignment="1">
      <alignment horizontal="center" vertical="center" wrapText="1"/>
    </xf>
    <xf numFmtId="178" fontId="42" fillId="25" borderId="11" xfId="29" applyNumberFormat="1" applyFont="1" applyFill="1" applyBorder="1" applyAlignment="1">
      <alignment horizontal="center" vertical="center" wrapText="1"/>
    </xf>
    <xf numFmtId="178" fontId="42" fillId="25" borderId="14" xfId="29" applyNumberFormat="1" applyFont="1" applyFill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78" fontId="42" fillId="4" borderId="58" xfId="29" applyNumberFormat="1" applyFont="1" applyFill="1" applyBorder="1" applyAlignment="1">
      <alignment horizontal="center" vertical="center" wrapText="1"/>
    </xf>
    <xf numFmtId="178" fontId="42" fillId="4" borderId="31" xfId="29" applyNumberFormat="1" applyFont="1" applyFill="1" applyBorder="1" applyAlignment="1">
      <alignment horizontal="center" vertical="center" wrapText="1"/>
    </xf>
    <xf numFmtId="178" fontId="42" fillId="4" borderId="30" xfId="29" applyNumberFormat="1" applyFont="1" applyFill="1" applyBorder="1" applyAlignment="1">
      <alignment horizontal="center" vertical="center" wrapText="1"/>
    </xf>
    <xf numFmtId="178" fontId="42" fillId="4" borderId="16" xfId="29" applyNumberFormat="1" applyFont="1" applyFill="1" applyBorder="1" applyAlignment="1">
      <alignment horizontal="center" vertical="center" wrapText="1"/>
    </xf>
    <xf numFmtId="166" fontId="42" fillId="25" borderId="14" xfId="51" applyNumberFormat="1" applyFont="1" applyFill="1" applyBorder="1" applyAlignment="1">
      <alignment horizontal="center" vertical="center" wrapText="1"/>
    </xf>
    <xf numFmtId="166" fontId="42" fillId="25" borderId="62" xfId="51" applyNumberFormat="1" applyFont="1" applyFill="1" applyBorder="1" applyAlignment="1">
      <alignment horizontal="center" vertical="center" wrapText="1"/>
    </xf>
    <xf numFmtId="166" fontId="42" fillId="25" borderId="17" xfId="51" applyNumberFormat="1" applyFont="1" applyFill="1" applyBorder="1" applyAlignment="1">
      <alignment horizontal="center" vertical="center" wrapText="1"/>
    </xf>
    <xf numFmtId="178" fontId="42" fillId="25" borderId="62" xfId="29" applyNumberFormat="1" applyFont="1" applyFill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8" fillId="22" borderId="11" xfId="0" applyFont="1" applyFill="1" applyBorder="1" applyAlignment="1">
      <alignment horizontal="center"/>
    </xf>
    <xf numFmtId="178" fontId="42" fillId="22" borderId="14" xfId="29" applyNumberFormat="1" applyFont="1" applyFill="1" applyBorder="1" applyAlignment="1">
      <alignment horizontal="center" vertical="center" wrapText="1"/>
    </xf>
    <xf numFmtId="178" fontId="42" fillId="22" borderId="62" xfId="29" applyNumberFormat="1" applyFont="1" applyFill="1" applyBorder="1" applyAlignment="1">
      <alignment horizontal="center" vertical="center" wrapText="1"/>
    </xf>
    <xf numFmtId="178" fontId="42" fillId="22" borderId="17" xfId="29" applyNumberFormat="1" applyFont="1" applyFill="1" applyBorder="1" applyAlignment="1">
      <alignment horizontal="center" vertical="center" wrapText="1"/>
    </xf>
    <xf numFmtId="178" fontId="43" fillId="25" borderId="11" xfId="29" applyNumberFormat="1" applyFont="1" applyFill="1" applyBorder="1" applyAlignment="1">
      <alignment horizontal="center"/>
    </xf>
    <xf numFmtId="178" fontId="42" fillId="4" borderId="11" xfId="29" applyNumberFormat="1" applyFont="1" applyFill="1" applyBorder="1" applyAlignment="1">
      <alignment horizontal="center" vertical="center" wrapText="1"/>
    </xf>
    <xf numFmtId="178" fontId="42" fillId="4" borderId="14" xfId="29" applyNumberFormat="1" applyFont="1" applyFill="1" applyBorder="1" applyAlignment="1">
      <alignment horizontal="center" vertical="center" wrapText="1"/>
    </xf>
    <xf numFmtId="10" fontId="42" fillId="25" borderId="14" xfId="51" applyNumberFormat="1" applyFont="1" applyFill="1" applyBorder="1" applyAlignment="1">
      <alignment horizontal="center" vertical="center" wrapText="1"/>
    </xf>
    <xf numFmtId="10" fontId="42" fillId="25" borderId="62" xfId="51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7" fontId="42" fillId="0" borderId="58" xfId="0" applyNumberFormat="1" applyFont="1" applyBorder="1" applyAlignment="1">
      <alignment horizontal="center" vertical="center"/>
    </xf>
    <xf numFmtId="177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7" fontId="42" fillId="0" borderId="30" xfId="0" applyNumberFormat="1" applyFont="1" applyBorder="1" applyAlignment="1">
      <alignment horizontal="center" vertical="center"/>
    </xf>
    <xf numFmtId="177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right"/>
    </xf>
    <xf numFmtId="178" fontId="42" fillId="0" borderId="19" xfId="29" applyNumberFormat="1" applyFont="1" applyFill="1" applyBorder="1" applyAlignment="1">
      <alignment horizontal="right"/>
    </xf>
    <xf numFmtId="0" fontId="52" fillId="0" borderId="67" xfId="41" applyFont="1" applyBorder="1" applyAlignment="1">
      <alignment horizontal="center" vertical="center"/>
    </xf>
    <xf numFmtId="0" fontId="52" fillId="0" borderId="83" xfId="41" applyFont="1" applyBorder="1" applyAlignment="1">
      <alignment horizontal="center" vertical="center"/>
    </xf>
    <xf numFmtId="0" fontId="52" fillId="0" borderId="68" xfId="41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7" fillId="0" borderId="68" xfId="0" applyFont="1" applyBorder="1" applyAlignment="1">
      <alignment horizontal="center" vertical="center" wrapText="1"/>
    </xf>
    <xf numFmtId="0" fontId="52" fillId="11" borderId="67" xfId="41" applyFont="1" applyFill="1" applyBorder="1" applyAlignment="1">
      <alignment horizontal="center" vertical="center" wrapText="1"/>
    </xf>
    <xf numFmtId="0" fontId="52" fillId="11" borderId="83" xfId="41" applyFont="1" applyFill="1" applyBorder="1" applyAlignment="1">
      <alignment horizontal="center" vertical="center" wrapText="1"/>
    </xf>
    <xf numFmtId="0" fontId="52" fillId="11" borderId="68" xfId="41" applyFont="1" applyFill="1" applyBorder="1" applyAlignment="1">
      <alignment horizontal="center" vertical="center" wrapText="1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0" fontId="52" fillId="0" borderId="76" xfId="41" applyFont="1" applyBorder="1" applyAlignment="1">
      <alignment horizontal="center"/>
    </xf>
    <xf numFmtId="0" fontId="52" fillId="0" borderId="77" xfId="41" applyFont="1" applyBorder="1" applyAlignment="1">
      <alignment horizontal="center"/>
    </xf>
    <xf numFmtId="0" fontId="52" fillId="0" borderId="22" xfId="41" applyFont="1" applyBorder="1" applyAlignment="1">
      <alignment horizontal="center"/>
    </xf>
    <xf numFmtId="2" fontId="0" fillId="33" borderId="13" xfId="28" applyNumberFormat="1" applyFont="1" applyFill="1" applyBorder="1" applyAlignment="1">
      <alignment horizontal="center"/>
    </xf>
    <xf numFmtId="2" fontId="0" fillId="33" borderId="20" xfId="28" applyNumberFormat="1" applyFont="1" applyFill="1" applyBorder="1" applyAlignment="1">
      <alignment horizontal="center"/>
    </xf>
    <xf numFmtId="2" fontId="0" fillId="33" borderId="19" xfId="28" applyNumberFormat="1" applyFont="1" applyFill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2" fontId="0" fillId="27" borderId="20" xfId="28" applyNumberFormat="1" applyFont="1" applyFill="1" applyBorder="1" applyAlignment="1">
      <alignment horizontal="center"/>
    </xf>
    <xf numFmtId="2" fontId="0" fillId="27" borderId="19" xfId="28" applyNumberFormat="1" applyFont="1" applyFill="1" applyBorder="1" applyAlignment="1">
      <alignment horizontal="center"/>
    </xf>
    <xf numFmtId="2" fontId="27" fillId="0" borderId="30" xfId="28" quotePrefix="1" applyNumberFormat="1" applyFont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0" fontId="27" fillId="0" borderId="7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27" borderId="79" xfId="0" applyFont="1" applyFill="1" applyBorder="1" applyAlignment="1">
      <alignment horizontal="center" vertical="center" wrapText="1"/>
    </xf>
    <xf numFmtId="0" fontId="27" fillId="27" borderId="80" xfId="0" applyFont="1" applyFill="1" applyBorder="1" applyAlignment="1">
      <alignment horizontal="center" vertical="center" wrapText="1"/>
    </xf>
    <xf numFmtId="0" fontId="27" fillId="27" borderId="81" xfId="0" applyFont="1" applyFill="1" applyBorder="1" applyAlignment="1">
      <alignment horizontal="center" vertical="center" wrapText="1"/>
    </xf>
    <xf numFmtId="0" fontId="27" fillId="45" borderId="79" xfId="0" applyFont="1" applyFill="1" applyBorder="1" applyAlignment="1">
      <alignment horizontal="center" vertical="center" wrapText="1"/>
    </xf>
    <xf numFmtId="0" fontId="27" fillId="45" borderId="80" xfId="0" applyFont="1" applyFill="1" applyBorder="1" applyAlignment="1">
      <alignment horizontal="center" vertical="center" wrapText="1"/>
    </xf>
    <xf numFmtId="0" fontId="27" fillId="45" borderId="81" xfId="0" applyFont="1" applyFill="1" applyBorder="1" applyAlignment="1">
      <alignment horizontal="center" vertical="center" wrapText="1"/>
    </xf>
    <xf numFmtId="0" fontId="27" fillId="46" borderId="79" xfId="0" applyFont="1" applyFill="1" applyBorder="1" applyAlignment="1">
      <alignment horizontal="center" vertical="center" wrapText="1"/>
    </xf>
    <xf numFmtId="0" fontId="27" fillId="46" borderId="80" xfId="0" applyFont="1" applyFill="1" applyBorder="1" applyAlignment="1">
      <alignment horizontal="center" vertical="center" wrapText="1"/>
    </xf>
    <xf numFmtId="0" fontId="27" fillId="46" borderId="81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44" borderId="79" xfId="0" applyFont="1" applyFill="1" applyBorder="1" applyAlignment="1">
      <alignment horizontal="center" vertical="center" wrapText="1"/>
    </xf>
    <xf numFmtId="0" fontId="27" fillId="44" borderId="80" xfId="0" applyFont="1" applyFill="1" applyBorder="1" applyAlignment="1">
      <alignment horizontal="center" vertical="center" wrapText="1"/>
    </xf>
    <xf numFmtId="0" fontId="27" fillId="44" borderId="81" xfId="0" applyFont="1" applyFill="1" applyBorder="1" applyAlignment="1">
      <alignment horizontal="center" vertical="center" wrapText="1"/>
    </xf>
    <xf numFmtId="0" fontId="27" fillId="33" borderId="79" xfId="0" applyFont="1" applyFill="1" applyBorder="1" applyAlignment="1">
      <alignment horizontal="center" vertical="center" wrapText="1"/>
    </xf>
    <xf numFmtId="0" fontId="27" fillId="33" borderId="80" xfId="0" applyFont="1" applyFill="1" applyBorder="1" applyAlignment="1">
      <alignment horizontal="center" vertical="center" wrapText="1"/>
    </xf>
    <xf numFmtId="0" fontId="27" fillId="33" borderId="81" xfId="0" applyFont="1" applyFill="1" applyBorder="1" applyAlignment="1">
      <alignment horizontal="center" vertical="center" wrapText="1"/>
    </xf>
    <xf numFmtId="0" fontId="27" fillId="43" borderId="79" xfId="0" applyFont="1" applyFill="1" applyBorder="1" applyAlignment="1">
      <alignment horizontal="center" vertical="center" wrapText="1"/>
    </xf>
    <xf numFmtId="0" fontId="27" fillId="43" borderId="80" xfId="0" applyFont="1" applyFill="1" applyBorder="1" applyAlignment="1">
      <alignment horizontal="center" vertical="center" wrapText="1"/>
    </xf>
    <xf numFmtId="0" fontId="27" fillId="43" borderId="81" xfId="0" applyFont="1" applyFill="1" applyBorder="1" applyAlignment="1">
      <alignment horizontal="center" vertical="center" wrapText="1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10" fontId="57" fillId="0" borderId="85" xfId="0" applyNumberFormat="1" applyFont="1" applyBorder="1" applyAlignment="1">
      <alignment horizontal="center" vertical="center"/>
    </xf>
    <xf numFmtId="10" fontId="57" fillId="0" borderId="62" xfId="0" applyNumberFormat="1" applyFont="1" applyBorder="1" applyAlignment="1">
      <alignment horizontal="center" vertical="center"/>
    </xf>
    <xf numFmtId="10" fontId="57" fillId="0" borderId="17" xfId="0" applyNumberFormat="1" applyFont="1" applyBorder="1" applyAlignment="1">
      <alignment horizontal="center" vertical="center"/>
    </xf>
    <xf numFmtId="0" fontId="54" fillId="0" borderId="85" xfId="0" applyFont="1" applyBorder="1" applyAlignment="1">
      <alignment horizontal="left" vertical="center"/>
    </xf>
    <xf numFmtId="0" fontId="54" fillId="0" borderId="62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0" fontId="54" fillId="0" borderId="85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10" fontId="1" fillId="0" borderId="85" xfId="51" applyNumberFormat="1" applyFont="1" applyFill="1" applyBorder="1" applyAlignment="1">
      <alignment horizontal="center" vertical="center"/>
    </xf>
    <xf numFmtId="10" fontId="1" fillId="0" borderId="62" xfId="51" applyNumberFormat="1" applyFont="1" applyFill="1" applyBorder="1" applyAlignment="1">
      <alignment horizontal="center" vertical="center"/>
    </xf>
    <xf numFmtId="10" fontId="1" fillId="0" borderId="17" xfId="51" applyNumberFormat="1" applyFont="1" applyFill="1" applyBorder="1" applyAlignment="1">
      <alignment horizontal="center" vertical="center"/>
    </xf>
    <xf numFmtId="10" fontId="1" fillId="0" borderId="11" xfId="51" applyNumberFormat="1" applyFont="1" applyFill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54" fillId="0" borderId="85" xfId="51" applyNumberFormat="1" applyFont="1" applyFill="1" applyBorder="1" applyAlignment="1">
      <alignment horizontal="center" vertical="center"/>
    </xf>
    <xf numFmtId="10" fontId="54" fillId="0" borderId="17" xfId="51" applyNumberFormat="1" applyFont="1" applyFill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0" fontId="54" fillId="0" borderId="11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10" fontId="54" fillId="0" borderId="11" xfId="0" applyNumberFormat="1" applyFont="1" applyBorder="1" applyAlignment="1">
      <alignment horizontal="center" vertical="center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5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4" fillId="0" borderId="78" xfId="0" applyFont="1" applyBorder="1" applyAlignment="1" applyProtection="1">
      <alignment horizontal="center" vertical="center" textRotation="180" wrapText="1"/>
      <protection locked="0"/>
    </xf>
    <xf numFmtId="0" fontId="44" fillId="0" borderId="46" xfId="0" applyFont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8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6" fillId="24" borderId="78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9" xfId="0" applyFont="1" applyFill="1" applyBorder="1" applyAlignment="1">
      <alignment horizontal="center"/>
    </xf>
    <xf numFmtId="0" fontId="26" fillId="24" borderId="70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74" xfId="0" applyFont="1" applyFill="1" applyBorder="1" applyAlignment="1">
      <alignment horizontal="center"/>
    </xf>
    <xf numFmtId="0" fontId="22" fillId="24" borderId="76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26" fillId="24" borderId="76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45" fillId="24" borderId="27" xfId="0" applyFont="1" applyFill="1" applyBorder="1" applyAlignment="1">
      <alignment horizontal="center"/>
    </xf>
    <xf numFmtId="0" fontId="26" fillId="24" borderId="55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3" xfId="0" applyFont="1" applyFill="1" applyBorder="1" applyAlignment="1" applyProtection="1">
      <alignment horizontal="center" vertical="center" wrapText="1"/>
      <protection locked="0"/>
    </xf>
    <xf numFmtId="0" fontId="26" fillId="24" borderId="37" xfId="0" applyFont="1" applyFill="1" applyBorder="1" applyAlignment="1" applyProtection="1">
      <alignment horizontal="center" vertical="center" wrapText="1"/>
      <protection locked="0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8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7"/>
    <cellStyle name="Normal_April_3" xfId="43"/>
    <cellStyle name="Normal_DES 11_1" xfId="56"/>
    <cellStyle name="Normal_Juli_37" xfId="44"/>
    <cellStyle name="Normal_Juni" xfId="45"/>
    <cellStyle name="Normal_Juni_4" xfId="46"/>
    <cellStyle name="Normal_Mar_18" xfId="47"/>
    <cellStyle name="Normal_Mar_6" xfId="48"/>
    <cellStyle name="Note" xfId="49" builtinId="10" customBuiltin="1"/>
    <cellStyle name="Output" xfId="50" builtinId="21" customBuiltin="1"/>
    <cellStyle name="Percent" xfId="51" builtinId="5"/>
    <cellStyle name="Percent_Okt_6" xfId="52"/>
    <cellStyle name="Title" xfId="53" builtinId="15" customBuiltin="1"/>
    <cellStyle name="Total" xfId="54" builtinId="25" customBuiltin="1"/>
    <cellStyle name="Warning Text" xfId="55" builtinId="11" customBuiltin="1"/>
  </cellStyles>
  <dxfs count="817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18.686</c:v>
                </c:pt>
                <c:pt idx="1">
                  <c:v>50.273000000000003</c:v>
                </c:pt>
                <c:pt idx="2">
                  <c:v>42.622</c:v>
                </c:pt>
                <c:pt idx="3">
                  <c:v>46.850999999999999</c:v>
                </c:pt>
                <c:pt idx="4">
                  <c:v>42.722000000000001</c:v>
                </c:pt>
                <c:pt idx="5">
                  <c:v>44.848999999999997</c:v>
                </c:pt>
                <c:pt idx="6">
                  <c:v>44.094999999999999</c:v>
                </c:pt>
                <c:pt idx="7">
                  <c:v>47.835000000000001</c:v>
                </c:pt>
                <c:pt idx="8">
                  <c:v>56.942999999999998</c:v>
                </c:pt>
                <c:pt idx="9">
                  <c:v>40.125</c:v>
                </c:pt>
                <c:pt idx="10">
                  <c:v>53.558</c:v>
                </c:pt>
                <c:pt idx="11">
                  <c:v>50.863</c:v>
                </c:pt>
                <c:pt idx="12">
                  <c:v>47.128</c:v>
                </c:pt>
                <c:pt idx="13">
                  <c:v>42.247999999999998</c:v>
                </c:pt>
                <c:pt idx="14">
                  <c:v>47.104999999999997</c:v>
                </c:pt>
                <c:pt idx="15">
                  <c:v>51.912999999999997</c:v>
                </c:pt>
                <c:pt idx="16">
                  <c:v>46.854999999999997</c:v>
                </c:pt>
                <c:pt idx="17">
                  <c:v>44.656999999999996</c:v>
                </c:pt>
                <c:pt idx="18">
                  <c:v>46.783999999999999</c:v>
                </c:pt>
                <c:pt idx="19">
                  <c:v>50.112000000000002</c:v>
                </c:pt>
                <c:pt idx="20">
                  <c:v>42.328000000000003</c:v>
                </c:pt>
                <c:pt idx="21">
                  <c:v>53.258000000000003</c:v>
                </c:pt>
                <c:pt idx="22">
                  <c:v>37.82</c:v>
                </c:pt>
                <c:pt idx="23">
                  <c:v>42.802999999999997</c:v>
                </c:pt>
                <c:pt idx="24">
                  <c:v>46.290999999999997</c:v>
                </c:pt>
                <c:pt idx="25">
                  <c:v>42.771000000000001</c:v>
                </c:pt>
                <c:pt idx="26">
                  <c:v>38.155000000000001</c:v>
                </c:pt>
                <c:pt idx="27">
                  <c:v>40.47</c:v>
                </c:pt>
                <c:pt idx="28">
                  <c:v>43.073999999999998</c:v>
                </c:pt>
                <c:pt idx="29">
                  <c:v>38.984000000000002</c:v>
                </c:pt>
                <c:pt idx="30">
                  <c:v>45.201999999999998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72640"/>
        <c:axId val="133474176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9D9-4AE7-A2BC-243B616CE85F}"/>
              </c:ext>
            </c:extLst>
          </c:dPt>
          <c:cat>
            <c:numRef>
              <c:f>Report1!$A$9:$A$39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0.37609655412551918</c:v>
                </c:pt>
                <c:pt idx="1">
                  <c:v>0.95144340626518653</c:v>
                </c:pt>
                <c:pt idx="2">
                  <c:v>0.79954858172156829</c:v>
                </c:pt>
                <c:pt idx="3">
                  <c:v>0.88507614153115599</c:v>
                </c:pt>
                <c:pt idx="4">
                  <c:v>0.8686689062107863</c:v>
                </c:pt>
                <c:pt idx="5">
                  <c:v>0.87306104100585646</c:v>
                </c:pt>
                <c:pt idx="6">
                  <c:v>0.87556478294184226</c:v>
                </c:pt>
                <c:pt idx="7">
                  <c:v>0.87151233144856644</c:v>
                </c:pt>
                <c:pt idx="8">
                  <c:v>0.99998577545127387</c:v>
                </c:pt>
                <c:pt idx="9">
                  <c:v>0.71953196799091435</c:v>
                </c:pt>
                <c:pt idx="10">
                  <c:v>0.97475648960176264</c:v>
                </c:pt>
                <c:pt idx="11">
                  <c:v>0.91862460150190139</c:v>
                </c:pt>
                <c:pt idx="12">
                  <c:v>0.88299529872078708</c:v>
                </c:pt>
                <c:pt idx="13">
                  <c:v>0.78521739195970297</c:v>
                </c:pt>
                <c:pt idx="14">
                  <c:v>0.87302044167031734</c:v>
                </c:pt>
                <c:pt idx="15">
                  <c:v>0.95223504770126577</c:v>
                </c:pt>
                <c:pt idx="16">
                  <c:v>0.89401389437451462</c:v>
                </c:pt>
                <c:pt idx="17">
                  <c:v>0.87901943184681275</c:v>
                </c:pt>
                <c:pt idx="18">
                  <c:v>0.9208868732678257</c:v>
                </c:pt>
                <c:pt idx="19">
                  <c:v>1.006362058993638</c:v>
                </c:pt>
                <c:pt idx="20">
                  <c:v>0.81316847105021561</c:v>
                </c:pt>
                <c:pt idx="21">
                  <c:v>0.9509244795551024</c:v>
                </c:pt>
                <c:pt idx="22">
                  <c:v>0.67091061566078947</c:v>
                </c:pt>
                <c:pt idx="23">
                  <c:v>0.77639116918864315</c:v>
                </c:pt>
                <c:pt idx="24">
                  <c:v>0.88950665109299365</c:v>
                </c:pt>
                <c:pt idx="25">
                  <c:v>0.81208703577124641</c:v>
                </c:pt>
                <c:pt idx="26">
                  <c:v>0.73505445590878105</c:v>
                </c:pt>
                <c:pt idx="27">
                  <c:v>0.79284083043622589</c:v>
                </c:pt>
                <c:pt idx="28">
                  <c:v>0.82674455884845854</c:v>
                </c:pt>
                <c:pt idx="29">
                  <c:v>0.74764744878637046</c:v>
                </c:pt>
                <c:pt idx="30">
                  <c:v>0.84111558774454287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9D9-4AE7-A2BC-243B616CE85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0.37609655412551918</c:v>
                </c:pt>
                <c:pt idx="1">
                  <c:v>0.67262166811495938</c:v>
                </c:pt>
                <c:pt idx="2">
                  <c:v>0.71604176544575815</c:v>
                </c:pt>
                <c:pt idx="3">
                  <c:v>0.75890215850378762</c:v>
                </c:pt>
                <c:pt idx="4">
                  <c:v>0.77983073900478805</c:v>
                </c:pt>
                <c:pt idx="5">
                  <c:v>0.79531403765496866</c:v>
                </c:pt>
                <c:pt idx="6">
                  <c:v>0.80655069326450646</c:v>
                </c:pt>
                <c:pt idx="7">
                  <c:v>0.81515145495298824</c:v>
                </c:pt>
                <c:pt idx="8">
                  <c:v>0.83747378998608968</c:v>
                </c:pt>
                <c:pt idx="9">
                  <c:v>0.82500005518797526</c:v>
                </c:pt>
                <c:pt idx="10">
                  <c:v>0.83913282875750539</c:v>
                </c:pt>
                <c:pt idx="11">
                  <c:v>0.84603596192248465</c:v>
                </c:pt>
                <c:pt idx="12">
                  <c:v>0.84889086658475921</c:v>
                </c:pt>
                <c:pt idx="13">
                  <c:v>0.84429088868958402</c:v>
                </c:pt>
                <c:pt idx="14">
                  <c:v>0.84623166893951685</c:v>
                </c:pt>
                <c:pt idx="15">
                  <c:v>0.85300467534243063</c:v>
                </c:pt>
                <c:pt idx="16">
                  <c:v>0.85537787286234113</c:v>
                </c:pt>
                <c:pt idx="17">
                  <c:v>0.85663362666432008</c:v>
                </c:pt>
                <c:pt idx="18">
                  <c:v>0.85987438840450869</c:v>
                </c:pt>
                <c:pt idx="19">
                  <c:v>0.86677509103043548</c:v>
                </c:pt>
                <c:pt idx="20">
                  <c:v>0.86425918758821818</c:v>
                </c:pt>
                <c:pt idx="21">
                  <c:v>0.86842517031950572</c:v>
                </c:pt>
                <c:pt idx="22">
                  <c:v>0.85930990015527031</c:v>
                </c:pt>
                <c:pt idx="23">
                  <c:v>0.85572903697865932</c:v>
                </c:pt>
                <c:pt idx="24">
                  <c:v>0.85705205286257669</c:v>
                </c:pt>
                <c:pt idx="25">
                  <c:v>0.85533759323814884</c:v>
                </c:pt>
                <c:pt idx="26">
                  <c:v>0.85098125627830346</c:v>
                </c:pt>
                <c:pt idx="27">
                  <c:v>0.84898180014360647</c:v>
                </c:pt>
                <c:pt idx="28">
                  <c:v>0.84822770152224869</c:v>
                </c:pt>
                <c:pt idx="29">
                  <c:v>0.84492620435648247</c:v>
                </c:pt>
                <c:pt idx="30">
                  <c:v>0.84480150722122049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85696"/>
        <c:axId val="133475712"/>
      </c:lineChart>
      <c:dateAx>
        <c:axId val="13347264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133474176"/>
        <c:crosses val="autoZero"/>
        <c:auto val="1"/>
        <c:lblOffset val="100"/>
        <c:baseTimeUnit val="days"/>
      </c:dateAx>
      <c:valAx>
        <c:axId val="13347417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133472640"/>
        <c:crosses val="autoZero"/>
        <c:crossBetween val="between"/>
      </c:valAx>
      <c:valAx>
        <c:axId val="13347571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33485696"/>
        <c:crosses val="max"/>
        <c:crossBetween val="between"/>
      </c:valAx>
      <c:dateAx>
        <c:axId val="1334856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133475712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</xdr:row>
      <xdr:rowOff>76200</xdr:rowOff>
    </xdr:from>
    <xdr:to>
      <xdr:col>17</xdr:col>
      <xdr:colOff>457199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">
          <cell r="D7">
            <v>98.21000000089407</v>
          </cell>
          <cell r="AT7">
            <v>6818.6500000000224</v>
          </cell>
          <cell r="AU7">
            <v>8000</v>
          </cell>
          <cell r="AV7">
            <v>8568.6500000003634</v>
          </cell>
          <cell r="AW7">
            <v>12937.3</v>
          </cell>
          <cell r="AX7">
            <v>1080</v>
          </cell>
        </row>
        <row r="8">
          <cell r="AT8">
            <v>7077.0899999999656</v>
          </cell>
          <cell r="AU8">
            <v>10000</v>
          </cell>
          <cell r="AV8">
            <v>12377.089999999636</v>
          </cell>
          <cell r="AW8">
            <v>12954.18</v>
          </cell>
          <cell r="AX8">
            <v>1710</v>
          </cell>
        </row>
        <row r="9">
          <cell r="AT9">
            <v>6836.1100000000333</v>
          </cell>
          <cell r="AU9">
            <v>14000</v>
          </cell>
          <cell r="AV9">
            <v>9686.11</v>
          </cell>
          <cell r="AW9">
            <v>13372.220000000001</v>
          </cell>
          <cell r="AX9">
            <v>1260</v>
          </cell>
        </row>
        <row r="10">
          <cell r="AT10">
            <v>6263.2199999999775</v>
          </cell>
          <cell r="AU10">
            <v>18000</v>
          </cell>
          <cell r="AV10">
            <v>10813.219999999817</v>
          </cell>
          <cell r="AW10">
            <v>13226.439999999999</v>
          </cell>
          <cell r="AX10">
            <v>1740</v>
          </cell>
        </row>
        <row r="11">
          <cell r="AT11">
            <v>7060.2399999999889</v>
          </cell>
          <cell r="AU11">
            <v>16000</v>
          </cell>
          <cell r="AV11">
            <v>10460.240000000364</v>
          </cell>
          <cell r="AW11">
            <v>13720.48</v>
          </cell>
          <cell r="AX11">
            <v>1500</v>
          </cell>
        </row>
        <row r="12">
          <cell r="AT12">
            <v>7612.370000000019</v>
          </cell>
          <cell r="AU12">
            <v>17000</v>
          </cell>
          <cell r="AV12">
            <v>10582.369999999819</v>
          </cell>
          <cell r="AW12">
            <v>13764.740000000002</v>
          </cell>
          <cell r="AX12">
            <v>1740</v>
          </cell>
        </row>
        <row r="13">
          <cell r="AT13">
            <v>7731.6499999999705</v>
          </cell>
          <cell r="AU13">
            <v>18000</v>
          </cell>
          <cell r="AV13">
            <v>11686.650000000182</v>
          </cell>
          <cell r="AW13">
            <v>15773.3</v>
          </cell>
          <cell r="AX13">
            <v>1930</v>
          </cell>
        </row>
        <row r="14">
          <cell r="AT14">
            <v>6677.130000000041</v>
          </cell>
          <cell r="AU14">
            <v>16000</v>
          </cell>
          <cell r="AV14">
            <v>10272.130000000181</v>
          </cell>
          <cell r="AW14">
            <v>13944.259999999998</v>
          </cell>
          <cell r="AX14">
            <v>1560</v>
          </cell>
        </row>
        <row r="15">
          <cell r="AT15">
            <v>6619.9299999999748</v>
          </cell>
          <cell r="AU15">
            <v>18000</v>
          </cell>
          <cell r="AV15">
            <v>10729.929999999818</v>
          </cell>
          <cell r="AW15">
            <v>22059.86</v>
          </cell>
          <cell r="AX15">
            <v>1750</v>
          </cell>
        </row>
        <row r="16">
          <cell r="AT16">
            <v>6968.6700000002866</v>
          </cell>
          <cell r="AU16">
            <v>17700.000000000728</v>
          </cell>
          <cell r="AV16">
            <v>10006.669999999956</v>
          </cell>
          <cell r="AW16">
            <v>15339.097599998602</v>
          </cell>
          <cell r="AX16">
            <v>1960</v>
          </cell>
        </row>
        <row r="17">
          <cell r="AT17">
            <v>7071.3899999989189</v>
          </cell>
          <cell r="AU17">
            <v>17170.000000000073</v>
          </cell>
          <cell r="AV17">
            <v>10145.389999999614</v>
          </cell>
          <cell r="AW17">
            <v>12176.390000001382</v>
          </cell>
          <cell r="AX17">
            <v>2200</v>
          </cell>
        </row>
        <row r="18">
          <cell r="AT18">
            <v>8915.5400000007976</v>
          </cell>
          <cell r="AU18">
            <v>15129.9999999992</v>
          </cell>
          <cell r="AV18">
            <v>11243.54000000043</v>
          </cell>
          <cell r="AW18">
            <v>12235.53999999971</v>
          </cell>
          <cell r="AX18">
            <v>2450</v>
          </cell>
        </row>
        <row r="19">
          <cell r="AT19">
            <v>4661.4699999999884</v>
          </cell>
          <cell r="AU19">
            <v>17000</v>
          </cell>
          <cell r="AV19">
            <v>9561.4700000003631</v>
          </cell>
          <cell r="AW19">
            <v>11461.469999999998</v>
          </cell>
          <cell r="AX19">
            <v>1960</v>
          </cell>
        </row>
        <row r="20">
          <cell r="AT20">
            <v>6796.2000000000098</v>
          </cell>
          <cell r="AU20">
            <v>13000</v>
          </cell>
          <cell r="AV20">
            <v>10706.199999999637</v>
          </cell>
          <cell r="AW20">
            <v>11806.2</v>
          </cell>
          <cell r="AX20">
            <v>1400</v>
          </cell>
        </row>
        <row r="21">
          <cell r="AT21">
            <v>7383.6000000000349</v>
          </cell>
          <cell r="AU21">
            <v>13000</v>
          </cell>
          <cell r="AV21">
            <v>10733.6</v>
          </cell>
          <cell r="AW21">
            <v>11733.599999999999</v>
          </cell>
          <cell r="AX21">
            <v>1390</v>
          </cell>
        </row>
        <row r="22">
          <cell r="AT22">
            <v>8300.1999999999807</v>
          </cell>
          <cell r="AU22">
            <v>15000</v>
          </cell>
          <cell r="AV22">
            <v>10715.2</v>
          </cell>
          <cell r="AW22">
            <v>13715.2</v>
          </cell>
          <cell r="AX22">
            <v>1730</v>
          </cell>
        </row>
        <row r="23">
          <cell r="AT23">
            <v>7089.380000000001</v>
          </cell>
          <cell r="AU23">
            <v>16000</v>
          </cell>
          <cell r="AV23">
            <v>10229.379999999817</v>
          </cell>
          <cell r="AW23">
            <v>15529.380000000001</v>
          </cell>
          <cell r="AX23">
            <v>1940</v>
          </cell>
        </row>
        <row r="24">
          <cell r="AT24">
            <v>7383.9899999999861</v>
          </cell>
          <cell r="AU24">
            <v>18000</v>
          </cell>
          <cell r="AV24">
            <v>10068.989999999818</v>
          </cell>
          <cell r="AW24">
            <v>14868.990000000002</v>
          </cell>
          <cell r="AX24">
            <v>2070</v>
          </cell>
        </row>
        <row r="25">
          <cell r="AT25">
            <v>8288.2899999999918</v>
          </cell>
          <cell r="AU25">
            <v>17000</v>
          </cell>
          <cell r="AV25">
            <v>10853.290000000728</v>
          </cell>
          <cell r="AW25">
            <v>16153.29</v>
          </cell>
          <cell r="AX25">
            <v>2010</v>
          </cell>
        </row>
        <row r="26">
          <cell r="AT26">
            <v>7152.6100000000415</v>
          </cell>
          <cell r="AU26">
            <v>18000</v>
          </cell>
          <cell r="AV26">
            <v>9772.6099999998187</v>
          </cell>
          <cell r="AW26">
            <v>14572.61</v>
          </cell>
          <cell r="AX26">
            <v>1880</v>
          </cell>
        </row>
        <row r="27">
          <cell r="AT27">
            <v>6897.4299999999894</v>
          </cell>
          <cell r="AU27">
            <v>17000</v>
          </cell>
          <cell r="AV27">
            <v>10422.429999999455</v>
          </cell>
          <cell r="AW27">
            <v>12322.43</v>
          </cell>
          <cell r="AX27">
            <v>1480</v>
          </cell>
        </row>
        <row r="28">
          <cell r="AT28">
            <v>6738.7399999999725</v>
          </cell>
          <cell r="AU28">
            <v>14000</v>
          </cell>
          <cell r="AV28">
            <v>10708.74</v>
          </cell>
          <cell r="AW28">
            <v>10708.739999999998</v>
          </cell>
          <cell r="AX28">
            <v>2050</v>
          </cell>
        </row>
        <row r="29">
          <cell r="AT29">
            <v>8241.9700000000339</v>
          </cell>
          <cell r="AU29">
            <v>11000</v>
          </cell>
          <cell r="AV29">
            <v>10891.970000000181</v>
          </cell>
          <cell r="AW29">
            <v>10591.969999999998</v>
          </cell>
          <cell r="AX29">
            <v>1910</v>
          </cell>
        </row>
        <row r="30">
          <cell r="AT30">
            <v>7462.729999999965</v>
          </cell>
          <cell r="AU30">
            <v>15000</v>
          </cell>
          <cell r="AV30">
            <v>11162.730000000181</v>
          </cell>
          <cell r="AW30">
            <v>11862.73</v>
          </cell>
          <cell r="AX30">
            <v>1720</v>
          </cell>
        </row>
        <row r="31">
          <cell r="AT31">
            <v>7795.3200000000106</v>
          </cell>
          <cell r="AU31">
            <v>19000</v>
          </cell>
          <cell r="AV31">
            <v>10245.32</v>
          </cell>
          <cell r="AW31">
            <v>10745.32</v>
          </cell>
          <cell r="AX31">
            <v>2090</v>
          </cell>
        </row>
        <row r="32">
          <cell r="AT32">
            <v>8070.1099999999897</v>
          </cell>
          <cell r="AU32">
            <v>18000</v>
          </cell>
          <cell r="AV32">
            <v>10120.11</v>
          </cell>
          <cell r="AW32">
            <v>9620.11</v>
          </cell>
          <cell r="AX32">
            <v>1620</v>
          </cell>
        </row>
        <row r="33">
          <cell r="AT33">
            <v>9305.9100000000344</v>
          </cell>
          <cell r="AU33">
            <v>18000</v>
          </cell>
          <cell r="AV33">
            <v>10655.91</v>
          </cell>
          <cell r="AW33">
            <v>10155.91</v>
          </cell>
          <cell r="AX33">
            <v>1880</v>
          </cell>
        </row>
        <row r="34">
          <cell r="AT34">
            <v>5254.3899999999612</v>
          </cell>
          <cell r="AU34">
            <v>18000</v>
          </cell>
          <cell r="AV34">
            <v>9674.3899999996356</v>
          </cell>
          <cell r="AW34">
            <v>10274.39</v>
          </cell>
          <cell r="AX34">
            <v>2010</v>
          </cell>
        </row>
        <row r="35">
          <cell r="AT35">
            <v>7219.5799999999981</v>
          </cell>
          <cell r="AU35">
            <v>17000</v>
          </cell>
          <cell r="AV35">
            <v>10929.580000000546</v>
          </cell>
          <cell r="AW35">
            <v>12029.579999999998</v>
          </cell>
          <cell r="AX35">
            <v>1895</v>
          </cell>
        </row>
        <row r="36">
          <cell r="AT36">
            <v>7960.2999999999947</v>
          </cell>
          <cell r="AU36">
            <v>18000</v>
          </cell>
          <cell r="AV36">
            <v>10305.299999999454</v>
          </cell>
          <cell r="AW36">
            <v>17087.419999999998</v>
          </cell>
          <cell r="AX36">
            <v>1765</v>
          </cell>
        </row>
        <row r="37">
          <cell r="AT37">
            <v>8279.9900000000052</v>
          </cell>
          <cell r="AU37">
            <v>17000</v>
          </cell>
          <cell r="AV37">
            <v>10934.990000000545</v>
          </cell>
          <cell r="AW37">
            <v>21069.979999999996</v>
          </cell>
          <cell r="AX37">
            <v>1925</v>
          </cell>
        </row>
        <row r="38">
          <cell r="AY38">
            <v>1518616.5276000001</v>
          </cell>
        </row>
      </sheetData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536"/>
  <sheetViews>
    <sheetView zoomScaleNormal="100" workbookViewId="0">
      <pane xSplit="3" ySplit="8" topLeftCell="Q24" activePane="bottomRight" state="frozen"/>
      <selection pane="topRight" activeCell="E1" sqref="E1"/>
      <selection pane="bottomLeft" activeCell="A9" sqref="A9"/>
      <selection pane="bottomRight" activeCell="AN39" sqref="AN39"/>
    </sheetView>
  </sheetViews>
  <sheetFormatPr defaultColWidth="9.140625" defaultRowHeight="12.75"/>
  <cols>
    <col min="1" max="1" width="7.5703125" style="279" customWidth="1"/>
    <col min="2" max="2" width="12" style="278" customWidth="1"/>
    <col min="3" max="3" width="12.28515625" style="278" bestFit="1" customWidth="1"/>
    <col min="4" max="4" width="8.28515625" style="278" customWidth="1"/>
    <col min="5" max="5" width="8" style="278" customWidth="1"/>
    <col min="6" max="6" width="6.85546875" style="278" customWidth="1"/>
    <col min="7" max="11" width="8.7109375" style="278" customWidth="1"/>
    <col min="12" max="12" width="8.7109375" style="280" customWidth="1"/>
    <col min="13" max="15" width="8.7109375" style="281" customWidth="1"/>
    <col min="16" max="16" width="8.7109375" style="280" customWidth="1"/>
    <col min="17" max="17" width="8.7109375" style="281" customWidth="1"/>
    <col min="18" max="18" width="8.7109375" style="280" customWidth="1"/>
    <col min="19" max="19" width="8.7109375" style="282" customWidth="1"/>
    <col min="20" max="25" width="8.7109375" style="282" hidden="1" customWidth="1"/>
    <col min="26" max="27" width="7.7109375" style="282" customWidth="1"/>
    <col min="28" max="29" width="7.7109375" style="283" customWidth="1"/>
    <col min="30" max="30" width="7.7109375" style="282" customWidth="1"/>
    <col min="31" max="31" width="7.7109375" style="283" customWidth="1"/>
    <col min="32" max="32" width="10.85546875" style="282" customWidth="1"/>
    <col min="33" max="33" width="11.140625" style="282" customWidth="1"/>
    <col min="34" max="37" width="7.5703125" style="283" customWidth="1"/>
    <col min="38" max="38" width="8.7109375" style="280" customWidth="1"/>
    <col min="39" max="39" width="8.7109375" style="281" customWidth="1"/>
    <col min="40" max="41" width="8.7109375" style="278" customWidth="1"/>
  </cols>
  <sheetData>
    <row r="1" spans="1:41" ht="12.75" customHeight="1">
      <c r="A1" s="277"/>
    </row>
    <row r="2" spans="1:41">
      <c r="A2" s="277"/>
    </row>
    <row r="3" spans="1:41" ht="12.75" customHeight="1">
      <c r="A3" s="621" t="s">
        <v>234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1"/>
      <c r="T3" s="621"/>
      <c r="U3" s="621"/>
      <c r="V3" s="621"/>
      <c r="W3" s="621"/>
      <c r="X3" s="621"/>
      <c r="Y3" s="621"/>
      <c r="Z3" s="621"/>
      <c r="AA3" s="621"/>
      <c r="AB3" s="621"/>
      <c r="AC3" s="621"/>
      <c r="AD3" s="621"/>
      <c r="AE3" s="621"/>
      <c r="AF3" s="621"/>
      <c r="AG3" s="621"/>
      <c r="AH3" s="621"/>
      <c r="AI3" s="621"/>
      <c r="AJ3" s="621"/>
      <c r="AK3" s="621"/>
      <c r="AL3"/>
      <c r="AM3"/>
      <c r="AN3"/>
      <c r="AO3"/>
    </row>
    <row r="4" spans="1:41" ht="12.75" customHeight="1">
      <c r="A4" s="621"/>
      <c r="B4" s="621"/>
      <c r="C4" s="621"/>
      <c r="D4" s="621"/>
      <c r="E4" s="621"/>
      <c r="F4" s="621"/>
      <c r="G4" s="621"/>
      <c r="H4" s="621"/>
      <c r="I4" s="621"/>
      <c r="J4" s="621"/>
      <c r="K4" s="621"/>
      <c r="L4" s="621"/>
      <c r="M4" s="621"/>
      <c r="N4" s="621"/>
      <c r="O4" s="621"/>
      <c r="P4" s="621"/>
      <c r="Q4" s="621"/>
      <c r="R4" s="621"/>
      <c r="S4" s="621"/>
      <c r="T4" s="621"/>
      <c r="U4" s="621"/>
      <c r="V4" s="621"/>
      <c r="W4" s="621"/>
      <c r="X4" s="621"/>
      <c r="Y4" s="621"/>
      <c r="Z4" s="621"/>
      <c r="AA4" s="621"/>
      <c r="AB4" s="621"/>
      <c r="AC4" s="621"/>
      <c r="AD4" s="621"/>
      <c r="AE4" s="621"/>
      <c r="AF4" s="621"/>
      <c r="AG4" s="621"/>
      <c r="AH4" s="621"/>
      <c r="AI4" s="621"/>
      <c r="AJ4" s="621"/>
      <c r="AK4" s="621"/>
      <c r="AL4"/>
      <c r="AM4"/>
      <c r="AN4"/>
      <c r="AO4"/>
    </row>
    <row r="5" spans="1:41">
      <c r="H5" s="280"/>
      <c r="I5" s="281"/>
      <c r="J5" s="281"/>
      <c r="K5" s="281"/>
      <c r="AN5" s="281"/>
      <c r="AO5" s="281"/>
    </row>
    <row r="6" spans="1:41" ht="22.7" customHeight="1">
      <c r="A6" s="623" t="s">
        <v>7</v>
      </c>
      <c r="B6" s="622" t="s">
        <v>8</v>
      </c>
      <c r="C6" s="622" t="s">
        <v>5</v>
      </c>
      <c r="D6" s="622" t="s">
        <v>205</v>
      </c>
      <c r="E6" s="622" t="s">
        <v>206</v>
      </c>
      <c r="F6" s="622" t="s">
        <v>202</v>
      </c>
      <c r="G6" s="622" t="s">
        <v>201</v>
      </c>
      <c r="H6" s="622" t="s">
        <v>203</v>
      </c>
      <c r="I6" s="622" t="s">
        <v>204</v>
      </c>
      <c r="J6" s="614" t="s">
        <v>208</v>
      </c>
      <c r="K6" s="615"/>
      <c r="L6" s="613" t="s">
        <v>207</v>
      </c>
      <c r="M6" s="613"/>
      <c r="N6" s="613" t="s">
        <v>209</v>
      </c>
      <c r="O6" s="613"/>
      <c r="P6" s="620" t="s">
        <v>29</v>
      </c>
      <c r="Q6" s="620"/>
      <c r="R6" s="618" t="s">
        <v>22</v>
      </c>
      <c r="S6" s="618"/>
      <c r="T6" s="618" t="s">
        <v>30</v>
      </c>
      <c r="U6" s="618"/>
      <c r="V6" s="618"/>
      <c r="W6" s="618"/>
      <c r="X6" s="618"/>
      <c r="Y6" s="618"/>
      <c r="Z6" s="618" t="s">
        <v>31</v>
      </c>
      <c r="AA6" s="618"/>
      <c r="AB6" s="618"/>
      <c r="AC6" s="618"/>
      <c r="AD6" s="618"/>
      <c r="AE6" s="618"/>
      <c r="AF6" s="618" t="s">
        <v>32</v>
      </c>
      <c r="AG6" s="618"/>
      <c r="AH6" s="618"/>
      <c r="AI6" s="618"/>
      <c r="AJ6" s="618"/>
      <c r="AK6" s="618"/>
      <c r="AL6" s="613" t="s">
        <v>372</v>
      </c>
      <c r="AM6" s="613"/>
      <c r="AN6" s="614" t="s">
        <v>373</v>
      </c>
      <c r="AO6" s="615"/>
    </row>
    <row r="7" spans="1:41" ht="22.7" customHeight="1">
      <c r="A7" s="624"/>
      <c r="B7" s="622"/>
      <c r="C7" s="622"/>
      <c r="D7" s="622"/>
      <c r="E7" s="622"/>
      <c r="F7" s="622"/>
      <c r="G7" s="622"/>
      <c r="H7" s="622"/>
      <c r="I7" s="622"/>
      <c r="J7" s="616"/>
      <c r="K7" s="617"/>
      <c r="L7" s="613"/>
      <c r="M7" s="613"/>
      <c r="N7" s="613"/>
      <c r="O7" s="613"/>
      <c r="P7" s="620"/>
      <c r="Q7" s="620"/>
      <c r="R7" s="618"/>
      <c r="S7" s="618"/>
      <c r="T7" s="618" t="s">
        <v>35</v>
      </c>
      <c r="U7" s="618"/>
      <c r="V7" s="618" t="s">
        <v>33</v>
      </c>
      <c r="W7" s="618"/>
      <c r="X7" s="618" t="s">
        <v>34</v>
      </c>
      <c r="Y7" s="618"/>
      <c r="Z7" s="618" t="s">
        <v>35</v>
      </c>
      <c r="AA7" s="618"/>
      <c r="AB7" s="619" t="s">
        <v>33</v>
      </c>
      <c r="AC7" s="619"/>
      <c r="AD7" s="618" t="s">
        <v>34</v>
      </c>
      <c r="AE7" s="618"/>
      <c r="AF7" s="618" t="s">
        <v>35</v>
      </c>
      <c r="AG7" s="618"/>
      <c r="AH7" s="618" t="s">
        <v>25</v>
      </c>
      <c r="AI7" s="618"/>
      <c r="AJ7" s="618" t="s">
        <v>26</v>
      </c>
      <c r="AK7" s="618"/>
      <c r="AL7" s="613"/>
      <c r="AM7" s="613"/>
      <c r="AN7" s="616"/>
      <c r="AO7" s="617"/>
    </row>
    <row r="8" spans="1:41" s="1" customFormat="1">
      <c r="A8" s="625"/>
      <c r="B8" s="622"/>
      <c r="C8" s="622"/>
      <c r="D8" s="622"/>
      <c r="E8" s="622"/>
      <c r="F8" s="622"/>
      <c r="G8" s="622"/>
      <c r="H8" s="622"/>
      <c r="I8" s="622"/>
      <c r="J8" s="433" t="s">
        <v>36</v>
      </c>
      <c r="K8" s="431" t="s">
        <v>37</v>
      </c>
      <c r="L8" s="284" t="s">
        <v>36</v>
      </c>
      <c r="M8" s="285" t="s">
        <v>37</v>
      </c>
      <c r="N8" s="284" t="s">
        <v>36</v>
      </c>
      <c r="O8" s="285" t="s">
        <v>37</v>
      </c>
      <c r="P8" s="284" t="s">
        <v>36</v>
      </c>
      <c r="Q8" s="285" t="s">
        <v>37</v>
      </c>
      <c r="R8" s="284" t="s">
        <v>36</v>
      </c>
      <c r="S8" s="286" t="s">
        <v>37</v>
      </c>
      <c r="T8" s="289" t="s">
        <v>36</v>
      </c>
      <c r="U8" s="285" t="s">
        <v>37</v>
      </c>
      <c r="V8" s="290" t="s">
        <v>36</v>
      </c>
      <c r="W8" s="285" t="s">
        <v>37</v>
      </c>
      <c r="X8" s="290" t="s">
        <v>36</v>
      </c>
      <c r="Y8" s="285" t="s">
        <v>37</v>
      </c>
      <c r="Z8" s="287" t="s">
        <v>36</v>
      </c>
      <c r="AA8" s="286" t="s">
        <v>37</v>
      </c>
      <c r="AB8" s="288" t="s">
        <v>36</v>
      </c>
      <c r="AC8" s="291" t="s">
        <v>37</v>
      </c>
      <c r="AD8" s="287" t="s">
        <v>36</v>
      </c>
      <c r="AE8" s="291" t="s">
        <v>37</v>
      </c>
      <c r="AF8" s="287" t="s">
        <v>36</v>
      </c>
      <c r="AG8" s="286" t="s">
        <v>37</v>
      </c>
      <c r="AH8" s="288" t="s">
        <v>36</v>
      </c>
      <c r="AI8" s="291" t="s">
        <v>37</v>
      </c>
      <c r="AJ8" s="288" t="s">
        <v>36</v>
      </c>
      <c r="AK8" s="291" t="s">
        <v>37</v>
      </c>
      <c r="AL8" s="284" t="s">
        <v>36</v>
      </c>
      <c r="AM8" s="285" t="s">
        <v>37</v>
      </c>
      <c r="AN8" s="433" t="s">
        <v>36</v>
      </c>
      <c r="AO8" s="431" t="s">
        <v>37</v>
      </c>
    </row>
    <row r="9" spans="1:41" s="406" customFormat="1" ht="12.75" customHeight="1">
      <c r="A9" s="420">
        <v>45931</v>
      </c>
      <c r="B9" s="430" t="s">
        <v>416</v>
      </c>
      <c r="C9" s="407" t="s">
        <v>433</v>
      </c>
      <c r="D9" s="399">
        <f>+'1'!F42</f>
        <v>1193.977653631285</v>
      </c>
      <c r="E9" s="399">
        <f>+'1'!G42</f>
        <v>907.42301675977649</v>
      </c>
      <c r="F9" s="46">
        <f t="shared" ref="F9:F39" si="0">1-(E9/D9)</f>
        <v>0.2400000000000001</v>
      </c>
      <c r="G9" s="426">
        <f>+P9/N9</f>
        <v>0.62770305381869596</v>
      </c>
      <c r="H9" s="421">
        <f>+P9/L9</f>
        <v>0.5757380889842918</v>
      </c>
      <c r="I9" s="421">
        <f>+R9/P9</f>
        <v>0.65324244013284394</v>
      </c>
      <c r="J9" s="427">
        <f>+R9/L9</f>
        <v>0.37609655412551918</v>
      </c>
      <c r="K9" s="427">
        <f>+S9/M9</f>
        <v>0.37609655412551918</v>
      </c>
      <c r="L9" s="400">
        <f>+SUM(Efficiency1!K6:K7)</f>
        <v>49.684049999999999</v>
      </c>
      <c r="M9" s="401">
        <f>L9</f>
        <v>49.684049999999999</v>
      </c>
      <c r="N9" s="400">
        <f>+SUM(Efficiency1!C6:C7)</f>
        <v>45.570910999999995</v>
      </c>
      <c r="O9" s="401">
        <f>N9</f>
        <v>45.570910999999995</v>
      </c>
      <c r="P9" s="401">
        <f>'1'!I38</f>
        <v>28.605</v>
      </c>
      <c r="Q9" s="401">
        <f>P9</f>
        <v>28.605</v>
      </c>
      <c r="R9" s="401">
        <f>'1'!I40</f>
        <v>18.686</v>
      </c>
      <c r="S9" s="401">
        <f>R9</f>
        <v>18.686</v>
      </c>
      <c r="T9" s="99">
        <v>0</v>
      </c>
      <c r="U9" s="292">
        <f>T9</f>
        <v>0</v>
      </c>
      <c r="V9" s="292">
        <f>T9/P9</f>
        <v>0</v>
      </c>
      <c r="W9" s="292">
        <f>U9/Q9</f>
        <v>0</v>
      </c>
      <c r="X9" s="293">
        <f>IF(AND(R9&gt;0,T9&gt;0),(T9/(R9*1000))*1000,0)</f>
        <v>0</v>
      </c>
      <c r="Y9" s="292">
        <f>IF(AND(S9&gt;0,U9&gt;0),U9/S9,0)</f>
        <v>0</v>
      </c>
      <c r="Z9" s="403">
        <v>79.599999999999994</v>
      </c>
      <c r="AA9" s="404">
        <f>Z9</f>
        <v>79.599999999999994</v>
      </c>
      <c r="AB9" s="405">
        <f t="shared" ref="AB9:AB39" si="1">Z9/(P9)</f>
        <v>2.7827302919070092</v>
      </c>
      <c r="AC9" s="405">
        <f t="shared" ref="AC9:AC39" si="2">AA9/(Q9)</f>
        <v>2.7827302919070092</v>
      </c>
      <c r="AD9" s="400">
        <f t="shared" ref="AD9:AD39" si="3">IF(AND(R9&gt;0,Z9&gt;0),Z9/(R9),0)</f>
        <v>4.2598737022369688</v>
      </c>
      <c r="AE9" s="405">
        <f t="shared" ref="AE9:AE39" si="4">IF(AND(S9&gt;0,AA9&gt;0),AA9/(S9),0)</f>
        <v>4.2598737022369688</v>
      </c>
      <c r="AF9" s="404">
        <f>'1'!I46</f>
        <v>37404.600000000384</v>
      </c>
      <c r="AG9" s="404">
        <f>AF9</f>
        <v>37404.600000000384</v>
      </c>
      <c r="AH9" s="405">
        <f t="shared" ref="AH9:AH39" si="5">IF(AND(L9&gt;0,AF9&gt;0),(AF9/(P9*1000)*1000),0)</f>
        <v>1307.6245411641455</v>
      </c>
      <c r="AI9" s="405">
        <f t="shared" ref="AI9:AI39" si="6">IF(AND(M9&gt;0,AG9&gt;0),(AG9/(Q9*1000)*1000),0)</f>
        <v>1307.6245411641455</v>
      </c>
      <c r="AJ9" s="405">
        <f t="shared" ref="AJ9:AJ39" si="7">IF(AND(R9&gt;0,AF9&gt;0),(AF9/(R9*1000)*1000),0)</f>
        <v>2001.7446216418912</v>
      </c>
      <c r="AK9" s="405">
        <f t="shared" ref="AK9:AK39" si="8">IF(AND(S9&gt;0,AG9&gt;0),(AG9/(S9*1000)*1000),0)</f>
        <v>2001.7446216418912</v>
      </c>
      <c r="AL9" s="400">
        <f>+SUM(Efficiency2!K6:K7)</f>
        <v>38.699181000000003</v>
      </c>
      <c r="AM9" s="401">
        <f>AL9</f>
        <v>38.699181000000003</v>
      </c>
      <c r="AN9" s="427">
        <f>+R9/AL9</f>
        <v>0.48285259576940398</v>
      </c>
      <c r="AO9" s="427">
        <f>+S9/AM9</f>
        <v>0.48285259576940398</v>
      </c>
    </row>
    <row r="10" spans="1:41" s="406" customFormat="1" ht="12.75" customHeight="1">
      <c r="A10" s="420">
        <f t="shared" ref="A10:A38" si="9">A9+1</f>
        <v>45932</v>
      </c>
      <c r="B10" s="430" t="s">
        <v>416</v>
      </c>
      <c r="C10" s="407" t="s">
        <v>464</v>
      </c>
      <c r="D10" s="399">
        <f>+'2'!F42</f>
        <v>1099.0277777777778</v>
      </c>
      <c r="E10" s="399">
        <f>+'2'!G42</f>
        <v>836.35</v>
      </c>
      <c r="F10" s="46">
        <f t="shared" si="0"/>
        <v>0.23900922532541391</v>
      </c>
      <c r="G10" s="426">
        <f t="shared" ref="G10:G41" si="10">+P10/N10</f>
        <v>1.013165138680769</v>
      </c>
      <c r="H10" s="421">
        <f t="shared" ref="H10:H41" si="11">+P10/L10</f>
        <v>0.95131092752224578</v>
      </c>
      <c r="I10" s="421">
        <f t="shared" ref="I10:I41" si="12">+R10/P10</f>
        <v>1.000139259141368</v>
      </c>
      <c r="J10" s="427">
        <f t="shared" ref="J10:J41" si="13">+R10/L10</f>
        <v>0.95144340626518653</v>
      </c>
      <c r="K10" s="427">
        <f t="shared" ref="K10:K39" si="14">+S10/M10</f>
        <v>0.67262166811495938</v>
      </c>
      <c r="L10" s="400">
        <f>+SUM(Efficiency1!K11:K12)</f>
        <v>52.83866562</v>
      </c>
      <c r="M10" s="401">
        <f t="shared" ref="M10:O38" si="15">M9+L10</f>
        <v>102.52271562</v>
      </c>
      <c r="N10" s="400">
        <f>+SUM(Efficiency1!C11:C12)</f>
        <v>49.612840079999991</v>
      </c>
      <c r="O10" s="401">
        <f t="shared" si="15"/>
        <v>95.183751079999979</v>
      </c>
      <c r="P10" s="401">
        <f>'2'!I38</f>
        <v>50.265999999999998</v>
      </c>
      <c r="Q10" s="401">
        <f t="shared" ref="Q10:Q38" si="16">Q9+P10</f>
        <v>78.870999999999995</v>
      </c>
      <c r="R10" s="401">
        <f>'2'!I40</f>
        <v>50.273000000000003</v>
      </c>
      <c r="S10" s="401">
        <f t="shared" ref="S10:S38" si="17">S9+R10</f>
        <v>68.959000000000003</v>
      </c>
      <c r="T10" s="99"/>
      <c r="U10" s="12">
        <f t="shared" ref="U10:U38" si="18">T10+U9</f>
        <v>0</v>
      </c>
      <c r="V10" s="292">
        <f t="shared" ref="V10:W39" si="19">T10/P10</f>
        <v>0</v>
      </c>
      <c r="W10" s="292">
        <f t="shared" si="19"/>
        <v>0</v>
      </c>
      <c r="X10" s="293">
        <f t="shared" ref="X10:X39" si="20">IF(AND(R10&gt;0,T10&gt;0),(T10/(R10*1000))*1000,0)</f>
        <v>0</v>
      </c>
      <c r="Y10" s="292">
        <f t="shared" ref="Y10:Y39" si="21">IF(AND(S10&gt;0,U10&gt;0),U10/S10,0)</f>
        <v>0</v>
      </c>
      <c r="Z10" s="403">
        <v>117.4</v>
      </c>
      <c r="AA10" s="402">
        <f t="shared" ref="AA10:AA38" si="22">Z10+AA9</f>
        <v>197</v>
      </c>
      <c r="AB10" s="405">
        <f t="shared" si="1"/>
        <v>2.3355747423705888</v>
      </c>
      <c r="AC10" s="405">
        <f t="shared" si="2"/>
        <v>2.4977494896730104</v>
      </c>
      <c r="AD10" s="400">
        <f t="shared" si="3"/>
        <v>2.335249537525113</v>
      </c>
      <c r="AE10" s="405">
        <f t="shared" si="4"/>
        <v>2.85676996476167</v>
      </c>
      <c r="AF10" s="404">
        <f>'2'!I46</f>
        <v>44118.359999999608</v>
      </c>
      <c r="AG10" s="402">
        <f t="shared" ref="AG10:AG38" si="23">AF10+AG9</f>
        <v>81522.959999999992</v>
      </c>
      <c r="AH10" s="405">
        <f t="shared" si="5"/>
        <v>877.69784745154993</v>
      </c>
      <c r="AI10" s="405">
        <f t="shared" si="6"/>
        <v>1033.6240189676812</v>
      </c>
      <c r="AJ10" s="405">
        <f t="shared" si="7"/>
        <v>877.5756370218528</v>
      </c>
      <c r="AK10" s="405">
        <f t="shared" si="8"/>
        <v>1182.1946373932335</v>
      </c>
      <c r="AL10" s="400">
        <f>+SUM(Efficiency2!K11:K12)</f>
        <v>52.83866562</v>
      </c>
      <c r="AM10" s="401">
        <f t="shared" ref="AM10:AM38" si="24">AM9+AL10</f>
        <v>91.53784662000001</v>
      </c>
      <c r="AN10" s="427">
        <f t="shared" ref="AN10:AN41" si="25">+R10/AL10</f>
        <v>0.95144340626518653</v>
      </c>
      <c r="AO10" s="427">
        <f t="shared" ref="AO10:AO39" si="26">+S10/AM10</f>
        <v>0.75333867407072286</v>
      </c>
    </row>
    <row r="11" spans="1:41" s="406" customFormat="1" ht="12.75" customHeight="1">
      <c r="A11" s="420">
        <f t="shared" si="9"/>
        <v>45933</v>
      </c>
      <c r="B11" s="430" t="s">
        <v>416</v>
      </c>
      <c r="C11" s="407" t="s">
        <v>497</v>
      </c>
      <c r="D11" s="399">
        <f>+'3'!F42</f>
        <v>1215.2777777777778</v>
      </c>
      <c r="E11" s="399">
        <f>+'3'!G42</f>
        <v>956.72916666666663</v>
      </c>
      <c r="F11" s="46">
        <f t="shared" si="0"/>
        <v>0.21274857142857151</v>
      </c>
      <c r="G11" s="426">
        <f t="shared" si="10"/>
        <v>0.93574089011254291</v>
      </c>
      <c r="H11" s="421">
        <f>+P11/L11</f>
        <v>0.91973786807814684</v>
      </c>
      <c r="I11" s="421">
        <f t="shared" si="12"/>
        <v>0.86932223785922613</v>
      </c>
      <c r="J11" s="427">
        <f t="shared" si="13"/>
        <v>0.79954858172156829</v>
      </c>
      <c r="K11" s="427">
        <f t="shared" si="14"/>
        <v>0.71604176544575815</v>
      </c>
      <c r="L11" s="400">
        <f>+SUM(Efficiency1!K15:K16)</f>
        <v>53.307580019999989</v>
      </c>
      <c r="M11" s="401">
        <f t="shared" si="15"/>
        <v>155.83029563999997</v>
      </c>
      <c r="N11" s="400">
        <f>+SUM(Efficiency1!C15:C16)</f>
        <v>52.395914849999997</v>
      </c>
      <c r="O11" s="401">
        <f t="shared" si="15"/>
        <v>147.57966592999998</v>
      </c>
      <c r="P11" s="401">
        <f>'3'!I38</f>
        <v>49.029000000000003</v>
      </c>
      <c r="Q11" s="401">
        <f t="shared" si="16"/>
        <v>127.9</v>
      </c>
      <c r="R11" s="401">
        <f>'3'!I40</f>
        <v>42.622</v>
      </c>
      <c r="S11" s="401">
        <f t="shared" si="17"/>
        <v>111.581</v>
      </c>
      <c r="T11" s="99"/>
      <c r="U11" s="12">
        <f t="shared" si="18"/>
        <v>0</v>
      </c>
      <c r="V11" s="292">
        <f t="shared" si="19"/>
        <v>0</v>
      </c>
      <c r="W11" s="292">
        <f t="shared" si="19"/>
        <v>0</v>
      </c>
      <c r="X11" s="293">
        <f t="shared" si="20"/>
        <v>0</v>
      </c>
      <c r="Y11" s="292">
        <f t="shared" si="21"/>
        <v>0</v>
      </c>
      <c r="Z11" s="403">
        <v>125</v>
      </c>
      <c r="AA11" s="402">
        <f t="shared" si="22"/>
        <v>322</v>
      </c>
      <c r="AB11" s="405">
        <f t="shared" si="1"/>
        <v>2.5495115135939952</v>
      </c>
      <c r="AC11" s="405">
        <f t="shared" si="2"/>
        <v>2.5175918686473806</v>
      </c>
      <c r="AD11" s="400">
        <f t="shared" si="3"/>
        <v>2.9327577307493784</v>
      </c>
      <c r="AE11" s="405">
        <f t="shared" si="4"/>
        <v>2.8857959688477428</v>
      </c>
      <c r="AF11" s="404">
        <f>'3'!I46</f>
        <v>45154.440000000031</v>
      </c>
      <c r="AG11" s="402">
        <f t="shared" si="23"/>
        <v>126677.40000000002</v>
      </c>
      <c r="AH11" s="405">
        <f t="shared" si="5"/>
        <v>920.97411735911464</v>
      </c>
      <c r="AI11" s="405">
        <f t="shared" si="6"/>
        <v>990.44096950742789</v>
      </c>
      <c r="AJ11" s="405">
        <f t="shared" si="7"/>
        <v>1059.4162639012723</v>
      </c>
      <c r="AK11" s="405">
        <f t="shared" si="8"/>
        <v>1135.2954356028358</v>
      </c>
      <c r="AL11" s="400">
        <f>+SUM(Efficiency2!K15:K16)</f>
        <v>53.307580019999989</v>
      </c>
      <c r="AM11" s="401">
        <f t="shared" si="24"/>
        <v>144.84542664</v>
      </c>
      <c r="AN11" s="427">
        <f t="shared" si="25"/>
        <v>0.79954858172156829</v>
      </c>
      <c r="AO11" s="427">
        <f t="shared" si="26"/>
        <v>0.77034534391841258</v>
      </c>
    </row>
    <row r="12" spans="1:41" s="406" customFormat="1" ht="12.75" customHeight="1">
      <c r="A12" s="420">
        <f t="shared" si="9"/>
        <v>45934</v>
      </c>
      <c r="B12" s="430" t="s">
        <v>529</v>
      </c>
      <c r="C12" s="407" t="s">
        <v>528</v>
      </c>
      <c r="D12" s="399">
        <f>+'4'!F42</f>
        <v>1370</v>
      </c>
      <c r="E12" s="399">
        <f>+'4'!G42</f>
        <v>1072.6148611111109</v>
      </c>
      <c r="F12" s="46">
        <f t="shared" si="0"/>
        <v>0.21706944444444454</v>
      </c>
      <c r="G12" s="426">
        <f t="shared" si="10"/>
        <v>0.92544684257173315</v>
      </c>
      <c r="H12" s="421">
        <f t="shared" si="11"/>
        <v>0.92544684257173315</v>
      </c>
      <c r="I12" s="421">
        <f t="shared" si="12"/>
        <v>0.95637707193598431</v>
      </c>
      <c r="J12" s="427">
        <f t="shared" si="13"/>
        <v>0.88507614153115599</v>
      </c>
      <c r="K12" s="427">
        <f t="shared" si="14"/>
        <v>0.75890215850378762</v>
      </c>
      <c r="L12" s="400">
        <f>+SUM(Efficiency1!K20:K23)</f>
        <v>52.934428803999992</v>
      </c>
      <c r="M12" s="401">
        <f t="shared" si="15"/>
        <v>208.76472444399997</v>
      </c>
      <c r="N12" s="400">
        <f>+SUM(Efficiency1!C20:C23)</f>
        <v>52.934428803999992</v>
      </c>
      <c r="O12" s="401">
        <f t="shared" si="15"/>
        <v>200.51409473399997</v>
      </c>
      <c r="P12" s="401">
        <f>'4'!I38</f>
        <v>48.988</v>
      </c>
      <c r="Q12" s="401">
        <f t="shared" si="16"/>
        <v>176.88800000000001</v>
      </c>
      <c r="R12" s="401">
        <f>'4'!I40</f>
        <v>46.850999999999999</v>
      </c>
      <c r="S12" s="401">
        <f t="shared" si="17"/>
        <v>158.43200000000002</v>
      </c>
      <c r="T12" s="99"/>
      <c r="U12" s="12">
        <f t="shared" si="18"/>
        <v>0</v>
      </c>
      <c r="V12" s="292">
        <f t="shared" si="19"/>
        <v>0</v>
      </c>
      <c r="W12" s="292">
        <f t="shared" si="19"/>
        <v>0</v>
      </c>
      <c r="X12" s="293">
        <f t="shared" si="20"/>
        <v>0</v>
      </c>
      <c r="Y12" s="292">
        <f t="shared" si="21"/>
        <v>0</v>
      </c>
      <c r="Z12" s="403">
        <v>126.6</v>
      </c>
      <c r="AA12" s="402">
        <f t="shared" si="22"/>
        <v>448.6</v>
      </c>
      <c r="AB12" s="405">
        <f t="shared" si="1"/>
        <v>2.5843063607414059</v>
      </c>
      <c r="AC12" s="405">
        <f t="shared" si="2"/>
        <v>2.5360680204423138</v>
      </c>
      <c r="AD12" s="400">
        <f t="shared" si="3"/>
        <v>2.7021835179611959</v>
      </c>
      <c r="AE12" s="405">
        <f t="shared" si="4"/>
        <v>2.8314986871339123</v>
      </c>
      <c r="AF12" s="404">
        <f>'4'!I46</f>
        <v>50042.879999999801</v>
      </c>
      <c r="AG12" s="402">
        <f t="shared" si="23"/>
        <v>176720.27999999982</v>
      </c>
      <c r="AH12" s="405">
        <f t="shared" si="5"/>
        <v>1021.5334367600188</v>
      </c>
      <c r="AI12" s="405">
        <f t="shared" si="6"/>
        <v>999.05182940617692</v>
      </c>
      <c r="AJ12" s="405">
        <f t="shared" si="7"/>
        <v>1068.1283217007065</v>
      </c>
      <c r="AK12" s="405">
        <f t="shared" si="8"/>
        <v>1115.4329933346785</v>
      </c>
      <c r="AL12" s="400">
        <f>+SUM(Efficiency2!K20:K23)</f>
        <v>52.934428803999992</v>
      </c>
      <c r="AM12" s="401">
        <f t="shared" si="24"/>
        <v>197.77985544399999</v>
      </c>
      <c r="AN12" s="427">
        <f t="shared" si="25"/>
        <v>0.88507614153115599</v>
      </c>
      <c r="AO12" s="427">
        <f t="shared" si="26"/>
        <v>0.80105225906011923</v>
      </c>
    </row>
    <row r="13" spans="1:41" s="406" customFormat="1" ht="12.75" customHeight="1">
      <c r="A13" s="420">
        <f t="shared" si="9"/>
        <v>45935</v>
      </c>
      <c r="B13" s="430" t="s">
        <v>523</v>
      </c>
      <c r="C13" s="407" t="s">
        <v>530</v>
      </c>
      <c r="D13" s="399">
        <f>+'5'!F42</f>
        <v>1370</v>
      </c>
      <c r="E13" s="399">
        <f>+'5'!G42</f>
        <v>1041.2</v>
      </c>
      <c r="F13" s="46">
        <f t="shared" si="0"/>
        <v>0.24</v>
      </c>
      <c r="G13" s="426">
        <f t="shared" si="10"/>
        <v>0.92682145224708723</v>
      </c>
      <c r="H13" s="421">
        <f t="shared" si="11"/>
        <v>0.92682145224708723</v>
      </c>
      <c r="I13" s="421">
        <f t="shared" si="12"/>
        <v>0.93725593436005439</v>
      </c>
      <c r="J13" s="427">
        <f t="shared" si="13"/>
        <v>0.8686689062107863</v>
      </c>
      <c r="K13" s="427">
        <f t="shared" si="14"/>
        <v>0.77983073900478805</v>
      </c>
      <c r="L13" s="400">
        <f>+SUM(Efficiency1!K25:K26)</f>
        <v>49.180993695696209</v>
      </c>
      <c r="M13" s="401">
        <f t="shared" si="15"/>
        <v>257.94571813969617</v>
      </c>
      <c r="N13" s="400">
        <f>+SUM(Efficiency1!C25:C26)</f>
        <v>49.180993695696209</v>
      </c>
      <c r="O13" s="401">
        <f t="shared" si="15"/>
        <v>249.69508842969617</v>
      </c>
      <c r="P13" s="401">
        <f>'5'!I38</f>
        <v>45.582000000000001</v>
      </c>
      <c r="Q13" s="401">
        <f t="shared" si="16"/>
        <v>222.47</v>
      </c>
      <c r="R13" s="401">
        <f>'5'!I40</f>
        <v>42.722000000000001</v>
      </c>
      <c r="S13" s="401">
        <f t="shared" si="17"/>
        <v>201.15400000000002</v>
      </c>
      <c r="T13" s="99"/>
      <c r="U13" s="12">
        <f t="shared" si="18"/>
        <v>0</v>
      </c>
      <c r="V13" s="292">
        <f t="shared" si="19"/>
        <v>0</v>
      </c>
      <c r="W13" s="292">
        <f t="shared" si="19"/>
        <v>0</v>
      </c>
      <c r="X13" s="293">
        <f t="shared" si="20"/>
        <v>0</v>
      </c>
      <c r="Y13" s="292">
        <f t="shared" si="21"/>
        <v>0</v>
      </c>
      <c r="Z13" s="403">
        <v>123.3</v>
      </c>
      <c r="AA13" s="402">
        <f t="shared" si="22"/>
        <v>571.9</v>
      </c>
      <c r="AB13" s="405">
        <f t="shared" si="1"/>
        <v>2.7050151375542977</v>
      </c>
      <c r="AC13" s="405">
        <f t="shared" si="2"/>
        <v>2.5706836876882275</v>
      </c>
      <c r="AD13" s="400">
        <f t="shared" si="3"/>
        <v>2.88610083797575</v>
      </c>
      <c r="AE13" s="405">
        <f t="shared" si="4"/>
        <v>2.843095339888841</v>
      </c>
      <c r="AF13" s="404">
        <f>'5'!I46</f>
        <v>48740.960000000356</v>
      </c>
      <c r="AG13" s="402">
        <f t="shared" si="23"/>
        <v>225461.24000000017</v>
      </c>
      <c r="AH13" s="405">
        <f t="shared" si="5"/>
        <v>1069.3027949629318</v>
      </c>
      <c r="AI13" s="405">
        <f t="shared" si="6"/>
        <v>1013.4455881691922</v>
      </c>
      <c r="AJ13" s="405">
        <f t="shared" si="7"/>
        <v>1140.8866626094368</v>
      </c>
      <c r="AK13" s="405">
        <f t="shared" si="8"/>
        <v>1120.8389592053857</v>
      </c>
      <c r="AL13" s="400">
        <f>+SUM(Efficiency2!K25:K26)</f>
        <v>49.180993695696209</v>
      </c>
      <c r="AM13" s="401">
        <f t="shared" si="24"/>
        <v>246.96084913969619</v>
      </c>
      <c r="AN13" s="427">
        <f t="shared" si="25"/>
        <v>0.8686689062107863</v>
      </c>
      <c r="AO13" s="427">
        <f t="shared" si="26"/>
        <v>0.81451776951987642</v>
      </c>
    </row>
    <row r="14" spans="1:41" s="406" customFormat="1" ht="12.75" customHeight="1">
      <c r="A14" s="420">
        <f t="shared" si="9"/>
        <v>45936</v>
      </c>
      <c r="B14" s="430" t="s">
        <v>523</v>
      </c>
      <c r="C14" s="407" t="s">
        <v>546</v>
      </c>
      <c r="D14" s="399">
        <f>+'6'!F42</f>
        <v>1370</v>
      </c>
      <c r="E14" s="399">
        <f>+'6'!G42</f>
        <v>1041.2</v>
      </c>
      <c r="F14" s="46">
        <f t="shared" si="0"/>
        <v>0.24</v>
      </c>
      <c r="G14" s="426">
        <f t="shared" si="10"/>
        <v>0.8916906518387091</v>
      </c>
      <c r="H14" s="421">
        <f t="shared" si="11"/>
        <v>0.8916906518387091</v>
      </c>
      <c r="I14" s="421">
        <f t="shared" si="12"/>
        <v>0.97910754049687809</v>
      </c>
      <c r="J14" s="427">
        <f t="shared" si="13"/>
        <v>0.87306104100585646</v>
      </c>
      <c r="K14" s="427">
        <f t="shared" si="14"/>
        <v>0.79531403765496866</v>
      </c>
      <c r="L14" s="400">
        <f>+Efficiency1!K29</f>
        <v>51.369833142857132</v>
      </c>
      <c r="M14" s="401">
        <f t="shared" si="15"/>
        <v>309.31555128255332</v>
      </c>
      <c r="N14" s="400">
        <f>+Efficiency1!C29</f>
        <v>51.369833142857132</v>
      </c>
      <c r="O14" s="401">
        <f t="shared" si="15"/>
        <v>301.06492157255332</v>
      </c>
      <c r="P14" s="401">
        <f>'6'!I38</f>
        <v>45.805999999999997</v>
      </c>
      <c r="Q14" s="401">
        <f t="shared" si="16"/>
        <v>268.27600000000001</v>
      </c>
      <c r="R14" s="401">
        <f>'6'!I40</f>
        <v>44.848999999999997</v>
      </c>
      <c r="S14" s="401">
        <f t="shared" si="17"/>
        <v>246.00300000000001</v>
      </c>
      <c r="T14" s="99"/>
      <c r="U14" s="12">
        <f t="shared" si="18"/>
        <v>0</v>
      </c>
      <c r="V14" s="292">
        <f t="shared" si="19"/>
        <v>0</v>
      </c>
      <c r="W14" s="292">
        <f t="shared" si="19"/>
        <v>0</v>
      </c>
      <c r="X14" s="293">
        <f t="shared" si="20"/>
        <v>0</v>
      </c>
      <c r="Y14" s="292">
        <f t="shared" si="21"/>
        <v>0</v>
      </c>
      <c r="Z14" s="403">
        <v>124.6</v>
      </c>
      <c r="AA14" s="402">
        <f t="shared" si="22"/>
        <v>696.5</v>
      </c>
      <c r="AB14" s="405">
        <f t="shared" si="1"/>
        <v>2.7201676636248528</v>
      </c>
      <c r="AC14" s="405">
        <f t="shared" si="2"/>
        <v>2.5962068914103384</v>
      </c>
      <c r="AD14" s="400">
        <f t="shared" si="3"/>
        <v>2.7782113313563293</v>
      </c>
      <c r="AE14" s="405">
        <f t="shared" si="4"/>
        <v>2.8312662853705035</v>
      </c>
      <c r="AF14" s="404">
        <f>'6'!I46</f>
        <v>50699.479999999836</v>
      </c>
      <c r="AG14" s="402">
        <f t="shared" si="23"/>
        <v>276160.71999999997</v>
      </c>
      <c r="AH14" s="405">
        <f t="shared" si="5"/>
        <v>1106.8305462166493</v>
      </c>
      <c r="AI14" s="405">
        <f t="shared" si="6"/>
        <v>1029.3903293622984</v>
      </c>
      <c r="AJ14" s="405">
        <f t="shared" si="7"/>
        <v>1130.448393498179</v>
      </c>
      <c r="AK14" s="405">
        <f t="shared" si="8"/>
        <v>1122.5908627130564</v>
      </c>
      <c r="AL14" s="400">
        <f>+Efficiency2!K29</f>
        <v>51.369833142857132</v>
      </c>
      <c r="AM14" s="401">
        <f t="shared" si="24"/>
        <v>298.33068228255331</v>
      </c>
      <c r="AN14" s="427">
        <f t="shared" si="25"/>
        <v>0.87306104100585646</v>
      </c>
      <c r="AO14" s="427">
        <f t="shared" si="26"/>
        <v>0.82459838900179572</v>
      </c>
    </row>
    <row r="15" spans="1:41" s="406" customFormat="1" ht="12.75" customHeight="1">
      <c r="A15" s="420">
        <f t="shared" si="9"/>
        <v>45937</v>
      </c>
      <c r="B15" s="430" t="s">
        <v>571</v>
      </c>
      <c r="C15" s="407" t="s">
        <v>572</v>
      </c>
      <c r="D15" s="399">
        <f>+'7'!F42</f>
        <v>1370</v>
      </c>
      <c r="E15" s="399">
        <f>+'7'!G42</f>
        <v>1046.9083333333333</v>
      </c>
      <c r="F15" s="46">
        <f t="shared" si="0"/>
        <v>0.23583333333333334</v>
      </c>
      <c r="G15" s="426">
        <f t="shared" si="10"/>
        <v>0.92818405212873145</v>
      </c>
      <c r="H15" s="421">
        <f t="shared" si="11"/>
        <v>0.92818405212873145</v>
      </c>
      <c r="I15" s="421">
        <f t="shared" si="12"/>
        <v>0.9433094448604129</v>
      </c>
      <c r="J15" s="427">
        <f t="shared" si="13"/>
        <v>0.87556478294184226</v>
      </c>
      <c r="K15" s="427">
        <f t="shared" si="14"/>
        <v>0.80655069326450646</v>
      </c>
      <c r="L15" s="400">
        <f>+SUM(Efficiency1!K33:K36)</f>
        <v>50.361778887272727</v>
      </c>
      <c r="M15" s="401">
        <f t="shared" si="15"/>
        <v>359.67733016982606</v>
      </c>
      <c r="N15" s="400">
        <f>+SUM(Efficiency1!C33:C36)</f>
        <v>50.361778887272727</v>
      </c>
      <c r="O15" s="401">
        <f t="shared" si="15"/>
        <v>351.42670045982607</v>
      </c>
      <c r="P15" s="401">
        <f>'7'!I38</f>
        <v>46.744999999999997</v>
      </c>
      <c r="Q15" s="401">
        <f t="shared" si="16"/>
        <v>315.02100000000002</v>
      </c>
      <c r="R15" s="401">
        <f>'7'!I40</f>
        <v>44.094999999999999</v>
      </c>
      <c r="S15" s="401">
        <f t="shared" si="17"/>
        <v>290.09800000000001</v>
      </c>
      <c r="T15" s="99"/>
      <c r="U15" s="12">
        <f t="shared" si="18"/>
        <v>0</v>
      </c>
      <c r="V15" s="292">
        <f t="shared" si="19"/>
        <v>0</v>
      </c>
      <c r="W15" s="292">
        <f t="shared" si="19"/>
        <v>0</v>
      </c>
      <c r="X15" s="293">
        <f t="shared" si="20"/>
        <v>0</v>
      </c>
      <c r="Y15" s="292">
        <f t="shared" si="21"/>
        <v>0</v>
      </c>
      <c r="Z15" s="403">
        <v>123.4</v>
      </c>
      <c r="AA15" s="402">
        <f t="shared" si="22"/>
        <v>819.9</v>
      </c>
      <c r="AB15" s="405">
        <f t="shared" si="1"/>
        <v>2.6398545298962457</v>
      </c>
      <c r="AC15" s="405">
        <f t="shared" si="2"/>
        <v>2.6026836306151018</v>
      </c>
      <c r="AD15" s="400">
        <f t="shared" si="3"/>
        <v>2.7985032316589185</v>
      </c>
      <c r="AE15" s="405">
        <f t="shared" si="4"/>
        <v>2.8262862894608025</v>
      </c>
      <c r="AF15" s="404">
        <f>'7'!I46</f>
        <v>55121.600000000151</v>
      </c>
      <c r="AG15" s="402">
        <f t="shared" si="23"/>
        <v>331282.32000000012</v>
      </c>
      <c r="AH15" s="405">
        <f t="shared" si="5"/>
        <v>1179.1977751631223</v>
      </c>
      <c r="AI15" s="405">
        <f t="shared" si="6"/>
        <v>1051.6197967754536</v>
      </c>
      <c r="AJ15" s="405">
        <f t="shared" si="7"/>
        <v>1250.0646331783682</v>
      </c>
      <c r="AK15" s="405">
        <f t="shared" si="8"/>
        <v>1141.966921523072</v>
      </c>
      <c r="AL15" s="400">
        <f>+SUM(Efficiency2!K33:K36)</f>
        <v>50.361778887272727</v>
      </c>
      <c r="AM15" s="401">
        <f t="shared" si="24"/>
        <v>348.69246116982606</v>
      </c>
      <c r="AN15" s="427">
        <f t="shared" si="25"/>
        <v>0.87556478294184226</v>
      </c>
      <c r="AO15" s="427">
        <f t="shared" si="26"/>
        <v>0.8319594838005735</v>
      </c>
    </row>
    <row r="16" spans="1:41" s="406" customFormat="1" ht="12.75" customHeight="1">
      <c r="A16" s="420">
        <f t="shared" si="9"/>
        <v>45938</v>
      </c>
      <c r="B16" s="430" t="s">
        <v>416</v>
      </c>
      <c r="C16" s="407" t="s">
        <v>546</v>
      </c>
      <c r="D16" s="399">
        <f>+'8'!F42</f>
        <v>1370</v>
      </c>
      <c r="E16" s="399">
        <f>+'8'!G42</f>
        <v>1109.7</v>
      </c>
      <c r="F16" s="46">
        <f t="shared" si="0"/>
        <v>0.18999999999999995</v>
      </c>
      <c r="G16" s="426">
        <f t="shared" si="10"/>
        <v>0.915329351562161</v>
      </c>
      <c r="H16" s="421">
        <f t="shared" si="11"/>
        <v>0.915329351562161</v>
      </c>
      <c r="I16" s="421">
        <f t="shared" si="12"/>
        <v>0.95212977707006385</v>
      </c>
      <c r="J16" s="427">
        <f t="shared" si="13"/>
        <v>0.87151233144856644</v>
      </c>
      <c r="K16" s="427">
        <f t="shared" si="14"/>
        <v>0.81515145495298824</v>
      </c>
      <c r="L16" s="400">
        <f>+Efficiency1!K38</f>
        <v>54.887347285714284</v>
      </c>
      <c r="M16" s="401">
        <f t="shared" si="15"/>
        <v>414.56467745554033</v>
      </c>
      <c r="N16" s="400">
        <f>+Efficiency1!C38</f>
        <v>54.887347285714284</v>
      </c>
      <c r="O16" s="401">
        <f t="shared" si="15"/>
        <v>406.31404774554034</v>
      </c>
      <c r="P16" s="401">
        <f>'8'!I38</f>
        <v>50.239999999999995</v>
      </c>
      <c r="Q16" s="401">
        <f t="shared" si="16"/>
        <v>365.26100000000002</v>
      </c>
      <c r="R16" s="401">
        <f>'8'!I40</f>
        <v>47.835000000000001</v>
      </c>
      <c r="S16" s="401">
        <f t="shared" si="17"/>
        <v>337.93299999999999</v>
      </c>
      <c r="T16" s="99"/>
      <c r="U16" s="12">
        <f t="shared" si="18"/>
        <v>0</v>
      </c>
      <c r="V16" s="292">
        <f t="shared" si="19"/>
        <v>0</v>
      </c>
      <c r="W16" s="292">
        <f t="shared" si="19"/>
        <v>0</v>
      </c>
      <c r="X16" s="293">
        <f t="shared" si="20"/>
        <v>0</v>
      </c>
      <c r="Y16" s="292">
        <f t="shared" si="21"/>
        <v>0</v>
      </c>
      <c r="Z16" s="403">
        <v>123.5</v>
      </c>
      <c r="AA16" s="402">
        <f t="shared" si="22"/>
        <v>943.4</v>
      </c>
      <c r="AB16" s="405">
        <f t="shared" si="1"/>
        <v>2.4582006369426752</v>
      </c>
      <c r="AC16" s="405">
        <f t="shared" si="2"/>
        <v>2.5828106477286101</v>
      </c>
      <c r="AD16" s="400">
        <f t="shared" si="3"/>
        <v>2.5817915752064389</v>
      </c>
      <c r="AE16" s="405">
        <f t="shared" si="4"/>
        <v>2.7916776402422965</v>
      </c>
      <c r="AF16" s="404">
        <f>'8'!I46</f>
        <v>48453.520000000222</v>
      </c>
      <c r="AG16" s="402">
        <f t="shared" si="23"/>
        <v>379735.84000000032</v>
      </c>
      <c r="AH16" s="405">
        <f t="shared" si="5"/>
        <v>964.44108280255239</v>
      </c>
      <c r="AI16" s="405">
        <f t="shared" si="6"/>
        <v>1039.6287586137046</v>
      </c>
      <c r="AJ16" s="405">
        <f t="shared" si="7"/>
        <v>1012.9302811748767</v>
      </c>
      <c r="AK16" s="405">
        <f t="shared" si="8"/>
        <v>1123.7015621439764</v>
      </c>
      <c r="AL16" s="400">
        <f>+Efficiency2!K38</f>
        <v>54.887347285714284</v>
      </c>
      <c r="AM16" s="401">
        <f t="shared" si="24"/>
        <v>403.57980845554033</v>
      </c>
      <c r="AN16" s="427">
        <f t="shared" si="25"/>
        <v>0.87151233144856644</v>
      </c>
      <c r="AO16" s="427">
        <f t="shared" si="26"/>
        <v>0.8373387194300822</v>
      </c>
    </row>
    <row r="17" spans="1:41" s="406" customFormat="1" ht="12.75" customHeight="1">
      <c r="A17" s="420">
        <f t="shared" si="9"/>
        <v>45939</v>
      </c>
      <c r="B17" s="430" t="s">
        <v>416</v>
      </c>
      <c r="C17" s="407" t="s">
        <v>546</v>
      </c>
      <c r="D17" s="399">
        <f>+'9'!F42</f>
        <v>1383.3333333333333</v>
      </c>
      <c r="E17" s="399">
        <f>+'9'!G42</f>
        <v>1120.5</v>
      </c>
      <c r="F17" s="46">
        <f t="shared" si="0"/>
        <v>0.18999999999999995</v>
      </c>
      <c r="G17" s="426">
        <f t="shared" si="10"/>
        <v>0.9456515115514752</v>
      </c>
      <c r="H17" s="421">
        <f t="shared" si="11"/>
        <v>0.9456515115514752</v>
      </c>
      <c r="I17" s="421">
        <f t="shared" si="12"/>
        <v>1.0574569629890991</v>
      </c>
      <c r="J17" s="427">
        <f t="shared" si="13"/>
        <v>0.99998577545127387</v>
      </c>
      <c r="K17" s="427">
        <f t="shared" si="14"/>
        <v>0.83747378998608968</v>
      </c>
      <c r="L17" s="400">
        <f>+Efficiency1!K42</f>
        <v>56.943809999999992</v>
      </c>
      <c r="M17" s="401">
        <f t="shared" si="15"/>
        <v>471.50848745554032</v>
      </c>
      <c r="N17" s="400">
        <f>+Efficiency1!C42</f>
        <v>56.943809999999992</v>
      </c>
      <c r="O17" s="401">
        <f t="shared" si="15"/>
        <v>463.25785774554032</v>
      </c>
      <c r="P17" s="401">
        <f>'9'!I38</f>
        <v>53.849000000000004</v>
      </c>
      <c r="Q17" s="401">
        <f t="shared" si="16"/>
        <v>419.11</v>
      </c>
      <c r="R17" s="401">
        <f>'9'!I40</f>
        <v>56.942999999999998</v>
      </c>
      <c r="S17" s="401">
        <f t="shared" si="17"/>
        <v>394.87599999999998</v>
      </c>
      <c r="T17" s="99"/>
      <c r="U17" s="12">
        <f t="shared" si="18"/>
        <v>0</v>
      </c>
      <c r="V17" s="292">
        <f t="shared" si="19"/>
        <v>0</v>
      </c>
      <c r="W17" s="292">
        <f t="shared" si="19"/>
        <v>0</v>
      </c>
      <c r="X17" s="293">
        <f t="shared" si="20"/>
        <v>0</v>
      </c>
      <c r="Y17" s="292">
        <f t="shared" si="21"/>
        <v>0</v>
      </c>
      <c r="Z17" s="403">
        <v>124.7</v>
      </c>
      <c r="AA17" s="402">
        <f t="shared" si="22"/>
        <v>1068.0999999999999</v>
      </c>
      <c r="AB17" s="405">
        <f t="shared" si="1"/>
        <v>2.3157347397351855</v>
      </c>
      <c r="AC17" s="405">
        <f t="shared" si="2"/>
        <v>2.5484956216745003</v>
      </c>
      <c r="AD17" s="400">
        <f t="shared" si="3"/>
        <v>2.1899092074530673</v>
      </c>
      <c r="AE17" s="405">
        <f t="shared" si="4"/>
        <v>2.7048997660024918</v>
      </c>
      <c r="AF17" s="404">
        <f>'9'!I46</f>
        <v>59159.719999999797</v>
      </c>
      <c r="AG17" s="402">
        <f t="shared" si="23"/>
        <v>438895.56000000011</v>
      </c>
      <c r="AH17" s="405">
        <f t="shared" si="5"/>
        <v>1098.622444242229</v>
      </c>
      <c r="AI17" s="405">
        <f t="shared" si="6"/>
        <v>1047.2085132781372</v>
      </c>
      <c r="AJ17" s="405">
        <f t="shared" si="7"/>
        <v>1038.9287533147146</v>
      </c>
      <c r="AK17" s="405">
        <f t="shared" si="8"/>
        <v>1111.4769193367035</v>
      </c>
      <c r="AL17" s="400">
        <f>+Efficiency2!K42</f>
        <v>56.943809999999992</v>
      </c>
      <c r="AM17" s="401">
        <f t="shared" si="24"/>
        <v>460.52361845554032</v>
      </c>
      <c r="AN17" s="427">
        <f t="shared" si="25"/>
        <v>0.99998577545127387</v>
      </c>
      <c r="AO17" s="427">
        <f t="shared" si="26"/>
        <v>0.85745005071465608</v>
      </c>
    </row>
    <row r="18" spans="1:41" s="406" customFormat="1" ht="12.75" customHeight="1">
      <c r="A18" s="420">
        <f t="shared" si="9"/>
        <v>45940</v>
      </c>
      <c r="B18" s="430" t="s">
        <v>416</v>
      </c>
      <c r="C18" s="407" t="s">
        <v>546</v>
      </c>
      <c r="D18" s="399">
        <f>+'10'!F42</f>
        <v>1397.5694444444443</v>
      </c>
      <c r="E18" s="399">
        <f>+'10'!G42</f>
        <v>1118.0555555555557</v>
      </c>
      <c r="F18" s="46">
        <f t="shared" si="0"/>
        <v>0.19999999999999984</v>
      </c>
      <c r="G18" s="426">
        <f t="shared" si="10"/>
        <v>0.89478395361521867</v>
      </c>
      <c r="H18" s="421">
        <f t="shared" si="11"/>
        <v>0.89478395361521867</v>
      </c>
      <c r="I18" s="421">
        <f>+R18/P18</f>
        <v>0.80414044651088201</v>
      </c>
      <c r="J18" s="427">
        <f t="shared" si="13"/>
        <v>0.71953196799091435</v>
      </c>
      <c r="K18" s="427">
        <f t="shared" si="14"/>
        <v>0.82500005518797526</v>
      </c>
      <c r="L18" s="400">
        <f>+Efficiency1!K46</f>
        <v>55.765416666666667</v>
      </c>
      <c r="M18" s="401">
        <f t="shared" si="15"/>
        <v>527.273904122207</v>
      </c>
      <c r="N18" s="400">
        <f>+Efficiency1!C46</f>
        <v>55.765416666666667</v>
      </c>
      <c r="O18" s="401">
        <f t="shared" si="15"/>
        <v>519.023274412207</v>
      </c>
      <c r="P18" s="401">
        <f>'10'!I38</f>
        <v>49.89800000000001</v>
      </c>
      <c r="Q18" s="401">
        <f t="shared" si="16"/>
        <v>469.00800000000004</v>
      </c>
      <c r="R18" s="401">
        <f>'10'!I40</f>
        <v>40.125</v>
      </c>
      <c r="S18" s="401">
        <f t="shared" si="17"/>
        <v>435.00099999999998</v>
      </c>
      <c r="T18" s="99"/>
      <c r="U18" s="12">
        <f t="shared" si="18"/>
        <v>0</v>
      </c>
      <c r="V18" s="292">
        <f t="shared" si="19"/>
        <v>0</v>
      </c>
      <c r="W18" s="292">
        <f t="shared" si="19"/>
        <v>0</v>
      </c>
      <c r="X18" s="293">
        <f t="shared" si="20"/>
        <v>0</v>
      </c>
      <c r="Y18" s="292">
        <f t="shared" si="21"/>
        <v>0</v>
      </c>
      <c r="Z18" s="403">
        <v>124.8</v>
      </c>
      <c r="AA18" s="402">
        <f t="shared" si="22"/>
        <v>1192.8999999999999</v>
      </c>
      <c r="AB18" s="405">
        <f t="shared" si="1"/>
        <v>2.501102248587117</v>
      </c>
      <c r="AC18" s="405">
        <f t="shared" si="2"/>
        <v>2.5434534165728513</v>
      </c>
      <c r="AD18" s="400">
        <f t="shared" si="3"/>
        <v>3.1102803738317757</v>
      </c>
      <c r="AE18" s="405">
        <f t="shared" si="4"/>
        <v>2.7422925464539158</v>
      </c>
      <c r="AF18" s="404">
        <f>'10'!I46</f>
        <v>51974.437599999575</v>
      </c>
      <c r="AG18" s="402">
        <f t="shared" si="23"/>
        <v>490869.99759999971</v>
      </c>
      <c r="AH18" s="405">
        <f t="shared" si="5"/>
        <v>1041.6136438334115</v>
      </c>
      <c r="AI18" s="405">
        <f t="shared" si="6"/>
        <v>1046.6132722682762</v>
      </c>
      <c r="AJ18" s="405">
        <f t="shared" si="7"/>
        <v>1295.3130866043507</v>
      </c>
      <c r="AK18" s="405">
        <f t="shared" si="8"/>
        <v>1128.4341819903857</v>
      </c>
      <c r="AL18" s="400">
        <f>+Efficiency2!K46</f>
        <v>55.765416666666667</v>
      </c>
      <c r="AM18" s="401">
        <f t="shared" si="24"/>
        <v>516.289035122207</v>
      </c>
      <c r="AN18" s="427">
        <f t="shared" si="25"/>
        <v>0.71953196799091435</v>
      </c>
      <c r="AO18" s="427">
        <f t="shared" si="26"/>
        <v>0.84255324131963039</v>
      </c>
    </row>
    <row r="19" spans="1:41" s="406" customFormat="1" ht="12.75" customHeight="1">
      <c r="A19" s="420">
        <f t="shared" si="9"/>
        <v>45941</v>
      </c>
      <c r="B19" s="430" t="s">
        <v>416</v>
      </c>
      <c r="C19" s="407" t="s">
        <v>624</v>
      </c>
      <c r="D19" s="399">
        <f>+'11'!F42</f>
        <v>1379.8611111111111</v>
      </c>
      <c r="E19" s="399">
        <f>+'11'!G42</f>
        <v>1082.2361111111111</v>
      </c>
      <c r="F19" s="46">
        <f t="shared" si="0"/>
        <v>0.21569199798691496</v>
      </c>
      <c r="G19" s="426">
        <f t="shared" si="10"/>
        <v>0.93907939291905651</v>
      </c>
      <c r="H19" s="421">
        <f t="shared" si="11"/>
        <v>0.92962044840880609</v>
      </c>
      <c r="I19" s="421">
        <f t="shared" si="12"/>
        <v>1.0485531931555658</v>
      </c>
      <c r="J19" s="427">
        <f t="shared" si="13"/>
        <v>0.97475648960176264</v>
      </c>
      <c r="K19" s="427">
        <f t="shared" si="14"/>
        <v>0.83913282875750539</v>
      </c>
      <c r="L19" s="400">
        <f>+SUM(Efficiency1!K50:K51)</f>
        <v>54.9450048</v>
      </c>
      <c r="M19" s="401">
        <f t="shared" si="15"/>
        <v>582.21890892220699</v>
      </c>
      <c r="N19" s="400">
        <f>+SUM(Efficiency1!C50:C51)</f>
        <v>54.391567299999998</v>
      </c>
      <c r="O19" s="401">
        <f t="shared" si="15"/>
        <v>573.41484171220702</v>
      </c>
      <c r="P19" s="401">
        <f>'11'!I38</f>
        <v>51.078000000000003</v>
      </c>
      <c r="Q19" s="401">
        <f t="shared" si="16"/>
        <v>520.08600000000001</v>
      </c>
      <c r="R19" s="401">
        <f>'11'!I40</f>
        <v>53.558</v>
      </c>
      <c r="S19" s="401">
        <f t="shared" si="17"/>
        <v>488.55899999999997</v>
      </c>
      <c r="T19" s="99"/>
      <c r="U19" s="12">
        <f t="shared" si="18"/>
        <v>0</v>
      </c>
      <c r="V19" s="292">
        <f t="shared" si="19"/>
        <v>0</v>
      </c>
      <c r="W19" s="292">
        <f t="shared" si="19"/>
        <v>0</v>
      </c>
      <c r="X19" s="293">
        <f t="shared" si="20"/>
        <v>0</v>
      </c>
      <c r="Y19" s="292">
        <f t="shared" si="21"/>
        <v>0</v>
      </c>
      <c r="Z19" s="403">
        <v>121</v>
      </c>
      <c r="AA19" s="402">
        <f t="shared" si="22"/>
        <v>1313.8999999999999</v>
      </c>
      <c r="AB19" s="405">
        <f t="shared" si="1"/>
        <v>2.3689259563804375</v>
      </c>
      <c r="AC19" s="405">
        <f t="shared" si="2"/>
        <v>2.5263129559342103</v>
      </c>
      <c r="AD19" s="400">
        <f t="shared" si="3"/>
        <v>2.259232981067254</v>
      </c>
      <c r="AE19" s="405">
        <f t="shared" si="4"/>
        <v>2.6893374188173791</v>
      </c>
      <c r="AF19" s="404">
        <f>'11'!I46</f>
        <v>48763.169999999984</v>
      </c>
      <c r="AG19" s="402">
        <f t="shared" si="23"/>
        <v>539633.1675999997</v>
      </c>
      <c r="AH19" s="405">
        <f t="shared" si="5"/>
        <v>954.6804886643954</v>
      </c>
      <c r="AI19" s="405">
        <f t="shared" si="6"/>
        <v>1037.5844910264836</v>
      </c>
      <c r="AJ19" s="405">
        <f t="shared" si="7"/>
        <v>910.47406549908487</v>
      </c>
      <c r="AK19" s="405">
        <f t="shared" si="8"/>
        <v>1104.540429303318</v>
      </c>
      <c r="AL19" s="400">
        <f>+SUM(Efficiency2!K50:K51)</f>
        <v>54.9450048</v>
      </c>
      <c r="AM19" s="401">
        <f t="shared" si="24"/>
        <v>571.23403992220699</v>
      </c>
      <c r="AN19" s="427">
        <f t="shared" si="25"/>
        <v>0.97475648960176264</v>
      </c>
      <c r="AO19" s="427">
        <f t="shared" si="26"/>
        <v>0.85526940948150421</v>
      </c>
    </row>
    <row r="20" spans="1:41" s="406" customFormat="1" ht="12.75" customHeight="1">
      <c r="A20" s="420">
        <f t="shared" si="9"/>
        <v>45942</v>
      </c>
      <c r="B20" s="430" t="s">
        <v>416</v>
      </c>
      <c r="C20" s="407" t="s">
        <v>625</v>
      </c>
      <c r="D20" s="399">
        <f>+'12'!F42</f>
        <v>1329.1666666666667</v>
      </c>
      <c r="E20" s="399">
        <f>+'12'!G42</f>
        <v>1010.1666666666666</v>
      </c>
      <c r="F20" s="46">
        <f t="shared" si="0"/>
        <v>0.2400000000000001</v>
      </c>
      <c r="G20" s="426">
        <f t="shared" si="10"/>
        <v>0.91225021909232096</v>
      </c>
      <c r="H20" s="421">
        <f t="shared" si="11"/>
        <v>0.90890791087004674</v>
      </c>
      <c r="I20" s="421">
        <f t="shared" si="12"/>
        <v>1.0106905116741183</v>
      </c>
      <c r="J20" s="427">
        <f t="shared" si="13"/>
        <v>0.91862460150190139</v>
      </c>
      <c r="K20" s="427">
        <f t="shared" si="14"/>
        <v>0.84603596192248465</v>
      </c>
      <c r="L20" s="400">
        <f>+SUM(Efficiency1!K54:K56)</f>
        <v>55.368645599999994</v>
      </c>
      <c r="M20" s="401">
        <f t="shared" si="15"/>
        <v>637.58755452220703</v>
      </c>
      <c r="N20" s="400">
        <f>+SUM(Efficiency1!C54:C56)</f>
        <v>55.1657856</v>
      </c>
      <c r="O20" s="401">
        <f t="shared" si="15"/>
        <v>628.58062731220707</v>
      </c>
      <c r="P20" s="401">
        <f>'12'!I38</f>
        <v>50.325000000000003</v>
      </c>
      <c r="Q20" s="401">
        <f t="shared" si="16"/>
        <v>570.41100000000006</v>
      </c>
      <c r="R20" s="401">
        <f>'12'!I40</f>
        <v>50.863</v>
      </c>
      <c r="S20" s="401">
        <f t="shared" si="17"/>
        <v>539.42200000000003</v>
      </c>
      <c r="T20" s="99"/>
      <c r="U20" s="12">
        <f t="shared" si="18"/>
        <v>0</v>
      </c>
      <c r="V20" s="292">
        <f t="shared" si="19"/>
        <v>0</v>
      </c>
      <c r="W20" s="292">
        <f t="shared" si="19"/>
        <v>0</v>
      </c>
      <c r="X20" s="293">
        <f t="shared" si="20"/>
        <v>0</v>
      </c>
      <c r="Y20" s="292">
        <f t="shared" si="21"/>
        <v>0</v>
      </c>
      <c r="Z20" s="403">
        <v>122.5</v>
      </c>
      <c r="AA20" s="402">
        <f t="shared" si="22"/>
        <v>1436.3999999999999</v>
      </c>
      <c r="AB20" s="405">
        <f t="shared" si="1"/>
        <v>2.4341778440139095</v>
      </c>
      <c r="AC20" s="405">
        <f t="shared" si="2"/>
        <v>2.5181842566149668</v>
      </c>
      <c r="AD20" s="400">
        <f t="shared" si="3"/>
        <v>2.4084304897469675</v>
      </c>
      <c r="AE20" s="405">
        <f t="shared" si="4"/>
        <v>2.6628502359933406</v>
      </c>
      <c r="AF20" s="404">
        <f>'12'!I46</f>
        <v>49974.620000000134</v>
      </c>
      <c r="AG20" s="402">
        <f t="shared" si="23"/>
        <v>589607.78759999981</v>
      </c>
      <c r="AH20" s="405">
        <f t="shared" si="5"/>
        <v>993.0376552409366</v>
      </c>
      <c r="AI20" s="405">
        <f t="shared" si="6"/>
        <v>1033.6543082093435</v>
      </c>
      <c r="AJ20" s="405">
        <f t="shared" si="7"/>
        <v>982.53386548178696</v>
      </c>
      <c r="AK20" s="405">
        <f t="shared" si="8"/>
        <v>1093.0362269243742</v>
      </c>
      <c r="AL20" s="400">
        <f>+SUM(Efficiency2!K54:K56)</f>
        <v>55.368645599999994</v>
      </c>
      <c r="AM20" s="401">
        <f t="shared" si="24"/>
        <v>626.60268552220703</v>
      </c>
      <c r="AN20" s="427">
        <f t="shared" si="25"/>
        <v>0.91862460150190139</v>
      </c>
      <c r="AO20" s="427">
        <f t="shared" si="26"/>
        <v>0.86086767973304945</v>
      </c>
    </row>
    <row r="21" spans="1:41" s="406" customFormat="1" ht="12.75" customHeight="1">
      <c r="A21" s="420">
        <f t="shared" si="9"/>
        <v>45943</v>
      </c>
      <c r="B21" s="430" t="s">
        <v>416</v>
      </c>
      <c r="C21" s="407" t="s">
        <v>624</v>
      </c>
      <c r="D21" s="399">
        <f>+'13'!F42</f>
        <v>1387.5</v>
      </c>
      <c r="E21" s="399">
        <f>+'13'!G42</f>
        <v>1054.5</v>
      </c>
      <c r="F21" s="46">
        <f t="shared" si="0"/>
        <v>0.24</v>
      </c>
      <c r="G21" s="426">
        <f t="shared" si="10"/>
        <v>0.97897867054341203</v>
      </c>
      <c r="H21" s="421">
        <f t="shared" si="11"/>
        <v>0.95726523090821702</v>
      </c>
      <c r="I21" s="421">
        <f t="shared" si="12"/>
        <v>0.92241446801847649</v>
      </c>
      <c r="J21" s="427">
        <f t="shared" si="13"/>
        <v>0.88299529872078708</v>
      </c>
      <c r="K21" s="427">
        <f t="shared" si="14"/>
        <v>0.84889086658475921</v>
      </c>
      <c r="L21" s="400">
        <f>+SUM(Efficiency1!K59:K61)</f>
        <v>53.372877599999995</v>
      </c>
      <c r="M21" s="401">
        <f t="shared" si="15"/>
        <v>690.96043212220707</v>
      </c>
      <c r="N21" s="400">
        <f>+SUM(Efficiency1!C59:C61)</f>
        <v>52.189083927272719</v>
      </c>
      <c r="O21" s="401">
        <f t="shared" si="15"/>
        <v>680.76971123947976</v>
      </c>
      <c r="P21" s="401">
        <f>'13'!I38</f>
        <v>51.091999999999999</v>
      </c>
      <c r="Q21" s="401">
        <f t="shared" si="16"/>
        <v>621.50300000000004</v>
      </c>
      <c r="R21" s="401">
        <f>'13'!I40</f>
        <v>47.128</v>
      </c>
      <c r="S21" s="401">
        <f t="shared" si="17"/>
        <v>586.55000000000007</v>
      </c>
      <c r="T21" s="99"/>
      <c r="U21" s="12">
        <f t="shared" si="18"/>
        <v>0</v>
      </c>
      <c r="V21" s="292">
        <f t="shared" si="19"/>
        <v>0</v>
      </c>
      <c r="W21" s="292">
        <f t="shared" si="19"/>
        <v>0</v>
      </c>
      <c r="X21" s="293">
        <f t="shared" si="20"/>
        <v>0</v>
      </c>
      <c r="Y21" s="292">
        <f t="shared" si="21"/>
        <v>0</v>
      </c>
      <c r="Z21" s="403">
        <v>122.3</v>
      </c>
      <c r="AA21" s="402">
        <f t="shared" si="22"/>
        <v>1558.6999999999998</v>
      </c>
      <c r="AB21" s="405">
        <f t="shared" si="1"/>
        <v>2.3937211305096686</v>
      </c>
      <c r="AC21" s="405">
        <f t="shared" si="2"/>
        <v>2.507952495804525</v>
      </c>
      <c r="AD21" s="400">
        <f t="shared" si="3"/>
        <v>2.595060261415719</v>
      </c>
      <c r="AE21" s="405">
        <f t="shared" si="4"/>
        <v>2.6574034609155222</v>
      </c>
      <c r="AF21" s="404">
        <f>'13'!I46</f>
        <v>44644.410000000353</v>
      </c>
      <c r="AG21" s="402">
        <f t="shared" si="23"/>
        <v>634252.19760000019</v>
      </c>
      <c r="AH21" s="405">
        <f t="shared" si="5"/>
        <v>873.80431378690116</v>
      </c>
      <c r="AI21" s="405">
        <f t="shared" si="6"/>
        <v>1020.5134932574745</v>
      </c>
      <c r="AJ21" s="405">
        <f t="shared" si="7"/>
        <v>947.30117976575184</v>
      </c>
      <c r="AK21" s="405">
        <f t="shared" si="8"/>
        <v>1081.3267370215669</v>
      </c>
      <c r="AL21" s="400">
        <f>+SUM(Efficiency2!K59:K61)</f>
        <v>53.372877599999995</v>
      </c>
      <c r="AM21" s="401">
        <f t="shared" si="24"/>
        <v>679.97556312220706</v>
      </c>
      <c r="AN21" s="427">
        <f t="shared" si="25"/>
        <v>0.88299529872078708</v>
      </c>
      <c r="AO21" s="427">
        <f t="shared" si="26"/>
        <v>0.86260452847271474</v>
      </c>
    </row>
    <row r="22" spans="1:41" s="406" customFormat="1" ht="12.75" customHeight="1">
      <c r="A22" s="420">
        <f t="shared" si="9"/>
        <v>45944</v>
      </c>
      <c r="B22" s="430" t="s">
        <v>416</v>
      </c>
      <c r="C22" s="407" t="s">
        <v>651</v>
      </c>
      <c r="D22" s="399">
        <f>+'14'!F42</f>
        <v>1235.0694444444443</v>
      </c>
      <c r="E22" s="399">
        <f>+'14'!G42</f>
        <v>946.24305555555554</v>
      </c>
      <c r="F22" s="46">
        <f t="shared" si="0"/>
        <v>0.23385437166151246</v>
      </c>
      <c r="G22" s="426">
        <f t="shared" si="10"/>
        <v>1.0224664927068536</v>
      </c>
      <c r="H22" s="421">
        <f t="shared" si="11"/>
        <v>1.0224664927068536</v>
      </c>
      <c r="I22" s="421">
        <f t="shared" si="12"/>
        <v>0.76796393579699329</v>
      </c>
      <c r="J22" s="427">
        <f t="shared" si="13"/>
        <v>0.78521739195970297</v>
      </c>
      <c r="K22" s="427">
        <f t="shared" si="14"/>
        <v>0.84429088868958402</v>
      </c>
      <c r="L22" s="400">
        <f>+SUM(Efficiency1!K63:K64)</f>
        <v>53.804208150000001</v>
      </c>
      <c r="M22" s="401">
        <f t="shared" si="15"/>
        <v>744.76464027220709</v>
      </c>
      <c r="N22" s="400">
        <f>+SUM(Efficiency1!C63:C64)</f>
        <v>53.804208150000001</v>
      </c>
      <c r="O22" s="401">
        <f t="shared" si="15"/>
        <v>734.57391938947978</v>
      </c>
      <c r="P22" s="401">
        <f>'14'!I38</f>
        <v>55.013000000000005</v>
      </c>
      <c r="Q22" s="401">
        <f t="shared" si="16"/>
        <v>676.51600000000008</v>
      </c>
      <c r="R22" s="401">
        <f>'14'!I40</f>
        <v>42.247999999999998</v>
      </c>
      <c r="S22" s="401">
        <f t="shared" si="17"/>
        <v>628.79800000000012</v>
      </c>
      <c r="T22" s="99"/>
      <c r="U22" s="12">
        <f t="shared" si="18"/>
        <v>0</v>
      </c>
      <c r="V22" s="292">
        <f t="shared" si="19"/>
        <v>0</v>
      </c>
      <c r="W22" s="292">
        <f t="shared" si="19"/>
        <v>0</v>
      </c>
      <c r="X22" s="293">
        <f t="shared" si="20"/>
        <v>0</v>
      </c>
      <c r="Y22" s="292">
        <f t="shared" si="21"/>
        <v>0</v>
      </c>
      <c r="Z22" s="403">
        <v>129.30000000000001</v>
      </c>
      <c r="AA22" s="402">
        <f t="shared" si="22"/>
        <v>1687.9999999999998</v>
      </c>
      <c r="AB22" s="405">
        <f t="shared" si="1"/>
        <v>2.3503535527966117</v>
      </c>
      <c r="AC22" s="405">
        <f t="shared" si="2"/>
        <v>2.4951368482046243</v>
      </c>
      <c r="AD22" s="400">
        <f t="shared" si="3"/>
        <v>3.0604999053209623</v>
      </c>
      <c r="AE22" s="405">
        <f t="shared" si="4"/>
        <v>2.6844869099456417</v>
      </c>
      <c r="AF22" s="404">
        <f>'14'!I46</f>
        <v>43708.599999999649</v>
      </c>
      <c r="AG22" s="402">
        <f t="shared" si="23"/>
        <v>677960.79759999982</v>
      </c>
      <c r="AH22" s="405">
        <f t="shared" si="5"/>
        <v>794.51402395796708</v>
      </c>
      <c r="AI22" s="405">
        <f t="shared" si="6"/>
        <v>1002.1356443897848</v>
      </c>
      <c r="AJ22" s="405">
        <f t="shared" si="7"/>
        <v>1034.5720507479562</v>
      </c>
      <c r="AK22" s="405">
        <f t="shared" si="8"/>
        <v>1078.185359368191</v>
      </c>
      <c r="AL22" s="400">
        <f>+SUM(Efficiency2!K63:K64)</f>
        <v>53.804208150000001</v>
      </c>
      <c r="AM22" s="401">
        <f t="shared" si="24"/>
        <v>733.77977127220709</v>
      </c>
      <c r="AN22" s="427">
        <f t="shared" si="25"/>
        <v>0.78521739195970297</v>
      </c>
      <c r="AO22" s="427">
        <f t="shared" si="26"/>
        <v>0.85693013710340848</v>
      </c>
    </row>
    <row r="23" spans="1:41" s="406" customFormat="1" ht="12.75" customHeight="1">
      <c r="A23" s="420">
        <f t="shared" si="9"/>
        <v>45945</v>
      </c>
      <c r="B23" s="430" t="s">
        <v>416</v>
      </c>
      <c r="C23" s="407" t="s">
        <v>668</v>
      </c>
      <c r="D23" s="399">
        <f>+'15'!F42</f>
        <v>1236.4930555555557</v>
      </c>
      <c r="E23" s="399">
        <f>+'15'!G42</f>
        <v>959.12048611111106</v>
      </c>
      <c r="F23" s="46">
        <f t="shared" si="0"/>
        <v>0.22432197916374164</v>
      </c>
      <c r="G23" s="426">
        <f t="shared" si="10"/>
        <v>0.94628336080677344</v>
      </c>
      <c r="H23" s="421">
        <f t="shared" si="11"/>
        <v>0.94628336080677344</v>
      </c>
      <c r="I23" s="421">
        <f t="shared" si="12"/>
        <v>0.92257824434956315</v>
      </c>
      <c r="J23" s="427">
        <f t="shared" si="13"/>
        <v>0.87302044167031734</v>
      </c>
      <c r="K23" s="427">
        <f t="shared" si="14"/>
        <v>0.84623166893951685</v>
      </c>
      <c r="L23" s="400">
        <f>+SUM(Efficiency1!K67:K69)</f>
        <v>53.956354000000005</v>
      </c>
      <c r="M23" s="401">
        <f t="shared" si="15"/>
        <v>798.72099427220712</v>
      </c>
      <c r="N23" s="400">
        <f>+SUM(Efficiency1!C67:C69)</f>
        <v>53.956354000000005</v>
      </c>
      <c r="O23" s="401">
        <f t="shared" si="15"/>
        <v>788.53027338947982</v>
      </c>
      <c r="P23" s="401">
        <f>'15'!I38</f>
        <v>51.058</v>
      </c>
      <c r="Q23" s="401">
        <f t="shared" si="16"/>
        <v>727.57400000000007</v>
      </c>
      <c r="R23" s="401">
        <f>'15'!I40</f>
        <v>47.104999999999997</v>
      </c>
      <c r="S23" s="401">
        <f t="shared" si="17"/>
        <v>675.90300000000013</v>
      </c>
      <c r="T23" s="99"/>
      <c r="U23" s="12">
        <f t="shared" si="18"/>
        <v>0</v>
      </c>
      <c r="V23" s="292">
        <f t="shared" si="19"/>
        <v>0</v>
      </c>
      <c r="W23" s="292">
        <f t="shared" si="19"/>
        <v>0</v>
      </c>
      <c r="X23" s="293">
        <f t="shared" si="20"/>
        <v>0</v>
      </c>
      <c r="Y23" s="292">
        <f t="shared" si="21"/>
        <v>0</v>
      </c>
      <c r="Z23" s="403">
        <v>130.80000000000001</v>
      </c>
      <c r="AA23" s="402">
        <f t="shared" si="22"/>
        <v>1818.7999999999997</v>
      </c>
      <c r="AB23" s="405">
        <f t="shared" si="1"/>
        <v>2.5617924713071409</v>
      </c>
      <c r="AC23" s="405">
        <f t="shared" si="2"/>
        <v>2.499814451863315</v>
      </c>
      <c r="AD23" s="400">
        <f t="shared" si="3"/>
        <v>2.7767752892474262</v>
      </c>
      <c r="AE23" s="405">
        <f t="shared" si="4"/>
        <v>2.6909186673235648</v>
      </c>
      <c r="AF23" s="404">
        <f>'15'!I46</f>
        <v>44240.800000000032</v>
      </c>
      <c r="AG23" s="402">
        <f t="shared" si="23"/>
        <v>722201.59759999986</v>
      </c>
      <c r="AH23" s="405">
        <f t="shared" si="5"/>
        <v>866.48125661013034</v>
      </c>
      <c r="AI23" s="405">
        <f t="shared" si="6"/>
        <v>992.6160055197131</v>
      </c>
      <c r="AJ23" s="405">
        <f t="shared" si="7"/>
        <v>939.19541449952305</v>
      </c>
      <c r="AK23" s="405">
        <f t="shared" si="8"/>
        <v>1068.4988786852548</v>
      </c>
      <c r="AL23" s="400">
        <f>+SUM(Efficiency2!K67:K69)</f>
        <v>53.956354000000005</v>
      </c>
      <c r="AM23" s="401">
        <f t="shared" si="24"/>
        <v>787.73612527220712</v>
      </c>
      <c r="AN23" s="427">
        <f t="shared" si="25"/>
        <v>0.87302044167031734</v>
      </c>
      <c r="AO23" s="427">
        <f t="shared" si="26"/>
        <v>0.8580322500335219</v>
      </c>
    </row>
    <row r="24" spans="1:41" s="406" customFormat="1" ht="12.75" customHeight="1">
      <c r="A24" s="420">
        <f t="shared" si="9"/>
        <v>45946</v>
      </c>
      <c r="B24" s="430" t="s">
        <v>529</v>
      </c>
      <c r="C24" s="424" t="s">
        <v>693</v>
      </c>
      <c r="D24" s="399">
        <f>+'16'!F42</f>
        <v>1261.2638888888889</v>
      </c>
      <c r="E24" s="399">
        <f>+'16'!G42</f>
        <v>964.13541666666663</v>
      </c>
      <c r="F24" s="46">
        <f t="shared" si="0"/>
        <v>0.2355799407560758</v>
      </c>
      <c r="G24" s="426">
        <f t="shared" si="10"/>
        <v>0.90327784348816542</v>
      </c>
      <c r="H24" s="421">
        <f t="shared" si="11"/>
        <v>0.90327784348816542</v>
      </c>
      <c r="I24" s="421">
        <f t="shared" si="12"/>
        <v>1.0541994963853463</v>
      </c>
      <c r="J24" s="427">
        <f t="shared" si="13"/>
        <v>0.95223504770126577</v>
      </c>
      <c r="K24" s="427">
        <f t="shared" si="14"/>
        <v>0.85300467534243063</v>
      </c>
      <c r="L24" s="400">
        <f>+SUM(Efficiency1!K71:K72)</f>
        <v>54.517001999999998</v>
      </c>
      <c r="M24" s="401">
        <f t="shared" si="15"/>
        <v>853.23799627220717</v>
      </c>
      <c r="N24" s="400">
        <f>+SUM(Efficiency1!C71:C72)</f>
        <v>54.517001999999998</v>
      </c>
      <c r="O24" s="401">
        <f t="shared" si="15"/>
        <v>843.04727538947986</v>
      </c>
      <c r="P24" s="401">
        <f>'16'!I38</f>
        <v>49.244</v>
      </c>
      <c r="Q24" s="401">
        <f t="shared" si="16"/>
        <v>776.8180000000001</v>
      </c>
      <c r="R24" s="401">
        <f>'16'!I40</f>
        <v>51.912999999999997</v>
      </c>
      <c r="S24" s="401">
        <f t="shared" si="17"/>
        <v>727.81600000000014</v>
      </c>
      <c r="T24" s="99"/>
      <c r="U24" s="12">
        <f t="shared" si="18"/>
        <v>0</v>
      </c>
      <c r="V24" s="292">
        <f t="shared" si="19"/>
        <v>0</v>
      </c>
      <c r="W24" s="292">
        <f t="shared" si="19"/>
        <v>0</v>
      </c>
      <c r="X24" s="293">
        <f t="shared" si="20"/>
        <v>0</v>
      </c>
      <c r="Y24" s="292">
        <f t="shared" si="21"/>
        <v>0</v>
      </c>
      <c r="Z24" s="403">
        <v>130</v>
      </c>
      <c r="AA24" s="402">
        <f t="shared" si="22"/>
        <v>1948.7999999999997</v>
      </c>
      <c r="AB24" s="405">
        <f t="shared" si="1"/>
        <v>2.6399155227032733</v>
      </c>
      <c r="AC24" s="405">
        <f t="shared" si="2"/>
        <v>2.5086957305314752</v>
      </c>
      <c r="AD24" s="400">
        <f t="shared" si="3"/>
        <v>2.5041897020014257</v>
      </c>
      <c r="AE24" s="405">
        <f t="shared" si="4"/>
        <v>2.6775998329248041</v>
      </c>
      <c r="AF24" s="404">
        <f>'16'!I46</f>
        <v>49460.599999999977</v>
      </c>
      <c r="AG24" s="402">
        <f t="shared" si="23"/>
        <v>771662.19759999984</v>
      </c>
      <c r="AH24" s="405">
        <f t="shared" si="5"/>
        <v>1004.3985054016729</v>
      </c>
      <c r="AI24" s="405">
        <f t="shared" si="6"/>
        <v>993.36292104456868</v>
      </c>
      <c r="AJ24" s="405">
        <f t="shared" si="7"/>
        <v>952.75942442162807</v>
      </c>
      <c r="AK24" s="405">
        <f t="shared" si="8"/>
        <v>1060.2435197907159</v>
      </c>
      <c r="AL24" s="400">
        <f>+SUM(Efficiency2!K71:K72)</f>
        <v>54.517001999999998</v>
      </c>
      <c r="AM24" s="401">
        <f t="shared" si="24"/>
        <v>842.25312727220717</v>
      </c>
      <c r="AN24" s="427">
        <f t="shared" si="25"/>
        <v>0.95223504770126577</v>
      </c>
      <c r="AO24" s="427">
        <f t="shared" si="26"/>
        <v>0.86412976863281843</v>
      </c>
    </row>
    <row r="25" spans="1:41" s="406" customFormat="1" ht="12.75" customHeight="1">
      <c r="A25" s="420">
        <f t="shared" si="9"/>
        <v>45947</v>
      </c>
      <c r="B25" s="430" t="s">
        <v>523</v>
      </c>
      <c r="C25" s="407" t="s">
        <v>733</v>
      </c>
      <c r="D25" s="399">
        <f>+'17'!F42</f>
        <v>1364.5833333333333</v>
      </c>
      <c r="E25" s="399">
        <f>+'17'!G42</f>
        <v>1027.3333333333333</v>
      </c>
      <c r="F25" s="46">
        <f t="shared" si="0"/>
        <v>0.24714503816793898</v>
      </c>
      <c r="G25" s="426">
        <f t="shared" si="10"/>
        <v>0.94938532370916084</v>
      </c>
      <c r="H25" s="421">
        <f t="shared" si="11"/>
        <v>0.94938532370916084</v>
      </c>
      <c r="I25" s="421">
        <f t="shared" si="12"/>
        <v>0.94167654802339351</v>
      </c>
      <c r="J25" s="427">
        <f t="shared" si="13"/>
        <v>0.89401389437451462</v>
      </c>
      <c r="K25" s="427">
        <f t="shared" si="14"/>
        <v>0.85537787286234113</v>
      </c>
      <c r="L25" s="400">
        <f>+SUM(Efficiency1!K77:K78)</f>
        <v>52.409700000000001</v>
      </c>
      <c r="M25" s="401">
        <f t="shared" si="15"/>
        <v>905.64769627220721</v>
      </c>
      <c r="N25" s="400">
        <f>+SUM(Efficiency1!C77:C78)</f>
        <v>52.409700000000001</v>
      </c>
      <c r="O25" s="401">
        <f t="shared" si="15"/>
        <v>895.45697538947991</v>
      </c>
      <c r="P25" s="401">
        <f>'17'!I38</f>
        <v>49.757000000000005</v>
      </c>
      <c r="Q25" s="401">
        <f t="shared" si="16"/>
        <v>826.57500000000005</v>
      </c>
      <c r="R25" s="401">
        <f>'17'!I40</f>
        <v>46.854999999999997</v>
      </c>
      <c r="S25" s="401">
        <f t="shared" si="17"/>
        <v>774.67100000000016</v>
      </c>
      <c r="T25" s="99"/>
      <c r="U25" s="12">
        <f t="shared" si="18"/>
        <v>0</v>
      </c>
      <c r="V25" s="292">
        <f t="shared" si="19"/>
        <v>0</v>
      </c>
      <c r="W25" s="292">
        <f t="shared" si="19"/>
        <v>0</v>
      </c>
      <c r="X25" s="293">
        <f t="shared" si="20"/>
        <v>0</v>
      </c>
      <c r="Y25" s="292">
        <f t="shared" si="21"/>
        <v>0</v>
      </c>
      <c r="Z25" s="403">
        <v>130</v>
      </c>
      <c r="AA25" s="402">
        <f t="shared" si="22"/>
        <v>2078.7999999999997</v>
      </c>
      <c r="AB25" s="405">
        <f t="shared" si="1"/>
        <v>2.6126977108748517</v>
      </c>
      <c r="AC25" s="405">
        <f t="shared" si="2"/>
        <v>2.5149562955569666</v>
      </c>
      <c r="AD25" s="400">
        <f t="shared" si="3"/>
        <v>2.7745171273076514</v>
      </c>
      <c r="AE25" s="405">
        <f t="shared" si="4"/>
        <v>2.6834617534411374</v>
      </c>
      <c r="AF25" s="404">
        <f>'17'!I46</f>
        <v>50788.139999999825</v>
      </c>
      <c r="AG25" s="402">
        <f t="shared" si="23"/>
        <v>822450.33759999962</v>
      </c>
      <c r="AH25" s="405">
        <f t="shared" si="5"/>
        <v>1020.7235162891617</v>
      </c>
      <c r="AI25" s="405">
        <f t="shared" si="6"/>
        <v>995.00993569851448</v>
      </c>
      <c r="AJ25" s="405">
        <f t="shared" si="7"/>
        <v>1083.9428022622949</v>
      </c>
      <c r="AK25" s="405">
        <f t="shared" si="8"/>
        <v>1061.6769410498127</v>
      </c>
      <c r="AL25" s="400">
        <f>+SUM(Efficiency2!K77:K78)</f>
        <v>52.409700000000001</v>
      </c>
      <c r="AM25" s="401">
        <f t="shared" si="24"/>
        <v>894.66282727220721</v>
      </c>
      <c r="AN25" s="427">
        <f t="shared" si="25"/>
        <v>0.89401389437451462</v>
      </c>
      <c r="AO25" s="427">
        <f t="shared" si="26"/>
        <v>0.86588039246242343</v>
      </c>
    </row>
    <row r="26" spans="1:41" s="406" customFormat="1" ht="12.75" customHeight="1">
      <c r="A26" s="420">
        <f t="shared" si="9"/>
        <v>45948</v>
      </c>
      <c r="B26" s="430" t="s">
        <v>523</v>
      </c>
      <c r="C26" s="407" t="s">
        <v>734</v>
      </c>
      <c r="D26" s="399">
        <f>+'18'!F42</f>
        <v>1400</v>
      </c>
      <c r="E26" s="399">
        <f>+'18'!G42</f>
        <v>1050</v>
      </c>
      <c r="F26" s="46">
        <f t="shared" si="0"/>
        <v>0.25</v>
      </c>
      <c r="G26" s="426">
        <f t="shared" si="10"/>
        <v>0.89630180776014112</v>
      </c>
      <c r="H26" s="421">
        <f t="shared" si="11"/>
        <v>0.89630180776014112</v>
      </c>
      <c r="I26" s="421">
        <f t="shared" si="12"/>
        <v>0.98071812891182608</v>
      </c>
      <c r="J26" s="427">
        <f t="shared" si="13"/>
        <v>0.87901943184681275</v>
      </c>
      <c r="K26" s="427">
        <f t="shared" si="14"/>
        <v>0.85663362666432008</v>
      </c>
      <c r="L26" s="400">
        <f>+Efficiency1!K81</f>
        <v>50.803199999999997</v>
      </c>
      <c r="M26" s="401">
        <f t="shared" si="15"/>
        <v>956.45089627220716</v>
      </c>
      <c r="N26" s="400">
        <f>+Efficiency1!C81</f>
        <v>50.803199999999997</v>
      </c>
      <c r="O26" s="401">
        <f t="shared" si="15"/>
        <v>946.26017538947985</v>
      </c>
      <c r="P26" s="401">
        <f>'18'!I38</f>
        <v>45.534999999999997</v>
      </c>
      <c r="Q26" s="401">
        <f t="shared" si="16"/>
        <v>872.11</v>
      </c>
      <c r="R26" s="401">
        <f>'18'!I40</f>
        <v>44.656999999999996</v>
      </c>
      <c r="S26" s="401">
        <f t="shared" si="17"/>
        <v>819.3280000000002</v>
      </c>
      <c r="T26" s="99"/>
      <c r="U26" s="12">
        <f t="shared" si="18"/>
        <v>0</v>
      </c>
      <c r="V26" s="292">
        <f t="shared" si="19"/>
        <v>0</v>
      </c>
      <c r="W26" s="292">
        <f t="shared" si="19"/>
        <v>0</v>
      </c>
      <c r="X26" s="293">
        <f t="shared" si="20"/>
        <v>0</v>
      </c>
      <c r="Y26" s="292">
        <f t="shared" si="21"/>
        <v>0</v>
      </c>
      <c r="Z26" s="403">
        <v>126.7</v>
      </c>
      <c r="AA26" s="402">
        <f t="shared" si="22"/>
        <v>2205.4999999999995</v>
      </c>
      <c r="AB26" s="405">
        <f t="shared" si="1"/>
        <v>2.7824750192159882</v>
      </c>
      <c r="AC26" s="405">
        <f t="shared" si="2"/>
        <v>2.5289241036107826</v>
      </c>
      <c r="AD26" s="400">
        <f t="shared" si="3"/>
        <v>2.837181181001859</v>
      </c>
      <c r="AE26" s="405">
        <f t="shared" si="4"/>
        <v>2.6918401421652853</v>
      </c>
      <c r="AF26" s="404">
        <f>'18'!I46</f>
        <v>52391.969999999812</v>
      </c>
      <c r="AG26" s="402">
        <f t="shared" si="23"/>
        <v>874842.30759999948</v>
      </c>
      <c r="AH26" s="405">
        <f t="shared" si="5"/>
        <v>1150.5868013615859</v>
      </c>
      <c r="AI26" s="405">
        <f t="shared" si="6"/>
        <v>1003.1329850592236</v>
      </c>
      <c r="AJ26" s="405">
        <f t="shared" si="7"/>
        <v>1173.2084555612741</v>
      </c>
      <c r="AK26" s="405">
        <f t="shared" si="8"/>
        <v>1067.7559019098569</v>
      </c>
      <c r="AL26" s="400">
        <f>+Efficiency2!K81</f>
        <v>50.803199999999997</v>
      </c>
      <c r="AM26" s="401">
        <f t="shared" si="24"/>
        <v>945.46602727220716</v>
      </c>
      <c r="AN26" s="427">
        <f t="shared" si="25"/>
        <v>0.87901943184681275</v>
      </c>
      <c r="AO26" s="427">
        <f t="shared" si="26"/>
        <v>0.86658639905218848</v>
      </c>
    </row>
    <row r="27" spans="1:41" s="406" customFormat="1" ht="12.75" customHeight="1">
      <c r="A27" s="420">
        <f t="shared" si="9"/>
        <v>45949</v>
      </c>
      <c r="B27" s="430" t="s">
        <v>523</v>
      </c>
      <c r="C27" s="407" t="s">
        <v>734</v>
      </c>
      <c r="D27" s="399">
        <f>+'19'!F42</f>
        <v>1397.6388888888889</v>
      </c>
      <c r="E27" s="399">
        <f>+'19'!G42</f>
        <v>1048.2291666666667</v>
      </c>
      <c r="F27" s="46">
        <f t="shared" si="0"/>
        <v>0.25</v>
      </c>
      <c r="G27" s="426">
        <f t="shared" si="10"/>
        <v>0.96311885912402639</v>
      </c>
      <c r="H27" s="421">
        <f t="shared" si="11"/>
        <v>0.9614945515243134</v>
      </c>
      <c r="I27" s="421">
        <f t="shared" si="12"/>
        <v>0.95776608594181845</v>
      </c>
      <c r="J27" s="427">
        <f t="shared" si="13"/>
        <v>0.9208868732678257</v>
      </c>
      <c r="K27" s="427">
        <f t="shared" si="14"/>
        <v>0.85987438840450869</v>
      </c>
      <c r="L27" s="400">
        <f>+Efficiency1!K85</f>
        <v>50.803199999999997</v>
      </c>
      <c r="M27" s="401">
        <f t="shared" si="15"/>
        <v>1007.2540962722071</v>
      </c>
      <c r="N27" s="400">
        <f>+Efficiency1!C85</f>
        <v>50.71752</v>
      </c>
      <c r="O27" s="401">
        <f t="shared" si="15"/>
        <v>996.97769538947989</v>
      </c>
      <c r="P27" s="401">
        <f>'19'!I38</f>
        <v>48.846999999999994</v>
      </c>
      <c r="Q27" s="401">
        <f t="shared" si="16"/>
        <v>920.95699999999999</v>
      </c>
      <c r="R27" s="401">
        <f>'19'!I40</f>
        <v>46.783999999999999</v>
      </c>
      <c r="S27" s="401">
        <f t="shared" si="17"/>
        <v>866.11200000000019</v>
      </c>
      <c r="T27" s="99"/>
      <c r="U27" s="12">
        <f t="shared" si="18"/>
        <v>0</v>
      </c>
      <c r="V27" s="292">
        <f t="shared" si="19"/>
        <v>0</v>
      </c>
      <c r="W27" s="292">
        <f t="shared" si="19"/>
        <v>0</v>
      </c>
      <c r="X27" s="293">
        <f t="shared" si="20"/>
        <v>0</v>
      </c>
      <c r="Y27" s="292">
        <f t="shared" si="21"/>
        <v>0</v>
      </c>
      <c r="Z27" s="403">
        <v>128.5</v>
      </c>
      <c r="AA27" s="402">
        <f t="shared" si="22"/>
        <v>2333.9999999999995</v>
      </c>
      <c r="AB27" s="405">
        <f t="shared" si="1"/>
        <v>2.6306630908755912</v>
      </c>
      <c r="AC27" s="405">
        <f t="shared" si="2"/>
        <v>2.5343202777111196</v>
      </c>
      <c r="AD27" s="400">
        <f t="shared" si="3"/>
        <v>2.7466655266757867</v>
      </c>
      <c r="AE27" s="405">
        <f t="shared" si="4"/>
        <v>2.6948015960984248</v>
      </c>
      <c r="AF27" s="404">
        <f>'19'!I46</f>
        <v>54304.870000000723</v>
      </c>
      <c r="AG27" s="402">
        <f t="shared" si="23"/>
        <v>929147.17760000017</v>
      </c>
      <c r="AH27" s="405">
        <f t="shared" si="5"/>
        <v>1111.7339857104987</v>
      </c>
      <c r="AI27" s="405">
        <f t="shared" si="6"/>
        <v>1008.8931161824062</v>
      </c>
      <c r="AJ27" s="405">
        <f t="shared" si="7"/>
        <v>1160.7573101915339</v>
      </c>
      <c r="AK27" s="405">
        <f t="shared" si="8"/>
        <v>1072.7794760954703</v>
      </c>
      <c r="AL27" s="400">
        <f>+Efficiency2!K85</f>
        <v>50.803199999999997</v>
      </c>
      <c r="AM27" s="401">
        <f t="shared" si="24"/>
        <v>996.2692272722071</v>
      </c>
      <c r="AN27" s="427">
        <f t="shared" si="25"/>
        <v>0.9208868732678257</v>
      </c>
      <c r="AO27" s="427">
        <f t="shared" si="26"/>
        <v>0.86935536729506502</v>
      </c>
    </row>
    <row r="28" spans="1:41" s="406" customFormat="1" ht="12.75" customHeight="1">
      <c r="A28" s="420">
        <f t="shared" si="9"/>
        <v>45950</v>
      </c>
      <c r="B28" s="430" t="s">
        <v>523</v>
      </c>
      <c r="C28" s="407" t="s">
        <v>734</v>
      </c>
      <c r="D28" s="399">
        <f>+'20'!F42</f>
        <v>1400</v>
      </c>
      <c r="E28" s="399">
        <f>+'20'!G42</f>
        <v>1050</v>
      </c>
      <c r="F28" s="46">
        <f t="shared" si="0"/>
        <v>0.25</v>
      </c>
      <c r="G28" s="426">
        <f t="shared" si="10"/>
        <v>1.018511824432877</v>
      </c>
      <c r="H28" s="421">
        <f t="shared" si="11"/>
        <v>1.018511824432877</v>
      </c>
      <c r="I28" s="421">
        <f t="shared" si="12"/>
        <v>0.98807106098546849</v>
      </c>
      <c r="J28" s="427">
        <f t="shared" si="13"/>
        <v>1.006362058993638</v>
      </c>
      <c r="K28" s="427">
        <f t="shared" si="14"/>
        <v>0.86677509103043548</v>
      </c>
      <c r="L28" s="400">
        <f>+Efficiency1!K89</f>
        <v>49.795200000000001</v>
      </c>
      <c r="M28" s="401">
        <f t="shared" si="15"/>
        <v>1057.0492962722071</v>
      </c>
      <c r="N28" s="400">
        <f>+Efficiency1!C89</f>
        <v>49.795200000000001</v>
      </c>
      <c r="O28" s="401">
        <f t="shared" si="15"/>
        <v>1046.7728953894798</v>
      </c>
      <c r="P28" s="401">
        <f>'20'!I38</f>
        <v>50.716999999999999</v>
      </c>
      <c r="Q28" s="401">
        <f t="shared" si="16"/>
        <v>971.67399999999998</v>
      </c>
      <c r="R28" s="401">
        <f>'20'!I40</f>
        <v>50.112000000000002</v>
      </c>
      <c r="S28" s="401">
        <f t="shared" si="17"/>
        <v>916.22400000000016</v>
      </c>
      <c r="T28" s="99"/>
      <c r="U28" s="12">
        <f t="shared" si="18"/>
        <v>0</v>
      </c>
      <c r="V28" s="292">
        <f t="shared" si="19"/>
        <v>0</v>
      </c>
      <c r="W28" s="292">
        <f t="shared" si="19"/>
        <v>0</v>
      </c>
      <c r="X28" s="293">
        <f t="shared" si="20"/>
        <v>0</v>
      </c>
      <c r="Y28" s="292">
        <f t="shared" si="21"/>
        <v>0</v>
      </c>
      <c r="Z28" s="403">
        <v>129.10000000000002</v>
      </c>
      <c r="AA28" s="402">
        <f t="shared" si="22"/>
        <v>2463.0999999999995</v>
      </c>
      <c r="AB28" s="405">
        <f t="shared" si="1"/>
        <v>2.545497564919061</v>
      </c>
      <c r="AC28" s="405">
        <f t="shared" si="2"/>
        <v>2.5349036816874793</v>
      </c>
      <c r="AD28" s="400">
        <f t="shared" si="3"/>
        <v>2.5762292464878676</v>
      </c>
      <c r="AE28" s="405">
        <f t="shared" si="4"/>
        <v>2.6883163942442012</v>
      </c>
      <c r="AF28" s="404">
        <f>'20'!I46</f>
        <v>51377.829999999856</v>
      </c>
      <c r="AG28" s="402">
        <f t="shared" si="23"/>
        <v>980525.00760000001</v>
      </c>
      <c r="AH28" s="405">
        <f t="shared" si="5"/>
        <v>1013.0297533371424</v>
      </c>
      <c r="AI28" s="405">
        <f t="shared" si="6"/>
        <v>1009.1090299833072</v>
      </c>
      <c r="AJ28" s="405">
        <f t="shared" si="7"/>
        <v>1025.2600175606613</v>
      </c>
      <c r="AK28" s="405">
        <f t="shared" si="8"/>
        <v>1070.1804445201174</v>
      </c>
      <c r="AL28" s="400">
        <f>+Efficiency2!K89</f>
        <v>49.795200000000001</v>
      </c>
      <c r="AM28" s="401">
        <f t="shared" si="24"/>
        <v>1046.064427272207</v>
      </c>
      <c r="AN28" s="427">
        <f t="shared" si="25"/>
        <v>1.006362058993638</v>
      </c>
      <c r="AO28" s="427">
        <f t="shared" si="26"/>
        <v>0.87587721761002035</v>
      </c>
    </row>
    <row r="29" spans="1:41" s="406" customFormat="1" ht="12.75" customHeight="1">
      <c r="A29" s="420">
        <f t="shared" si="9"/>
        <v>45951</v>
      </c>
      <c r="B29" s="430" t="s">
        <v>571</v>
      </c>
      <c r="C29" s="407" t="s">
        <v>530</v>
      </c>
      <c r="D29" s="399">
        <f>+'21'!F42</f>
        <v>1361.25</v>
      </c>
      <c r="E29" s="399">
        <f>+'21'!G42</f>
        <v>1042.9694444444444</v>
      </c>
      <c r="F29" s="46">
        <f t="shared" si="0"/>
        <v>0.23381491684521993</v>
      </c>
      <c r="G29" s="426">
        <f t="shared" si="10"/>
        <v>0.90059829792012525</v>
      </c>
      <c r="H29" s="421">
        <f t="shared" si="11"/>
        <v>0.90059829792012525</v>
      </c>
      <c r="I29" s="421">
        <f t="shared" si="12"/>
        <v>0.90292028413575376</v>
      </c>
      <c r="J29" s="427">
        <f t="shared" si="13"/>
        <v>0.81316847105021561</v>
      </c>
      <c r="K29" s="427">
        <f t="shared" si="14"/>
        <v>0.86425918758821818</v>
      </c>
      <c r="L29" s="400">
        <f>+SUM(Efficiency1!K93:K94)</f>
        <v>52.053174104663633</v>
      </c>
      <c r="M29" s="401">
        <f t="shared" si="15"/>
        <v>1109.1024703768708</v>
      </c>
      <c r="N29" s="401">
        <f>+SUM(Efficiency2!K93:K94)</f>
        <v>52.053174104663633</v>
      </c>
      <c r="O29" s="401">
        <f t="shared" si="15"/>
        <v>1098.8260694941434</v>
      </c>
      <c r="P29" s="401">
        <f>'21'!I38</f>
        <v>46.879000000000005</v>
      </c>
      <c r="Q29" s="401">
        <f t="shared" si="16"/>
        <v>1018.553</v>
      </c>
      <c r="R29" s="401">
        <f>'21'!I40</f>
        <v>42.328000000000003</v>
      </c>
      <c r="S29" s="401">
        <f t="shared" si="17"/>
        <v>958.55200000000013</v>
      </c>
      <c r="T29" s="99"/>
      <c r="U29" s="12">
        <f t="shared" si="18"/>
        <v>0</v>
      </c>
      <c r="V29" s="292">
        <f t="shared" si="19"/>
        <v>0</v>
      </c>
      <c r="W29" s="292">
        <f t="shared" si="19"/>
        <v>0</v>
      </c>
      <c r="X29" s="293">
        <f t="shared" si="20"/>
        <v>0</v>
      </c>
      <c r="Y29" s="292">
        <f t="shared" si="21"/>
        <v>0</v>
      </c>
      <c r="Z29" s="403">
        <v>131.80000000000001</v>
      </c>
      <c r="AA29" s="402">
        <f t="shared" si="22"/>
        <v>2594.8999999999996</v>
      </c>
      <c r="AB29" s="405">
        <f t="shared" si="1"/>
        <v>2.8114934192282259</v>
      </c>
      <c r="AC29" s="405">
        <f t="shared" si="2"/>
        <v>2.5476337510173743</v>
      </c>
      <c r="AD29" s="400">
        <f t="shared" si="3"/>
        <v>3.113778113778114</v>
      </c>
      <c r="AE29" s="405">
        <f t="shared" si="4"/>
        <v>2.7071040486066478</v>
      </c>
      <c r="AF29" s="404">
        <f>'21'!I46</f>
        <v>48122.289999999448</v>
      </c>
      <c r="AG29" s="402">
        <f t="shared" si="23"/>
        <v>1028647.2975999995</v>
      </c>
      <c r="AH29" s="405">
        <f t="shared" si="5"/>
        <v>1026.5212568527365</v>
      </c>
      <c r="AI29" s="405">
        <f t="shared" si="6"/>
        <v>1009.9104294032803</v>
      </c>
      <c r="AJ29" s="405">
        <f t="shared" si="7"/>
        <v>1136.8902381402249</v>
      </c>
      <c r="AK29" s="405">
        <f t="shared" si="8"/>
        <v>1073.1262337358842</v>
      </c>
      <c r="AL29" s="400">
        <f>+SUM(Efficiency2!K93:K94)</f>
        <v>52.053174104663633</v>
      </c>
      <c r="AM29" s="401">
        <f t="shared" si="24"/>
        <v>1098.1176013768707</v>
      </c>
      <c r="AN29" s="427">
        <f t="shared" si="25"/>
        <v>0.81316847105021561</v>
      </c>
      <c r="AO29" s="427">
        <f t="shared" si="26"/>
        <v>0.87290468598092164</v>
      </c>
    </row>
    <row r="30" spans="1:41" s="406" customFormat="1" ht="12.75" customHeight="1">
      <c r="A30" s="420">
        <f t="shared" si="9"/>
        <v>45952</v>
      </c>
      <c r="B30" s="430" t="s">
        <v>416</v>
      </c>
      <c r="C30" s="407" t="s">
        <v>773</v>
      </c>
      <c r="D30" s="399">
        <f>+'22'!F42</f>
        <v>1257.5</v>
      </c>
      <c r="E30" s="399">
        <f>+'22'!G42</f>
        <v>963.45833333333337</v>
      </c>
      <c r="F30" s="46">
        <f t="shared" si="0"/>
        <v>0.2338303512259774</v>
      </c>
      <c r="G30" s="426">
        <f t="shared" si="10"/>
        <v>0.97865226526343929</v>
      </c>
      <c r="H30" s="421">
        <f t="shared" si="11"/>
        <v>0.97168990765459118</v>
      </c>
      <c r="I30" s="421">
        <f t="shared" si="12"/>
        <v>0.97862957314272081</v>
      </c>
      <c r="J30" s="427">
        <f t="shared" si="13"/>
        <v>0.9509244795551024</v>
      </c>
      <c r="K30" s="427">
        <f t="shared" si="14"/>
        <v>0.86842517031950572</v>
      </c>
      <c r="L30" s="400">
        <f>+SUM(Efficiency1!K97:K99)</f>
        <v>56.006550620000006</v>
      </c>
      <c r="M30" s="401">
        <f t="shared" si="15"/>
        <v>1165.1090209968709</v>
      </c>
      <c r="N30" s="400">
        <f>+SUM(Efficiency1!C97:C99)</f>
        <v>55.608107120000007</v>
      </c>
      <c r="O30" s="401">
        <f t="shared" si="15"/>
        <v>1154.4341766141436</v>
      </c>
      <c r="P30" s="401">
        <f>'22'!I38</f>
        <v>54.420999999999992</v>
      </c>
      <c r="Q30" s="401">
        <f t="shared" si="16"/>
        <v>1072.9739999999999</v>
      </c>
      <c r="R30" s="401">
        <f>'22'!I40</f>
        <v>53.258000000000003</v>
      </c>
      <c r="S30" s="401">
        <f t="shared" si="17"/>
        <v>1011.8100000000002</v>
      </c>
      <c r="T30" s="99"/>
      <c r="U30" s="12">
        <f t="shared" si="18"/>
        <v>0</v>
      </c>
      <c r="V30" s="292">
        <f t="shared" si="19"/>
        <v>0</v>
      </c>
      <c r="W30" s="292">
        <f t="shared" si="19"/>
        <v>0</v>
      </c>
      <c r="X30" s="293">
        <f t="shared" si="20"/>
        <v>0</v>
      </c>
      <c r="Y30" s="292">
        <f t="shared" si="21"/>
        <v>0</v>
      </c>
      <c r="Z30" s="403">
        <v>134.19999999999999</v>
      </c>
      <c r="AA30" s="402">
        <f t="shared" si="22"/>
        <v>2729.0999999999995</v>
      </c>
      <c r="AB30" s="405">
        <f t="shared" si="1"/>
        <v>2.4659598316826226</v>
      </c>
      <c r="AC30" s="405">
        <f t="shared" si="2"/>
        <v>2.5434912681947557</v>
      </c>
      <c r="AD30" s="400">
        <f t="shared" si="3"/>
        <v>2.5198092305381348</v>
      </c>
      <c r="AE30" s="405">
        <f t="shared" si="4"/>
        <v>2.6972455302873057</v>
      </c>
      <c r="AF30" s="404">
        <f>'22'!I46</f>
        <v>44206.219999999972</v>
      </c>
      <c r="AG30" s="402">
        <f t="shared" si="23"/>
        <v>1072853.5175999994</v>
      </c>
      <c r="AH30" s="405">
        <f t="shared" si="5"/>
        <v>812.30076624832282</v>
      </c>
      <c r="AI30" s="405">
        <f t="shared" si="6"/>
        <v>999.88771172460793</v>
      </c>
      <c r="AJ30" s="405">
        <f t="shared" si="7"/>
        <v>830.03905516542068</v>
      </c>
      <c r="AK30" s="405">
        <f t="shared" si="8"/>
        <v>1060.3310083909028</v>
      </c>
      <c r="AL30" s="400">
        <f>+SUM(Efficiency2!K97:K99)</f>
        <v>56.006550620000006</v>
      </c>
      <c r="AM30" s="401">
        <f t="shared" si="24"/>
        <v>1154.1241519968708</v>
      </c>
      <c r="AN30" s="427">
        <f t="shared" si="25"/>
        <v>0.9509244795551024</v>
      </c>
      <c r="AO30" s="427">
        <f t="shared" si="26"/>
        <v>0.87669077737378776</v>
      </c>
    </row>
    <row r="31" spans="1:41" s="406" customFormat="1" ht="12.75" customHeight="1">
      <c r="A31" s="420">
        <f t="shared" si="9"/>
        <v>45953</v>
      </c>
      <c r="B31" s="430" t="s">
        <v>416</v>
      </c>
      <c r="C31" s="407" t="s">
        <v>790</v>
      </c>
      <c r="D31" s="399">
        <f>+'23'!F42</f>
        <v>1166.4236111111111</v>
      </c>
      <c r="E31" s="399">
        <f>+'23'!G42</f>
        <v>886.48194444444448</v>
      </c>
      <c r="F31" s="46">
        <f t="shared" si="0"/>
        <v>0.24</v>
      </c>
      <c r="G31" s="426">
        <f t="shared" si="10"/>
        <v>0.97533626919894501</v>
      </c>
      <c r="H31" s="421">
        <f t="shared" si="11"/>
        <v>0.96567134516421815</v>
      </c>
      <c r="I31" s="421">
        <f t="shared" si="12"/>
        <v>0.69476082004555817</v>
      </c>
      <c r="J31" s="427">
        <f t="shared" si="13"/>
        <v>0.67091061566078947</v>
      </c>
      <c r="K31" s="427">
        <f t="shared" si="14"/>
        <v>0.85930990015527031</v>
      </c>
      <c r="L31" s="400">
        <f>+SUM(Efficiency1!K101:K103)</f>
        <v>56.371145599999998</v>
      </c>
      <c r="M31" s="401">
        <f t="shared" si="15"/>
        <v>1221.480166596871</v>
      </c>
      <c r="N31" s="400">
        <f>+SUM(Efficiency1!C101:C103)</f>
        <v>55.8125456</v>
      </c>
      <c r="O31" s="401">
        <f t="shared" si="15"/>
        <v>1210.2467222141436</v>
      </c>
      <c r="P31" s="401">
        <f>'23'!I38</f>
        <v>54.435999999999993</v>
      </c>
      <c r="Q31" s="401">
        <f t="shared" si="16"/>
        <v>1127.4099999999999</v>
      </c>
      <c r="R31" s="401">
        <f>'23'!I40</f>
        <v>37.82</v>
      </c>
      <c r="S31" s="401">
        <f t="shared" si="17"/>
        <v>1049.6300000000001</v>
      </c>
      <c r="T31" s="99"/>
      <c r="U31" s="12">
        <f t="shared" si="18"/>
        <v>0</v>
      </c>
      <c r="V31" s="292">
        <f t="shared" si="19"/>
        <v>0</v>
      </c>
      <c r="W31" s="292">
        <f t="shared" si="19"/>
        <v>0</v>
      </c>
      <c r="X31" s="293">
        <f t="shared" si="20"/>
        <v>0</v>
      </c>
      <c r="Y31" s="292">
        <f t="shared" si="21"/>
        <v>0</v>
      </c>
      <c r="Z31" s="403">
        <v>128.9</v>
      </c>
      <c r="AA31" s="402">
        <f t="shared" si="22"/>
        <v>2857.9999999999995</v>
      </c>
      <c r="AB31" s="405">
        <f t="shared" si="1"/>
        <v>2.367918289367331</v>
      </c>
      <c r="AC31" s="405">
        <f t="shared" si="2"/>
        <v>2.5350138813741228</v>
      </c>
      <c r="AD31" s="400">
        <f t="shared" si="3"/>
        <v>3.4082496033844527</v>
      </c>
      <c r="AE31" s="405">
        <f t="shared" si="4"/>
        <v>2.7228642474014646</v>
      </c>
      <c r="AF31" s="404">
        <f>'23'!I46</f>
        <v>42635.910000000207</v>
      </c>
      <c r="AG31" s="402">
        <f t="shared" si="23"/>
        <v>1115489.4275999996</v>
      </c>
      <c r="AH31" s="405">
        <f t="shared" si="5"/>
        <v>783.23003159674136</v>
      </c>
      <c r="AI31" s="405">
        <f t="shared" si="6"/>
        <v>989.42658624635203</v>
      </c>
      <c r="AJ31" s="405">
        <f t="shared" si="7"/>
        <v>1127.3376520359652</v>
      </c>
      <c r="AK31" s="405">
        <f t="shared" si="8"/>
        <v>1062.7453746558306</v>
      </c>
      <c r="AL31" s="400">
        <f>+SUM(Efficiency2!K101:K103)</f>
        <v>49.585208959999996</v>
      </c>
      <c r="AM31" s="401">
        <f t="shared" si="24"/>
        <v>1203.7093609568708</v>
      </c>
      <c r="AN31" s="427">
        <f t="shared" si="25"/>
        <v>0.76272745024648581</v>
      </c>
      <c r="AO31" s="427">
        <f t="shared" si="26"/>
        <v>0.8719962094218594</v>
      </c>
    </row>
    <row r="32" spans="1:41" s="406" customFormat="1" ht="12.75" customHeight="1">
      <c r="A32" s="420">
        <f t="shared" si="9"/>
        <v>45954</v>
      </c>
      <c r="B32" s="430" t="s">
        <v>416</v>
      </c>
      <c r="C32" s="407" t="s">
        <v>808</v>
      </c>
      <c r="D32" s="399">
        <f>+'24'!F42</f>
        <v>1287.7083333333333</v>
      </c>
      <c r="E32" s="399">
        <f>+'24'!G42</f>
        <v>988.41527777777776</v>
      </c>
      <c r="F32" s="46">
        <f t="shared" si="0"/>
        <v>0.23242301677182764</v>
      </c>
      <c r="G32" s="426">
        <f t="shared" si="10"/>
        <v>0.93501853304165516</v>
      </c>
      <c r="H32" s="421">
        <f t="shared" si="11"/>
        <v>0.90167523352025447</v>
      </c>
      <c r="I32" s="421">
        <f t="shared" si="12"/>
        <v>0.86105411386039021</v>
      </c>
      <c r="J32" s="427">
        <f t="shared" si="13"/>
        <v>0.77639116918864315</v>
      </c>
      <c r="K32" s="427">
        <f t="shared" si="14"/>
        <v>0.85572903697865932</v>
      </c>
      <c r="L32" s="400">
        <f>+SUM(Efficiency1!K106:K109)</f>
        <v>55.130714643149126</v>
      </c>
      <c r="M32" s="401">
        <f t="shared" si="15"/>
        <v>1276.61088124002</v>
      </c>
      <c r="N32" s="400">
        <f>+SUM(Efficiency1!C106:C109)</f>
        <v>53.1647216</v>
      </c>
      <c r="O32" s="401">
        <f t="shared" si="15"/>
        <v>1263.4114438141435</v>
      </c>
      <c r="P32" s="401">
        <f>'24'!I38</f>
        <v>49.71</v>
      </c>
      <c r="Q32" s="401">
        <f t="shared" si="16"/>
        <v>1177.1199999999999</v>
      </c>
      <c r="R32" s="401">
        <f>'24'!I40</f>
        <v>42.802999999999997</v>
      </c>
      <c r="S32" s="401">
        <f t="shared" si="17"/>
        <v>1092.433</v>
      </c>
      <c r="T32" s="99"/>
      <c r="U32" s="12">
        <f t="shared" si="18"/>
        <v>0</v>
      </c>
      <c r="V32" s="292">
        <f t="shared" si="19"/>
        <v>0</v>
      </c>
      <c r="W32" s="292">
        <f t="shared" si="19"/>
        <v>0</v>
      </c>
      <c r="X32" s="293">
        <f t="shared" si="20"/>
        <v>0</v>
      </c>
      <c r="Y32" s="292">
        <f t="shared" si="21"/>
        <v>0</v>
      </c>
      <c r="Z32" s="403">
        <v>132</v>
      </c>
      <c r="AA32" s="402">
        <f t="shared" si="22"/>
        <v>2989.9999999999995</v>
      </c>
      <c r="AB32" s="405">
        <f t="shared" si="1"/>
        <v>2.6554013277006638</v>
      </c>
      <c r="AC32" s="405">
        <f t="shared" si="2"/>
        <v>2.5400978659779798</v>
      </c>
      <c r="AD32" s="400">
        <f t="shared" si="3"/>
        <v>3.0838959885989303</v>
      </c>
      <c r="AE32" s="405">
        <f t="shared" si="4"/>
        <v>2.7370099585054639</v>
      </c>
      <c r="AF32" s="404">
        <f>+'24'!I46</f>
        <v>47208.190000000148</v>
      </c>
      <c r="AG32" s="402">
        <f t="shared" si="23"/>
        <v>1162697.6175999998</v>
      </c>
      <c r="AH32" s="405">
        <f t="shared" si="5"/>
        <v>949.67189700261815</v>
      </c>
      <c r="AI32" s="405">
        <f t="shared" si="6"/>
        <v>987.74773820850874</v>
      </c>
      <c r="AJ32" s="405">
        <f t="shared" si="7"/>
        <v>1102.9177861364892</v>
      </c>
      <c r="AK32" s="405">
        <f t="shared" si="8"/>
        <v>1064.3193839805276</v>
      </c>
      <c r="AL32" s="400">
        <f>+SUM(Efficiency2!K106:K109)</f>
        <v>55.130714643149126</v>
      </c>
      <c r="AM32" s="401">
        <f t="shared" si="24"/>
        <v>1258.8400756000199</v>
      </c>
      <c r="AN32" s="427">
        <f t="shared" si="25"/>
        <v>0.77639116918864315</v>
      </c>
      <c r="AO32" s="427">
        <f t="shared" si="26"/>
        <v>0.86780920084649926</v>
      </c>
    </row>
    <row r="33" spans="1:41" s="406" customFormat="1" ht="12.75" customHeight="1">
      <c r="A33" s="420">
        <f t="shared" si="9"/>
        <v>45955</v>
      </c>
      <c r="B33" s="430" t="s">
        <v>416</v>
      </c>
      <c r="C33" s="407" t="s">
        <v>546</v>
      </c>
      <c r="D33" s="399">
        <f>+'25'!F42</f>
        <v>1393.3333333333333</v>
      </c>
      <c r="E33" s="399">
        <f>+'25'!G42</f>
        <v>1058.9333333333334</v>
      </c>
      <c r="F33" s="46">
        <f t="shared" si="0"/>
        <v>0.23999999999999988</v>
      </c>
      <c r="G33" s="426">
        <f t="shared" si="10"/>
        <v>0.94415519261607717</v>
      </c>
      <c r="H33" s="421">
        <f t="shared" si="11"/>
        <v>0.9396592155083815</v>
      </c>
      <c r="I33" s="421">
        <f t="shared" si="12"/>
        <v>0.94662685834645499</v>
      </c>
      <c r="J33" s="427">
        <f t="shared" si="13"/>
        <v>0.88950665109299365</v>
      </c>
      <c r="K33" s="427">
        <f t="shared" si="14"/>
        <v>0.85705205286257669</v>
      </c>
      <c r="L33" s="400">
        <f>+Efficiency1!K111</f>
        <v>52.041207272727291</v>
      </c>
      <c r="M33" s="401">
        <f t="shared" si="15"/>
        <v>1328.6520885127472</v>
      </c>
      <c r="N33" s="400">
        <f>+Efficiency1!C111</f>
        <v>51.793392000000011</v>
      </c>
      <c r="O33" s="401">
        <f t="shared" si="15"/>
        <v>1315.2048358141435</v>
      </c>
      <c r="P33" s="401">
        <f>'25'!I38</f>
        <v>48.901000000000003</v>
      </c>
      <c r="Q33" s="401">
        <f t="shared" si="16"/>
        <v>1226.021</v>
      </c>
      <c r="R33" s="401">
        <f>'25'!I40</f>
        <v>46.290999999999997</v>
      </c>
      <c r="S33" s="401">
        <f t="shared" si="17"/>
        <v>1138.7239999999999</v>
      </c>
      <c r="T33" s="99"/>
      <c r="U33" s="12">
        <f t="shared" si="18"/>
        <v>0</v>
      </c>
      <c r="V33" s="292">
        <f t="shared" si="19"/>
        <v>0</v>
      </c>
      <c r="W33" s="292">
        <f t="shared" si="19"/>
        <v>0</v>
      </c>
      <c r="X33" s="293">
        <f t="shared" si="20"/>
        <v>0</v>
      </c>
      <c r="Y33" s="292">
        <f t="shared" si="21"/>
        <v>0</v>
      </c>
      <c r="Z33" s="403">
        <v>134.9</v>
      </c>
      <c r="AA33" s="402">
        <f t="shared" si="22"/>
        <v>3124.8999999999996</v>
      </c>
      <c r="AB33" s="405">
        <f t="shared" si="1"/>
        <v>2.7586347927445245</v>
      </c>
      <c r="AC33" s="405">
        <f t="shared" si="2"/>
        <v>2.5488144167188</v>
      </c>
      <c r="AD33" s="400">
        <f t="shared" si="3"/>
        <v>2.9141733814348365</v>
      </c>
      <c r="AE33" s="405">
        <f t="shared" si="4"/>
        <v>2.7442119424900149</v>
      </c>
      <c r="AF33" s="404">
        <f>+'25'!I46</f>
        <v>49875.960000000014</v>
      </c>
      <c r="AG33" s="402">
        <f t="shared" si="23"/>
        <v>1212573.5775999997</v>
      </c>
      <c r="AH33" s="405">
        <f t="shared" si="5"/>
        <v>1019.9374245925443</v>
      </c>
      <c r="AI33" s="405">
        <f t="shared" si="6"/>
        <v>989.03165410706652</v>
      </c>
      <c r="AJ33" s="405">
        <f t="shared" si="7"/>
        <v>1077.4439955930961</v>
      </c>
      <c r="AK33" s="405">
        <f t="shared" si="8"/>
        <v>1064.8529209887556</v>
      </c>
      <c r="AL33" s="400">
        <f>+Efficiency2!K111</f>
        <v>52.041207272727291</v>
      </c>
      <c r="AM33" s="401">
        <f t="shared" si="24"/>
        <v>1310.8812828727471</v>
      </c>
      <c r="AN33" s="427">
        <f t="shared" si="25"/>
        <v>0.88950665109299365</v>
      </c>
      <c r="AO33" s="427">
        <f t="shared" si="26"/>
        <v>0.8686705767165499</v>
      </c>
    </row>
    <row r="34" spans="1:41" s="406" customFormat="1" ht="12.75" customHeight="1">
      <c r="A34" s="420">
        <f t="shared" si="9"/>
        <v>45956</v>
      </c>
      <c r="B34" s="430" t="s">
        <v>416</v>
      </c>
      <c r="C34" s="407" t="s">
        <v>546</v>
      </c>
      <c r="D34" s="399">
        <f>+'26'!F42</f>
        <v>1394.0208333333333</v>
      </c>
      <c r="E34" s="399">
        <f>+'26'!G42</f>
        <v>1059.4558333333332</v>
      </c>
      <c r="F34" s="46">
        <f t="shared" si="0"/>
        <v>0.2400000000000001</v>
      </c>
      <c r="G34" s="426">
        <f t="shared" si="10"/>
        <v>0.91710889030582254</v>
      </c>
      <c r="H34" s="421">
        <f t="shared" si="11"/>
        <v>0.91319207108680811</v>
      </c>
      <c r="I34" s="421">
        <f t="shared" si="12"/>
        <v>0.88928393213572854</v>
      </c>
      <c r="J34" s="427">
        <f t="shared" si="13"/>
        <v>0.81208703577124641</v>
      </c>
      <c r="K34" s="427">
        <f t="shared" si="14"/>
        <v>0.85533759323814884</v>
      </c>
      <c r="L34" s="400">
        <f>+Efficiency1!K115</f>
        <v>52.667999999999992</v>
      </c>
      <c r="M34" s="401">
        <f t="shared" si="15"/>
        <v>1381.3200885127471</v>
      </c>
      <c r="N34" s="400">
        <f>+Efficiency1!C115</f>
        <v>52.443063749999993</v>
      </c>
      <c r="O34" s="401">
        <f t="shared" si="15"/>
        <v>1367.6478995641435</v>
      </c>
      <c r="P34" s="401">
        <f>'26'!I38</f>
        <v>48.096000000000004</v>
      </c>
      <c r="Q34" s="401">
        <f t="shared" si="16"/>
        <v>1274.117</v>
      </c>
      <c r="R34" s="401">
        <f>'26'!I40</f>
        <v>42.771000000000001</v>
      </c>
      <c r="S34" s="401">
        <f t="shared" si="17"/>
        <v>1181.4949999999999</v>
      </c>
      <c r="T34" s="99"/>
      <c r="U34" s="12">
        <f t="shared" si="18"/>
        <v>0</v>
      </c>
      <c r="V34" s="292">
        <f t="shared" si="19"/>
        <v>0</v>
      </c>
      <c r="W34" s="292">
        <f t="shared" si="19"/>
        <v>0</v>
      </c>
      <c r="X34" s="293">
        <f t="shared" si="20"/>
        <v>0</v>
      </c>
      <c r="Y34" s="292">
        <f t="shared" si="21"/>
        <v>0</v>
      </c>
      <c r="Z34" s="403">
        <v>135.80000000000001</v>
      </c>
      <c r="AA34" s="402">
        <f t="shared" si="22"/>
        <v>3260.7</v>
      </c>
      <c r="AB34" s="405">
        <f t="shared" si="1"/>
        <v>2.823519627411843</v>
      </c>
      <c r="AC34" s="405">
        <f t="shared" si="2"/>
        <v>2.5591841251627598</v>
      </c>
      <c r="AD34" s="400">
        <f t="shared" si="3"/>
        <v>3.175048514180169</v>
      </c>
      <c r="AE34" s="405">
        <f t="shared" si="4"/>
        <v>2.7598085476451444</v>
      </c>
      <c r="AF34" s="404">
        <f>'26'!I46</f>
        <v>47430.329999999987</v>
      </c>
      <c r="AG34" s="402">
        <f t="shared" si="23"/>
        <v>1260003.9075999998</v>
      </c>
      <c r="AH34" s="405">
        <f t="shared" si="5"/>
        <v>986.15955588822328</v>
      </c>
      <c r="AI34" s="405">
        <f t="shared" si="6"/>
        <v>988.92323672001851</v>
      </c>
      <c r="AJ34" s="405">
        <f t="shared" si="7"/>
        <v>1108.9366626920107</v>
      </c>
      <c r="AK34" s="405">
        <f t="shared" si="8"/>
        <v>1066.4487853101366</v>
      </c>
      <c r="AL34" s="400">
        <f>+Efficiency2!K115</f>
        <v>52.667999999999992</v>
      </c>
      <c r="AM34" s="401">
        <f t="shared" si="24"/>
        <v>1363.549282872747</v>
      </c>
      <c r="AN34" s="427">
        <f t="shared" si="25"/>
        <v>0.81208703577124641</v>
      </c>
      <c r="AO34" s="427">
        <f t="shared" si="26"/>
        <v>0.866484999728655</v>
      </c>
    </row>
    <row r="35" spans="1:41" s="406" customFormat="1" ht="12.75" customHeight="1">
      <c r="A35" s="420">
        <f t="shared" si="9"/>
        <v>45957</v>
      </c>
      <c r="B35" s="430" t="s">
        <v>529</v>
      </c>
      <c r="C35" s="407" t="s">
        <v>854</v>
      </c>
      <c r="D35" s="399">
        <f>+'27'!F42</f>
        <v>1398.2013888888889</v>
      </c>
      <c r="E35" s="399">
        <f>+'27'!G42</f>
        <v>1062.6330555555555</v>
      </c>
      <c r="F35" s="46">
        <f t="shared" si="0"/>
        <v>0.24</v>
      </c>
      <c r="G35" s="426">
        <f t="shared" si="10"/>
        <v>0.91373359758806816</v>
      </c>
      <c r="H35" s="421">
        <f t="shared" si="11"/>
        <v>0.91254250995903907</v>
      </c>
      <c r="I35" s="421">
        <f t="shared" si="12"/>
        <v>0.80550160445870644</v>
      </c>
      <c r="J35" s="427">
        <f t="shared" si="13"/>
        <v>0.73505445590878105</v>
      </c>
      <c r="K35" s="427">
        <f t="shared" si="14"/>
        <v>0.85098125627830346</v>
      </c>
      <c r="L35" s="400">
        <f>+SUM(Efficiency1!K119:K120)</f>
        <v>51.907718799999998</v>
      </c>
      <c r="M35" s="401">
        <f t="shared" si="15"/>
        <v>1433.2278073127472</v>
      </c>
      <c r="N35" s="400">
        <f>+SUM(Efficiency1!C119:C120)</f>
        <v>51.840055049999997</v>
      </c>
      <c r="O35" s="401">
        <f t="shared" si="15"/>
        <v>1419.4879546141435</v>
      </c>
      <c r="P35" s="401">
        <f>'27'!I38</f>
        <v>47.367999999999995</v>
      </c>
      <c r="Q35" s="401">
        <f t="shared" si="16"/>
        <v>1321.4849999999999</v>
      </c>
      <c r="R35" s="401">
        <f>'27'!I40</f>
        <v>38.155000000000001</v>
      </c>
      <c r="S35" s="401">
        <f t="shared" si="17"/>
        <v>1219.6499999999999</v>
      </c>
      <c r="T35" s="99"/>
      <c r="U35" s="12">
        <f t="shared" si="18"/>
        <v>0</v>
      </c>
      <c r="V35" s="292">
        <f t="shared" si="19"/>
        <v>0</v>
      </c>
      <c r="W35" s="292">
        <f t="shared" si="19"/>
        <v>0</v>
      </c>
      <c r="X35" s="293">
        <f t="shared" si="20"/>
        <v>0</v>
      </c>
      <c r="Y35" s="292">
        <f t="shared" si="21"/>
        <v>0</v>
      </c>
      <c r="Z35" s="403">
        <v>133.1</v>
      </c>
      <c r="AA35" s="402">
        <f t="shared" si="22"/>
        <v>3393.7999999999997</v>
      </c>
      <c r="AB35" s="405">
        <f t="shared" si="1"/>
        <v>2.8099138659010303</v>
      </c>
      <c r="AC35" s="405">
        <f t="shared" si="2"/>
        <v>2.5681714132207327</v>
      </c>
      <c r="AD35" s="400">
        <f t="shared" si="3"/>
        <v>3.4884025684707112</v>
      </c>
      <c r="AE35" s="405">
        <f t="shared" si="4"/>
        <v>2.7826015660230397</v>
      </c>
      <c r="AF35" s="404">
        <f>'27'!I46</f>
        <v>49997.73000000004</v>
      </c>
      <c r="AG35" s="402">
        <f t="shared" si="23"/>
        <v>1310001.6375999998</v>
      </c>
      <c r="AH35" s="405">
        <f t="shared" si="5"/>
        <v>1055.5170157068071</v>
      </c>
      <c r="AI35" s="405">
        <f t="shared" si="6"/>
        <v>991.31025898894029</v>
      </c>
      <c r="AJ35" s="405">
        <f t="shared" si="7"/>
        <v>1310.3847464290407</v>
      </c>
      <c r="AK35" s="405">
        <f t="shared" si="8"/>
        <v>1074.0799717951872</v>
      </c>
      <c r="AL35" s="400">
        <f>+SUM(Efficiency2!K119:K120)</f>
        <v>51.907718799999998</v>
      </c>
      <c r="AM35" s="401">
        <f t="shared" si="24"/>
        <v>1415.4570016727471</v>
      </c>
      <c r="AN35" s="427">
        <f t="shared" si="25"/>
        <v>0.73505445590878105</v>
      </c>
      <c r="AO35" s="427">
        <f t="shared" si="26"/>
        <v>0.86166517143131294</v>
      </c>
    </row>
    <row r="36" spans="1:41" s="406" customFormat="1" ht="12.75" customHeight="1">
      <c r="A36" s="420">
        <f t="shared" si="9"/>
        <v>45958</v>
      </c>
      <c r="B36" s="430" t="s">
        <v>523</v>
      </c>
      <c r="C36" s="407" t="s">
        <v>868</v>
      </c>
      <c r="D36" s="399">
        <f>+'28'!F42</f>
        <v>1385.625</v>
      </c>
      <c r="E36" s="399">
        <f>+'28'!G42</f>
        <v>1053.075</v>
      </c>
      <c r="F36" s="46">
        <f t="shared" si="0"/>
        <v>0.24</v>
      </c>
      <c r="G36" s="426">
        <f t="shared" si="10"/>
        <v>0.88964740292310862</v>
      </c>
      <c r="H36" s="421">
        <f t="shared" si="11"/>
        <v>0.88521158693503499</v>
      </c>
      <c r="I36" s="421">
        <f t="shared" si="12"/>
        <v>0.89565121168529371</v>
      </c>
      <c r="J36" s="427">
        <f t="shared" si="13"/>
        <v>0.79284083043622589</v>
      </c>
      <c r="K36" s="427">
        <f t="shared" si="14"/>
        <v>0.84898180014360647</v>
      </c>
      <c r="L36" s="400">
        <f>+SUM(Efficiency1!K123:K124)</f>
        <v>51.044293440000004</v>
      </c>
      <c r="M36" s="401">
        <f t="shared" si="15"/>
        <v>1484.2721007527473</v>
      </c>
      <c r="N36" s="400">
        <f>+SUM(Efficiency1!C123:C124)</f>
        <v>50.789784640000008</v>
      </c>
      <c r="O36" s="401">
        <f t="shared" si="15"/>
        <v>1470.2777392541436</v>
      </c>
      <c r="P36" s="401">
        <f>'28'!I38</f>
        <v>45.185000000000002</v>
      </c>
      <c r="Q36" s="401">
        <f t="shared" si="16"/>
        <v>1366.6699999999998</v>
      </c>
      <c r="R36" s="401">
        <f>'28'!I40</f>
        <v>40.47</v>
      </c>
      <c r="S36" s="401">
        <f t="shared" si="17"/>
        <v>1260.1199999999999</v>
      </c>
      <c r="T36" s="99"/>
      <c r="U36" s="12">
        <f t="shared" si="18"/>
        <v>0</v>
      </c>
      <c r="V36" s="292">
        <f t="shared" si="19"/>
        <v>0</v>
      </c>
      <c r="W36" s="292">
        <f t="shared" si="19"/>
        <v>0</v>
      </c>
      <c r="X36" s="293">
        <f t="shared" si="20"/>
        <v>0</v>
      </c>
      <c r="Y36" s="292">
        <f t="shared" si="21"/>
        <v>0</v>
      </c>
      <c r="Z36" s="403">
        <v>133.6</v>
      </c>
      <c r="AA36" s="402">
        <f t="shared" si="22"/>
        <v>3527.3999999999996</v>
      </c>
      <c r="AB36" s="405">
        <f t="shared" si="1"/>
        <v>2.9567334292353653</v>
      </c>
      <c r="AC36" s="405">
        <f t="shared" si="2"/>
        <v>2.581018095077817</v>
      </c>
      <c r="AD36" s="400">
        <f t="shared" si="3"/>
        <v>3.3012107734124041</v>
      </c>
      <c r="AE36" s="405">
        <f t="shared" si="4"/>
        <v>2.7992572135987048</v>
      </c>
      <c r="AF36" s="404">
        <f>'28'!I46</f>
        <v>45213.169999999598</v>
      </c>
      <c r="AG36" s="402">
        <f t="shared" si="23"/>
        <v>1355214.8075999995</v>
      </c>
      <c r="AH36" s="405">
        <f t="shared" si="5"/>
        <v>1000.6234369812903</v>
      </c>
      <c r="AI36" s="405">
        <f t="shared" si="6"/>
        <v>991.61817234592081</v>
      </c>
      <c r="AJ36" s="405">
        <f t="shared" si="7"/>
        <v>1117.2021250308771</v>
      </c>
      <c r="AK36" s="405">
        <f t="shared" si="8"/>
        <v>1075.4648823921527</v>
      </c>
      <c r="AL36" s="400">
        <f>+SUM(Efficiency2!K123:K124)</f>
        <v>51.044293440000004</v>
      </c>
      <c r="AM36" s="401">
        <f t="shared" si="24"/>
        <v>1466.5012951127471</v>
      </c>
      <c r="AN36" s="427">
        <f t="shared" si="25"/>
        <v>0.79284083043622589</v>
      </c>
      <c r="AO36" s="427">
        <f t="shared" si="26"/>
        <v>0.85926961278484226</v>
      </c>
    </row>
    <row r="37" spans="1:41" s="406" customFormat="1" ht="12.75" customHeight="1">
      <c r="A37" s="420">
        <f t="shared" si="9"/>
        <v>45959</v>
      </c>
      <c r="B37" s="430" t="s">
        <v>523</v>
      </c>
      <c r="C37" s="424" t="s">
        <v>733</v>
      </c>
      <c r="D37" s="399">
        <f>+'29'!F42</f>
        <v>1370</v>
      </c>
      <c r="E37" s="399">
        <f>+'29'!G42</f>
        <v>1041.2</v>
      </c>
      <c r="F37" s="46">
        <f t="shared" si="0"/>
        <v>0.24</v>
      </c>
      <c r="G37" s="426">
        <f t="shared" si="10"/>
        <v>0.91447309471579397</v>
      </c>
      <c r="H37" s="421">
        <f t="shared" si="11"/>
        <v>0.90515036102369073</v>
      </c>
      <c r="I37" s="421">
        <f t="shared" si="12"/>
        <v>0.91337814627112535</v>
      </c>
      <c r="J37" s="427">
        <f t="shared" si="13"/>
        <v>0.82674455884845854</v>
      </c>
      <c r="K37" s="427">
        <f t="shared" si="14"/>
        <v>0.84822770152224869</v>
      </c>
      <c r="L37" s="400">
        <f>+SUM(Efficiency1!K127:K128)</f>
        <v>52.100735999999998</v>
      </c>
      <c r="M37" s="401">
        <f t="shared" si="15"/>
        <v>1536.3728367527474</v>
      </c>
      <c r="N37" s="400">
        <f>+SUM(Efficiency1!C127:C128)</f>
        <v>51.569587200000001</v>
      </c>
      <c r="O37" s="401">
        <f t="shared" si="15"/>
        <v>1521.8473264541435</v>
      </c>
      <c r="P37" s="401">
        <f>'29'!I38</f>
        <v>47.158999999999999</v>
      </c>
      <c r="Q37" s="401">
        <f t="shared" si="16"/>
        <v>1413.829</v>
      </c>
      <c r="R37" s="401">
        <f>'29'!I40</f>
        <v>43.073999999999998</v>
      </c>
      <c r="S37" s="401">
        <f t="shared" si="17"/>
        <v>1303.194</v>
      </c>
      <c r="T37" s="99"/>
      <c r="U37" s="12">
        <f t="shared" si="18"/>
        <v>0</v>
      </c>
      <c r="V37" s="292">
        <f t="shared" si="19"/>
        <v>0</v>
      </c>
      <c r="W37" s="292">
        <f t="shared" si="19"/>
        <v>0</v>
      </c>
      <c r="X37" s="293">
        <f t="shared" si="20"/>
        <v>0</v>
      </c>
      <c r="Y37" s="292">
        <f t="shared" si="21"/>
        <v>0</v>
      </c>
      <c r="Z37" s="403">
        <v>136.19999999999999</v>
      </c>
      <c r="AA37" s="402">
        <f t="shared" si="22"/>
        <v>3663.5999999999995</v>
      </c>
      <c r="AB37" s="405">
        <f t="shared" si="1"/>
        <v>2.8881019529676202</v>
      </c>
      <c r="AC37" s="405">
        <f t="shared" si="2"/>
        <v>2.5912610365185604</v>
      </c>
      <c r="AD37" s="400">
        <f t="shared" si="3"/>
        <v>3.1620002785903329</v>
      </c>
      <c r="AE37" s="405">
        <f t="shared" si="4"/>
        <v>2.8112468289448844</v>
      </c>
      <c r="AF37" s="404">
        <f>'29'!I46</f>
        <v>49073.740000000544</v>
      </c>
      <c r="AG37" s="402">
        <f t="shared" si="23"/>
        <v>1404288.5475999999</v>
      </c>
      <c r="AH37" s="405">
        <f t="shared" si="5"/>
        <v>1040.6017939311805</v>
      </c>
      <c r="AI37" s="405">
        <f t="shared" si="6"/>
        <v>993.25204646389341</v>
      </c>
      <c r="AJ37" s="405">
        <f t="shared" si="7"/>
        <v>1139.2891303338567</v>
      </c>
      <c r="AK37" s="405">
        <f t="shared" si="8"/>
        <v>1077.5744421782174</v>
      </c>
      <c r="AL37" s="400">
        <f>+SUM(Efficiency2!K127:K128)</f>
        <v>52.100735999999998</v>
      </c>
      <c r="AM37" s="401">
        <f t="shared" si="24"/>
        <v>1518.6020311127472</v>
      </c>
      <c r="AN37" s="427">
        <f t="shared" si="25"/>
        <v>0.82674455884845854</v>
      </c>
      <c r="AO37" s="427">
        <f t="shared" si="26"/>
        <v>0.85815373172199161</v>
      </c>
    </row>
    <row r="38" spans="1:41" s="406" customFormat="1" ht="12.75" customHeight="1">
      <c r="A38" s="420">
        <f t="shared" si="9"/>
        <v>45960</v>
      </c>
      <c r="B38" s="430" t="s">
        <v>571</v>
      </c>
      <c r="C38" s="407" t="s">
        <v>530</v>
      </c>
      <c r="D38" s="399">
        <f>+'30'!F42</f>
        <v>1388.3333333333333</v>
      </c>
      <c r="E38" s="399">
        <f>+'30'!G42</f>
        <v>1059.0999999999999</v>
      </c>
      <c r="F38" s="46">
        <f t="shared" si="0"/>
        <v>0.23714285714285721</v>
      </c>
      <c r="G38" s="426">
        <f t="shared" si="10"/>
        <v>0.93759554708544968</v>
      </c>
      <c r="H38" s="421">
        <f t="shared" si="11"/>
        <v>0.93250723123177948</v>
      </c>
      <c r="I38" s="421">
        <f t="shared" si="12"/>
        <v>0.8017604837216955</v>
      </c>
      <c r="J38" s="427">
        <f t="shared" si="13"/>
        <v>0.74764744878637046</v>
      </c>
      <c r="K38" s="427">
        <f t="shared" si="14"/>
        <v>0.84492620435648247</v>
      </c>
      <c r="L38" s="400">
        <f>+SUM(Efficiency1!K131:K132)</f>
        <v>52.142222999999994</v>
      </c>
      <c r="M38" s="401">
        <f t="shared" si="15"/>
        <v>1588.5150597527474</v>
      </c>
      <c r="N38" s="400">
        <f>+SUM(Efficiency1!C131:C132)</f>
        <v>51.859247999999994</v>
      </c>
      <c r="O38" s="401">
        <f t="shared" si="15"/>
        <v>1573.7065744541435</v>
      </c>
      <c r="P38" s="401">
        <f>'30'!I38</f>
        <v>48.623000000000005</v>
      </c>
      <c r="Q38" s="401">
        <f t="shared" si="16"/>
        <v>1462.452</v>
      </c>
      <c r="R38" s="401">
        <f>'30'!I40</f>
        <v>38.984000000000002</v>
      </c>
      <c r="S38" s="401">
        <f t="shared" si="17"/>
        <v>1342.1779999999999</v>
      </c>
      <c r="T38" s="99"/>
      <c r="U38" s="12">
        <f t="shared" si="18"/>
        <v>0</v>
      </c>
      <c r="V38" s="292">
        <f t="shared" si="19"/>
        <v>0</v>
      </c>
      <c r="W38" s="292">
        <f t="shared" si="19"/>
        <v>0</v>
      </c>
      <c r="X38" s="293">
        <f t="shared" si="20"/>
        <v>0</v>
      </c>
      <c r="Y38" s="292">
        <f t="shared" si="21"/>
        <v>0</v>
      </c>
      <c r="Z38" s="403">
        <v>138.30000000000001</v>
      </c>
      <c r="AA38" s="402">
        <f t="shared" si="22"/>
        <v>3801.8999999999996</v>
      </c>
      <c r="AB38" s="405">
        <f t="shared" si="1"/>
        <v>2.844332928860827</v>
      </c>
      <c r="AC38" s="405">
        <f t="shared" si="2"/>
        <v>2.5996750662585848</v>
      </c>
      <c r="AD38" s="400">
        <f t="shared" si="3"/>
        <v>3.5476092756002462</v>
      </c>
      <c r="AE38" s="405">
        <f t="shared" si="4"/>
        <v>2.8326347176007949</v>
      </c>
      <c r="AF38" s="404">
        <f>'30'!I46</f>
        <v>55118.019999999451</v>
      </c>
      <c r="AG38" s="402">
        <f t="shared" si="23"/>
        <v>1459406.5675999995</v>
      </c>
      <c r="AH38" s="405">
        <f t="shared" si="5"/>
        <v>1133.5791703514683</v>
      </c>
      <c r="AI38" s="405">
        <f t="shared" si="6"/>
        <v>997.91758471389119</v>
      </c>
      <c r="AJ38" s="405">
        <f t="shared" si="7"/>
        <v>1413.8626103016481</v>
      </c>
      <c r="AK38" s="405">
        <f t="shared" si="8"/>
        <v>1087.3420422626502</v>
      </c>
      <c r="AL38" s="400">
        <f>+SUM(Efficiency2!K131:K132)</f>
        <v>52.142222999999994</v>
      </c>
      <c r="AM38" s="401">
        <f t="shared" si="24"/>
        <v>1570.7442541127473</v>
      </c>
      <c r="AN38" s="427">
        <f t="shared" si="25"/>
        <v>0.74764744878637046</v>
      </c>
      <c r="AO38" s="427">
        <f t="shared" si="26"/>
        <v>0.85448537945354086</v>
      </c>
    </row>
    <row r="39" spans="1:41" s="406" customFormat="1" ht="12.75" customHeight="1">
      <c r="A39" s="420">
        <f>A38+1</f>
        <v>45961</v>
      </c>
      <c r="B39" s="430" t="s">
        <v>416</v>
      </c>
      <c r="C39" s="424" t="s">
        <v>904</v>
      </c>
      <c r="D39" s="399">
        <f>+'31'!F42</f>
        <v>1357.9166666666667</v>
      </c>
      <c r="E39" s="399">
        <f>+'31'!G42</f>
        <v>1045.5958333333333</v>
      </c>
      <c r="F39" s="46">
        <f t="shared" si="0"/>
        <v>0.23000000000000009</v>
      </c>
      <c r="G39" s="426">
        <f t="shared" si="10"/>
        <v>0.94958780277856847</v>
      </c>
      <c r="H39" s="421">
        <f t="shared" si="11"/>
        <v>0.93601602351059676</v>
      </c>
      <c r="I39" s="421">
        <f t="shared" si="12"/>
        <v>0.89861238121744658</v>
      </c>
      <c r="J39" s="427">
        <f t="shared" si="13"/>
        <v>0.84111558774454287</v>
      </c>
      <c r="K39" s="427">
        <f t="shared" si="14"/>
        <v>0.84480150722122049</v>
      </c>
      <c r="L39" s="400">
        <f>+SUM(Efficiency1!K135:K136)</f>
        <v>53.740532999999999</v>
      </c>
      <c r="M39" s="401">
        <f>M38+L39</f>
        <v>1642.2555927527474</v>
      </c>
      <c r="N39" s="400">
        <f>+SUM(Efficiency1!C135:C136)</f>
        <v>52.972457999999996</v>
      </c>
      <c r="O39" s="401">
        <f>O38+N39</f>
        <v>1626.6790324541435</v>
      </c>
      <c r="P39" s="401">
        <f>'31'!I38</f>
        <v>50.302</v>
      </c>
      <c r="Q39" s="401">
        <f>Q38+P39</f>
        <v>1512.7539999999999</v>
      </c>
      <c r="R39" s="401">
        <f>'31'!I40</f>
        <v>45.201999999999998</v>
      </c>
      <c r="S39" s="401">
        <f>S38+R39</f>
        <v>1387.3799999999999</v>
      </c>
      <c r="T39" s="99"/>
      <c r="U39" s="12">
        <f>T39+U38</f>
        <v>0</v>
      </c>
      <c r="V39" s="292">
        <f t="shared" si="19"/>
        <v>0</v>
      </c>
      <c r="W39" s="292">
        <f t="shared" si="19"/>
        <v>0</v>
      </c>
      <c r="X39" s="293">
        <f t="shared" si="20"/>
        <v>0</v>
      </c>
      <c r="Y39" s="292">
        <f t="shared" si="21"/>
        <v>0</v>
      </c>
      <c r="Z39" s="403">
        <v>140.30000000000001</v>
      </c>
      <c r="AA39" s="402">
        <f>Z39+AA38</f>
        <v>3942.2</v>
      </c>
      <c r="AB39" s="405">
        <f t="shared" si="1"/>
        <v>2.789153512782792</v>
      </c>
      <c r="AC39" s="405">
        <f t="shared" si="2"/>
        <v>2.6059755915370246</v>
      </c>
      <c r="AD39" s="400">
        <f t="shared" si="3"/>
        <v>3.1038449626122744</v>
      </c>
      <c r="AE39" s="405">
        <f t="shared" si="4"/>
        <v>2.8414709740662256</v>
      </c>
      <c r="AF39" s="404">
        <f>'31'!I46</f>
        <v>59209.960000000545</v>
      </c>
      <c r="AG39" s="402">
        <f>AF39+AG38</f>
        <v>1518616.5276000001</v>
      </c>
      <c r="AH39" s="405">
        <f t="shared" si="5"/>
        <v>1177.0895789431941</v>
      </c>
      <c r="AI39" s="405">
        <f t="shared" si="6"/>
        <v>1003.875400494727</v>
      </c>
      <c r="AJ39" s="405">
        <f t="shared" si="7"/>
        <v>1309.8969072165071</v>
      </c>
      <c r="AK39" s="405">
        <f t="shared" si="8"/>
        <v>1094.5930657786623</v>
      </c>
      <c r="AL39" s="400">
        <f>+SUM(Efficiency2!K135:K136)</f>
        <v>53.740532999999999</v>
      </c>
      <c r="AM39" s="401">
        <f>AM38+AL39</f>
        <v>1624.4847871127472</v>
      </c>
      <c r="AN39" s="427">
        <f t="shared" si="25"/>
        <v>0.84111558774454287</v>
      </c>
      <c r="AO39" s="427">
        <f t="shared" si="26"/>
        <v>0.85404308554088593</v>
      </c>
    </row>
    <row r="40" spans="1:41" s="406" customFormat="1" ht="12.75" customHeight="1" thickBot="1">
      <c r="A40" s="420"/>
      <c r="B40" s="408"/>
      <c r="C40" s="408"/>
      <c r="D40" s="408"/>
      <c r="E40" s="408"/>
      <c r="F40" s="422"/>
      <c r="G40" s="426"/>
      <c r="H40" s="421"/>
      <c r="I40" s="421"/>
      <c r="J40" s="427"/>
      <c r="K40" s="432"/>
      <c r="L40" s="409"/>
      <c r="M40" s="410"/>
      <c r="N40" s="410"/>
      <c r="O40" s="410"/>
      <c r="P40" s="410"/>
      <c r="Q40" s="410"/>
      <c r="R40" s="410"/>
      <c r="S40" s="410"/>
      <c r="T40" s="295"/>
      <c r="U40" s="294"/>
      <c r="V40" s="296"/>
      <c r="W40" s="296"/>
      <c r="X40" s="293"/>
      <c r="Y40" s="296"/>
      <c r="Z40" s="411"/>
      <c r="AA40" s="411"/>
      <c r="AB40" s="412"/>
      <c r="AC40" s="412"/>
      <c r="AD40" s="409"/>
      <c r="AE40" s="412"/>
      <c r="AF40" s="411"/>
      <c r="AG40" s="411"/>
      <c r="AH40" s="412"/>
      <c r="AI40" s="412"/>
      <c r="AJ40" s="412"/>
      <c r="AK40" s="412"/>
      <c r="AL40" s="409"/>
      <c r="AM40" s="410"/>
      <c r="AN40" s="427"/>
      <c r="AO40" s="432"/>
    </row>
    <row r="41" spans="1:41" s="406" customFormat="1" ht="12.75" customHeight="1" thickTop="1" thickBot="1">
      <c r="A41" s="413"/>
      <c r="B41" s="414"/>
      <c r="C41" s="414"/>
      <c r="D41" s="414"/>
      <c r="E41" s="414"/>
      <c r="F41" s="423"/>
      <c r="G41" s="426">
        <f t="shared" si="10"/>
        <v>0.92996465179595589</v>
      </c>
      <c r="H41" s="421">
        <f t="shared" si="11"/>
        <v>0.92114406958074235</v>
      </c>
      <c r="I41" s="421">
        <f t="shared" si="12"/>
        <v>0.91712201719512887</v>
      </c>
      <c r="J41" s="427">
        <f t="shared" si="13"/>
        <v>0.84480150722122049</v>
      </c>
      <c r="K41" s="427"/>
      <c r="L41" s="415">
        <f>SUM(L9:L39)</f>
        <v>1642.2555927527474</v>
      </c>
      <c r="M41" s="416"/>
      <c r="N41" s="415">
        <f>SUM(N9:N39)</f>
        <v>1626.6790324541435</v>
      </c>
      <c r="O41" s="416"/>
      <c r="P41" s="415">
        <f>SUM(P9:P39)</f>
        <v>1512.7539999999999</v>
      </c>
      <c r="Q41" s="416"/>
      <c r="R41" s="415">
        <f>SUM(R9:R39)</f>
        <v>1387.3799999999999</v>
      </c>
      <c r="S41" s="416"/>
      <c r="T41" s="297">
        <f>SUM(T9:T39)</f>
        <v>0</v>
      </c>
      <c r="U41" s="297"/>
      <c r="V41" s="298">
        <f>T41/P41</f>
        <v>0</v>
      </c>
      <c r="W41" s="298"/>
      <c r="X41" s="293">
        <f>IF(AND(R41&gt;0,T41&gt;0),(T41/(R41*1000))*1000,0)</f>
        <v>0</v>
      </c>
      <c r="Y41" s="298"/>
      <c r="Z41" s="417">
        <f>SUM(Z9:Z40)</f>
        <v>3942.2</v>
      </c>
      <c r="AA41" s="417"/>
      <c r="AB41" s="418">
        <f>Z41/P41</f>
        <v>2.6059755915370246</v>
      </c>
      <c r="AC41" s="418"/>
      <c r="AD41" s="419">
        <f>Z41/R41</f>
        <v>2.8414709740662256</v>
      </c>
      <c r="AE41" s="418"/>
      <c r="AF41" s="417">
        <f>SUM(AF9:AF39)</f>
        <v>1518616.5276000001</v>
      </c>
      <c r="AG41" s="417"/>
      <c r="AH41" s="418">
        <f>AF41/P41</f>
        <v>1003.875400494727</v>
      </c>
      <c r="AI41" s="418"/>
      <c r="AJ41" s="418">
        <f>AF41/R41</f>
        <v>1094.5930657786621</v>
      </c>
      <c r="AK41" s="418"/>
      <c r="AL41" s="415">
        <f>SUM(AL9:AL39)</f>
        <v>1624.4847871127472</v>
      </c>
      <c r="AM41" s="416"/>
      <c r="AN41" s="427">
        <f t="shared" si="25"/>
        <v>0.85404308554088593</v>
      </c>
      <c r="AO41" s="427"/>
    </row>
    <row r="42" spans="1:41" ht="12.75" customHeight="1" thickTop="1">
      <c r="S42" s="281"/>
      <c r="T42" s="281"/>
      <c r="U42" s="281"/>
      <c r="V42" s="281"/>
      <c r="W42" s="281"/>
      <c r="X42" s="281"/>
      <c r="Y42" s="281"/>
      <c r="Z42" s="281"/>
      <c r="AA42" s="281"/>
      <c r="AD42" s="281"/>
      <c r="AF42" s="281"/>
      <c r="AG42" s="281"/>
    </row>
    <row r="43" spans="1:41" ht="12.75" customHeight="1">
      <c r="S43" s="281"/>
      <c r="T43" s="281"/>
      <c r="U43" s="281"/>
      <c r="V43" s="281"/>
      <c r="W43" s="281"/>
      <c r="X43" s="281"/>
      <c r="Y43" s="281"/>
      <c r="Z43" s="281"/>
      <c r="AA43" s="281"/>
      <c r="AD43" s="281"/>
      <c r="AF43" s="281"/>
      <c r="AG43" s="281"/>
    </row>
    <row r="44" spans="1:41">
      <c r="S44" s="281"/>
      <c r="T44" s="281"/>
      <c r="U44" s="281"/>
      <c r="V44" s="281"/>
      <c r="W44" s="281"/>
      <c r="X44" s="281"/>
      <c r="Y44" s="281"/>
      <c r="Z44" s="281"/>
      <c r="AA44" s="281"/>
      <c r="AD44" s="281"/>
      <c r="AF44" s="281"/>
      <c r="AG44" s="281"/>
    </row>
    <row r="45" spans="1:41">
      <c r="R45" s="299"/>
      <c r="S45" s="300"/>
      <c r="T45" s="300"/>
      <c r="U45" s="300"/>
      <c r="V45" s="300"/>
      <c r="W45" s="300"/>
      <c r="X45" s="300"/>
      <c r="Y45" s="300"/>
    </row>
    <row r="46" spans="1:41">
      <c r="R46" s="301"/>
    </row>
    <row r="47" spans="1:41">
      <c r="R47" s="301"/>
    </row>
    <row r="48" spans="1:41">
      <c r="R48" s="301"/>
    </row>
    <row r="49" spans="18:41">
      <c r="R49" s="301"/>
      <c r="AN49"/>
      <c r="AO49"/>
    </row>
    <row r="50" spans="18:41">
      <c r="R50" s="301"/>
      <c r="AN50"/>
      <c r="AO50"/>
    </row>
    <row r="51" spans="18:41">
      <c r="R51" s="301"/>
      <c r="AN51"/>
      <c r="AO51"/>
    </row>
    <row r="52" spans="18:41">
      <c r="R52" s="301"/>
      <c r="AN52"/>
      <c r="AO52"/>
    </row>
    <row r="53" spans="18:41">
      <c r="R53" s="301"/>
      <c r="AN53"/>
      <c r="AO53"/>
    </row>
    <row r="54" spans="18:41">
      <c r="R54" s="301"/>
      <c r="AN54"/>
      <c r="AO54"/>
    </row>
    <row r="55" spans="18:41">
      <c r="R55" s="301"/>
      <c r="AN55"/>
      <c r="AO55"/>
    </row>
    <row r="56" spans="18:41">
      <c r="R56" s="301"/>
      <c r="AN56"/>
      <c r="AO56"/>
    </row>
    <row r="57" spans="18:41">
      <c r="R57" s="301"/>
      <c r="AN57"/>
      <c r="AO57"/>
    </row>
    <row r="58" spans="18:41">
      <c r="R58" s="301"/>
      <c r="AN58"/>
      <c r="AO58"/>
    </row>
    <row r="59" spans="18:41">
      <c r="R59" s="301"/>
      <c r="AN59"/>
      <c r="AO59"/>
    </row>
    <row r="60" spans="18:41">
      <c r="AN60"/>
      <c r="AO60"/>
    </row>
    <row r="65536" spans="3:39">
      <c r="C65536" s="302"/>
      <c r="AL65536"/>
      <c r="AM65536"/>
    </row>
  </sheetData>
  <mergeCells count="29">
    <mergeCell ref="A3:AK4"/>
    <mergeCell ref="AF7:AG7"/>
    <mergeCell ref="AH7:AI7"/>
    <mergeCell ref="AJ7:AK7"/>
    <mergeCell ref="D6:D8"/>
    <mergeCell ref="A6:A8"/>
    <mergeCell ref="B6:B8"/>
    <mergeCell ref="C6:C8"/>
    <mergeCell ref="L6:M7"/>
    <mergeCell ref="V7:W7"/>
    <mergeCell ref="H6:H8"/>
    <mergeCell ref="I6:I8"/>
    <mergeCell ref="E6:E8"/>
    <mergeCell ref="F6:F8"/>
    <mergeCell ref="G6:G8"/>
    <mergeCell ref="N6:O7"/>
    <mergeCell ref="AL6:AM7"/>
    <mergeCell ref="AN6:AO7"/>
    <mergeCell ref="Z7:AA7"/>
    <mergeCell ref="AB7:AC7"/>
    <mergeCell ref="J6:K7"/>
    <mergeCell ref="AF6:AK6"/>
    <mergeCell ref="AD7:AE7"/>
    <mergeCell ref="Z6:AE6"/>
    <mergeCell ref="P6:Q7"/>
    <mergeCell ref="R6:S7"/>
    <mergeCell ref="T6:Y6"/>
    <mergeCell ref="T7:U7"/>
    <mergeCell ref="X7:Y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45"/>
  <sheetViews>
    <sheetView zoomScaleNormal="100" workbookViewId="0">
      <pane xSplit="3" ySplit="6" topLeftCell="AJ7" activePane="bottomRight" state="frozen"/>
      <selection pane="topRight" activeCell="D1" sqref="D1"/>
      <selection pane="bottomLeft" activeCell="A7" sqref="A7"/>
      <selection pane="bottomRight" activeCell="AN42" sqref="AN42"/>
    </sheetView>
  </sheetViews>
  <sheetFormatPr defaultColWidth="9.140625" defaultRowHeight="12.75"/>
  <cols>
    <col min="1" max="3" width="10.85546875" customWidth="1"/>
    <col min="4" max="4" width="12.85546875" hidden="1" customWidth="1"/>
    <col min="5" max="5" width="13.28515625" hidden="1" customWidth="1"/>
    <col min="6" max="6" width="14.5703125" hidden="1" customWidth="1"/>
    <col min="7" max="7" width="15.5703125" hidden="1" customWidth="1"/>
    <col min="8" max="8" width="18.85546875" hidden="1" customWidth="1"/>
    <col min="9" max="9" width="12.85546875" hidden="1" customWidth="1"/>
    <col min="10" max="10" width="11.5703125" hidden="1" customWidth="1"/>
    <col min="11" max="11" width="12" hidden="1" customWidth="1"/>
    <col min="12" max="12" width="12.28515625" hidden="1" customWidth="1"/>
    <col min="13" max="13" width="13" hidden="1" customWidth="1"/>
    <col min="14" max="15" width="11" hidden="1" customWidth="1"/>
    <col min="16" max="16" width="13.5703125" hidden="1" customWidth="1"/>
    <col min="17" max="17" width="12.42578125" hidden="1" customWidth="1"/>
    <col min="18" max="19" width="13.140625" hidden="1" customWidth="1"/>
    <col min="20" max="20" width="13" bestFit="1" customWidth="1"/>
    <col min="21" max="21" width="13.7109375" bestFit="1" customWidth="1"/>
    <col min="22" max="39" width="13.5703125" customWidth="1"/>
    <col min="40" max="40" width="13.85546875" bestFit="1" customWidth="1"/>
    <col min="41" max="42" width="10.85546875" bestFit="1" customWidth="1"/>
    <col min="45" max="45" width="39" bestFit="1" customWidth="1"/>
  </cols>
  <sheetData>
    <row r="2" spans="1:47" ht="24.75" customHeight="1">
      <c r="A2" s="626" t="s">
        <v>20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  <c r="Z2" s="626"/>
      <c r="AA2" s="626"/>
      <c r="AB2" s="626"/>
      <c r="AC2" s="626"/>
      <c r="AD2" s="626"/>
      <c r="AE2" s="626"/>
      <c r="AF2" s="626"/>
      <c r="AG2" s="626"/>
      <c r="AH2" s="626"/>
      <c r="AI2" s="626"/>
      <c r="AJ2" s="626"/>
      <c r="AK2" s="626"/>
      <c r="AL2" s="626"/>
      <c r="AM2" s="626"/>
      <c r="AN2" s="626"/>
      <c r="AO2" s="303"/>
      <c r="AP2" s="303"/>
      <c r="AQ2" s="303"/>
      <c r="AR2" s="303"/>
      <c r="AS2" s="303"/>
    </row>
    <row r="3" spans="1:47" ht="12.75" customHeight="1">
      <c r="A3" s="303"/>
      <c r="B3" s="303"/>
      <c r="C3" s="303"/>
      <c r="D3" s="304"/>
      <c r="E3" s="305"/>
      <c r="F3" s="306"/>
      <c r="G3" s="307"/>
      <c r="H3" s="308"/>
      <c r="I3" s="309"/>
      <c r="J3" s="309"/>
      <c r="K3" s="309"/>
      <c r="L3" s="310"/>
      <c r="M3" s="309"/>
      <c r="N3" s="309"/>
      <c r="O3" s="309"/>
      <c r="P3" s="311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5"/>
      <c r="AP3" s="5"/>
      <c r="AQ3" s="303"/>
      <c r="AR3" s="303"/>
      <c r="AS3" s="303"/>
    </row>
    <row r="4" spans="1:47">
      <c r="A4" s="635" t="s">
        <v>7</v>
      </c>
      <c r="B4" s="638" t="s">
        <v>21</v>
      </c>
      <c r="C4" s="638" t="s">
        <v>22</v>
      </c>
      <c r="D4" s="627"/>
      <c r="E4" s="628"/>
      <c r="F4" s="628"/>
      <c r="G4" s="628"/>
      <c r="H4" s="628"/>
      <c r="I4" s="628"/>
      <c r="J4" s="628"/>
      <c r="K4" s="628"/>
      <c r="L4" s="628"/>
      <c r="M4" s="628"/>
      <c r="N4" s="628"/>
      <c r="O4" s="628"/>
      <c r="P4" s="628"/>
      <c r="Q4" s="628"/>
      <c r="R4" s="628"/>
      <c r="S4" s="628"/>
      <c r="T4" s="628"/>
      <c r="U4" s="628"/>
      <c r="V4" s="628"/>
      <c r="W4" s="628"/>
      <c r="X4" s="628"/>
      <c r="Y4" s="628"/>
      <c r="Z4" s="628"/>
      <c r="AA4" s="628"/>
      <c r="AB4" s="628"/>
      <c r="AC4" s="628"/>
      <c r="AD4" s="628"/>
      <c r="AE4" s="628"/>
      <c r="AF4" s="628"/>
      <c r="AG4" s="628"/>
      <c r="AH4" s="628"/>
      <c r="AI4" s="628"/>
      <c r="AJ4" s="628"/>
      <c r="AK4" s="628"/>
      <c r="AL4" s="628"/>
      <c r="AM4" s="628"/>
      <c r="AN4" s="629" t="s">
        <v>237</v>
      </c>
      <c r="AO4" s="630"/>
      <c r="AP4" s="631"/>
    </row>
    <row r="5" spans="1:47" ht="14.25" customHeight="1">
      <c r="A5" s="636"/>
      <c r="B5" s="639"/>
      <c r="C5" s="639"/>
      <c r="D5" s="641" t="s">
        <v>183</v>
      </c>
      <c r="E5" s="642"/>
      <c r="F5" s="642"/>
      <c r="G5" s="643"/>
      <c r="H5" s="650" t="s">
        <v>184</v>
      </c>
      <c r="I5" s="651"/>
      <c r="J5" s="651"/>
      <c r="K5" s="652"/>
      <c r="L5" s="653" t="s">
        <v>185</v>
      </c>
      <c r="M5" s="654"/>
      <c r="N5" s="654"/>
      <c r="O5" s="655"/>
      <c r="P5" s="656" t="s">
        <v>186</v>
      </c>
      <c r="Q5" s="657"/>
      <c r="R5" s="657"/>
      <c r="S5" s="658"/>
      <c r="T5" s="659" t="s">
        <v>298</v>
      </c>
      <c r="U5" s="659"/>
      <c r="V5" s="659"/>
      <c r="W5" s="659"/>
      <c r="X5" s="660" t="s">
        <v>299</v>
      </c>
      <c r="Y5" s="661"/>
      <c r="Z5" s="661"/>
      <c r="AA5" s="662"/>
      <c r="AB5" s="644" t="s">
        <v>300</v>
      </c>
      <c r="AC5" s="645"/>
      <c r="AD5" s="645"/>
      <c r="AE5" s="646"/>
      <c r="AF5" s="647" t="s">
        <v>301</v>
      </c>
      <c r="AG5" s="648"/>
      <c r="AH5" s="648"/>
      <c r="AI5" s="649"/>
      <c r="AJ5" s="663" t="s">
        <v>302</v>
      </c>
      <c r="AK5" s="664"/>
      <c r="AL5" s="664"/>
      <c r="AM5" s="665"/>
      <c r="AN5" s="632"/>
      <c r="AO5" s="633"/>
      <c r="AP5" s="634"/>
    </row>
    <row r="6" spans="1:47" ht="14.25" customHeight="1">
      <c r="A6" s="637"/>
      <c r="B6" s="640"/>
      <c r="C6" s="640"/>
      <c r="D6" s="483" t="s">
        <v>23</v>
      </c>
      <c r="E6" s="373" t="s">
        <v>24</v>
      </c>
      <c r="F6" s="374" t="s">
        <v>25</v>
      </c>
      <c r="G6" s="374" t="s">
        <v>26</v>
      </c>
      <c r="H6" s="484" t="s">
        <v>23</v>
      </c>
      <c r="I6" s="375" t="s">
        <v>24</v>
      </c>
      <c r="J6" s="376" t="s">
        <v>25</v>
      </c>
      <c r="K6" s="376" t="s">
        <v>26</v>
      </c>
      <c r="L6" s="485" t="s">
        <v>23</v>
      </c>
      <c r="M6" s="379" t="s">
        <v>24</v>
      </c>
      <c r="N6" s="380" t="s">
        <v>25</v>
      </c>
      <c r="O6" s="380" t="s">
        <v>26</v>
      </c>
      <c r="P6" s="486" t="s">
        <v>23</v>
      </c>
      <c r="Q6" s="382" t="s">
        <v>24</v>
      </c>
      <c r="R6" s="383" t="s">
        <v>25</v>
      </c>
      <c r="S6" s="383" t="s">
        <v>26</v>
      </c>
      <c r="T6" s="377" t="s">
        <v>23</v>
      </c>
      <c r="U6" s="487" t="s">
        <v>24</v>
      </c>
      <c r="V6" s="378" t="s">
        <v>25</v>
      </c>
      <c r="W6" s="378" t="s">
        <v>26</v>
      </c>
      <c r="X6" s="385" t="s">
        <v>23</v>
      </c>
      <c r="Y6" s="385" t="s">
        <v>24</v>
      </c>
      <c r="Z6" s="385" t="s">
        <v>25</v>
      </c>
      <c r="AA6" s="385" t="s">
        <v>26</v>
      </c>
      <c r="AB6" s="381" t="s">
        <v>23</v>
      </c>
      <c r="AC6" s="381" t="s">
        <v>24</v>
      </c>
      <c r="AD6" s="381" t="s">
        <v>25</v>
      </c>
      <c r="AE6" s="381" t="s">
        <v>26</v>
      </c>
      <c r="AF6" s="384" t="s">
        <v>23</v>
      </c>
      <c r="AG6" s="384" t="s">
        <v>24</v>
      </c>
      <c r="AH6" s="384" t="s">
        <v>25</v>
      </c>
      <c r="AI6" s="384" t="s">
        <v>26</v>
      </c>
      <c r="AJ6" s="386" t="s">
        <v>23</v>
      </c>
      <c r="AK6" s="386" t="s">
        <v>24</v>
      </c>
      <c r="AL6" s="386" t="s">
        <v>25</v>
      </c>
      <c r="AM6" s="386" t="s">
        <v>26</v>
      </c>
      <c r="AN6" s="387" t="s">
        <v>24</v>
      </c>
      <c r="AO6" s="388" t="s">
        <v>25</v>
      </c>
      <c r="AP6" s="388" t="s">
        <v>26</v>
      </c>
      <c r="AR6" s="391"/>
    </row>
    <row r="7" spans="1:47">
      <c r="A7" s="313"/>
      <c r="B7" s="314"/>
      <c r="C7" s="314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318"/>
      <c r="AO7" s="102"/>
      <c r="AP7" s="102"/>
    </row>
    <row r="8" spans="1:47" ht="15">
      <c r="A8" s="313">
        <f>+Report1!A9</f>
        <v>45931</v>
      </c>
      <c r="B8" s="321">
        <f>+Report1!P9</f>
        <v>28.605</v>
      </c>
      <c r="C8" s="321">
        <f>+Report1!R9</f>
        <v>18.686</v>
      </c>
      <c r="D8" s="322">
        <f>+D7+E8</f>
        <v>0</v>
      </c>
      <c r="E8" s="322"/>
      <c r="F8" s="322">
        <f t="shared" ref="F8:F38" si="0">E8/B8</f>
        <v>0</v>
      </c>
      <c r="G8" s="322">
        <f t="shared" ref="G8:G38" si="1">E8/C8</f>
        <v>0</v>
      </c>
      <c r="H8" s="322">
        <f>+H7+I8</f>
        <v>0</v>
      </c>
      <c r="I8" s="322">
        <v>0</v>
      </c>
      <c r="J8" s="322">
        <f t="shared" ref="J8:J38" si="2">I8/B8</f>
        <v>0</v>
      </c>
      <c r="K8" s="322">
        <f t="shared" ref="K8:K38" si="3">I8/C8</f>
        <v>0</v>
      </c>
      <c r="L8" s="322">
        <f>+L7+M8</f>
        <v>0</v>
      </c>
      <c r="M8" s="322"/>
      <c r="N8" s="322">
        <f t="shared" ref="N8:N38" si="4">M8/B8</f>
        <v>0</v>
      </c>
      <c r="O8" s="322">
        <f t="shared" ref="O8:O38" si="5">M8/C8</f>
        <v>0</v>
      </c>
      <c r="P8" s="322">
        <f>+P7+Q8</f>
        <v>0</v>
      </c>
      <c r="Q8" s="322"/>
      <c r="R8" s="322">
        <f t="shared" ref="R8:R38" si="6">Q8/B8</f>
        <v>0</v>
      </c>
      <c r="S8" s="322">
        <f t="shared" ref="S8:S38" si="7">Q8/C8</f>
        <v>0</v>
      </c>
      <c r="T8" s="322">
        <f>+T7+U8</f>
        <v>6818.6500000000224</v>
      </c>
      <c r="U8" s="322">
        <f>+[1]DailyOct!AT7</f>
        <v>6818.6500000000224</v>
      </c>
      <c r="V8" s="322">
        <f t="shared" ref="V8:V38" si="8">U8/B8</f>
        <v>238.37266212200743</v>
      </c>
      <c r="W8" s="322">
        <f t="shared" ref="W8:W38" si="9">U8/C8</f>
        <v>364.90688215776635</v>
      </c>
      <c r="X8" s="322">
        <f>+X7+Y8</f>
        <v>8000</v>
      </c>
      <c r="Y8" s="322">
        <f>+[1]DailyOct!AU7</f>
        <v>8000</v>
      </c>
      <c r="Z8" s="322">
        <f>Y8/B8</f>
        <v>279.67138612130748</v>
      </c>
      <c r="AA8" s="322">
        <f>Y8/C8</f>
        <v>428.12801027507226</v>
      </c>
      <c r="AB8" s="322">
        <f>+AB7+AC8</f>
        <v>8568.6500000003634</v>
      </c>
      <c r="AC8" s="322">
        <f>+[1]DailyOct!AV7</f>
        <v>8568.6500000003634</v>
      </c>
      <c r="AD8" s="322">
        <f>AC8/B8</f>
        <v>299.55077783605537</v>
      </c>
      <c r="AE8" s="396">
        <f>AC8/C8</f>
        <v>458.55988440545667</v>
      </c>
      <c r="AF8" s="322">
        <f>+AF7+AG8</f>
        <v>12937.3</v>
      </c>
      <c r="AG8" s="322">
        <f>+[1]DailyOct!AW7</f>
        <v>12937.3</v>
      </c>
      <c r="AH8" s="322">
        <f>AG8/B8</f>
        <v>452.27407795839883</v>
      </c>
      <c r="AI8" s="425">
        <f>AG8/C8</f>
        <v>692.35256341646152</v>
      </c>
      <c r="AJ8" s="322">
        <f>+AJ7+AK8</f>
        <v>1080</v>
      </c>
      <c r="AK8" s="322">
        <f>+[1]DailyOct!AX7</f>
        <v>1080</v>
      </c>
      <c r="AL8" s="322">
        <f>AK8/B8</f>
        <v>37.755637126376506</v>
      </c>
      <c r="AM8" s="425">
        <f>AK8/C8</f>
        <v>57.797281387134753</v>
      </c>
      <c r="AN8" s="322">
        <f>+E8+I8+M8+Q8+U8+Y8+AC8+AG8+AK8</f>
        <v>37404.600000000384</v>
      </c>
      <c r="AO8" s="6">
        <f t="shared" ref="AO8:AO38" si="10">AN8/B8</f>
        <v>1307.6245411641455</v>
      </c>
      <c r="AP8" s="320">
        <f t="shared" ref="AP8:AP38" si="11">AN8/C8</f>
        <v>2001.7446216418914</v>
      </c>
      <c r="AT8" s="392" t="s">
        <v>194</v>
      </c>
      <c r="AU8" s="392" t="s">
        <v>195</v>
      </c>
    </row>
    <row r="9" spans="1:47" ht="15">
      <c r="A9" s="313">
        <f t="shared" ref="A9:A38" si="12">A8+1</f>
        <v>45932</v>
      </c>
      <c r="B9" s="321">
        <f>+Report1!P10</f>
        <v>50.265999999999998</v>
      </c>
      <c r="C9" s="321">
        <f>+Report1!R10</f>
        <v>50.273000000000003</v>
      </c>
      <c r="D9" s="322">
        <f t="shared" ref="D9:D38" si="13">+D8+E9</f>
        <v>0</v>
      </c>
      <c r="E9" s="322"/>
      <c r="F9" s="322">
        <f t="shared" si="0"/>
        <v>0</v>
      </c>
      <c r="G9" s="322">
        <f t="shared" si="1"/>
        <v>0</v>
      </c>
      <c r="H9" s="322">
        <f t="shared" ref="H9:H38" si="14">+H8+I9</f>
        <v>0</v>
      </c>
      <c r="I9" s="322"/>
      <c r="J9" s="322">
        <f t="shared" si="2"/>
        <v>0</v>
      </c>
      <c r="K9" s="322">
        <f t="shared" si="3"/>
        <v>0</v>
      </c>
      <c r="L9" s="322">
        <f t="shared" ref="L9:L38" si="15">+L8+M9</f>
        <v>0</v>
      </c>
      <c r="M9" s="322"/>
      <c r="N9" s="322">
        <f t="shared" si="4"/>
        <v>0</v>
      </c>
      <c r="O9" s="322">
        <f t="shared" si="5"/>
        <v>0</v>
      </c>
      <c r="P9" s="322">
        <f t="shared" ref="P9:P38" si="16">+P8+Q9</f>
        <v>0</v>
      </c>
      <c r="Q9" s="322"/>
      <c r="R9" s="322">
        <f t="shared" si="6"/>
        <v>0</v>
      </c>
      <c r="S9" s="322">
        <f t="shared" si="7"/>
        <v>0</v>
      </c>
      <c r="T9" s="322">
        <f t="shared" ref="T9:T38" si="17">+T8+U9</f>
        <v>13895.739999999987</v>
      </c>
      <c r="U9" s="322">
        <f>+[1]DailyOct!AT8</f>
        <v>7077.0899999999656</v>
      </c>
      <c r="V9" s="322">
        <f t="shared" si="8"/>
        <v>140.79278239764386</v>
      </c>
      <c r="W9" s="322">
        <f t="shared" si="9"/>
        <v>140.77317844568586</v>
      </c>
      <c r="X9" s="322">
        <f t="shared" ref="X9:X38" si="18">+X8+Y9</f>
        <v>18000</v>
      </c>
      <c r="Y9" s="322">
        <f>+[1]DailyOct!AU8</f>
        <v>10000</v>
      </c>
      <c r="Z9" s="322">
        <f t="shared" ref="Z9:Z38" si="19">Y9/B9</f>
        <v>198.94163052560378</v>
      </c>
      <c r="AA9" s="322">
        <f t="shared" ref="AA9:AA38" si="20">Y9/C9</f>
        <v>198.91392994251387</v>
      </c>
      <c r="AB9" s="322">
        <f t="shared" ref="AB9:AB38" si="21">+AB8+AC9</f>
        <v>20945.739999999998</v>
      </c>
      <c r="AC9" s="322">
        <f>+[1]DailyOct!AV8</f>
        <v>12377.089999999636</v>
      </c>
      <c r="AD9" s="322">
        <f t="shared" ref="AD9:AD38" si="22">AC9/B9</f>
        <v>246.23184657620732</v>
      </c>
      <c r="AE9" s="396">
        <f t="shared" ref="AE9:AE38" si="23">AC9/C9</f>
        <v>246.19756131521166</v>
      </c>
      <c r="AF9" s="322">
        <f t="shared" ref="AF9:AF38" si="24">+AF8+AG9</f>
        <v>25891.48</v>
      </c>
      <c r="AG9" s="322">
        <f>+[1]DailyOct!AW8</f>
        <v>12954.18</v>
      </c>
      <c r="AH9" s="322">
        <f t="shared" ref="AH9:AH38" si="25">AG9/B9</f>
        <v>257.71256913221663</v>
      </c>
      <c r="AI9" s="425">
        <f t="shared" ref="AI9:AI38" si="26">AG9/C9</f>
        <v>257.67668529827142</v>
      </c>
      <c r="AJ9" s="322">
        <f t="shared" ref="AJ9:AJ38" si="27">+AJ8+AK9</f>
        <v>2790</v>
      </c>
      <c r="AK9" s="322">
        <f>+[1]DailyOct!AX8</f>
        <v>1710</v>
      </c>
      <c r="AL9" s="322">
        <f t="shared" ref="AL9:AL38" si="28">AK9/B9</f>
        <v>34.019018819878248</v>
      </c>
      <c r="AM9" s="425">
        <f t="shared" ref="AM9:AM38" si="29">AK9/C9</f>
        <v>34.014282020169873</v>
      </c>
      <c r="AN9" s="322">
        <f t="shared" ref="AN9:AN38" si="30">+E9+I9+M9+Q9+U9+Y9+AC9+AG9+AK9</f>
        <v>44118.359999999608</v>
      </c>
      <c r="AO9" s="319">
        <f t="shared" si="10"/>
        <v>877.69784745154993</v>
      </c>
      <c r="AP9" s="320">
        <f t="shared" si="11"/>
        <v>877.5756370218528</v>
      </c>
      <c r="AT9" s="392" t="s">
        <v>196</v>
      </c>
      <c r="AU9" s="392" t="s">
        <v>196</v>
      </c>
    </row>
    <row r="10" spans="1:47" ht="15">
      <c r="A10" s="313">
        <f t="shared" si="12"/>
        <v>45933</v>
      </c>
      <c r="B10" s="321">
        <f>+Report1!P11</f>
        <v>49.029000000000003</v>
      </c>
      <c r="C10" s="321">
        <f>+Report1!R11</f>
        <v>42.622</v>
      </c>
      <c r="D10" s="322">
        <f>+D9+E10</f>
        <v>0</v>
      </c>
      <c r="E10" s="322"/>
      <c r="F10" s="322">
        <f>E10/B10</f>
        <v>0</v>
      </c>
      <c r="G10" s="322">
        <f>E10/C10</f>
        <v>0</v>
      </c>
      <c r="H10" s="322">
        <f>+H9+I10</f>
        <v>0</v>
      </c>
      <c r="I10" s="322"/>
      <c r="J10" s="322">
        <f>I10/B10</f>
        <v>0</v>
      </c>
      <c r="K10" s="322">
        <f>I10/C10</f>
        <v>0</v>
      </c>
      <c r="L10" s="322">
        <f>+L9+M10</f>
        <v>0</v>
      </c>
      <c r="M10" s="322"/>
      <c r="N10" s="322">
        <f>M10/B10</f>
        <v>0</v>
      </c>
      <c r="O10" s="322">
        <f>M10/C10</f>
        <v>0</v>
      </c>
      <c r="P10" s="322">
        <f>+P9+Q10</f>
        <v>0</v>
      </c>
      <c r="Q10" s="322"/>
      <c r="R10" s="322">
        <f>Q10/B10</f>
        <v>0</v>
      </c>
      <c r="S10" s="322">
        <f>Q10/C10</f>
        <v>0</v>
      </c>
      <c r="T10" s="322">
        <f>+T9+U10</f>
        <v>20731.85000000002</v>
      </c>
      <c r="U10" s="322">
        <f>+[1]DailyOct!AT9</f>
        <v>6836.1100000000333</v>
      </c>
      <c r="V10" s="322">
        <f>U10/B10</f>
        <v>139.42992922556104</v>
      </c>
      <c r="W10" s="322">
        <f>U10/C10</f>
        <v>160.38923560602584</v>
      </c>
      <c r="X10" s="322">
        <f>+X9+Y10</f>
        <v>32000</v>
      </c>
      <c r="Y10" s="322">
        <f>+[1]DailyOct!AU9</f>
        <v>14000</v>
      </c>
      <c r="Z10" s="322">
        <f>Y10/B10</f>
        <v>285.54528952252747</v>
      </c>
      <c r="AA10" s="322">
        <f>Y10/C10</f>
        <v>328.46886584393036</v>
      </c>
      <c r="AB10" s="322">
        <f>+AB9+AC10</f>
        <v>30631.85</v>
      </c>
      <c r="AC10" s="322">
        <f>+[1]DailyOct!AV9</f>
        <v>9686.11</v>
      </c>
      <c r="AD10" s="322">
        <f>AC10/B10</f>
        <v>197.55879173550346</v>
      </c>
      <c r="AE10" s="396">
        <f>AC10/C10</f>
        <v>227.25611186711089</v>
      </c>
      <c r="AF10" s="322">
        <f>+AF9+AG10</f>
        <v>39263.699999999997</v>
      </c>
      <c r="AG10" s="322">
        <f>+[1]DailyOct!AW9</f>
        <v>13372.220000000001</v>
      </c>
      <c r="AH10" s="322">
        <f>AG10/B10</f>
        <v>272.74103081849518</v>
      </c>
      <c r="AI10" s="425">
        <f>AG10/C10</f>
        <v>313.73985265825161</v>
      </c>
      <c r="AJ10" s="322">
        <f>+AJ9+AK10</f>
        <v>4050</v>
      </c>
      <c r="AK10" s="322">
        <f>+[1]DailyOct!AX9</f>
        <v>1260</v>
      </c>
      <c r="AL10" s="322">
        <f>AK10/B10</f>
        <v>25.699076057027472</v>
      </c>
      <c r="AM10" s="425">
        <f>AK10/C10</f>
        <v>29.562197925953733</v>
      </c>
      <c r="AN10" s="322">
        <f>+E10+I10+M10+Q10+U10+Y10+AC10+AG10+AK10</f>
        <v>45154.440000000031</v>
      </c>
      <c r="AO10" s="319">
        <f>AN10/B10</f>
        <v>920.97411735911453</v>
      </c>
      <c r="AP10" s="320">
        <f>AN10/C10</f>
        <v>1059.4162639012725</v>
      </c>
      <c r="AT10" s="392" t="s">
        <v>196</v>
      </c>
      <c r="AU10" s="392" t="s">
        <v>196</v>
      </c>
    </row>
    <row r="11" spans="1:47">
      <c r="A11" s="313">
        <f t="shared" si="12"/>
        <v>45934</v>
      </c>
      <c r="B11" s="321">
        <f>+Report1!P12</f>
        <v>48.988</v>
      </c>
      <c r="C11" s="321">
        <f>+Report1!R12</f>
        <v>46.850999999999999</v>
      </c>
      <c r="D11" s="322">
        <f t="shared" si="13"/>
        <v>0</v>
      </c>
      <c r="E11" s="322"/>
      <c r="F11" s="322">
        <f t="shared" si="0"/>
        <v>0</v>
      </c>
      <c r="G11" s="322">
        <f t="shared" si="1"/>
        <v>0</v>
      </c>
      <c r="H11" s="322">
        <f t="shared" si="14"/>
        <v>0</v>
      </c>
      <c r="I11" s="322"/>
      <c r="J11" s="322">
        <f t="shared" si="2"/>
        <v>0</v>
      </c>
      <c r="K11" s="322">
        <f t="shared" si="3"/>
        <v>0</v>
      </c>
      <c r="L11" s="322">
        <f t="shared" si="15"/>
        <v>0</v>
      </c>
      <c r="M11" s="322"/>
      <c r="N11" s="322">
        <f t="shared" si="4"/>
        <v>0</v>
      </c>
      <c r="O11" s="322">
        <f t="shared" si="5"/>
        <v>0</v>
      </c>
      <c r="P11" s="322">
        <f t="shared" si="16"/>
        <v>0</v>
      </c>
      <c r="Q11" s="322"/>
      <c r="R11" s="322">
        <f t="shared" si="6"/>
        <v>0</v>
      </c>
      <c r="S11" s="322">
        <f t="shared" si="7"/>
        <v>0</v>
      </c>
      <c r="T11" s="322">
        <f t="shared" si="17"/>
        <v>26995.07</v>
      </c>
      <c r="U11" s="322">
        <f>+[1]DailyOct!AT10</f>
        <v>6263.2199999999775</v>
      </c>
      <c r="V11" s="322">
        <f t="shared" si="8"/>
        <v>127.85212705152236</v>
      </c>
      <c r="W11" s="322">
        <f t="shared" si="9"/>
        <v>133.6838061087272</v>
      </c>
      <c r="X11" s="322">
        <f t="shared" si="18"/>
        <v>50000</v>
      </c>
      <c r="Y11" s="322">
        <f>+[1]DailyOct!AU10</f>
        <v>18000</v>
      </c>
      <c r="Z11" s="322">
        <f t="shared" si="19"/>
        <v>367.43692332816198</v>
      </c>
      <c r="AA11" s="322">
        <f t="shared" si="20"/>
        <v>384.19670871486204</v>
      </c>
      <c r="AB11" s="322">
        <f t="shared" si="21"/>
        <v>41445.069999999818</v>
      </c>
      <c r="AC11" s="322">
        <f>+[1]DailyOct!AV10</f>
        <v>10813.219999999817</v>
      </c>
      <c r="AD11" s="322">
        <f t="shared" si="22"/>
        <v>220.73201600391559</v>
      </c>
      <c r="AE11" s="396">
        <f t="shared" si="23"/>
        <v>230.80019636720277</v>
      </c>
      <c r="AF11" s="322">
        <f t="shared" si="24"/>
        <v>52490.14</v>
      </c>
      <c r="AG11" s="322">
        <f>+[1]DailyOct!AW10</f>
        <v>13226.439999999999</v>
      </c>
      <c r="AH11" s="322">
        <f t="shared" si="25"/>
        <v>269.9934677880297</v>
      </c>
      <c r="AI11" s="425">
        <f t="shared" si="26"/>
        <v>282.3085953341444</v>
      </c>
      <c r="AJ11" s="322">
        <f t="shared" si="27"/>
        <v>5790</v>
      </c>
      <c r="AK11" s="322">
        <f>+[1]DailyOct!AX10</f>
        <v>1740</v>
      </c>
      <c r="AL11" s="322">
        <f t="shared" si="28"/>
        <v>35.518902588388997</v>
      </c>
      <c r="AM11" s="425">
        <f t="shared" si="29"/>
        <v>37.139015175769998</v>
      </c>
      <c r="AN11" s="322">
        <f t="shared" si="30"/>
        <v>50042.879999999801</v>
      </c>
      <c r="AO11" s="319">
        <f t="shared" si="10"/>
        <v>1021.5334367600188</v>
      </c>
      <c r="AP11" s="320">
        <f t="shared" si="11"/>
        <v>1068.1283217007065</v>
      </c>
      <c r="AR11" s="19"/>
      <c r="AS11" t="s">
        <v>184</v>
      </c>
      <c r="AT11" s="13">
        <f>+J39</f>
        <v>0</v>
      </c>
      <c r="AU11" s="13">
        <f>+K39</f>
        <v>0</v>
      </c>
    </row>
    <row r="12" spans="1:47">
      <c r="A12" s="313">
        <f t="shared" si="12"/>
        <v>45935</v>
      </c>
      <c r="B12" s="321">
        <f>+Report1!P13</f>
        <v>45.582000000000001</v>
      </c>
      <c r="C12" s="321">
        <f>+Report1!R13</f>
        <v>42.722000000000001</v>
      </c>
      <c r="D12" s="322">
        <f t="shared" si="13"/>
        <v>0</v>
      </c>
      <c r="E12" s="322"/>
      <c r="F12" s="322">
        <f t="shared" si="0"/>
        <v>0</v>
      </c>
      <c r="G12" s="322">
        <f t="shared" si="1"/>
        <v>0</v>
      </c>
      <c r="H12" s="322">
        <f t="shared" si="14"/>
        <v>0</v>
      </c>
      <c r="I12" s="322"/>
      <c r="J12" s="322">
        <f t="shared" si="2"/>
        <v>0</v>
      </c>
      <c r="K12" s="322">
        <f t="shared" si="3"/>
        <v>0</v>
      </c>
      <c r="L12" s="322">
        <f t="shared" si="15"/>
        <v>0</v>
      </c>
      <c r="M12" s="322"/>
      <c r="N12" s="322">
        <f t="shared" si="4"/>
        <v>0</v>
      </c>
      <c r="O12" s="322">
        <f t="shared" si="5"/>
        <v>0</v>
      </c>
      <c r="P12" s="322">
        <f t="shared" si="16"/>
        <v>0</v>
      </c>
      <c r="Q12" s="322"/>
      <c r="R12" s="322">
        <f t="shared" si="6"/>
        <v>0</v>
      </c>
      <c r="S12" s="322">
        <f t="shared" si="7"/>
        <v>0</v>
      </c>
      <c r="T12" s="322">
        <f t="shared" si="17"/>
        <v>34055.30999999999</v>
      </c>
      <c r="U12" s="322">
        <f>+[1]DailyOct!AT11</f>
        <v>7060.2399999999889</v>
      </c>
      <c r="V12" s="322">
        <f t="shared" si="8"/>
        <v>154.89096573208698</v>
      </c>
      <c r="W12" s="322">
        <f>U12/C12</f>
        <v>165.26005336828774</v>
      </c>
      <c r="X12" s="322">
        <f t="shared" si="18"/>
        <v>66000</v>
      </c>
      <c r="Y12" s="322">
        <f>+[1]DailyOct!AU11</f>
        <v>16000</v>
      </c>
      <c r="Z12" s="322">
        <f t="shared" si="19"/>
        <v>351.01575183186344</v>
      </c>
      <c r="AA12" s="322">
        <f t="shared" si="20"/>
        <v>374.51430176489862</v>
      </c>
      <c r="AB12" s="322">
        <f t="shared" si="21"/>
        <v>51905.31000000018</v>
      </c>
      <c r="AC12" s="322">
        <f>+[1]DailyOct!AV11</f>
        <v>10460.240000000364</v>
      </c>
      <c r="AD12" s="322">
        <f t="shared" si="22"/>
        <v>229.48181299636619</v>
      </c>
      <c r="AE12" s="396">
        <f t="shared" si="23"/>
        <v>244.84434249333748</v>
      </c>
      <c r="AF12" s="322">
        <f t="shared" si="24"/>
        <v>66210.62</v>
      </c>
      <c r="AG12" s="322">
        <f>+[1]DailyOct!AW11</f>
        <v>13720.48</v>
      </c>
      <c r="AH12" s="322">
        <f t="shared" si="25"/>
        <v>301.00653766837786</v>
      </c>
      <c r="AI12" s="425">
        <f t="shared" si="26"/>
        <v>321.15724919245349</v>
      </c>
      <c r="AJ12" s="322">
        <f t="shared" si="27"/>
        <v>7290</v>
      </c>
      <c r="AK12" s="322">
        <f>+[1]DailyOct!AX11</f>
        <v>1500</v>
      </c>
      <c r="AL12" s="322">
        <f t="shared" si="28"/>
        <v>32.907726734237201</v>
      </c>
      <c r="AM12" s="425">
        <f t="shared" si="29"/>
        <v>35.110715790459246</v>
      </c>
      <c r="AN12" s="322">
        <f t="shared" si="30"/>
        <v>48740.960000000356</v>
      </c>
      <c r="AO12" s="319">
        <f t="shared" si="10"/>
        <v>1069.3027949629318</v>
      </c>
      <c r="AP12" s="320">
        <f t="shared" si="11"/>
        <v>1140.8866626094366</v>
      </c>
      <c r="AR12" s="19"/>
      <c r="AS12" t="s">
        <v>185</v>
      </c>
      <c r="AT12" s="13">
        <f>+N39</f>
        <v>0</v>
      </c>
      <c r="AU12" s="13">
        <f>+O39</f>
        <v>0</v>
      </c>
    </row>
    <row r="13" spans="1:47">
      <c r="A13" s="313">
        <f t="shared" si="12"/>
        <v>45936</v>
      </c>
      <c r="B13" s="321">
        <f>+Report1!P14</f>
        <v>45.805999999999997</v>
      </c>
      <c r="C13" s="321">
        <f>+Report1!R14</f>
        <v>44.848999999999997</v>
      </c>
      <c r="D13" s="322">
        <f t="shared" si="13"/>
        <v>0</v>
      </c>
      <c r="E13" s="322"/>
      <c r="F13" s="322">
        <f t="shared" si="0"/>
        <v>0</v>
      </c>
      <c r="G13" s="322">
        <f t="shared" si="1"/>
        <v>0</v>
      </c>
      <c r="H13" s="322">
        <f t="shared" si="14"/>
        <v>0</v>
      </c>
      <c r="I13" s="322"/>
      <c r="J13" s="322">
        <f t="shared" si="2"/>
        <v>0</v>
      </c>
      <c r="K13" s="322">
        <f t="shared" si="3"/>
        <v>0</v>
      </c>
      <c r="L13" s="322">
        <f t="shared" si="15"/>
        <v>0</v>
      </c>
      <c r="M13" s="322"/>
      <c r="N13" s="322">
        <f t="shared" si="4"/>
        <v>0</v>
      </c>
      <c r="O13" s="322">
        <f t="shared" si="5"/>
        <v>0</v>
      </c>
      <c r="P13" s="322">
        <f t="shared" si="16"/>
        <v>0</v>
      </c>
      <c r="Q13" s="322"/>
      <c r="R13" s="322">
        <f t="shared" si="6"/>
        <v>0</v>
      </c>
      <c r="S13" s="322">
        <f t="shared" si="7"/>
        <v>0</v>
      </c>
      <c r="T13" s="322">
        <f t="shared" si="17"/>
        <v>41667.680000000008</v>
      </c>
      <c r="U13" s="322">
        <f>+[1]DailyOct!AT12</f>
        <v>7612.370000000019</v>
      </c>
      <c r="V13" s="322">
        <f t="shared" si="8"/>
        <v>166.18718071868358</v>
      </c>
      <c r="W13" s="322">
        <f t="shared" si="9"/>
        <v>169.73332738745611</v>
      </c>
      <c r="X13" s="322">
        <f t="shared" si="18"/>
        <v>83000</v>
      </c>
      <c r="Y13" s="322">
        <f>+[1]DailyOct!AU12</f>
        <v>17000</v>
      </c>
      <c r="Z13" s="322">
        <f t="shared" si="19"/>
        <v>371.13041959568619</v>
      </c>
      <c r="AA13" s="322">
        <f t="shared" si="20"/>
        <v>379.0497001047961</v>
      </c>
      <c r="AB13" s="322">
        <f t="shared" si="21"/>
        <v>62487.68</v>
      </c>
      <c r="AC13" s="322">
        <f>+[1]DailyOct!AV12</f>
        <v>10582.369999999819</v>
      </c>
      <c r="AD13" s="322">
        <f t="shared" si="22"/>
        <v>231.02584814216084</v>
      </c>
      <c r="AE13" s="396">
        <f t="shared" si="23"/>
        <v>235.95553969987782</v>
      </c>
      <c r="AF13" s="322">
        <f t="shared" si="24"/>
        <v>79975.360000000001</v>
      </c>
      <c r="AG13" s="322">
        <f>+[1]DailyOct!AW12</f>
        <v>13764.740000000002</v>
      </c>
      <c r="AH13" s="322">
        <f t="shared" si="25"/>
        <v>300.50080775444269</v>
      </c>
      <c r="AI13" s="425">
        <f t="shared" si="26"/>
        <v>306.91297464826425</v>
      </c>
      <c r="AJ13" s="322">
        <f t="shared" si="27"/>
        <v>9030</v>
      </c>
      <c r="AK13" s="322">
        <f>+[1]DailyOct!AX12</f>
        <v>1740</v>
      </c>
      <c r="AL13" s="322">
        <f t="shared" si="28"/>
        <v>37.986290005676118</v>
      </c>
      <c r="AM13" s="425">
        <f t="shared" si="29"/>
        <v>38.796851657785012</v>
      </c>
      <c r="AN13" s="322">
        <f t="shared" si="30"/>
        <v>50699.479999999836</v>
      </c>
      <c r="AO13" s="319">
        <f t="shared" si="10"/>
        <v>1106.8305462166493</v>
      </c>
      <c r="AP13" s="320">
        <f t="shared" si="11"/>
        <v>1130.4483934981793</v>
      </c>
      <c r="AR13" s="19"/>
      <c r="AS13" t="s">
        <v>186</v>
      </c>
      <c r="AT13" s="13">
        <f>+R39</f>
        <v>0</v>
      </c>
      <c r="AU13" s="13">
        <f>+S39</f>
        <v>0</v>
      </c>
    </row>
    <row r="14" spans="1:47">
      <c r="A14" s="313">
        <f t="shared" si="12"/>
        <v>45937</v>
      </c>
      <c r="B14" s="321">
        <f>+Report1!P15</f>
        <v>46.744999999999997</v>
      </c>
      <c r="C14" s="321">
        <f>+Report1!R15</f>
        <v>44.094999999999999</v>
      </c>
      <c r="D14" s="322">
        <f t="shared" si="13"/>
        <v>0</v>
      </c>
      <c r="E14" s="322"/>
      <c r="F14" s="322">
        <f t="shared" si="0"/>
        <v>0</v>
      </c>
      <c r="G14" s="322">
        <f t="shared" si="1"/>
        <v>0</v>
      </c>
      <c r="H14" s="322">
        <f t="shared" si="14"/>
        <v>0</v>
      </c>
      <c r="I14" s="322"/>
      <c r="J14" s="322">
        <f t="shared" si="2"/>
        <v>0</v>
      </c>
      <c r="K14" s="322">
        <f t="shared" si="3"/>
        <v>0</v>
      </c>
      <c r="L14" s="322">
        <f t="shared" si="15"/>
        <v>0</v>
      </c>
      <c r="M14" s="322"/>
      <c r="N14" s="322">
        <f t="shared" si="4"/>
        <v>0</v>
      </c>
      <c r="O14" s="322">
        <f t="shared" si="5"/>
        <v>0</v>
      </c>
      <c r="P14" s="322">
        <f t="shared" si="16"/>
        <v>0</v>
      </c>
      <c r="Q14" s="322"/>
      <c r="R14" s="322">
        <f t="shared" si="6"/>
        <v>0</v>
      </c>
      <c r="S14" s="322">
        <f t="shared" si="7"/>
        <v>0</v>
      </c>
      <c r="T14" s="322">
        <f t="shared" si="17"/>
        <v>49399.32999999998</v>
      </c>
      <c r="U14" s="322">
        <f>+[1]DailyOct!AT13</f>
        <v>7731.6499999999705</v>
      </c>
      <c r="V14" s="322">
        <f t="shared" si="8"/>
        <v>165.40057760188193</v>
      </c>
      <c r="W14" s="322">
        <f t="shared" si="9"/>
        <v>175.34074158067742</v>
      </c>
      <c r="X14" s="322">
        <f t="shared" si="18"/>
        <v>101000</v>
      </c>
      <c r="Y14" s="322">
        <f>+[1]DailyOct!AU13</f>
        <v>18000</v>
      </c>
      <c r="Z14" s="322">
        <f t="shared" si="19"/>
        <v>385.06792170285593</v>
      </c>
      <c r="AA14" s="322">
        <f t="shared" si="20"/>
        <v>408.20954756775143</v>
      </c>
      <c r="AB14" s="322">
        <f t="shared" si="21"/>
        <v>74174.330000000176</v>
      </c>
      <c r="AC14" s="322">
        <f>+[1]DailyOct!AV13</f>
        <v>11686.650000000182</v>
      </c>
      <c r="AD14" s="322">
        <f t="shared" si="22"/>
        <v>250.00855706493061</v>
      </c>
      <c r="AE14" s="396">
        <f t="shared" si="23"/>
        <v>265.03345050459649</v>
      </c>
      <c r="AF14" s="322">
        <f t="shared" si="24"/>
        <v>95748.66</v>
      </c>
      <c r="AG14" s="322">
        <f>+[1]DailyOct!AW13</f>
        <v>15773.3</v>
      </c>
      <c r="AH14" s="322">
        <f t="shared" si="25"/>
        <v>337.43288052198096</v>
      </c>
      <c r="AI14" s="425">
        <f t="shared" si="26"/>
        <v>357.71175870280075</v>
      </c>
      <c r="AJ14" s="322">
        <f t="shared" si="27"/>
        <v>10960</v>
      </c>
      <c r="AK14" s="322">
        <f>+[1]DailyOct!AX13</f>
        <v>1930</v>
      </c>
      <c r="AL14" s="322">
        <f t="shared" si="28"/>
        <v>41.287838271472886</v>
      </c>
      <c r="AM14" s="425">
        <f t="shared" si="29"/>
        <v>43.769134822542242</v>
      </c>
      <c r="AN14" s="322">
        <f t="shared" si="30"/>
        <v>55121.600000000151</v>
      </c>
      <c r="AO14" s="319">
        <f t="shared" si="10"/>
        <v>1179.1977751631223</v>
      </c>
      <c r="AP14" s="320">
        <f t="shared" si="11"/>
        <v>1250.0646331783685</v>
      </c>
      <c r="AR14" s="19"/>
      <c r="AS14" t="s">
        <v>187</v>
      </c>
      <c r="AT14" s="13">
        <f>+V39</f>
        <v>0</v>
      </c>
      <c r="AU14" s="13">
        <f>+W39</f>
        <v>0</v>
      </c>
    </row>
    <row r="15" spans="1:47">
      <c r="A15" s="313">
        <f t="shared" si="12"/>
        <v>45938</v>
      </c>
      <c r="B15" s="321">
        <f>+Report1!P16</f>
        <v>50.239999999999995</v>
      </c>
      <c r="C15" s="321">
        <f>+Report1!R16</f>
        <v>47.835000000000001</v>
      </c>
      <c r="D15" s="322">
        <f t="shared" si="13"/>
        <v>0</v>
      </c>
      <c r="E15" s="322"/>
      <c r="F15" s="322">
        <f t="shared" si="0"/>
        <v>0</v>
      </c>
      <c r="G15" s="322">
        <f t="shared" si="1"/>
        <v>0</v>
      </c>
      <c r="H15" s="322">
        <f t="shared" si="14"/>
        <v>0</v>
      </c>
      <c r="I15" s="322"/>
      <c r="J15" s="322">
        <f t="shared" si="2"/>
        <v>0</v>
      </c>
      <c r="K15" s="322">
        <f t="shared" si="3"/>
        <v>0</v>
      </c>
      <c r="L15" s="322">
        <f t="shared" si="15"/>
        <v>0</v>
      </c>
      <c r="M15" s="322"/>
      <c r="N15" s="322">
        <f t="shared" si="4"/>
        <v>0</v>
      </c>
      <c r="O15" s="322">
        <f t="shared" si="5"/>
        <v>0</v>
      </c>
      <c r="P15" s="322">
        <f t="shared" si="16"/>
        <v>0</v>
      </c>
      <c r="Q15" s="322"/>
      <c r="R15" s="322">
        <f t="shared" si="6"/>
        <v>0</v>
      </c>
      <c r="S15" s="322">
        <f t="shared" si="7"/>
        <v>0</v>
      </c>
      <c r="T15" s="322">
        <f t="shared" si="17"/>
        <v>56076.460000000021</v>
      </c>
      <c r="U15" s="322">
        <f>+[1]DailyOct!AT14</f>
        <v>6677.130000000041</v>
      </c>
      <c r="V15" s="322">
        <f t="shared" si="8"/>
        <v>132.90465764331293</v>
      </c>
      <c r="W15" s="322">
        <f t="shared" si="9"/>
        <v>139.58670429601841</v>
      </c>
      <c r="X15" s="322">
        <f t="shared" si="18"/>
        <v>117000</v>
      </c>
      <c r="Y15" s="322">
        <f>+[1]DailyOct!AU14</f>
        <v>16000</v>
      </c>
      <c r="Z15" s="322">
        <f t="shared" si="19"/>
        <v>318.47133757961785</v>
      </c>
      <c r="AA15" s="322">
        <f t="shared" si="20"/>
        <v>334.48311905508518</v>
      </c>
      <c r="AB15" s="322">
        <f t="shared" si="21"/>
        <v>84446.460000000356</v>
      </c>
      <c r="AC15" s="322">
        <f>+[1]DailyOct!AV14</f>
        <v>10272.130000000181</v>
      </c>
      <c r="AD15" s="322">
        <f t="shared" si="22"/>
        <v>204.46118630573611</v>
      </c>
      <c r="AE15" s="396">
        <f t="shared" si="23"/>
        <v>214.7408801087108</v>
      </c>
      <c r="AF15" s="322">
        <f t="shared" si="24"/>
        <v>109692.92</v>
      </c>
      <c r="AG15" s="322">
        <f>+[1]DailyOct!AW14</f>
        <v>13944.259999999998</v>
      </c>
      <c r="AH15" s="322">
        <f t="shared" si="25"/>
        <v>277.55294585987258</v>
      </c>
      <c r="AI15" s="425">
        <f t="shared" si="26"/>
        <v>291.50747360719134</v>
      </c>
      <c r="AJ15" s="322">
        <f t="shared" si="27"/>
        <v>12520</v>
      </c>
      <c r="AK15" s="322">
        <f>+[1]DailyOct!AX14</f>
        <v>1560</v>
      </c>
      <c r="AL15" s="322">
        <f t="shared" si="28"/>
        <v>31.050955414012741</v>
      </c>
      <c r="AM15" s="425">
        <f t="shared" si="29"/>
        <v>32.612104107870806</v>
      </c>
      <c r="AN15" s="322">
        <f t="shared" si="30"/>
        <v>48453.520000000222</v>
      </c>
      <c r="AO15" s="319">
        <f t="shared" si="10"/>
        <v>964.44108280255227</v>
      </c>
      <c r="AP15" s="320">
        <f t="shared" si="11"/>
        <v>1012.9302811748765</v>
      </c>
      <c r="AR15" s="19"/>
      <c r="AS15" t="s">
        <v>188</v>
      </c>
      <c r="AT15" s="13">
        <f>+Z39</f>
        <v>0</v>
      </c>
      <c r="AU15" s="13">
        <f>+AA39</f>
        <v>0</v>
      </c>
    </row>
    <row r="16" spans="1:47">
      <c r="A16" s="313">
        <f t="shared" si="12"/>
        <v>45939</v>
      </c>
      <c r="B16" s="321">
        <f>+Report1!P17</f>
        <v>53.849000000000004</v>
      </c>
      <c r="C16" s="321">
        <f>+Report1!R17</f>
        <v>56.942999999999998</v>
      </c>
      <c r="D16" s="322">
        <f t="shared" si="13"/>
        <v>0</v>
      </c>
      <c r="E16" s="322"/>
      <c r="F16" s="322">
        <f t="shared" si="0"/>
        <v>0</v>
      </c>
      <c r="G16" s="322">
        <f t="shared" si="1"/>
        <v>0</v>
      </c>
      <c r="H16" s="322">
        <f t="shared" si="14"/>
        <v>0</v>
      </c>
      <c r="I16" s="322"/>
      <c r="J16" s="322">
        <f t="shared" si="2"/>
        <v>0</v>
      </c>
      <c r="K16" s="322">
        <f t="shared" si="3"/>
        <v>0</v>
      </c>
      <c r="L16" s="322">
        <f t="shared" si="15"/>
        <v>0</v>
      </c>
      <c r="M16" s="322"/>
      <c r="N16" s="322">
        <f t="shared" si="4"/>
        <v>0</v>
      </c>
      <c r="O16" s="322">
        <f t="shared" si="5"/>
        <v>0</v>
      </c>
      <c r="P16" s="322">
        <f t="shared" si="16"/>
        <v>0</v>
      </c>
      <c r="Q16" s="322"/>
      <c r="R16" s="322">
        <f t="shared" si="6"/>
        <v>0</v>
      </c>
      <c r="S16" s="322">
        <f t="shared" si="7"/>
        <v>0</v>
      </c>
      <c r="T16" s="322">
        <f t="shared" si="17"/>
        <v>62696.39</v>
      </c>
      <c r="U16" s="322">
        <f>+[1]DailyOct!AT15</f>
        <v>6619.9299999999748</v>
      </c>
      <c r="V16" s="322">
        <f t="shared" si="8"/>
        <v>122.93505914687319</v>
      </c>
      <c r="W16" s="322">
        <f t="shared" si="9"/>
        <v>116.2553781852023</v>
      </c>
      <c r="X16" s="322">
        <f t="shared" si="18"/>
        <v>135000</v>
      </c>
      <c r="Y16" s="322">
        <f>+[1]DailyOct!AU15</f>
        <v>18000</v>
      </c>
      <c r="Z16" s="322">
        <f t="shared" si="19"/>
        <v>334.26804583186316</v>
      </c>
      <c r="AA16" s="322">
        <f t="shared" si="20"/>
        <v>316.105579263474</v>
      </c>
      <c r="AB16" s="322">
        <f t="shared" si="21"/>
        <v>95176.390000000174</v>
      </c>
      <c r="AC16" s="322">
        <f>+[1]DailyOct!AV15</f>
        <v>10729.929999999818</v>
      </c>
      <c r="AD16" s="322">
        <f t="shared" si="22"/>
        <v>199.25959627847902</v>
      </c>
      <c r="AE16" s="396">
        <f t="shared" si="23"/>
        <v>188.4328187836928</v>
      </c>
      <c r="AF16" s="322">
        <f t="shared" si="24"/>
        <v>131752.78</v>
      </c>
      <c r="AG16" s="322">
        <f>+[1]DailyOct!AW15</f>
        <v>22059.86</v>
      </c>
      <c r="AH16" s="322">
        <f t="shared" si="25"/>
        <v>409.66146075136027</v>
      </c>
      <c r="AI16" s="425">
        <f t="shared" si="26"/>
        <v>387.40249020950779</v>
      </c>
      <c r="AJ16" s="322">
        <f t="shared" si="27"/>
        <v>14270</v>
      </c>
      <c r="AK16" s="322">
        <f>+[1]DailyOct!AX15</f>
        <v>1750</v>
      </c>
      <c r="AL16" s="322">
        <f t="shared" si="28"/>
        <v>32.498282233653363</v>
      </c>
      <c r="AM16" s="425">
        <f t="shared" si="29"/>
        <v>30.73248687283775</v>
      </c>
      <c r="AN16" s="322">
        <f t="shared" si="30"/>
        <v>59159.719999999797</v>
      </c>
      <c r="AO16" s="319">
        <f t="shared" si="10"/>
        <v>1098.622444242229</v>
      </c>
      <c r="AP16" s="320">
        <f t="shared" si="11"/>
        <v>1038.9287533147146</v>
      </c>
      <c r="AR16" s="19"/>
      <c r="AT16" s="17">
        <f>SUM(AT10:AT15)</f>
        <v>0</v>
      </c>
      <c r="AU16" s="17">
        <f>SUM(AU10:AU15)</f>
        <v>0</v>
      </c>
    </row>
    <row r="17" spans="1:47">
      <c r="A17" s="313">
        <f t="shared" si="12"/>
        <v>45940</v>
      </c>
      <c r="B17" s="321">
        <f>+Report1!P18</f>
        <v>49.89800000000001</v>
      </c>
      <c r="C17" s="321">
        <f>+Report1!R18</f>
        <v>40.125</v>
      </c>
      <c r="D17" s="322">
        <f t="shared" si="13"/>
        <v>0</v>
      </c>
      <c r="E17" s="322"/>
      <c r="F17" s="322">
        <f t="shared" si="0"/>
        <v>0</v>
      </c>
      <c r="G17" s="322">
        <f t="shared" si="1"/>
        <v>0</v>
      </c>
      <c r="H17" s="322">
        <f t="shared" si="14"/>
        <v>0</v>
      </c>
      <c r="I17" s="322"/>
      <c r="J17" s="322">
        <f t="shared" si="2"/>
        <v>0</v>
      </c>
      <c r="K17" s="322">
        <f t="shared" si="3"/>
        <v>0</v>
      </c>
      <c r="L17" s="322">
        <f t="shared" si="15"/>
        <v>0</v>
      </c>
      <c r="M17" s="322"/>
      <c r="N17" s="322">
        <f t="shared" si="4"/>
        <v>0</v>
      </c>
      <c r="O17" s="322">
        <f t="shared" si="5"/>
        <v>0</v>
      </c>
      <c r="P17" s="322">
        <f t="shared" si="16"/>
        <v>0</v>
      </c>
      <c r="Q17" s="322"/>
      <c r="R17" s="322">
        <f t="shared" si="6"/>
        <v>0</v>
      </c>
      <c r="S17" s="322">
        <f t="shared" si="7"/>
        <v>0</v>
      </c>
      <c r="T17" s="322">
        <f t="shared" si="17"/>
        <v>69665.060000000289</v>
      </c>
      <c r="U17" s="322">
        <f>+[1]DailyOct!AT16</f>
        <v>6968.6700000002866</v>
      </c>
      <c r="V17" s="322">
        <f t="shared" si="8"/>
        <v>139.65830293799922</v>
      </c>
      <c r="W17" s="322">
        <f t="shared" si="9"/>
        <v>173.67401869159593</v>
      </c>
      <c r="X17" s="322">
        <f t="shared" si="18"/>
        <v>152700.00000000073</v>
      </c>
      <c r="Y17" s="322">
        <f>+[1]DailyOct!AU16</f>
        <v>17700.000000000728</v>
      </c>
      <c r="Z17" s="322">
        <f t="shared" si="19"/>
        <v>354.72363621789901</v>
      </c>
      <c r="AA17" s="322">
        <f t="shared" si="20"/>
        <v>441.12149532712095</v>
      </c>
      <c r="AB17" s="322">
        <f t="shared" si="21"/>
        <v>105183.06000000013</v>
      </c>
      <c r="AC17" s="322">
        <f>+[1]DailyOct!AV16</f>
        <v>10006.669999999956</v>
      </c>
      <c r="AD17" s="322">
        <f t="shared" si="22"/>
        <v>200.54250671369502</v>
      </c>
      <c r="AE17" s="396">
        <f t="shared" si="23"/>
        <v>249.38741433021698</v>
      </c>
      <c r="AF17" s="322">
        <f t="shared" si="24"/>
        <v>147091.87759999861</v>
      </c>
      <c r="AG17" s="322">
        <f>+[1]DailyOct!AW16</f>
        <v>15339.097599998602</v>
      </c>
      <c r="AH17" s="322">
        <f t="shared" si="25"/>
        <v>307.40906649562305</v>
      </c>
      <c r="AI17" s="425">
        <f t="shared" si="26"/>
        <v>382.28280623049477</v>
      </c>
      <c r="AJ17" s="322">
        <f t="shared" si="27"/>
        <v>16230</v>
      </c>
      <c r="AK17" s="322">
        <f>+[1]DailyOct!AX16</f>
        <v>1960</v>
      </c>
      <c r="AL17" s="322">
        <f t="shared" si="28"/>
        <v>39.280131468195108</v>
      </c>
      <c r="AM17" s="425">
        <f t="shared" si="29"/>
        <v>48.847352024922117</v>
      </c>
      <c r="AN17" s="322">
        <f t="shared" si="30"/>
        <v>51974.437599999575</v>
      </c>
      <c r="AO17" s="319">
        <f t="shared" si="10"/>
        <v>1041.6136438334115</v>
      </c>
      <c r="AP17" s="320">
        <f t="shared" si="11"/>
        <v>1295.3130866043507</v>
      </c>
      <c r="AR17" s="19" t="s">
        <v>197</v>
      </c>
      <c r="AS17" t="s">
        <v>189</v>
      </c>
      <c r="AT17" s="13">
        <f>+AD39</f>
        <v>0</v>
      </c>
      <c r="AU17" s="13">
        <f>+AE39</f>
        <v>0</v>
      </c>
    </row>
    <row r="18" spans="1:47">
      <c r="A18" s="313">
        <f t="shared" si="12"/>
        <v>45941</v>
      </c>
      <c r="B18" s="321">
        <f>+Report1!P19</f>
        <v>51.078000000000003</v>
      </c>
      <c r="C18" s="321">
        <f>+Report1!R19</f>
        <v>53.558</v>
      </c>
      <c r="D18" s="322">
        <f t="shared" si="13"/>
        <v>0</v>
      </c>
      <c r="E18" s="322"/>
      <c r="F18" s="316">
        <f t="shared" si="0"/>
        <v>0</v>
      </c>
      <c r="G18" s="316">
        <f t="shared" si="1"/>
        <v>0</v>
      </c>
      <c r="H18" s="322">
        <f t="shared" si="14"/>
        <v>0</v>
      </c>
      <c r="I18" s="322"/>
      <c r="J18" s="316">
        <f t="shared" si="2"/>
        <v>0</v>
      </c>
      <c r="K18" s="316">
        <f t="shared" si="3"/>
        <v>0</v>
      </c>
      <c r="L18" s="322">
        <f t="shared" si="15"/>
        <v>0</v>
      </c>
      <c r="M18" s="322"/>
      <c r="N18" s="316">
        <f t="shared" si="4"/>
        <v>0</v>
      </c>
      <c r="O18" s="316">
        <f t="shared" si="5"/>
        <v>0</v>
      </c>
      <c r="P18" s="322">
        <f t="shared" si="16"/>
        <v>0</v>
      </c>
      <c r="Q18" s="322"/>
      <c r="R18" s="316">
        <f t="shared" si="6"/>
        <v>0</v>
      </c>
      <c r="S18" s="316">
        <f t="shared" si="7"/>
        <v>0</v>
      </c>
      <c r="T18" s="322">
        <f t="shared" si="17"/>
        <v>76736.449999999211</v>
      </c>
      <c r="U18" s="322">
        <f>+[1]DailyOct!AT17</f>
        <v>7071.3899999989189</v>
      </c>
      <c r="V18" s="316">
        <f t="shared" si="8"/>
        <v>138.4429695759215</v>
      </c>
      <c r="W18" s="316">
        <f t="shared" si="9"/>
        <v>132.0323761155928</v>
      </c>
      <c r="X18" s="322">
        <f t="shared" si="18"/>
        <v>169870.00000000081</v>
      </c>
      <c r="Y18" s="322">
        <f>+[1]DailyOct!AU17</f>
        <v>17170.000000000073</v>
      </c>
      <c r="Z18" s="322">
        <f t="shared" si="19"/>
        <v>336.15255100043214</v>
      </c>
      <c r="AA18" s="322">
        <f t="shared" si="20"/>
        <v>320.58702714813984</v>
      </c>
      <c r="AB18" s="322">
        <f t="shared" si="21"/>
        <v>115328.44999999975</v>
      </c>
      <c r="AC18" s="322">
        <f>+[1]DailyOct!AV17</f>
        <v>10145.389999999614</v>
      </c>
      <c r="AD18" s="322">
        <f t="shared" si="22"/>
        <v>198.6254356082778</v>
      </c>
      <c r="AE18" s="396">
        <f t="shared" si="23"/>
        <v>189.42809664288461</v>
      </c>
      <c r="AF18" s="322">
        <f t="shared" si="24"/>
        <v>159268.26759999999</v>
      </c>
      <c r="AG18" s="322">
        <f>+[1]DailyOct!AW17</f>
        <v>12176.390000001382</v>
      </c>
      <c r="AH18" s="322">
        <f t="shared" si="25"/>
        <v>238.38815145466504</v>
      </c>
      <c r="AI18" s="425">
        <f t="shared" si="26"/>
        <v>227.34960230033573</v>
      </c>
      <c r="AJ18" s="322">
        <f t="shared" si="27"/>
        <v>18430</v>
      </c>
      <c r="AK18" s="322">
        <f>+[1]DailyOct!AX17</f>
        <v>2200</v>
      </c>
      <c r="AL18" s="322">
        <f t="shared" si="28"/>
        <v>43.071381025098866</v>
      </c>
      <c r="AM18" s="425">
        <f t="shared" si="29"/>
        <v>41.076963292131893</v>
      </c>
      <c r="AN18" s="322">
        <f t="shared" si="30"/>
        <v>48763.169999999984</v>
      </c>
      <c r="AO18" s="319">
        <f t="shared" si="10"/>
        <v>954.68048866439528</v>
      </c>
      <c r="AP18" s="320">
        <f t="shared" si="11"/>
        <v>910.47406549908476</v>
      </c>
      <c r="AR18" s="19"/>
      <c r="AS18" t="s">
        <v>190</v>
      </c>
      <c r="AT18" s="13">
        <f>+AH39</f>
        <v>0</v>
      </c>
      <c r="AU18" s="13">
        <f>+AI39</f>
        <v>0</v>
      </c>
    </row>
    <row r="19" spans="1:47">
      <c r="A19" s="313">
        <f t="shared" si="12"/>
        <v>45942</v>
      </c>
      <c r="B19" s="321">
        <f>+Report1!P20</f>
        <v>50.325000000000003</v>
      </c>
      <c r="C19" s="321">
        <f>+Report1!R20</f>
        <v>50.863</v>
      </c>
      <c r="D19" s="322">
        <f t="shared" si="13"/>
        <v>0</v>
      </c>
      <c r="E19" s="322"/>
      <c r="F19" s="316">
        <f t="shared" si="0"/>
        <v>0</v>
      </c>
      <c r="G19" s="316">
        <f t="shared" si="1"/>
        <v>0</v>
      </c>
      <c r="H19" s="322">
        <f t="shared" si="14"/>
        <v>0</v>
      </c>
      <c r="I19" s="322"/>
      <c r="J19" s="316">
        <f t="shared" si="2"/>
        <v>0</v>
      </c>
      <c r="K19" s="316">
        <f t="shared" si="3"/>
        <v>0</v>
      </c>
      <c r="L19" s="322">
        <f t="shared" si="15"/>
        <v>0</v>
      </c>
      <c r="M19" s="322"/>
      <c r="N19" s="316">
        <f t="shared" si="4"/>
        <v>0</v>
      </c>
      <c r="O19" s="316">
        <f t="shared" si="5"/>
        <v>0</v>
      </c>
      <c r="P19" s="322">
        <f t="shared" si="16"/>
        <v>0</v>
      </c>
      <c r="Q19" s="322"/>
      <c r="R19" s="316">
        <f t="shared" si="6"/>
        <v>0</v>
      </c>
      <c r="S19" s="316">
        <f t="shared" si="7"/>
        <v>0</v>
      </c>
      <c r="T19" s="322">
        <f t="shared" si="17"/>
        <v>85651.99</v>
      </c>
      <c r="U19" s="322">
        <f>+[1]DailyOct!AT18</f>
        <v>8915.5400000007976</v>
      </c>
      <c r="V19" s="316">
        <f t="shared" si="8"/>
        <v>177.15926477895275</v>
      </c>
      <c r="W19" s="316">
        <f t="shared" si="9"/>
        <v>175.28537443722936</v>
      </c>
      <c r="X19" s="322">
        <f t="shared" si="18"/>
        <v>185000</v>
      </c>
      <c r="Y19" s="322">
        <f>+[1]DailyOct!AU18</f>
        <v>15129.9999999992</v>
      </c>
      <c r="Z19" s="322">
        <f t="shared" si="19"/>
        <v>300.64580228513063</v>
      </c>
      <c r="AA19" s="322">
        <f t="shared" si="20"/>
        <v>297.46574130505866</v>
      </c>
      <c r="AB19" s="322">
        <f t="shared" si="21"/>
        <v>126571.99000000018</v>
      </c>
      <c r="AC19" s="322">
        <f>+[1]DailyOct!AV18</f>
        <v>11243.54000000043</v>
      </c>
      <c r="AD19" s="322">
        <f t="shared" si="22"/>
        <v>223.41857923498122</v>
      </c>
      <c r="AE19" s="396">
        <f t="shared" si="23"/>
        <v>221.05538407094411</v>
      </c>
      <c r="AF19" s="322">
        <f t="shared" si="24"/>
        <v>171503.80759999971</v>
      </c>
      <c r="AG19" s="322">
        <f>+[1]DailyOct!AW18</f>
        <v>12235.53999999971</v>
      </c>
      <c r="AH19" s="322">
        <f t="shared" si="25"/>
        <v>243.13045206159381</v>
      </c>
      <c r="AI19" s="425">
        <f t="shared" si="26"/>
        <v>240.55875587361558</v>
      </c>
      <c r="AJ19" s="322">
        <f t="shared" si="27"/>
        <v>20880</v>
      </c>
      <c r="AK19" s="322">
        <f>+[1]DailyOct!AX18</f>
        <v>2450</v>
      </c>
      <c r="AL19" s="322">
        <f t="shared" si="28"/>
        <v>48.683556880278189</v>
      </c>
      <c r="AM19" s="425">
        <f t="shared" si="29"/>
        <v>48.16860979493935</v>
      </c>
      <c r="AN19" s="322">
        <f t="shared" si="30"/>
        <v>49974.620000000134</v>
      </c>
      <c r="AO19" s="319">
        <f t="shared" si="10"/>
        <v>993.03765524093649</v>
      </c>
      <c r="AP19" s="320">
        <f t="shared" si="11"/>
        <v>982.53386548178707</v>
      </c>
      <c r="AR19" s="19"/>
      <c r="AT19" s="17">
        <f>SUM(AT17:AT18)</f>
        <v>0</v>
      </c>
      <c r="AU19" s="17">
        <f>SUM(AU17:AU18)</f>
        <v>0</v>
      </c>
    </row>
    <row r="20" spans="1:47">
      <c r="A20" s="313">
        <f t="shared" si="12"/>
        <v>45943</v>
      </c>
      <c r="B20" s="321">
        <f>+Report1!P21</f>
        <v>51.091999999999999</v>
      </c>
      <c r="C20" s="321">
        <f>+Report1!R21</f>
        <v>47.128</v>
      </c>
      <c r="D20" s="322">
        <f t="shared" si="13"/>
        <v>0</v>
      </c>
      <c r="E20" s="322"/>
      <c r="F20" s="316">
        <f t="shared" si="0"/>
        <v>0</v>
      </c>
      <c r="G20" s="316">
        <f t="shared" si="1"/>
        <v>0</v>
      </c>
      <c r="H20" s="322">
        <f t="shared" si="14"/>
        <v>0</v>
      </c>
      <c r="I20" s="322"/>
      <c r="J20" s="316">
        <f t="shared" si="2"/>
        <v>0</v>
      </c>
      <c r="K20" s="316">
        <f t="shared" si="3"/>
        <v>0</v>
      </c>
      <c r="L20" s="322">
        <f t="shared" si="15"/>
        <v>0</v>
      </c>
      <c r="M20" s="322"/>
      <c r="N20" s="316">
        <f t="shared" si="4"/>
        <v>0</v>
      </c>
      <c r="O20" s="316">
        <f t="shared" si="5"/>
        <v>0</v>
      </c>
      <c r="P20" s="322">
        <f t="shared" si="16"/>
        <v>0</v>
      </c>
      <c r="Q20" s="322"/>
      <c r="R20" s="316">
        <f t="shared" si="6"/>
        <v>0</v>
      </c>
      <c r="S20" s="316">
        <f t="shared" si="7"/>
        <v>0</v>
      </c>
      <c r="T20" s="322">
        <f t="shared" si="17"/>
        <v>90313.459999999992</v>
      </c>
      <c r="U20" s="322">
        <f>+[1]DailyOct!AT19</f>
        <v>4661.4699999999884</v>
      </c>
      <c r="V20" s="316">
        <f t="shared" si="8"/>
        <v>91.236788538322799</v>
      </c>
      <c r="W20" s="316">
        <f t="shared" si="9"/>
        <v>98.910838567305817</v>
      </c>
      <c r="X20" s="322">
        <f t="shared" si="18"/>
        <v>202000</v>
      </c>
      <c r="Y20" s="322">
        <f>+[1]DailyOct!AU19</f>
        <v>17000</v>
      </c>
      <c r="Z20" s="322">
        <f t="shared" si="19"/>
        <v>332.73310890158928</v>
      </c>
      <c r="AA20" s="322">
        <f t="shared" si="20"/>
        <v>360.71974197929046</v>
      </c>
      <c r="AB20" s="322">
        <f t="shared" si="21"/>
        <v>136133.46000000054</v>
      </c>
      <c r="AC20" s="322">
        <f>+[1]DailyOct!AV19</f>
        <v>9561.4700000003631</v>
      </c>
      <c r="AD20" s="322">
        <f t="shared" si="22"/>
        <v>187.14221404525881</v>
      </c>
      <c r="AE20" s="396">
        <f t="shared" si="23"/>
        <v>202.8829994907563</v>
      </c>
      <c r="AF20" s="322">
        <f t="shared" si="24"/>
        <v>182965.27759999971</v>
      </c>
      <c r="AG20" s="322">
        <f>+[1]DailyOct!AW19</f>
        <v>11461.469999999998</v>
      </c>
      <c r="AH20" s="322">
        <f t="shared" si="25"/>
        <v>224.3300320989587</v>
      </c>
      <c r="AI20" s="425">
        <f t="shared" si="26"/>
        <v>243.19873535902218</v>
      </c>
      <c r="AJ20" s="322">
        <f t="shared" si="27"/>
        <v>22840</v>
      </c>
      <c r="AK20" s="322">
        <f>+[1]DailyOct!AX19</f>
        <v>1960</v>
      </c>
      <c r="AL20" s="322">
        <f t="shared" si="28"/>
        <v>38.362170202771473</v>
      </c>
      <c r="AM20" s="425">
        <f t="shared" si="29"/>
        <v>41.588864369377013</v>
      </c>
      <c r="AN20" s="322">
        <f t="shared" si="30"/>
        <v>44644.410000000353</v>
      </c>
      <c r="AO20" s="319">
        <f t="shared" si="10"/>
        <v>873.80431378690116</v>
      </c>
      <c r="AP20" s="320">
        <f t="shared" si="11"/>
        <v>947.30117976575184</v>
      </c>
      <c r="AR20" s="19" t="s">
        <v>198</v>
      </c>
      <c r="AS20" t="s">
        <v>191</v>
      </c>
      <c r="AT20" s="13">
        <f>+AL39</f>
        <v>0</v>
      </c>
      <c r="AU20" s="13">
        <f>+AM39</f>
        <v>0</v>
      </c>
    </row>
    <row r="21" spans="1:47">
      <c r="A21" s="313">
        <f t="shared" si="12"/>
        <v>45944</v>
      </c>
      <c r="B21" s="321">
        <f>+Report1!P22</f>
        <v>55.013000000000005</v>
      </c>
      <c r="C21" s="321">
        <f>+Report1!R22</f>
        <v>42.247999999999998</v>
      </c>
      <c r="D21" s="322">
        <f t="shared" si="13"/>
        <v>0</v>
      </c>
      <c r="E21" s="322"/>
      <c r="F21" s="316">
        <f t="shared" si="0"/>
        <v>0</v>
      </c>
      <c r="G21" s="316">
        <f t="shared" si="1"/>
        <v>0</v>
      </c>
      <c r="H21" s="322">
        <f t="shared" si="14"/>
        <v>0</v>
      </c>
      <c r="I21" s="322"/>
      <c r="J21" s="316">
        <f t="shared" si="2"/>
        <v>0</v>
      </c>
      <c r="K21" s="316">
        <f t="shared" si="3"/>
        <v>0</v>
      </c>
      <c r="L21" s="322">
        <f t="shared" si="15"/>
        <v>0</v>
      </c>
      <c r="M21" s="322"/>
      <c r="N21" s="316">
        <f t="shared" si="4"/>
        <v>0</v>
      </c>
      <c r="O21" s="316">
        <f t="shared" si="5"/>
        <v>0</v>
      </c>
      <c r="P21" s="322">
        <f t="shared" si="16"/>
        <v>0</v>
      </c>
      <c r="Q21" s="322"/>
      <c r="R21" s="316">
        <f t="shared" si="6"/>
        <v>0</v>
      </c>
      <c r="S21" s="316">
        <f t="shared" si="7"/>
        <v>0</v>
      </c>
      <c r="T21" s="322">
        <f t="shared" si="17"/>
        <v>97109.66</v>
      </c>
      <c r="U21" s="322">
        <f>+[1]DailyOct!AT20</f>
        <v>6796.2000000000098</v>
      </c>
      <c r="V21" s="316">
        <f t="shared" si="8"/>
        <v>123.53807281915201</v>
      </c>
      <c r="W21" s="316">
        <f t="shared" si="9"/>
        <v>160.86441961749694</v>
      </c>
      <c r="X21" s="322">
        <f t="shared" si="18"/>
        <v>215000</v>
      </c>
      <c r="Y21" s="322">
        <f>+[1]DailyOct!AU20</f>
        <v>13000</v>
      </c>
      <c r="Z21" s="322">
        <f t="shared" si="19"/>
        <v>236.30778179702978</v>
      </c>
      <c r="AA21" s="322">
        <f t="shared" si="20"/>
        <v>307.70687369816324</v>
      </c>
      <c r="AB21" s="322">
        <f t="shared" si="21"/>
        <v>146839.66000000018</v>
      </c>
      <c r="AC21" s="322">
        <f>+[1]DailyOct!AV20</f>
        <v>10706.199999999637</v>
      </c>
      <c r="AD21" s="322">
        <f t="shared" si="22"/>
        <v>194.61218257502111</v>
      </c>
      <c r="AE21" s="396">
        <f t="shared" si="23"/>
        <v>253.41317932208952</v>
      </c>
      <c r="AF21" s="322">
        <f t="shared" si="24"/>
        <v>194771.47759999972</v>
      </c>
      <c r="AG21" s="322">
        <f>+[1]DailyOct!AW20</f>
        <v>11806.2</v>
      </c>
      <c r="AH21" s="322">
        <f t="shared" si="25"/>
        <v>214.60745641939178</v>
      </c>
      <c r="AI21" s="425">
        <f t="shared" si="26"/>
        <v>279.44991478886578</v>
      </c>
      <c r="AJ21" s="322">
        <f t="shared" si="27"/>
        <v>24240</v>
      </c>
      <c r="AK21" s="322">
        <f>+[1]DailyOct!AX20</f>
        <v>1400</v>
      </c>
      <c r="AL21" s="322">
        <f t="shared" si="28"/>
        <v>25.448530347372436</v>
      </c>
      <c r="AM21" s="425">
        <f t="shared" si="29"/>
        <v>33.137663321340661</v>
      </c>
      <c r="AN21" s="322">
        <f t="shared" si="30"/>
        <v>43708.599999999649</v>
      </c>
      <c r="AO21" s="319">
        <f t="shared" si="10"/>
        <v>794.51402395796708</v>
      </c>
      <c r="AP21" s="320">
        <f t="shared" si="11"/>
        <v>1034.5720507479562</v>
      </c>
      <c r="AS21" t="s">
        <v>192</v>
      </c>
      <c r="AT21" s="13" t="e">
        <f>+#REF!</f>
        <v>#REF!</v>
      </c>
      <c r="AU21" s="13" t="e">
        <f>+#REF!</f>
        <v>#REF!</v>
      </c>
    </row>
    <row r="22" spans="1:47">
      <c r="A22" s="313">
        <f t="shared" si="12"/>
        <v>45945</v>
      </c>
      <c r="B22" s="321">
        <f>+Report1!P23</f>
        <v>51.058</v>
      </c>
      <c r="C22" s="321">
        <f>+Report1!R23</f>
        <v>47.104999999999997</v>
      </c>
      <c r="D22" s="322">
        <f t="shared" si="13"/>
        <v>0</v>
      </c>
      <c r="E22" s="322"/>
      <c r="F22" s="316">
        <f t="shared" si="0"/>
        <v>0</v>
      </c>
      <c r="G22" s="316">
        <f t="shared" si="1"/>
        <v>0</v>
      </c>
      <c r="H22" s="322">
        <f t="shared" si="14"/>
        <v>0</v>
      </c>
      <c r="I22" s="322"/>
      <c r="J22" s="316">
        <f t="shared" si="2"/>
        <v>0</v>
      </c>
      <c r="K22" s="316">
        <f t="shared" si="3"/>
        <v>0</v>
      </c>
      <c r="L22" s="322">
        <f t="shared" si="15"/>
        <v>0</v>
      </c>
      <c r="M22" s="322"/>
      <c r="N22" s="316">
        <f t="shared" si="4"/>
        <v>0</v>
      </c>
      <c r="O22" s="316">
        <f t="shared" si="5"/>
        <v>0</v>
      </c>
      <c r="P22" s="322">
        <f t="shared" si="16"/>
        <v>0</v>
      </c>
      <c r="Q22" s="322"/>
      <c r="R22" s="316">
        <f t="shared" si="6"/>
        <v>0</v>
      </c>
      <c r="S22" s="316">
        <f t="shared" si="7"/>
        <v>0</v>
      </c>
      <c r="T22" s="322">
        <f t="shared" si="17"/>
        <v>104493.26000000004</v>
      </c>
      <c r="U22" s="322">
        <f>+[1]DailyOct!AT21</f>
        <v>7383.6000000000349</v>
      </c>
      <c r="V22" s="316">
        <f t="shared" si="8"/>
        <v>144.61200987112764</v>
      </c>
      <c r="W22" s="316">
        <f t="shared" si="9"/>
        <v>156.74769132788526</v>
      </c>
      <c r="X22" s="322">
        <f t="shared" si="18"/>
        <v>228000</v>
      </c>
      <c r="Y22" s="322">
        <f>+[1]DailyOct!AU21</f>
        <v>13000</v>
      </c>
      <c r="Z22" s="322">
        <f t="shared" si="19"/>
        <v>254.612401582514</v>
      </c>
      <c r="AA22" s="322">
        <f t="shared" si="20"/>
        <v>275.97919541449954</v>
      </c>
      <c r="AB22" s="322">
        <f t="shared" si="21"/>
        <v>157573.26000000018</v>
      </c>
      <c r="AC22" s="322">
        <f>+[1]DailyOct!AV21</f>
        <v>10733.6</v>
      </c>
      <c r="AD22" s="322">
        <f t="shared" si="22"/>
        <v>210.22366720200557</v>
      </c>
      <c r="AE22" s="396">
        <f t="shared" si="23"/>
        <v>227.86540706931325</v>
      </c>
      <c r="AF22" s="322">
        <f t="shared" si="24"/>
        <v>206505.07759999973</v>
      </c>
      <c r="AG22" s="322">
        <f>+[1]DailyOct!AW21</f>
        <v>11733.599999999999</v>
      </c>
      <c r="AH22" s="322">
        <f t="shared" si="25"/>
        <v>229.80923655450661</v>
      </c>
      <c r="AI22" s="425">
        <f t="shared" si="26"/>
        <v>249.09457594735164</v>
      </c>
      <c r="AJ22" s="322">
        <f t="shared" si="27"/>
        <v>25630</v>
      </c>
      <c r="AK22" s="322">
        <f>+[1]DailyOct!AX21</f>
        <v>1390</v>
      </c>
      <c r="AL22" s="322">
        <f t="shared" si="28"/>
        <v>27.223941399976496</v>
      </c>
      <c r="AM22" s="425">
        <f t="shared" si="29"/>
        <v>29.508544740473411</v>
      </c>
      <c r="AN22" s="322">
        <f t="shared" si="30"/>
        <v>44240.800000000032</v>
      </c>
      <c r="AO22" s="319">
        <f t="shared" si="10"/>
        <v>866.48125661013023</v>
      </c>
      <c r="AP22" s="320">
        <f t="shared" si="11"/>
        <v>939.19541449952305</v>
      </c>
      <c r="AT22" s="17" t="e">
        <f>SUM(AT20:AT21)</f>
        <v>#REF!</v>
      </c>
      <c r="AU22" s="17" t="e">
        <f>SUM(AU20:AU21)</f>
        <v>#REF!</v>
      </c>
    </row>
    <row r="23" spans="1:47">
      <c r="A23" s="313">
        <f t="shared" si="12"/>
        <v>45946</v>
      </c>
      <c r="B23" s="321">
        <f>+Report1!P24</f>
        <v>49.244</v>
      </c>
      <c r="C23" s="321">
        <f>+Report1!R24</f>
        <v>51.912999999999997</v>
      </c>
      <c r="D23" s="322">
        <f t="shared" si="13"/>
        <v>0</v>
      </c>
      <c r="E23" s="322"/>
      <c r="F23" s="316">
        <f t="shared" si="0"/>
        <v>0</v>
      </c>
      <c r="G23" s="316">
        <f t="shared" si="1"/>
        <v>0</v>
      </c>
      <c r="H23" s="322">
        <f t="shared" si="14"/>
        <v>0</v>
      </c>
      <c r="I23" s="322"/>
      <c r="J23" s="316">
        <f t="shared" si="2"/>
        <v>0</v>
      </c>
      <c r="K23" s="316">
        <f t="shared" si="3"/>
        <v>0</v>
      </c>
      <c r="L23" s="322">
        <f t="shared" si="15"/>
        <v>0</v>
      </c>
      <c r="M23" s="322"/>
      <c r="N23" s="316">
        <f t="shared" si="4"/>
        <v>0</v>
      </c>
      <c r="O23" s="316">
        <f t="shared" si="5"/>
        <v>0</v>
      </c>
      <c r="P23" s="322">
        <f t="shared" si="16"/>
        <v>0</v>
      </c>
      <c r="Q23" s="322"/>
      <c r="R23" s="316">
        <f t="shared" si="6"/>
        <v>0</v>
      </c>
      <c r="S23" s="316">
        <f t="shared" si="7"/>
        <v>0</v>
      </c>
      <c r="T23" s="322">
        <f t="shared" si="17"/>
        <v>112793.46000000002</v>
      </c>
      <c r="U23" s="322">
        <f>+[1]DailyOct!AT22</f>
        <v>8300.1999999999807</v>
      </c>
      <c r="V23" s="316">
        <f t="shared" si="8"/>
        <v>168.55251401185893</v>
      </c>
      <c r="W23" s="316">
        <f t="shared" si="9"/>
        <v>159.88673357347835</v>
      </c>
      <c r="X23" s="322">
        <f t="shared" si="18"/>
        <v>243000</v>
      </c>
      <c r="Y23" s="322">
        <f>+[1]DailyOct!AU22</f>
        <v>15000</v>
      </c>
      <c r="Z23" s="322">
        <f t="shared" si="19"/>
        <v>304.60563723499308</v>
      </c>
      <c r="AA23" s="322">
        <f t="shared" si="20"/>
        <v>288.94496561554911</v>
      </c>
      <c r="AB23" s="322">
        <f t="shared" si="21"/>
        <v>168288.4600000002</v>
      </c>
      <c r="AC23" s="322">
        <f>+[1]DailyOct!AV22</f>
        <v>10715.2</v>
      </c>
      <c r="AD23" s="322">
        <f t="shared" si="22"/>
        <v>217.59402160669322</v>
      </c>
      <c r="AE23" s="396">
        <f t="shared" si="23"/>
        <v>206.40687303758213</v>
      </c>
      <c r="AF23" s="322">
        <f t="shared" si="24"/>
        <v>220220.27759999974</v>
      </c>
      <c r="AG23" s="322">
        <f>+[1]DailyOct!AW22</f>
        <v>13715.2</v>
      </c>
      <c r="AH23" s="322">
        <f t="shared" si="25"/>
        <v>278.51514905369186</v>
      </c>
      <c r="AI23" s="425">
        <f t="shared" si="26"/>
        <v>264.19586616069193</v>
      </c>
      <c r="AJ23" s="322">
        <f t="shared" si="27"/>
        <v>27360</v>
      </c>
      <c r="AK23" s="322">
        <f>+[1]DailyOct!AX22</f>
        <v>1730</v>
      </c>
      <c r="AL23" s="322">
        <f t="shared" si="28"/>
        <v>35.131183494435874</v>
      </c>
      <c r="AM23" s="425">
        <f t="shared" si="29"/>
        <v>33.324986034326663</v>
      </c>
      <c r="AN23" s="322">
        <f t="shared" si="30"/>
        <v>49460.599999999977</v>
      </c>
      <c r="AO23" s="319">
        <f t="shared" si="10"/>
        <v>1004.3985054016729</v>
      </c>
      <c r="AP23" s="320">
        <f t="shared" si="11"/>
        <v>952.75942442162807</v>
      </c>
    </row>
    <row r="24" spans="1:47">
      <c r="A24" s="313">
        <f t="shared" si="12"/>
        <v>45947</v>
      </c>
      <c r="B24" s="321">
        <f>+Report1!P25</f>
        <v>49.757000000000005</v>
      </c>
      <c r="C24" s="321">
        <f>+Report1!R25</f>
        <v>46.854999999999997</v>
      </c>
      <c r="D24" s="322">
        <f t="shared" si="13"/>
        <v>0</v>
      </c>
      <c r="E24" s="322"/>
      <c r="F24" s="316">
        <f t="shared" si="0"/>
        <v>0</v>
      </c>
      <c r="G24" s="316">
        <f t="shared" si="1"/>
        <v>0</v>
      </c>
      <c r="H24" s="322">
        <f t="shared" si="14"/>
        <v>0</v>
      </c>
      <c r="I24" s="322"/>
      <c r="J24" s="316">
        <f t="shared" si="2"/>
        <v>0</v>
      </c>
      <c r="K24" s="316">
        <f t="shared" si="3"/>
        <v>0</v>
      </c>
      <c r="L24" s="322">
        <f t="shared" si="15"/>
        <v>0</v>
      </c>
      <c r="M24" s="322"/>
      <c r="N24" s="316">
        <f t="shared" si="4"/>
        <v>0</v>
      </c>
      <c r="O24" s="316">
        <f t="shared" si="5"/>
        <v>0</v>
      </c>
      <c r="P24" s="322">
        <f t="shared" si="16"/>
        <v>0</v>
      </c>
      <c r="Q24" s="322"/>
      <c r="R24" s="316">
        <f t="shared" si="6"/>
        <v>0</v>
      </c>
      <c r="S24" s="316">
        <f t="shared" si="7"/>
        <v>0</v>
      </c>
      <c r="T24" s="322">
        <f t="shared" si="17"/>
        <v>119882.84000000003</v>
      </c>
      <c r="U24" s="322">
        <f>+[1]DailyOct!AT23</f>
        <v>7089.380000000001</v>
      </c>
      <c r="V24" s="316">
        <f t="shared" si="8"/>
        <v>142.4800530578612</v>
      </c>
      <c r="W24" s="316">
        <f t="shared" si="9"/>
        <v>151.30466332301785</v>
      </c>
      <c r="X24" s="322">
        <f t="shared" si="18"/>
        <v>259000</v>
      </c>
      <c r="Y24" s="322">
        <f>+[1]DailyOct!AU23</f>
        <v>16000</v>
      </c>
      <c r="Z24" s="322">
        <f t="shared" si="19"/>
        <v>321.56279518459712</v>
      </c>
      <c r="AA24" s="322">
        <f t="shared" si="20"/>
        <v>341.4790310532494</v>
      </c>
      <c r="AB24" s="322">
        <f t="shared" si="21"/>
        <v>178517.84000000003</v>
      </c>
      <c r="AC24" s="322">
        <f>+[1]DailyOct!AV23</f>
        <v>10229.379999999817</v>
      </c>
      <c r="AD24" s="322">
        <f t="shared" si="22"/>
        <v>205.58675161283469</v>
      </c>
      <c r="AE24" s="396">
        <f t="shared" si="23"/>
        <v>218.31992316721414</v>
      </c>
      <c r="AF24" s="322">
        <f t="shared" si="24"/>
        <v>235749.65759999974</v>
      </c>
      <c r="AG24" s="322">
        <f>+[1]DailyOct!AW23</f>
        <v>15529.380000000001</v>
      </c>
      <c r="AH24" s="322">
        <f t="shared" si="25"/>
        <v>312.10442751773621</v>
      </c>
      <c r="AI24" s="425">
        <f t="shared" si="26"/>
        <v>331.43485220360691</v>
      </c>
      <c r="AJ24" s="322">
        <f t="shared" si="27"/>
        <v>29300</v>
      </c>
      <c r="AK24" s="322">
        <f>+[1]DailyOct!AX23</f>
        <v>1940</v>
      </c>
      <c r="AL24" s="322">
        <f t="shared" si="28"/>
        <v>38.989488916132402</v>
      </c>
      <c r="AM24" s="425">
        <f t="shared" si="29"/>
        <v>41.404332515206491</v>
      </c>
      <c r="AN24" s="322">
        <f t="shared" si="30"/>
        <v>50788.139999999825</v>
      </c>
      <c r="AO24" s="319">
        <f t="shared" si="10"/>
        <v>1020.7235162891617</v>
      </c>
      <c r="AP24" s="320">
        <f t="shared" si="11"/>
        <v>1083.9428022622949</v>
      </c>
      <c r="AS24" s="19" t="s">
        <v>2</v>
      </c>
      <c r="AT24" s="17" t="e">
        <f>+AT16+AT19+AT22</f>
        <v>#REF!</v>
      </c>
      <c r="AU24" s="17" t="e">
        <f>+AU16+AU19+AU22</f>
        <v>#REF!</v>
      </c>
    </row>
    <row r="25" spans="1:47">
      <c r="A25" s="313">
        <f t="shared" si="12"/>
        <v>45948</v>
      </c>
      <c r="B25" s="321">
        <f>+Report1!P26</f>
        <v>45.534999999999997</v>
      </c>
      <c r="C25" s="321">
        <f>+Report1!R26</f>
        <v>44.656999999999996</v>
      </c>
      <c r="D25" s="322">
        <f t="shared" si="13"/>
        <v>0</v>
      </c>
      <c r="E25" s="322"/>
      <c r="F25" s="316">
        <f t="shared" si="0"/>
        <v>0</v>
      </c>
      <c r="G25" s="316">
        <f t="shared" si="1"/>
        <v>0</v>
      </c>
      <c r="H25" s="322">
        <f t="shared" si="14"/>
        <v>0</v>
      </c>
      <c r="I25" s="322"/>
      <c r="J25" s="316">
        <f t="shared" si="2"/>
        <v>0</v>
      </c>
      <c r="K25" s="316">
        <f t="shared" si="3"/>
        <v>0</v>
      </c>
      <c r="L25" s="322">
        <f t="shared" si="15"/>
        <v>0</v>
      </c>
      <c r="M25" s="322"/>
      <c r="N25" s="316">
        <f t="shared" si="4"/>
        <v>0</v>
      </c>
      <c r="O25" s="316">
        <f t="shared" si="5"/>
        <v>0</v>
      </c>
      <c r="P25" s="322">
        <f t="shared" si="16"/>
        <v>0</v>
      </c>
      <c r="Q25" s="322"/>
      <c r="R25" s="316">
        <f t="shared" si="6"/>
        <v>0</v>
      </c>
      <c r="S25" s="316">
        <f t="shared" si="7"/>
        <v>0</v>
      </c>
      <c r="T25" s="322">
        <f t="shared" si="17"/>
        <v>127266.83000000002</v>
      </c>
      <c r="U25" s="322">
        <f>+[1]DailyOct!AT24</f>
        <v>7383.9899999999861</v>
      </c>
      <c r="V25" s="316">
        <f t="shared" si="8"/>
        <v>162.16075546283051</v>
      </c>
      <c r="W25" s="316">
        <f t="shared" si="9"/>
        <v>165.34899343887827</v>
      </c>
      <c r="X25" s="322">
        <f t="shared" si="18"/>
        <v>277000</v>
      </c>
      <c r="Y25" s="322">
        <f>+[1]DailyOct!AU24</f>
        <v>18000</v>
      </c>
      <c r="Z25" s="322">
        <f t="shared" si="19"/>
        <v>395.30031843636766</v>
      </c>
      <c r="AA25" s="322">
        <f t="shared" si="20"/>
        <v>403.07230669323963</v>
      </c>
      <c r="AB25" s="322">
        <f t="shared" si="21"/>
        <v>188586.82999999984</v>
      </c>
      <c r="AC25" s="322">
        <f>+[1]DailyOct!AV24</f>
        <v>10068.989999999818</v>
      </c>
      <c r="AD25" s="322">
        <f t="shared" si="22"/>
        <v>221.12638629625164</v>
      </c>
      <c r="AE25" s="396">
        <f t="shared" si="23"/>
        <v>225.4739458539494</v>
      </c>
      <c r="AF25" s="322">
        <f t="shared" si="24"/>
        <v>250618.64759999973</v>
      </c>
      <c r="AG25" s="322">
        <f>+[1]DailyOct!AW24</f>
        <v>14868.990000000002</v>
      </c>
      <c r="AH25" s="322">
        <f t="shared" si="25"/>
        <v>326.5398045459537</v>
      </c>
      <c r="AI25" s="425">
        <f t="shared" si="26"/>
        <v>332.95989430548411</v>
      </c>
      <c r="AJ25" s="322">
        <f t="shared" si="27"/>
        <v>31370</v>
      </c>
      <c r="AK25" s="322">
        <f>+[1]DailyOct!AX24</f>
        <v>2070</v>
      </c>
      <c r="AL25" s="322">
        <f t="shared" si="28"/>
        <v>45.459536620182284</v>
      </c>
      <c r="AM25" s="425">
        <f t="shared" si="29"/>
        <v>46.353315269722557</v>
      </c>
      <c r="AN25" s="322">
        <f t="shared" si="30"/>
        <v>52391.969999999812</v>
      </c>
      <c r="AO25" s="319">
        <f t="shared" si="10"/>
        <v>1150.5868013615859</v>
      </c>
      <c r="AP25" s="320">
        <f t="shared" si="11"/>
        <v>1173.2084555612741</v>
      </c>
    </row>
    <row r="26" spans="1:47">
      <c r="A26" s="313">
        <f t="shared" si="12"/>
        <v>45949</v>
      </c>
      <c r="B26" s="321">
        <f>+Report1!P27</f>
        <v>48.846999999999994</v>
      </c>
      <c r="C26" s="321">
        <f>+Report1!R27</f>
        <v>46.783999999999999</v>
      </c>
      <c r="D26" s="322">
        <f t="shared" si="13"/>
        <v>0</v>
      </c>
      <c r="E26" s="322"/>
      <c r="F26" s="316">
        <f t="shared" si="0"/>
        <v>0</v>
      </c>
      <c r="G26" s="316">
        <f t="shared" si="1"/>
        <v>0</v>
      </c>
      <c r="H26" s="322">
        <f t="shared" si="14"/>
        <v>0</v>
      </c>
      <c r="I26" s="322"/>
      <c r="J26" s="316">
        <f t="shared" si="2"/>
        <v>0</v>
      </c>
      <c r="K26" s="316">
        <f t="shared" si="3"/>
        <v>0</v>
      </c>
      <c r="L26" s="322">
        <f t="shared" si="15"/>
        <v>0</v>
      </c>
      <c r="M26" s="322"/>
      <c r="N26" s="316">
        <f t="shared" si="4"/>
        <v>0</v>
      </c>
      <c r="O26" s="316">
        <f t="shared" si="5"/>
        <v>0</v>
      </c>
      <c r="P26" s="322">
        <f t="shared" si="16"/>
        <v>0</v>
      </c>
      <c r="Q26" s="322"/>
      <c r="R26" s="316">
        <f t="shared" si="6"/>
        <v>0</v>
      </c>
      <c r="S26" s="316">
        <f t="shared" si="7"/>
        <v>0</v>
      </c>
      <c r="T26" s="322">
        <f t="shared" si="17"/>
        <v>135555.12</v>
      </c>
      <c r="U26" s="322">
        <f>+[1]DailyOct!AT25</f>
        <v>8288.2899999999918</v>
      </c>
      <c r="V26" s="316">
        <f t="shared" si="8"/>
        <v>169.67858824492788</v>
      </c>
      <c r="W26" s="316">
        <f t="shared" si="9"/>
        <v>177.16078146374812</v>
      </c>
      <c r="X26" s="322">
        <f t="shared" si="18"/>
        <v>294000</v>
      </c>
      <c r="Y26" s="322">
        <f>+[1]DailyOct!AU25</f>
        <v>17000</v>
      </c>
      <c r="Z26" s="322">
        <f t="shared" si="19"/>
        <v>348.02546727537009</v>
      </c>
      <c r="AA26" s="322">
        <f t="shared" si="20"/>
        <v>363.37209302325584</v>
      </c>
      <c r="AB26" s="322">
        <f t="shared" si="21"/>
        <v>199440.12000000058</v>
      </c>
      <c r="AC26" s="322">
        <f>+[1]DailyOct!AV25</f>
        <v>10853.290000000728</v>
      </c>
      <c r="AD26" s="322">
        <f t="shared" si="22"/>
        <v>222.18948963090321</v>
      </c>
      <c r="AE26" s="396">
        <f t="shared" si="23"/>
        <v>231.98721785227275</v>
      </c>
      <c r="AF26" s="322">
        <f t="shared" si="24"/>
        <v>266771.93759999971</v>
      </c>
      <c r="AG26" s="322">
        <f>+[1]DailyOct!AW25</f>
        <v>16153.29</v>
      </c>
      <c r="AH26" s="322">
        <f t="shared" si="25"/>
        <v>330.69154707556254</v>
      </c>
      <c r="AI26" s="425">
        <f t="shared" si="26"/>
        <v>345.27381155950758</v>
      </c>
      <c r="AJ26" s="322">
        <f t="shared" si="27"/>
        <v>33380</v>
      </c>
      <c r="AK26" s="322">
        <f>+[1]DailyOct!AX25</f>
        <v>2010</v>
      </c>
      <c r="AL26" s="322">
        <f t="shared" si="28"/>
        <v>41.14889348373493</v>
      </c>
      <c r="AM26" s="425">
        <f t="shared" si="29"/>
        <v>42.96340629274966</v>
      </c>
      <c r="AN26" s="322">
        <f t="shared" si="30"/>
        <v>54304.870000000723</v>
      </c>
      <c r="AO26" s="319">
        <f t="shared" si="10"/>
        <v>1111.7339857104987</v>
      </c>
      <c r="AP26" s="320">
        <f t="shared" si="11"/>
        <v>1160.7573101915339</v>
      </c>
      <c r="AS26" s="19" t="s">
        <v>199</v>
      </c>
      <c r="AU26" s="393" t="e">
        <f>+AU24/AT24-1</f>
        <v>#REF!</v>
      </c>
    </row>
    <row r="27" spans="1:47">
      <c r="A27" s="313">
        <f t="shared" si="12"/>
        <v>45950</v>
      </c>
      <c r="B27" s="321">
        <f>+Report1!P28</f>
        <v>50.716999999999999</v>
      </c>
      <c r="C27" s="321">
        <f>+Report1!R28</f>
        <v>50.112000000000002</v>
      </c>
      <c r="D27" s="322">
        <f t="shared" si="13"/>
        <v>0</v>
      </c>
      <c r="E27" s="322"/>
      <c r="F27" s="316">
        <f t="shared" si="0"/>
        <v>0</v>
      </c>
      <c r="G27" s="316">
        <f t="shared" si="1"/>
        <v>0</v>
      </c>
      <c r="H27" s="322">
        <f t="shared" si="14"/>
        <v>0</v>
      </c>
      <c r="I27" s="322"/>
      <c r="J27" s="316">
        <f t="shared" si="2"/>
        <v>0</v>
      </c>
      <c r="K27" s="316">
        <f t="shared" si="3"/>
        <v>0</v>
      </c>
      <c r="L27" s="322">
        <f t="shared" si="15"/>
        <v>0</v>
      </c>
      <c r="M27" s="322"/>
      <c r="N27" s="316">
        <f t="shared" si="4"/>
        <v>0</v>
      </c>
      <c r="O27" s="316">
        <f t="shared" si="5"/>
        <v>0</v>
      </c>
      <c r="P27" s="322">
        <f t="shared" si="16"/>
        <v>0</v>
      </c>
      <c r="Q27" s="322"/>
      <c r="R27" s="316">
        <f t="shared" si="6"/>
        <v>0</v>
      </c>
      <c r="S27" s="316">
        <f t="shared" si="7"/>
        <v>0</v>
      </c>
      <c r="T27" s="322">
        <f t="shared" si="17"/>
        <v>142707.73000000004</v>
      </c>
      <c r="U27" s="322">
        <f>+[1]DailyOct!AT26</f>
        <v>7152.6100000000415</v>
      </c>
      <c r="V27" s="316">
        <f t="shared" si="8"/>
        <v>141.02983220616443</v>
      </c>
      <c r="W27" s="316">
        <f t="shared" si="9"/>
        <v>142.73247924648868</v>
      </c>
      <c r="X27" s="322">
        <f t="shared" si="18"/>
        <v>312000</v>
      </c>
      <c r="Y27" s="322">
        <f>+[1]DailyOct!AU26</f>
        <v>18000</v>
      </c>
      <c r="Z27" s="322">
        <f t="shared" si="19"/>
        <v>354.91058225052745</v>
      </c>
      <c r="AA27" s="322">
        <f t="shared" si="20"/>
        <v>359.19540229885058</v>
      </c>
      <c r="AB27" s="322">
        <f t="shared" si="21"/>
        <v>209212.73000000039</v>
      </c>
      <c r="AC27" s="322">
        <f>+[1]DailyOct!AV26</f>
        <v>9772.6099999998187</v>
      </c>
      <c r="AD27" s="322">
        <f t="shared" si="22"/>
        <v>192.68903917818125</v>
      </c>
      <c r="AE27" s="396">
        <f t="shared" si="23"/>
        <v>195.01536558109473</v>
      </c>
      <c r="AF27" s="322">
        <f t="shared" si="24"/>
        <v>281344.5475999997</v>
      </c>
      <c r="AG27" s="322">
        <f>+[1]DailyOct!AW26</f>
        <v>14572.61</v>
      </c>
      <c r="AH27" s="322">
        <f t="shared" si="25"/>
        <v>287.33186111165884</v>
      </c>
      <c r="AI27" s="425">
        <f t="shared" si="26"/>
        <v>290.80080619412519</v>
      </c>
      <c r="AJ27" s="322">
        <f t="shared" si="27"/>
        <v>35260</v>
      </c>
      <c r="AK27" s="322">
        <f>+[1]DailyOct!AX26</f>
        <v>1880</v>
      </c>
      <c r="AL27" s="322">
        <f t="shared" si="28"/>
        <v>37.068438590610647</v>
      </c>
      <c r="AM27" s="425">
        <f t="shared" si="29"/>
        <v>37.515964240102171</v>
      </c>
      <c r="AN27" s="322">
        <f t="shared" si="30"/>
        <v>51377.829999999856</v>
      </c>
      <c r="AO27" s="319">
        <f t="shared" si="10"/>
        <v>1013.0297533371426</v>
      </c>
      <c r="AP27" s="320">
        <f t="shared" si="11"/>
        <v>1025.2600175606613</v>
      </c>
    </row>
    <row r="28" spans="1:47">
      <c r="A28" s="313">
        <f t="shared" si="12"/>
        <v>45951</v>
      </c>
      <c r="B28" s="321">
        <f>+Report1!P29</f>
        <v>46.879000000000005</v>
      </c>
      <c r="C28" s="321">
        <f>+Report1!R29</f>
        <v>42.328000000000003</v>
      </c>
      <c r="D28" s="322">
        <f t="shared" si="13"/>
        <v>0</v>
      </c>
      <c r="E28" s="322"/>
      <c r="F28" s="317">
        <f t="shared" si="0"/>
        <v>0</v>
      </c>
      <c r="G28" s="316">
        <f t="shared" si="1"/>
        <v>0</v>
      </c>
      <c r="H28" s="322">
        <f t="shared" si="14"/>
        <v>0</v>
      </c>
      <c r="I28" s="322"/>
      <c r="J28" s="316">
        <f t="shared" si="2"/>
        <v>0</v>
      </c>
      <c r="K28" s="316">
        <f t="shared" si="3"/>
        <v>0</v>
      </c>
      <c r="L28" s="322">
        <f t="shared" si="15"/>
        <v>0</v>
      </c>
      <c r="M28" s="322"/>
      <c r="N28" s="316">
        <f t="shared" si="4"/>
        <v>0</v>
      </c>
      <c r="O28" s="316">
        <f t="shared" si="5"/>
        <v>0</v>
      </c>
      <c r="P28" s="322">
        <f t="shared" si="16"/>
        <v>0</v>
      </c>
      <c r="Q28" s="322"/>
      <c r="R28" s="316">
        <f t="shared" si="6"/>
        <v>0</v>
      </c>
      <c r="S28" s="316">
        <f t="shared" si="7"/>
        <v>0</v>
      </c>
      <c r="T28" s="322">
        <f t="shared" si="17"/>
        <v>149605.16000000003</v>
      </c>
      <c r="U28" s="322">
        <f>+[1]DailyOct!AT27</f>
        <v>6897.4299999999894</v>
      </c>
      <c r="V28" s="316">
        <f t="shared" si="8"/>
        <v>147.13261801659567</v>
      </c>
      <c r="W28" s="316">
        <f t="shared" si="9"/>
        <v>162.95194670194644</v>
      </c>
      <c r="X28" s="322">
        <f t="shared" si="18"/>
        <v>329000</v>
      </c>
      <c r="Y28" s="322">
        <f>+[1]DailyOct!AU27</f>
        <v>17000</v>
      </c>
      <c r="Z28" s="322">
        <f t="shared" si="19"/>
        <v>362.6357217517438</v>
      </c>
      <c r="AA28" s="322">
        <f t="shared" si="20"/>
        <v>401.62540162540159</v>
      </c>
      <c r="AB28" s="322">
        <f t="shared" si="21"/>
        <v>219635.15999999986</v>
      </c>
      <c r="AC28" s="322">
        <f>+[1]DailyOct!AV27</f>
        <v>10422.429999999455</v>
      </c>
      <c r="AD28" s="322">
        <f t="shared" si="22"/>
        <v>222.32620149746054</v>
      </c>
      <c r="AE28" s="396">
        <f t="shared" si="23"/>
        <v>246.23015498014209</v>
      </c>
      <c r="AF28" s="322">
        <f t="shared" si="24"/>
        <v>293666.97759999969</v>
      </c>
      <c r="AG28" s="322">
        <f>+[1]DailyOct!AW27</f>
        <v>12322.43</v>
      </c>
      <c r="AH28" s="322">
        <f t="shared" si="25"/>
        <v>262.85607628149063</v>
      </c>
      <c r="AI28" s="425">
        <f t="shared" si="26"/>
        <v>291.11769986769986</v>
      </c>
      <c r="AJ28" s="322">
        <f t="shared" si="27"/>
        <v>36740</v>
      </c>
      <c r="AK28" s="322">
        <f>+[1]DailyOct!AX27</f>
        <v>1480</v>
      </c>
      <c r="AL28" s="322">
        <f t="shared" si="28"/>
        <v>31.570639305445933</v>
      </c>
      <c r="AM28" s="425">
        <f t="shared" si="29"/>
        <v>34.96503496503496</v>
      </c>
      <c r="AN28" s="322">
        <f t="shared" si="30"/>
        <v>48122.289999999448</v>
      </c>
      <c r="AO28" s="319">
        <f t="shared" si="10"/>
        <v>1026.5212568527368</v>
      </c>
      <c r="AP28" s="320">
        <f t="shared" si="11"/>
        <v>1136.8902381402249</v>
      </c>
    </row>
    <row r="29" spans="1:47">
      <c r="A29" s="313">
        <f t="shared" si="12"/>
        <v>45952</v>
      </c>
      <c r="B29" s="321">
        <f>+Report1!P30</f>
        <v>54.420999999999992</v>
      </c>
      <c r="C29" s="321">
        <f>+Report1!R30</f>
        <v>53.258000000000003</v>
      </c>
      <c r="D29" s="322">
        <f t="shared" si="13"/>
        <v>0</v>
      </c>
      <c r="E29" s="322"/>
      <c r="F29" s="316">
        <f t="shared" si="0"/>
        <v>0</v>
      </c>
      <c r="G29" s="316">
        <f t="shared" si="1"/>
        <v>0</v>
      </c>
      <c r="H29" s="322">
        <f t="shared" si="14"/>
        <v>0</v>
      </c>
      <c r="I29" s="322"/>
      <c r="J29" s="316">
        <f t="shared" si="2"/>
        <v>0</v>
      </c>
      <c r="K29" s="316">
        <f t="shared" si="3"/>
        <v>0</v>
      </c>
      <c r="L29" s="322">
        <f t="shared" si="15"/>
        <v>0</v>
      </c>
      <c r="M29" s="322"/>
      <c r="N29" s="316">
        <f t="shared" si="4"/>
        <v>0</v>
      </c>
      <c r="O29" s="316">
        <f t="shared" si="5"/>
        <v>0</v>
      </c>
      <c r="P29" s="322">
        <f t="shared" si="16"/>
        <v>0</v>
      </c>
      <c r="Q29" s="322"/>
      <c r="R29" s="316">
        <f t="shared" si="6"/>
        <v>0</v>
      </c>
      <c r="S29" s="316">
        <f t="shared" si="7"/>
        <v>0</v>
      </c>
      <c r="T29" s="322">
        <f t="shared" si="17"/>
        <v>156343.9</v>
      </c>
      <c r="U29" s="322">
        <f>+[1]DailyOct!AT28</f>
        <v>6738.7399999999725</v>
      </c>
      <c r="V29" s="316">
        <f t="shared" si="8"/>
        <v>123.82609654361319</v>
      </c>
      <c r="W29" s="316">
        <f t="shared" si="9"/>
        <v>126.53009876450434</v>
      </c>
      <c r="X29" s="322">
        <f t="shared" si="18"/>
        <v>343000</v>
      </c>
      <c r="Y29" s="322">
        <f>+[1]DailyOct!AU28</f>
        <v>14000</v>
      </c>
      <c r="Z29" s="322">
        <f t="shared" si="19"/>
        <v>257.25363370757617</v>
      </c>
      <c r="AA29" s="322">
        <f t="shared" si="20"/>
        <v>262.87130571932852</v>
      </c>
      <c r="AB29" s="322">
        <f t="shared" si="21"/>
        <v>230343.89999999985</v>
      </c>
      <c r="AC29" s="322">
        <f>+[1]DailyOct!AV28</f>
        <v>10708.74</v>
      </c>
      <c r="AD29" s="322">
        <f t="shared" si="22"/>
        <v>196.77587695926206</v>
      </c>
      <c r="AE29" s="396">
        <f t="shared" si="23"/>
        <v>201.07289045777159</v>
      </c>
      <c r="AF29" s="322">
        <f t="shared" si="24"/>
        <v>304375.71759999968</v>
      </c>
      <c r="AG29" s="322">
        <f>+[1]DailyOct!AW28</f>
        <v>10708.739999999998</v>
      </c>
      <c r="AH29" s="322">
        <f t="shared" si="25"/>
        <v>196.77587695926204</v>
      </c>
      <c r="AI29" s="425">
        <f t="shared" si="26"/>
        <v>201.07289045777156</v>
      </c>
      <c r="AJ29" s="322">
        <f t="shared" si="27"/>
        <v>38790</v>
      </c>
      <c r="AK29" s="322">
        <f>+[1]DailyOct!AX28</f>
        <v>2050</v>
      </c>
      <c r="AL29" s="322">
        <f t="shared" si="28"/>
        <v>37.669282078609363</v>
      </c>
      <c r="AM29" s="425">
        <f t="shared" si="29"/>
        <v>38.491869766044537</v>
      </c>
      <c r="AN29" s="322">
        <f t="shared" si="30"/>
        <v>44206.219999999972</v>
      </c>
      <c r="AO29" s="319">
        <f t="shared" si="10"/>
        <v>812.30076624832282</v>
      </c>
      <c r="AP29" s="320">
        <f t="shared" si="11"/>
        <v>830.03905516542056</v>
      </c>
    </row>
    <row r="30" spans="1:47">
      <c r="A30" s="313">
        <f t="shared" si="12"/>
        <v>45953</v>
      </c>
      <c r="B30" s="321">
        <f>+Report1!P31</f>
        <v>54.435999999999993</v>
      </c>
      <c r="C30" s="321">
        <f>+Report1!R31</f>
        <v>37.82</v>
      </c>
      <c r="D30" s="322">
        <f t="shared" si="13"/>
        <v>0</v>
      </c>
      <c r="E30" s="322"/>
      <c r="F30" s="316">
        <f t="shared" si="0"/>
        <v>0</v>
      </c>
      <c r="G30" s="316">
        <f t="shared" si="1"/>
        <v>0</v>
      </c>
      <c r="H30" s="322">
        <f t="shared" si="14"/>
        <v>0</v>
      </c>
      <c r="I30" s="322"/>
      <c r="J30" s="316">
        <f t="shared" si="2"/>
        <v>0</v>
      </c>
      <c r="K30" s="316">
        <f t="shared" si="3"/>
        <v>0</v>
      </c>
      <c r="L30" s="322">
        <f t="shared" si="15"/>
        <v>0</v>
      </c>
      <c r="M30" s="322"/>
      <c r="N30" s="316">
        <f t="shared" si="4"/>
        <v>0</v>
      </c>
      <c r="O30" s="316">
        <f t="shared" si="5"/>
        <v>0</v>
      </c>
      <c r="P30" s="322">
        <f t="shared" si="16"/>
        <v>0</v>
      </c>
      <c r="Q30" s="322"/>
      <c r="R30" s="316">
        <f t="shared" si="6"/>
        <v>0</v>
      </c>
      <c r="S30" s="316">
        <f t="shared" si="7"/>
        <v>0</v>
      </c>
      <c r="T30" s="322">
        <f t="shared" si="17"/>
        <v>164585.87000000002</v>
      </c>
      <c r="U30" s="322">
        <f>+[1]DailyOct!AT29</f>
        <v>8241.9700000000339</v>
      </c>
      <c r="V30" s="316">
        <f t="shared" si="8"/>
        <v>151.4066059225519</v>
      </c>
      <c r="W30" s="316">
        <f t="shared" si="9"/>
        <v>217.92622950819762</v>
      </c>
      <c r="X30" s="322">
        <f t="shared" si="18"/>
        <v>354000</v>
      </c>
      <c r="Y30" s="322">
        <f>+[1]DailyOct!AU29</f>
        <v>11000</v>
      </c>
      <c r="Z30" s="322">
        <f t="shared" si="19"/>
        <v>202.07215813064886</v>
      </c>
      <c r="AA30" s="322">
        <f t="shared" si="20"/>
        <v>290.85140137493391</v>
      </c>
      <c r="AB30" s="322">
        <f t="shared" si="21"/>
        <v>241235.87000000002</v>
      </c>
      <c r="AC30" s="322">
        <f>+[1]DailyOct!AV29</f>
        <v>10891.970000000181</v>
      </c>
      <c r="AD30" s="322">
        <f t="shared" si="22"/>
        <v>200.08762583584729</v>
      </c>
      <c r="AE30" s="396">
        <f t="shared" si="23"/>
        <v>287.99497620307193</v>
      </c>
      <c r="AF30" s="322">
        <f t="shared" si="24"/>
        <v>314967.68759999966</v>
      </c>
      <c r="AG30" s="322">
        <f>+[1]DailyOct!AW29</f>
        <v>10591.969999999998</v>
      </c>
      <c r="AH30" s="322">
        <f t="shared" si="25"/>
        <v>194.5765669777353</v>
      </c>
      <c r="AI30" s="425">
        <f t="shared" si="26"/>
        <v>280.062665256478</v>
      </c>
      <c r="AJ30" s="322">
        <f t="shared" si="27"/>
        <v>40700</v>
      </c>
      <c r="AK30" s="322">
        <f>+[1]DailyOct!AX29</f>
        <v>1910</v>
      </c>
      <c r="AL30" s="322">
        <f t="shared" si="28"/>
        <v>35.087074729958118</v>
      </c>
      <c r="AM30" s="425">
        <f t="shared" si="29"/>
        <v>50.502379693283977</v>
      </c>
      <c r="AN30" s="322">
        <f t="shared" si="30"/>
        <v>42635.910000000207</v>
      </c>
      <c r="AO30" s="319">
        <f t="shared" si="10"/>
        <v>783.23003159674136</v>
      </c>
      <c r="AP30" s="320">
        <f t="shared" si="11"/>
        <v>1127.3376520359652</v>
      </c>
    </row>
    <row r="31" spans="1:47">
      <c r="A31" s="313">
        <f t="shared" si="12"/>
        <v>45954</v>
      </c>
      <c r="B31" s="321">
        <f>+Report1!P32</f>
        <v>49.71</v>
      </c>
      <c r="C31" s="321">
        <f>+Report1!R32</f>
        <v>42.802999999999997</v>
      </c>
      <c r="D31" s="322">
        <f t="shared" si="13"/>
        <v>0</v>
      </c>
      <c r="E31" s="322"/>
      <c r="F31" s="316">
        <f t="shared" si="0"/>
        <v>0</v>
      </c>
      <c r="G31" s="316">
        <f t="shared" si="1"/>
        <v>0</v>
      </c>
      <c r="H31" s="322">
        <f t="shared" si="14"/>
        <v>0</v>
      </c>
      <c r="I31" s="322"/>
      <c r="J31" s="316">
        <f t="shared" si="2"/>
        <v>0</v>
      </c>
      <c r="K31" s="316">
        <f t="shared" si="3"/>
        <v>0</v>
      </c>
      <c r="L31" s="322">
        <f t="shared" si="15"/>
        <v>0</v>
      </c>
      <c r="M31" s="322"/>
      <c r="N31" s="316">
        <f t="shared" si="4"/>
        <v>0</v>
      </c>
      <c r="O31" s="316">
        <f t="shared" si="5"/>
        <v>0</v>
      </c>
      <c r="P31" s="322">
        <f t="shared" si="16"/>
        <v>0</v>
      </c>
      <c r="Q31" s="322"/>
      <c r="R31" s="316">
        <f t="shared" si="6"/>
        <v>0</v>
      </c>
      <c r="S31" s="316">
        <f t="shared" si="7"/>
        <v>0</v>
      </c>
      <c r="T31" s="322">
        <f t="shared" si="17"/>
        <v>172048.59999999998</v>
      </c>
      <c r="U31" s="322">
        <f>+[1]DailyOct!AT30</f>
        <v>7462.729999999965</v>
      </c>
      <c r="V31" s="316">
        <f t="shared" si="8"/>
        <v>150.12532689599607</v>
      </c>
      <c r="W31" s="316">
        <f t="shared" si="9"/>
        <v>174.35062962876353</v>
      </c>
      <c r="X31" s="322">
        <f t="shared" si="18"/>
        <v>369000</v>
      </c>
      <c r="Y31" s="322">
        <f>+[1]DailyOct!AU30</f>
        <v>15000</v>
      </c>
      <c r="Z31" s="322">
        <f t="shared" si="19"/>
        <v>301.75015087507541</v>
      </c>
      <c r="AA31" s="322">
        <f t="shared" si="20"/>
        <v>350.44272597715116</v>
      </c>
      <c r="AB31" s="322">
        <f t="shared" si="21"/>
        <v>252398.60000000021</v>
      </c>
      <c r="AC31" s="322">
        <f>+[1]DailyOct!AV30</f>
        <v>11162.730000000181</v>
      </c>
      <c r="AD31" s="322">
        <f t="shared" si="22"/>
        <v>224.55703077851905</v>
      </c>
      <c r="AE31" s="396">
        <f t="shared" si="23"/>
        <v>260.79316870313255</v>
      </c>
      <c r="AF31" s="322">
        <f t="shared" si="24"/>
        <v>326830.41759999964</v>
      </c>
      <c r="AG31" s="322">
        <f>+[1]DailyOct!AW30</f>
        <v>11862.73</v>
      </c>
      <c r="AH31" s="322">
        <f t="shared" si="25"/>
        <v>238.6387044860189</v>
      </c>
      <c r="AI31" s="425">
        <f t="shared" si="26"/>
        <v>277.14716258206204</v>
      </c>
      <c r="AJ31" s="322">
        <f t="shared" si="27"/>
        <v>42420</v>
      </c>
      <c r="AK31" s="322">
        <f>+[1]DailyOct!AX30</f>
        <v>1720</v>
      </c>
      <c r="AL31" s="322">
        <f t="shared" si="28"/>
        <v>34.600683967008649</v>
      </c>
      <c r="AM31" s="425">
        <f t="shared" si="29"/>
        <v>40.184099245379997</v>
      </c>
      <c r="AN31" s="322">
        <f t="shared" si="30"/>
        <v>47208.190000000148</v>
      </c>
      <c r="AO31" s="319">
        <f t="shared" si="10"/>
        <v>949.67189700261815</v>
      </c>
      <c r="AP31" s="320">
        <f t="shared" si="11"/>
        <v>1102.9177861364892</v>
      </c>
    </row>
    <row r="32" spans="1:47">
      <c r="A32" s="313">
        <f t="shared" si="12"/>
        <v>45955</v>
      </c>
      <c r="B32" s="321">
        <f>+Report1!P33</f>
        <v>48.901000000000003</v>
      </c>
      <c r="C32" s="321">
        <f>+Report1!R33</f>
        <v>46.290999999999997</v>
      </c>
      <c r="D32" s="322">
        <f t="shared" si="13"/>
        <v>0</v>
      </c>
      <c r="E32" s="322"/>
      <c r="F32" s="316">
        <f t="shared" si="0"/>
        <v>0</v>
      </c>
      <c r="G32" s="316">
        <f t="shared" si="1"/>
        <v>0</v>
      </c>
      <c r="H32" s="322">
        <f t="shared" si="14"/>
        <v>0</v>
      </c>
      <c r="I32" s="322"/>
      <c r="J32" s="316">
        <f t="shared" si="2"/>
        <v>0</v>
      </c>
      <c r="K32" s="316">
        <f t="shared" si="3"/>
        <v>0</v>
      </c>
      <c r="L32" s="322">
        <f t="shared" si="15"/>
        <v>0</v>
      </c>
      <c r="M32" s="322"/>
      <c r="N32" s="316">
        <f t="shared" si="4"/>
        <v>0</v>
      </c>
      <c r="O32" s="316">
        <f t="shared" si="5"/>
        <v>0</v>
      </c>
      <c r="P32" s="322">
        <f t="shared" si="16"/>
        <v>0</v>
      </c>
      <c r="Q32" s="322"/>
      <c r="R32" s="316">
        <f t="shared" si="6"/>
        <v>0</v>
      </c>
      <c r="S32" s="316">
        <f t="shared" si="7"/>
        <v>0</v>
      </c>
      <c r="T32" s="322">
        <f t="shared" si="17"/>
        <v>179843.91999999998</v>
      </c>
      <c r="U32" s="322">
        <f>+[1]DailyOct!AT31</f>
        <v>7795.3200000000106</v>
      </c>
      <c r="V32" s="316">
        <f t="shared" si="8"/>
        <v>159.41023700946832</v>
      </c>
      <c r="W32" s="316">
        <f t="shared" si="9"/>
        <v>168.39817675142061</v>
      </c>
      <c r="X32" s="322">
        <f t="shared" si="18"/>
        <v>388000</v>
      </c>
      <c r="Y32" s="322">
        <f>+[1]DailyOct!AU31</f>
        <v>19000</v>
      </c>
      <c r="Z32" s="322">
        <f t="shared" si="19"/>
        <v>388.54011165415835</v>
      </c>
      <c r="AA32" s="322">
        <f t="shared" si="20"/>
        <v>410.4469551316671</v>
      </c>
      <c r="AB32" s="322">
        <f t="shared" si="21"/>
        <v>262643.92000000022</v>
      </c>
      <c r="AC32" s="322">
        <f>+[1]DailyOct!AV31</f>
        <v>10245.32</v>
      </c>
      <c r="AD32" s="322">
        <f t="shared" si="22"/>
        <v>209.51146193329379</v>
      </c>
      <c r="AE32" s="396">
        <f t="shared" si="23"/>
        <v>221.3242314920827</v>
      </c>
      <c r="AF32" s="322">
        <f t="shared" si="24"/>
        <v>337575.73759999964</v>
      </c>
      <c r="AG32" s="322">
        <f>+[1]DailyOct!AW31</f>
        <v>10745.32</v>
      </c>
      <c r="AH32" s="322">
        <f t="shared" si="25"/>
        <v>219.73620171366636</v>
      </c>
      <c r="AI32" s="425">
        <f t="shared" si="26"/>
        <v>232.12546715344237</v>
      </c>
      <c r="AJ32" s="322">
        <f t="shared" si="27"/>
        <v>44510</v>
      </c>
      <c r="AK32" s="322">
        <f>+[1]DailyOct!AX31</f>
        <v>2090</v>
      </c>
      <c r="AL32" s="322">
        <f t="shared" si="28"/>
        <v>42.739412281957421</v>
      </c>
      <c r="AM32" s="425">
        <f t="shared" si="29"/>
        <v>45.149165064483377</v>
      </c>
      <c r="AN32" s="322">
        <f t="shared" si="30"/>
        <v>49875.960000000014</v>
      </c>
      <c r="AO32" s="319">
        <f t="shared" si="10"/>
        <v>1019.9374245925443</v>
      </c>
      <c r="AP32" s="320">
        <f t="shared" si="11"/>
        <v>1077.4439955930961</v>
      </c>
    </row>
    <row r="33" spans="1:42">
      <c r="A33" s="313">
        <f t="shared" si="12"/>
        <v>45956</v>
      </c>
      <c r="B33" s="321">
        <f>+Report1!P34</f>
        <v>48.096000000000004</v>
      </c>
      <c r="C33" s="321">
        <f>+Report1!R34</f>
        <v>42.771000000000001</v>
      </c>
      <c r="D33" s="322">
        <f t="shared" si="13"/>
        <v>0</v>
      </c>
      <c r="E33" s="322"/>
      <c r="F33" s="316">
        <f t="shared" si="0"/>
        <v>0</v>
      </c>
      <c r="G33" s="316">
        <f t="shared" si="1"/>
        <v>0</v>
      </c>
      <c r="H33" s="322">
        <f t="shared" si="14"/>
        <v>0</v>
      </c>
      <c r="I33" s="322"/>
      <c r="J33" s="316">
        <f t="shared" si="2"/>
        <v>0</v>
      </c>
      <c r="K33" s="316">
        <f t="shared" si="3"/>
        <v>0</v>
      </c>
      <c r="L33" s="322">
        <f t="shared" si="15"/>
        <v>0</v>
      </c>
      <c r="M33" s="322"/>
      <c r="N33" s="316">
        <f t="shared" si="4"/>
        <v>0</v>
      </c>
      <c r="O33" s="316">
        <f t="shared" si="5"/>
        <v>0</v>
      </c>
      <c r="P33" s="322">
        <f t="shared" si="16"/>
        <v>0</v>
      </c>
      <c r="Q33" s="322"/>
      <c r="R33" s="316">
        <f t="shared" si="6"/>
        <v>0</v>
      </c>
      <c r="S33" s="316">
        <f t="shared" si="7"/>
        <v>0</v>
      </c>
      <c r="T33" s="322">
        <f t="shared" si="17"/>
        <v>187914.02999999997</v>
      </c>
      <c r="U33" s="322">
        <f>+[1]DailyOct!AT32</f>
        <v>8070.1099999999897</v>
      </c>
      <c r="V33" s="316">
        <f t="shared" si="8"/>
        <v>167.7917082501661</v>
      </c>
      <c r="W33" s="316">
        <f t="shared" si="9"/>
        <v>188.68181711907576</v>
      </c>
      <c r="X33" s="322">
        <f t="shared" si="18"/>
        <v>406000</v>
      </c>
      <c r="Y33" s="322">
        <f>+[1]DailyOct!AU32</f>
        <v>18000</v>
      </c>
      <c r="Z33" s="322">
        <f t="shared" si="19"/>
        <v>374.25149700598797</v>
      </c>
      <c r="AA33" s="322">
        <f t="shared" si="20"/>
        <v>420.84590025952161</v>
      </c>
      <c r="AB33" s="322">
        <f t="shared" si="21"/>
        <v>272764.0300000002</v>
      </c>
      <c r="AC33" s="322">
        <f>+[1]DailyOct!AV32</f>
        <v>10120.11</v>
      </c>
      <c r="AD33" s="322">
        <f t="shared" si="22"/>
        <v>210.41479540918164</v>
      </c>
      <c r="AE33" s="396">
        <f t="shared" si="23"/>
        <v>236.6114890930771</v>
      </c>
      <c r="AF33" s="322">
        <f t="shared" si="24"/>
        <v>347195.84759999963</v>
      </c>
      <c r="AG33" s="322">
        <f>+[1]DailyOct!AW32</f>
        <v>9620.11</v>
      </c>
      <c r="AH33" s="322">
        <f t="shared" si="25"/>
        <v>200.01892049234863</v>
      </c>
      <c r="AI33" s="425">
        <f t="shared" si="26"/>
        <v>224.92132519697927</v>
      </c>
      <c r="AJ33" s="322">
        <f t="shared" si="27"/>
        <v>46130</v>
      </c>
      <c r="AK33" s="322">
        <f>+[1]DailyOct!AX32</f>
        <v>1620</v>
      </c>
      <c r="AL33" s="322">
        <f t="shared" si="28"/>
        <v>33.682634730538922</v>
      </c>
      <c r="AM33" s="425">
        <f t="shared" si="29"/>
        <v>37.876131023356947</v>
      </c>
      <c r="AN33" s="322">
        <f t="shared" si="30"/>
        <v>47430.329999999987</v>
      </c>
      <c r="AO33" s="319">
        <f t="shared" si="10"/>
        <v>986.15955588822317</v>
      </c>
      <c r="AP33" s="320">
        <f t="shared" si="11"/>
        <v>1108.9366626920107</v>
      </c>
    </row>
    <row r="34" spans="1:42">
      <c r="A34" s="313">
        <f t="shared" si="12"/>
        <v>45957</v>
      </c>
      <c r="B34" s="321">
        <f>+Report1!P35</f>
        <v>47.367999999999995</v>
      </c>
      <c r="C34" s="321">
        <f>+Report1!R35</f>
        <v>38.155000000000001</v>
      </c>
      <c r="D34" s="322">
        <f t="shared" si="13"/>
        <v>0</v>
      </c>
      <c r="E34" s="322"/>
      <c r="F34" s="316">
        <f t="shared" si="0"/>
        <v>0</v>
      </c>
      <c r="G34" s="316">
        <f t="shared" si="1"/>
        <v>0</v>
      </c>
      <c r="H34" s="322">
        <f t="shared" si="14"/>
        <v>0</v>
      </c>
      <c r="I34" s="322"/>
      <c r="J34" s="316">
        <f t="shared" si="2"/>
        <v>0</v>
      </c>
      <c r="K34" s="316">
        <f t="shared" si="3"/>
        <v>0</v>
      </c>
      <c r="L34" s="322">
        <f t="shared" si="15"/>
        <v>0</v>
      </c>
      <c r="M34" s="322"/>
      <c r="N34" s="316">
        <f t="shared" si="4"/>
        <v>0</v>
      </c>
      <c r="O34" s="316">
        <f t="shared" si="5"/>
        <v>0</v>
      </c>
      <c r="P34" s="322">
        <f t="shared" si="16"/>
        <v>0</v>
      </c>
      <c r="Q34" s="322"/>
      <c r="R34" s="316">
        <f t="shared" si="6"/>
        <v>0</v>
      </c>
      <c r="S34" s="316">
        <f t="shared" si="7"/>
        <v>0</v>
      </c>
      <c r="T34" s="322">
        <f t="shared" si="17"/>
        <v>197219.94</v>
      </c>
      <c r="U34" s="322">
        <f>+[1]DailyOct!AT33</f>
        <v>9305.9100000000344</v>
      </c>
      <c r="V34" s="316">
        <f t="shared" si="8"/>
        <v>196.45984630974573</v>
      </c>
      <c r="W34" s="316">
        <f t="shared" si="9"/>
        <v>243.89752326038615</v>
      </c>
      <c r="X34" s="322">
        <f t="shared" si="18"/>
        <v>424000</v>
      </c>
      <c r="Y34" s="322">
        <f>+[1]DailyOct!AU33</f>
        <v>18000</v>
      </c>
      <c r="Z34" s="322">
        <f t="shared" si="19"/>
        <v>380.00337780780279</v>
      </c>
      <c r="AA34" s="322">
        <f t="shared" si="20"/>
        <v>471.75992661512254</v>
      </c>
      <c r="AB34" s="322">
        <f t="shared" si="21"/>
        <v>283419.94000000018</v>
      </c>
      <c r="AC34" s="322">
        <f>+[1]DailyOct!AV33</f>
        <v>10655.91</v>
      </c>
      <c r="AD34" s="322">
        <f t="shared" si="22"/>
        <v>224.96009964533019</v>
      </c>
      <c r="AE34" s="396">
        <f t="shared" si="23"/>
        <v>279.27951775651945</v>
      </c>
      <c r="AF34" s="322">
        <f t="shared" si="24"/>
        <v>357351.7575999996</v>
      </c>
      <c r="AG34" s="322">
        <f>+[1]DailyOct!AW33</f>
        <v>10155.91</v>
      </c>
      <c r="AH34" s="322">
        <f t="shared" si="25"/>
        <v>214.40445026178011</v>
      </c>
      <c r="AI34" s="425">
        <f t="shared" si="26"/>
        <v>266.17507535054381</v>
      </c>
      <c r="AJ34" s="322">
        <f t="shared" si="27"/>
        <v>48010</v>
      </c>
      <c r="AK34" s="322">
        <f>+[1]DailyOct!AX33</f>
        <v>1880</v>
      </c>
      <c r="AL34" s="322">
        <f t="shared" si="28"/>
        <v>39.689241682148293</v>
      </c>
      <c r="AM34" s="425">
        <f t="shared" si="29"/>
        <v>49.272703446468348</v>
      </c>
      <c r="AN34" s="322">
        <f t="shared" si="30"/>
        <v>49997.73000000004</v>
      </c>
      <c r="AO34" s="319">
        <f t="shared" si="10"/>
        <v>1055.5170157068073</v>
      </c>
      <c r="AP34" s="320">
        <f t="shared" si="11"/>
        <v>1310.3847464290404</v>
      </c>
    </row>
    <row r="35" spans="1:42">
      <c r="A35" s="313">
        <f t="shared" si="12"/>
        <v>45958</v>
      </c>
      <c r="B35" s="321">
        <f>+Report1!P36</f>
        <v>45.185000000000002</v>
      </c>
      <c r="C35" s="321">
        <f>+Report1!R36</f>
        <v>40.47</v>
      </c>
      <c r="D35" s="322">
        <f t="shared" si="13"/>
        <v>0</v>
      </c>
      <c r="E35" s="322"/>
      <c r="F35" s="316">
        <f t="shared" si="0"/>
        <v>0</v>
      </c>
      <c r="G35" s="316">
        <f t="shared" si="1"/>
        <v>0</v>
      </c>
      <c r="H35" s="322">
        <f t="shared" si="14"/>
        <v>0</v>
      </c>
      <c r="I35" s="322"/>
      <c r="J35" s="316">
        <f t="shared" si="2"/>
        <v>0</v>
      </c>
      <c r="K35" s="316">
        <f t="shared" si="3"/>
        <v>0</v>
      </c>
      <c r="L35" s="322">
        <f t="shared" si="15"/>
        <v>0</v>
      </c>
      <c r="M35" s="322"/>
      <c r="N35" s="316">
        <f t="shared" si="4"/>
        <v>0</v>
      </c>
      <c r="O35" s="316">
        <f t="shared" si="5"/>
        <v>0</v>
      </c>
      <c r="P35" s="322">
        <f t="shared" si="16"/>
        <v>0</v>
      </c>
      <c r="Q35" s="322"/>
      <c r="R35" s="316">
        <f t="shared" si="6"/>
        <v>0</v>
      </c>
      <c r="S35" s="316">
        <f t="shared" si="7"/>
        <v>0</v>
      </c>
      <c r="T35" s="322">
        <f t="shared" si="17"/>
        <v>202474.32999999996</v>
      </c>
      <c r="U35" s="322">
        <f>+[1]DailyOct!AT34</f>
        <v>5254.3899999999612</v>
      </c>
      <c r="V35" s="316">
        <f t="shared" si="8"/>
        <v>116.28615691047828</v>
      </c>
      <c r="W35" s="316">
        <f t="shared" si="9"/>
        <v>129.8341981714841</v>
      </c>
      <c r="X35" s="322">
        <f t="shared" si="18"/>
        <v>442000</v>
      </c>
      <c r="Y35" s="322">
        <f>+[1]DailyOct!AU34</f>
        <v>18000</v>
      </c>
      <c r="Z35" s="322">
        <f t="shared" si="19"/>
        <v>398.36228837003426</v>
      </c>
      <c r="AA35" s="322">
        <f t="shared" si="20"/>
        <v>444.77390659747965</v>
      </c>
      <c r="AB35" s="322">
        <f t="shared" si="21"/>
        <v>293094.32999999984</v>
      </c>
      <c r="AC35" s="322">
        <f>+[1]DailyOct!AV34</f>
        <v>9674.3899999996356</v>
      </c>
      <c r="AD35" s="322">
        <f t="shared" si="22"/>
        <v>214.10622994355728</v>
      </c>
      <c r="AE35" s="396">
        <f t="shared" si="23"/>
        <v>239.05090190263493</v>
      </c>
      <c r="AF35" s="322">
        <f t="shared" si="24"/>
        <v>367626.14759999962</v>
      </c>
      <c r="AG35" s="322">
        <f>+[1]DailyOct!AW34</f>
        <v>10274.39</v>
      </c>
      <c r="AH35" s="322">
        <f t="shared" si="25"/>
        <v>227.38497288923313</v>
      </c>
      <c r="AI35" s="425">
        <f t="shared" si="26"/>
        <v>253.87669878922659</v>
      </c>
      <c r="AJ35" s="322">
        <f t="shared" si="27"/>
        <v>50020</v>
      </c>
      <c r="AK35" s="322">
        <f>+[1]DailyOct!AX34</f>
        <v>2010</v>
      </c>
      <c r="AL35" s="322">
        <f t="shared" si="28"/>
        <v>44.483788867987158</v>
      </c>
      <c r="AM35" s="425">
        <f t="shared" si="29"/>
        <v>49.666419570051893</v>
      </c>
      <c r="AN35" s="322">
        <f t="shared" si="30"/>
        <v>45213.169999999598</v>
      </c>
      <c r="AO35" s="319">
        <f t="shared" si="10"/>
        <v>1000.6234369812902</v>
      </c>
      <c r="AP35" s="320">
        <f t="shared" si="11"/>
        <v>1117.2021250308771</v>
      </c>
    </row>
    <row r="36" spans="1:42">
      <c r="A36" s="313">
        <f t="shared" si="12"/>
        <v>45959</v>
      </c>
      <c r="B36" s="321">
        <f>+Report1!P37</f>
        <v>47.158999999999999</v>
      </c>
      <c r="C36" s="321">
        <f>+Report1!R37</f>
        <v>43.073999999999998</v>
      </c>
      <c r="D36" s="322">
        <f t="shared" si="13"/>
        <v>0</v>
      </c>
      <c r="E36" s="322"/>
      <c r="F36" s="316">
        <f t="shared" si="0"/>
        <v>0</v>
      </c>
      <c r="G36" s="316">
        <f t="shared" si="1"/>
        <v>0</v>
      </c>
      <c r="H36" s="322">
        <f t="shared" si="14"/>
        <v>0</v>
      </c>
      <c r="I36" s="322"/>
      <c r="J36" s="316">
        <f t="shared" si="2"/>
        <v>0</v>
      </c>
      <c r="K36" s="316">
        <f t="shared" si="3"/>
        <v>0</v>
      </c>
      <c r="L36" s="322">
        <f t="shared" si="15"/>
        <v>0</v>
      </c>
      <c r="M36" s="322"/>
      <c r="N36" s="316">
        <f t="shared" si="4"/>
        <v>0</v>
      </c>
      <c r="O36" s="316">
        <f t="shared" si="5"/>
        <v>0</v>
      </c>
      <c r="P36" s="322">
        <f t="shared" si="16"/>
        <v>0</v>
      </c>
      <c r="Q36" s="322"/>
      <c r="R36" s="316">
        <f t="shared" si="6"/>
        <v>0</v>
      </c>
      <c r="S36" s="316">
        <f t="shared" si="7"/>
        <v>0</v>
      </c>
      <c r="T36" s="322">
        <f t="shared" si="17"/>
        <v>209693.90999999995</v>
      </c>
      <c r="U36" s="322">
        <f>+[1]DailyOct!AT35</f>
        <v>7219.5799999999981</v>
      </c>
      <c r="V36" s="316">
        <f t="shared" si="8"/>
        <v>153.09018427023472</v>
      </c>
      <c r="W36" s="316">
        <f t="shared" si="9"/>
        <v>167.60876630914237</v>
      </c>
      <c r="X36" s="322">
        <f t="shared" si="18"/>
        <v>459000</v>
      </c>
      <c r="Y36" s="322">
        <f>+[1]DailyOct!AU35</f>
        <v>17000</v>
      </c>
      <c r="Z36" s="322">
        <f t="shared" si="19"/>
        <v>360.48262261710386</v>
      </c>
      <c r="AA36" s="322">
        <f t="shared" si="20"/>
        <v>394.66963829688444</v>
      </c>
      <c r="AB36" s="322">
        <f t="shared" si="21"/>
        <v>304023.91000000038</v>
      </c>
      <c r="AC36" s="322">
        <f>+[1]DailyOct!AV35</f>
        <v>10929.580000000546</v>
      </c>
      <c r="AD36" s="322">
        <f t="shared" si="22"/>
        <v>231.76021544139073</v>
      </c>
      <c r="AE36" s="396">
        <f t="shared" si="23"/>
        <v>253.73961090218103</v>
      </c>
      <c r="AF36" s="322">
        <f t="shared" si="24"/>
        <v>379655.72759999963</v>
      </c>
      <c r="AG36" s="322">
        <f>+[1]DailyOct!AW35</f>
        <v>12029.579999999998</v>
      </c>
      <c r="AH36" s="322">
        <f t="shared" si="25"/>
        <v>255.08556161072113</v>
      </c>
      <c r="AI36" s="425">
        <f t="shared" si="26"/>
        <v>279.27705808608437</v>
      </c>
      <c r="AJ36" s="322">
        <f t="shared" si="27"/>
        <v>51915</v>
      </c>
      <c r="AK36" s="322">
        <f>+[1]DailyOct!AX35</f>
        <v>1895</v>
      </c>
      <c r="AL36" s="322">
        <f t="shared" si="28"/>
        <v>40.183209991730102</v>
      </c>
      <c r="AM36" s="425">
        <f t="shared" si="29"/>
        <v>43.994056739564471</v>
      </c>
      <c r="AN36" s="322">
        <f t="shared" si="30"/>
        <v>49073.740000000544</v>
      </c>
      <c r="AO36" s="319">
        <f t="shared" si="10"/>
        <v>1040.6017939311805</v>
      </c>
      <c r="AP36" s="320">
        <f t="shared" si="11"/>
        <v>1139.2891303338567</v>
      </c>
    </row>
    <row r="37" spans="1:42">
      <c r="A37" s="313">
        <f t="shared" si="12"/>
        <v>45960</v>
      </c>
      <c r="B37" s="321">
        <f>+Report1!P38</f>
        <v>48.623000000000005</v>
      </c>
      <c r="C37" s="321">
        <f>+Report1!R38</f>
        <v>38.984000000000002</v>
      </c>
      <c r="D37" s="322">
        <f t="shared" si="13"/>
        <v>0</v>
      </c>
      <c r="E37" s="322"/>
      <c r="F37" s="316">
        <f t="shared" si="0"/>
        <v>0</v>
      </c>
      <c r="G37" s="316">
        <f t="shared" si="1"/>
        <v>0</v>
      </c>
      <c r="H37" s="322">
        <f t="shared" si="14"/>
        <v>0</v>
      </c>
      <c r="I37" s="322"/>
      <c r="J37" s="316">
        <f t="shared" si="2"/>
        <v>0</v>
      </c>
      <c r="K37" s="316">
        <f t="shared" si="3"/>
        <v>0</v>
      </c>
      <c r="L37" s="322">
        <f t="shared" si="15"/>
        <v>0</v>
      </c>
      <c r="M37" s="322"/>
      <c r="N37" s="316">
        <f t="shared" si="4"/>
        <v>0</v>
      </c>
      <c r="O37" s="316">
        <f t="shared" si="5"/>
        <v>0</v>
      </c>
      <c r="P37" s="322">
        <f t="shared" si="16"/>
        <v>0</v>
      </c>
      <c r="Q37" s="322"/>
      <c r="R37" s="316">
        <f t="shared" si="6"/>
        <v>0</v>
      </c>
      <c r="S37" s="316">
        <f t="shared" si="7"/>
        <v>0</v>
      </c>
      <c r="T37" s="322">
        <f t="shared" si="17"/>
        <v>217654.20999999993</v>
      </c>
      <c r="U37" s="322">
        <f>+[1]DailyOct!AT36</f>
        <v>7960.2999999999947</v>
      </c>
      <c r="V37" s="316">
        <f t="shared" si="8"/>
        <v>163.71470291837184</v>
      </c>
      <c r="W37" s="316">
        <f t="shared" si="9"/>
        <v>204.19402831931035</v>
      </c>
      <c r="X37" s="322">
        <f t="shared" si="18"/>
        <v>477000</v>
      </c>
      <c r="Y37" s="322">
        <f>+[1]DailyOct!AU36</f>
        <v>18000</v>
      </c>
      <c r="Z37" s="322">
        <f t="shared" si="19"/>
        <v>370.19517512288422</v>
      </c>
      <c r="AA37" s="322">
        <f t="shared" si="20"/>
        <v>461.72788836445721</v>
      </c>
      <c r="AB37" s="322">
        <f t="shared" si="21"/>
        <v>314329.20999999985</v>
      </c>
      <c r="AC37" s="322">
        <f>+[1]DailyOct!AV36</f>
        <v>10305.299999999454</v>
      </c>
      <c r="AD37" s="322">
        <f t="shared" si="22"/>
        <v>211.94290767742535</v>
      </c>
      <c r="AE37" s="396">
        <f t="shared" si="23"/>
        <v>264.34691155344382</v>
      </c>
      <c r="AF37" s="322">
        <f t="shared" si="24"/>
        <v>396743.14759999962</v>
      </c>
      <c r="AG37" s="322">
        <f>+[1]DailyOct!AW36</f>
        <v>17087.419999999998</v>
      </c>
      <c r="AH37" s="322">
        <f t="shared" si="25"/>
        <v>351.42669107212629</v>
      </c>
      <c r="AI37" s="425">
        <f t="shared" si="26"/>
        <v>438.31879745536622</v>
      </c>
      <c r="AJ37" s="322">
        <f t="shared" si="27"/>
        <v>53680</v>
      </c>
      <c r="AK37" s="322">
        <f>+[1]DailyOct!AX36</f>
        <v>1765</v>
      </c>
      <c r="AL37" s="322">
        <f t="shared" si="28"/>
        <v>36.299693560660586</v>
      </c>
      <c r="AM37" s="425">
        <f t="shared" si="29"/>
        <v>45.274984609070387</v>
      </c>
      <c r="AN37" s="322">
        <f t="shared" si="30"/>
        <v>55118.019999999451</v>
      </c>
      <c r="AO37" s="319">
        <f t="shared" si="10"/>
        <v>1133.5791703514683</v>
      </c>
      <c r="AP37" s="320">
        <f t="shared" si="11"/>
        <v>1413.8626103016481</v>
      </c>
    </row>
    <row r="38" spans="1:42">
      <c r="A38" s="313">
        <f t="shared" si="12"/>
        <v>45961</v>
      </c>
      <c r="B38" s="321">
        <f>+Report1!P39</f>
        <v>50.302</v>
      </c>
      <c r="C38" s="321">
        <f>+Report1!R39</f>
        <v>45.201999999999998</v>
      </c>
      <c r="D38" s="322">
        <f t="shared" si="13"/>
        <v>0</v>
      </c>
      <c r="E38" s="322"/>
      <c r="F38" s="316">
        <f t="shared" si="0"/>
        <v>0</v>
      </c>
      <c r="G38" s="316">
        <f t="shared" si="1"/>
        <v>0</v>
      </c>
      <c r="H38" s="322">
        <f t="shared" si="14"/>
        <v>0</v>
      </c>
      <c r="I38" s="322"/>
      <c r="J38" s="316">
        <f t="shared" si="2"/>
        <v>0</v>
      </c>
      <c r="K38" s="316">
        <f t="shared" si="3"/>
        <v>0</v>
      </c>
      <c r="L38" s="322">
        <f t="shared" si="15"/>
        <v>0</v>
      </c>
      <c r="M38" s="322"/>
      <c r="N38" s="316">
        <f t="shared" si="4"/>
        <v>0</v>
      </c>
      <c r="O38" s="316">
        <f t="shared" si="5"/>
        <v>0</v>
      </c>
      <c r="P38" s="322">
        <f t="shared" si="16"/>
        <v>0</v>
      </c>
      <c r="Q38" s="322"/>
      <c r="R38" s="317">
        <f t="shared" si="6"/>
        <v>0</v>
      </c>
      <c r="S38" s="317">
        <f t="shared" si="7"/>
        <v>0</v>
      </c>
      <c r="T38" s="322">
        <f t="shared" si="17"/>
        <v>225934.19999999995</v>
      </c>
      <c r="U38" s="322">
        <f>+[1]DailyOct!AT37</f>
        <v>8279.9900000000052</v>
      </c>
      <c r="V38" s="316">
        <f t="shared" si="8"/>
        <v>164.60558228301073</v>
      </c>
      <c r="W38" s="316">
        <f t="shared" si="9"/>
        <v>183.17751426928024</v>
      </c>
      <c r="X38" s="322">
        <f t="shared" si="18"/>
        <v>494000</v>
      </c>
      <c r="Y38" s="322">
        <f>+[1]DailyOct!AU37</f>
        <v>17000</v>
      </c>
      <c r="Z38" s="322">
        <f t="shared" si="19"/>
        <v>337.95872927517792</v>
      </c>
      <c r="AA38" s="322">
        <f t="shared" si="20"/>
        <v>376.08955355957704</v>
      </c>
      <c r="AB38" s="322">
        <f t="shared" si="21"/>
        <v>325264.20000000042</v>
      </c>
      <c r="AC38" s="322">
        <f>+[1]DailyOct!AV37</f>
        <v>10934.990000000545</v>
      </c>
      <c r="AD38" s="322">
        <f t="shared" si="22"/>
        <v>217.38678382570367</v>
      </c>
      <c r="AE38" s="396">
        <f t="shared" si="23"/>
        <v>241.91385336933203</v>
      </c>
      <c r="AF38" s="322">
        <f t="shared" si="24"/>
        <v>417813.1275999996</v>
      </c>
      <c r="AG38" s="322">
        <f>+[1]DailyOct!AW37</f>
        <v>21069.979999999996</v>
      </c>
      <c r="AH38" s="322">
        <f t="shared" si="25"/>
        <v>418.86962745020071</v>
      </c>
      <c r="AI38" s="425">
        <f t="shared" si="26"/>
        <v>466.12937480642444</v>
      </c>
      <c r="AJ38" s="322">
        <f t="shared" si="27"/>
        <v>55605</v>
      </c>
      <c r="AK38" s="322">
        <f>+[1]DailyOct!AX37</f>
        <v>1925</v>
      </c>
      <c r="AL38" s="322">
        <f t="shared" si="28"/>
        <v>38.26885610910103</v>
      </c>
      <c r="AM38" s="425">
        <f t="shared" si="29"/>
        <v>42.586611211893278</v>
      </c>
      <c r="AN38" s="322">
        <f t="shared" si="30"/>
        <v>59209.960000000545</v>
      </c>
      <c r="AO38" s="319">
        <f t="shared" si="10"/>
        <v>1177.0895789431941</v>
      </c>
      <c r="AP38" s="320">
        <f t="shared" si="11"/>
        <v>1309.8969072165069</v>
      </c>
    </row>
    <row r="39" spans="1:42">
      <c r="A39" s="313"/>
      <c r="B39" s="321"/>
      <c r="C39" s="321"/>
      <c r="D39" s="304"/>
      <c r="E39" s="315"/>
      <c r="F39" s="316"/>
      <c r="G39" s="316"/>
      <c r="H39" s="308"/>
      <c r="I39" s="310"/>
      <c r="J39" s="316"/>
      <c r="K39" s="316"/>
      <c r="L39" s="310"/>
      <c r="M39" s="315"/>
      <c r="N39" s="316"/>
      <c r="O39" s="316"/>
      <c r="P39" s="311"/>
      <c r="Q39" s="315"/>
      <c r="R39" s="317"/>
      <c r="S39" s="317"/>
      <c r="T39" s="312"/>
      <c r="U39" s="322"/>
      <c r="V39" s="316"/>
      <c r="W39" s="316"/>
      <c r="X39" s="322"/>
      <c r="Y39" s="322"/>
      <c r="Z39" s="322"/>
      <c r="AA39" s="322"/>
      <c r="AB39" s="322"/>
      <c r="AC39" s="322"/>
      <c r="AD39" s="322"/>
      <c r="AE39" s="322"/>
      <c r="AF39" s="322"/>
      <c r="AG39" s="322"/>
      <c r="AH39" s="322"/>
      <c r="AI39" s="322"/>
      <c r="AJ39" s="322"/>
      <c r="AK39" s="322"/>
      <c r="AL39" s="322"/>
      <c r="AM39" s="322"/>
      <c r="AN39" s="318"/>
      <c r="AO39" s="319"/>
      <c r="AP39" s="320"/>
    </row>
    <row r="40" spans="1:42">
      <c r="A40" s="323" t="s">
        <v>27</v>
      </c>
      <c r="B40" s="324">
        <f>SUM(B8:B38)</f>
        <v>1512.7539999999999</v>
      </c>
      <c r="C40" s="324">
        <f>SUM(C8:C38)</f>
        <v>1387.3799999999999</v>
      </c>
      <c r="D40" s="318"/>
      <c r="E40" s="324">
        <f>SUM(E8:E38)</f>
        <v>0</v>
      </c>
      <c r="F40" s="325">
        <f>E40/B40</f>
        <v>0</v>
      </c>
      <c r="G40" s="325">
        <f>E40/C40</f>
        <v>0</v>
      </c>
      <c r="H40" s="326"/>
      <c r="I40" s="324">
        <f>SUM(I8:I38)</f>
        <v>0</v>
      </c>
      <c r="J40" s="325">
        <f>I40/B40</f>
        <v>0</v>
      </c>
      <c r="K40" s="325">
        <f>I40/C40</f>
        <v>0</v>
      </c>
      <c r="L40" s="327"/>
      <c r="M40" s="324">
        <f>SUM(M8:M38)</f>
        <v>0</v>
      </c>
      <c r="N40" s="325">
        <f>M40/B40</f>
        <v>0</v>
      </c>
      <c r="O40" s="325">
        <f>M40/C40</f>
        <v>0</v>
      </c>
      <c r="P40" s="328"/>
      <c r="Q40" s="324">
        <f>SUM(Q8:Q38)</f>
        <v>0</v>
      </c>
      <c r="R40" s="325">
        <f>Q40/B40</f>
        <v>0</v>
      </c>
      <c r="S40" s="325">
        <f>Q40/C40</f>
        <v>0</v>
      </c>
      <c r="T40" s="329"/>
      <c r="U40" s="322">
        <f>SUM(U8:U39)</f>
        <v>225934.19999999995</v>
      </c>
      <c r="V40" s="325">
        <f>U40/B40</f>
        <v>149.35290205810063</v>
      </c>
      <c r="W40" s="390">
        <f>U40/C40</f>
        <v>162.84954374432382</v>
      </c>
      <c r="X40" s="330"/>
      <c r="Y40" s="322">
        <f>SUM(Y8:Y39)</f>
        <v>494000</v>
      </c>
      <c r="Z40" s="325">
        <f>Y40/B40</f>
        <v>326.55673030776984</v>
      </c>
      <c r="AA40" s="390">
        <f>Y40/C40</f>
        <v>356.06683100520411</v>
      </c>
      <c r="AB40" s="330"/>
      <c r="AC40" s="322">
        <f>SUM(AC8:AC39)</f>
        <v>325264.20000000042</v>
      </c>
      <c r="AD40" s="528">
        <f>AC40/B40</f>
        <v>215.01460250642236</v>
      </c>
      <c r="AE40" s="390">
        <f>AC40/C40</f>
        <v>234.44492496648391</v>
      </c>
      <c r="AF40" s="330"/>
      <c r="AG40" s="322">
        <f>SUM(AG8:AG39)</f>
        <v>417813.1275999996</v>
      </c>
      <c r="AH40" s="325">
        <f>AG40/B40</f>
        <v>276.19370208242691</v>
      </c>
      <c r="AI40" s="390">
        <f>AG40/C40</f>
        <v>301.1526240828033</v>
      </c>
      <c r="AJ40" s="330"/>
      <c r="AK40" s="322">
        <f>SUM(AK8:AK39)</f>
        <v>55605</v>
      </c>
      <c r="AL40" s="325">
        <f>AK40/B40</f>
        <v>36.757463540007166</v>
      </c>
      <c r="AM40" s="390">
        <f>AK40/C40</f>
        <v>40.079141979846909</v>
      </c>
      <c r="AN40" s="322">
        <f>+E40+I40+M40+Q40+U40+Y40+AC40+AG40+AK40</f>
        <v>1518616.5275999999</v>
      </c>
      <c r="AO40" s="390">
        <f>AN40/B40</f>
        <v>1003.8754004947268</v>
      </c>
      <c r="AP40" s="327">
        <f>AN40/C40</f>
        <v>1094.5930657786619</v>
      </c>
    </row>
    <row r="41" spans="1:42">
      <c r="T41" s="331"/>
    </row>
    <row r="42" spans="1:42">
      <c r="AN42" s="4">
        <f>+AN40-[1]DailyOct!$AY$38</f>
        <v>0</v>
      </c>
    </row>
    <row r="43" spans="1:42">
      <c r="G43" s="332"/>
      <c r="H43" s="333"/>
    </row>
    <row r="44" spans="1:42">
      <c r="G44" s="332"/>
      <c r="I44" s="332"/>
      <c r="L44" s="332"/>
    </row>
    <row r="45" spans="1:42">
      <c r="E45" t="s">
        <v>0</v>
      </c>
      <c r="G45" s="332"/>
    </row>
  </sheetData>
  <mergeCells count="15">
    <mergeCell ref="A2:AN2"/>
    <mergeCell ref="D4:AM4"/>
    <mergeCell ref="AN4:AP5"/>
    <mergeCell ref="A4:A6"/>
    <mergeCell ref="B4:B6"/>
    <mergeCell ref="C4:C6"/>
    <mergeCell ref="D5:G5"/>
    <mergeCell ref="AB5:AE5"/>
    <mergeCell ref="AF5:AI5"/>
    <mergeCell ref="H5:K5"/>
    <mergeCell ref="L5:O5"/>
    <mergeCell ref="P5:S5"/>
    <mergeCell ref="T5:W5"/>
    <mergeCell ref="X5:AA5"/>
    <mergeCell ref="AJ5:AM5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opLeftCell="A104" workbookViewId="0">
      <selection activeCell="A119" sqref="A119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9">
      <c r="A1" s="529" t="s">
        <v>235</v>
      </c>
      <c r="B1" s="530">
        <f>+Report1!A9</f>
        <v>45931</v>
      </c>
      <c r="C1" s="96"/>
      <c r="G1" s="97"/>
      <c r="H1" s="98"/>
    </row>
    <row r="2" spans="1:9" ht="13.5" thickBot="1">
      <c r="A2" s="95"/>
      <c r="B2" s="96"/>
      <c r="C2" s="96"/>
      <c r="G2" s="97"/>
      <c r="H2" s="98"/>
    </row>
    <row r="3" spans="1:9" ht="26.25" thickBot="1">
      <c r="A3" s="389" t="s">
        <v>134</v>
      </c>
      <c r="B3" s="525" t="s">
        <v>8</v>
      </c>
      <c r="C3" s="525" t="s">
        <v>107</v>
      </c>
      <c r="D3" s="525" t="s">
        <v>135</v>
      </c>
      <c r="E3" s="525" t="s">
        <v>136</v>
      </c>
      <c r="F3" s="525" t="s">
        <v>137</v>
      </c>
      <c r="G3" s="526" t="s">
        <v>138</v>
      </c>
      <c r="H3" s="527" t="s">
        <v>139</v>
      </c>
      <c r="I3" s="567" t="s">
        <v>402</v>
      </c>
    </row>
    <row r="4" spans="1:9">
      <c r="A4" s="340">
        <f>+B1</f>
        <v>45931</v>
      </c>
      <c r="B4" s="523" t="s">
        <v>434</v>
      </c>
      <c r="C4" s="521">
        <v>2</v>
      </c>
      <c r="D4" s="522" t="s">
        <v>436</v>
      </c>
      <c r="E4" s="522">
        <f>140+126</f>
        <v>266</v>
      </c>
      <c r="F4" s="523">
        <f>14+13+13</f>
        <v>40</v>
      </c>
      <c r="G4" s="524">
        <f>+E4*F4</f>
        <v>10640</v>
      </c>
      <c r="H4" s="488">
        <f>+G4/F4</f>
        <v>266</v>
      </c>
      <c r="I4" s="488">
        <f>+'1'!L37</f>
        <v>22.826000000000001</v>
      </c>
    </row>
    <row r="5" spans="1:9">
      <c r="A5" s="562"/>
      <c r="B5" s="523" t="s">
        <v>435</v>
      </c>
      <c r="C5" s="521">
        <v>2</v>
      </c>
      <c r="D5" s="522" t="s">
        <v>437</v>
      </c>
      <c r="E5" s="522">
        <f>213+43+19</f>
        <v>275</v>
      </c>
      <c r="F5" s="523">
        <v>0</v>
      </c>
      <c r="G5" s="524">
        <f>+E5*F5</f>
        <v>0</v>
      </c>
      <c r="H5" s="488">
        <f>+E5</f>
        <v>275</v>
      </c>
      <c r="I5" s="488">
        <f>+'1'!L38</f>
        <v>5.7789999999999999</v>
      </c>
    </row>
    <row r="6" spans="1:9" ht="13.5" thickBot="1">
      <c r="A6" s="574"/>
      <c r="B6" s="575"/>
      <c r="C6" s="576"/>
      <c r="D6" s="577"/>
      <c r="E6" s="577"/>
      <c r="F6" s="575"/>
      <c r="G6" s="578"/>
      <c r="H6" s="579"/>
      <c r="I6" s="579"/>
    </row>
    <row r="7" spans="1:9">
      <c r="A7" s="340">
        <v>45932</v>
      </c>
      <c r="B7" s="523" t="s">
        <v>435</v>
      </c>
      <c r="C7" s="521">
        <v>2</v>
      </c>
      <c r="D7" s="522" t="s">
        <v>437</v>
      </c>
      <c r="E7" s="522">
        <f>213+43+19</f>
        <v>275</v>
      </c>
      <c r="F7" s="523">
        <f>21+31+23</f>
        <v>75</v>
      </c>
      <c r="G7" s="524">
        <f>+E7*F7</f>
        <v>20625</v>
      </c>
      <c r="H7" s="488">
        <f>+G7/F7</f>
        <v>275</v>
      </c>
      <c r="I7" s="488">
        <f>+'2'!L37</f>
        <v>48.41</v>
      </c>
    </row>
    <row r="8" spans="1:9">
      <c r="A8" s="562"/>
      <c r="B8" s="523" t="s">
        <v>465</v>
      </c>
      <c r="C8" s="521">
        <v>2</v>
      </c>
      <c r="D8" s="522" t="s">
        <v>466</v>
      </c>
      <c r="E8" s="522">
        <f>277*1</f>
        <v>277</v>
      </c>
      <c r="F8" s="523">
        <v>0</v>
      </c>
      <c r="G8" s="524">
        <f>+E8*F8</f>
        <v>0</v>
      </c>
      <c r="H8" s="488">
        <f>+E8</f>
        <v>277</v>
      </c>
      <c r="I8" s="488">
        <f>+'2'!L38</f>
        <v>1.8560000000000001</v>
      </c>
    </row>
    <row r="9" spans="1:9">
      <c r="A9" s="562"/>
      <c r="B9" s="522" t="s">
        <v>434</v>
      </c>
      <c r="C9" s="521">
        <v>2</v>
      </c>
      <c r="D9" s="522" t="s">
        <v>468</v>
      </c>
      <c r="E9" s="522">
        <v>275</v>
      </c>
      <c r="F9" s="522">
        <v>4</v>
      </c>
      <c r="G9" s="524">
        <f>+E9*F9</f>
        <v>1100</v>
      </c>
      <c r="H9" s="488">
        <f>+G9/F9</f>
        <v>275</v>
      </c>
      <c r="I9" s="488" t="s">
        <v>293</v>
      </c>
    </row>
    <row r="10" spans="1:9" ht="13.5" thickBot="1">
      <c r="A10" s="574"/>
      <c r="B10" s="575"/>
      <c r="C10" s="576"/>
      <c r="D10" s="577"/>
      <c r="E10" s="577"/>
      <c r="F10" s="575"/>
      <c r="G10" s="578"/>
      <c r="H10" s="579"/>
      <c r="I10" s="579"/>
    </row>
    <row r="11" spans="1:9">
      <c r="A11" s="340">
        <v>45933</v>
      </c>
      <c r="B11" s="523" t="s">
        <v>465</v>
      </c>
      <c r="C11" s="521">
        <v>2</v>
      </c>
      <c r="D11" s="522" t="s">
        <v>466</v>
      </c>
      <c r="E11" s="522">
        <f>277*1</f>
        <v>277</v>
      </c>
      <c r="F11" s="523">
        <f>9+16+23</f>
        <v>48</v>
      </c>
      <c r="G11" s="524">
        <f>+E11*F11</f>
        <v>13296</v>
      </c>
      <c r="H11" s="488">
        <f>+G11/F11</f>
        <v>277</v>
      </c>
      <c r="I11" s="488">
        <f>+'3'!L37</f>
        <v>34.221000000000004</v>
      </c>
    </row>
    <row r="12" spans="1:9">
      <c r="A12" s="562"/>
      <c r="B12" s="523" t="s">
        <v>434</v>
      </c>
      <c r="C12" s="521">
        <v>2</v>
      </c>
      <c r="D12" s="522" t="s">
        <v>468</v>
      </c>
      <c r="E12" s="522">
        <f>275*1</f>
        <v>275</v>
      </c>
      <c r="F12" s="523">
        <v>14</v>
      </c>
      <c r="G12" s="524">
        <f>+E12*F12</f>
        <v>3850</v>
      </c>
      <c r="H12" s="488">
        <f>+G12/F12</f>
        <v>275</v>
      </c>
      <c r="I12" s="488">
        <f>+'3'!L38</f>
        <v>14.807999999999998</v>
      </c>
    </row>
    <row r="13" spans="1:9">
      <c r="A13" s="562"/>
      <c r="B13" s="522" t="s">
        <v>435</v>
      </c>
      <c r="C13" s="521">
        <v>2</v>
      </c>
      <c r="D13" s="522" t="s">
        <v>437</v>
      </c>
      <c r="E13" s="522">
        <f>213+43+19</f>
        <v>275</v>
      </c>
      <c r="F13" s="522">
        <v>1</v>
      </c>
      <c r="G13" s="521">
        <f>+E13*F13</f>
        <v>275</v>
      </c>
      <c r="H13" s="488">
        <f>+G13/F13</f>
        <v>275</v>
      </c>
      <c r="I13" s="488" t="s">
        <v>293</v>
      </c>
    </row>
    <row r="14" spans="1:9" ht="13.5" thickBot="1">
      <c r="A14" s="574"/>
      <c r="B14" s="575"/>
      <c r="C14" s="576"/>
      <c r="D14" s="577"/>
      <c r="E14" s="577"/>
      <c r="F14" s="575"/>
      <c r="G14" s="578"/>
      <c r="H14" s="579"/>
      <c r="I14" s="579"/>
    </row>
    <row r="15" spans="1:9">
      <c r="A15" s="340">
        <v>45934</v>
      </c>
      <c r="B15" s="523" t="s">
        <v>434</v>
      </c>
      <c r="C15" s="521">
        <v>2</v>
      </c>
      <c r="D15" s="522" t="s">
        <v>468</v>
      </c>
      <c r="E15" s="522">
        <f>275*1</f>
        <v>275</v>
      </c>
      <c r="F15" s="523">
        <f>5+9+2</f>
        <v>16</v>
      </c>
      <c r="G15" s="524">
        <f>+E15*F15</f>
        <v>4400</v>
      </c>
      <c r="H15" s="488">
        <f>+G15/F15</f>
        <v>275</v>
      </c>
      <c r="I15" s="488">
        <f>+'4'!N37</f>
        <v>8.8789999999999996</v>
      </c>
    </row>
    <row r="16" spans="1:9">
      <c r="A16" s="562"/>
      <c r="B16" s="523" t="s">
        <v>512</v>
      </c>
      <c r="C16" s="521">
        <v>2</v>
      </c>
      <c r="D16" s="522" t="s">
        <v>531</v>
      </c>
      <c r="E16" s="522">
        <v>273</v>
      </c>
      <c r="F16">
        <f>6+6+4</f>
        <v>16</v>
      </c>
      <c r="G16" s="524">
        <f>+E16*F16</f>
        <v>4368</v>
      </c>
      <c r="H16" s="488">
        <f>+G16/F16</f>
        <v>273</v>
      </c>
      <c r="I16" s="488">
        <f>+'4'!N38</f>
        <v>10.703000000000001</v>
      </c>
    </row>
    <row r="17" spans="1:9">
      <c r="A17" s="562"/>
      <c r="B17" s="522" t="s">
        <v>509</v>
      </c>
      <c r="C17" s="521">
        <v>2</v>
      </c>
      <c r="D17" s="522" t="s">
        <v>532</v>
      </c>
      <c r="E17">
        <v>276</v>
      </c>
      <c r="F17">
        <f>5+9+1+7</f>
        <v>22</v>
      </c>
      <c r="G17" s="524">
        <f>+E17*F17</f>
        <v>6072</v>
      </c>
      <c r="H17" s="488">
        <f>+G17/F17</f>
        <v>276</v>
      </c>
      <c r="I17" s="488">
        <f>+'4'!N39</f>
        <v>16.640999999999998</v>
      </c>
    </row>
    <row r="18" spans="1:9">
      <c r="A18" s="562"/>
      <c r="B18" s="522" t="s">
        <v>510</v>
      </c>
      <c r="C18" s="521">
        <v>2</v>
      </c>
      <c r="D18" s="522" t="s">
        <v>533</v>
      </c>
      <c r="E18" s="522">
        <f>150+120</f>
        <v>270</v>
      </c>
      <c r="F18">
        <f>5+10</f>
        <v>15</v>
      </c>
      <c r="G18" s="524">
        <f>+E18*F18</f>
        <v>4050</v>
      </c>
      <c r="H18" s="488">
        <f>+G18/F18</f>
        <v>270</v>
      </c>
      <c r="I18" s="488">
        <f>+'4'!N40</f>
        <v>12.764999999999999</v>
      </c>
    </row>
    <row r="19" spans="1:9" ht="13.5" thickBot="1">
      <c r="A19" s="574"/>
      <c r="B19" s="575"/>
      <c r="C19" s="576"/>
      <c r="D19" s="577"/>
      <c r="E19" s="577"/>
      <c r="F19" s="575"/>
      <c r="G19" s="578"/>
      <c r="H19" s="579"/>
      <c r="I19" s="579"/>
    </row>
    <row r="20" spans="1:9">
      <c r="A20" s="340">
        <v>45935</v>
      </c>
      <c r="B20" s="522" t="s">
        <v>510</v>
      </c>
      <c r="C20" s="521">
        <v>2</v>
      </c>
      <c r="D20" s="522" t="s">
        <v>533</v>
      </c>
      <c r="E20" s="522">
        <f>150+120</f>
        <v>270</v>
      </c>
      <c r="F20">
        <f>22+3+11</f>
        <v>36</v>
      </c>
      <c r="G20" s="524">
        <f>+E20*F20</f>
        <v>9720</v>
      </c>
      <c r="H20" s="488">
        <f>+(E20*F20+E21*F21)/(SUM(F20:F21))</f>
        <v>273.26582278481015</v>
      </c>
      <c r="I20" s="488">
        <f>+'5'!N37</f>
        <v>45.582000000000001</v>
      </c>
    </row>
    <row r="21" spans="1:9">
      <c r="A21" s="593"/>
      <c r="B21" s="522" t="s">
        <v>510</v>
      </c>
      <c r="C21" s="521">
        <v>2</v>
      </c>
      <c r="D21" s="522" t="s">
        <v>534</v>
      </c>
      <c r="E21" s="522">
        <f>146+130</f>
        <v>276</v>
      </c>
      <c r="F21">
        <f>16+14+13</f>
        <v>43</v>
      </c>
      <c r="G21" s="524">
        <f>+E21*F21</f>
        <v>11868</v>
      </c>
      <c r="H21" s="488"/>
      <c r="I21" s="488"/>
    </row>
    <row r="22" spans="1:9">
      <c r="A22" s="593"/>
      <c r="B22" s="522" t="s">
        <v>535</v>
      </c>
      <c r="C22" s="521">
        <v>2</v>
      </c>
      <c r="D22" s="522" t="s">
        <v>536</v>
      </c>
      <c r="E22" s="522">
        <v>274</v>
      </c>
      <c r="F22">
        <v>0</v>
      </c>
      <c r="G22" s="524">
        <v>0</v>
      </c>
      <c r="H22" s="488">
        <f>+E22</f>
        <v>274</v>
      </c>
      <c r="I22" s="488">
        <f>+'5'!N38</f>
        <v>0</v>
      </c>
    </row>
    <row r="23" spans="1:9" ht="13.5" thickBot="1">
      <c r="A23" s="574"/>
      <c r="B23" s="575"/>
      <c r="C23" s="576"/>
      <c r="D23" s="577"/>
      <c r="E23" s="577"/>
      <c r="F23" s="575"/>
      <c r="G23" s="578"/>
      <c r="H23" s="579"/>
      <c r="I23" s="579"/>
    </row>
    <row r="24" spans="1:9">
      <c r="A24" s="340">
        <v>45936</v>
      </c>
      <c r="B24" s="522" t="s">
        <v>535</v>
      </c>
      <c r="C24" s="521">
        <v>2</v>
      </c>
      <c r="D24" s="522" t="s">
        <v>534</v>
      </c>
      <c r="E24" s="522">
        <f>146+130</f>
        <v>276</v>
      </c>
      <c r="F24">
        <v>4</v>
      </c>
      <c r="G24" s="524">
        <f>+E24*F24</f>
        <v>1104</v>
      </c>
      <c r="H24" s="488">
        <f>+(E24*F24+E25*F25)/(SUM(F24:F25))</f>
        <v>274.09523809523807</v>
      </c>
      <c r="I24" s="488">
        <f>+'6'!I38</f>
        <v>45.805999999999997</v>
      </c>
    </row>
    <row r="25" spans="1:9">
      <c r="A25" s="593"/>
      <c r="B25" s="522" t="s">
        <v>535</v>
      </c>
      <c r="C25" s="521">
        <v>2</v>
      </c>
      <c r="D25" s="522" t="s">
        <v>547</v>
      </c>
      <c r="E25" s="522">
        <f>130+72*2</f>
        <v>274</v>
      </c>
      <c r="F25">
        <f>13+13+15+11+15+13</f>
        <v>80</v>
      </c>
      <c r="G25" s="524">
        <f>+E25*F25</f>
        <v>21920</v>
      </c>
      <c r="H25" s="488"/>
      <c r="I25" s="488"/>
    </row>
    <row r="26" spans="1:9" ht="13.5" thickBot="1">
      <c r="A26" s="574"/>
      <c r="B26" s="575"/>
      <c r="C26" s="576"/>
      <c r="D26" s="577"/>
      <c r="E26" s="577"/>
      <c r="F26" s="575"/>
      <c r="G26" s="578"/>
      <c r="H26" s="579"/>
      <c r="I26" s="579"/>
    </row>
    <row r="27" spans="1:9">
      <c r="A27" s="340">
        <v>45937</v>
      </c>
      <c r="B27" s="522" t="s">
        <v>535</v>
      </c>
      <c r="C27" s="521">
        <v>2</v>
      </c>
      <c r="D27" s="522" t="s">
        <v>547</v>
      </c>
      <c r="E27" s="522">
        <f>130+72*2</f>
        <v>274</v>
      </c>
      <c r="F27">
        <f>11+15+2</f>
        <v>28</v>
      </c>
      <c r="G27" s="524">
        <f>+E27*F27</f>
        <v>7672</v>
      </c>
      <c r="H27" s="488">
        <f>+G27/F27</f>
        <v>274</v>
      </c>
      <c r="I27" s="488">
        <f>+'7'!L37</f>
        <v>12.727</v>
      </c>
    </row>
    <row r="28" spans="1:9">
      <c r="A28" s="593"/>
      <c r="B28" s="522" t="s">
        <v>510</v>
      </c>
      <c r="C28" s="521">
        <v>2</v>
      </c>
      <c r="D28" s="522" t="s">
        <v>534</v>
      </c>
      <c r="E28" s="522">
        <f>146+130</f>
        <v>276</v>
      </c>
      <c r="F28">
        <f>2+3</f>
        <v>5</v>
      </c>
      <c r="G28" s="524">
        <f>+E28*F28</f>
        <v>1380</v>
      </c>
      <c r="H28" s="488">
        <f>+(E28*F28+E29*F29)/(SUM(F28:F29))</f>
        <v>267.5151515151515</v>
      </c>
      <c r="I28" s="488">
        <f>+'7'!L38</f>
        <v>19.169999999999998</v>
      </c>
    </row>
    <row r="29" spans="1:9">
      <c r="A29" s="593"/>
      <c r="B29" s="522" t="s">
        <v>510</v>
      </c>
      <c r="C29" s="521">
        <v>2</v>
      </c>
      <c r="D29" s="522" t="s">
        <v>557</v>
      </c>
      <c r="E29" s="522">
        <f>133*2</f>
        <v>266</v>
      </c>
      <c r="F29">
        <f>9+4+4+4+7</f>
        <v>28</v>
      </c>
      <c r="G29" s="524">
        <f>+E29*F29</f>
        <v>7448</v>
      </c>
      <c r="H29" s="488"/>
      <c r="I29" s="488"/>
    </row>
    <row r="30" spans="1:9">
      <c r="A30" s="593"/>
      <c r="B30" s="522" t="s">
        <v>554</v>
      </c>
      <c r="C30" s="521">
        <v>2</v>
      </c>
      <c r="D30" s="522" t="s">
        <v>557</v>
      </c>
      <c r="E30" s="522">
        <f>133*2</f>
        <v>266</v>
      </c>
      <c r="F30">
        <v>8</v>
      </c>
      <c r="G30" s="524">
        <f>+E30*F30</f>
        <v>2128</v>
      </c>
      <c r="H30" s="488">
        <f>+G30/F30</f>
        <v>266</v>
      </c>
      <c r="I30" s="488">
        <f>+'7'!L39</f>
        <v>11.238</v>
      </c>
    </row>
    <row r="31" spans="1:9">
      <c r="A31" s="593"/>
      <c r="B31" s="522" t="s">
        <v>434</v>
      </c>
      <c r="C31" s="521">
        <v>2</v>
      </c>
      <c r="D31" s="522" t="s">
        <v>468</v>
      </c>
      <c r="E31" s="522">
        <f>275*1</f>
        <v>275</v>
      </c>
      <c r="F31">
        <v>0</v>
      </c>
      <c r="G31" s="524">
        <v>0</v>
      </c>
      <c r="H31" s="488">
        <f>+E31</f>
        <v>275</v>
      </c>
      <c r="I31" s="488">
        <f>+'7'!L40</f>
        <v>3.6100000000000003</v>
      </c>
    </row>
    <row r="32" spans="1:9" ht="13.5" thickBot="1">
      <c r="A32" s="574"/>
      <c r="B32" s="575"/>
      <c r="C32" s="576"/>
      <c r="D32" s="577"/>
      <c r="E32" s="577"/>
      <c r="F32" s="575"/>
      <c r="G32" s="578"/>
      <c r="H32" s="579"/>
      <c r="I32" s="579"/>
    </row>
    <row r="33" spans="1:9">
      <c r="A33" s="340">
        <v>45938</v>
      </c>
      <c r="B33" s="522" t="s">
        <v>434</v>
      </c>
      <c r="C33" s="521">
        <v>2</v>
      </c>
      <c r="D33" s="522" t="s">
        <v>468</v>
      </c>
      <c r="E33" s="522">
        <f>275*1</f>
        <v>275</v>
      </c>
      <c r="F33">
        <f>22+24+19</f>
        <v>65</v>
      </c>
      <c r="G33" s="524">
        <f>+E33*F33</f>
        <v>17875</v>
      </c>
      <c r="H33" s="488">
        <f>+(E33*F33+E34*F34)/(SUM(F33:F34))</f>
        <v>274.78571428571428</v>
      </c>
      <c r="I33" s="488">
        <f>+'8'!I38</f>
        <v>50.239999999999995</v>
      </c>
    </row>
    <row r="34" spans="1:9">
      <c r="A34" s="593"/>
      <c r="B34" s="522" t="s">
        <v>434</v>
      </c>
      <c r="C34" s="521">
        <v>2</v>
      </c>
      <c r="D34" s="522" t="s">
        <v>574</v>
      </c>
      <c r="E34" s="522">
        <f>146+126</f>
        <v>272</v>
      </c>
      <c r="F34">
        <v>5</v>
      </c>
      <c r="G34" s="524">
        <f>+E34*F34</f>
        <v>1360</v>
      </c>
      <c r="H34" s="488"/>
      <c r="I34" s="488"/>
    </row>
    <row r="35" spans="1:9" ht="13.5" thickBot="1">
      <c r="A35" s="574"/>
      <c r="B35" s="575"/>
      <c r="C35" s="576"/>
      <c r="D35" s="577"/>
      <c r="E35" s="577"/>
      <c r="F35" s="575"/>
      <c r="G35" s="578"/>
      <c r="H35" s="579"/>
      <c r="I35" s="579"/>
    </row>
    <row r="36" spans="1:9">
      <c r="A36" s="340">
        <v>45939</v>
      </c>
      <c r="B36" s="522" t="s">
        <v>434</v>
      </c>
      <c r="C36" s="521">
        <v>2</v>
      </c>
      <c r="D36" s="522" t="s">
        <v>589</v>
      </c>
      <c r="E36" s="522">
        <v>286</v>
      </c>
      <c r="F36">
        <f>7+10+11</f>
        <v>28</v>
      </c>
      <c r="G36" s="524">
        <f>+E36*F36</f>
        <v>8008</v>
      </c>
      <c r="H36" s="488">
        <f>+(E36*F36+E37*F37)/(SUM(F36:F37))</f>
        <v>282.33333333333331</v>
      </c>
      <c r="I36" s="488">
        <f>+'9'!I38</f>
        <v>53.849000000000004</v>
      </c>
    </row>
    <row r="37" spans="1:9">
      <c r="A37" s="593"/>
      <c r="B37" s="522" t="s">
        <v>434</v>
      </c>
      <c r="C37" s="521">
        <v>2</v>
      </c>
      <c r="D37" s="522" t="s">
        <v>468</v>
      </c>
      <c r="E37" s="522">
        <v>275</v>
      </c>
      <c r="F37">
        <v>14</v>
      </c>
      <c r="G37" s="524">
        <f>+E37*F37</f>
        <v>3850</v>
      </c>
      <c r="H37" s="488"/>
      <c r="I37" s="488"/>
    </row>
    <row r="38" spans="1:9" ht="13.5" thickBot="1">
      <c r="A38" s="574"/>
      <c r="B38" s="575"/>
      <c r="C38" s="576"/>
      <c r="D38" s="577"/>
      <c r="E38" s="577"/>
      <c r="F38" s="575"/>
      <c r="G38" s="578"/>
      <c r="H38" s="579"/>
      <c r="I38" s="579"/>
    </row>
    <row r="39" spans="1:9">
      <c r="A39" s="340">
        <v>45940</v>
      </c>
      <c r="B39" s="522" t="s">
        <v>434</v>
      </c>
      <c r="C39" s="521">
        <v>2</v>
      </c>
      <c r="D39" s="522" t="s">
        <v>589</v>
      </c>
      <c r="E39" s="522">
        <v>286</v>
      </c>
      <c r="F39">
        <v>8</v>
      </c>
      <c r="G39" s="524">
        <f>+E39*F39</f>
        <v>2288</v>
      </c>
      <c r="H39" s="488">
        <f>+(E39*F39+E40*F40)/(SUM(F39:F40))</f>
        <v>277.09523809523807</v>
      </c>
      <c r="I39" s="488">
        <f>+'10'!I38</f>
        <v>49.89800000000001</v>
      </c>
    </row>
    <row r="40" spans="1:9">
      <c r="A40" s="593"/>
      <c r="B40" s="522" t="s">
        <v>434</v>
      </c>
      <c r="C40" s="521">
        <v>2</v>
      </c>
      <c r="D40" s="522" t="s">
        <v>468</v>
      </c>
      <c r="E40" s="522">
        <v>275</v>
      </c>
      <c r="F40">
        <f>1+13+20</f>
        <v>34</v>
      </c>
      <c r="G40" s="524">
        <f>+E40*F40</f>
        <v>9350</v>
      </c>
      <c r="H40" s="488"/>
      <c r="I40" s="488"/>
    </row>
    <row r="41" spans="1:9" ht="13.5" thickBot="1">
      <c r="A41" s="574"/>
      <c r="B41" s="575"/>
      <c r="C41" s="576"/>
      <c r="D41" s="577"/>
      <c r="E41" s="577"/>
      <c r="F41" s="575"/>
      <c r="G41" s="578"/>
      <c r="H41" s="579"/>
      <c r="I41" s="579"/>
    </row>
    <row r="42" spans="1:9">
      <c r="A42" s="340">
        <v>45941</v>
      </c>
      <c r="B42" s="522" t="s">
        <v>434</v>
      </c>
      <c r="C42" s="521">
        <v>2</v>
      </c>
      <c r="D42" s="522" t="s">
        <v>468</v>
      </c>
      <c r="E42" s="522">
        <v>275</v>
      </c>
      <c r="F42">
        <f>28+19+22</f>
        <v>69</v>
      </c>
      <c r="G42" s="524">
        <f>+E42*F42</f>
        <v>18975</v>
      </c>
      <c r="H42" s="488">
        <f>+G42/F42</f>
        <v>275</v>
      </c>
      <c r="I42" s="488">
        <f>+'11'!N37</f>
        <v>41.580000000000005</v>
      </c>
    </row>
    <row r="43" spans="1:9">
      <c r="A43" s="593"/>
      <c r="B43" s="522" t="s">
        <v>626</v>
      </c>
      <c r="C43" s="521">
        <v>2</v>
      </c>
      <c r="D43" s="522" t="s">
        <v>557</v>
      </c>
      <c r="E43" s="522">
        <f>133*2</f>
        <v>266</v>
      </c>
      <c r="F43">
        <v>6</v>
      </c>
      <c r="G43" s="524">
        <f>+E43*F43</f>
        <v>1596</v>
      </c>
      <c r="H43" s="488">
        <f>+G43/F43</f>
        <v>266</v>
      </c>
      <c r="I43" s="488">
        <f>+'11'!N38</f>
        <v>9.4979999999999993</v>
      </c>
    </row>
    <row r="44" spans="1:9" ht="13.5" thickBot="1">
      <c r="A44" s="574"/>
      <c r="B44" s="575"/>
      <c r="C44" s="576"/>
      <c r="D44" s="577"/>
      <c r="E44" s="577"/>
      <c r="F44" s="575"/>
      <c r="G44" s="578"/>
      <c r="H44" s="579"/>
      <c r="I44" s="579"/>
    </row>
    <row r="45" spans="1:9">
      <c r="A45" s="340">
        <v>45942</v>
      </c>
      <c r="B45" s="522" t="s">
        <v>626</v>
      </c>
      <c r="C45" s="521">
        <v>2</v>
      </c>
      <c r="D45" s="522" t="s">
        <v>627</v>
      </c>
      <c r="E45" s="522">
        <f>133*2</f>
        <v>266</v>
      </c>
      <c r="F45">
        <f>4+11</f>
        <v>15</v>
      </c>
      <c r="G45" s="524">
        <f>+E45*F45</f>
        <v>3990</v>
      </c>
      <c r="H45" s="488">
        <f>+(E45*F45+E46*F46)/(SUM(F45:F46))</f>
        <v>266</v>
      </c>
      <c r="I45" s="488">
        <f>+'12'!N37</f>
        <v>15.816000000000001</v>
      </c>
    </row>
    <row r="46" spans="1:9">
      <c r="A46" s="593"/>
      <c r="B46" s="522" t="s">
        <v>626</v>
      </c>
      <c r="C46" s="521">
        <v>2</v>
      </c>
      <c r="D46" s="522" t="s">
        <v>557</v>
      </c>
      <c r="E46" s="522">
        <f>133*2</f>
        <v>266</v>
      </c>
      <c r="F46">
        <v>23</v>
      </c>
      <c r="G46" s="524">
        <f>+E46*F46</f>
        <v>6118</v>
      </c>
      <c r="H46" s="488"/>
      <c r="I46" s="488"/>
    </row>
    <row r="47" spans="1:9">
      <c r="A47" s="593"/>
      <c r="B47" s="522" t="s">
        <v>435</v>
      </c>
      <c r="C47" s="521">
        <v>2</v>
      </c>
      <c r="D47" s="522" t="s">
        <v>532</v>
      </c>
      <c r="E47" s="522">
        <f>276*1</f>
        <v>276</v>
      </c>
      <c r="F47">
        <f>18+16</f>
        <v>34</v>
      </c>
      <c r="G47" s="524">
        <f>+E47*F47</f>
        <v>9384</v>
      </c>
      <c r="H47" s="488">
        <f>+G47/F47</f>
        <v>276</v>
      </c>
      <c r="I47" s="488">
        <f>+'12'!N38</f>
        <v>21.843999999999998</v>
      </c>
    </row>
    <row r="48" spans="1:9">
      <c r="A48" s="593"/>
      <c r="B48" s="522" t="s">
        <v>434</v>
      </c>
      <c r="C48" s="521">
        <v>2</v>
      </c>
      <c r="D48" s="522" t="s">
        <v>532</v>
      </c>
      <c r="E48" s="522">
        <f>276*1</f>
        <v>276</v>
      </c>
      <c r="F48">
        <v>11</v>
      </c>
      <c r="G48" s="524">
        <f>+E48*F48</f>
        <v>3036</v>
      </c>
      <c r="H48" s="488">
        <f>+G48/F48</f>
        <v>276</v>
      </c>
      <c r="I48" s="488">
        <f>+'12'!N39</f>
        <v>12.665000000000003</v>
      </c>
    </row>
    <row r="49" spans="1:9" ht="13.5" thickBot="1">
      <c r="A49" s="574"/>
      <c r="B49" s="575"/>
      <c r="C49" s="576"/>
      <c r="D49" s="577"/>
      <c r="E49" s="577"/>
      <c r="F49" s="575"/>
      <c r="G49" s="578"/>
      <c r="H49" s="579"/>
      <c r="I49" s="579"/>
    </row>
    <row r="50" spans="1:9">
      <c r="A50" s="340">
        <v>45943</v>
      </c>
      <c r="B50" s="522" t="s">
        <v>434</v>
      </c>
      <c r="C50" s="521">
        <v>2</v>
      </c>
      <c r="D50" s="522" t="s">
        <v>532</v>
      </c>
      <c r="E50" s="522">
        <f>276*1</f>
        <v>276</v>
      </c>
      <c r="F50">
        <f>5+12+6+15</f>
        <v>38</v>
      </c>
      <c r="G50" s="524">
        <f>+E50*F50</f>
        <v>10488</v>
      </c>
      <c r="H50" s="488">
        <f>+(E50*F50+E51*F51)/(SUM(F50:F51))</f>
        <v>275.38181818181818</v>
      </c>
      <c r="I50" s="488">
        <f>+'13'!N37</f>
        <v>32.775999999999996</v>
      </c>
    </row>
    <row r="51" spans="1:9">
      <c r="A51" s="593"/>
      <c r="B51" s="522" t="s">
        <v>434</v>
      </c>
      <c r="C51" s="521">
        <v>2</v>
      </c>
      <c r="D51" s="522" t="s">
        <v>536</v>
      </c>
      <c r="E51" s="522">
        <f>274*1</f>
        <v>274</v>
      </c>
      <c r="F51">
        <v>17</v>
      </c>
      <c r="G51" s="524">
        <f>+E51*F51</f>
        <v>4658</v>
      </c>
      <c r="H51" s="488"/>
      <c r="I51" s="488"/>
    </row>
    <row r="52" spans="1:9">
      <c r="A52" s="593"/>
      <c r="B52" s="522" t="s">
        <v>512</v>
      </c>
      <c r="C52" s="521">
        <v>2</v>
      </c>
      <c r="D52" s="522" t="s">
        <v>532</v>
      </c>
      <c r="E52" s="522">
        <f>276*1</f>
        <v>276</v>
      </c>
      <c r="F52">
        <f>5+5+1+9</f>
        <v>20</v>
      </c>
      <c r="G52" s="524">
        <f>+E52*F52</f>
        <v>5520</v>
      </c>
      <c r="H52" s="488">
        <f>+G52/F52</f>
        <v>276</v>
      </c>
      <c r="I52" s="488">
        <f>+'13'!N38</f>
        <v>12.917000000000002</v>
      </c>
    </row>
    <row r="53" spans="1:9">
      <c r="A53" s="593"/>
      <c r="B53" s="522" t="s">
        <v>626</v>
      </c>
      <c r="C53" s="521">
        <v>2</v>
      </c>
      <c r="D53" s="522" t="s">
        <v>557</v>
      </c>
      <c r="E53" s="522">
        <f>133*2</f>
        <v>266</v>
      </c>
      <c r="F53">
        <v>0</v>
      </c>
      <c r="G53">
        <v>0</v>
      </c>
      <c r="H53" s="488">
        <f>+E53</f>
        <v>266</v>
      </c>
      <c r="I53" s="488">
        <f>+'13'!N39</f>
        <v>5.399</v>
      </c>
    </row>
    <row r="54" spans="1:9" ht="13.5" thickBot="1">
      <c r="A54" s="574"/>
      <c r="B54" s="575"/>
      <c r="C54" s="576"/>
      <c r="D54" s="577"/>
      <c r="E54" s="577"/>
      <c r="F54" s="575"/>
      <c r="G54" s="578"/>
      <c r="H54" s="579"/>
      <c r="I54" s="579"/>
    </row>
    <row r="55" spans="1:9">
      <c r="A55" s="340">
        <v>45944</v>
      </c>
      <c r="B55" s="522" t="s">
        <v>626</v>
      </c>
      <c r="C55" s="521">
        <v>2</v>
      </c>
      <c r="D55" s="522" t="s">
        <v>557</v>
      </c>
      <c r="E55" s="522">
        <f>133*2</f>
        <v>266</v>
      </c>
      <c r="F55">
        <v>50</v>
      </c>
      <c r="G55" s="524">
        <f>+E55*F55</f>
        <v>13300</v>
      </c>
      <c r="H55" s="488">
        <f>+G55/F55</f>
        <v>266</v>
      </c>
      <c r="I55" s="488">
        <f>+'14'!N37</f>
        <v>19.216000000000001</v>
      </c>
    </row>
    <row r="56" spans="1:9">
      <c r="A56" s="593"/>
      <c r="B56" s="522" t="s">
        <v>435</v>
      </c>
      <c r="C56" s="521">
        <v>2</v>
      </c>
      <c r="D56" s="522" t="s">
        <v>652</v>
      </c>
      <c r="E56" s="522">
        <f>106.5+165</f>
        <v>271.5</v>
      </c>
      <c r="F56">
        <f>8+15</f>
        <v>23</v>
      </c>
      <c r="G56" s="524">
        <f>+E56*F56</f>
        <v>6244.5</v>
      </c>
      <c r="H56" s="488">
        <f>+G56/F56</f>
        <v>271.5</v>
      </c>
      <c r="I56" s="488">
        <f>+'14'!N38</f>
        <v>35.797000000000004</v>
      </c>
    </row>
    <row r="57" spans="1:9">
      <c r="A57" s="593"/>
      <c r="B57" s="522" t="s">
        <v>434</v>
      </c>
      <c r="C57" s="521">
        <v>2</v>
      </c>
      <c r="D57" s="522" t="s">
        <v>536</v>
      </c>
      <c r="E57" s="522">
        <f>274*1</f>
        <v>274</v>
      </c>
      <c r="F57">
        <v>1</v>
      </c>
      <c r="G57" s="524">
        <f>+E57*F57</f>
        <v>274</v>
      </c>
      <c r="H57" s="488">
        <f>+G57/F57</f>
        <v>274</v>
      </c>
      <c r="I57" s="488" t="s">
        <v>293</v>
      </c>
    </row>
    <row r="58" spans="1:9" ht="13.5" thickBot="1">
      <c r="A58" s="574"/>
      <c r="B58" s="575"/>
      <c r="C58" s="576"/>
      <c r="D58" s="577"/>
      <c r="E58" s="577"/>
      <c r="F58" s="575"/>
      <c r="G58" s="578"/>
      <c r="H58" s="579"/>
      <c r="I58" s="579"/>
    </row>
    <row r="59" spans="1:9">
      <c r="A59" s="340">
        <v>45945</v>
      </c>
      <c r="B59" s="522" t="s">
        <v>435</v>
      </c>
      <c r="C59" s="521">
        <v>2</v>
      </c>
      <c r="D59" s="522" t="s">
        <v>669</v>
      </c>
      <c r="E59" s="522">
        <f>165+106.5</f>
        <v>271.5</v>
      </c>
      <c r="F59">
        <f>20+16</f>
        <v>36</v>
      </c>
      <c r="G59" s="524">
        <f>+E59*F59</f>
        <v>9774</v>
      </c>
      <c r="H59" s="488">
        <f>+G59/F59</f>
        <v>271.5</v>
      </c>
      <c r="I59" s="488">
        <f>+'15'!N37</f>
        <v>14.411999999999999</v>
      </c>
    </row>
    <row r="60" spans="1:9">
      <c r="A60" s="593"/>
      <c r="B60" s="522" t="s">
        <v>626</v>
      </c>
      <c r="C60" s="521">
        <v>2</v>
      </c>
      <c r="D60" s="522" t="s">
        <v>557</v>
      </c>
      <c r="E60" s="522">
        <f>133*2</f>
        <v>266</v>
      </c>
      <c r="F60">
        <v>47</v>
      </c>
      <c r="G60" s="524">
        <f>+E60*F60</f>
        <v>12502</v>
      </c>
      <c r="H60" s="488">
        <f>+G60/F60</f>
        <v>266</v>
      </c>
      <c r="I60" s="488">
        <f>+'15'!N38</f>
        <v>31.826000000000001</v>
      </c>
    </row>
    <row r="61" spans="1:9">
      <c r="A61" s="593"/>
      <c r="B61" s="522" t="s">
        <v>670</v>
      </c>
      <c r="C61" s="521">
        <v>2</v>
      </c>
      <c r="D61" s="522" t="s">
        <v>671</v>
      </c>
      <c r="E61" s="522">
        <f>135*2</f>
        <v>270</v>
      </c>
      <c r="F61">
        <v>0</v>
      </c>
      <c r="G61" s="524">
        <f>+E61*F61</f>
        <v>0</v>
      </c>
      <c r="H61" s="488">
        <f>+E61</f>
        <v>270</v>
      </c>
      <c r="I61" s="488">
        <f>+'15'!N39</f>
        <v>4.82</v>
      </c>
    </row>
    <row r="62" spans="1:9" ht="13.5" thickBot="1">
      <c r="A62" s="574"/>
      <c r="B62" s="575"/>
      <c r="C62" s="576"/>
      <c r="D62" s="577"/>
      <c r="E62" s="577"/>
      <c r="F62" s="575"/>
      <c r="G62" s="578"/>
      <c r="H62" s="579"/>
      <c r="I62" s="579"/>
    </row>
    <row r="63" spans="1:9">
      <c r="A63" s="600">
        <v>45946</v>
      </c>
      <c r="B63" s="522" t="s">
        <v>670</v>
      </c>
      <c r="C63" s="521">
        <v>2</v>
      </c>
      <c r="D63" s="522" t="s">
        <v>671</v>
      </c>
      <c r="E63" s="522">
        <f>135*2</f>
        <v>270</v>
      </c>
      <c r="F63">
        <v>75</v>
      </c>
      <c r="G63" s="524">
        <f>+E63*F63</f>
        <v>20250</v>
      </c>
      <c r="H63" s="488">
        <f t="shared" ref="H63:H68" si="0">+G63/F63</f>
        <v>270</v>
      </c>
      <c r="I63" s="488">
        <f>+'16'!N37</f>
        <v>19.324000000000002</v>
      </c>
    </row>
    <row r="64" spans="1:9">
      <c r="A64" s="593"/>
      <c r="B64" s="522" t="s">
        <v>554</v>
      </c>
      <c r="C64" s="521">
        <v>2</v>
      </c>
      <c r="D64" s="522" t="s">
        <v>627</v>
      </c>
      <c r="E64" s="522">
        <f>140*2</f>
        <v>280</v>
      </c>
      <c r="F64">
        <v>39</v>
      </c>
      <c r="G64" s="524">
        <f>+E64*F64</f>
        <v>10920</v>
      </c>
      <c r="H64" s="488">
        <f t="shared" si="0"/>
        <v>280</v>
      </c>
      <c r="I64" s="488">
        <f>+'16'!N38</f>
        <v>29.919999999999998</v>
      </c>
    </row>
    <row r="65" spans="1:9">
      <c r="A65" s="593"/>
      <c r="B65" s="522" t="s">
        <v>626</v>
      </c>
      <c r="C65" s="521">
        <v>2</v>
      </c>
      <c r="D65" s="522" t="s">
        <v>557</v>
      </c>
      <c r="E65" s="522">
        <f>133*2</f>
        <v>266</v>
      </c>
      <c r="F65">
        <f>30/2</f>
        <v>15</v>
      </c>
      <c r="G65" s="524">
        <f>+E65*F65</f>
        <v>3990</v>
      </c>
      <c r="H65" s="488">
        <f t="shared" si="0"/>
        <v>266</v>
      </c>
      <c r="I65" s="488" t="s">
        <v>293</v>
      </c>
    </row>
    <row r="66" spans="1:9" ht="13.5" thickBot="1">
      <c r="A66" s="574"/>
      <c r="B66" s="575"/>
      <c r="C66" s="576"/>
      <c r="D66" s="577"/>
      <c r="E66" s="577"/>
      <c r="F66" s="575"/>
      <c r="G66" s="578"/>
      <c r="H66" s="579"/>
      <c r="I66" s="579"/>
    </row>
    <row r="67" spans="1:9">
      <c r="A67" s="600">
        <v>45947</v>
      </c>
      <c r="B67" s="522" t="s">
        <v>554</v>
      </c>
      <c r="C67" s="521">
        <v>2</v>
      </c>
      <c r="D67" s="522" t="s">
        <v>627</v>
      </c>
      <c r="E67" s="522">
        <f>140*2</f>
        <v>280</v>
      </c>
      <c r="F67">
        <f>144/2</f>
        <v>72</v>
      </c>
      <c r="G67" s="524">
        <f>+E67*F67</f>
        <v>20160</v>
      </c>
      <c r="H67" s="488">
        <f t="shared" si="0"/>
        <v>280</v>
      </c>
      <c r="I67" s="488">
        <f>+'17'!N37</f>
        <v>35.760000000000005</v>
      </c>
    </row>
    <row r="68" spans="1:9">
      <c r="A68" s="593"/>
      <c r="B68" s="522" t="s">
        <v>510</v>
      </c>
      <c r="C68" s="521">
        <v>2</v>
      </c>
      <c r="D68" s="522" t="s">
        <v>627</v>
      </c>
      <c r="E68" s="522">
        <f>140*2</f>
        <v>280</v>
      </c>
      <c r="F68">
        <v>13</v>
      </c>
      <c r="G68" s="524">
        <f>+E68*F68</f>
        <v>3640</v>
      </c>
      <c r="H68" s="488">
        <f t="shared" si="0"/>
        <v>280</v>
      </c>
      <c r="I68" s="488">
        <f>+'17'!N38</f>
        <v>13.997000000000002</v>
      </c>
    </row>
    <row r="69" spans="1:9" ht="13.5" thickBot="1">
      <c r="A69" s="574"/>
      <c r="B69" s="575"/>
      <c r="C69" s="576"/>
      <c r="D69" s="577"/>
      <c r="E69" s="577"/>
      <c r="F69" s="575"/>
      <c r="G69" s="578"/>
      <c r="H69" s="579"/>
      <c r="I69" s="579"/>
    </row>
    <row r="70" spans="1:9">
      <c r="A70" s="600">
        <v>45948</v>
      </c>
      <c r="B70" s="522" t="s">
        <v>510</v>
      </c>
      <c r="C70" s="521">
        <v>2</v>
      </c>
      <c r="D70" s="522" t="s">
        <v>627</v>
      </c>
      <c r="E70" s="522">
        <f>140*2</f>
        <v>280</v>
      </c>
      <c r="F70">
        <f>17+25+33</f>
        <v>75</v>
      </c>
      <c r="G70" s="524">
        <f>+E70*F70</f>
        <v>21000</v>
      </c>
      <c r="H70" s="488">
        <f>+(E70*F70+E71*F71)/(SUM(F70:F71))</f>
        <v>280</v>
      </c>
      <c r="I70" s="488">
        <f>+'18'!I38</f>
        <v>45.534999999999997</v>
      </c>
    </row>
    <row r="71" spans="1:9">
      <c r="A71" s="593"/>
      <c r="B71" s="522" t="s">
        <v>510</v>
      </c>
      <c r="C71" s="521">
        <v>2</v>
      </c>
      <c r="D71" s="522" t="s">
        <v>735</v>
      </c>
      <c r="E71" s="522">
        <f>140*2</f>
        <v>280</v>
      </c>
      <c r="F71">
        <v>9</v>
      </c>
      <c r="G71" s="524">
        <f>+E71*F71</f>
        <v>2520</v>
      </c>
      <c r="H71" s="488"/>
      <c r="I71" s="488"/>
    </row>
    <row r="72" spans="1:9" ht="13.5" thickBot="1">
      <c r="A72" s="574"/>
      <c r="B72" s="575"/>
      <c r="C72" s="576"/>
      <c r="D72" s="577"/>
      <c r="E72" s="577"/>
      <c r="F72" s="575"/>
      <c r="G72" s="578"/>
      <c r="H72" s="579"/>
      <c r="I72" s="579"/>
    </row>
    <row r="73" spans="1:9">
      <c r="A73" s="600">
        <v>45949</v>
      </c>
      <c r="B73" s="522" t="s">
        <v>510</v>
      </c>
      <c r="C73" s="521">
        <v>2</v>
      </c>
      <c r="D73" s="522" t="s">
        <v>627</v>
      </c>
      <c r="E73" s="522">
        <f>140*2</f>
        <v>280</v>
      </c>
      <c r="F73">
        <v>15</v>
      </c>
      <c r="G73" s="524">
        <f>+E73*F73</f>
        <v>4200</v>
      </c>
      <c r="H73" s="488">
        <f>+(E73*F73+E74*F74)/(SUM(F73:F74))</f>
        <v>280</v>
      </c>
      <c r="I73" s="488">
        <f>+'19'!I38</f>
        <v>48.846999999999994</v>
      </c>
    </row>
    <row r="74" spans="1:9">
      <c r="A74" s="593"/>
      <c r="B74" s="522" t="s">
        <v>510</v>
      </c>
      <c r="C74" s="521">
        <v>2</v>
      </c>
      <c r="D74" s="522" t="s">
        <v>735</v>
      </c>
      <c r="E74" s="522">
        <f>140*2</f>
        <v>280</v>
      </c>
      <c r="F74">
        <f>15+33+25</f>
        <v>73</v>
      </c>
      <c r="G74" s="524">
        <f>+E74*F74</f>
        <v>20440</v>
      </c>
      <c r="H74" s="488"/>
      <c r="I74" s="488"/>
    </row>
    <row r="75" spans="1:9" ht="13.5" thickBot="1">
      <c r="A75" s="574"/>
      <c r="B75" s="575"/>
      <c r="C75" s="576"/>
      <c r="D75" s="577"/>
      <c r="E75" s="577"/>
      <c r="F75" s="575"/>
      <c r="G75" s="578"/>
      <c r="H75" s="579"/>
      <c r="I75" s="579"/>
    </row>
    <row r="76" spans="1:9">
      <c r="A76" s="600">
        <v>45950</v>
      </c>
      <c r="B76" s="522" t="s">
        <v>510</v>
      </c>
      <c r="C76" s="521">
        <v>2</v>
      </c>
      <c r="D76" s="522" t="s">
        <v>745</v>
      </c>
      <c r="E76" s="522">
        <f>140+130</f>
        <v>270</v>
      </c>
      <c r="F76">
        <f>30+25</f>
        <v>55</v>
      </c>
      <c r="G76" s="524">
        <f>+E76*F76</f>
        <v>14850</v>
      </c>
      <c r="H76" s="488">
        <f>+(E76*F76+E77*F77)/(SUM(F76:F77))</f>
        <v>274.44444444444446</v>
      </c>
      <c r="I76" s="488">
        <f>+'20'!I38</f>
        <v>50.716999999999999</v>
      </c>
    </row>
    <row r="77" spans="1:9">
      <c r="A77" s="593"/>
      <c r="B77" s="522" t="s">
        <v>510</v>
      </c>
      <c r="C77" s="521">
        <v>2</v>
      </c>
      <c r="D77" s="522" t="s">
        <v>735</v>
      </c>
      <c r="E77" s="522">
        <f>150+130</f>
        <v>280</v>
      </c>
      <c r="F77">
        <f>37+7</f>
        <v>44</v>
      </c>
      <c r="G77" s="524">
        <f>+E77*F77</f>
        <v>12320</v>
      </c>
      <c r="H77" s="488"/>
      <c r="I77" s="488"/>
    </row>
    <row r="78" spans="1:9" ht="13.5" thickBot="1">
      <c r="A78" s="574"/>
      <c r="B78" s="575"/>
      <c r="C78" s="576"/>
      <c r="D78" s="577"/>
      <c r="E78" s="577"/>
      <c r="F78" s="575"/>
      <c r="G78" s="578"/>
      <c r="H78" s="579"/>
      <c r="I78" s="579"/>
    </row>
    <row r="79" spans="1:9">
      <c r="A79" s="600">
        <v>45951</v>
      </c>
      <c r="B79" s="522" t="s">
        <v>510</v>
      </c>
      <c r="C79" s="521">
        <v>2</v>
      </c>
      <c r="D79" s="522" t="s">
        <v>745</v>
      </c>
      <c r="E79" s="522">
        <f>140+130</f>
        <v>270</v>
      </c>
      <c r="F79">
        <f>28+1</f>
        <v>29</v>
      </c>
      <c r="G79" s="524">
        <f>+E79*F79</f>
        <v>7830</v>
      </c>
      <c r="H79" s="488">
        <f>+(E79*F79+E80*F80)/(SUM(F79:F80))</f>
        <v>276.50602409638554</v>
      </c>
      <c r="I79" s="488">
        <f>+'21'!N37</f>
        <v>25.087000000000007</v>
      </c>
    </row>
    <row r="80" spans="1:9">
      <c r="A80" s="593"/>
      <c r="B80" s="522" t="s">
        <v>510</v>
      </c>
      <c r="C80" s="521">
        <v>2</v>
      </c>
      <c r="D80" s="522" t="s">
        <v>627</v>
      </c>
      <c r="E80" s="522">
        <f>140*2</f>
        <v>280</v>
      </c>
      <c r="F80">
        <f>6+48</f>
        <v>54</v>
      </c>
      <c r="G80" s="524">
        <f>+E80*F80</f>
        <v>15120</v>
      </c>
      <c r="H80" s="488"/>
      <c r="I80" s="488"/>
    </row>
    <row r="81" spans="1:9">
      <c r="A81" s="593"/>
      <c r="B81" s="522" t="s">
        <v>434</v>
      </c>
      <c r="C81" s="521">
        <v>2</v>
      </c>
      <c r="D81" s="522" t="s">
        <v>762</v>
      </c>
      <c r="E81" s="522">
        <f>278*1</f>
        <v>278</v>
      </c>
      <c r="F81">
        <v>17</v>
      </c>
      <c r="G81" s="524">
        <f>+E81*F81</f>
        <v>4726</v>
      </c>
      <c r="H81" s="488">
        <f>+G81/F81</f>
        <v>278</v>
      </c>
      <c r="I81" s="488">
        <f>+'21'!N38</f>
        <v>21.791999999999998</v>
      </c>
    </row>
    <row r="82" spans="1:9" ht="13.5" thickBot="1">
      <c r="A82" s="574"/>
      <c r="B82" s="575"/>
      <c r="C82" s="576"/>
      <c r="D82" s="577"/>
      <c r="E82" s="577"/>
      <c r="F82" s="575"/>
      <c r="G82" s="578"/>
      <c r="H82" s="579"/>
      <c r="I82" s="579"/>
    </row>
    <row r="83" spans="1:9">
      <c r="A83" s="600">
        <v>45952</v>
      </c>
      <c r="B83" s="522" t="s">
        <v>434</v>
      </c>
      <c r="C83" s="521">
        <v>2</v>
      </c>
      <c r="D83" s="522" t="s">
        <v>762</v>
      </c>
      <c r="E83" s="522">
        <f>278*1</f>
        <v>278</v>
      </c>
      <c r="F83">
        <f>22+8</f>
        <v>30</v>
      </c>
      <c r="G83" s="524">
        <f>+E83*F83</f>
        <v>8340</v>
      </c>
      <c r="H83" s="488">
        <f>+G83/F83</f>
        <v>278</v>
      </c>
      <c r="I83" s="488">
        <f>+'22'!N37</f>
        <v>16.193999999999999</v>
      </c>
    </row>
    <row r="84" spans="1:9">
      <c r="A84" s="593"/>
      <c r="B84" s="522" t="s">
        <v>465</v>
      </c>
      <c r="C84" s="521">
        <v>2</v>
      </c>
      <c r="D84" s="522" t="s">
        <v>466</v>
      </c>
      <c r="E84" s="522">
        <f>277*1</f>
        <v>277</v>
      </c>
      <c r="F84">
        <f>24+24</f>
        <v>48</v>
      </c>
      <c r="G84" s="524">
        <f>+E84*F84</f>
        <v>13296</v>
      </c>
      <c r="H84" s="488">
        <f>+G84/F84</f>
        <v>277</v>
      </c>
      <c r="I84" s="488">
        <f>+'22'!N38</f>
        <v>27.995000000000005</v>
      </c>
    </row>
    <row r="85" spans="1:9">
      <c r="A85" s="593"/>
      <c r="B85" s="522" t="s">
        <v>774</v>
      </c>
      <c r="C85" s="521">
        <v>2</v>
      </c>
      <c r="D85" s="522" t="s">
        <v>627</v>
      </c>
      <c r="E85" s="522">
        <f>140*2</f>
        <v>280</v>
      </c>
      <c r="F85">
        <v>5</v>
      </c>
      <c r="G85" s="524">
        <f>+E85*F85</f>
        <v>1400</v>
      </c>
      <c r="H85" s="488">
        <f>+G85/F85</f>
        <v>280</v>
      </c>
      <c r="I85" s="488">
        <f>+'22'!N39</f>
        <v>10.232000000000001</v>
      </c>
    </row>
    <row r="86" spans="1:9" ht="13.5" thickBot="1">
      <c r="A86" s="574"/>
      <c r="B86" s="575"/>
      <c r="C86" s="576"/>
      <c r="D86" s="577"/>
      <c r="E86" s="577"/>
      <c r="F86" s="575"/>
      <c r="G86" s="578"/>
      <c r="H86" s="579"/>
      <c r="I86" s="579"/>
    </row>
    <row r="87" spans="1:9">
      <c r="A87" s="600">
        <v>45953</v>
      </c>
      <c r="B87" s="522" t="s">
        <v>774</v>
      </c>
      <c r="C87" s="521">
        <v>2</v>
      </c>
      <c r="D87" s="522" t="s">
        <v>791</v>
      </c>
      <c r="E87" s="522">
        <f>280*1</f>
        <v>280</v>
      </c>
      <c r="F87">
        <f>4+28+2</f>
        <v>34</v>
      </c>
      <c r="G87" s="524">
        <f>+E87*F87</f>
        <v>9520</v>
      </c>
      <c r="H87" s="488">
        <f>+(E87*F87+E88*F88)/(SUM(F87:F88))</f>
        <v>280</v>
      </c>
      <c r="I87" s="488">
        <f>+'23'!N37</f>
        <v>31.657</v>
      </c>
    </row>
    <row r="88" spans="1:9">
      <c r="A88" s="601"/>
      <c r="B88" s="522" t="s">
        <v>774</v>
      </c>
      <c r="C88" s="521">
        <v>2</v>
      </c>
      <c r="D88" s="522" t="s">
        <v>627</v>
      </c>
      <c r="E88" s="522">
        <f>140*2</f>
        <v>280</v>
      </c>
      <c r="F88">
        <v>14</v>
      </c>
      <c r="G88" s="524">
        <f>+E88*F88</f>
        <v>3920</v>
      </c>
      <c r="H88" s="488"/>
      <c r="I88" s="488"/>
    </row>
    <row r="89" spans="1:9">
      <c r="A89" s="593"/>
      <c r="B89" s="522" t="s">
        <v>465</v>
      </c>
      <c r="C89" s="521">
        <v>2</v>
      </c>
      <c r="D89" s="522" t="s">
        <v>791</v>
      </c>
      <c r="E89" s="522">
        <v>280</v>
      </c>
      <c r="F89">
        <v>11</v>
      </c>
      <c r="G89" s="524">
        <f>+E89*F89</f>
        <v>3080</v>
      </c>
      <c r="H89" s="488">
        <f>+G89/F89</f>
        <v>280</v>
      </c>
      <c r="I89" s="488">
        <f>+'23'!N38</f>
        <v>10.46</v>
      </c>
    </row>
    <row r="90" spans="1:9">
      <c r="A90" s="593"/>
      <c r="B90" s="522" t="s">
        <v>774</v>
      </c>
      <c r="C90" s="521">
        <v>2</v>
      </c>
      <c r="D90" s="522" t="s">
        <v>791</v>
      </c>
      <c r="E90" s="522">
        <f>140*2</f>
        <v>280</v>
      </c>
      <c r="F90">
        <v>9</v>
      </c>
      <c r="G90" s="524">
        <f>+E90*F90</f>
        <v>2520</v>
      </c>
      <c r="H90" s="488">
        <f>+G90/F90</f>
        <v>280</v>
      </c>
      <c r="I90" s="488">
        <f>+'23'!N39</f>
        <v>12.318999999999992</v>
      </c>
    </row>
    <row r="91" spans="1:9" ht="13.5" thickBot="1">
      <c r="A91" s="574"/>
      <c r="B91" s="575"/>
      <c r="C91" s="576"/>
      <c r="D91" s="577"/>
      <c r="E91" s="577"/>
      <c r="F91" s="575"/>
      <c r="G91" s="578"/>
      <c r="H91" s="579"/>
      <c r="I91" s="579"/>
    </row>
    <row r="92" spans="1:9">
      <c r="A92" s="600">
        <v>45954</v>
      </c>
      <c r="B92" s="522" t="s">
        <v>809</v>
      </c>
      <c r="C92" s="521">
        <v>2</v>
      </c>
      <c r="D92" s="522" t="s">
        <v>791</v>
      </c>
      <c r="E92" s="522">
        <f>280*1</f>
        <v>280</v>
      </c>
      <c r="F92">
        <v>24</v>
      </c>
      <c r="G92" s="524">
        <f>+E92*F92</f>
        <v>6720</v>
      </c>
      <c r="H92" s="488">
        <f>+(E92*F92+E93*F93)/(SUM(F92:F93))</f>
        <v>277.85714285714283</v>
      </c>
      <c r="I92" s="488">
        <f>+'24'!O37</f>
        <v>31.673999999999999</v>
      </c>
    </row>
    <row r="93" spans="1:9">
      <c r="A93" s="601"/>
      <c r="B93" s="522" t="s">
        <v>809</v>
      </c>
      <c r="C93" s="521">
        <v>2</v>
      </c>
      <c r="D93" s="522" t="s">
        <v>468</v>
      </c>
      <c r="E93" s="522">
        <v>275</v>
      </c>
      <c r="F93">
        <v>18</v>
      </c>
      <c r="G93" s="524">
        <f>+E93*F93</f>
        <v>4950</v>
      </c>
      <c r="H93" s="488"/>
      <c r="I93" s="488"/>
    </row>
    <row r="94" spans="1:9">
      <c r="A94" s="601"/>
      <c r="B94" s="522" t="s">
        <v>810</v>
      </c>
      <c r="C94" s="521">
        <v>2</v>
      </c>
      <c r="D94" s="522" t="s">
        <v>791</v>
      </c>
      <c r="E94" s="522">
        <f>280*1</f>
        <v>280</v>
      </c>
      <c r="F94">
        <v>5</v>
      </c>
      <c r="G94" s="524">
        <f>+E94*F94</f>
        <v>1400</v>
      </c>
      <c r="H94" s="488">
        <f>+G94/F94</f>
        <v>280</v>
      </c>
      <c r="I94" s="488">
        <f>+'24'!O38</f>
        <v>2.444</v>
      </c>
    </row>
    <row r="95" spans="1:9">
      <c r="A95" s="593"/>
      <c r="B95" s="522" t="s">
        <v>811</v>
      </c>
      <c r="C95" s="521">
        <v>2</v>
      </c>
      <c r="D95" s="522" t="s">
        <v>791</v>
      </c>
      <c r="E95" s="522">
        <v>280</v>
      </c>
      <c r="F95">
        <v>6</v>
      </c>
      <c r="G95" s="524">
        <f>+E95*F95</f>
        <v>1680</v>
      </c>
      <c r="H95" s="488">
        <f>+G95/F95</f>
        <v>280</v>
      </c>
      <c r="I95" s="488">
        <f>+'24'!O39</f>
        <v>3.0859999999999999</v>
      </c>
    </row>
    <row r="96" spans="1:9">
      <c r="A96" s="593"/>
      <c r="B96" s="522" t="s">
        <v>812</v>
      </c>
      <c r="C96" s="521">
        <v>2</v>
      </c>
      <c r="D96" s="522" t="s">
        <v>813</v>
      </c>
      <c r="E96" s="522">
        <f>137*2</f>
        <v>274</v>
      </c>
      <c r="F96">
        <f>34/2</f>
        <v>17</v>
      </c>
      <c r="G96" s="524">
        <f>+E96*F96</f>
        <v>4658</v>
      </c>
      <c r="H96" s="488">
        <f>+G96/F96</f>
        <v>274</v>
      </c>
      <c r="I96" s="488">
        <f>+'24'!O40</f>
        <v>12.506</v>
      </c>
    </row>
    <row r="97" spans="1:9" ht="13.5" thickBot="1">
      <c r="A97" s="574"/>
      <c r="B97" s="575"/>
      <c r="C97" s="576"/>
      <c r="D97" s="577"/>
      <c r="E97" s="577"/>
      <c r="F97" s="575"/>
      <c r="G97" s="578"/>
      <c r="H97" s="579"/>
      <c r="I97" s="579"/>
    </row>
    <row r="98" spans="1:9">
      <c r="A98" s="600">
        <v>45955</v>
      </c>
      <c r="B98" s="522" t="s">
        <v>809</v>
      </c>
      <c r="C98" s="521">
        <v>2</v>
      </c>
      <c r="D98" s="522" t="s">
        <v>468</v>
      </c>
      <c r="E98" s="522">
        <v>275</v>
      </c>
      <c r="F98">
        <f>32+1+2+19+20+2</f>
        <v>76</v>
      </c>
      <c r="G98" s="524">
        <f>+E98*F98</f>
        <v>20900</v>
      </c>
      <c r="H98" s="488">
        <f>+(E98*F98+E99*F99)/(SUM(F98:F99))</f>
        <v>271.72727272727275</v>
      </c>
      <c r="I98" s="488">
        <f>+'25'!I38</f>
        <v>48.901000000000003</v>
      </c>
    </row>
    <row r="99" spans="1:9">
      <c r="A99" s="601"/>
      <c r="B99" s="522" t="s">
        <v>809</v>
      </c>
      <c r="C99" s="521">
        <v>2</v>
      </c>
      <c r="D99" s="522" t="s">
        <v>839</v>
      </c>
      <c r="E99" s="522">
        <v>23</v>
      </c>
      <c r="F99">
        <v>1</v>
      </c>
      <c r="G99" s="524">
        <f>+E99*F99</f>
        <v>23</v>
      </c>
      <c r="H99" s="488"/>
      <c r="I99" s="488"/>
    </row>
    <row r="100" spans="1:9" ht="13.5" thickBot="1">
      <c r="A100" s="574"/>
      <c r="B100" s="575"/>
      <c r="C100" s="576"/>
      <c r="D100" s="577"/>
      <c r="E100" s="577"/>
      <c r="F100" s="575"/>
      <c r="G100" s="578"/>
      <c r="H100" s="579"/>
      <c r="I100" s="579"/>
    </row>
    <row r="101" spans="1:9">
      <c r="A101" s="600">
        <v>45956</v>
      </c>
      <c r="B101" s="522" t="s">
        <v>809</v>
      </c>
      <c r="C101" s="521">
        <v>2</v>
      </c>
      <c r="D101" s="522" t="s">
        <v>468</v>
      </c>
      <c r="E101" s="522">
        <v>275</v>
      </c>
      <c r="F101">
        <f>23+27+27</f>
        <v>77</v>
      </c>
      <c r="G101" s="524">
        <f>+E101*F101</f>
        <v>21175</v>
      </c>
      <c r="H101" s="488">
        <f>+G101/F101</f>
        <v>275</v>
      </c>
      <c r="I101" s="488">
        <f>+'26'!I38</f>
        <v>48.096000000000004</v>
      </c>
    </row>
    <row r="102" spans="1:9" ht="13.5" thickBot="1">
      <c r="A102" s="574"/>
      <c r="B102" s="575"/>
      <c r="C102" s="576"/>
      <c r="D102" s="577"/>
      <c r="E102" s="577"/>
      <c r="F102" s="575"/>
      <c r="G102" s="578"/>
      <c r="H102" s="579"/>
      <c r="I102" s="579"/>
    </row>
    <row r="103" spans="1:9">
      <c r="A103" s="600">
        <v>45957</v>
      </c>
      <c r="B103" s="522" t="s">
        <v>434</v>
      </c>
      <c r="C103" s="521">
        <v>2</v>
      </c>
      <c r="D103" s="522" t="s">
        <v>468</v>
      </c>
      <c r="E103" s="522">
        <v>275</v>
      </c>
      <c r="F103">
        <v>30</v>
      </c>
      <c r="G103" s="524">
        <f>+E103*F103</f>
        <v>8250</v>
      </c>
      <c r="H103" s="488">
        <f>+G103/F103</f>
        <v>275</v>
      </c>
      <c r="I103" s="488">
        <f>+'27'!N37</f>
        <v>17.556000000000001</v>
      </c>
    </row>
    <row r="104" spans="1:9">
      <c r="A104" s="601"/>
      <c r="B104" s="522" t="s">
        <v>510</v>
      </c>
      <c r="C104" s="521">
        <v>2</v>
      </c>
      <c r="D104" s="522" t="s">
        <v>627</v>
      </c>
      <c r="E104" s="522">
        <f>140*2</f>
        <v>280</v>
      </c>
      <c r="F104">
        <v>42</v>
      </c>
      <c r="G104" s="524">
        <f>+E104*F104</f>
        <v>11760</v>
      </c>
      <c r="H104" s="488">
        <f>+(E104*F104+E105*F105)/(SUM(F104:F105))</f>
        <v>280</v>
      </c>
      <c r="I104" s="488">
        <f>+'27'!N38</f>
        <v>29.811999999999994</v>
      </c>
    </row>
    <row r="105" spans="1:9" ht="13.5" thickBot="1">
      <c r="A105" s="574"/>
      <c r="B105" s="575"/>
      <c r="C105" s="576"/>
      <c r="D105" s="577"/>
      <c r="E105" s="577"/>
      <c r="F105" s="575"/>
      <c r="G105" s="578"/>
      <c r="H105" s="579"/>
      <c r="I105" s="579"/>
    </row>
    <row r="106" spans="1:9">
      <c r="A106" s="600">
        <v>45958</v>
      </c>
      <c r="B106" s="522" t="s">
        <v>510</v>
      </c>
      <c r="C106" s="521">
        <v>2</v>
      </c>
      <c r="D106" s="522" t="s">
        <v>627</v>
      </c>
      <c r="E106" s="522">
        <f>140*2</f>
        <v>280</v>
      </c>
      <c r="F106">
        <f>14+15+7</f>
        <v>36</v>
      </c>
      <c r="G106" s="524">
        <f>+E106*F106</f>
        <v>10080</v>
      </c>
      <c r="H106" s="488">
        <f>+(E106*F106+E107*F107)/(SUM(F106:F107))</f>
        <v>274.8</v>
      </c>
      <c r="I106" s="488">
        <f>+'28'!N37</f>
        <v>37.425000000000004</v>
      </c>
    </row>
    <row r="107" spans="1:9">
      <c r="A107" s="601"/>
      <c r="B107" s="522" t="s">
        <v>510</v>
      </c>
      <c r="C107" s="521">
        <v>2</v>
      </c>
      <c r="D107" s="522" t="s">
        <v>745</v>
      </c>
      <c r="E107" s="522">
        <f>140+130</f>
        <v>270</v>
      </c>
      <c r="F107">
        <f>20+12+7</f>
        <v>39</v>
      </c>
      <c r="G107" s="524">
        <f>+E107*F107</f>
        <v>10530</v>
      </c>
      <c r="H107" s="488"/>
      <c r="I107" s="488"/>
    </row>
    <row r="108" spans="1:9">
      <c r="A108" s="601"/>
      <c r="B108" s="522" t="s">
        <v>434</v>
      </c>
      <c r="C108" s="521">
        <v>2</v>
      </c>
      <c r="D108" s="522" t="s">
        <v>791</v>
      </c>
      <c r="E108" s="522">
        <f>280*1</f>
        <v>280</v>
      </c>
      <c r="F108">
        <v>2</v>
      </c>
      <c r="G108" s="524">
        <f>+E108*F108</f>
        <v>560</v>
      </c>
      <c r="H108" s="488">
        <f>+G108/F108</f>
        <v>280</v>
      </c>
      <c r="I108" s="611" t="s">
        <v>293</v>
      </c>
    </row>
    <row r="109" spans="1:9">
      <c r="A109" s="601"/>
      <c r="B109" s="522" t="s">
        <v>554</v>
      </c>
      <c r="C109" s="521">
        <v>2</v>
      </c>
      <c r="D109" s="522" t="s">
        <v>627</v>
      </c>
      <c r="E109" s="522">
        <f>140*2</f>
        <v>280</v>
      </c>
      <c r="F109">
        <v>4</v>
      </c>
      <c r="G109" s="524">
        <f>+E109*F109</f>
        <v>1120</v>
      </c>
      <c r="H109" s="488">
        <f>+G109/F109</f>
        <v>280</v>
      </c>
      <c r="I109" s="488">
        <f>+'28'!N38</f>
        <v>7.76</v>
      </c>
    </row>
    <row r="110" spans="1:9" ht="13.5" thickBot="1">
      <c r="A110" s="574"/>
      <c r="B110" s="575"/>
      <c r="C110" s="576"/>
      <c r="D110" s="577"/>
      <c r="E110" s="577"/>
      <c r="F110" s="575"/>
      <c r="G110" s="578"/>
      <c r="H110" s="579"/>
      <c r="I110" s="579"/>
    </row>
    <row r="111" spans="1:9">
      <c r="A111" s="600">
        <v>45959</v>
      </c>
      <c r="B111" s="522" t="s">
        <v>554</v>
      </c>
      <c r="C111" s="521">
        <v>2</v>
      </c>
      <c r="D111" s="522" t="s">
        <v>627</v>
      </c>
      <c r="E111" s="522">
        <f>140*2</f>
        <v>280</v>
      </c>
      <c r="F111">
        <v>36</v>
      </c>
      <c r="G111" s="524">
        <f>+E111*F111</f>
        <v>10080</v>
      </c>
      <c r="H111" s="488">
        <f>+G111/F111</f>
        <v>280</v>
      </c>
      <c r="I111" s="488">
        <f>+'29'!N37</f>
        <v>16.471</v>
      </c>
    </row>
    <row r="112" spans="1:9">
      <c r="A112" s="601"/>
      <c r="B112" s="522" t="s">
        <v>510</v>
      </c>
      <c r="C112" s="521">
        <v>2</v>
      </c>
      <c r="D112" s="522" t="s">
        <v>627</v>
      </c>
      <c r="E112" s="522">
        <f>140*2</f>
        <v>280</v>
      </c>
      <c r="F112">
        <v>37</v>
      </c>
      <c r="G112" s="524">
        <f>+E112*F112</f>
        <v>10360</v>
      </c>
      <c r="H112" s="488">
        <f>+(E112*F112+E113*F113)/(SUM(F112:F113))</f>
        <v>278.8095238095238</v>
      </c>
      <c r="I112" s="488">
        <f>+'29'!N38</f>
        <v>30.688000000000002</v>
      </c>
    </row>
    <row r="113" spans="1:9">
      <c r="A113" s="601"/>
      <c r="B113" s="522" t="s">
        <v>510</v>
      </c>
      <c r="C113" s="521">
        <v>2</v>
      </c>
      <c r="D113" s="522" t="s">
        <v>745</v>
      </c>
      <c r="E113" s="522">
        <f>140+130</f>
        <v>270</v>
      </c>
      <c r="F113">
        <v>5</v>
      </c>
      <c r="G113" s="524">
        <f>+E113*F113</f>
        <v>1350</v>
      </c>
      <c r="H113" s="488"/>
      <c r="I113" s="488"/>
    </row>
    <row r="114" spans="1:9" ht="13.5" thickBot="1">
      <c r="A114" s="574"/>
      <c r="B114" s="575"/>
      <c r="C114" s="576"/>
      <c r="D114" s="577"/>
      <c r="E114" s="577"/>
      <c r="F114" s="575"/>
      <c r="G114" s="578"/>
      <c r="H114" s="579"/>
      <c r="I114" s="579"/>
    </row>
    <row r="115" spans="1:9">
      <c r="A115" s="601">
        <v>45960</v>
      </c>
      <c r="B115" s="522" t="s">
        <v>510</v>
      </c>
      <c r="C115" s="521">
        <v>2</v>
      </c>
      <c r="D115" s="522" t="s">
        <v>627</v>
      </c>
      <c r="E115" s="522">
        <f>140*2</f>
        <v>280</v>
      </c>
      <c r="F115">
        <v>65</v>
      </c>
      <c r="G115" s="524">
        <f>+E115*F115</f>
        <v>18200</v>
      </c>
      <c r="H115" s="488">
        <f>+G115/F115</f>
        <v>280</v>
      </c>
      <c r="I115" s="488">
        <f>+'30'!N37</f>
        <v>34.273000000000003</v>
      </c>
    </row>
    <row r="116" spans="1:9">
      <c r="A116" s="601"/>
      <c r="B116" s="522" t="s">
        <v>434</v>
      </c>
      <c r="C116" s="521">
        <v>2</v>
      </c>
      <c r="D116" s="522" t="s">
        <v>891</v>
      </c>
      <c r="E116" s="522">
        <f>256+24</f>
        <v>280</v>
      </c>
      <c r="F116">
        <v>9</v>
      </c>
      <c r="G116" s="524">
        <f>+E116*F116</f>
        <v>2520</v>
      </c>
      <c r="H116" s="488">
        <f>+G116/F116</f>
        <v>280</v>
      </c>
      <c r="I116" s="488">
        <f>+'30'!N38</f>
        <v>14.35</v>
      </c>
    </row>
    <row r="117" spans="1:9" ht="13.5" thickBot="1">
      <c r="A117" s="574"/>
      <c r="B117" s="575"/>
      <c r="C117" s="576"/>
      <c r="D117" s="577"/>
      <c r="E117" s="577"/>
      <c r="F117" s="575"/>
      <c r="G117" s="578"/>
      <c r="H117" s="579"/>
      <c r="I117" s="579"/>
    </row>
    <row r="118" spans="1:9">
      <c r="A118" s="601">
        <v>45961</v>
      </c>
      <c r="B118" s="522" t="s">
        <v>434</v>
      </c>
      <c r="C118" s="521">
        <v>2</v>
      </c>
      <c r="D118" s="522" t="s">
        <v>891</v>
      </c>
      <c r="E118" s="522">
        <f>256+24</f>
        <v>280</v>
      </c>
      <c r="F118">
        <f>20+21+21</f>
        <v>62</v>
      </c>
      <c r="G118" s="524">
        <f>+E118*F118</f>
        <v>17360</v>
      </c>
      <c r="H118" s="488">
        <f>+G118/F118</f>
        <v>280</v>
      </c>
      <c r="I118" s="488">
        <f>+'31'!N37</f>
        <v>40.042000000000002</v>
      </c>
    </row>
    <row r="119" spans="1:9">
      <c r="A119" s="601"/>
      <c r="B119" s="522" t="s">
        <v>555</v>
      </c>
      <c r="C119" s="521">
        <v>2</v>
      </c>
      <c r="D119" s="522" t="s">
        <v>532</v>
      </c>
      <c r="E119" s="522">
        <f>276*1</f>
        <v>276</v>
      </c>
      <c r="F119">
        <v>6</v>
      </c>
      <c r="G119" s="524">
        <f>+E119*F119</f>
        <v>1656</v>
      </c>
      <c r="H119" s="488">
        <f>+G119/F119</f>
        <v>276</v>
      </c>
      <c r="I119" s="488">
        <f>+'31'!N38</f>
        <v>10.26</v>
      </c>
    </row>
    <row r="120" spans="1:9" ht="13.5" thickBot="1">
      <c r="A120" s="574"/>
      <c r="B120" s="575"/>
      <c r="C120" s="576"/>
      <c r="D120" s="577"/>
      <c r="E120" s="577"/>
      <c r="F120" s="575"/>
      <c r="G120" s="578"/>
      <c r="H120" s="579"/>
      <c r="I120" s="579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8"/>
  <sheetViews>
    <sheetView zoomScale="90" zoomScaleNormal="90" workbookViewId="0">
      <pane xSplit="6" ySplit="6" topLeftCell="N150" activePane="bottomRight" state="frozen"/>
      <selection pane="topRight" activeCell="F1" sqref="F1"/>
      <selection pane="bottomLeft" activeCell="A7" sqref="A7"/>
      <selection pane="bottomRight" activeCell="W155" sqref="W155"/>
    </sheetView>
  </sheetViews>
  <sheetFormatPr defaultColWidth="10.28515625" defaultRowHeight="12"/>
  <cols>
    <col min="1" max="1" width="12.28515625" style="29" customWidth="1"/>
    <col min="2" max="3" width="14.140625" style="29" customWidth="1"/>
    <col min="4" max="4" width="10.28515625" style="29" customWidth="1"/>
    <col min="5" max="5" width="7.5703125" style="29" bestFit="1" customWidth="1"/>
    <col min="6" max="6" width="7" style="58" customWidth="1"/>
    <col min="7" max="9" width="10.28515625" style="29" customWidth="1"/>
    <col min="10" max="11" width="10.28515625" style="87" customWidth="1"/>
    <col min="12" max="13" width="12.7109375" style="59" customWidth="1"/>
    <col min="14" max="15" width="10.28515625" style="29" customWidth="1"/>
    <col min="16" max="16" width="16.85546875" style="29" bestFit="1" customWidth="1"/>
    <col min="17" max="17" width="12.7109375" style="342" customWidth="1"/>
    <col min="18" max="19" width="10.28515625" style="29" customWidth="1"/>
    <col min="20" max="20" width="10.7109375" style="29" customWidth="1"/>
    <col min="21" max="21" width="10.28515625" style="29" customWidth="1"/>
    <col min="22" max="22" width="12.28515625" style="29" customWidth="1"/>
    <col min="23" max="23" width="13" style="29" customWidth="1"/>
    <col min="24" max="24" width="10.28515625" style="93" customWidth="1"/>
    <col min="25" max="25" width="10.140625" style="29" customWidth="1"/>
    <col min="26" max="28" width="10.28515625" style="29" customWidth="1"/>
    <col min="29" max="29" width="12" style="29" customWidth="1"/>
    <col min="30" max="30" width="11.42578125" style="29" bestFit="1" customWidth="1"/>
    <col min="31" max="31" width="47.140625" style="29" customWidth="1"/>
    <col min="32" max="37" width="10.28515625" style="29" customWidth="1"/>
    <col min="38" max="39" width="11.7109375" style="29" customWidth="1"/>
    <col min="40" max="41" width="10.28515625" style="29" customWidth="1"/>
    <col min="42" max="42" width="12.42578125" style="29" customWidth="1"/>
    <col min="43" max="43" width="12.5703125" style="29" customWidth="1"/>
    <col min="44" max="44" width="29.7109375" style="29" bestFit="1" customWidth="1"/>
    <col min="45" max="51" width="10.28515625" style="29"/>
    <col min="52" max="52" width="13.42578125" style="29" customWidth="1"/>
    <col min="53" max="16384" width="10.28515625" style="29"/>
  </cols>
  <sheetData>
    <row r="1" spans="1:58" s="22" customFormat="1" ht="15.75">
      <c r="A1" s="21" t="s">
        <v>403</v>
      </c>
      <c r="G1" s="23"/>
      <c r="H1" s="23"/>
      <c r="I1" s="23"/>
      <c r="J1" s="84"/>
      <c r="K1" s="84"/>
      <c r="L1" s="24"/>
      <c r="M1" s="24"/>
      <c r="O1" s="23"/>
      <c r="P1" s="25"/>
      <c r="Q1" s="23"/>
      <c r="R1" s="25"/>
      <c r="S1" s="25"/>
      <c r="W1" s="25"/>
      <c r="X1" s="605"/>
      <c r="Y1" s="26"/>
      <c r="Z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</row>
    <row r="2" spans="1:58" s="22" customFormat="1">
      <c r="A2" s="94"/>
      <c r="G2" s="23"/>
      <c r="H2" s="23"/>
      <c r="I2" s="23"/>
      <c r="J2" s="84"/>
      <c r="K2" s="84"/>
      <c r="L2" s="24"/>
      <c r="M2" s="24"/>
      <c r="O2" s="23"/>
      <c r="P2" s="25"/>
      <c r="Q2" s="23"/>
      <c r="R2" s="25"/>
      <c r="S2" s="25"/>
      <c r="W2" s="25"/>
      <c r="X2" s="605"/>
      <c r="Y2" s="26"/>
      <c r="Z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</row>
    <row r="3" spans="1:58" ht="24" customHeight="1">
      <c r="A3" s="690" t="s">
        <v>7</v>
      </c>
      <c r="B3" s="690" t="s">
        <v>8</v>
      </c>
      <c r="C3" s="690" t="s">
        <v>210</v>
      </c>
      <c r="D3" s="690" t="s">
        <v>105</v>
      </c>
      <c r="E3" s="690" t="s">
        <v>106</v>
      </c>
      <c r="F3" s="690" t="s">
        <v>107</v>
      </c>
      <c r="G3" s="710" t="s">
        <v>108</v>
      </c>
      <c r="H3" s="711"/>
      <c r="I3" s="711"/>
      <c r="J3" s="711"/>
      <c r="K3" s="712"/>
      <c r="L3" s="716" t="s">
        <v>109</v>
      </c>
      <c r="M3" s="717"/>
      <c r="N3" s="718"/>
      <c r="O3" s="722" t="s">
        <v>110</v>
      </c>
      <c r="P3" s="680" t="s">
        <v>122</v>
      </c>
      <c r="Q3" s="722" t="s">
        <v>111</v>
      </c>
      <c r="R3" s="689" t="s">
        <v>112</v>
      </c>
      <c r="S3" s="689" t="s">
        <v>113</v>
      </c>
      <c r="T3" s="690" t="s">
        <v>167</v>
      </c>
      <c r="U3" s="690" t="s">
        <v>166</v>
      </c>
      <c r="V3" s="690" t="s">
        <v>168</v>
      </c>
      <c r="W3" s="689" t="s">
        <v>157</v>
      </c>
      <c r="X3" s="708" t="s">
        <v>115</v>
      </c>
      <c r="Y3" s="695" t="s">
        <v>293</v>
      </c>
      <c r="Z3" s="689" t="s">
        <v>116</v>
      </c>
      <c r="AA3" s="690" t="s">
        <v>169</v>
      </c>
      <c r="AB3" s="690" t="s">
        <v>180</v>
      </c>
      <c r="AC3" s="690" t="s">
        <v>178</v>
      </c>
      <c r="AD3" s="690" t="s">
        <v>140</v>
      </c>
      <c r="AE3" s="690" t="s">
        <v>141</v>
      </c>
      <c r="AF3" s="701" t="s">
        <v>142</v>
      </c>
      <c r="AG3" s="701"/>
      <c r="AH3" s="701"/>
      <c r="AI3" s="701"/>
      <c r="AJ3" s="701"/>
      <c r="AK3" s="701"/>
      <c r="AL3" s="701"/>
      <c r="AM3" s="702" t="s">
        <v>143</v>
      </c>
      <c r="AN3" s="705" t="s">
        <v>117</v>
      </c>
      <c r="AO3" s="705"/>
      <c r="AP3" s="705"/>
      <c r="AQ3" s="705"/>
      <c r="AR3" s="705"/>
      <c r="AS3" s="706" t="s">
        <v>118</v>
      </c>
      <c r="AT3" s="691" t="s">
        <v>289</v>
      </c>
      <c r="AU3" s="692"/>
      <c r="AV3" s="681" t="s">
        <v>144</v>
      </c>
      <c r="AW3" s="682"/>
      <c r="AX3" s="683" t="s">
        <v>144</v>
      </c>
      <c r="AY3" s="684"/>
      <c r="AZ3" s="685" t="s">
        <v>304</v>
      </c>
      <c r="BA3" s="688" t="s">
        <v>119</v>
      </c>
      <c r="BB3" s="672" t="s">
        <v>120</v>
      </c>
      <c r="BC3" s="672" t="s">
        <v>121</v>
      </c>
      <c r="BD3" s="666" t="s">
        <v>406</v>
      </c>
      <c r="BE3" s="669" t="s">
        <v>407</v>
      </c>
      <c r="BF3" s="672" t="s">
        <v>408</v>
      </c>
    </row>
    <row r="4" spans="1:58" ht="12" customHeight="1">
      <c r="A4" s="699"/>
      <c r="B4" s="699"/>
      <c r="C4" s="699"/>
      <c r="D4" s="699"/>
      <c r="E4" s="699"/>
      <c r="F4" s="699"/>
      <c r="G4" s="713"/>
      <c r="H4" s="714"/>
      <c r="I4" s="714"/>
      <c r="J4" s="714"/>
      <c r="K4" s="715"/>
      <c r="L4" s="719"/>
      <c r="M4" s="720"/>
      <c r="N4" s="721"/>
      <c r="O4" s="723"/>
      <c r="P4" s="677"/>
      <c r="Q4" s="723"/>
      <c r="R4" s="698"/>
      <c r="S4" s="698"/>
      <c r="T4" s="699"/>
      <c r="U4" s="699"/>
      <c r="V4" s="699"/>
      <c r="W4" s="698"/>
      <c r="X4" s="709"/>
      <c r="Y4" s="696"/>
      <c r="Z4" s="698"/>
      <c r="AA4" s="699"/>
      <c r="AB4" s="699"/>
      <c r="AC4" s="699"/>
      <c r="AD4" s="699"/>
      <c r="AE4" s="699"/>
      <c r="AF4" s="674" t="s">
        <v>145</v>
      </c>
      <c r="AG4" s="675"/>
      <c r="AH4" s="676"/>
      <c r="AI4" s="677" t="s">
        <v>277</v>
      </c>
      <c r="AJ4" s="677" t="s">
        <v>14</v>
      </c>
      <c r="AK4" s="677" t="s">
        <v>146</v>
      </c>
      <c r="AL4" s="677" t="s">
        <v>17</v>
      </c>
      <c r="AM4" s="703"/>
      <c r="AN4" s="679" t="s">
        <v>123</v>
      </c>
      <c r="AO4" s="679" t="s">
        <v>14</v>
      </c>
      <c r="AP4" s="679" t="s">
        <v>124</v>
      </c>
      <c r="AQ4" s="679" t="s">
        <v>17</v>
      </c>
      <c r="AR4" s="688" t="s">
        <v>125</v>
      </c>
      <c r="AS4" s="706"/>
      <c r="AT4" s="693"/>
      <c r="AU4" s="694"/>
      <c r="AV4" s="491" t="s">
        <v>6</v>
      </c>
      <c r="AW4" s="491" t="s">
        <v>147</v>
      </c>
      <c r="AX4" s="492" t="s">
        <v>6</v>
      </c>
      <c r="AY4" s="493" t="s">
        <v>147</v>
      </c>
      <c r="AZ4" s="686"/>
      <c r="BA4" s="688"/>
      <c r="BB4" s="672"/>
      <c r="BC4" s="672"/>
      <c r="BD4" s="667"/>
      <c r="BE4" s="670"/>
      <c r="BF4" s="672"/>
    </row>
    <row r="5" spans="1:58" s="32" customFormat="1" ht="48">
      <c r="A5" s="699"/>
      <c r="B5" s="699"/>
      <c r="C5" s="700"/>
      <c r="D5" s="699"/>
      <c r="E5" s="699"/>
      <c r="F5" s="699"/>
      <c r="G5" s="570" t="s">
        <v>126</v>
      </c>
      <c r="H5" s="568" t="s">
        <v>127</v>
      </c>
      <c r="I5" s="30" t="s">
        <v>128</v>
      </c>
      <c r="J5" s="85" t="s">
        <v>129</v>
      </c>
      <c r="K5" s="85" t="s">
        <v>114</v>
      </c>
      <c r="L5" s="31" t="s">
        <v>130</v>
      </c>
      <c r="M5" s="31" t="s">
        <v>131</v>
      </c>
      <c r="N5" s="568" t="s">
        <v>132</v>
      </c>
      <c r="O5" s="723"/>
      <c r="P5" s="678"/>
      <c r="Q5" s="723"/>
      <c r="R5" s="698"/>
      <c r="S5" s="698"/>
      <c r="T5" s="699"/>
      <c r="U5" s="699"/>
      <c r="V5" s="699"/>
      <c r="W5" s="698"/>
      <c r="X5" s="709"/>
      <c r="Y5" s="697"/>
      <c r="Z5" s="698"/>
      <c r="AA5" s="699"/>
      <c r="AB5" s="700"/>
      <c r="AC5" s="699"/>
      <c r="AD5" s="700"/>
      <c r="AE5" s="699"/>
      <c r="AF5" s="440" t="s">
        <v>227</v>
      </c>
      <c r="AG5" s="569" t="s">
        <v>228</v>
      </c>
      <c r="AH5" s="569" t="s">
        <v>229</v>
      </c>
      <c r="AI5" s="678"/>
      <c r="AJ5" s="678"/>
      <c r="AK5" s="678"/>
      <c r="AL5" s="678"/>
      <c r="AM5" s="704"/>
      <c r="AN5" s="680"/>
      <c r="AO5" s="680"/>
      <c r="AP5" s="680"/>
      <c r="AQ5" s="680"/>
      <c r="AR5" s="689"/>
      <c r="AS5" s="707"/>
      <c r="AT5" s="573" t="s">
        <v>290</v>
      </c>
      <c r="AU5" s="573" t="s">
        <v>291</v>
      </c>
      <c r="AV5" s="494" t="s">
        <v>292</v>
      </c>
      <c r="AW5" s="494" t="s">
        <v>292</v>
      </c>
      <c r="AX5" s="492" t="s">
        <v>16</v>
      </c>
      <c r="AY5" s="492" t="s">
        <v>16</v>
      </c>
      <c r="AZ5" s="687"/>
      <c r="BA5" s="689"/>
      <c r="BB5" s="690"/>
      <c r="BC5" s="690"/>
      <c r="BD5" s="668"/>
      <c r="BE5" s="671"/>
      <c r="BF5" s="673"/>
    </row>
    <row r="6" spans="1:58" ht="12.95" customHeight="1">
      <c r="A6" s="40">
        <f>+Report1!A9</f>
        <v>45931</v>
      </c>
      <c r="B6" s="41" t="s">
        <v>416</v>
      </c>
      <c r="C6" s="428">
        <f>(M6*E6*O6*Q6)/100000000</f>
        <v>38.599924999999999</v>
      </c>
      <c r="D6" s="41" t="s">
        <v>297</v>
      </c>
      <c r="E6" s="42">
        <v>12.5</v>
      </c>
      <c r="F6" s="42">
        <v>1</v>
      </c>
      <c r="G6" s="472">
        <v>1350</v>
      </c>
      <c r="H6" s="489">
        <f>+N6</f>
        <v>0.24</v>
      </c>
      <c r="I6" s="45">
        <v>0.88</v>
      </c>
      <c r="J6" s="86">
        <f>E6*G6*(1-H6)*1440/1000000*2.87</f>
        <v>53.003160000000001</v>
      </c>
      <c r="K6" s="86">
        <f>(IF(G6&lt;L6,L6,G6)*(1-IF(H6&lt;N6,H6,N6))*E6*O6*Q6)/100000000</f>
        <v>41.687919000000001</v>
      </c>
      <c r="L6" s="35">
        <v>1250</v>
      </c>
      <c r="M6" s="35">
        <f>+L6-L6*0.24</f>
        <v>950</v>
      </c>
      <c r="N6" s="46">
        <f>1-(M6/L6)</f>
        <v>0.24</v>
      </c>
      <c r="O6" s="47">
        <f>+'Trim Rwd'!H4</f>
        <v>266</v>
      </c>
      <c r="P6" s="48">
        <f>O6*(Q6-R6-S6)</f>
        <v>170772</v>
      </c>
      <c r="Q6" s="47">
        <v>1222</v>
      </c>
      <c r="R6" s="397">
        <v>545</v>
      </c>
      <c r="S6" s="397">
        <v>35</v>
      </c>
      <c r="T6" s="37">
        <f>E6*M6*O6*Q6/100000000</f>
        <v>38.599924999999999</v>
      </c>
      <c r="U6" s="37">
        <f>E6*M6*O6*(Q6-R6-S6)/100000000</f>
        <v>20.279174999999999</v>
      </c>
      <c r="V6" s="37">
        <f>E6*G6*(1-N6)*O6/100*(R6+S6)/1000000</f>
        <v>19.78641</v>
      </c>
      <c r="W6" s="37">
        <f>+'1'!K7/1000</f>
        <v>18.686</v>
      </c>
      <c r="X6" s="394">
        <f>SUM(W6:W9)/SUM(K6:K9)</f>
        <v>0.37609655412551918</v>
      </c>
      <c r="Y6" s="37">
        <v>0</v>
      </c>
      <c r="Z6" s="37">
        <f>+'1'!D34/1000</f>
        <v>0.5</v>
      </c>
      <c r="AA6" s="49">
        <f>SUM(U6:U9)-SUM(W6:W9)-SUM(Z6:Z9)-SUM(Y6:Y9)</f>
        <v>8.0641609999999986</v>
      </c>
      <c r="AB6" s="49">
        <f>(SUM(K6:K9)-SUM(W6:W9)-SUM(Y6:Y9)-SUM(Z6:Z9)-SUM(AC6:AC9)-SUM(V6:V9))-AA6</f>
        <v>-1.4656600000000033</v>
      </c>
      <c r="AC6" s="37">
        <f>K6-T6</f>
        <v>3.0879940000000019</v>
      </c>
      <c r="AD6" s="37">
        <f>+AM6+BA6</f>
        <v>0</v>
      </c>
      <c r="AE6" s="230" t="s">
        <v>404</v>
      </c>
      <c r="AF6" s="37">
        <v>0</v>
      </c>
      <c r="AG6" s="37"/>
      <c r="AH6" s="37"/>
      <c r="AI6" s="474"/>
      <c r="AJ6" s="37"/>
      <c r="AK6" s="37"/>
      <c r="AL6" s="37"/>
      <c r="AM6" s="37">
        <f>SUM(AF6:AL6)+AT6+AV6+AX6</f>
        <v>0</v>
      </c>
      <c r="AN6" s="37"/>
      <c r="AO6" s="37"/>
      <c r="AP6" s="37"/>
      <c r="AQ6" s="37"/>
      <c r="AR6" s="37">
        <f>SUM(AN6:AQ6)</f>
        <v>0</v>
      </c>
      <c r="AS6" s="37"/>
      <c r="AT6" s="37"/>
      <c r="AU6" s="37"/>
      <c r="AV6" s="37"/>
      <c r="AW6" s="37"/>
      <c r="AX6" s="37"/>
      <c r="AY6" s="37"/>
      <c r="AZ6" s="37"/>
      <c r="BA6" s="37">
        <f>+AR6+AS6+AU6+AW6+AY6+AZ6</f>
        <v>0</v>
      </c>
      <c r="BB6" s="33">
        <v>0</v>
      </c>
      <c r="BC6" s="51"/>
      <c r="BD6" s="51"/>
      <c r="BE6" s="33"/>
      <c r="BF6" s="51"/>
    </row>
    <row r="7" spans="1:58" ht="12.95" customHeight="1">
      <c r="A7" s="40"/>
      <c r="B7" s="41" t="s">
        <v>416</v>
      </c>
      <c r="C7" s="428">
        <f>(M7*E7*O7*Q7)/100000000</f>
        <v>6.9709859999999999</v>
      </c>
      <c r="D7" s="41" t="s">
        <v>297</v>
      </c>
      <c r="E7" s="42">
        <v>15</v>
      </c>
      <c r="F7" s="42">
        <v>1</v>
      </c>
      <c r="G7" s="472">
        <v>1170</v>
      </c>
      <c r="H7" s="489">
        <f>+N7</f>
        <v>0.24</v>
      </c>
      <c r="I7" s="45">
        <v>0.88</v>
      </c>
      <c r="J7" s="86">
        <f>E7*G7*(1-H7)*1440/1000000*2.87</f>
        <v>55.123286400000005</v>
      </c>
      <c r="K7" s="86">
        <f>(IF(G7&lt;L7,L7,G7)*(1-IF(H7&lt;N7,H7,N7))*E7*O7*Q7)/100000000</f>
        <v>7.9961310000000001</v>
      </c>
      <c r="L7" s="35">
        <v>1020</v>
      </c>
      <c r="M7" s="35">
        <f>+L7-L7*0.24</f>
        <v>775.2</v>
      </c>
      <c r="N7" s="46">
        <f>1-(M7/L7)</f>
        <v>0.24</v>
      </c>
      <c r="O7" s="47">
        <f>+'Trim Rwd'!H5</f>
        <v>275</v>
      </c>
      <c r="P7" s="48">
        <f>O7*(Q7-R7-S7)</f>
        <v>59950</v>
      </c>
      <c r="Q7" s="47">
        <v>218</v>
      </c>
      <c r="R7" s="397">
        <v>0</v>
      </c>
      <c r="S7" s="397">
        <v>0</v>
      </c>
      <c r="T7" s="37">
        <f>E7*M7*O7*Q7/100000000</f>
        <v>6.9709859999999999</v>
      </c>
      <c r="U7" s="37">
        <f>E7*M7*O7*(Q7-R7-S7)/100000000</f>
        <v>6.9709859999999999</v>
      </c>
      <c r="V7" s="37">
        <f>E7*G7*(1-N7)*O7/100*(R7+S7)/1000000</f>
        <v>0</v>
      </c>
      <c r="W7" s="37">
        <f>+'1'!K8/1000</f>
        <v>0</v>
      </c>
      <c r="X7" s="394"/>
      <c r="Y7" s="213"/>
      <c r="Z7" s="37"/>
      <c r="AA7" s="37"/>
      <c r="AB7" s="37"/>
      <c r="AC7" s="37">
        <f>K7-T7</f>
        <v>1.0251450000000002</v>
      </c>
      <c r="AD7" s="37">
        <f>+AM7+BA7</f>
        <v>15</v>
      </c>
      <c r="AE7" s="230" t="s">
        <v>429</v>
      </c>
      <c r="AF7" s="37"/>
      <c r="AG7" s="37">
        <v>15</v>
      </c>
      <c r="AH7" s="37"/>
      <c r="AI7" s="474"/>
      <c r="AJ7" s="37"/>
      <c r="AK7" s="37"/>
      <c r="AL7" s="37"/>
      <c r="AM7" s="37">
        <f>SUM(AF7:AL7)+AT7+AV7+AX7</f>
        <v>15</v>
      </c>
      <c r="AN7" s="87"/>
      <c r="AO7" s="37"/>
      <c r="AP7" s="37"/>
      <c r="AQ7" s="37"/>
      <c r="AR7" s="37">
        <f>SUM(AN7:AQ7)</f>
        <v>0</v>
      </c>
      <c r="AS7" s="37"/>
      <c r="AT7" s="37"/>
      <c r="AU7" s="37"/>
      <c r="AV7" s="37"/>
      <c r="AW7" s="37"/>
      <c r="AX7" s="37"/>
      <c r="AY7" s="37"/>
      <c r="AZ7" s="37"/>
      <c r="BA7" s="37">
        <f>+AR7+AS7+AU7+AW7+AY7+AZ7</f>
        <v>0</v>
      </c>
      <c r="BB7" s="50"/>
      <c r="BC7" s="51">
        <v>9</v>
      </c>
      <c r="BD7" s="51"/>
      <c r="BE7" s="50"/>
      <c r="BF7" s="51"/>
    </row>
    <row r="8" spans="1:58" ht="12.95" customHeight="1">
      <c r="A8" s="40"/>
      <c r="B8" s="41"/>
      <c r="C8" s="428"/>
      <c r="D8" s="41"/>
      <c r="E8" s="42"/>
      <c r="F8" s="42"/>
      <c r="G8" s="43"/>
      <c r="H8" s="44"/>
      <c r="I8" s="45"/>
      <c r="J8" s="86"/>
      <c r="K8" s="86"/>
      <c r="L8" s="35"/>
      <c r="M8" s="35"/>
      <c r="N8" s="46"/>
      <c r="O8" s="47"/>
      <c r="P8" s="48"/>
      <c r="Q8" s="47"/>
      <c r="R8" s="397"/>
      <c r="S8" s="397"/>
      <c r="T8" s="37"/>
      <c r="U8" s="37"/>
      <c r="V8" s="37"/>
      <c r="W8" s="37"/>
      <c r="X8" s="394"/>
      <c r="Y8" s="213"/>
      <c r="Z8" s="37"/>
      <c r="AA8" s="37"/>
      <c r="AB8" s="37"/>
      <c r="AC8" s="37"/>
      <c r="AD8" s="37">
        <f>+AM8+BA8</f>
        <v>20</v>
      </c>
      <c r="AE8" s="230" t="s">
        <v>430</v>
      </c>
      <c r="AF8" s="33"/>
      <c r="AG8" s="33"/>
      <c r="AH8" s="33">
        <v>20</v>
      </c>
      <c r="AJ8" s="37"/>
      <c r="AK8" s="37"/>
      <c r="AL8" s="37"/>
      <c r="AM8" s="37">
        <f>SUM(AF8:AL8)+AT8+AV8+AX8</f>
        <v>20</v>
      </c>
      <c r="AN8" s="37"/>
      <c r="AO8" s="37"/>
      <c r="AP8" s="37"/>
      <c r="AQ8" s="37"/>
      <c r="AR8" s="37">
        <f>SUM(AN8:AQ8)</f>
        <v>0</v>
      </c>
      <c r="AS8" s="37"/>
      <c r="AT8" s="37"/>
      <c r="AU8" s="37"/>
      <c r="AV8" s="37"/>
      <c r="AW8" s="37"/>
      <c r="AX8" s="37"/>
      <c r="AY8" s="37"/>
      <c r="AZ8" s="37"/>
      <c r="BA8" s="37">
        <f>+AR8+AS8+AU8+AW8+AY8+AZ8</f>
        <v>0</v>
      </c>
      <c r="BB8" s="33"/>
      <c r="BC8" s="53"/>
      <c r="BD8" s="53"/>
      <c r="BE8" s="33"/>
      <c r="BF8" s="53"/>
    </row>
    <row r="9" spans="1:58" ht="12.95" customHeight="1">
      <c r="A9" s="40"/>
      <c r="B9" s="41"/>
      <c r="C9" s="428"/>
      <c r="D9" s="41"/>
      <c r="E9" s="42"/>
      <c r="F9" s="42"/>
      <c r="G9" s="43"/>
      <c r="H9" s="44"/>
      <c r="I9" s="45"/>
      <c r="J9" s="86"/>
      <c r="K9" s="86"/>
      <c r="L9" s="35"/>
      <c r="M9" s="35"/>
      <c r="N9" s="46"/>
      <c r="O9" s="47"/>
      <c r="P9" s="48"/>
      <c r="Q9" s="34"/>
      <c r="R9" s="397"/>
      <c r="S9" s="397"/>
      <c r="T9" s="37"/>
      <c r="U9" s="37"/>
      <c r="V9" s="37"/>
      <c r="W9" s="37"/>
      <c r="X9" s="394"/>
      <c r="Y9" s="213"/>
      <c r="Z9" s="37"/>
      <c r="AA9" s="37"/>
      <c r="AB9" s="37"/>
      <c r="AC9" s="37"/>
      <c r="AD9" s="37">
        <f>+AM9+BA9</f>
        <v>545</v>
      </c>
      <c r="AE9" s="233" t="s">
        <v>439</v>
      </c>
      <c r="AF9" s="37"/>
      <c r="AG9" s="37"/>
      <c r="AH9" s="37"/>
      <c r="AI9" s="474"/>
      <c r="AJ9" s="37"/>
      <c r="AK9" s="37"/>
      <c r="AL9" s="37"/>
      <c r="AM9" s="37">
        <f>SUM(AF9:AL9)+AT9+AV9+AX9</f>
        <v>0</v>
      </c>
      <c r="AN9" s="37"/>
      <c r="AO9" s="37"/>
      <c r="AP9" s="37"/>
      <c r="AQ9" s="37"/>
      <c r="AR9" s="37">
        <f>SUM(AN9:AQ9)</f>
        <v>0</v>
      </c>
      <c r="AS9" s="37"/>
      <c r="AT9" s="37"/>
      <c r="AU9" s="37"/>
      <c r="AV9" s="37"/>
      <c r="AW9" s="37">
        <v>545</v>
      </c>
      <c r="AX9" s="37"/>
      <c r="AY9" s="37"/>
      <c r="AZ9" s="37"/>
      <c r="BA9" s="37">
        <f>+AR9+AS9+AU9+AW9+AY9+AZ9</f>
        <v>545</v>
      </c>
      <c r="BB9" s="33"/>
      <c r="BC9" s="53"/>
      <c r="BD9" s="53"/>
      <c r="BE9" s="33"/>
      <c r="BF9" s="53"/>
    </row>
    <row r="10" spans="1:58" ht="12.95" customHeight="1">
      <c r="A10" s="40"/>
      <c r="B10" s="41"/>
      <c r="C10" s="428"/>
      <c r="D10" s="41"/>
      <c r="E10" s="42"/>
      <c r="F10" s="42"/>
      <c r="G10" s="472"/>
      <c r="H10" s="44"/>
      <c r="I10" s="45"/>
      <c r="J10" s="86"/>
      <c r="K10" s="86"/>
      <c r="L10" s="35"/>
      <c r="M10" s="35"/>
      <c r="N10" s="46"/>
      <c r="O10" s="47"/>
      <c r="P10" s="48"/>
      <c r="Q10" s="47"/>
      <c r="R10" s="397"/>
      <c r="S10" s="397"/>
      <c r="T10" s="37"/>
      <c r="U10" s="37"/>
      <c r="V10" s="37"/>
      <c r="W10" s="37"/>
      <c r="X10" s="394"/>
      <c r="Y10" s="37"/>
      <c r="Z10" s="37"/>
      <c r="AA10" s="49"/>
      <c r="AB10" s="49"/>
      <c r="AC10" s="37"/>
      <c r="AD10" s="37"/>
      <c r="AE10" s="230"/>
      <c r="AF10" s="37"/>
      <c r="AG10" s="37"/>
      <c r="AH10" s="37"/>
      <c r="AI10" s="474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3"/>
      <c r="BC10" s="51"/>
      <c r="BD10" s="51"/>
      <c r="BE10" s="33"/>
      <c r="BF10" s="51"/>
    </row>
    <row r="11" spans="1:58" ht="12.95" customHeight="1">
      <c r="A11" s="40">
        <v>45932</v>
      </c>
      <c r="B11" s="41" t="s">
        <v>416</v>
      </c>
      <c r="C11" s="428">
        <f>(M11*E11*O11*Q11)/100000000</f>
        <v>47.156669999999991</v>
      </c>
      <c r="D11" s="41" t="s">
        <v>297</v>
      </c>
      <c r="E11" s="42">
        <v>15</v>
      </c>
      <c r="F11" s="42">
        <v>1</v>
      </c>
      <c r="G11" s="472">
        <v>1170</v>
      </c>
      <c r="H11" s="489">
        <f>+N11</f>
        <v>0.24</v>
      </c>
      <c r="I11" s="45">
        <v>0.88</v>
      </c>
      <c r="J11" s="86">
        <f>E11*G11*(1-H11)*1440/1000000*2.87</f>
        <v>55.123286400000005</v>
      </c>
      <c r="K11" s="86">
        <f>(IF(G11&lt;L11,L11,G11)*(1-IF(H11&lt;N11,H11,N11))*E11*O11*Q11)/100000000</f>
        <v>50.250914999999999</v>
      </c>
      <c r="L11" s="35">
        <v>1097.956204379562</v>
      </c>
      <c r="M11" s="35">
        <v>834.44671532846712</v>
      </c>
      <c r="N11" s="46">
        <f>1-(M11/L11)</f>
        <v>0.24</v>
      </c>
      <c r="O11" s="47">
        <f>+'Trim Rwd'!H7</f>
        <v>275</v>
      </c>
      <c r="P11" s="48">
        <f>O11*(Q11-R11-S11)</f>
        <v>363000</v>
      </c>
      <c r="Q11" s="47">
        <v>1370</v>
      </c>
      <c r="R11" s="397">
        <v>0</v>
      </c>
      <c r="S11" s="397">
        <v>50</v>
      </c>
      <c r="T11" s="37">
        <f>E11*M11*O11*Q11/100000000</f>
        <v>47.156669999999991</v>
      </c>
      <c r="U11" s="37">
        <f>E11*M11*O11*(Q11-R11-S11)/100000000</f>
        <v>45.435623649635026</v>
      </c>
      <c r="V11" s="37">
        <f>E11*G11*(1-N11)*O11/100*(R11+S11)/1000000</f>
        <v>1.8339749999999999</v>
      </c>
      <c r="W11" s="37">
        <f>+'2'!K8/1000</f>
        <v>47.850999999999999</v>
      </c>
      <c r="X11" s="394">
        <f>SUM(W11:W14)/SUM(K11:K14)</f>
        <v>0.95144340626518642</v>
      </c>
      <c r="Y11" s="37">
        <v>0</v>
      </c>
      <c r="Z11" s="37">
        <f>+'2'!D34/1000</f>
        <v>0.72</v>
      </c>
      <c r="AA11" s="49">
        <f>SUM(U11:U14)-SUM(W11:W14)-SUM(Z11:Z14)-SUM(Y11:Y14)</f>
        <v>-3.1362944143649694</v>
      </c>
      <c r="AB11" s="49">
        <f>(SUM(K11:K14)-SUM(W11:W14)-SUM(Y11:Y14)-SUM(Z11:Z14)-SUM(AC11:AC14)-SUM(V11:V14))-AA11</f>
        <v>-0.11480837163503343</v>
      </c>
      <c r="AC11" s="37">
        <f>K11-T11</f>
        <v>3.0942450000000079</v>
      </c>
      <c r="AD11" s="37">
        <f>+AM11+BA11</f>
        <v>10</v>
      </c>
      <c r="AE11" s="230" t="s">
        <v>456</v>
      </c>
      <c r="AF11" s="37">
        <v>10</v>
      </c>
      <c r="AG11" s="37"/>
      <c r="AH11" s="37"/>
      <c r="AI11" s="474"/>
      <c r="AJ11" s="37"/>
      <c r="AK11" s="37"/>
      <c r="AL11" s="37"/>
      <c r="AM11" s="37">
        <f>SUM(AF11:AL11)+AT11+AV11+AX11</f>
        <v>10</v>
      </c>
      <c r="AN11" s="37"/>
      <c r="AO11" s="37"/>
      <c r="AP11" s="37"/>
      <c r="AQ11" s="37"/>
      <c r="AR11" s="37">
        <f>SUM(AN11:AQ11)</f>
        <v>0</v>
      </c>
      <c r="AS11" s="37"/>
      <c r="AT11" s="37"/>
      <c r="AU11" s="37"/>
      <c r="AV11" s="37"/>
      <c r="AW11" s="37"/>
      <c r="AX11" s="37"/>
      <c r="AY11" s="37"/>
      <c r="AZ11" s="37"/>
      <c r="BA11" s="37">
        <f>+AR11+AS11+AU11+AW11+AY11+AZ11</f>
        <v>0</v>
      </c>
      <c r="BB11" s="33">
        <v>2</v>
      </c>
      <c r="BC11" s="51"/>
      <c r="BD11" s="51"/>
      <c r="BE11" s="33"/>
      <c r="BF11" s="51"/>
    </row>
    <row r="12" spans="1:58" ht="12.95" customHeight="1">
      <c r="A12" s="40"/>
      <c r="B12" s="41" t="s">
        <v>416</v>
      </c>
      <c r="C12" s="428">
        <f>(M12*E12*O12*Q12)/100000000</f>
        <v>2.4561700800000001</v>
      </c>
      <c r="D12" s="41" t="s">
        <v>297</v>
      </c>
      <c r="E12" s="42">
        <v>14.5</v>
      </c>
      <c r="F12" s="42">
        <v>1</v>
      </c>
      <c r="G12" s="472">
        <v>1180</v>
      </c>
      <c r="H12" s="582">
        <v>0.22</v>
      </c>
      <c r="I12" s="45">
        <v>0.88</v>
      </c>
      <c r="J12" s="86">
        <f>E12*G12*(1-H12)*1440/1000000*2.87</f>
        <v>55.155522240000003</v>
      </c>
      <c r="K12" s="86">
        <f>(IF(G12&lt;L12,L12,G12)*(1-IF(H12&lt;N12,H12,N12))*E12*O12*Q12)/100000000</f>
        <v>2.5877506199999996</v>
      </c>
      <c r="L12" s="35">
        <v>1120</v>
      </c>
      <c r="M12" s="35">
        <v>873.6</v>
      </c>
      <c r="N12" s="46">
        <f>1-(M12/L12)</f>
        <v>0.21999999999999997</v>
      </c>
      <c r="O12" s="47">
        <f>+'Trim Rwd'!H8</f>
        <v>277</v>
      </c>
      <c r="P12" s="48">
        <f>O12*(Q12-R12-S12)</f>
        <v>19113</v>
      </c>
      <c r="Q12" s="47">
        <v>70</v>
      </c>
      <c r="R12" s="397">
        <v>0</v>
      </c>
      <c r="S12" s="397">
        <v>1</v>
      </c>
      <c r="T12" s="37">
        <f>E12*M12*O12*Q12/100000000</f>
        <v>2.4561700800000001</v>
      </c>
      <c r="U12" s="37">
        <f>E12*M12*O12*(Q12-R12-S12)/100000000</f>
        <v>2.4210819360000002</v>
      </c>
      <c r="V12" s="37">
        <f>E12*G12*(1-N12)*O12/100*(R12+S12)/1000000</f>
        <v>3.6967866000000002E-2</v>
      </c>
      <c r="W12" s="37">
        <f>+'2'!K9/1000</f>
        <v>0</v>
      </c>
      <c r="X12" s="394"/>
      <c r="Y12" s="213"/>
      <c r="Z12" s="37"/>
      <c r="AA12" s="37"/>
      <c r="AB12" s="37"/>
      <c r="AC12" s="37">
        <f>K12-T12</f>
        <v>0.13158053999999941</v>
      </c>
      <c r="AD12" s="37">
        <f>+AM12+BA12</f>
        <v>18</v>
      </c>
      <c r="AE12" s="230" t="s">
        <v>462</v>
      </c>
      <c r="AF12" s="37"/>
      <c r="AG12" s="37">
        <v>18</v>
      </c>
      <c r="AH12" s="37"/>
      <c r="AI12" s="474"/>
      <c r="AJ12" s="37"/>
      <c r="AK12" s="37"/>
      <c r="AL12" s="37"/>
      <c r="AM12" s="37">
        <f>SUM(AF12:AL12)+AT12+AV12+AX12</f>
        <v>18</v>
      </c>
      <c r="AN12" s="87"/>
      <c r="AO12" s="37"/>
      <c r="AP12" s="37"/>
      <c r="AQ12" s="37"/>
      <c r="AR12" s="37">
        <f>SUM(AN12:AQ12)</f>
        <v>0</v>
      </c>
      <c r="AS12" s="37"/>
      <c r="AT12" s="37"/>
      <c r="AU12" s="37"/>
      <c r="AV12" s="37"/>
      <c r="AW12" s="37"/>
      <c r="AX12" s="37"/>
      <c r="AY12" s="37"/>
      <c r="AZ12" s="37"/>
      <c r="BA12" s="37">
        <f>+AR12+AS12+AU12+AW12+AY12+AZ12</f>
        <v>0</v>
      </c>
      <c r="BB12" s="50"/>
      <c r="BC12" s="51">
        <v>13</v>
      </c>
      <c r="BD12" s="51"/>
      <c r="BE12" s="50"/>
      <c r="BF12" s="51"/>
    </row>
    <row r="13" spans="1:58" ht="12.95" customHeight="1">
      <c r="A13" s="40"/>
      <c r="B13" s="41" t="s">
        <v>416</v>
      </c>
      <c r="C13" s="428"/>
      <c r="D13" s="41"/>
      <c r="E13" s="42">
        <v>12.5</v>
      </c>
      <c r="F13" s="42"/>
      <c r="G13" s="43"/>
      <c r="H13" s="44"/>
      <c r="I13" s="45"/>
      <c r="J13" s="86"/>
      <c r="K13" s="86"/>
      <c r="L13" s="35"/>
      <c r="M13" s="35"/>
      <c r="N13" s="46"/>
      <c r="O13" s="47"/>
      <c r="P13" s="48"/>
      <c r="Q13" s="47"/>
      <c r="R13" s="397"/>
      <c r="S13" s="397"/>
      <c r="T13" s="37"/>
      <c r="U13" s="37"/>
      <c r="V13" s="37"/>
      <c r="W13" s="37">
        <f>+'2'!K7/1000</f>
        <v>2.4220000000000002</v>
      </c>
      <c r="X13" s="394"/>
      <c r="Y13" s="213"/>
      <c r="Z13" s="37"/>
      <c r="AA13" s="37"/>
      <c r="AB13" s="37"/>
      <c r="AC13" s="37"/>
      <c r="AD13" s="37">
        <f>+AM13+BA13</f>
        <v>23</v>
      </c>
      <c r="AE13" s="230" t="s">
        <v>463</v>
      </c>
      <c r="AF13" s="33"/>
      <c r="AG13" s="33"/>
      <c r="AH13" s="33">
        <v>23</v>
      </c>
      <c r="AJ13" s="37"/>
      <c r="AK13" s="37"/>
      <c r="AL13" s="37"/>
      <c r="AM13" s="37">
        <f>SUM(AF13:AL13)+AT13+AV13+AX13</f>
        <v>23</v>
      </c>
      <c r="AN13" s="37"/>
      <c r="AO13" s="37"/>
      <c r="AP13" s="37"/>
      <c r="AQ13" s="37"/>
      <c r="AR13" s="37">
        <f>SUM(AN13:AQ13)</f>
        <v>0</v>
      </c>
      <c r="AS13" s="37"/>
      <c r="AT13" s="37"/>
      <c r="AU13" s="37"/>
      <c r="AV13" s="37"/>
      <c r="AW13" s="37"/>
      <c r="AX13" s="37"/>
      <c r="AY13" s="37"/>
      <c r="AZ13" s="37"/>
      <c r="BA13" s="37">
        <f>+AR13+AS13+AU13+AW13+AY13+AZ13</f>
        <v>0</v>
      </c>
      <c r="BB13" s="33"/>
      <c r="BC13" s="53"/>
      <c r="BD13" s="53"/>
      <c r="BE13" s="33"/>
      <c r="BF13" s="53"/>
    </row>
    <row r="14" spans="1:58" ht="12.95" customHeight="1">
      <c r="A14" s="40"/>
      <c r="B14" s="41"/>
      <c r="C14" s="428"/>
      <c r="D14" s="41"/>
      <c r="E14" s="42"/>
      <c r="F14" s="42"/>
      <c r="G14" s="43"/>
      <c r="H14" s="44"/>
      <c r="I14" s="45"/>
      <c r="J14" s="86"/>
      <c r="K14" s="86"/>
      <c r="L14" s="35"/>
      <c r="M14" s="35"/>
      <c r="N14" s="46"/>
      <c r="O14" s="47"/>
      <c r="P14" s="48"/>
      <c r="Q14" s="34"/>
      <c r="R14" s="397"/>
      <c r="S14" s="397"/>
      <c r="T14" s="37"/>
      <c r="U14" s="37"/>
      <c r="V14" s="37"/>
      <c r="W14" s="37"/>
      <c r="X14" s="394"/>
      <c r="Y14" s="213"/>
      <c r="Z14" s="37"/>
      <c r="AA14" s="37"/>
      <c r="AB14" s="37"/>
      <c r="AC14" s="37"/>
      <c r="AD14" s="37"/>
      <c r="AE14" s="233"/>
      <c r="AF14" s="37"/>
      <c r="AG14" s="37"/>
      <c r="AH14" s="37"/>
      <c r="AI14" s="474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3"/>
      <c r="BC14" s="53"/>
      <c r="BD14" s="53"/>
      <c r="BE14" s="33"/>
      <c r="BF14" s="53"/>
    </row>
    <row r="15" spans="1:58" ht="12.95" customHeight="1">
      <c r="A15" s="40">
        <v>45933</v>
      </c>
      <c r="B15" s="41" t="s">
        <v>416</v>
      </c>
      <c r="C15" s="428">
        <f>(M15*E15*O15*Q15)/100000000</f>
        <v>34.94716485</v>
      </c>
      <c r="D15" s="41" t="s">
        <v>297</v>
      </c>
      <c r="E15" s="42">
        <v>14.5</v>
      </c>
      <c r="F15" s="42">
        <v>1</v>
      </c>
      <c r="G15" s="472">
        <v>1180</v>
      </c>
      <c r="H15" s="582">
        <v>0.22</v>
      </c>
      <c r="I15" s="45">
        <v>0.88</v>
      </c>
      <c r="J15" s="86">
        <f>E15*G15*(1-H15)*1440/1000000*2.87</f>
        <v>55.155522240000003</v>
      </c>
      <c r="K15" s="86">
        <f>(IF(G15&lt;L15,L15,G15)*(1-IF(H15&lt;N15,H15,N15))*E15*O15*Q15)/100000000</f>
        <v>35.858830019999992</v>
      </c>
      <c r="L15" s="35">
        <v>1150</v>
      </c>
      <c r="M15" s="35">
        <f>+L15-L15*0.22</f>
        <v>897</v>
      </c>
      <c r="N15" s="46">
        <f>1-(M15/L15)</f>
        <v>0.21999999999999997</v>
      </c>
      <c r="O15" s="47">
        <f>+'Trim Rwd'!H11</f>
        <v>277</v>
      </c>
      <c r="P15" s="48">
        <f>O15*(Q15-R15-S15)</f>
        <v>255948</v>
      </c>
      <c r="Q15" s="47">
        <v>970</v>
      </c>
      <c r="R15" s="397">
        <v>0</v>
      </c>
      <c r="S15" s="397">
        <f>30+16</f>
        <v>46</v>
      </c>
      <c r="T15" s="37">
        <f>E15*M15*O15*Q15/100000000</f>
        <v>34.94716485</v>
      </c>
      <c r="U15" s="37">
        <f>E15*M15*O15*(Q15-R15-S15)/100000000</f>
        <v>33.289876620000001</v>
      </c>
      <c r="V15" s="37">
        <f>E15*G15*(1-N15)*O15/100*(R15+S15)/1000000</f>
        <v>1.7005218360000001</v>
      </c>
      <c r="W15" s="37">
        <f>+'3'!K9/1000</f>
        <v>28.385999999999999</v>
      </c>
      <c r="X15" s="394">
        <f>SUM(W15:W18)/SUM(K15:K18)</f>
        <v>0.79954858172156829</v>
      </c>
      <c r="Y15" s="37">
        <v>0</v>
      </c>
      <c r="Z15" s="37">
        <f>+('3'!D7+'3'!D16)/1000</f>
        <v>3</v>
      </c>
      <c r="AA15" s="49">
        <f>SUM(U15:U18)-SUM(W15:W18)-SUM(Z15:Z18)-SUM(Y15:Y18)</f>
        <v>1.903501619999997</v>
      </c>
      <c r="AB15" s="49">
        <f>(SUM(K15:K18)-SUM(W15:W18)-SUM(Y15:Y18)-SUM(Z15:Z18)-SUM(AC15:AC18)-SUM(V15:V18))-AA15</f>
        <v>-4.3233606000000702E-2</v>
      </c>
      <c r="AC15" s="37">
        <f>K15-T15</f>
        <v>0.91166516999999203</v>
      </c>
      <c r="AD15" s="37">
        <f>+AM15+BA15</f>
        <v>30</v>
      </c>
      <c r="AE15" s="230" t="s">
        <v>491</v>
      </c>
      <c r="AF15" s="37">
        <v>30</v>
      </c>
      <c r="AG15" s="37"/>
      <c r="AH15" s="37"/>
      <c r="AI15" s="474"/>
      <c r="AJ15" s="37"/>
      <c r="AK15" s="37"/>
      <c r="AL15" s="37"/>
      <c r="AM15" s="37">
        <f>SUM(AF15:AL15)+AT15+AV15+AX15</f>
        <v>30</v>
      </c>
      <c r="AN15" s="37"/>
      <c r="AO15" s="37"/>
      <c r="AP15" s="37"/>
      <c r="AQ15" s="37"/>
      <c r="AR15" s="37">
        <f>SUM(AN15:AQ15)</f>
        <v>0</v>
      </c>
      <c r="AS15" s="37"/>
      <c r="AT15" s="37"/>
      <c r="AU15" s="37"/>
      <c r="AV15" s="37"/>
      <c r="AW15" s="37"/>
      <c r="AX15" s="37"/>
      <c r="AY15" s="37"/>
      <c r="AZ15" s="37"/>
      <c r="BA15" s="37">
        <f>+AR15+AS15+AU15+AW15+AY15+AZ15</f>
        <v>0</v>
      </c>
      <c r="BB15" s="33">
        <v>6</v>
      </c>
      <c r="BC15" s="51"/>
      <c r="BD15" s="51"/>
      <c r="BE15" s="33"/>
      <c r="BF15" s="51"/>
    </row>
    <row r="16" spans="1:58" ht="12.95" customHeight="1">
      <c r="A16" s="40"/>
      <c r="B16" s="41" t="s">
        <v>416</v>
      </c>
      <c r="C16" s="428">
        <f>(M16*E16*O16*Q16)/100000000</f>
        <v>17.44875</v>
      </c>
      <c r="D16" s="41" t="s">
        <v>297</v>
      </c>
      <c r="E16" s="42">
        <v>12.5</v>
      </c>
      <c r="F16" s="42">
        <v>1</v>
      </c>
      <c r="G16" s="472">
        <v>1350</v>
      </c>
      <c r="H16" s="489">
        <v>0.2</v>
      </c>
      <c r="I16" s="45">
        <v>0.88</v>
      </c>
      <c r="J16" s="86">
        <f>E16*G16*(1-H16)*1440/1000000*2.87</f>
        <v>55.792800000000007</v>
      </c>
      <c r="K16" s="86">
        <f>(IF(G16&lt;L16,L16,G16)*(1-IF(H16&lt;N16,H16,N16))*E16*O16*Q16)/100000000</f>
        <v>17.44875</v>
      </c>
      <c r="L16" s="35">
        <v>1350</v>
      </c>
      <c r="M16" s="35">
        <f>+L16-L16*0.2</f>
        <v>1080</v>
      </c>
      <c r="N16" s="46">
        <f>1-(M16/L16)</f>
        <v>0.19999999999999996</v>
      </c>
      <c r="O16" s="47">
        <f>+'Trim Rwd'!H12</f>
        <v>275</v>
      </c>
      <c r="P16" s="48">
        <f>O16*(Q16-R16-S16)</f>
        <v>111375</v>
      </c>
      <c r="Q16" s="47">
        <v>470</v>
      </c>
      <c r="R16" s="397">
        <v>0</v>
      </c>
      <c r="S16" s="397">
        <f>29+36</f>
        <v>65</v>
      </c>
      <c r="T16" s="37">
        <f>E16*M16*O16*Q16/100000000</f>
        <v>17.44875</v>
      </c>
      <c r="U16" s="37">
        <f>E16*M16*O16*(Q16-R16-S16)/100000000</f>
        <v>15.035625</v>
      </c>
      <c r="V16" s="37">
        <f>E16*G16*(1-N16)*O16/100*(R16+S16)/1000000</f>
        <v>2.413125</v>
      </c>
      <c r="W16" s="37">
        <f>+'3'!K7/1000</f>
        <v>10.464</v>
      </c>
      <c r="X16" s="394"/>
      <c r="Y16" s="213"/>
      <c r="Z16" s="37">
        <f>+'3'!D26/1000</f>
        <v>0.7</v>
      </c>
      <c r="AA16" s="37"/>
      <c r="AB16" s="37"/>
      <c r="AC16" s="37">
        <f>K16-T16</f>
        <v>0</v>
      </c>
      <c r="AD16" s="37">
        <f>+AM16+BA16</f>
        <v>16</v>
      </c>
      <c r="AE16" s="230" t="s">
        <v>493</v>
      </c>
      <c r="AF16" s="37"/>
      <c r="AG16" s="37">
        <v>16</v>
      </c>
      <c r="AH16" s="37"/>
      <c r="AI16" s="474"/>
      <c r="AJ16" s="37"/>
      <c r="AK16" s="37"/>
      <c r="AL16" s="37"/>
      <c r="AM16" s="37">
        <f>SUM(AF16:AL16)+AT16+AV16+AX16</f>
        <v>16</v>
      </c>
      <c r="AN16" s="87"/>
      <c r="AO16" s="37"/>
      <c r="AP16" s="37"/>
      <c r="AQ16" s="37"/>
      <c r="AR16" s="37">
        <f>SUM(AN16:AQ16)</f>
        <v>0</v>
      </c>
      <c r="AS16" s="37"/>
      <c r="AT16" s="37"/>
      <c r="AU16" s="37"/>
      <c r="AV16" s="37"/>
      <c r="AW16" s="37"/>
      <c r="AX16" s="37"/>
      <c r="AY16" s="37"/>
      <c r="AZ16" s="37"/>
      <c r="BA16" s="37">
        <f>+AR16+AS16+AU16+AW16+AY16+AZ16</f>
        <v>0</v>
      </c>
      <c r="BB16" s="50"/>
      <c r="BC16" s="51">
        <v>15</v>
      </c>
      <c r="BD16" s="51"/>
      <c r="BE16" s="50"/>
      <c r="BF16" s="51"/>
    </row>
    <row r="17" spans="1:58" ht="12.95" customHeight="1">
      <c r="A17" s="40"/>
      <c r="B17" s="41" t="s">
        <v>416</v>
      </c>
      <c r="C17" s="428"/>
      <c r="D17" s="41"/>
      <c r="E17" s="42">
        <v>15</v>
      </c>
      <c r="F17" s="42"/>
      <c r="G17" s="43"/>
      <c r="H17" s="44"/>
      <c r="I17" s="45"/>
      <c r="J17" s="86"/>
      <c r="K17" s="86"/>
      <c r="L17" s="35"/>
      <c r="M17" s="35"/>
      <c r="N17" s="46"/>
      <c r="O17" s="47"/>
      <c r="P17" s="48"/>
      <c r="Q17" s="47"/>
      <c r="R17" s="397"/>
      <c r="S17" s="397"/>
      <c r="T17" s="37"/>
      <c r="U17" s="37"/>
      <c r="V17" s="37"/>
      <c r="W17" s="37">
        <f>+'3'!K8/1000</f>
        <v>3.7719999999999998</v>
      </c>
      <c r="X17" s="394"/>
      <c r="Y17" s="213"/>
      <c r="Z17" s="37">
        <f>+'3'!D8/1000</f>
        <v>0.1</v>
      </c>
      <c r="AA17" s="37"/>
      <c r="AB17" s="37"/>
      <c r="AC17" s="37"/>
      <c r="AD17" s="37">
        <f>+AM17+BA17</f>
        <v>29</v>
      </c>
      <c r="AE17" s="230" t="s">
        <v>494</v>
      </c>
      <c r="AF17" s="33"/>
      <c r="AG17" s="33"/>
      <c r="AH17" s="33">
        <v>29</v>
      </c>
      <c r="AJ17" s="37"/>
      <c r="AK17" s="37"/>
      <c r="AL17" s="37"/>
      <c r="AM17" s="37">
        <f>SUM(AF17:AL17)+AT17+AV17+AX17</f>
        <v>29</v>
      </c>
      <c r="AN17" s="37"/>
      <c r="AO17" s="37"/>
      <c r="AP17" s="37"/>
      <c r="AQ17" s="37"/>
      <c r="AR17" s="37">
        <f>SUM(AN17:AQ17)</f>
        <v>0</v>
      </c>
      <c r="AS17" s="37"/>
      <c r="AT17" s="37"/>
      <c r="AU17" s="37"/>
      <c r="AV17" s="37"/>
      <c r="AW17" s="37"/>
      <c r="AX17" s="37"/>
      <c r="AY17" s="37"/>
      <c r="AZ17" s="37"/>
      <c r="BA17" s="37">
        <f>+AR17+AS17+AU17+AW17+AY17+AZ17</f>
        <v>0</v>
      </c>
      <c r="BB17" s="33"/>
      <c r="BC17" s="53"/>
      <c r="BD17" s="53"/>
      <c r="BE17" s="33"/>
      <c r="BF17" s="53"/>
    </row>
    <row r="18" spans="1:58" ht="12.95" customHeight="1">
      <c r="A18" s="40"/>
      <c r="B18" s="41"/>
      <c r="C18" s="428"/>
      <c r="D18" s="41"/>
      <c r="E18" s="42"/>
      <c r="F18" s="42"/>
      <c r="G18" s="43"/>
      <c r="H18" s="44"/>
      <c r="I18" s="45"/>
      <c r="J18" s="86"/>
      <c r="K18" s="86"/>
      <c r="L18" s="35"/>
      <c r="M18" s="35"/>
      <c r="N18" s="46"/>
      <c r="O18" s="47"/>
      <c r="P18" s="48"/>
      <c r="Q18" s="34"/>
      <c r="R18" s="397"/>
      <c r="S18" s="397"/>
      <c r="T18" s="37"/>
      <c r="U18" s="37"/>
      <c r="V18" s="37"/>
      <c r="W18" s="37"/>
      <c r="X18" s="394"/>
      <c r="Y18" s="213"/>
      <c r="Z18" s="37"/>
      <c r="AA18" s="37"/>
      <c r="AB18" s="37"/>
      <c r="AC18" s="37"/>
      <c r="AD18" s="37">
        <f>+AM18+BA18</f>
        <v>36</v>
      </c>
      <c r="AE18" s="233" t="s">
        <v>495</v>
      </c>
      <c r="AF18" s="37"/>
      <c r="AG18" s="37"/>
      <c r="AH18" s="37"/>
      <c r="AI18" s="474"/>
      <c r="AJ18" s="37">
        <v>36</v>
      </c>
      <c r="AK18" s="37"/>
      <c r="AL18" s="37"/>
      <c r="AM18" s="37">
        <f>SUM(AF18:AL18)+AT18+AV18+AX18</f>
        <v>36</v>
      </c>
      <c r="AN18" s="37"/>
      <c r="AO18" s="37"/>
      <c r="AP18" s="37"/>
      <c r="AQ18" s="37"/>
      <c r="AR18" s="37">
        <f>SUM(AN18:AQ18)</f>
        <v>0</v>
      </c>
      <c r="AS18" s="37"/>
      <c r="AT18" s="37"/>
      <c r="AU18" s="37"/>
      <c r="AV18" s="37"/>
      <c r="AW18" s="37"/>
      <c r="AX18" s="37"/>
      <c r="AY18" s="37"/>
      <c r="AZ18" s="37"/>
      <c r="BA18" s="37">
        <f>+AR18+AS18+AU18+AW18+AY18+AZ18</f>
        <v>0</v>
      </c>
      <c r="BB18" s="33"/>
      <c r="BC18" s="53"/>
      <c r="BD18" s="53"/>
      <c r="BE18" s="33"/>
      <c r="BF18" s="53"/>
    </row>
    <row r="19" spans="1:58" ht="12.95" customHeight="1">
      <c r="A19" s="40"/>
      <c r="B19" s="41"/>
      <c r="C19" s="428"/>
      <c r="D19" s="41"/>
      <c r="E19" s="42"/>
      <c r="F19" s="42"/>
      <c r="G19" s="472"/>
      <c r="H19" s="44"/>
      <c r="I19" s="45"/>
      <c r="J19" s="86"/>
      <c r="K19" s="86"/>
      <c r="L19" s="35"/>
      <c r="M19" s="35"/>
      <c r="N19" s="46"/>
      <c r="O19" s="47"/>
      <c r="P19" s="48"/>
      <c r="Q19" s="47"/>
      <c r="R19" s="397"/>
      <c r="S19" s="397"/>
      <c r="T19" s="37"/>
      <c r="U19" s="37"/>
      <c r="V19" s="37"/>
      <c r="W19" s="37"/>
      <c r="X19" s="394"/>
      <c r="Y19" s="37"/>
      <c r="Z19" s="37"/>
      <c r="AA19" s="49"/>
      <c r="AB19" s="49"/>
      <c r="AC19" s="37"/>
      <c r="AD19" s="37"/>
      <c r="AE19" s="230"/>
      <c r="AF19" s="37"/>
      <c r="AG19" s="37"/>
      <c r="AH19" s="37"/>
      <c r="AI19" s="474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3"/>
      <c r="BC19" s="51"/>
      <c r="BD19" s="51"/>
      <c r="BE19" s="33"/>
      <c r="BF19" s="51"/>
    </row>
    <row r="20" spans="1:58" ht="12.95" customHeight="1">
      <c r="A20" s="40">
        <v>45934</v>
      </c>
      <c r="B20" s="41" t="s">
        <v>416</v>
      </c>
      <c r="C20" s="428">
        <f>(M20*E20*O20*Q20)/100000000</f>
        <v>7.9494249999999997</v>
      </c>
      <c r="D20" s="41" t="s">
        <v>297</v>
      </c>
      <c r="E20" s="42">
        <v>12.5</v>
      </c>
      <c r="F20" s="42">
        <v>1</v>
      </c>
      <c r="G20" s="472">
        <v>1350</v>
      </c>
      <c r="H20" s="489">
        <v>0.2</v>
      </c>
      <c r="I20" s="45">
        <v>0.88</v>
      </c>
      <c r="J20" s="86">
        <f>E20*G20*(1-H20)*1440/1000000*2.87</f>
        <v>55.792800000000007</v>
      </c>
      <c r="K20" s="86">
        <f>(IF(G20&lt;L20,L20,G20)*(1-IF(H20&lt;N20,H20,N20))*E20*O20*Q20)/100000000</f>
        <v>7.9494249999999997</v>
      </c>
      <c r="L20" s="35">
        <v>1370</v>
      </c>
      <c r="M20" s="35">
        <f>+L20-L20*0.2</f>
        <v>1096</v>
      </c>
      <c r="N20" s="46">
        <f>1-(M20/L20)</f>
        <v>0.19999999999999996</v>
      </c>
      <c r="O20" s="47">
        <f>+'Trim Rwd'!H15</f>
        <v>275</v>
      </c>
      <c r="P20" s="48">
        <f>O20*(Q20-R20-S20)</f>
        <v>55275</v>
      </c>
      <c r="Q20" s="47">
        <v>211</v>
      </c>
      <c r="R20" s="397">
        <v>0</v>
      </c>
      <c r="S20" s="397">
        <v>10</v>
      </c>
      <c r="T20" s="37">
        <f>E20*M20*O20*Q20/100000000</f>
        <v>7.9494249999999997</v>
      </c>
      <c r="U20" s="37">
        <f>E20*M20*O20*(Q20-R20-S20)/100000000</f>
        <v>7.5726750000000003</v>
      </c>
      <c r="V20" s="37">
        <f>E20*G20*(1-N20)*O20/100*(R20+S20)/1000000</f>
        <v>0.37125000000000002</v>
      </c>
      <c r="W20" s="37">
        <f>+'4'!K7/1000</f>
        <v>12.007999999999999</v>
      </c>
      <c r="X20" s="394">
        <f>SUM(W20:W23)/SUM(K20:K23)</f>
        <v>0.88507614153115599</v>
      </c>
      <c r="Y20" s="37">
        <v>0</v>
      </c>
      <c r="Z20" s="37">
        <v>0</v>
      </c>
      <c r="AA20" s="49">
        <f>SUM(U20:U23)-SUM(W20:W23)-SUM(Z20:Z23)-SUM(Y20:Y23)</f>
        <v>3.8643696599999942</v>
      </c>
      <c r="AB20" s="49">
        <f>(SUM(K20:K23)-SUM(W20:W23)-SUM(Y20:Y23)-SUM(Z20:Z23)-SUM(AC20:AC23)-SUM(V20:V23))-AA20</f>
        <v>3.2395023999999495E-2</v>
      </c>
      <c r="AC20" s="37">
        <f>K20-T20</f>
        <v>0</v>
      </c>
      <c r="AD20" s="37">
        <f>+AM20+BA20</f>
        <v>20</v>
      </c>
      <c r="AE20" s="230" t="s">
        <v>515</v>
      </c>
      <c r="AF20" s="37">
        <v>20</v>
      </c>
      <c r="AG20" s="37"/>
      <c r="AH20" s="37"/>
      <c r="AI20" s="474"/>
      <c r="AJ20" s="37"/>
      <c r="AK20" s="37"/>
      <c r="AL20" s="37"/>
      <c r="AM20" s="37">
        <f>SUM(AF20:AL20)+AT20+AV20+AX20</f>
        <v>20</v>
      </c>
      <c r="AN20" s="37"/>
      <c r="AO20" s="37"/>
      <c r="AP20" s="37"/>
      <c r="AQ20" s="37"/>
      <c r="AR20" s="37">
        <f>SUM(AN20:AQ20)</f>
        <v>0</v>
      </c>
      <c r="AS20" s="37"/>
      <c r="AT20" s="37"/>
      <c r="AU20" s="37"/>
      <c r="AV20" s="37"/>
      <c r="AW20" s="37"/>
      <c r="AX20" s="37"/>
      <c r="AY20" s="37"/>
      <c r="AZ20" s="37"/>
      <c r="BA20" s="37">
        <f>+AR20+AS20+AU20+AW20+AY20+AZ20</f>
        <v>0</v>
      </c>
      <c r="BB20" s="33">
        <v>4</v>
      </c>
      <c r="BC20" s="51"/>
      <c r="BD20" s="51"/>
      <c r="BE20" s="33"/>
      <c r="BF20" s="51"/>
    </row>
    <row r="21" spans="1:58" ht="12.95" customHeight="1">
      <c r="A21" s="40"/>
      <c r="B21" s="41" t="s">
        <v>416</v>
      </c>
      <c r="C21" s="428">
        <f>(M21*E21*O21*Q21)/100000000</f>
        <v>11.167340183999999</v>
      </c>
      <c r="D21" s="41" t="s">
        <v>297</v>
      </c>
      <c r="E21" s="42">
        <v>12</v>
      </c>
      <c r="F21" s="42">
        <v>1</v>
      </c>
      <c r="G21" s="472">
        <v>1350</v>
      </c>
      <c r="H21" s="592">
        <v>0.24</v>
      </c>
      <c r="I21" s="45">
        <v>0.88</v>
      </c>
      <c r="J21" s="86">
        <f>E21*G21*(1-H21)*1440/1000000*2.87</f>
        <v>50.883033599999997</v>
      </c>
      <c r="K21" s="86">
        <f>(IF(G21&lt;L21,L21,G21)*(1-IF(H21&lt;N21,H21,N21))*E21*O21*Q21)/100000000</f>
        <v>11.167340183999999</v>
      </c>
      <c r="L21" s="35">
        <v>1370</v>
      </c>
      <c r="M21" s="35">
        <f>+L21-L21*0.22</f>
        <v>1068.5999999999999</v>
      </c>
      <c r="N21" s="46">
        <f>1-(M21/L21)</f>
        <v>0.22000000000000008</v>
      </c>
      <c r="O21" s="47">
        <f>+'Trim Rwd'!H16</f>
        <v>273</v>
      </c>
      <c r="P21" s="48">
        <f>O21*(Q21-R21-S21)</f>
        <v>84357</v>
      </c>
      <c r="Q21" s="47">
        <v>319</v>
      </c>
      <c r="R21" s="397">
        <v>0</v>
      </c>
      <c r="S21" s="397">
        <v>10</v>
      </c>
      <c r="T21" s="37">
        <f>E21*M21*O21*Q21/100000000</f>
        <v>11.167340183999999</v>
      </c>
      <c r="U21" s="37">
        <f>E21*M21*O21*(Q21-R21-S21)/100000000</f>
        <v>10.817266823999999</v>
      </c>
      <c r="V21" s="37">
        <f>E21*G21*(1-N21)*O21/100*(R21+S21)/1000000</f>
        <v>0.34496280000000001</v>
      </c>
      <c r="W21" s="37">
        <f>+'4'!K10/1000</f>
        <v>11.079000000000001</v>
      </c>
      <c r="X21" s="394"/>
      <c r="Y21" s="213"/>
      <c r="Z21" s="37"/>
      <c r="AA21" s="37"/>
      <c r="AB21" s="37"/>
      <c r="AC21" s="37">
        <f>K21-T21</f>
        <v>0</v>
      </c>
      <c r="AD21" s="37">
        <f>+AM21+BA21</f>
        <v>14</v>
      </c>
      <c r="AE21" s="230" t="s">
        <v>524</v>
      </c>
      <c r="AF21" s="37"/>
      <c r="AG21" s="37">
        <v>14</v>
      </c>
      <c r="AH21" s="37"/>
      <c r="AI21" s="474"/>
      <c r="AJ21" s="37"/>
      <c r="AK21" s="37"/>
      <c r="AL21" s="37"/>
      <c r="AM21" s="37">
        <f>SUM(AF21:AL21)+AT21+AV21+AX21</f>
        <v>14</v>
      </c>
      <c r="AN21" s="87"/>
      <c r="AO21" s="37"/>
      <c r="AP21" s="37"/>
      <c r="AQ21" s="37"/>
      <c r="AR21" s="37">
        <f>SUM(AN21:AQ21)</f>
        <v>0</v>
      </c>
      <c r="AS21" s="37"/>
      <c r="AT21" s="37"/>
      <c r="AU21" s="37"/>
      <c r="AV21" s="37"/>
      <c r="AW21" s="37"/>
      <c r="AX21" s="37"/>
      <c r="AY21" s="37"/>
      <c r="AZ21" s="37"/>
      <c r="BA21" s="37">
        <f>+AR21+AS21+AU21+AW21+AY21+AZ21</f>
        <v>0</v>
      </c>
      <c r="BB21" s="50"/>
      <c r="BC21" s="51">
        <v>11</v>
      </c>
      <c r="BD21" s="51"/>
      <c r="BE21" s="50"/>
      <c r="BF21" s="51"/>
    </row>
    <row r="22" spans="1:58" ht="12.95" customHeight="1">
      <c r="A22" s="40"/>
      <c r="B22" s="41" t="s">
        <v>416</v>
      </c>
      <c r="C22" s="428">
        <f>(M22*E22*O22*Q22)/100000000</f>
        <v>17.718136019999999</v>
      </c>
      <c r="D22" s="41" t="s">
        <v>297</v>
      </c>
      <c r="E22" s="42">
        <v>13.5</v>
      </c>
      <c r="F22" s="42">
        <v>1</v>
      </c>
      <c r="G22" s="472">
        <v>1350</v>
      </c>
      <c r="H22" s="592">
        <v>0.24</v>
      </c>
      <c r="I22" s="45">
        <v>0.88</v>
      </c>
      <c r="J22" s="86">
        <f>E22*G22*(1-H22)*1440/1000000*2.87</f>
        <v>57.243412800000009</v>
      </c>
      <c r="K22" s="86">
        <f>(IF(G22&lt;L22,L22,G22)*(1-IF(H22&lt;N22,H22,N22))*E22*O22*Q22)/100000000</f>
        <v>17.718136019999999</v>
      </c>
      <c r="L22" s="35">
        <v>1370</v>
      </c>
      <c r="M22" s="35">
        <f>+L22-L22*0.22</f>
        <v>1068.5999999999999</v>
      </c>
      <c r="N22" s="46">
        <f>1-(M22/L22)</f>
        <v>0.22000000000000008</v>
      </c>
      <c r="O22" s="47">
        <f>+'Trim Rwd'!H17</f>
        <v>276</v>
      </c>
      <c r="P22" s="48">
        <f>O22*(Q22-R22-S22)</f>
        <v>118956</v>
      </c>
      <c r="Q22" s="47">
        <v>445</v>
      </c>
      <c r="R22" s="397">
        <v>0</v>
      </c>
      <c r="S22" s="397">
        <v>14</v>
      </c>
      <c r="T22" s="37">
        <f>E22*M22*O22*Q22/100000000</f>
        <v>17.718136019999999</v>
      </c>
      <c r="U22" s="37">
        <f>E22*M22*O22*(Q22-R22-S22)/100000000</f>
        <v>17.160711515999999</v>
      </c>
      <c r="V22" s="37">
        <f>E22*G22*(1-N22)*O22/100*(R22+S22)/1000000</f>
        <v>0.5492869199999999</v>
      </c>
      <c r="W22" s="37">
        <f>+'4'!K11/1000</f>
        <v>15.672000000000001</v>
      </c>
      <c r="X22" s="394"/>
      <c r="Y22" s="213"/>
      <c r="Z22" s="37"/>
      <c r="AA22" s="37"/>
      <c r="AB22" s="37"/>
      <c r="AC22" s="37">
        <f>K22-T22</f>
        <v>0</v>
      </c>
      <c r="AD22" s="37">
        <f>+AM22+BA22</f>
        <v>27</v>
      </c>
      <c r="AE22" s="230" t="s">
        <v>525</v>
      </c>
      <c r="AF22" s="33"/>
      <c r="AG22" s="33"/>
      <c r="AH22" s="33">
        <v>27</v>
      </c>
      <c r="AJ22" s="37"/>
      <c r="AK22" s="37"/>
      <c r="AL22" s="37"/>
      <c r="AM22" s="37">
        <f>SUM(AF22:AL22)+AT22+AV22+AX22</f>
        <v>27</v>
      </c>
      <c r="AN22" s="37"/>
      <c r="AO22" s="37"/>
      <c r="AP22" s="37"/>
      <c r="AQ22" s="37"/>
      <c r="AR22" s="37">
        <f>SUM(AN22:AQ22)</f>
        <v>0</v>
      </c>
      <c r="AS22" s="37"/>
      <c r="AT22" s="37"/>
      <c r="AU22" s="37"/>
      <c r="AV22" s="37"/>
      <c r="AW22" s="37"/>
      <c r="AX22" s="37"/>
      <c r="AY22" s="37"/>
      <c r="AZ22" s="37"/>
      <c r="BA22" s="37">
        <f>+AR22+AS22+AU22+AW22+AY22+AZ22</f>
        <v>0</v>
      </c>
      <c r="BB22" s="33"/>
      <c r="BC22" s="53"/>
      <c r="BD22" s="53"/>
      <c r="BE22" s="33"/>
      <c r="BF22" s="53"/>
    </row>
    <row r="23" spans="1:58" ht="12.95" customHeight="1">
      <c r="A23" s="40"/>
      <c r="B23" s="41" t="s">
        <v>523</v>
      </c>
      <c r="C23" s="428">
        <f>(M23*E23*O23*Q23)/100000000</f>
        <v>16.099527599999998</v>
      </c>
      <c r="D23" s="41" t="s">
        <v>297</v>
      </c>
      <c r="E23" s="42">
        <v>12</v>
      </c>
      <c r="F23" s="42">
        <v>1</v>
      </c>
      <c r="G23" s="472">
        <v>1350</v>
      </c>
      <c r="H23" s="489">
        <v>0.24</v>
      </c>
      <c r="I23" s="45">
        <v>0.88</v>
      </c>
      <c r="J23" s="86">
        <f>E23*G23*(1-H23)*1440/1000000*2.87</f>
        <v>50.883033599999997</v>
      </c>
      <c r="K23" s="86">
        <f>(IF(G23&lt;L23,L23,G23)*(1-IF(H23&lt;N23,H23,N23))*E23*O23*Q23)/100000000</f>
        <v>16.099527599999998</v>
      </c>
      <c r="L23" s="35">
        <v>1370</v>
      </c>
      <c r="M23" s="35">
        <f>+L23-L23*0.22</f>
        <v>1068.5999999999999</v>
      </c>
      <c r="N23" s="46">
        <f>1-(M23/L23)</f>
        <v>0.22000000000000008</v>
      </c>
      <c r="O23" s="47">
        <f>+'Trim Rwd'!H18</f>
        <v>270</v>
      </c>
      <c r="P23" s="48">
        <f>O23*(Q23-R23-S23)</f>
        <v>118260</v>
      </c>
      <c r="Q23" s="47">
        <v>465</v>
      </c>
      <c r="R23" s="397">
        <v>0</v>
      </c>
      <c r="S23" s="397">
        <v>27</v>
      </c>
      <c r="T23" s="37">
        <f>E23*M23*O23*Q23/100000000</f>
        <v>16.099527599999998</v>
      </c>
      <c r="U23" s="37">
        <f>E23*M23*O23*(Q23-R23-S23)/100000000</f>
        <v>15.164716319999998</v>
      </c>
      <c r="V23" s="37">
        <f>E23*G23*(1-N23)*O23/100*(R23+S23)/1000000</f>
        <v>0.92116439999999988</v>
      </c>
      <c r="W23" s="37">
        <f>+'4'!K12/1000</f>
        <v>8.0920000000000005</v>
      </c>
      <c r="X23" s="394"/>
      <c r="Y23" s="37"/>
      <c r="Z23" s="37"/>
      <c r="AA23" s="49"/>
      <c r="AB23" s="49"/>
      <c r="AC23" s="37">
        <f>K23-T23</f>
        <v>0</v>
      </c>
      <c r="AD23" s="37"/>
      <c r="AE23" s="230"/>
      <c r="AF23" s="37"/>
      <c r="AG23" s="37"/>
      <c r="AH23" s="37"/>
      <c r="AI23" s="474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3"/>
      <c r="BC23" s="51"/>
      <c r="BD23" s="51"/>
      <c r="BE23" s="50"/>
      <c r="BF23" s="51"/>
    </row>
    <row r="24" spans="1:58" ht="12.95" customHeight="1">
      <c r="A24" s="40"/>
      <c r="B24" s="41"/>
      <c r="C24" s="428"/>
      <c r="D24" s="41"/>
      <c r="E24" s="42"/>
      <c r="F24" s="42"/>
      <c r="G24" s="472"/>
      <c r="H24" s="44"/>
      <c r="I24" s="45"/>
      <c r="J24" s="86"/>
      <c r="K24" s="86"/>
      <c r="L24" s="35"/>
      <c r="M24" s="35"/>
      <c r="N24" s="46"/>
      <c r="O24" s="47"/>
      <c r="P24" s="48"/>
      <c r="Q24" s="47"/>
      <c r="R24" s="397"/>
      <c r="S24" s="397"/>
      <c r="T24" s="37"/>
      <c r="U24" s="37"/>
      <c r="V24" s="37"/>
      <c r="W24" s="37"/>
      <c r="X24" s="394"/>
      <c r="Y24" s="213"/>
      <c r="Z24" s="37"/>
      <c r="AA24" s="37"/>
      <c r="AB24" s="37"/>
      <c r="AC24" s="37"/>
      <c r="AD24" s="37"/>
      <c r="AE24" s="230"/>
      <c r="AF24" s="37"/>
      <c r="AG24" s="37"/>
      <c r="AH24" s="37"/>
      <c r="AI24" s="474"/>
      <c r="AJ24" s="37"/>
      <c r="AK24" s="37"/>
      <c r="AL24" s="37"/>
      <c r="AM24" s="37"/>
      <c r="AN24" s="8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50"/>
      <c r="BC24" s="51"/>
      <c r="BD24" s="53"/>
      <c r="BE24" s="33"/>
      <c r="BF24" s="53"/>
    </row>
    <row r="25" spans="1:58" ht="12.95" customHeight="1">
      <c r="A25" s="40">
        <v>45935</v>
      </c>
      <c r="B25" s="41" t="s">
        <v>523</v>
      </c>
      <c r="C25" s="428">
        <f>(M25*E25*O25*Q25)/100000000</f>
        <v>48.824382695696208</v>
      </c>
      <c r="D25" s="41" t="s">
        <v>297</v>
      </c>
      <c r="E25" s="42">
        <v>12</v>
      </c>
      <c r="F25" s="42">
        <v>1</v>
      </c>
      <c r="G25" s="472">
        <v>1350</v>
      </c>
      <c r="H25" s="489">
        <v>0.24</v>
      </c>
      <c r="I25" s="45">
        <v>0.88</v>
      </c>
      <c r="J25" s="86">
        <f>E25*G25*(1-H25)*1440/1000000*2.87</f>
        <v>50.883033599999997</v>
      </c>
      <c r="K25" s="86">
        <f>(IF(G25&lt;L25,L25,G25)*(1-IF(H25&lt;N25,H25,N25))*E25*O25*Q25)/100000000</f>
        <v>48.824382695696208</v>
      </c>
      <c r="L25" s="35">
        <v>1370</v>
      </c>
      <c r="M25" s="35">
        <f>+L25-L25*0.24</f>
        <v>1041.2</v>
      </c>
      <c r="N25" s="46">
        <f>1-(M25/L25)</f>
        <v>0.24</v>
      </c>
      <c r="O25" s="47">
        <f>+'Trim Rwd'!H20</f>
        <v>273.26582278481015</v>
      </c>
      <c r="P25" s="48">
        <f>O25*(Q25-R25-S25)</f>
        <v>374374.17721518991</v>
      </c>
      <c r="Q25" s="47">
        <v>1430</v>
      </c>
      <c r="R25" s="397">
        <v>0</v>
      </c>
      <c r="S25" s="397">
        <v>60</v>
      </c>
      <c r="T25" s="37">
        <f>E25*M25*O25*Q25/100000000</f>
        <v>48.824382695696208</v>
      </c>
      <c r="U25" s="37">
        <f>E25*M25*O25*(Q25-R25-S25)/100000000</f>
        <v>46.775807197974693</v>
      </c>
      <c r="V25" s="37">
        <f>E25*G25*(1-N25)*O25/100*(R25+S25)/1000000</f>
        <v>2.0186692860759496</v>
      </c>
      <c r="W25" s="37">
        <f>+'5'!K12/1000</f>
        <v>42.722000000000001</v>
      </c>
      <c r="X25" s="394">
        <f>SUM(W25:W28)/SUM(K25:K28)</f>
        <v>0.8686689062107863</v>
      </c>
      <c r="Y25" s="37">
        <v>0</v>
      </c>
      <c r="Z25" s="37">
        <f>+'5'!D34/1000</f>
        <v>0.58699999999999997</v>
      </c>
      <c r="AA25" s="49">
        <f>SUM(U25:U28)-SUM(W25:W28)-SUM(Z25:Z28)-SUM(Y25:Y28)</f>
        <v>3.8234181979746928</v>
      </c>
      <c r="AB25" s="49">
        <f>(SUM(K25:K28)-SUM(W25:W28)-SUM(Y25:Y28)-SUM(Z25:Z28)-SUM(AC25:AC28)-SUM(V25:V28))-AA25</f>
        <v>2.9906211645565506E-2</v>
      </c>
      <c r="AC25" s="37">
        <f>K25-T25</f>
        <v>0</v>
      </c>
      <c r="AD25" s="37">
        <f>+AM25+BA25</f>
        <v>15</v>
      </c>
      <c r="AE25" s="230" t="s">
        <v>526</v>
      </c>
      <c r="AF25" s="37">
        <v>15</v>
      </c>
      <c r="AG25" s="37"/>
      <c r="AH25" s="37"/>
      <c r="AI25" s="474"/>
      <c r="AJ25" s="37"/>
      <c r="AK25" s="37"/>
      <c r="AL25" s="37"/>
      <c r="AM25" s="37">
        <f>SUM(AF25:AL25)+AT25+AV25+AX25</f>
        <v>15</v>
      </c>
      <c r="AN25" s="37"/>
      <c r="AO25" s="37"/>
      <c r="AP25" s="37"/>
      <c r="AQ25" s="37"/>
      <c r="AR25" s="37">
        <f>SUM(AN25:AQ25)</f>
        <v>0</v>
      </c>
      <c r="AS25" s="37"/>
      <c r="AT25" s="37"/>
      <c r="AU25" s="37"/>
      <c r="AV25" s="37"/>
      <c r="AW25" s="37"/>
      <c r="AX25" s="37"/>
      <c r="AY25" s="37"/>
      <c r="AZ25" s="37"/>
      <c r="BA25" s="37">
        <f>+AR25+AS25+AU25+AW25+AY25+AZ25</f>
        <v>0</v>
      </c>
      <c r="BB25" s="33">
        <v>3</v>
      </c>
      <c r="BC25" s="51"/>
      <c r="BD25" s="51"/>
      <c r="BE25" s="33"/>
      <c r="BF25" s="51"/>
    </row>
    <row r="26" spans="1:58" ht="12.95" customHeight="1">
      <c r="A26" s="40"/>
      <c r="B26" s="41" t="s">
        <v>523</v>
      </c>
      <c r="C26" s="428">
        <f>(M26*E26*O26*Q26)/100000000</f>
        <v>0.35661100000000001</v>
      </c>
      <c r="D26" s="41" t="s">
        <v>297</v>
      </c>
      <c r="E26" s="42">
        <v>12.5</v>
      </c>
      <c r="F26" s="42">
        <v>1</v>
      </c>
      <c r="G26" s="472">
        <v>1350</v>
      </c>
      <c r="H26" s="489">
        <v>0.24</v>
      </c>
      <c r="I26" s="45">
        <v>0.88</v>
      </c>
      <c r="J26" s="86">
        <f>E26*G26*(1-H26)*1440/1000000*2.87</f>
        <v>53.003160000000001</v>
      </c>
      <c r="K26" s="86">
        <f>(IF(G26&lt;L26,L26,G26)*(1-IF(H26&lt;N26,H26,N26))*E26*O26*Q26)/100000000</f>
        <v>0.35661100000000001</v>
      </c>
      <c r="L26" s="35">
        <v>1370</v>
      </c>
      <c r="M26" s="35">
        <f>+L26-L26*0.24</f>
        <v>1041.2</v>
      </c>
      <c r="N26" s="46">
        <f>1-(M26/L26)</f>
        <v>0.24</v>
      </c>
      <c r="O26" s="47">
        <f>+'Trim Rwd'!H22</f>
        <v>274</v>
      </c>
      <c r="P26" s="48">
        <f>O26*(Q26-R26-S26)</f>
        <v>2740</v>
      </c>
      <c r="Q26" s="47">
        <v>10</v>
      </c>
      <c r="R26" s="397">
        <v>0</v>
      </c>
      <c r="S26" s="397">
        <v>0</v>
      </c>
      <c r="T26" s="37">
        <f>E26*M26*O26*Q26/100000000</f>
        <v>0.35661100000000001</v>
      </c>
      <c r="U26" s="37">
        <f>E26*M26*O26*(Q26-R26-S26)/100000000</f>
        <v>0.35661100000000001</v>
      </c>
      <c r="V26" s="37">
        <f>E26*G26*(1-N26)*O26/100*(R26+S26)/1000000</f>
        <v>0</v>
      </c>
      <c r="W26" s="37">
        <f>+'5'!K13/1000</f>
        <v>0</v>
      </c>
      <c r="X26" s="394"/>
      <c r="Y26" s="213"/>
      <c r="Z26" s="37"/>
      <c r="AA26" s="37"/>
      <c r="AB26" s="37"/>
      <c r="AC26" s="37">
        <f>K26-T26</f>
        <v>0</v>
      </c>
      <c r="AD26" s="37">
        <f>+AM26+BA26</f>
        <v>16</v>
      </c>
      <c r="AE26" s="230" t="s">
        <v>462</v>
      </c>
      <c r="AF26" s="37"/>
      <c r="AG26" s="37">
        <v>16</v>
      </c>
      <c r="AH26" s="37"/>
      <c r="AI26" s="474"/>
      <c r="AJ26" s="37"/>
      <c r="AK26" s="37"/>
      <c r="AL26" s="37"/>
      <c r="AM26" s="37">
        <f>SUM(AF26:AL26)+AT26+AV26+AX26</f>
        <v>16</v>
      </c>
      <c r="AN26" s="87"/>
      <c r="AO26" s="37"/>
      <c r="AP26" s="37"/>
      <c r="AQ26" s="37"/>
      <c r="AR26" s="37">
        <f>SUM(AN26:AQ26)</f>
        <v>0</v>
      </c>
      <c r="AS26" s="37"/>
      <c r="AT26" s="37"/>
      <c r="AU26" s="37"/>
      <c r="AV26" s="37"/>
      <c r="AW26" s="37"/>
      <c r="AX26" s="37"/>
      <c r="AY26" s="37"/>
      <c r="AZ26" s="37"/>
      <c r="BA26" s="37">
        <f>+AR26+AS26+AU26+AW26+AY26+AZ26</f>
        <v>0</v>
      </c>
      <c r="BB26" s="50"/>
      <c r="BC26" s="51">
        <v>13</v>
      </c>
      <c r="BD26" s="51"/>
      <c r="BE26" s="50"/>
      <c r="BF26" s="51"/>
    </row>
    <row r="27" spans="1:58" ht="12.95" customHeight="1">
      <c r="A27" s="40"/>
      <c r="B27" s="41"/>
      <c r="C27" s="428"/>
      <c r="D27" s="41"/>
      <c r="E27" s="42"/>
      <c r="F27" s="42"/>
      <c r="G27" s="472"/>
      <c r="H27" s="44"/>
      <c r="I27" s="45"/>
      <c r="J27" s="86"/>
      <c r="K27" s="86"/>
      <c r="L27" s="35"/>
      <c r="M27" s="35"/>
      <c r="N27" s="46"/>
      <c r="O27" s="47"/>
      <c r="P27" s="48"/>
      <c r="Q27" s="47"/>
      <c r="R27" s="397"/>
      <c r="S27" s="397"/>
      <c r="T27" s="37"/>
      <c r="U27" s="37"/>
      <c r="V27" s="37"/>
      <c r="W27" s="37"/>
      <c r="X27" s="394"/>
      <c r="Y27" s="213"/>
      <c r="Z27" s="37"/>
      <c r="AA27" s="37"/>
      <c r="AB27" s="37"/>
      <c r="AC27" s="37"/>
      <c r="AD27" s="37">
        <f>+AM27+BA27</f>
        <v>29</v>
      </c>
      <c r="AE27" s="230" t="s">
        <v>527</v>
      </c>
      <c r="AF27" s="33"/>
      <c r="AG27" s="33"/>
      <c r="AH27" s="33">
        <v>29</v>
      </c>
      <c r="AJ27" s="37"/>
      <c r="AK27" s="37"/>
      <c r="AL27" s="37"/>
      <c r="AM27" s="37">
        <f>SUM(AF27:AL27)+AT27+AV27+AX27</f>
        <v>29</v>
      </c>
      <c r="AN27" s="37"/>
      <c r="AO27" s="37"/>
      <c r="AP27" s="37"/>
      <c r="AQ27" s="37"/>
      <c r="AR27" s="37">
        <f>SUM(AN27:AQ27)</f>
        <v>0</v>
      </c>
      <c r="AS27" s="37"/>
      <c r="AT27" s="37"/>
      <c r="AU27" s="37"/>
      <c r="AV27" s="37"/>
      <c r="AW27" s="37"/>
      <c r="AX27" s="37"/>
      <c r="AY27" s="37"/>
      <c r="AZ27" s="37"/>
      <c r="BA27" s="37">
        <f>+AR27+AS27+AU27+AW27+AY27+AZ27</f>
        <v>0</v>
      </c>
      <c r="BB27" s="33"/>
      <c r="BC27" s="53"/>
      <c r="BD27" s="53"/>
      <c r="BE27" s="33"/>
      <c r="BF27" s="53"/>
    </row>
    <row r="28" spans="1:58" ht="12.95" customHeight="1">
      <c r="A28" s="40"/>
      <c r="B28" s="41"/>
      <c r="C28" s="428"/>
      <c r="D28" s="41"/>
      <c r="E28" s="42"/>
      <c r="F28" s="42"/>
      <c r="G28" s="472"/>
      <c r="H28" s="44"/>
      <c r="I28" s="45"/>
      <c r="J28" s="86"/>
      <c r="K28" s="86"/>
      <c r="L28" s="35"/>
      <c r="M28" s="35"/>
      <c r="N28" s="46"/>
      <c r="O28" s="47"/>
      <c r="P28" s="48"/>
      <c r="Q28" s="47"/>
      <c r="R28" s="397"/>
      <c r="S28" s="397"/>
      <c r="T28" s="37"/>
      <c r="U28" s="37"/>
      <c r="V28" s="37"/>
      <c r="W28" s="37"/>
      <c r="X28" s="394"/>
      <c r="Y28" s="213"/>
      <c r="Z28" s="37"/>
      <c r="AA28" s="37"/>
      <c r="AB28" s="37"/>
      <c r="AC28" s="37"/>
      <c r="AD28" s="37"/>
      <c r="AE28" s="230"/>
      <c r="AF28" s="37"/>
      <c r="AG28" s="37"/>
      <c r="AH28" s="37"/>
      <c r="AI28" s="474"/>
      <c r="AJ28" s="37"/>
      <c r="AK28" s="37"/>
      <c r="AL28" s="37"/>
      <c r="AM28" s="37"/>
      <c r="AN28" s="8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50"/>
      <c r="BC28" s="51"/>
      <c r="BD28" s="53"/>
      <c r="BE28" s="33"/>
      <c r="BF28" s="53"/>
    </row>
    <row r="29" spans="1:58" ht="12.95" customHeight="1">
      <c r="A29" s="40">
        <v>45936</v>
      </c>
      <c r="B29" s="41" t="s">
        <v>523</v>
      </c>
      <c r="C29" s="428">
        <f>(M29*E29*O29*Q29)/100000000</f>
        <v>51.369833142857132</v>
      </c>
      <c r="D29" s="41" t="s">
        <v>297</v>
      </c>
      <c r="E29" s="42">
        <v>12.5</v>
      </c>
      <c r="F29" s="42">
        <v>1</v>
      </c>
      <c r="G29" s="472">
        <v>1350</v>
      </c>
      <c r="H29" s="489">
        <v>0.24</v>
      </c>
      <c r="I29" s="45">
        <v>0.88</v>
      </c>
      <c r="J29" s="86">
        <f>E29*G29*(1-H29)*1440/1000000*2.87</f>
        <v>53.003160000000001</v>
      </c>
      <c r="K29" s="86">
        <f>(IF(G29&lt;L29,L29,G29)*(1-IF(H29&lt;N29,H29,N29))*E29*O29*Q29)/100000000</f>
        <v>51.369833142857132</v>
      </c>
      <c r="L29" s="35">
        <v>1370</v>
      </c>
      <c r="M29" s="35">
        <f>+L29-L29*0.24</f>
        <v>1041.2</v>
      </c>
      <c r="N29" s="46">
        <f>1-(M29/L29)</f>
        <v>0.24</v>
      </c>
      <c r="O29" s="47">
        <f>+'Trim Rwd'!H24</f>
        <v>274.09523809523807</v>
      </c>
      <c r="P29" s="48">
        <f>O29*(Q29-R29-S29)</f>
        <v>368658.09523809521</v>
      </c>
      <c r="Q29" s="47">
        <v>1440</v>
      </c>
      <c r="R29" s="397">
        <v>0</v>
      </c>
      <c r="S29" s="397">
        <v>95</v>
      </c>
      <c r="T29" s="37">
        <f>E29*M29*O29*Q29/100000000</f>
        <v>51.369833142857132</v>
      </c>
      <c r="U29" s="37">
        <f>E29*M29*O29*(Q29-R29-S29)/100000000</f>
        <v>47.980851095238087</v>
      </c>
      <c r="V29" s="37">
        <f>E29*G29*(1-N29)*O29/100*(R29+S29)/1000000</f>
        <v>3.3395078571428569</v>
      </c>
      <c r="W29" s="37">
        <f>+'6'!K34/1000</f>
        <v>44.848999999999997</v>
      </c>
      <c r="X29" s="394">
        <f>SUM(W29:W32)/SUM(K29:K32)</f>
        <v>0.87306104100585646</v>
      </c>
      <c r="Y29" s="37">
        <v>0</v>
      </c>
      <c r="Z29" s="37">
        <v>0</v>
      </c>
      <c r="AA29" s="49">
        <f>SUM(U29:U32)-SUM(W29:W32)-SUM(Z29:Z32)-SUM(Y29:Y32)</f>
        <v>3.1318510952380905</v>
      </c>
      <c r="AB29" s="49">
        <f>(SUM(K29:K32)-SUM(W29:W32)-SUM(Y29:Y32)-SUM(Z29:Z32)-SUM(AC29:AC32)-SUM(V29:V32))-AA29</f>
        <v>4.9474190476188173E-2</v>
      </c>
      <c r="AC29" s="37">
        <f>K29-T29</f>
        <v>0</v>
      </c>
      <c r="AD29" s="37">
        <f>+AM29+BA29</f>
        <v>40</v>
      </c>
      <c r="AE29" s="230" t="s">
        <v>526</v>
      </c>
      <c r="AF29" s="37">
        <v>40</v>
      </c>
      <c r="AG29" s="37"/>
      <c r="AH29" s="37"/>
      <c r="AI29" s="474"/>
      <c r="AJ29" s="37"/>
      <c r="AK29" s="37"/>
      <c r="AL29" s="37"/>
      <c r="AM29" s="37">
        <f>SUM(AF29:AL29)+AT29+AV29+AX29</f>
        <v>40</v>
      </c>
      <c r="AN29" s="37"/>
      <c r="AO29" s="37"/>
      <c r="AP29" s="37"/>
      <c r="AQ29" s="37"/>
      <c r="AR29" s="37">
        <f>SUM(AN29:AQ29)</f>
        <v>0</v>
      </c>
      <c r="AS29" s="37"/>
      <c r="AT29" s="37"/>
      <c r="AU29" s="37"/>
      <c r="AV29" s="37"/>
      <c r="AW29" s="37"/>
      <c r="AX29" s="37"/>
      <c r="AY29" s="37"/>
      <c r="AZ29" s="37"/>
      <c r="BA29" s="37">
        <f>+AR29+AS29+AU29+AW29+AY29+AZ29</f>
        <v>0</v>
      </c>
      <c r="BB29" s="33">
        <v>3</v>
      </c>
      <c r="BC29" s="51"/>
      <c r="BD29" s="51"/>
      <c r="BE29" s="33"/>
      <c r="BF29" s="51"/>
    </row>
    <row r="30" spans="1:58" ht="12.95" customHeight="1">
      <c r="A30" s="40"/>
      <c r="B30" s="41"/>
      <c r="C30" s="428"/>
      <c r="D30" s="41"/>
      <c r="E30" s="42"/>
      <c r="F30" s="42"/>
      <c r="G30" s="472"/>
      <c r="H30" s="44"/>
      <c r="I30" s="45"/>
      <c r="J30" s="86"/>
      <c r="K30" s="86"/>
      <c r="L30" s="35"/>
      <c r="M30" s="35"/>
      <c r="N30" s="46"/>
      <c r="O30" s="47"/>
      <c r="P30" s="48"/>
      <c r="Q30" s="47"/>
      <c r="R30" s="397"/>
      <c r="S30" s="397"/>
      <c r="T30" s="37"/>
      <c r="U30" s="37"/>
      <c r="V30" s="37"/>
      <c r="W30" s="37"/>
      <c r="X30" s="394"/>
      <c r="Y30" s="213"/>
      <c r="Z30" s="37"/>
      <c r="AA30" s="37"/>
      <c r="AB30" s="37"/>
      <c r="AC30" s="37"/>
      <c r="AD30" s="37">
        <f>+AM30+BA30</f>
        <v>23</v>
      </c>
      <c r="AE30" s="230" t="s">
        <v>493</v>
      </c>
      <c r="AF30" s="37"/>
      <c r="AG30" s="37">
        <v>23</v>
      </c>
      <c r="AH30" s="37"/>
      <c r="AI30" s="474"/>
      <c r="AJ30" s="37"/>
      <c r="AK30" s="37"/>
      <c r="AL30" s="37"/>
      <c r="AM30" s="37">
        <f>SUM(AF30:AL30)+AT30+AV30+AX30</f>
        <v>23</v>
      </c>
      <c r="AN30" s="87"/>
      <c r="AO30" s="37"/>
      <c r="AP30" s="37"/>
      <c r="AQ30" s="37"/>
      <c r="AR30" s="37">
        <f>SUM(AN30:AQ30)</f>
        <v>0</v>
      </c>
      <c r="AS30" s="37"/>
      <c r="AT30" s="37"/>
      <c r="AU30" s="37"/>
      <c r="AV30" s="37"/>
      <c r="AW30" s="37"/>
      <c r="AX30" s="37"/>
      <c r="AY30" s="37"/>
      <c r="AZ30" s="37"/>
      <c r="BA30" s="37">
        <f>+AR30+AS30+AU30+AW30+AY30+AZ30</f>
        <v>0</v>
      </c>
      <c r="BB30" s="50"/>
      <c r="BC30" s="51">
        <v>15</v>
      </c>
      <c r="BD30" s="51"/>
      <c r="BE30" s="50"/>
      <c r="BF30" s="51"/>
    </row>
    <row r="31" spans="1:58" ht="12.95" customHeight="1">
      <c r="A31" s="40"/>
      <c r="B31" s="41"/>
      <c r="C31" s="428"/>
      <c r="D31" s="41"/>
      <c r="E31" s="42"/>
      <c r="F31" s="42"/>
      <c r="G31" s="472"/>
      <c r="H31" s="44"/>
      <c r="I31" s="45"/>
      <c r="J31" s="86"/>
      <c r="K31" s="86"/>
      <c r="L31" s="35"/>
      <c r="M31" s="35"/>
      <c r="N31" s="46"/>
      <c r="O31" s="47"/>
      <c r="P31" s="48"/>
      <c r="Q31" s="47"/>
      <c r="R31" s="397"/>
      <c r="S31" s="397"/>
      <c r="T31" s="37"/>
      <c r="U31" s="37"/>
      <c r="V31" s="37"/>
      <c r="W31" s="37"/>
      <c r="X31" s="394"/>
      <c r="Y31" s="213"/>
      <c r="Z31" s="37"/>
      <c r="AA31" s="37"/>
      <c r="AB31" s="37"/>
      <c r="AC31" s="37"/>
      <c r="AD31" s="37">
        <f>+AM31+BA31</f>
        <v>32</v>
      </c>
      <c r="AE31" s="230" t="s">
        <v>527</v>
      </c>
      <c r="AF31" s="33"/>
      <c r="AG31" s="33"/>
      <c r="AH31" s="33">
        <v>32</v>
      </c>
      <c r="AJ31" s="37"/>
      <c r="AK31" s="37"/>
      <c r="AL31" s="37"/>
      <c r="AM31" s="37">
        <f>SUM(AF31:AL31)+AT31+AV31+AX31</f>
        <v>32</v>
      </c>
      <c r="AN31" s="37"/>
      <c r="AO31" s="37"/>
      <c r="AP31" s="37"/>
      <c r="AQ31" s="37"/>
      <c r="AR31" s="37">
        <f>SUM(AN31:AQ31)</f>
        <v>0</v>
      </c>
      <c r="AS31" s="37"/>
      <c r="AT31" s="37"/>
      <c r="AU31" s="37"/>
      <c r="AV31" s="37"/>
      <c r="AW31" s="37"/>
      <c r="AX31" s="37"/>
      <c r="AY31" s="37"/>
      <c r="AZ31" s="37"/>
      <c r="BA31" s="37">
        <f>+AR31+AS31+AU31+AW31+AY31+AZ31</f>
        <v>0</v>
      </c>
      <c r="BB31" s="33"/>
      <c r="BC31" s="53"/>
      <c r="BD31" s="53"/>
      <c r="BE31" s="33"/>
      <c r="BF31" s="53"/>
    </row>
    <row r="32" spans="1:58" ht="12.95" customHeight="1">
      <c r="A32" s="40"/>
      <c r="B32" s="41"/>
      <c r="C32" s="428"/>
      <c r="D32" s="41"/>
      <c r="E32" s="42"/>
      <c r="F32" s="42"/>
      <c r="G32" s="472"/>
      <c r="H32" s="44"/>
      <c r="I32" s="45"/>
      <c r="J32" s="86"/>
      <c r="K32" s="86"/>
      <c r="L32" s="35"/>
      <c r="M32" s="35"/>
      <c r="N32" s="46"/>
      <c r="O32" s="47"/>
      <c r="P32" s="48"/>
      <c r="Q32" s="47"/>
      <c r="R32" s="397"/>
      <c r="S32" s="397"/>
      <c r="T32" s="37"/>
      <c r="U32" s="37"/>
      <c r="V32" s="37"/>
      <c r="W32" s="37"/>
      <c r="X32" s="394"/>
      <c r="Y32" s="213"/>
      <c r="Z32" s="37"/>
      <c r="AA32" s="37"/>
      <c r="AB32" s="37"/>
      <c r="AC32" s="37"/>
      <c r="AD32" s="37"/>
      <c r="AE32" s="230"/>
      <c r="AF32" s="37"/>
      <c r="AG32" s="37"/>
      <c r="AH32" s="37"/>
      <c r="AI32" s="474"/>
      <c r="AJ32" s="37"/>
      <c r="AK32" s="37"/>
      <c r="AL32" s="37"/>
      <c r="AM32" s="37"/>
      <c r="AN32" s="8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50"/>
      <c r="BC32" s="51"/>
      <c r="BD32" s="53"/>
      <c r="BE32" s="33"/>
      <c r="BF32" s="53"/>
    </row>
    <row r="33" spans="1:58" ht="12.95" customHeight="1">
      <c r="A33" s="40">
        <v>45937</v>
      </c>
      <c r="B33" s="41" t="s">
        <v>523</v>
      </c>
      <c r="C33" s="428">
        <f>(M33*E33*O33*Q33)/100000000</f>
        <v>11.411552</v>
      </c>
      <c r="D33" s="41" t="s">
        <v>297</v>
      </c>
      <c r="E33" s="42">
        <v>12.5</v>
      </c>
      <c r="F33" s="42">
        <v>1</v>
      </c>
      <c r="G33" s="472">
        <v>1350</v>
      </c>
      <c r="H33" s="489">
        <v>0.24</v>
      </c>
      <c r="I33" s="45">
        <v>0.88</v>
      </c>
      <c r="J33" s="86">
        <f>E33*G33*(1-H33)*1440/1000000*2.87</f>
        <v>53.003160000000001</v>
      </c>
      <c r="K33" s="86">
        <f>(IF(G33&lt;L33,L33,G33)*(1-IF(H33&lt;N33,H33,N33))*E33*O33*Q33)/100000000</f>
        <v>11.411552</v>
      </c>
      <c r="L33" s="35">
        <v>1370</v>
      </c>
      <c r="M33" s="35">
        <f>+L33-L33*0.24</f>
        <v>1041.2</v>
      </c>
      <c r="N33" s="46">
        <f>1-(M33/L33)</f>
        <v>0.24</v>
      </c>
      <c r="O33" s="47">
        <f>+'Trim Rwd'!H27</f>
        <v>274</v>
      </c>
      <c r="P33" s="48">
        <f>O33*(Q33-R33-S33)</f>
        <v>81378</v>
      </c>
      <c r="Q33" s="47">
        <v>320</v>
      </c>
      <c r="R33" s="397">
        <v>0</v>
      </c>
      <c r="S33" s="397">
        <v>23</v>
      </c>
      <c r="T33" s="37">
        <f>E33*M33*O33*Q33/100000000</f>
        <v>11.411552</v>
      </c>
      <c r="U33" s="37">
        <f>E33*M33*O33*(Q33-R33-S33)/100000000</f>
        <v>10.591346700000001</v>
      </c>
      <c r="V33" s="37">
        <f>E33*G33*(1-N33)*O33/100*(R33+S33)/1000000</f>
        <v>0.80823149999999999</v>
      </c>
      <c r="W33" s="37">
        <f>+'7'!K8/1000</f>
        <v>15.393000000000001</v>
      </c>
      <c r="X33" s="394">
        <f>SUM(W33:W36)/SUM(K33:K36)</f>
        <v>0.87556478294184226</v>
      </c>
      <c r="Y33" s="37">
        <v>0</v>
      </c>
      <c r="Z33" s="37">
        <v>0</v>
      </c>
      <c r="AA33" s="49">
        <f>SUM(U33:U36)-SUM(W33:W36)-SUM(Z33:Z36)-SUM(Y33:Y36)</f>
        <v>3.3520081865454472</v>
      </c>
      <c r="AB33" s="49">
        <f>(SUM(K33:K36)-SUM(W33:W36)-SUM(Y33:Y36)-SUM(Z33:Z36)-SUM(AC33:AC36)-SUM(V33:V36))-AA33</f>
        <v>4.2551397090917931E-2</v>
      </c>
      <c r="AC33" s="37">
        <f>K33-T33</f>
        <v>0</v>
      </c>
      <c r="AD33" s="37">
        <f>+AM33+BA33</f>
        <v>30</v>
      </c>
      <c r="AE33" s="230" t="s">
        <v>491</v>
      </c>
      <c r="AF33" s="37">
        <v>30</v>
      </c>
      <c r="AG33" s="37"/>
      <c r="AH33" s="37"/>
      <c r="AI33" s="474"/>
      <c r="AJ33" s="37"/>
      <c r="AK33" s="37"/>
      <c r="AL33" s="37"/>
      <c r="AM33" s="37">
        <f>SUM(AF33:AL33)+AT33+AV33+AX33</f>
        <v>30</v>
      </c>
      <c r="AN33" s="37"/>
      <c r="AO33" s="37"/>
      <c r="AP33" s="37"/>
      <c r="AQ33" s="37"/>
      <c r="AR33" s="37">
        <f>SUM(AN33:AQ33)</f>
        <v>0</v>
      </c>
      <c r="AS33" s="37"/>
      <c r="AT33" s="37"/>
      <c r="AU33" s="37"/>
      <c r="AV33" s="37"/>
      <c r="AW33" s="37"/>
      <c r="AX33" s="37"/>
      <c r="AY33" s="37"/>
      <c r="AZ33" s="37"/>
      <c r="BA33" s="37">
        <f>+AR33+AS33+AU33+AW33+AY33+AZ33</f>
        <v>0</v>
      </c>
      <c r="BB33" s="33">
        <v>6</v>
      </c>
      <c r="BC33" s="51"/>
      <c r="BD33" s="51"/>
      <c r="BE33" s="33"/>
      <c r="BF33" s="51"/>
    </row>
    <row r="34" spans="1:58" ht="12.95" customHeight="1">
      <c r="A34" s="40"/>
      <c r="B34" s="41" t="s">
        <v>523</v>
      </c>
      <c r="C34" s="428">
        <f>(M34*E34*O34*Q34)/100000000</f>
        <v>21.057380247272729</v>
      </c>
      <c r="D34" s="41" t="s">
        <v>297</v>
      </c>
      <c r="E34" s="42">
        <v>12</v>
      </c>
      <c r="F34" s="42">
        <v>1</v>
      </c>
      <c r="G34" s="472">
        <v>1350</v>
      </c>
      <c r="H34" s="489">
        <v>0.24</v>
      </c>
      <c r="I34" s="45">
        <v>0.88</v>
      </c>
      <c r="J34" s="86">
        <f>E34*G34*(1-H34)*1440/1000000*2.87</f>
        <v>50.883033599999997</v>
      </c>
      <c r="K34" s="86">
        <f>(IF(G34&lt;L34,L34,G34)*(1-IF(H34&lt;N34,H34,N34))*E34*O34*Q34)/100000000</f>
        <v>21.057380247272729</v>
      </c>
      <c r="L34" s="35">
        <v>1370</v>
      </c>
      <c r="M34" s="35">
        <f>+L34-L34*0.24</f>
        <v>1041.2</v>
      </c>
      <c r="N34" s="46">
        <f>1-(M34/L34)</f>
        <v>0.24</v>
      </c>
      <c r="O34" s="47">
        <f>+'Trim Rwd'!H28</f>
        <v>267.5151515151515</v>
      </c>
      <c r="P34" s="48">
        <f>O34*(Q34-R34-S34)</f>
        <v>160509.09090909091</v>
      </c>
      <c r="Q34" s="47">
        <f>40+60+10+520</f>
        <v>630</v>
      </c>
      <c r="R34" s="397">
        <v>0</v>
      </c>
      <c r="S34" s="397">
        <v>30</v>
      </c>
      <c r="T34" s="37">
        <f>E34*M34*O34*Q34/100000000</f>
        <v>21.057380247272729</v>
      </c>
      <c r="U34" s="37">
        <f>E34*M34*O34*(Q34-R34-S34)/100000000</f>
        <v>20.054647854545454</v>
      </c>
      <c r="V34" s="37">
        <f>E34*G34*(1-N34)*O34/100*(R34+S34)/1000000</f>
        <v>0.98809396363636359</v>
      </c>
      <c r="W34" s="37">
        <f>+'7'!K12/1000</f>
        <v>18.489999999999998</v>
      </c>
      <c r="X34" s="394"/>
      <c r="Y34" s="213"/>
      <c r="Z34" s="37"/>
      <c r="AA34" s="37"/>
      <c r="AB34" s="37"/>
      <c r="AC34" s="37">
        <f>K34-T34</f>
        <v>0</v>
      </c>
      <c r="AD34" s="37">
        <f>+AM34+BA34</f>
        <v>23</v>
      </c>
      <c r="AE34" s="230" t="s">
        <v>556</v>
      </c>
      <c r="AF34" s="37"/>
      <c r="AG34" s="37">
        <v>23</v>
      </c>
      <c r="AH34" s="37"/>
      <c r="AI34" s="474"/>
      <c r="AJ34" s="37"/>
      <c r="AK34" s="37"/>
      <c r="AL34" s="37"/>
      <c r="AM34" s="37">
        <f>SUM(AF34:AL34)+AT34+AV34+AX34</f>
        <v>23</v>
      </c>
      <c r="AN34" s="87"/>
      <c r="AO34" s="37"/>
      <c r="AP34" s="37"/>
      <c r="AQ34" s="37"/>
      <c r="AR34" s="37">
        <f>SUM(AN34:AQ34)</f>
        <v>0</v>
      </c>
      <c r="AS34" s="37"/>
      <c r="AT34" s="37"/>
      <c r="AU34" s="37"/>
      <c r="AV34" s="37"/>
      <c r="AW34" s="37"/>
      <c r="AX34" s="37"/>
      <c r="AY34" s="37"/>
      <c r="AZ34" s="37"/>
      <c r="BA34" s="37">
        <f>+AR34+AS34+AU34+AW34+AY34+AZ34</f>
        <v>0</v>
      </c>
      <c r="BB34" s="50"/>
      <c r="BC34" s="51">
        <v>18</v>
      </c>
      <c r="BD34" s="51"/>
      <c r="BE34" s="50"/>
      <c r="BF34" s="51"/>
    </row>
    <row r="35" spans="1:58" ht="12.95" customHeight="1">
      <c r="A35" s="40"/>
      <c r="B35" s="41" t="s">
        <v>523</v>
      </c>
      <c r="C35" s="428">
        <f>(M35*E35*O35*Q35)/100000000</f>
        <v>12.241596639999999</v>
      </c>
      <c r="D35" s="41" t="s">
        <v>297</v>
      </c>
      <c r="E35" s="42">
        <v>13</v>
      </c>
      <c r="F35" s="42">
        <v>1</v>
      </c>
      <c r="G35" s="472">
        <v>1350</v>
      </c>
      <c r="H35" s="489">
        <v>0.24</v>
      </c>
      <c r="I35" s="45">
        <v>0.88</v>
      </c>
      <c r="J35" s="86">
        <f>E35*G35*(1-H35)*1440/1000000*2.87</f>
        <v>55.123286400000005</v>
      </c>
      <c r="K35" s="86">
        <f>(IF(G35&lt;L35,L35,G35)*(1-IF(H35&lt;N35,H35,N35))*E35*O35*Q35)/100000000</f>
        <v>12.241596639999999</v>
      </c>
      <c r="L35" s="35">
        <v>1370</v>
      </c>
      <c r="M35" s="35">
        <f>+L35-L35*0.24</f>
        <v>1041.2</v>
      </c>
      <c r="N35" s="46">
        <f>1-(M35/L35)</f>
        <v>0.24</v>
      </c>
      <c r="O35" s="47">
        <f>+'Trim Rwd'!H30</f>
        <v>266</v>
      </c>
      <c r="P35" s="48">
        <f>O35*(Q35-R35-S35)</f>
        <v>84322</v>
      </c>
      <c r="Q35" s="47">
        <f>10+330</f>
        <v>340</v>
      </c>
      <c r="R35" s="397">
        <v>0</v>
      </c>
      <c r="S35" s="397">
        <v>23</v>
      </c>
      <c r="T35" s="37">
        <f>E35*M35*O35*Q35/100000000</f>
        <v>12.241596639999999</v>
      </c>
      <c r="U35" s="37">
        <f>E35*M35*O35*(Q35-R35-S35)/100000000</f>
        <v>11.413488632</v>
      </c>
      <c r="V35" s="37">
        <f>E35*G35*(1-N35)*O35/100*(R35+S35)/1000000</f>
        <v>0.81601884000000013</v>
      </c>
      <c r="W35" s="37">
        <f>+'7'!K9/1000</f>
        <v>10.212</v>
      </c>
      <c r="X35" s="394"/>
      <c r="Y35" s="213"/>
      <c r="Z35" s="37"/>
      <c r="AA35" s="37"/>
      <c r="AB35" s="37"/>
      <c r="AC35" s="37">
        <f>K35-T35</f>
        <v>0</v>
      </c>
      <c r="AD35" s="37">
        <f>+AM35+BA35</f>
        <v>30</v>
      </c>
      <c r="AE35" s="230" t="s">
        <v>494</v>
      </c>
      <c r="AF35" s="33"/>
      <c r="AG35" s="33"/>
      <c r="AH35" s="33">
        <v>30</v>
      </c>
      <c r="AJ35" s="37"/>
      <c r="AK35" s="37"/>
      <c r="AL35" s="37"/>
      <c r="AM35" s="37">
        <f>SUM(AF35:AL35)+AT35+AV35+AX35</f>
        <v>30</v>
      </c>
      <c r="AN35" s="37"/>
      <c r="AO35" s="37"/>
      <c r="AP35" s="37"/>
      <c r="AQ35" s="37"/>
      <c r="AR35" s="37">
        <f>SUM(AN35:AQ35)</f>
        <v>0</v>
      </c>
      <c r="AS35" s="37"/>
      <c r="AT35" s="37"/>
      <c r="AU35" s="37"/>
      <c r="AV35" s="37"/>
      <c r="AW35" s="37"/>
      <c r="AX35" s="37"/>
      <c r="AY35" s="37"/>
      <c r="AZ35" s="37"/>
      <c r="BA35" s="37">
        <f>+AR35+AS35+AU35+AW35+AY35+AZ35</f>
        <v>0</v>
      </c>
      <c r="BB35" s="33"/>
      <c r="BC35" s="53"/>
      <c r="BD35" s="53"/>
      <c r="BE35" s="33"/>
      <c r="BF35" s="53"/>
    </row>
    <row r="36" spans="1:58" ht="12.95" customHeight="1">
      <c r="A36" s="40"/>
      <c r="B36" s="41" t="s">
        <v>416</v>
      </c>
      <c r="C36" s="428">
        <f>(M36*E36*O36*Q36)/100000000</f>
        <v>5.6512500000000001</v>
      </c>
      <c r="D36" s="41" t="s">
        <v>297</v>
      </c>
      <c r="E36" s="42">
        <v>12.5</v>
      </c>
      <c r="F36" s="42">
        <v>1</v>
      </c>
      <c r="G36" s="472">
        <v>1350</v>
      </c>
      <c r="H36" s="489">
        <v>0.2</v>
      </c>
      <c r="I36" s="45">
        <v>0.88</v>
      </c>
      <c r="J36" s="86">
        <f>E36*G36*(1-H36)*1440/1000000*2.87</f>
        <v>55.792800000000007</v>
      </c>
      <c r="K36" s="86">
        <f>(IF(G36&lt;L36,L36,G36)*(1-IF(H36&lt;N36,H36,N36))*E36*O36*Q36)/100000000</f>
        <v>5.6512500000000001</v>
      </c>
      <c r="L36" s="35">
        <v>1370</v>
      </c>
      <c r="M36" s="35">
        <f>+L36-L36*0.2</f>
        <v>1096</v>
      </c>
      <c r="N36" s="46">
        <f>1-(M36/L36)</f>
        <v>0.19999999999999996</v>
      </c>
      <c r="O36" s="47">
        <f>+'Trim Rwd'!H31</f>
        <v>275</v>
      </c>
      <c r="P36" s="48">
        <f>O36*(Q36-R36-S36)</f>
        <v>39325</v>
      </c>
      <c r="Q36" s="47">
        <f>30+120</f>
        <v>150</v>
      </c>
      <c r="R36" s="397">
        <v>0</v>
      </c>
      <c r="S36" s="397">
        <v>7</v>
      </c>
      <c r="T36" s="37">
        <f>E36*M36*O36*Q36/100000000</f>
        <v>5.6512500000000001</v>
      </c>
      <c r="U36" s="37">
        <f>E36*M36*O36*(Q36-R36-S36)/100000000</f>
        <v>5.3875250000000001</v>
      </c>
      <c r="V36" s="37">
        <f>E36*G36*(1-N36)*O36/100*(R36+S36)/1000000</f>
        <v>0.25987500000000002</v>
      </c>
      <c r="W36" s="37">
        <f>+'7'!K10/1000</f>
        <v>0</v>
      </c>
      <c r="X36" s="394"/>
      <c r="Y36" s="213"/>
      <c r="Z36" s="37"/>
      <c r="AA36" s="37"/>
      <c r="AB36" s="37"/>
      <c r="AC36" s="37">
        <f>K36-T36</f>
        <v>0</v>
      </c>
      <c r="AD36" s="37"/>
      <c r="AE36" s="230"/>
      <c r="AF36" s="37"/>
      <c r="AG36" s="37"/>
      <c r="AH36" s="37"/>
      <c r="AI36" s="474"/>
      <c r="AJ36" s="37"/>
      <c r="AK36" s="37"/>
      <c r="AL36" s="37"/>
      <c r="AM36" s="37"/>
      <c r="AN36" s="8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50"/>
      <c r="BC36" s="51"/>
      <c r="BD36" s="53"/>
      <c r="BE36" s="33"/>
      <c r="BF36" s="53"/>
    </row>
    <row r="37" spans="1:58" ht="12.95" customHeight="1">
      <c r="A37" s="40"/>
      <c r="B37" s="41"/>
      <c r="C37" s="428"/>
      <c r="D37" s="41"/>
      <c r="E37" s="42"/>
      <c r="F37" s="42"/>
      <c r="G37" s="472"/>
      <c r="H37" s="44"/>
      <c r="I37" s="45"/>
      <c r="J37" s="86"/>
      <c r="K37" s="86"/>
      <c r="L37" s="35"/>
      <c r="M37" s="35"/>
      <c r="N37" s="46"/>
      <c r="O37" s="47"/>
      <c r="P37" s="48"/>
      <c r="Q37" s="47"/>
      <c r="R37" s="397"/>
      <c r="S37" s="397"/>
      <c r="T37" s="37"/>
      <c r="U37" s="37"/>
      <c r="V37" s="37"/>
      <c r="W37" s="37"/>
      <c r="X37" s="394"/>
      <c r="Y37" s="213"/>
      <c r="Z37" s="37"/>
      <c r="AA37" s="49"/>
      <c r="AB37" s="49"/>
      <c r="AC37" s="37"/>
      <c r="AD37" s="37"/>
      <c r="AE37" s="230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50"/>
      <c r="BC37" s="51"/>
      <c r="BD37" s="51"/>
      <c r="BE37" s="51"/>
      <c r="BF37" s="51"/>
    </row>
    <row r="38" spans="1:58" ht="12.95" customHeight="1">
      <c r="A38" s="40">
        <v>45938</v>
      </c>
      <c r="B38" s="41" t="s">
        <v>416</v>
      </c>
      <c r="C38" s="428">
        <f>(M38*E38*O38*Q38)/100000000</f>
        <v>54.887347285714284</v>
      </c>
      <c r="D38" s="41" t="s">
        <v>297</v>
      </c>
      <c r="E38" s="42">
        <v>12.5</v>
      </c>
      <c r="F38" s="42">
        <v>1</v>
      </c>
      <c r="G38" s="472">
        <v>1350</v>
      </c>
      <c r="H38" s="489">
        <v>0.2</v>
      </c>
      <c r="I38" s="45">
        <v>0.88</v>
      </c>
      <c r="J38" s="86">
        <f>E38*G38*(1-H38)*1440/1000000*2.87</f>
        <v>55.792800000000007</v>
      </c>
      <c r="K38" s="86">
        <f>(IF(G38&lt;L38,L38,G38)*(1-IF(H38&lt;N38,H38,N38))*E38*O38*Q38)/100000000</f>
        <v>54.887347285714284</v>
      </c>
      <c r="L38" s="35">
        <f>+(L34*480+L35*480+L36*480)/1440</f>
        <v>1370</v>
      </c>
      <c r="M38" s="35">
        <v>1109.7</v>
      </c>
      <c r="N38" s="46">
        <f>1-(M38/L38)</f>
        <v>0.18999999999999995</v>
      </c>
      <c r="O38" s="47">
        <f>+'Trim Rwd'!H33</f>
        <v>274.78571428571428</v>
      </c>
      <c r="P38" s="48">
        <f>O38*(Q38-R38-S38)</f>
        <v>378105.14285714284</v>
      </c>
      <c r="Q38" s="47">
        <v>1440</v>
      </c>
      <c r="R38" s="397">
        <v>0</v>
      </c>
      <c r="S38" s="397">
        <v>64</v>
      </c>
      <c r="T38" s="37">
        <f>E38*M38*O38*Q38/100000000</f>
        <v>54.887347285714284</v>
      </c>
      <c r="U38" s="37">
        <f>E38*M38*O38*(Q38-R38-S38)/100000000</f>
        <v>52.447909628571423</v>
      </c>
      <c r="V38" s="37">
        <f>E38*G38*(1-N38)*O38/100*(R38+S38)/1000000</f>
        <v>2.403825428571428</v>
      </c>
      <c r="W38" s="37">
        <f>+'8'!K34/1000</f>
        <v>47.835000000000001</v>
      </c>
      <c r="X38" s="394">
        <f>SUM(W38:W41)/SUM(K38:K41)</f>
        <v>0.87151233144856644</v>
      </c>
      <c r="Y38" s="37">
        <v>0</v>
      </c>
      <c r="Z38" s="37">
        <v>0</v>
      </c>
      <c r="AA38" s="49">
        <f>SUM(U38:U41)-SUM(W38:W41)-SUM(Z38:Z41)-SUM(Y38:Y41)</f>
        <v>4.6129096285714226</v>
      </c>
      <c r="AB38" s="49">
        <f>(SUM(K38:K41)-SUM(W38:W41)-SUM(Y38:Y41)-SUM(Z38:Z41)-SUM(AC38:AC41)-SUM(V38:V41))-AA38</f>
        <v>3.5612228571432425E-2</v>
      </c>
      <c r="AC38" s="37">
        <f>K38-T38</f>
        <v>0</v>
      </c>
      <c r="AD38" s="37">
        <f>+AM38+BA38</f>
        <v>20</v>
      </c>
      <c r="AE38" s="230" t="s">
        <v>515</v>
      </c>
      <c r="AF38" s="37">
        <v>20</v>
      </c>
      <c r="AG38" s="37"/>
      <c r="AH38" s="37"/>
      <c r="AI38" s="474"/>
      <c r="AJ38" s="37"/>
      <c r="AK38" s="37"/>
      <c r="AL38" s="37"/>
      <c r="AM38" s="37">
        <f>SUM(AF38:AL38)+AT38+AV38+AX38</f>
        <v>20</v>
      </c>
      <c r="AN38" s="37"/>
      <c r="AO38" s="37"/>
      <c r="AP38" s="37"/>
      <c r="AQ38" s="37"/>
      <c r="AR38" s="37">
        <f>SUM(AN38:AQ38)</f>
        <v>0</v>
      </c>
      <c r="AS38" s="37"/>
      <c r="AT38" s="37"/>
      <c r="AU38" s="37"/>
      <c r="AV38" s="37"/>
      <c r="AW38" s="37"/>
      <c r="AX38" s="37"/>
      <c r="AY38" s="37"/>
      <c r="AZ38" s="37"/>
      <c r="BA38" s="37">
        <f>+AR38+AS38+AU38+AW38+AY38+AZ38</f>
        <v>0</v>
      </c>
      <c r="BB38" s="33">
        <v>4</v>
      </c>
      <c r="BC38" s="51"/>
      <c r="BD38" s="51"/>
      <c r="BE38" s="33"/>
      <c r="BF38" s="51"/>
    </row>
    <row r="39" spans="1:58" ht="12.95" customHeight="1">
      <c r="A39" s="40"/>
      <c r="B39" s="41"/>
      <c r="C39" s="428"/>
      <c r="D39" s="41"/>
      <c r="E39" s="42"/>
      <c r="F39" s="42"/>
      <c r="G39" s="472"/>
      <c r="H39" s="44"/>
      <c r="I39" s="45"/>
      <c r="J39" s="86"/>
      <c r="K39" s="86"/>
      <c r="L39" s="35"/>
      <c r="M39" s="35"/>
      <c r="N39" s="46"/>
      <c r="O39" s="47"/>
      <c r="P39" s="48"/>
      <c r="Q39" s="47"/>
      <c r="R39" s="397"/>
      <c r="S39" s="397"/>
      <c r="T39" s="37"/>
      <c r="U39" s="37"/>
      <c r="V39" s="37"/>
      <c r="W39" s="37"/>
      <c r="X39" s="394"/>
      <c r="Y39" s="213"/>
      <c r="Z39" s="37"/>
      <c r="AA39" s="37"/>
      <c r="AB39" s="37"/>
      <c r="AC39" s="37"/>
      <c r="AD39" s="37">
        <f>+AM39+BA39</f>
        <v>17</v>
      </c>
      <c r="AE39" s="230" t="s">
        <v>569</v>
      </c>
      <c r="AF39" s="37"/>
      <c r="AG39" s="37">
        <v>17</v>
      </c>
      <c r="AH39" s="37"/>
      <c r="AI39" s="474"/>
      <c r="AJ39" s="37"/>
      <c r="AK39" s="37"/>
      <c r="AL39" s="37"/>
      <c r="AM39" s="37">
        <f>SUM(AF39:AL39)+AT39+AV39+AX39</f>
        <v>17</v>
      </c>
      <c r="AN39" s="87"/>
      <c r="AO39" s="37"/>
      <c r="AP39" s="37"/>
      <c r="AQ39" s="37"/>
      <c r="AR39" s="37">
        <f>SUM(AN39:AQ39)</f>
        <v>0</v>
      </c>
      <c r="AS39" s="37"/>
      <c r="AT39" s="37"/>
      <c r="AU39" s="37"/>
      <c r="AV39" s="37"/>
      <c r="AW39" s="37"/>
      <c r="AX39" s="37"/>
      <c r="AY39" s="37"/>
      <c r="AZ39" s="37"/>
      <c r="BA39" s="37">
        <f>+AR39+AS39+AU39+AW39+AY39+AZ39</f>
        <v>0</v>
      </c>
      <c r="BB39" s="50"/>
      <c r="BC39" s="51">
        <v>14</v>
      </c>
      <c r="BD39" s="51"/>
      <c r="BE39" s="50"/>
      <c r="BF39" s="51"/>
    </row>
    <row r="40" spans="1:58" ht="12.95" customHeight="1">
      <c r="A40" s="40"/>
      <c r="B40" s="41"/>
      <c r="C40" s="428"/>
      <c r="D40" s="41"/>
      <c r="E40" s="42"/>
      <c r="F40" s="42"/>
      <c r="G40" s="472"/>
      <c r="H40" s="44"/>
      <c r="I40" s="45"/>
      <c r="J40" s="86"/>
      <c r="K40" s="86"/>
      <c r="L40" s="35"/>
      <c r="M40" s="35"/>
      <c r="N40" s="46"/>
      <c r="O40" s="47"/>
      <c r="P40" s="48"/>
      <c r="Q40" s="47"/>
      <c r="R40" s="397"/>
      <c r="S40" s="397"/>
      <c r="T40" s="37"/>
      <c r="U40" s="37"/>
      <c r="V40" s="37"/>
      <c r="W40" s="37"/>
      <c r="X40" s="394"/>
      <c r="Y40" s="213"/>
      <c r="Z40" s="37"/>
      <c r="AA40" s="37"/>
      <c r="AB40" s="37"/>
      <c r="AC40" s="37"/>
      <c r="AD40" s="37">
        <f>+AM40+BA40</f>
        <v>27</v>
      </c>
      <c r="AE40" s="230" t="s">
        <v>570</v>
      </c>
      <c r="AF40" s="33"/>
      <c r="AG40" s="33"/>
      <c r="AH40" s="33">
        <v>27</v>
      </c>
      <c r="AJ40" s="37"/>
      <c r="AK40" s="37"/>
      <c r="AL40" s="37"/>
      <c r="AM40" s="37">
        <f>SUM(AF40:AL40)+AT40+AV40+AX40</f>
        <v>27</v>
      </c>
      <c r="AN40" s="37"/>
      <c r="AO40" s="37"/>
      <c r="AP40" s="37"/>
      <c r="AQ40" s="37"/>
      <c r="AR40" s="37">
        <f>SUM(AN40:AQ40)</f>
        <v>0</v>
      </c>
      <c r="AS40" s="37"/>
      <c r="AT40" s="37"/>
      <c r="AU40" s="37"/>
      <c r="AV40" s="37"/>
      <c r="AW40" s="37"/>
      <c r="AX40" s="37"/>
      <c r="AY40" s="37"/>
      <c r="AZ40" s="37"/>
      <c r="BA40" s="37">
        <f>+AR40+AS40+AU40+AW40+AY40+AZ40</f>
        <v>0</v>
      </c>
      <c r="BB40" s="33"/>
      <c r="BC40" s="53"/>
      <c r="BD40" s="53"/>
      <c r="BE40" s="33"/>
      <c r="BF40" s="53"/>
    </row>
    <row r="41" spans="1:58" ht="12.95" customHeight="1">
      <c r="A41" s="40"/>
      <c r="B41" s="41"/>
      <c r="C41" s="428"/>
      <c r="D41" s="41"/>
      <c r="E41" s="42"/>
      <c r="F41" s="42"/>
      <c r="G41" s="472"/>
      <c r="H41" s="44"/>
      <c r="I41" s="45"/>
      <c r="J41" s="86"/>
      <c r="K41" s="86"/>
      <c r="L41" s="35"/>
      <c r="M41" s="35"/>
      <c r="N41" s="46"/>
      <c r="O41" s="47"/>
      <c r="P41" s="48"/>
      <c r="Q41" s="47"/>
      <c r="R41" s="397"/>
      <c r="S41" s="397"/>
      <c r="T41" s="37"/>
      <c r="U41" s="37"/>
      <c r="V41" s="37"/>
      <c r="W41" s="37"/>
      <c r="X41" s="394"/>
      <c r="Y41" s="213"/>
      <c r="Z41" s="37"/>
      <c r="AA41" s="37"/>
      <c r="AB41" s="37"/>
      <c r="AC41" s="37"/>
      <c r="AD41" s="37"/>
      <c r="AE41" s="230"/>
      <c r="AF41" s="37"/>
      <c r="AG41" s="37"/>
      <c r="AH41" s="37"/>
      <c r="AI41" s="474"/>
      <c r="AJ41" s="37"/>
      <c r="AK41" s="37"/>
      <c r="AL41" s="37"/>
      <c r="AM41" s="37"/>
      <c r="AN41" s="8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50"/>
      <c r="BC41" s="51"/>
      <c r="BD41" s="53"/>
      <c r="BE41" s="33"/>
      <c r="BF41" s="53"/>
    </row>
    <row r="42" spans="1:58" ht="12.95" customHeight="1">
      <c r="A42" s="40">
        <v>45939</v>
      </c>
      <c r="B42" s="41" t="s">
        <v>416</v>
      </c>
      <c r="C42" s="428">
        <f>(M42*E42*O42*Q42)/100000000</f>
        <v>56.943809999999992</v>
      </c>
      <c r="D42" s="41" t="s">
        <v>297</v>
      </c>
      <c r="E42" s="42">
        <v>12.5</v>
      </c>
      <c r="F42" s="42">
        <v>1</v>
      </c>
      <c r="G42" s="472">
        <v>1350</v>
      </c>
      <c r="H42" s="489">
        <v>0.2</v>
      </c>
      <c r="I42" s="45">
        <v>0.88</v>
      </c>
      <c r="J42" s="86">
        <f>E42*G42*(1-H42)*1440/1000000*2.87</f>
        <v>55.792800000000007</v>
      </c>
      <c r="K42" s="86">
        <f>(IF(G42&lt;L42,L42,G42)*(1-IF(H42&lt;N42,H42,N42))*E42*O42*Q42)/100000000</f>
        <v>56.943809999999992</v>
      </c>
      <c r="L42" s="35">
        <v>1383.3333333333333</v>
      </c>
      <c r="M42" s="35">
        <v>1120.5</v>
      </c>
      <c r="N42" s="46">
        <f>1-(M42/L42)</f>
        <v>0.18999999999999995</v>
      </c>
      <c r="O42" s="47">
        <f>+'Trim Rwd'!H36</f>
        <v>282.33333333333331</v>
      </c>
      <c r="P42" s="48">
        <f>O42*(Q42-R42-S42)</f>
        <v>385385</v>
      </c>
      <c r="Q42" s="47">
        <v>1440</v>
      </c>
      <c r="R42" s="397">
        <v>0</v>
      </c>
      <c r="S42" s="397">
        <v>75</v>
      </c>
      <c r="T42" s="37">
        <f>E42*M42*O42*Q42/100000000</f>
        <v>56.943809999999992</v>
      </c>
      <c r="U42" s="37">
        <f>E42*M42*O42*(Q42-R42-S42)/100000000</f>
        <v>53.977986562499993</v>
      </c>
      <c r="V42" s="37">
        <f>E42*G42*(1-N42)*O42/100*(R42+S42)/1000000</f>
        <v>2.8943578124999996</v>
      </c>
      <c r="W42" s="37">
        <f>+'9'!K34/1000</f>
        <v>56.942999999999998</v>
      </c>
      <c r="X42" s="394">
        <f>SUM(W42:W45)/SUM(K42:K45)</f>
        <v>0.99998577545127387</v>
      </c>
      <c r="Y42" s="37">
        <v>0</v>
      </c>
      <c r="Z42" s="37">
        <v>0</v>
      </c>
      <c r="AA42" s="49">
        <f>SUM(U42:U45)-SUM(W42:W45)-SUM(Z42:Z45)-SUM(Y42:Y45)</f>
        <v>-2.965013437500005</v>
      </c>
      <c r="AB42" s="49">
        <f>(SUM(K42:K45)-SUM(W42:W45)-SUM(Y42:Y45)-SUM(Z42:Z45)-SUM(AC42:AC45)-SUM(V42:V45))-AA42</f>
        <v>7.1465624999999644E-2</v>
      </c>
      <c r="AC42" s="37">
        <f>K42-T42</f>
        <v>0</v>
      </c>
      <c r="AD42" s="37">
        <f>+AM42+BA42</f>
        <v>25</v>
      </c>
      <c r="AE42" s="230" t="s">
        <v>586</v>
      </c>
      <c r="AF42" s="37">
        <v>25</v>
      </c>
      <c r="AG42" s="37"/>
      <c r="AH42" s="37"/>
      <c r="AI42" s="474"/>
      <c r="AJ42" s="37"/>
      <c r="AK42" s="37"/>
      <c r="AL42" s="37"/>
      <c r="AM42" s="37">
        <f>SUM(AF42:AL42)+AT42+AV42+AX42</f>
        <v>25</v>
      </c>
      <c r="AN42" s="37"/>
      <c r="AO42" s="37"/>
      <c r="AP42" s="37"/>
      <c r="AQ42" s="37"/>
      <c r="AR42" s="37">
        <f>SUM(AN42:AQ42)</f>
        <v>0</v>
      </c>
      <c r="AS42" s="37"/>
      <c r="AT42" s="37"/>
      <c r="AU42" s="37"/>
      <c r="AV42" s="37"/>
      <c r="AW42" s="37"/>
      <c r="AX42" s="37"/>
      <c r="AY42" s="37"/>
      <c r="AZ42" s="37"/>
      <c r="BA42" s="37">
        <f>+AR42+AS42+AU42+AW42+AY42+AZ42</f>
        <v>0</v>
      </c>
      <c r="BB42" s="33">
        <v>5</v>
      </c>
      <c r="BC42" s="51"/>
      <c r="BD42" s="51"/>
      <c r="BE42" s="33"/>
      <c r="BF42" s="51"/>
    </row>
    <row r="43" spans="1:58" ht="12.95" customHeight="1">
      <c r="A43" s="40"/>
      <c r="B43" s="41"/>
      <c r="C43" s="428"/>
      <c r="D43" s="41"/>
      <c r="E43" s="42"/>
      <c r="F43" s="42"/>
      <c r="G43" s="472"/>
      <c r="H43" s="44"/>
      <c r="I43" s="45"/>
      <c r="J43" s="86"/>
      <c r="K43" s="86"/>
      <c r="L43" s="35"/>
      <c r="M43" s="35"/>
      <c r="N43" s="46"/>
      <c r="O43" s="47"/>
      <c r="P43" s="48"/>
      <c r="Q43" s="47"/>
      <c r="R43" s="397"/>
      <c r="S43" s="397"/>
      <c r="T43" s="37"/>
      <c r="U43" s="37"/>
      <c r="V43" s="37"/>
      <c r="W43" s="37"/>
      <c r="X43" s="394"/>
      <c r="Y43" s="213"/>
      <c r="Z43" s="37"/>
      <c r="AA43" s="37"/>
      <c r="AB43" s="37"/>
      <c r="AC43" s="37"/>
      <c r="AD43" s="37">
        <f>+AM43+BA43</f>
        <v>18</v>
      </c>
      <c r="AE43" s="230" t="s">
        <v>587</v>
      </c>
      <c r="AF43" s="37"/>
      <c r="AG43" s="37">
        <v>18</v>
      </c>
      <c r="AH43" s="37"/>
      <c r="AI43" s="474"/>
      <c r="AJ43" s="37"/>
      <c r="AK43" s="37"/>
      <c r="AL43" s="37"/>
      <c r="AM43" s="37">
        <f>SUM(AF43:AL43)+AT43+AV43+AX43</f>
        <v>18</v>
      </c>
      <c r="AN43" s="87"/>
      <c r="AO43" s="37"/>
      <c r="AP43" s="37"/>
      <c r="AQ43" s="37"/>
      <c r="AR43" s="37">
        <f>SUM(AN43:AQ43)</f>
        <v>0</v>
      </c>
      <c r="AS43" s="37"/>
      <c r="AT43" s="37"/>
      <c r="AU43" s="37"/>
      <c r="AV43" s="37"/>
      <c r="AW43" s="37"/>
      <c r="AX43" s="37"/>
      <c r="AY43" s="37"/>
      <c r="AZ43" s="37"/>
      <c r="BA43" s="37">
        <f>+AR43+AS43+AU43+AW43+AY43+AZ43</f>
        <v>0</v>
      </c>
      <c r="BB43" s="50"/>
      <c r="BC43" s="51">
        <v>17</v>
      </c>
      <c r="BD43" s="51"/>
      <c r="BE43" s="50"/>
      <c r="BF43" s="51"/>
    </row>
    <row r="44" spans="1:58" ht="12.95" customHeight="1">
      <c r="A44" s="40"/>
      <c r="B44" s="41"/>
      <c r="C44" s="428"/>
      <c r="D44" s="41"/>
      <c r="E44" s="42"/>
      <c r="F44" s="42"/>
      <c r="G44" s="472"/>
      <c r="H44" s="44"/>
      <c r="I44" s="45"/>
      <c r="J44" s="86"/>
      <c r="K44" s="86"/>
      <c r="L44" s="35"/>
      <c r="M44" s="35"/>
      <c r="N44" s="46"/>
      <c r="O44" s="47"/>
      <c r="P44" s="48"/>
      <c r="Q44" s="47"/>
      <c r="R44" s="397"/>
      <c r="S44" s="397"/>
      <c r="T44" s="37"/>
      <c r="U44" s="37"/>
      <c r="V44" s="37"/>
      <c r="W44" s="37"/>
      <c r="X44" s="394"/>
      <c r="Y44" s="213"/>
      <c r="Z44" s="37"/>
      <c r="AA44" s="37"/>
      <c r="AB44" s="37"/>
      <c r="AC44" s="37"/>
      <c r="AD44" s="37">
        <f>+AM44+BA44</f>
        <v>32</v>
      </c>
      <c r="AE44" s="230" t="s">
        <v>588</v>
      </c>
      <c r="AF44" s="33"/>
      <c r="AG44" s="33"/>
      <c r="AH44" s="33">
        <v>32</v>
      </c>
      <c r="AJ44" s="37"/>
      <c r="AK44" s="37"/>
      <c r="AL44" s="37"/>
      <c r="AM44" s="37">
        <f>SUM(AF44:AL44)+AT44+AV44+AX44</f>
        <v>32</v>
      </c>
      <c r="AN44" s="37"/>
      <c r="AO44" s="37"/>
      <c r="AP44" s="37"/>
      <c r="AQ44" s="37"/>
      <c r="AR44" s="37">
        <f>SUM(AN44:AQ44)</f>
        <v>0</v>
      </c>
      <c r="AS44" s="37"/>
      <c r="AT44" s="37"/>
      <c r="AU44" s="37"/>
      <c r="AV44" s="37"/>
      <c r="AW44" s="37"/>
      <c r="AX44" s="37"/>
      <c r="AY44" s="37"/>
      <c r="AZ44" s="37"/>
      <c r="BA44" s="37">
        <f>+AR44+AS44+AU44+AW44+AY44+AZ44</f>
        <v>0</v>
      </c>
      <c r="BB44" s="33"/>
      <c r="BC44" s="53"/>
      <c r="BD44" s="53"/>
      <c r="BE44" s="33"/>
      <c r="BF44" s="53"/>
    </row>
    <row r="45" spans="1:58" ht="12.95" customHeight="1">
      <c r="A45" s="40"/>
      <c r="B45" s="41"/>
      <c r="C45" s="428"/>
      <c r="D45" s="41"/>
      <c r="E45" s="42"/>
      <c r="F45" s="42"/>
      <c r="G45" s="472"/>
      <c r="H45" s="44"/>
      <c r="I45" s="45"/>
      <c r="J45" s="86"/>
      <c r="K45" s="86"/>
      <c r="L45" s="35"/>
      <c r="M45" s="35"/>
      <c r="N45" s="46"/>
      <c r="O45" s="47"/>
      <c r="P45" s="48"/>
      <c r="Q45" s="47"/>
      <c r="R45" s="397"/>
      <c r="S45" s="397"/>
      <c r="T45" s="37"/>
      <c r="U45" s="37"/>
      <c r="V45" s="37"/>
      <c r="W45" s="37"/>
      <c r="X45" s="394"/>
      <c r="Y45" s="213"/>
      <c r="Z45" s="37"/>
      <c r="AA45" s="37"/>
      <c r="AB45" s="37"/>
      <c r="AC45" s="37"/>
      <c r="AD45" s="37"/>
      <c r="AE45" s="230"/>
      <c r="AF45" s="37"/>
      <c r="AG45" s="37"/>
      <c r="AH45" s="37"/>
      <c r="AI45" s="474"/>
      <c r="AJ45" s="37"/>
      <c r="AK45" s="37"/>
      <c r="AL45" s="37"/>
      <c r="AM45" s="37"/>
      <c r="AN45" s="8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50"/>
      <c r="BC45" s="51"/>
      <c r="BD45" s="53"/>
      <c r="BE45" s="33"/>
      <c r="BF45" s="53"/>
    </row>
    <row r="46" spans="1:58" ht="12.95" customHeight="1">
      <c r="A46" s="40">
        <v>45940</v>
      </c>
      <c r="B46" s="41" t="s">
        <v>416</v>
      </c>
      <c r="C46" s="428">
        <f>(M46*E46*O46*Q46)/100000000</f>
        <v>55.765416666666667</v>
      </c>
      <c r="D46" s="41" t="s">
        <v>297</v>
      </c>
      <c r="E46" s="42">
        <v>12.5</v>
      </c>
      <c r="F46" s="42">
        <v>1</v>
      </c>
      <c r="G46" s="472">
        <v>1350</v>
      </c>
      <c r="H46" s="489">
        <v>0.2</v>
      </c>
      <c r="I46" s="45">
        <v>0.88</v>
      </c>
      <c r="J46" s="86">
        <f>E46*G46*(1-H46)*1440/1000000*2.87</f>
        <v>55.792800000000007</v>
      </c>
      <c r="K46" s="86">
        <f>(IF(G46&lt;L46,L46,G46)*(1-IF(H46&lt;N46,H46,N46))*E46*O46*Q46)/100000000</f>
        <v>55.765416666666667</v>
      </c>
      <c r="L46" s="35">
        <v>1397.5694444444443</v>
      </c>
      <c r="M46" s="35">
        <v>1118.0555555555557</v>
      </c>
      <c r="N46" s="46">
        <f>1-(M46/L46)</f>
        <v>0.19999999999999984</v>
      </c>
      <c r="O46" s="47">
        <f>+'Trim Rwd'!H39</f>
        <v>277.09523809523807</v>
      </c>
      <c r="P46" s="48">
        <f>O46*(Q46-R46-S46)</f>
        <v>383776.90476190473</v>
      </c>
      <c r="Q46" s="47">
        <v>1440</v>
      </c>
      <c r="R46" s="397">
        <v>0</v>
      </c>
      <c r="S46" s="397">
        <v>55</v>
      </c>
      <c r="T46" s="37">
        <f>E46*M46*O46*Q46/100000000</f>
        <v>55.765416666666667</v>
      </c>
      <c r="U46" s="37">
        <f>E46*M46*O46*(Q46-R46-S46)/100000000</f>
        <v>53.63548755787037</v>
      </c>
      <c r="V46" s="37">
        <f>E46*G46*(1-N46)*O46/100*(R46+S46)/1000000</f>
        <v>2.0574321428571429</v>
      </c>
      <c r="W46" s="37">
        <f>+'10'!K34/1000</f>
        <v>40.125</v>
      </c>
      <c r="X46" s="394">
        <f>SUM(W46:W49)/SUM(K46:K49)</f>
        <v>0.71953196799091435</v>
      </c>
      <c r="Y46" s="37">
        <v>0</v>
      </c>
      <c r="Z46" s="37">
        <v>0</v>
      </c>
      <c r="AA46" s="49">
        <f>SUM(U46:U49)-SUM(W46:W49)-SUM(Z46:Z49)-SUM(Y46:Y49)</f>
        <v>13.51048755787037</v>
      </c>
      <c r="AB46" s="49">
        <f>(SUM(K46:K49)-SUM(W46:W49)-SUM(Y46:Y49)-SUM(Z46:Z49)-SUM(AC46:AC49)-SUM(V46:V49))-AA46</f>
        <v>7.2496965939153668E-2</v>
      </c>
      <c r="AC46" s="37">
        <f>K46-T46</f>
        <v>0</v>
      </c>
      <c r="AD46" s="37">
        <f>+AM46+BA46</f>
        <v>10</v>
      </c>
      <c r="AE46" s="230" t="s">
        <v>456</v>
      </c>
      <c r="AF46" s="37">
        <v>10</v>
      </c>
      <c r="AG46" s="37"/>
      <c r="AH46" s="37"/>
      <c r="AI46" s="474"/>
      <c r="AJ46" s="37"/>
      <c r="AK46" s="37"/>
      <c r="AL46" s="37"/>
      <c r="AM46" s="37">
        <f>SUM(AF46:AL46)+AT46+AV46+AX46</f>
        <v>10</v>
      </c>
      <c r="AN46" s="37"/>
      <c r="AO46" s="37"/>
      <c r="AP46" s="37"/>
      <c r="AQ46" s="37"/>
      <c r="AR46" s="37">
        <f>SUM(AN46:AQ46)</f>
        <v>0</v>
      </c>
      <c r="AS46" s="37"/>
      <c r="AT46" s="37"/>
      <c r="AU46" s="37"/>
      <c r="AV46" s="37"/>
      <c r="AW46" s="37"/>
      <c r="AX46" s="37"/>
      <c r="AY46" s="37"/>
      <c r="AZ46" s="37"/>
      <c r="BA46" s="37">
        <f>+AR46+AS46+AU46+AW46+AY46+AZ46</f>
        <v>0</v>
      </c>
      <c r="BB46" s="33">
        <v>2</v>
      </c>
      <c r="BC46" s="51"/>
      <c r="BD46" s="51"/>
      <c r="BE46" s="33"/>
      <c r="BF46" s="51"/>
    </row>
    <row r="47" spans="1:58" ht="12.95" customHeight="1">
      <c r="A47" s="40"/>
      <c r="B47" s="41"/>
      <c r="C47" s="428"/>
      <c r="D47" s="41"/>
      <c r="E47" s="42"/>
      <c r="F47" s="42"/>
      <c r="G47" s="472"/>
      <c r="H47" s="44"/>
      <c r="I47" s="45"/>
      <c r="J47" s="86"/>
      <c r="K47" s="86"/>
      <c r="L47" s="35"/>
      <c r="M47" s="35"/>
      <c r="N47" s="46"/>
      <c r="O47" s="47"/>
      <c r="P47" s="48"/>
      <c r="Q47" s="47"/>
      <c r="R47" s="397"/>
      <c r="S47" s="397"/>
      <c r="T47" s="37"/>
      <c r="U47" s="37"/>
      <c r="V47" s="37"/>
      <c r="W47" s="37"/>
      <c r="X47" s="394"/>
      <c r="Y47" s="213"/>
      <c r="Z47" s="37"/>
      <c r="AA47" s="37"/>
      <c r="AB47" s="37"/>
      <c r="AC47" s="37"/>
      <c r="AD47" s="37">
        <f>+AM47+BA47</f>
        <v>15</v>
      </c>
      <c r="AE47" s="230" t="s">
        <v>601</v>
      </c>
      <c r="AF47" s="37"/>
      <c r="AG47" s="37">
        <v>15</v>
      </c>
      <c r="AH47" s="37"/>
      <c r="AI47" s="474"/>
      <c r="AJ47" s="37"/>
      <c r="AK47" s="37"/>
      <c r="AL47" s="37"/>
      <c r="AM47" s="37">
        <f>SUM(AF47:AL47)+AT47+AV47+AX47</f>
        <v>15</v>
      </c>
      <c r="AN47" s="87"/>
      <c r="AO47" s="37"/>
      <c r="AP47" s="37"/>
      <c r="AQ47" s="37"/>
      <c r="AR47" s="37">
        <f>SUM(AN47:AQ47)</f>
        <v>0</v>
      </c>
      <c r="AS47" s="37"/>
      <c r="AT47" s="37"/>
      <c r="AU47" s="37"/>
      <c r="AV47" s="37"/>
      <c r="AW47" s="37"/>
      <c r="AX47" s="37"/>
      <c r="AY47" s="37"/>
      <c r="AZ47" s="37"/>
      <c r="BA47" s="37">
        <f>+AR47+AS47+AU47+AW47+AY47+AZ47</f>
        <v>0</v>
      </c>
      <c r="BB47" s="50"/>
      <c r="BC47" s="51">
        <v>8</v>
      </c>
      <c r="BD47" s="51"/>
      <c r="BE47" s="50"/>
      <c r="BF47" s="51"/>
    </row>
    <row r="48" spans="1:58" ht="12.95" customHeight="1">
      <c r="A48" s="40"/>
      <c r="B48" s="41"/>
      <c r="C48" s="428"/>
      <c r="D48" s="41"/>
      <c r="E48" s="42"/>
      <c r="F48" s="42"/>
      <c r="G48" s="472"/>
      <c r="H48" s="44"/>
      <c r="I48" s="45"/>
      <c r="J48" s="86"/>
      <c r="K48" s="86"/>
      <c r="L48" s="35"/>
      <c r="M48" s="35"/>
      <c r="N48" s="46"/>
      <c r="O48" s="47"/>
      <c r="P48" s="48"/>
      <c r="Q48" s="47"/>
      <c r="R48" s="397"/>
      <c r="S48" s="397"/>
      <c r="T48" s="37"/>
      <c r="U48" s="37"/>
      <c r="V48" s="37"/>
      <c r="W48" s="37"/>
      <c r="X48" s="394"/>
      <c r="Y48" s="213"/>
      <c r="Z48" s="37"/>
      <c r="AA48" s="37"/>
      <c r="AB48" s="37"/>
      <c r="AC48" s="37"/>
      <c r="AD48" s="37">
        <f>+AM48+BA48</f>
        <v>30</v>
      </c>
      <c r="AE48" s="230" t="s">
        <v>527</v>
      </c>
      <c r="AF48" s="33"/>
      <c r="AG48" s="33"/>
      <c r="AH48" s="33">
        <v>30</v>
      </c>
      <c r="AJ48" s="37"/>
      <c r="AK48" s="37"/>
      <c r="AL48" s="37"/>
      <c r="AM48" s="37">
        <f>SUM(AF48:AL48)+AT48+AV48+AX48</f>
        <v>30</v>
      </c>
      <c r="AN48" s="37"/>
      <c r="AO48" s="37"/>
      <c r="AP48" s="37"/>
      <c r="AQ48" s="37"/>
      <c r="AR48" s="37">
        <f>SUM(AN48:AQ48)</f>
        <v>0</v>
      </c>
      <c r="AS48" s="37"/>
      <c r="AT48" s="37"/>
      <c r="AU48" s="37"/>
      <c r="AV48" s="37"/>
      <c r="AW48" s="37"/>
      <c r="AX48" s="37"/>
      <c r="AY48" s="37"/>
      <c r="AZ48" s="37"/>
      <c r="BA48" s="37">
        <f>+AR48+AS48+AU48+AW48+AY48+AZ48</f>
        <v>0</v>
      </c>
      <c r="BB48" s="33"/>
      <c r="BC48" s="53"/>
      <c r="BD48" s="53"/>
      <c r="BE48" s="33"/>
      <c r="BF48" s="53"/>
    </row>
    <row r="49" spans="1:58" ht="12.95" customHeight="1">
      <c r="A49" s="40"/>
      <c r="B49" s="41"/>
      <c r="C49" s="428"/>
      <c r="D49" s="41"/>
      <c r="E49" s="42"/>
      <c r="F49" s="42"/>
      <c r="G49" s="472"/>
      <c r="H49" s="44"/>
      <c r="I49" s="45"/>
      <c r="J49" s="86"/>
      <c r="K49" s="86"/>
      <c r="L49" s="35"/>
      <c r="M49" s="35"/>
      <c r="N49" s="46"/>
      <c r="O49" s="47"/>
      <c r="P49" s="48"/>
      <c r="Q49" s="47"/>
      <c r="R49" s="397"/>
      <c r="S49" s="397"/>
      <c r="T49" s="37"/>
      <c r="U49" s="37"/>
      <c r="V49" s="37"/>
      <c r="W49" s="37"/>
      <c r="X49" s="394"/>
      <c r="Y49" s="213"/>
      <c r="Z49" s="37"/>
      <c r="AA49" s="37"/>
      <c r="AB49" s="37"/>
      <c r="AC49" s="37"/>
      <c r="AD49" s="37"/>
      <c r="AE49" s="230"/>
      <c r="AF49" s="37"/>
      <c r="AG49" s="37"/>
      <c r="AH49" s="37"/>
      <c r="AI49" s="474"/>
      <c r="AJ49" s="37"/>
      <c r="AK49" s="37"/>
      <c r="AL49" s="37"/>
      <c r="AM49" s="37"/>
      <c r="AN49" s="8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50"/>
      <c r="BC49" s="51"/>
      <c r="BD49" s="53"/>
      <c r="BE49" s="33"/>
      <c r="BF49" s="53"/>
    </row>
    <row r="50" spans="1:58" ht="12.95" customHeight="1">
      <c r="A50" s="40">
        <v>45941</v>
      </c>
      <c r="B50" s="41" t="s">
        <v>416</v>
      </c>
      <c r="C50" s="428">
        <f>(M50*E50*O50*Q50)/100000000</f>
        <v>43.721562499999997</v>
      </c>
      <c r="D50" s="41" t="s">
        <v>297</v>
      </c>
      <c r="E50" s="42">
        <v>12.5</v>
      </c>
      <c r="F50" s="42">
        <v>1</v>
      </c>
      <c r="G50" s="472">
        <v>1350</v>
      </c>
      <c r="H50" s="489">
        <v>0.2</v>
      </c>
      <c r="I50" s="45">
        <v>0.88</v>
      </c>
      <c r="J50" s="86">
        <f>E50*G50*(1-H50)*1440/1000000*2.87</f>
        <v>55.792800000000007</v>
      </c>
      <c r="K50" s="86">
        <f>(IF(G50&lt;L50,L50,G50)*(1-IF(H50&lt;N50,H50,N50))*E50*O50*Q50)/100000000</f>
        <v>44.274999999999999</v>
      </c>
      <c r="L50" s="35">
        <v>1400</v>
      </c>
      <c r="M50" s="35">
        <f>+L50-L50*0.21</f>
        <v>1106</v>
      </c>
      <c r="N50" s="46">
        <f>1-(M50/L50)</f>
        <v>0.20999999999999996</v>
      </c>
      <c r="O50" s="47">
        <f>+'Trim Rwd'!H42</f>
        <v>275</v>
      </c>
      <c r="P50" s="48">
        <f>O50*(Q50-R50-S50)</f>
        <v>309100</v>
      </c>
      <c r="Q50" s="47">
        <v>1150</v>
      </c>
      <c r="R50" s="397">
        <v>0</v>
      </c>
      <c r="S50" s="397">
        <v>26</v>
      </c>
      <c r="T50" s="37">
        <f>E50*M50*O50*Q50/100000000</f>
        <v>43.721562499999997</v>
      </c>
      <c r="U50" s="37">
        <f>E50*M50*O50*(Q50-R50-S50)/100000000</f>
        <v>42.733074999999999</v>
      </c>
      <c r="V50" s="37">
        <f>E50*G50*(1-N50)*O50/100*(R50+S50)/1000000</f>
        <v>0.95318437499999997</v>
      </c>
      <c r="W50" s="37">
        <f>+'11'!K13/1000</f>
        <v>50.204999999999998</v>
      </c>
      <c r="X50" s="394">
        <f>SUM(W50:W53)/SUM(K50:K53)</f>
        <v>0.97475648960176264</v>
      </c>
      <c r="Y50" s="37">
        <v>0</v>
      </c>
      <c r="Z50" s="37">
        <v>0</v>
      </c>
      <c r="AA50" s="49">
        <f>SUM(U50:U53)-SUM(W50:W53)-SUM(Z50:Z53)-SUM(Y50:Y53)</f>
        <v>-0.48605828000000173</v>
      </c>
      <c r="AB50" s="49">
        <f>(SUM(K50:K53)-SUM(W50:W53)-SUM(Y50:Y53)-SUM(Z50:Z53)-SUM(AC50:AC53)-SUM(V50:V53))-AA50</f>
        <v>4.676559700000027E-2</v>
      </c>
      <c r="AC50" s="37">
        <f>K50-T50</f>
        <v>0.55343750000000114</v>
      </c>
      <c r="AD50" s="37">
        <f>+AM50+BA50</f>
        <v>0</v>
      </c>
      <c r="AE50" s="230" t="s">
        <v>404</v>
      </c>
      <c r="AF50" s="37">
        <v>0</v>
      </c>
      <c r="AG50" s="37"/>
      <c r="AH50" s="37"/>
      <c r="AI50" s="474"/>
      <c r="AJ50" s="37"/>
      <c r="AK50" s="37"/>
      <c r="AL50" s="37"/>
      <c r="AM50" s="37">
        <f>SUM(AF50:AL50)+AT50+AV50+AX50</f>
        <v>0</v>
      </c>
      <c r="AN50" s="37"/>
      <c r="AO50" s="37"/>
      <c r="AP50" s="37"/>
      <c r="AQ50" s="37"/>
      <c r="AR50" s="37">
        <f>SUM(AN50:AQ50)</f>
        <v>0</v>
      </c>
      <c r="AS50" s="37"/>
      <c r="AT50" s="37"/>
      <c r="AU50" s="37"/>
      <c r="AV50" s="37"/>
      <c r="AW50" s="37"/>
      <c r="AX50" s="37"/>
      <c r="AY50" s="37"/>
      <c r="AZ50" s="37"/>
      <c r="BA50" s="37">
        <f>+AR50+AS50+AU50+AW50+AY50+AZ50</f>
        <v>0</v>
      </c>
      <c r="BB50" s="33">
        <v>4</v>
      </c>
      <c r="BC50" s="51"/>
      <c r="BD50" s="51"/>
      <c r="BE50" s="33"/>
      <c r="BF50" s="51"/>
    </row>
    <row r="51" spans="1:58" ht="12.95" customHeight="1">
      <c r="A51" s="40"/>
      <c r="B51" s="41" t="s">
        <v>416</v>
      </c>
      <c r="C51" s="428">
        <f>(M51*E51*O51*Q51)/100000000</f>
        <v>10.670004799999999</v>
      </c>
      <c r="D51" s="41" t="s">
        <v>297</v>
      </c>
      <c r="E51" s="42">
        <v>14</v>
      </c>
      <c r="F51" s="42">
        <v>1</v>
      </c>
      <c r="G51" s="472">
        <v>1255</v>
      </c>
      <c r="H51" s="489">
        <v>0.24</v>
      </c>
      <c r="I51" s="45">
        <v>0.88</v>
      </c>
      <c r="J51" s="86">
        <f>E51*G51*(1-H51)*1440/1000000*2.87</f>
        <v>55.186104960000009</v>
      </c>
      <c r="K51" s="86">
        <f>(IF(G51&lt;L51,L51,G51)*(1-IF(H51&lt;N51,H51,N51))*E51*O51*Q51)/100000000</f>
        <v>10.670004799999999</v>
      </c>
      <c r="L51" s="35">
        <v>1300</v>
      </c>
      <c r="M51" s="35">
        <f>+L51-L51*0.24</f>
        <v>988</v>
      </c>
      <c r="N51" s="46">
        <f>1-(M51/L51)</f>
        <v>0.24</v>
      </c>
      <c r="O51" s="47">
        <f>+'Trim Rwd'!H43</f>
        <v>266</v>
      </c>
      <c r="P51" s="48">
        <f>O51*(Q51-R51-S51)</f>
        <v>74746</v>
      </c>
      <c r="Q51" s="47">
        <v>290</v>
      </c>
      <c r="R51" s="397">
        <v>0</v>
      </c>
      <c r="S51" s="397">
        <v>9</v>
      </c>
      <c r="T51" s="37">
        <f>E51*M51*O51*Q51/100000000</f>
        <v>10.670004799999999</v>
      </c>
      <c r="U51" s="37">
        <f>E51*M51*O51*(Q51-R51-S51)/100000000</f>
        <v>10.33886672</v>
      </c>
      <c r="V51" s="37">
        <f>E51*G51*(1-N51)*O51/100*(R51+S51)/1000000</f>
        <v>0.319675608</v>
      </c>
      <c r="W51" s="37">
        <f>+'11'!K14/1000</f>
        <v>3.3530000000000002</v>
      </c>
      <c r="X51" s="394"/>
      <c r="Y51" s="213"/>
      <c r="Z51" s="37"/>
      <c r="AA51" s="37"/>
      <c r="AB51" s="37"/>
      <c r="AC51" s="37">
        <f>K51-T51</f>
        <v>0</v>
      </c>
      <c r="AD51" s="37">
        <f>+AM51+BA51</f>
        <v>9</v>
      </c>
      <c r="AE51" s="230" t="s">
        <v>396</v>
      </c>
      <c r="AF51" s="37"/>
      <c r="AG51" s="37">
        <v>9</v>
      </c>
      <c r="AH51" s="37"/>
      <c r="AI51" s="474"/>
      <c r="AJ51" s="37"/>
      <c r="AK51" s="37"/>
      <c r="AL51" s="37"/>
      <c r="AM51" s="37">
        <f>SUM(AF51:AL51)+AT51+AV51+AX51</f>
        <v>9</v>
      </c>
      <c r="AN51" s="87"/>
      <c r="AO51" s="37"/>
      <c r="AP51" s="37"/>
      <c r="AQ51" s="37"/>
      <c r="AR51" s="37">
        <f>SUM(AN51:AQ51)</f>
        <v>0</v>
      </c>
      <c r="AS51" s="37"/>
      <c r="AT51" s="37"/>
      <c r="AU51" s="37"/>
      <c r="AV51" s="37"/>
      <c r="AW51" s="37"/>
      <c r="AX51" s="37"/>
      <c r="AY51" s="37"/>
      <c r="AZ51" s="37"/>
      <c r="BA51" s="37">
        <f>+AR51+AS51+AU51+AW51+AY51+AZ51</f>
        <v>0</v>
      </c>
      <c r="BB51" s="50"/>
      <c r="BC51" s="51">
        <v>25</v>
      </c>
      <c r="BD51" s="51"/>
      <c r="BE51" s="50"/>
      <c r="BF51" s="51"/>
    </row>
    <row r="52" spans="1:58" ht="12.95" customHeight="1">
      <c r="A52" s="40"/>
      <c r="B52" s="41"/>
      <c r="C52" s="428"/>
      <c r="D52" s="41"/>
      <c r="E52" s="42"/>
      <c r="F52" s="42"/>
      <c r="G52" s="472"/>
      <c r="H52" s="44"/>
      <c r="I52" s="45"/>
      <c r="J52" s="86"/>
      <c r="K52" s="86"/>
      <c r="L52" s="35"/>
      <c r="M52" s="35"/>
      <c r="N52" s="46"/>
      <c r="O52" s="47"/>
      <c r="P52" s="48"/>
      <c r="Q52" s="47"/>
      <c r="R52" s="397"/>
      <c r="S52" s="397"/>
      <c r="T52" s="37"/>
      <c r="U52" s="37"/>
      <c r="V52" s="37"/>
      <c r="W52" s="37"/>
      <c r="X52" s="394"/>
      <c r="Y52" s="213"/>
      <c r="Z52" s="37"/>
      <c r="AA52" s="37"/>
      <c r="AB52" s="37"/>
      <c r="AC52" s="37"/>
      <c r="AD52" s="37">
        <f>+AM52+BA52</f>
        <v>26</v>
      </c>
      <c r="AE52" s="230" t="s">
        <v>618</v>
      </c>
      <c r="AF52" s="33"/>
      <c r="AG52" s="33"/>
      <c r="AH52" s="33">
        <v>26</v>
      </c>
      <c r="AJ52" s="37"/>
      <c r="AK52" s="37"/>
      <c r="AL52" s="37"/>
      <c r="AM52" s="37">
        <f>SUM(AF52:AL52)+AT52+AV52+AX52</f>
        <v>26</v>
      </c>
      <c r="AN52" s="37"/>
      <c r="AO52" s="37"/>
      <c r="AP52" s="37"/>
      <c r="AQ52" s="37"/>
      <c r="AR52" s="37">
        <f>SUM(AN52:AQ52)</f>
        <v>0</v>
      </c>
      <c r="AS52" s="37"/>
      <c r="AT52" s="37"/>
      <c r="AU52" s="37"/>
      <c r="AV52" s="37"/>
      <c r="AW52" s="37"/>
      <c r="AX52" s="37"/>
      <c r="AY52" s="37"/>
      <c r="AZ52" s="37"/>
      <c r="BA52" s="37">
        <f>+AR52+AS52+AU52+AW52+AY52+AZ52</f>
        <v>0</v>
      </c>
      <c r="BB52" s="33"/>
      <c r="BC52" s="53"/>
      <c r="BD52" s="53"/>
      <c r="BE52" s="33"/>
      <c r="BF52" s="53"/>
    </row>
    <row r="53" spans="1:58" ht="12.95" customHeight="1">
      <c r="A53" s="40"/>
      <c r="B53" s="41"/>
      <c r="C53" s="428"/>
      <c r="D53" s="41"/>
      <c r="E53" s="42"/>
      <c r="F53" s="42"/>
      <c r="G53" s="472"/>
      <c r="H53" s="44"/>
      <c r="I53" s="45"/>
      <c r="J53" s="86"/>
      <c r="K53" s="86"/>
      <c r="L53" s="35"/>
      <c r="M53" s="35"/>
      <c r="N53" s="46"/>
      <c r="O53" s="47"/>
      <c r="P53" s="48"/>
      <c r="Q53" s="47"/>
      <c r="R53" s="397"/>
      <c r="S53" s="397"/>
      <c r="T53" s="37"/>
      <c r="U53" s="37"/>
      <c r="V53" s="37"/>
      <c r="W53" s="37"/>
      <c r="X53" s="394"/>
      <c r="Y53" s="213"/>
      <c r="Z53" s="37"/>
      <c r="AA53" s="37"/>
      <c r="AB53" s="37"/>
      <c r="AC53" s="37"/>
      <c r="AD53" s="37"/>
      <c r="AE53" s="230"/>
      <c r="AF53" s="37"/>
      <c r="AG53" s="37"/>
      <c r="AH53" s="37"/>
      <c r="AI53" s="474"/>
      <c r="AJ53" s="37"/>
      <c r="AK53" s="37"/>
      <c r="AL53" s="37"/>
      <c r="AM53" s="37"/>
      <c r="AN53" s="8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50"/>
      <c r="BC53" s="51"/>
      <c r="BD53" s="53"/>
      <c r="BE53" s="33"/>
      <c r="BF53" s="53"/>
    </row>
    <row r="54" spans="1:58" ht="12.95" customHeight="1">
      <c r="A54" s="40">
        <v>45942</v>
      </c>
      <c r="B54" s="41" t="s">
        <v>416</v>
      </c>
      <c r="C54" s="428">
        <f>(M54*E54*O54*Q54)/100000000</f>
        <v>17.660697599999999</v>
      </c>
      <c r="D54" s="41" t="s">
        <v>297</v>
      </c>
      <c r="E54" s="42">
        <v>14</v>
      </c>
      <c r="F54" s="42">
        <v>1</v>
      </c>
      <c r="G54" s="472">
        <v>1255</v>
      </c>
      <c r="H54" s="489">
        <v>0.24</v>
      </c>
      <c r="I54" s="45">
        <v>0.88</v>
      </c>
      <c r="J54" s="86">
        <f>E54*G54*(1-H54)*1440/1000000*2.87</f>
        <v>55.186104960000009</v>
      </c>
      <c r="K54" s="86">
        <f>(IF(G54&lt;L54,L54,G54)*(1-IF(H54&lt;N54,H54,N54))*E54*O54*Q54)/100000000</f>
        <v>17.660697599999999</v>
      </c>
      <c r="L54" s="35">
        <v>1300</v>
      </c>
      <c r="M54" s="35">
        <f>+L54-L54*0.24</f>
        <v>988</v>
      </c>
      <c r="N54" s="46">
        <f>1-(M54/L54)</f>
        <v>0.24</v>
      </c>
      <c r="O54" s="47">
        <f>+'Trim Rwd'!H45</f>
        <v>266</v>
      </c>
      <c r="P54" s="48">
        <f>O54*(Q54-R54-S54)</f>
        <v>123690</v>
      </c>
      <c r="Q54" s="47">
        <v>480</v>
      </c>
      <c r="R54" s="397">
        <v>0</v>
      </c>
      <c r="S54" s="397">
        <v>15</v>
      </c>
      <c r="T54" s="37">
        <f>E54*M54*O54*Q54/100000000</f>
        <v>17.660697599999999</v>
      </c>
      <c r="U54" s="37">
        <f>E54*M54*O54*(Q54-R54-S54)/100000000</f>
        <v>17.108800800000001</v>
      </c>
      <c r="V54" s="37">
        <f>E54*G54*(1-N54)*O54/100*(R54+S54)/1000000</f>
        <v>0.53279268000000002</v>
      </c>
      <c r="W54" s="37">
        <f>+'12'!K14/1000</f>
        <v>23.04</v>
      </c>
      <c r="X54" s="394">
        <f>SUM(W54:W57)/SUM(K54:K57)</f>
        <v>0.91862460150190139</v>
      </c>
      <c r="Y54" s="37">
        <v>0</v>
      </c>
      <c r="Z54" s="37">
        <v>0</v>
      </c>
      <c r="AA54" s="49">
        <f>SUM(U54:U57)-SUM(W54:W57)-SUM(Z54:Z57)-SUM(Y54:Y57)</f>
        <v>1.3124287999999993</v>
      </c>
      <c r="AB54" s="49">
        <f>(SUM(K54:K57)-SUM(W54:W57)-SUM(Y54:Y57)-SUM(Z54:Z57)-SUM(AC54:AC57)-SUM(V54:V57))-AA54</f>
        <v>6.1580519999995253E-2</v>
      </c>
      <c r="AC54" s="37">
        <f>K54-T54</f>
        <v>0</v>
      </c>
      <c r="AD54" s="37">
        <f>+AM54+BA54</f>
        <v>15</v>
      </c>
      <c r="AE54" s="230" t="s">
        <v>526</v>
      </c>
      <c r="AF54" s="37">
        <v>15</v>
      </c>
      <c r="AG54" s="37"/>
      <c r="AH54" s="37"/>
      <c r="AI54" s="474"/>
      <c r="AJ54" s="37"/>
      <c r="AK54" s="37"/>
      <c r="AL54" s="37"/>
      <c r="AM54" s="37">
        <f>SUM(AF54:AL54)+AT54+AV54+AX54</f>
        <v>15</v>
      </c>
      <c r="AN54" s="37"/>
      <c r="AO54" s="37"/>
      <c r="AP54" s="37"/>
      <c r="AQ54" s="37"/>
      <c r="AR54" s="37">
        <f>SUM(AN54:AQ54)</f>
        <v>0</v>
      </c>
      <c r="AS54" s="37"/>
      <c r="AT54" s="37"/>
      <c r="AU54" s="37"/>
      <c r="AV54" s="37"/>
      <c r="AW54" s="37"/>
      <c r="AX54" s="37"/>
      <c r="AY54" s="37"/>
      <c r="AZ54" s="37"/>
      <c r="BA54" s="37">
        <f>+AR54+AS54+AU54+AW54+AY54+AZ54</f>
        <v>0</v>
      </c>
      <c r="BB54" s="33">
        <v>3</v>
      </c>
      <c r="BC54" s="51"/>
      <c r="BD54" s="51"/>
      <c r="BE54" s="33"/>
      <c r="BF54" s="51"/>
    </row>
    <row r="55" spans="1:58" ht="12.95" customHeight="1">
      <c r="A55" s="40"/>
      <c r="B55" s="41" t="s">
        <v>416</v>
      </c>
      <c r="C55" s="428">
        <f>(M55*E55*O55*Q55)/100000000</f>
        <v>22.087727999999998</v>
      </c>
      <c r="D55" s="41" t="s">
        <v>297</v>
      </c>
      <c r="E55" s="42">
        <v>15</v>
      </c>
      <c r="F55" s="42">
        <v>1</v>
      </c>
      <c r="G55" s="472">
        <v>1255</v>
      </c>
      <c r="H55" s="489">
        <v>0.24</v>
      </c>
      <c r="I55" s="45">
        <v>0.88</v>
      </c>
      <c r="J55" s="86">
        <f>E55*G55*(1-H55)*1440/1000000*2.87</f>
        <v>59.127969600000007</v>
      </c>
      <c r="K55" s="86">
        <f>(IF(G55&lt;L55,L55,G55)*(1-IF(H55&lt;N55,H55,N55))*E55*O55*Q55)/100000000</f>
        <v>22.087727999999998</v>
      </c>
      <c r="L55" s="35">
        <v>1300</v>
      </c>
      <c r="M55" s="35">
        <f>+L55-L55*0.24</f>
        <v>988</v>
      </c>
      <c r="N55" s="46">
        <f>1-(M55/L55)</f>
        <v>0.24</v>
      </c>
      <c r="O55" s="47">
        <f>+'Trim Rwd'!H47</f>
        <v>276</v>
      </c>
      <c r="P55" s="48">
        <f>O55*(Q55-R55-S55)</f>
        <v>140760</v>
      </c>
      <c r="Q55" s="47">
        <f>480+60</f>
        <v>540</v>
      </c>
      <c r="R55" s="397">
        <v>0</v>
      </c>
      <c r="S55" s="397">
        <v>30</v>
      </c>
      <c r="T55" s="37">
        <f>E55*M55*O55*Q55/100000000</f>
        <v>22.087727999999998</v>
      </c>
      <c r="U55" s="37">
        <f>E55*M55*O55*(Q55-R55-S55)/100000000</f>
        <v>20.860631999999999</v>
      </c>
      <c r="V55" s="37">
        <f>E55*G55*(1-N55)*O55/100*(R55+S55)/1000000</f>
        <v>1.1846196</v>
      </c>
      <c r="W55" s="37">
        <f>+'12'!K15/1000</f>
        <v>20.471</v>
      </c>
      <c r="X55" s="394"/>
      <c r="Y55" s="213"/>
      <c r="Z55" s="37"/>
      <c r="AA55" s="37"/>
      <c r="AB55" s="37"/>
      <c r="AC55" s="37">
        <f>K55-T55</f>
        <v>0</v>
      </c>
      <c r="AD55" s="37">
        <f>+AM55+BA55</f>
        <v>8</v>
      </c>
      <c r="AE55" s="230" t="s">
        <v>599</v>
      </c>
      <c r="AF55" s="37"/>
      <c r="AG55" s="37">
        <v>8</v>
      </c>
      <c r="AH55" s="37"/>
      <c r="AI55" s="474"/>
      <c r="AJ55" s="37"/>
      <c r="AK55" s="37"/>
      <c r="AL55" s="37"/>
      <c r="AM55" s="37">
        <f>SUM(AF55:AL55)+AT55+AV55+AX55</f>
        <v>8</v>
      </c>
      <c r="AN55" s="87"/>
      <c r="AO55" s="37"/>
      <c r="AP55" s="37"/>
      <c r="AQ55" s="37"/>
      <c r="AR55" s="37">
        <f>SUM(AN55:AQ55)</f>
        <v>0</v>
      </c>
      <c r="AS55" s="37"/>
      <c r="AT55" s="37"/>
      <c r="AU55" s="37"/>
      <c r="AV55" s="37"/>
      <c r="AW55" s="37"/>
      <c r="AX55" s="37"/>
      <c r="AY55" s="37"/>
      <c r="AZ55" s="37"/>
      <c r="BA55" s="37">
        <f>+AR55+AS55+AU55+AW55+AY55+AZ55</f>
        <v>0</v>
      </c>
      <c r="BB55" s="50"/>
      <c r="BC55" s="51">
        <v>2</v>
      </c>
      <c r="BD55" s="51"/>
      <c r="BE55" s="50"/>
      <c r="BF55" s="51"/>
    </row>
    <row r="56" spans="1:58" ht="12.95" customHeight="1">
      <c r="A56" s="40"/>
      <c r="B56" s="41" t="s">
        <v>416</v>
      </c>
      <c r="C56" s="428">
        <f>(M56*E56*O56*Q56)/100000000</f>
        <v>15.41736</v>
      </c>
      <c r="D56" s="41" t="s">
        <v>297</v>
      </c>
      <c r="E56" s="42">
        <v>12.5</v>
      </c>
      <c r="F56" s="42">
        <v>1</v>
      </c>
      <c r="G56" s="472">
        <v>1400</v>
      </c>
      <c r="H56" s="489">
        <v>0.23</v>
      </c>
      <c r="I56" s="45">
        <v>0.88</v>
      </c>
      <c r="J56" s="86">
        <f>E56*G56*(1-H56)*1440/1000000*2.87</f>
        <v>55.689480000000003</v>
      </c>
      <c r="K56" s="86">
        <f>(IF(G56&lt;L56,L56,G56)*(1-IF(H56&lt;N56,H56,N56))*E56*O56*Q56)/100000000</f>
        <v>15.62022</v>
      </c>
      <c r="L56" s="35">
        <v>1400</v>
      </c>
      <c r="M56" s="35">
        <f>+L56-L56*0.24</f>
        <v>1064</v>
      </c>
      <c r="N56" s="46">
        <f>1-(M56/L56)</f>
        <v>0.24</v>
      </c>
      <c r="O56" s="47">
        <f>+'Trim Rwd'!H48</f>
        <v>276</v>
      </c>
      <c r="P56" s="48">
        <f>O56*(Q56-R56-S56)</f>
        <v>106812</v>
      </c>
      <c r="Q56" s="47">
        <v>420</v>
      </c>
      <c r="R56" s="397">
        <v>0</v>
      </c>
      <c r="S56" s="397">
        <v>33</v>
      </c>
      <c r="T56" s="37">
        <f>E56*M56*O56*Q56/100000000</f>
        <v>15.41736</v>
      </c>
      <c r="U56" s="37">
        <f>E56*M56*O56*(Q56-R56-S56)/100000000</f>
        <v>14.205996000000001</v>
      </c>
      <c r="V56" s="37">
        <f>E56*G56*(1-N56)*O56/100*(R56+S56)/1000000</f>
        <v>1.2113640000000001</v>
      </c>
      <c r="W56" s="37">
        <f>+'12'!K13/1000</f>
        <v>7.3520000000000003</v>
      </c>
      <c r="X56" s="394"/>
      <c r="Y56" s="213"/>
      <c r="Z56" s="37"/>
      <c r="AA56" s="37"/>
      <c r="AB56" s="37"/>
      <c r="AC56" s="37">
        <f>K56-T56</f>
        <v>0.20285999999999937</v>
      </c>
      <c r="AD56" s="37">
        <f>+AM56+BA56</f>
        <v>30</v>
      </c>
      <c r="AE56" s="230" t="s">
        <v>494</v>
      </c>
      <c r="AF56" s="33"/>
      <c r="AG56" s="33"/>
      <c r="AH56" s="33">
        <v>30</v>
      </c>
      <c r="AJ56" s="37"/>
      <c r="AK56" s="37"/>
      <c r="AL56" s="37"/>
      <c r="AM56" s="37">
        <f>SUM(AF56:AL56)+AT56+AV56+AX56</f>
        <v>30</v>
      </c>
      <c r="AN56" s="37"/>
      <c r="AO56" s="37"/>
      <c r="AP56" s="37"/>
      <c r="AQ56" s="37"/>
      <c r="AR56" s="37">
        <f>SUM(AN56:AQ56)</f>
        <v>0</v>
      </c>
      <c r="AS56" s="37"/>
      <c r="AT56" s="37"/>
      <c r="AU56" s="37"/>
      <c r="AV56" s="37"/>
      <c r="AW56" s="37"/>
      <c r="AX56" s="37"/>
      <c r="AY56" s="37"/>
      <c r="AZ56" s="37"/>
      <c r="BA56" s="37">
        <f>+AR56+AS56+AU56+AW56+AY56+AZ56</f>
        <v>0</v>
      </c>
      <c r="BB56" s="33"/>
      <c r="BC56" s="53"/>
      <c r="BD56" s="53"/>
      <c r="BE56" s="33"/>
      <c r="BF56" s="53"/>
    </row>
    <row r="57" spans="1:58" ht="12.95" customHeight="1">
      <c r="A57" s="40"/>
      <c r="B57" s="41"/>
      <c r="C57" s="428"/>
      <c r="D57" s="41"/>
      <c r="E57" s="42"/>
      <c r="F57" s="42"/>
      <c r="G57" s="472"/>
      <c r="H57" s="542"/>
      <c r="I57" s="45"/>
      <c r="J57" s="86"/>
      <c r="K57" s="86"/>
      <c r="L57" s="35"/>
      <c r="M57" s="35"/>
      <c r="N57" s="46"/>
      <c r="O57" s="47"/>
      <c r="P57" s="48"/>
      <c r="Q57" s="47"/>
      <c r="R57" s="397"/>
      <c r="S57" s="397"/>
      <c r="T57" s="37"/>
      <c r="U57" s="37"/>
      <c r="V57" s="37"/>
      <c r="W57" s="37"/>
      <c r="X57" s="394"/>
      <c r="Y57" s="213"/>
      <c r="Z57" s="37"/>
      <c r="AA57" s="37"/>
      <c r="AB57" s="37"/>
      <c r="AC57" s="37"/>
      <c r="AD57" s="37">
        <f>+AM57+BA57</f>
        <v>25</v>
      </c>
      <c r="AE57" s="230" t="s">
        <v>607</v>
      </c>
      <c r="AF57" s="37"/>
      <c r="AG57" s="37"/>
      <c r="AH57" s="37"/>
      <c r="AI57" s="474"/>
      <c r="AJ57" s="37">
        <v>25</v>
      </c>
      <c r="AK57" s="37"/>
      <c r="AL57" s="37"/>
      <c r="AM57" s="37">
        <f>SUM(AF57:AL57)+AT57+AV57+AX57</f>
        <v>25</v>
      </c>
      <c r="AN57" s="37"/>
      <c r="AO57" s="37"/>
      <c r="AP57" s="37"/>
      <c r="AQ57" s="37"/>
      <c r="AR57" s="37">
        <f>SUM(AN57:AQ57)</f>
        <v>0</v>
      </c>
      <c r="AS57" s="37"/>
      <c r="AT57" s="37"/>
      <c r="AU57" s="37"/>
      <c r="AV57" s="37"/>
      <c r="AW57" s="37"/>
      <c r="AX57" s="37"/>
      <c r="AY57" s="37"/>
      <c r="AZ57" s="37"/>
      <c r="BA57" s="37">
        <f>+AR57+AS57+AU57+AW57+AY57+AZ57</f>
        <v>0</v>
      </c>
      <c r="BB57" s="33"/>
      <c r="BC57" s="53"/>
      <c r="BD57" s="53"/>
      <c r="BE57" s="33"/>
      <c r="BF57" s="53"/>
    </row>
    <row r="58" spans="1:58" ht="12.95" customHeight="1">
      <c r="A58" s="40"/>
      <c r="B58" s="41"/>
      <c r="C58" s="428"/>
      <c r="D58" s="41"/>
      <c r="E58" s="42"/>
      <c r="F58" s="42"/>
      <c r="G58" s="43"/>
      <c r="H58" s="542"/>
      <c r="I58" s="45"/>
      <c r="J58" s="86"/>
      <c r="K58" s="86"/>
      <c r="L58" s="35"/>
      <c r="M58" s="35"/>
      <c r="N58" s="46"/>
      <c r="O58" s="47"/>
      <c r="P58" s="48"/>
      <c r="Q58" s="47"/>
      <c r="R58" s="397"/>
      <c r="S58" s="397"/>
      <c r="T58" s="37"/>
      <c r="U58" s="37"/>
      <c r="V58" s="37"/>
      <c r="W58" s="37"/>
      <c r="X58" s="394"/>
      <c r="Y58" s="213"/>
      <c r="Z58" s="37"/>
      <c r="AA58" s="37"/>
      <c r="AB58" s="37"/>
      <c r="AC58" s="37"/>
      <c r="AD58" s="37"/>
      <c r="AE58" s="233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3"/>
      <c r="BC58" s="51"/>
      <c r="BD58" s="51"/>
      <c r="BE58" s="51"/>
      <c r="BF58" s="51"/>
    </row>
    <row r="59" spans="1:58" ht="12.95" customHeight="1">
      <c r="A59" s="40">
        <v>45943</v>
      </c>
      <c r="B59" s="41" t="s">
        <v>416</v>
      </c>
      <c r="C59" s="428">
        <f>(M59*E59*O59*Q59)/100000000</f>
        <v>30.765656727272724</v>
      </c>
      <c r="D59" s="41" t="s">
        <v>297</v>
      </c>
      <c r="E59" s="42">
        <v>12.5</v>
      </c>
      <c r="F59" s="42">
        <v>1</v>
      </c>
      <c r="G59" s="472">
        <v>1400</v>
      </c>
      <c r="H59" s="489">
        <v>0.23</v>
      </c>
      <c r="I59" s="45">
        <v>0.88</v>
      </c>
      <c r="J59" s="86">
        <f>E59*G59*(1-H59)*1440/1000000*2.87</f>
        <v>55.689480000000003</v>
      </c>
      <c r="K59" s="86">
        <f>(IF(G59&lt;L59,L59,G59)*(1-IF(H59&lt;N59,H59,N59))*E59*O59*Q59)/100000000</f>
        <v>31.170468</v>
      </c>
      <c r="L59" s="35">
        <v>1400</v>
      </c>
      <c r="M59" s="35">
        <f>+L59-L59*0.24</f>
        <v>1064</v>
      </c>
      <c r="N59" s="46">
        <f>1-(M59/L59)</f>
        <v>0.24</v>
      </c>
      <c r="O59" s="47">
        <f>+'Trim Rwd'!H50</f>
        <v>275.38181818181818</v>
      </c>
      <c r="P59" s="48">
        <f>O59*(Q59-R59-S59)</f>
        <v>224436.18181818182</v>
      </c>
      <c r="Q59" s="47">
        <v>840</v>
      </c>
      <c r="R59" s="397">
        <v>0</v>
      </c>
      <c r="S59" s="397">
        <v>25</v>
      </c>
      <c r="T59" s="37">
        <f>E59*M59*O59*Q59/100000000</f>
        <v>30.765656727272724</v>
      </c>
      <c r="U59" s="37">
        <f>E59*M59*O59*(Q59-R59-S59)/100000000</f>
        <v>29.85001218181818</v>
      </c>
      <c r="V59" s="37">
        <f>E59*G59*(1-N59)*O59/100*(R59+S59)/1000000</f>
        <v>0.91564454545454543</v>
      </c>
      <c r="W59" s="37">
        <f>+'13'!K13/1000</f>
        <v>34.926000000000002</v>
      </c>
      <c r="X59" s="394">
        <f>SUM(W59:W62)/SUM(K59:K62)</f>
        <v>0.88299529872078708</v>
      </c>
      <c r="Y59" s="37">
        <v>0</v>
      </c>
      <c r="Z59" s="37">
        <f>+'13'!D34/1000</f>
        <v>0.66</v>
      </c>
      <c r="AA59" s="49">
        <f>SUM(U59:U62)-SUM(W59:W62)-SUM(Z59:Z62)-SUM(Y59:Y62)</f>
        <v>3.2356547418181769</v>
      </c>
      <c r="AB59" s="49">
        <f>(SUM(K59:K62)-SUM(W59:W62)-SUM(Y59:Y62)-SUM(Z59:Z62)-SUM(AC59:AC62)-SUM(V59:V62))-AA59</f>
        <v>2.5472159999964106E-3</v>
      </c>
      <c r="AC59" s="37">
        <f>K59-T59</f>
        <v>0.40481127272727591</v>
      </c>
      <c r="AD59" s="37">
        <f>+AM59+BA59</f>
        <v>5</v>
      </c>
      <c r="AE59" s="230" t="s">
        <v>522</v>
      </c>
      <c r="AF59" s="37">
        <v>5</v>
      </c>
      <c r="AG59" s="37"/>
      <c r="AH59" s="37"/>
      <c r="AI59" s="474"/>
      <c r="AJ59" s="37"/>
      <c r="AK59" s="37"/>
      <c r="AL59" s="37"/>
      <c r="AM59" s="37">
        <f>SUM(AF59:AL59)+AT59+AV59+AX59</f>
        <v>5</v>
      </c>
      <c r="AN59" s="37"/>
      <c r="AO59" s="37"/>
      <c r="AP59" s="37"/>
      <c r="AQ59" s="37"/>
      <c r="AR59" s="37">
        <f>SUM(AN59:AQ59)</f>
        <v>0</v>
      </c>
      <c r="AS59" s="37"/>
      <c r="AT59" s="37"/>
      <c r="AU59" s="37"/>
      <c r="AV59" s="37"/>
      <c r="AW59" s="37"/>
      <c r="AX59" s="37"/>
      <c r="AY59" s="37"/>
      <c r="AZ59" s="37"/>
      <c r="BA59" s="37">
        <f>+AR59+AS59+AU59+AW59+AY59+AZ59</f>
        <v>0</v>
      </c>
      <c r="BB59" s="33">
        <v>1</v>
      </c>
      <c r="BC59" s="51"/>
      <c r="BD59" s="51"/>
      <c r="BE59" s="33"/>
      <c r="BF59" s="51"/>
    </row>
    <row r="60" spans="1:58" ht="12.95" customHeight="1">
      <c r="A60" s="40"/>
      <c r="B60" s="41" t="s">
        <v>416</v>
      </c>
      <c r="C60" s="428">
        <f>(M60*E60*O60*Q60)/100000000</f>
        <v>14.8006656</v>
      </c>
      <c r="D60" s="41" t="s">
        <v>297</v>
      </c>
      <c r="E60" s="42">
        <v>12</v>
      </c>
      <c r="F60" s="42">
        <v>1</v>
      </c>
      <c r="G60" s="472">
        <v>1400</v>
      </c>
      <c r="H60" s="489">
        <v>0.2</v>
      </c>
      <c r="I60" s="45">
        <v>0.88</v>
      </c>
      <c r="J60" s="86">
        <f>E60*G60*(1-H60)*1440/1000000*2.87</f>
        <v>55.544832</v>
      </c>
      <c r="K60" s="86">
        <f>(IF(G60&lt;L60,L60,G60)*(1-IF(H60&lt;N60,H60,N60))*E60*O60*Q60)/100000000</f>
        <v>15.579648000000001</v>
      </c>
      <c r="L60" s="35">
        <v>1400</v>
      </c>
      <c r="M60" s="35">
        <f>+L60-L60*0.24</f>
        <v>1064</v>
      </c>
      <c r="N60" s="46">
        <f>1-(M60/L60)</f>
        <v>0.24</v>
      </c>
      <c r="O60" s="47">
        <f>+'Trim Rwd'!H52</f>
        <v>276</v>
      </c>
      <c r="P60" s="48">
        <f>O60*(Q60-R60-S60)</f>
        <v>114540</v>
      </c>
      <c r="Q60" s="47">
        <v>420</v>
      </c>
      <c r="R60" s="397">
        <v>0</v>
      </c>
      <c r="S60" s="397">
        <v>5</v>
      </c>
      <c r="T60" s="37">
        <f>E60*M60*O60*Q60/100000000</f>
        <v>14.8006656</v>
      </c>
      <c r="U60" s="37">
        <f>E60*M60*O60*(Q60-R60-S60)/100000000</f>
        <v>14.6244672</v>
      </c>
      <c r="V60" s="37">
        <f>E60*G60*(1-N60)*O60/100*(R60+S60)/1000000</f>
        <v>0.17619840000000001</v>
      </c>
      <c r="W60" s="37">
        <f>+'13'!K10/1000</f>
        <v>12.202</v>
      </c>
      <c r="X60" s="394"/>
      <c r="Y60" s="213"/>
      <c r="Z60" s="37"/>
      <c r="AA60" s="37"/>
      <c r="AB60" s="37"/>
      <c r="AC60" s="37">
        <f>K60-T60</f>
        <v>0.7789824000000003</v>
      </c>
      <c r="AD60" s="37">
        <f>+AM60+BA60</f>
        <v>5</v>
      </c>
      <c r="AE60" s="230" t="s">
        <v>513</v>
      </c>
      <c r="AF60" s="37"/>
      <c r="AG60" s="37">
        <v>5</v>
      </c>
      <c r="AH60" s="37"/>
      <c r="AI60" s="474"/>
      <c r="AJ60" s="37"/>
      <c r="AK60" s="37"/>
      <c r="AL60" s="37"/>
      <c r="AM60" s="37">
        <f>SUM(AF60:AL60)+AT60+AV60+AX60</f>
        <v>5</v>
      </c>
      <c r="AN60" s="87"/>
      <c r="AO60" s="37"/>
      <c r="AP60" s="37"/>
      <c r="AQ60" s="37"/>
      <c r="AR60" s="37">
        <f>SUM(AN60:AQ60)</f>
        <v>0</v>
      </c>
      <c r="AS60" s="37"/>
      <c r="AT60" s="37"/>
      <c r="AU60" s="37"/>
      <c r="AV60" s="37"/>
      <c r="AW60" s="37"/>
      <c r="AX60" s="37"/>
      <c r="AY60" s="37"/>
      <c r="AZ60" s="37"/>
      <c r="BA60" s="37">
        <f>+AR60+AS60+AU60+AW60+AY60+AZ60</f>
        <v>0</v>
      </c>
      <c r="BB60" s="50"/>
      <c r="BC60" s="51">
        <v>1</v>
      </c>
      <c r="BD60" s="51"/>
      <c r="BE60" s="50"/>
      <c r="BF60" s="51"/>
    </row>
    <row r="61" spans="1:58" ht="12.95" customHeight="1">
      <c r="A61" s="40"/>
      <c r="B61" s="41" t="s">
        <v>416</v>
      </c>
      <c r="C61" s="428">
        <f>(M61*E61*O61*Q61)/100000000</f>
        <v>6.6227615999999996</v>
      </c>
      <c r="D61" s="41" t="s">
        <v>297</v>
      </c>
      <c r="E61" s="42">
        <v>14</v>
      </c>
      <c r="F61" s="42">
        <v>1</v>
      </c>
      <c r="G61" s="472">
        <v>1255</v>
      </c>
      <c r="H61" s="489">
        <v>0.24</v>
      </c>
      <c r="I61" s="45">
        <v>0.88</v>
      </c>
      <c r="J61" s="86">
        <f>E61*G61*(1-H61)*1440/1000000*2.87</f>
        <v>55.186104960000009</v>
      </c>
      <c r="K61" s="86">
        <f>(IF(G61&lt;L61,L61,G61)*(1-IF(H61&lt;N61,H61,N61))*E61*O61*Q61)/100000000</f>
        <v>6.6227615999999996</v>
      </c>
      <c r="L61" s="35">
        <v>1300</v>
      </c>
      <c r="M61" s="35">
        <f>+L61-L61*0.24</f>
        <v>988</v>
      </c>
      <c r="N61" s="46">
        <f>1-(M61/L61)</f>
        <v>0.24</v>
      </c>
      <c r="O61" s="47">
        <f>+'Trim Rwd'!H53</f>
        <v>266</v>
      </c>
      <c r="P61" s="48">
        <f>O61*(Q61-R61-S61)</f>
        <v>47348</v>
      </c>
      <c r="Q61" s="47">
        <v>180</v>
      </c>
      <c r="R61" s="397">
        <v>0</v>
      </c>
      <c r="S61" s="397">
        <v>2</v>
      </c>
      <c r="T61" s="37">
        <f>E61*M61*O61*Q61/100000000</f>
        <v>6.6227615999999996</v>
      </c>
      <c r="U61" s="37">
        <f>E61*M61*O61*(Q61-R61-S61)/100000000</f>
        <v>6.5491753599999996</v>
      </c>
      <c r="V61" s="37">
        <f>E61*G61*(1-N61)*O61/100*(R61+S61)/1000000</f>
        <v>7.1039024000000006E-2</v>
      </c>
      <c r="W61" s="37">
        <f>+'13'!K14/1000</f>
        <v>0</v>
      </c>
      <c r="X61" s="394"/>
      <c r="Y61" s="213"/>
      <c r="Z61" s="37"/>
      <c r="AA61" s="37"/>
      <c r="AB61" s="37"/>
      <c r="AC61" s="37">
        <f>K61-T61</f>
        <v>0</v>
      </c>
      <c r="AD61" s="37">
        <f>+AM61+BA61</f>
        <v>22</v>
      </c>
      <c r="AE61" s="230" t="s">
        <v>639</v>
      </c>
      <c r="AF61" s="33"/>
      <c r="AG61" s="33"/>
      <c r="AH61" s="33">
        <v>22</v>
      </c>
      <c r="AJ61" s="37"/>
      <c r="AK61" s="37"/>
      <c r="AL61" s="37"/>
      <c r="AM61" s="37">
        <f>SUM(AF61:AL61)+AT61+AV61+AX61</f>
        <v>22</v>
      </c>
      <c r="AN61" s="37"/>
      <c r="AO61" s="37"/>
      <c r="AP61" s="37"/>
      <c r="AQ61" s="37"/>
      <c r="AR61" s="37">
        <f>SUM(AN61:AQ61)</f>
        <v>0</v>
      </c>
      <c r="AS61" s="37"/>
      <c r="AT61" s="37"/>
      <c r="AU61" s="37"/>
      <c r="AV61" s="37"/>
      <c r="AW61" s="37"/>
      <c r="AX61" s="37"/>
      <c r="AY61" s="37"/>
      <c r="AZ61" s="37"/>
      <c r="BA61" s="37">
        <f>+AR61+AS61+AU61+AW61+AY61+AZ61</f>
        <v>0</v>
      </c>
      <c r="BB61" s="33"/>
      <c r="BC61" s="53"/>
      <c r="BD61" s="53"/>
      <c r="BE61" s="33"/>
      <c r="BF61" s="53"/>
    </row>
    <row r="62" spans="1:58" ht="12.95" customHeight="1">
      <c r="A62" s="40"/>
      <c r="B62" s="41"/>
      <c r="C62" s="428"/>
      <c r="D62" s="41"/>
      <c r="E62" s="42"/>
      <c r="F62" s="42"/>
      <c r="G62" s="472"/>
      <c r="H62" s="44"/>
      <c r="I62" s="45"/>
      <c r="J62" s="86"/>
      <c r="K62" s="86"/>
      <c r="L62" s="35"/>
      <c r="M62" s="35"/>
      <c r="N62" s="46"/>
      <c r="O62" s="47"/>
      <c r="P62" s="48"/>
      <c r="Q62" s="47"/>
      <c r="R62" s="397"/>
      <c r="S62" s="397"/>
      <c r="T62" s="37"/>
      <c r="U62" s="37"/>
      <c r="V62" s="37"/>
      <c r="W62" s="37"/>
      <c r="X62" s="394"/>
      <c r="Y62" s="213"/>
      <c r="Z62" s="37"/>
      <c r="AA62" s="37"/>
      <c r="AB62" s="37"/>
      <c r="AC62" s="37"/>
      <c r="AD62" s="37"/>
      <c r="AE62" s="230"/>
      <c r="AF62" s="37"/>
      <c r="AG62" s="37"/>
      <c r="AH62" s="37"/>
      <c r="AI62" s="474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3"/>
      <c r="BC62" s="53"/>
      <c r="BD62" s="53"/>
      <c r="BE62" s="33"/>
      <c r="BF62" s="53"/>
    </row>
    <row r="63" spans="1:58" ht="12.95" customHeight="1">
      <c r="A63" s="40">
        <v>45944</v>
      </c>
      <c r="B63" s="41" t="s">
        <v>416</v>
      </c>
      <c r="C63" s="428">
        <f>(M63*E63*O63*Q63)/100000000</f>
        <v>18.2125944</v>
      </c>
      <c r="D63" s="41" t="s">
        <v>297</v>
      </c>
      <c r="E63" s="42">
        <v>14</v>
      </c>
      <c r="F63" s="42">
        <v>1</v>
      </c>
      <c r="G63" s="472">
        <v>1255</v>
      </c>
      <c r="H63" s="489">
        <v>0.24</v>
      </c>
      <c r="I63" s="45">
        <v>0.88</v>
      </c>
      <c r="J63" s="86">
        <f>E63*G63*(1-H63)*1440/1000000*2.87</f>
        <v>55.186104960000009</v>
      </c>
      <c r="K63" s="86">
        <f>(IF(G63&lt;L63,L63,G63)*(1-IF(H63&lt;N63,H63,N63))*E63*O63*Q63)/100000000</f>
        <v>18.2125944</v>
      </c>
      <c r="L63" s="35">
        <v>1300</v>
      </c>
      <c r="M63" s="35">
        <f>+L63-L63*0.24</f>
        <v>988</v>
      </c>
      <c r="N63" s="46">
        <f>1-(M63/L63)</f>
        <v>0.24</v>
      </c>
      <c r="O63" s="47">
        <f>+'Trim Rwd'!H55</f>
        <v>266</v>
      </c>
      <c r="P63" s="48">
        <f>O63*(Q63-R63-S63)</f>
        <v>129542</v>
      </c>
      <c r="Q63" s="47">
        <v>495</v>
      </c>
      <c r="R63" s="397">
        <v>0</v>
      </c>
      <c r="S63" s="397">
        <v>8</v>
      </c>
      <c r="T63" s="37">
        <f>E63*M63*O63*Q63/100000000</f>
        <v>18.2125944</v>
      </c>
      <c r="U63" s="37">
        <f>E63*M63*O63*(Q63-R63-S63)/100000000</f>
        <v>17.91824944</v>
      </c>
      <c r="V63" s="37">
        <f>E63*G63*(1-N63)*O63/100*(R63+S63)/1000000</f>
        <v>0.28415609600000002</v>
      </c>
      <c r="W63" s="37">
        <f>+'14'!K14/1000</f>
        <v>27.901</v>
      </c>
      <c r="X63" s="394">
        <f>SUM(W63:W66)/SUM(K63:K66)</f>
        <v>0.78521739195970297</v>
      </c>
      <c r="Y63" s="37">
        <v>0</v>
      </c>
      <c r="Z63" s="37">
        <f>+'14'!D34/1000</f>
        <v>1.22</v>
      </c>
      <c r="AA63" s="49">
        <f>SUM(U63:U66)-SUM(W63:W66)-SUM(Z63:Z66)-SUM(Y63:Y66)</f>
        <v>9.6652323566666691</v>
      </c>
      <c r="AB63" s="49">
        <f>(SUM(K63:K66)-SUM(W63:W66)-SUM(Y63:Y66)-SUM(Z63:Z66)-SUM(AC63:AC66)-SUM(V63:V66))-AA63</f>
        <v>2.3063997333332864E-2</v>
      </c>
      <c r="AC63" s="37">
        <f>K63-T63</f>
        <v>0</v>
      </c>
      <c r="AD63" s="37">
        <f>+AM63+BA63</f>
        <v>0</v>
      </c>
      <c r="AE63" s="230" t="s">
        <v>404</v>
      </c>
      <c r="AF63" s="37">
        <v>0</v>
      </c>
      <c r="AG63" s="37"/>
      <c r="AH63" s="37"/>
      <c r="AI63" s="474"/>
      <c r="AJ63" s="37"/>
      <c r="AK63" s="37"/>
      <c r="AL63" s="37"/>
      <c r="AM63" s="37">
        <f>SUM(AF63:AL63)+AT63+AV63+AX63</f>
        <v>0</v>
      </c>
      <c r="AN63" s="37"/>
      <c r="AO63" s="37"/>
      <c r="AP63" s="37"/>
      <c r="AQ63" s="37"/>
      <c r="AR63" s="37">
        <f>SUM(AN63:AQ63)</f>
        <v>0</v>
      </c>
      <c r="AS63" s="37"/>
      <c r="AT63" s="37"/>
      <c r="AU63" s="37"/>
      <c r="AV63" s="37"/>
      <c r="AW63" s="37"/>
      <c r="AX63" s="37"/>
      <c r="AY63" s="37"/>
      <c r="AZ63" s="37"/>
      <c r="BA63" s="37">
        <f>+AR63+AS63+AU63+AW63+AY63+AZ63</f>
        <v>0</v>
      </c>
      <c r="BB63" s="33">
        <v>0</v>
      </c>
      <c r="BC63" s="51"/>
      <c r="BD63" s="51"/>
      <c r="BE63" s="33"/>
      <c r="BF63" s="51"/>
    </row>
    <row r="64" spans="1:58" ht="12.95" customHeight="1">
      <c r="A64" s="40"/>
      <c r="B64" s="41" t="s">
        <v>416</v>
      </c>
      <c r="C64" s="428">
        <f>(M64*E64*O64*Q64)/100000000</f>
        <v>35.59161375</v>
      </c>
      <c r="D64" s="41" t="s">
        <v>297</v>
      </c>
      <c r="E64" s="42">
        <v>15</v>
      </c>
      <c r="F64" s="42">
        <v>1</v>
      </c>
      <c r="G64" s="472">
        <v>1160</v>
      </c>
      <c r="H64" s="489">
        <f>+N64</f>
        <v>0.23000000000000009</v>
      </c>
      <c r="I64" s="45">
        <v>0.88</v>
      </c>
      <c r="J64" s="86">
        <f>E64*G64*(1-H64)*1440/1000000*2.87</f>
        <v>55.371254399999984</v>
      </c>
      <c r="K64" s="86">
        <f>(IF(G64&lt;L64,L64,G64)*(1-IF(H64&lt;N64,H64,N64))*E64*O64*Q64)/100000000</f>
        <v>35.59161375</v>
      </c>
      <c r="L64" s="35">
        <v>1201.0582010582011</v>
      </c>
      <c r="M64" s="35">
        <v>924.81481481481478</v>
      </c>
      <c r="N64" s="46">
        <f>1-(M64/L64)</f>
        <v>0.23000000000000009</v>
      </c>
      <c r="O64" s="47">
        <f>+'Trim Rwd'!H56</f>
        <v>271.5</v>
      </c>
      <c r="P64" s="48">
        <f>O64*(Q64-R64-S64)</f>
        <v>253852.5</v>
      </c>
      <c r="Q64" s="47">
        <v>945</v>
      </c>
      <c r="R64" s="397">
        <v>0</v>
      </c>
      <c r="S64" s="397">
        <v>10</v>
      </c>
      <c r="T64" s="37">
        <f>E64*M64*O64*Q64/100000000</f>
        <v>35.59161375</v>
      </c>
      <c r="U64" s="37">
        <f>E64*M64*O64*(Q64-R64-S64)/100000000</f>
        <v>35.214982916666671</v>
      </c>
      <c r="V64" s="37">
        <f>E64*G64*(1-N64)*O64/100*(R64+S64)/1000000</f>
        <v>0.36375569999999996</v>
      </c>
      <c r="W64" s="37">
        <f>+'14'!K15/1000</f>
        <v>13.813000000000001</v>
      </c>
      <c r="X64" s="394"/>
      <c r="Y64" s="213"/>
      <c r="Z64" s="37"/>
      <c r="AA64" s="37"/>
      <c r="AB64" s="37"/>
      <c r="AC64" s="37">
        <f>K64-T64</f>
        <v>0</v>
      </c>
      <c r="AD64" s="37">
        <f>+AM64+BA64</f>
        <v>0</v>
      </c>
      <c r="AE64" s="230" t="s">
        <v>426</v>
      </c>
      <c r="AF64" s="37"/>
      <c r="AG64" s="37">
        <v>0</v>
      </c>
      <c r="AH64" s="37"/>
      <c r="AI64" s="474"/>
      <c r="AJ64" s="37"/>
      <c r="AK64" s="37"/>
      <c r="AL64" s="37"/>
      <c r="AM64" s="37">
        <f>SUM(AF64:AL64)+AT64+AV64+AX64</f>
        <v>0</v>
      </c>
      <c r="AN64" s="87"/>
      <c r="AO64" s="37"/>
      <c r="AP64" s="37"/>
      <c r="AQ64" s="37"/>
      <c r="AR64" s="37">
        <f>SUM(AN64:AQ64)</f>
        <v>0</v>
      </c>
      <c r="AS64" s="37"/>
      <c r="AT64" s="37"/>
      <c r="AU64" s="37"/>
      <c r="AV64" s="37"/>
      <c r="AW64" s="37"/>
      <c r="AX64" s="37"/>
      <c r="AY64" s="37"/>
      <c r="AZ64" s="37"/>
      <c r="BA64" s="37">
        <f>+AR64+AS64+AU64+AW64+AY64+AZ64</f>
        <v>0</v>
      </c>
      <c r="BB64" s="50"/>
      <c r="BC64" s="51">
        <v>0</v>
      </c>
      <c r="BD64" s="51"/>
      <c r="BE64" s="50"/>
      <c r="BF64" s="51"/>
    </row>
    <row r="65" spans="1:58" ht="12.95" customHeight="1">
      <c r="A65" s="40"/>
      <c r="B65" s="41" t="s">
        <v>416</v>
      </c>
      <c r="C65" s="428"/>
      <c r="D65" s="41"/>
      <c r="E65" s="42">
        <v>12.5</v>
      </c>
      <c r="F65" s="42"/>
      <c r="G65" s="472"/>
      <c r="H65" s="44"/>
      <c r="I65" s="45"/>
      <c r="J65" s="86"/>
      <c r="K65" s="86"/>
      <c r="L65" s="35"/>
      <c r="M65" s="35"/>
      <c r="N65" s="46"/>
      <c r="O65" s="47"/>
      <c r="P65" s="48"/>
      <c r="Q65" s="47"/>
      <c r="R65" s="397"/>
      <c r="S65" s="397"/>
      <c r="T65" s="37"/>
      <c r="U65" s="37"/>
      <c r="V65" s="37"/>
      <c r="W65" s="37">
        <f>+'14'!K13/1000</f>
        <v>0.53400000000000003</v>
      </c>
      <c r="X65" s="394"/>
      <c r="Y65" s="213"/>
      <c r="Z65" s="37"/>
      <c r="AA65" s="37"/>
      <c r="AB65" s="37"/>
      <c r="AC65" s="37"/>
      <c r="AD65" s="37">
        <f>+AM65+BA65</f>
        <v>18</v>
      </c>
      <c r="AE65" s="230" t="s">
        <v>494</v>
      </c>
      <c r="AF65" s="33"/>
      <c r="AG65" s="33"/>
      <c r="AH65" s="33">
        <v>18</v>
      </c>
      <c r="AJ65" s="37"/>
      <c r="AK65" s="37"/>
      <c r="AL65" s="37"/>
      <c r="AM65" s="37">
        <f>SUM(AF65:AL65)+AT65+AV65+AX65</f>
        <v>18</v>
      </c>
      <c r="AN65" s="37"/>
      <c r="AO65" s="37"/>
      <c r="AP65" s="37"/>
      <c r="AQ65" s="37"/>
      <c r="AR65" s="37">
        <f>SUM(AN65:AQ65)</f>
        <v>0</v>
      </c>
      <c r="AS65" s="37"/>
      <c r="AT65" s="37"/>
      <c r="AU65" s="37"/>
      <c r="AV65" s="37"/>
      <c r="AW65" s="37"/>
      <c r="AX65" s="37"/>
      <c r="AY65" s="37"/>
      <c r="AZ65" s="37"/>
      <c r="BA65" s="37">
        <f>+AR65+AS65+AU65+AW65+AY65+AZ65</f>
        <v>0</v>
      </c>
      <c r="BB65" s="33"/>
      <c r="BC65" s="53"/>
      <c r="BD65" s="53"/>
      <c r="BE65" s="33"/>
      <c r="BF65" s="53"/>
    </row>
    <row r="66" spans="1:58" ht="12.95" customHeight="1">
      <c r="A66" s="40"/>
      <c r="B66" s="41"/>
      <c r="C66" s="428"/>
      <c r="D66" s="41"/>
      <c r="E66" s="42"/>
      <c r="F66" s="42"/>
      <c r="G66" s="472"/>
      <c r="H66" s="44"/>
      <c r="I66" s="45"/>
      <c r="J66" s="86"/>
      <c r="K66" s="86"/>
      <c r="L66" s="35"/>
      <c r="M66" s="35"/>
      <c r="N66" s="46"/>
      <c r="O66" s="47"/>
      <c r="P66" s="48"/>
      <c r="Q66" s="47"/>
      <c r="R66" s="397"/>
      <c r="S66" s="397"/>
      <c r="T66" s="37"/>
      <c r="U66" s="37"/>
      <c r="V66" s="37"/>
      <c r="W66" s="37"/>
      <c r="X66" s="394"/>
      <c r="Y66" s="213"/>
      <c r="Z66" s="37"/>
      <c r="AA66" s="37"/>
      <c r="AB66" s="37"/>
      <c r="AC66" s="37"/>
      <c r="AD66" s="37"/>
      <c r="AE66" s="230"/>
      <c r="AF66" s="37"/>
      <c r="AG66" s="37"/>
      <c r="AH66" s="37"/>
      <c r="AI66" s="474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3"/>
      <c r="BC66" s="53"/>
      <c r="BD66" s="53"/>
      <c r="BE66" s="33"/>
      <c r="BF66" s="53"/>
    </row>
    <row r="67" spans="1:58" ht="12.95" customHeight="1">
      <c r="A67" s="40">
        <v>45945</v>
      </c>
      <c r="B67" s="41" t="s">
        <v>416</v>
      </c>
      <c r="C67" s="428">
        <f>(M67*E67*O67*Q67)/100000000</f>
        <v>14.618483100000001</v>
      </c>
      <c r="D67" s="41" t="s">
        <v>297</v>
      </c>
      <c r="E67" s="42">
        <v>15</v>
      </c>
      <c r="F67" s="42">
        <v>1</v>
      </c>
      <c r="G67" s="472">
        <v>1140</v>
      </c>
      <c r="H67" s="489">
        <f>+N67</f>
        <v>0.21999999999999997</v>
      </c>
      <c r="I67" s="45">
        <v>0.88</v>
      </c>
      <c r="J67" s="86">
        <f>E67*G67*(1-H67)*1440/1000000*2.87</f>
        <v>55.123286400000005</v>
      </c>
      <c r="K67" s="86">
        <f>(IF(G67&lt;L67,L67,G67)*(1-IF(H67&lt;N67,H67,N67))*E67*O67*Q67)/100000000</f>
        <v>14.618483100000001</v>
      </c>
      <c r="L67" s="35">
        <v>1180</v>
      </c>
      <c r="M67" s="35">
        <f>+L67-L67*0.22</f>
        <v>920.4</v>
      </c>
      <c r="N67" s="46">
        <f>1-(M67/L67)</f>
        <v>0.21999999999999997</v>
      </c>
      <c r="O67" s="47">
        <f>+'Trim Rwd'!H59</f>
        <v>271.5</v>
      </c>
      <c r="P67" s="48">
        <f>O67*(Q67-R67-S67)</f>
        <v>104527.5</v>
      </c>
      <c r="Q67" s="47">
        <v>390</v>
      </c>
      <c r="R67" s="397">
        <v>0</v>
      </c>
      <c r="S67" s="397">
        <v>5</v>
      </c>
      <c r="T67" s="37">
        <f>E67*M67*O67*Q67/100000000</f>
        <v>14.618483100000001</v>
      </c>
      <c r="U67" s="37">
        <f>E67*M67*O67*(Q67-R67-S67)/100000000</f>
        <v>14.43106665</v>
      </c>
      <c r="V67" s="37">
        <f>E67*G67*(1-N67)*O67/100*(R67+S67)/1000000</f>
        <v>0.18106334999999998</v>
      </c>
      <c r="W67" s="37">
        <f>+'15'!K15/1000</f>
        <v>20.725999999999999</v>
      </c>
      <c r="X67" s="394">
        <f>SUM(W67:W70)/SUM(K67:K70)</f>
        <v>0.87302044167031745</v>
      </c>
      <c r="Y67" s="37">
        <v>0</v>
      </c>
      <c r="Z67" s="37">
        <f>+'15'!D7/1000</f>
        <v>1.83</v>
      </c>
      <c r="AA67" s="49">
        <f>SUM(U67:U70)-SUM(W67:W70)-SUM(Z67:Z70)-SUM(Y67:Y70)</f>
        <v>4.1042123624999922</v>
      </c>
      <c r="AB67" s="49">
        <f>(SUM(K67:K70)-SUM(W67:W70)-SUM(Y67:Y70)-SUM(Z67:Z70)-SUM(AC67:AC70)-SUM(V67:V70))-AA67</f>
        <v>2.8539567500008189E-2</v>
      </c>
      <c r="AC67" s="37">
        <f>K67-T67</f>
        <v>0</v>
      </c>
      <c r="AD67" s="37">
        <f>+AM67+BA67</f>
        <v>0</v>
      </c>
      <c r="AE67" s="230" t="s">
        <v>404</v>
      </c>
      <c r="AF67" s="37">
        <v>0</v>
      </c>
      <c r="AG67" s="37"/>
      <c r="AH67" s="37"/>
      <c r="AI67" s="474"/>
      <c r="AJ67" s="37"/>
      <c r="AK67" s="37"/>
      <c r="AL67" s="37"/>
      <c r="AM67" s="37">
        <f>SUM(AF67:AL67)+AT67+AV67+AX67</f>
        <v>0</v>
      </c>
      <c r="AN67" s="37"/>
      <c r="AO67" s="37"/>
      <c r="AP67" s="37"/>
      <c r="AQ67" s="37"/>
      <c r="AR67" s="37">
        <f>SUM(AN67:AQ67)</f>
        <v>0</v>
      </c>
      <c r="AS67" s="37"/>
      <c r="AT67" s="37"/>
      <c r="AU67" s="37"/>
      <c r="AV67" s="37"/>
      <c r="AW67" s="37"/>
      <c r="AX67" s="37"/>
      <c r="AY67" s="37"/>
      <c r="AZ67" s="37"/>
      <c r="BA67" s="37">
        <f>+AR67+AS67+AU67+AW67+AY67+AZ67</f>
        <v>0</v>
      </c>
      <c r="BB67" s="33">
        <v>0</v>
      </c>
      <c r="BC67" s="51"/>
      <c r="BD67" s="51"/>
      <c r="BE67" s="33"/>
      <c r="BF67" s="51"/>
    </row>
    <row r="68" spans="1:58" ht="12.95" customHeight="1">
      <c r="A68" s="40"/>
      <c r="B68" s="41" t="s">
        <v>416</v>
      </c>
      <c r="C68" s="428">
        <f>(M68*E68*O68*Q68)/100000000</f>
        <v>32.596078900000002</v>
      </c>
      <c r="D68" s="41" t="s">
        <v>297</v>
      </c>
      <c r="E68" s="42">
        <v>14</v>
      </c>
      <c r="F68" s="42">
        <v>1</v>
      </c>
      <c r="G68" s="472">
        <v>1240</v>
      </c>
      <c r="H68" s="489">
        <f>+N68</f>
        <v>0.23000000000000009</v>
      </c>
      <c r="I68" s="45">
        <v>0.88</v>
      </c>
      <c r="J68" s="86">
        <f>E68*G68*(1-H68)*1440/1000000*2.87</f>
        <v>55.243964159999997</v>
      </c>
      <c r="K68" s="86">
        <f>(IF(G68&lt;L68,L68,G68)*(1-IF(H68&lt;N68,H68,N68))*E68*O68*Q68)/100000000</f>
        <v>32.596078900000002</v>
      </c>
      <c r="L68" s="35">
        <v>1291.7613636363637</v>
      </c>
      <c r="M68" s="35">
        <v>994.65625</v>
      </c>
      <c r="N68" s="46">
        <f>1-(M68/L68)</f>
        <v>0.23000000000000009</v>
      </c>
      <c r="O68" s="47">
        <f>+'Trim Rwd'!H60</f>
        <v>266</v>
      </c>
      <c r="P68" s="48">
        <f>O68*(Q68-R68-S68)</f>
        <v>231420</v>
      </c>
      <c r="Q68" s="47">
        <v>880</v>
      </c>
      <c r="R68" s="397">
        <v>0</v>
      </c>
      <c r="S68" s="397">
        <v>10</v>
      </c>
      <c r="T68" s="37">
        <f>E68*M68*O68*Q68/100000000</f>
        <v>32.596078900000002</v>
      </c>
      <c r="U68" s="37">
        <f>E68*M68*O68*(Q68-R68-S68)/100000000</f>
        <v>32.225668912499998</v>
      </c>
      <c r="V68" s="37">
        <f>E68*G68*(1-N68)*O68/100*(R68+S68)/1000000</f>
        <v>0.35556752000000003</v>
      </c>
      <c r="W68" s="37">
        <f>+'15'!K14/1000</f>
        <v>26.379000000000001</v>
      </c>
      <c r="X68" s="394"/>
      <c r="Y68" s="213"/>
      <c r="Z68" s="37">
        <f>+'15'!D17/1000</f>
        <v>0.28000000000000003</v>
      </c>
      <c r="AA68" s="37"/>
      <c r="AB68" s="37"/>
      <c r="AC68" s="37">
        <f>K68-T68</f>
        <v>0</v>
      </c>
      <c r="AD68" s="37">
        <f>+AM68+BA68</f>
        <v>0</v>
      </c>
      <c r="AE68" s="230" t="s">
        <v>426</v>
      </c>
      <c r="AF68" s="37"/>
      <c r="AG68" s="37">
        <v>0</v>
      </c>
      <c r="AH68" s="37"/>
      <c r="AI68" s="474"/>
      <c r="AJ68" s="37"/>
      <c r="AK68" s="37"/>
      <c r="AL68" s="37"/>
      <c r="AM68" s="37">
        <f>SUM(AF68:AL68)+AT68+AV68+AX68</f>
        <v>0</v>
      </c>
      <c r="AN68" s="87"/>
      <c r="AO68" s="37"/>
      <c r="AP68" s="37"/>
      <c r="AQ68" s="37"/>
      <c r="AR68" s="37">
        <f>SUM(AN68:AQ68)</f>
        <v>0</v>
      </c>
      <c r="AS68" s="37"/>
      <c r="AT68" s="37"/>
      <c r="AU68" s="37"/>
      <c r="AV68" s="37"/>
      <c r="AW68" s="37"/>
      <c r="AX68" s="37"/>
      <c r="AY68" s="37"/>
      <c r="AZ68" s="37"/>
      <c r="BA68" s="37">
        <f>+AR68+AS68+AU68+AW68+AY68+AZ68</f>
        <v>0</v>
      </c>
      <c r="BB68" s="50"/>
      <c r="BC68" s="51">
        <v>0</v>
      </c>
      <c r="BD68" s="51"/>
      <c r="BE68" s="50"/>
      <c r="BF68" s="51"/>
    </row>
    <row r="69" spans="1:58" ht="12.95" customHeight="1">
      <c r="A69" s="40"/>
      <c r="B69" s="41" t="s">
        <v>416</v>
      </c>
      <c r="C69" s="428">
        <f>(M69*E69*O69*Q69)/100000000</f>
        <v>6.7417920000000002</v>
      </c>
      <c r="D69" s="41" t="s">
        <v>297</v>
      </c>
      <c r="E69" s="42">
        <v>17</v>
      </c>
      <c r="F69" s="42">
        <v>1</v>
      </c>
      <c r="G69" s="472">
        <v>980</v>
      </c>
      <c r="H69" s="489">
        <f>+N69</f>
        <v>0.19999999999999996</v>
      </c>
      <c r="I69" s="45">
        <v>0.88</v>
      </c>
      <c r="J69" s="86">
        <f>E69*G69*(1-H69)*1440/1000000*2.87</f>
        <v>55.081958399999998</v>
      </c>
      <c r="K69" s="86">
        <f>(IF(G69&lt;L69,L69,G69)*(1-IF(H69&lt;N69,H69,N69))*E69*O69*Q69)/100000000</f>
        <v>6.7417920000000002</v>
      </c>
      <c r="L69" s="35">
        <v>1080</v>
      </c>
      <c r="M69" s="35">
        <f>+L69-L69*0.2</f>
        <v>864</v>
      </c>
      <c r="N69" s="46">
        <f>1-(M69/L69)</f>
        <v>0.19999999999999996</v>
      </c>
      <c r="O69" s="47">
        <f>+'Trim Rwd'!H61</f>
        <v>270</v>
      </c>
      <c r="P69" s="48">
        <f>O69*(Q69-R69-S69)</f>
        <v>45360</v>
      </c>
      <c r="Q69" s="47">
        <v>170</v>
      </c>
      <c r="R69" s="397">
        <v>0</v>
      </c>
      <c r="S69" s="397">
        <v>2</v>
      </c>
      <c r="T69" s="37">
        <f>E69*M69*O69*Q69/100000000</f>
        <v>6.7417920000000002</v>
      </c>
      <c r="U69" s="37">
        <f>E69*M69*O69*(Q69-R69-S69)/100000000</f>
        <v>6.6624768000000003</v>
      </c>
      <c r="V69" s="37">
        <f>E69*G69*(1-N69)*O69/100*(R69+S69)/1000000</f>
        <v>7.1971199999999999E-2</v>
      </c>
      <c r="W69" s="37">
        <f>+'15'!K16/1000</f>
        <v>0</v>
      </c>
      <c r="X69" s="394"/>
      <c r="Y69" s="213"/>
      <c r="Z69" s="37"/>
      <c r="AA69" s="37"/>
      <c r="AB69" s="37"/>
      <c r="AC69" s="37">
        <f>K69-T69</f>
        <v>0</v>
      </c>
      <c r="AD69" s="37">
        <f>+AM69+BA69</f>
        <v>17</v>
      </c>
      <c r="AE69" s="230" t="s">
        <v>667</v>
      </c>
      <c r="AF69" s="33"/>
      <c r="AG69" s="33"/>
      <c r="AH69" s="33">
        <v>17</v>
      </c>
      <c r="AJ69" s="37"/>
      <c r="AK69" s="37"/>
      <c r="AL69" s="37"/>
      <c r="AM69" s="37">
        <f>SUM(AF69:AL69)+AT69+AV69+AX69</f>
        <v>17</v>
      </c>
      <c r="AN69" s="37"/>
      <c r="AO69" s="37"/>
      <c r="AP69" s="37"/>
      <c r="AQ69" s="37"/>
      <c r="AR69" s="37">
        <f>SUM(AN69:AQ69)</f>
        <v>0</v>
      </c>
      <c r="AS69" s="37"/>
      <c r="AT69" s="37"/>
      <c r="AU69" s="37"/>
      <c r="AV69" s="37"/>
      <c r="AW69" s="37"/>
      <c r="AX69" s="37"/>
      <c r="AY69" s="37"/>
      <c r="AZ69" s="37"/>
      <c r="BA69" s="37">
        <f>+AR69+AS69+AU69+AW69+AY69+AZ69</f>
        <v>0</v>
      </c>
      <c r="BB69" s="33"/>
      <c r="BC69" s="53"/>
      <c r="BD69" s="53"/>
      <c r="BE69" s="33"/>
      <c r="BF69" s="53"/>
    </row>
    <row r="70" spans="1:58" ht="12.95" customHeight="1">
      <c r="A70" s="40"/>
      <c r="B70" s="41"/>
      <c r="C70" s="428"/>
      <c r="D70" s="41"/>
      <c r="E70" s="42"/>
      <c r="F70" s="42"/>
      <c r="G70" s="472"/>
      <c r="H70" s="44"/>
      <c r="I70" s="45"/>
      <c r="J70" s="86"/>
      <c r="K70" s="86"/>
      <c r="L70" s="35"/>
      <c r="M70" s="35"/>
      <c r="N70" s="46"/>
      <c r="O70" s="47"/>
      <c r="P70" s="48"/>
      <c r="Q70" s="47"/>
      <c r="R70" s="397"/>
      <c r="S70" s="397"/>
      <c r="T70" s="37"/>
      <c r="U70" s="37"/>
      <c r="V70" s="37"/>
      <c r="W70" s="37"/>
      <c r="X70" s="394"/>
      <c r="Y70" s="213"/>
      <c r="Z70" s="37"/>
      <c r="AA70" s="37"/>
      <c r="AB70" s="37"/>
      <c r="AC70" s="37"/>
      <c r="AD70" s="37"/>
      <c r="AE70" s="230"/>
      <c r="AF70" s="37"/>
      <c r="AG70" s="37"/>
      <c r="AH70" s="37"/>
      <c r="AI70" s="474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3"/>
      <c r="BC70" s="53"/>
      <c r="BD70" s="53"/>
      <c r="BE70" s="33"/>
      <c r="BF70" s="53"/>
    </row>
    <row r="71" spans="1:58" ht="12.95" customHeight="1">
      <c r="A71" s="40">
        <v>45946</v>
      </c>
      <c r="B71" s="41" t="s">
        <v>416</v>
      </c>
      <c r="C71" s="428">
        <f>(M71*E71*O71*Q71)/100000000</f>
        <v>19.233936</v>
      </c>
      <c r="D71" s="41" t="s">
        <v>297</v>
      </c>
      <c r="E71" s="42">
        <v>17</v>
      </c>
      <c r="F71" s="42">
        <v>1</v>
      </c>
      <c r="G71" s="472">
        <v>980</v>
      </c>
      <c r="H71" s="489">
        <f>+N71</f>
        <v>0.19999999999999996</v>
      </c>
      <c r="I71" s="45">
        <v>0.88</v>
      </c>
      <c r="J71" s="86">
        <f>E71*G71*(1-H71)*1440/1000000*2.87</f>
        <v>55.081958399999998</v>
      </c>
      <c r="K71" s="86">
        <f>(IF(G71&lt;L71,L71,G71)*(1-IF(H71&lt;N71,H71,N71))*E71*O71*Q71)/100000000</f>
        <v>19.233936</v>
      </c>
      <c r="L71" s="35">
        <v>1080</v>
      </c>
      <c r="M71" s="35">
        <f>+L71-L71*0.2</f>
        <v>864</v>
      </c>
      <c r="N71" s="46">
        <f>1-(M71/L71)</f>
        <v>0.19999999999999996</v>
      </c>
      <c r="O71" s="47">
        <f>+'Trim Rwd'!H63</f>
        <v>270</v>
      </c>
      <c r="P71" s="48">
        <f>O71*(Q71-R71-S71)</f>
        <v>119340</v>
      </c>
      <c r="Q71" s="47">
        <v>485</v>
      </c>
      <c r="R71" s="397">
        <v>0</v>
      </c>
      <c r="S71" s="397">
        <v>43</v>
      </c>
      <c r="T71" s="37">
        <f>E71*M71*O71*Q71/100000000</f>
        <v>19.233936</v>
      </c>
      <c r="U71" s="37">
        <f>E71*M71*O71*(Q71-R71-S71)/100000000</f>
        <v>17.5286592</v>
      </c>
      <c r="V71" s="37">
        <f>E71*G71*(1-N71)*O71/100*(R71+S71)/1000000</f>
        <v>1.5473808</v>
      </c>
      <c r="W71" s="37">
        <f>+'16'!K16/1000</f>
        <v>22.277999999999999</v>
      </c>
      <c r="X71" s="394">
        <f>SUM(W71:W74)/SUM(K71:K74)</f>
        <v>0.95223504770126577</v>
      </c>
      <c r="Y71" s="37">
        <v>0</v>
      </c>
      <c r="Z71" s="37">
        <f>+'16'!D16/1000</f>
        <v>0.28399999999999997</v>
      </c>
      <c r="AA71" s="49">
        <f>SUM(U71:U74)-SUM(W71:W74)-SUM(Z71:Z74)-SUM(Y71:Y74)</f>
        <v>-3.8187490617801041</v>
      </c>
      <c r="AB71" s="49">
        <f>(SUM(K71:K74)-SUM(W71:W74)-SUM(Y71:Y74)-SUM(Z71:Z74)-SUM(AC71:AC74)-SUM(V71:V74))-AA71</f>
        <v>0.16877026178010457</v>
      </c>
      <c r="AC71" s="37">
        <f>K71-T71</f>
        <v>0</v>
      </c>
      <c r="AD71" s="37">
        <f>+AM71+BA71</f>
        <v>45</v>
      </c>
      <c r="AE71" s="230" t="s">
        <v>688</v>
      </c>
      <c r="AF71" s="37">
        <v>45</v>
      </c>
      <c r="AG71" s="37"/>
      <c r="AH71" s="37"/>
      <c r="AI71" s="474"/>
      <c r="AJ71" s="37"/>
      <c r="AK71" s="37"/>
      <c r="AL71" s="37"/>
      <c r="AM71" s="37">
        <f>SUM(AF71:AL71)+AT71+AV71+AX71</f>
        <v>45</v>
      </c>
      <c r="AN71" s="37"/>
      <c r="AO71" s="37"/>
      <c r="AP71" s="37"/>
      <c r="AQ71" s="37"/>
      <c r="AR71" s="37">
        <f>SUM(AN71:AQ71)</f>
        <v>0</v>
      </c>
      <c r="AS71" s="37"/>
      <c r="AT71" s="37"/>
      <c r="AU71" s="37"/>
      <c r="AV71" s="37"/>
      <c r="AW71" s="37"/>
      <c r="AX71" s="37"/>
      <c r="AY71" s="37"/>
      <c r="AZ71" s="37"/>
      <c r="BA71" s="37">
        <f>+AR71+AS71+AU71+AW71+AY71+AZ71</f>
        <v>0</v>
      </c>
      <c r="BB71" s="33">
        <v>9</v>
      </c>
      <c r="BC71" s="51"/>
      <c r="BD71" s="51"/>
      <c r="BE71" s="33"/>
      <c r="BF71" s="51"/>
    </row>
    <row r="72" spans="1:58" ht="12.95" customHeight="1">
      <c r="A72" s="40"/>
      <c r="B72" s="41" t="s">
        <v>523</v>
      </c>
      <c r="C72" s="428">
        <f>(M72*E72*O72*Q72)/100000000</f>
        <v>35.283065999999998</v>
      </c>
      <c r="D72" s="41" t="s">
        <v>297</v>
      </c>
      <c r="E72" s="42">
        <v>13</v>
      </c>
      <c r="F72" s="42">
        <v>1</v>
      </c>
      <c r="G72" s="472">
        <v>1350</v>
      </c>
      <c r="H72" s="489">
        <f>+N72</f>
        <v>0.24999999999999989</v>
      </c>
      <c r="I72" s="45">
        <v>0.88</v>
      </c>
      <c r="J72" s="86">
        <f>E72*G72*(1-H72)*1440/1000000*2.87</f>
        <v>54.397980000000011</v>
      </c>
      <c r="K72" s="86">
        <f>(IF(G72&lt;L72,L72,G72)*(1-IF(H72&lt;N72,H72,N72))*E72*O72*Q72)/100000000</f>
        <v>35.283065999999998</v>
      </c>
      <c r="L72" s="35">
        <v>1353.3193717277486</v>
      </c>
      <c r="M72" s="35">
        <v>1014.9895287958116</v>
      </c>
      <c r="N72" s="46">
        <f>1-(M72/L72)</f>
        <v>0.24999999999999989</v>
      </c>
      <c r="O72" s="47">
        <f>+'Trim Rwd'!H64</f>
        <v>280</v>
      </c>
      <c r="P72" s="48">
        <f>O72*(Q72-R72-S72)</f>
        <v>233800</v>
      </c>
      <c r="Q72" s="47">
        <v>955</v>
      </c>
      <c r="R72" s="397">
        <v>0</v>
      </c>
      <c r="S72" s="397">
        <v>120</v>
      </c>
      <c r="T72" s="37">
        <f>E72*M72*O72*Q72/100000000</f>
        <v>35.283065999999998</v>
      </c>
      <c r="U72" s="37">
        <f>E72*M72*O72*(Q72-R72-S72)/100000000</f>
        <v>30.849591738219896</v>
      </c>
      <c r="V72" s="37">
        <f>E72*G72*(1-N72)*O72/100*(R72+S72)/1000000</f>
        <v>4.422600000000001</v>
      </c>
      <c r="W72" s="37">
        <f>+'16'!K9/1000</f>
        <v>21.423999999999999</v>
      </c>
      <c r="X72" s="394"/>
      <c r="Y72" s="213"/>
      <c r="Z72" s="37">
        <v>0</v>
      </c>
      <c r="AA72" s="37"/>
      <c r="AB72" s="37"/>
      <c r="AC72" s="37">
        <f>K72-T72</f>
        <v>0</v>
      </c>
      <c r="AD72" s="37">
        <f>+AM72+BA72</f>
        <v>5</v>
      </c>
      <c r="AE72" s="230" t="s">
        <v>513</v>
      </c>
      <c r="AF72" s="37"/>
      <c r="AG72" s="37">
        <v>5</v>
      </c>
      <c r="AH72" s="37"/>
      <c r="AI72" s="474"/>
      <c r="AJ72" s="37"/>
      <c r="AK72" s="37"/>
      <c r="AL72" s="37"/>
      <c r="AM72" s="37">
        <f>SUM(AF72:AL72)+AT72+AV72+AX72</f>
        <v>5</v>
      </c>
      <c r="AN72" s="87"/>
      <c r="AO72" s="37"/>
      <c r="AP72" s="37"/>
      <c r="AQ72" s="37"/>
      <c r="AR72" s="37">
        <f>SUM(AN72:AQ72)</f>
        <v>0</v>
      </c>
      <c r="AS72" s="37"/>
      <c r="AT72" s="37"/>
      <c r="AU72" s="37"/>
      <c r="AV72" s="37"/>
      <c r="AW72" s="37"/>
      <c r="AX72" s="37"/>
      <c r="AY72" s="37"/>
      <c r="AZ72" s="37"/>
      <c r="BA72" s="37">
        <f>+AR72+AS72+AU72+AW72+AY72+AZ72</f>
        <v>0</v>
      </c>
      <c r="BB72" s="50"/>
      <c r="BC72" s="51">
        <v>1</v>
      </c>
      <c r="BD72" s="51"/>
      <c r="BE72" s="50"/>
      <c r="BF72" s="51"/>
    </row>
    <row r="73" spans="1:58" ht="12.95" customHeight="1">
      <c r="A73" s="40"/>
      <c r="B73" s="41" t="s">
        <v>416</v>
      </c>
      <c r="C73" s="428"/>
      <c r="D73" s="41"/>
      <c r="E73" s="42">
        <v>14</v>
      </c>
      <c r="F73" s="42"/>
      <c r="G73" s="472"/>
      <c r="H73" s="542"/>
      <c r="I73" s="45"/>
      <c r="J73" s="86"/>
      <c r="K73" s="86"/>
      <c r="L73" s="35"/>
      <c r="M73" s="35"/>
      <c r="N73" s="46"/>
      <c r="O73" s="47"/>
      <c r="P73" s="48"/>
      <c r="Q73" s="47"/>
      <c r="R73" s="397"/>
      <c r="S73" s="397"/>
      <c r="T73" s="37"/>
      <c r="U73" s="37"/>
      <c r="V73" s="37"/>
      <c r="W73" s="37">
        <f>+'16'!K14/1000</f>
        <v>8.2110000000000003</v>
      </c>
      <c r="X73" s="394"/>
      <c r="Y73" s="213"/>
      <c r="Z73" s="37"/>
      <c r="AA73" s="37"/>
      <c r="AB73" s="37"/>
      <c r="AC73" s="37"/>
      <c r="AD73" s="37">
        <f>+AM73+BA73</f>
        <v>23</v>
      </c>
      <c r="AE73" s="230" t="s">
        <v>689</v>
      </c>
      <c r="AF73" s="33"/>
      <c r="AG73" s="33"/>
      <c r="AH73" s="33">
        <v>23</v>
      </c>
      <c r="AJ73" s="37"/>
      <c r="AK73" s="37"/>
      <c r="AL73" s="37"/>
      <c r="AM73" s="37">
        <f>SUM(AF73:AL73)+AT73+AV73+AX73</f>
        <v>23</v>
      </c>
      <c r="AN73" s="37"/>
      <c r="AO73" s="37"/>
      <c r="AP73" s="37"/>
      <c r="AQ73" s="37"/>
      <c r="AR73" s="37">
        <f>SUM(AN73:AQ73)</f>
        <v>0</v>
      </c>
      <c r="AS73" s="37"/>
      <c r="AT73" s="37"/>
      <c r="AU73" s="37"/>
      <c r="AV73" s="37"/>
      <c r="AW73" s="37"/>
      <c r="AX73" s="37"/>
      <c r="AY73" s="37"/>
      <c r="AZ73" s="37"/>
      <c r="BA73" s="37">
        <f>+AR73+AS73+AU73+AW73+AY73+AZ73</f>
        <v>0</v>
      </c>
      <c r="BB73" s="33"/>
      <c r="BC73" s="53"/>
      <c r="BD73" s="53"/>
      <c r="BE73" s="33"/>
      <c r="BF73" s="53"/>
    </row>
    <row r="74" spans="1:58" ht="12.95" customHeight="1">
      <c r="A74" s="40"/>
      <c r="B74" s="41"/>
      <c r="C74" s="428"/>
      <c r="D74" s="41"/>
      <c r="E74" s="42"/>
      <c r="F74" s="42"/>
      <c r="G74" s="43"/>
      <c r="H74" s="542"/>
      <c r="I74" s="45"/>
      <c r="J74" s="86"/>
      <c r="K74" s="86"/>
      <c r="L74" s="35"/>
      <c r="M74" s="35"/>
      <c r="N74" s="46"/>
      <c r="O74" s="47"/>
      <c r="P74" s="48"/>
      <c r="Q74" s="47"/>
      <c r="R74" s="397"/>
      <c r="S74" s="397"/>
      <c r="T74" s="37"/>
      <c r="U74" s="37"/>
      <c r="V74" s="37"/>
      <c r="W74" s="37"/>
      <c r="X74" s="394"/>
      <c r="Y74" s="213"/>
      <c r="Z74" s="37"/>
      <c r="AA74" s="49"/>
      <c r="AB74" s="49"/>
      <c r="AC74" s="37"/>
      <c r="AD74" s="37">
        <f>+AM74+BA74</f>
        <v>40</v>
      </c>
      <c r="AE74" s="233" t="s">
        <v>679</v>
      </c>
      <c r="AF74" s="37"/>
      <c r="AG74" s="37"/>
      <c r="AH74" s="37"/>
      <c r="AI74" s="37"/>
      <c r="AJ74" s="37">
        <v>40</v>
      </c>
      <c r="AK74" s="37"/>
      <c r="AL74" s="37"/>
      <c r="AM74" s="37">
        <f>SUM(AF74:AL74)+AT74+AV74+AX74</f>
        <v>40</v>
      </c>
      <c r="AN74" s="37"/>
      <c r="AO74" s="37"/>
      <c r="AP74" s="37"/>
      <c r="AQ74" s="37"/>
      <c r="AR74" s="37">
        <f>SUM(AN74:AQ74)</f>
        <v>0</v>
      </c>
      <c r="AS74" s="37"/>
      <c r="AT74" s="37"/>
      <c r="AU74" s="37"/>
      <c r="AV74" s="37"/>
      <c r="AW74" s="37"/>
      <c r="AX74" s="37"/>
      <c r="AY74" s="37"/>
      <c r="AZ74" s="37"/>
      <c r="BA74" s="37">
        <f>+AR74+AS74+AU74+AW74+AY74+AZ74</f>
        <v>0</v>
      </c>
      <c r="BB74" s="33"/>
      <c r="BC74" s="53"/>
      <c r="BD74" s="53"/>
      <c r="BE74" s="33"/>
      <c r="BF74" s="53"/>
    </row>
    <row r="75" spans="1:58" ht="12.95" customHeight="1">
      <c r="A75" s="40"/>
      <c r="B75" s="41"/>
      <c r="C75" s="428"/>
      <c r="D75" s="41"/>
      <c r="E75" s="42"/>
      <c r="F75" s="42"/>
      <c r="G75" s="472"/>
      <c r="H75" s="542"/>
      <c r="I75" s="45"/>
      <c r="J75" s="86"/>
      <c r="K75" s="86"/>
      <c r="L75" s="35"/>
      <c r="M75" s="35"/>
      <c r="N75" s="46"/>
      <c r="O75" s="47"/>
      <c r="P75" s="48"/>
      <c r="Q75" s="47"/>
      <c r="R75" s="397"/>
      <c r="S75" s="397"/>
      <c r="T75" s="37"/>
      <c r="U75" s="37"/>
      <c r="V75" s="37"/>
      <c r="W75" s="37"/>
      <c r="X75" s="394"/>
      <c r="Y75" s="37"/>
      <c r="Z75" s="37"/>
      <c r="AA75" s="49"/>
      <c r="AB75" s="49"/>
      <c r="AC75" s="37"/>
      <c r="AD75" s="37">
        <f>+AM75+BA75</f>
        <v>50</v>
      </c>
      <c r="AE75" s="230" t="s">
        <v>692</v>
      </c>
      <c r="AF75" s="37"/>
      <c r="AG75" s="37"/>
      <c r="AH75" s="37"/>
      <c r="AI75" s="474"/>
      <c r="AJ75" s="37"/>
      <c r="AK75" s="37">
        <v>50</v>
      </c>
      <c r="AL75" s="37"/>
      <c r="AM75" s="37">
        <f>SUM(AF75:AL75)+AT75+AV75+AX75</f>
        <v>50</v>
      </c>
      <c r="AN75" s="37"/>
      <c r="AO75" s="37"/>
      <c r="AP75" s="37"/>
      <c r="AQ75" s="37"/>
      <c r="AR75" s="37">
        <f>SUM(AN75:AQ75)</f>
        <v>0</v>
      </c>
      <c r="AS75" s="37"/>
      <c r="AT75" s="37"/>
      <c r="AU75" s="37"/>
      <c r="AV75" s="37"/>
      <c r="AW75" s="37"/>
      <c r="AX75" s="37"/>
      <c r="AY75" s="37"/>
      <c r="AZ75" s="37"/>
      <c r="BA75" s="37">
        <f>+AR75+AS75+AU75+AW75+AY75+AZ75</f>
        <v>0</v>
      </c>
      <c r="BB75" s="33"/>
      <c r="BC75" s="53"/>
      <c r="BD75" s="53"/>
      <c r="BE75" s="33"/>
      <c r="BF75" s="53"/>
    </row>
    <row r="76" spans="1:58" ht="12.95" customHeight="1">
      <c r="A76" s="40"/>
      <c r="B76" s="41"/>
      <c r="C76" s="428"/>
      <c r="D76" s="41"/>
      <c r="E76" s="42"/>
      <c r="F76" s="42"/>
      <c r="G76" s="472"/>
      <c r="H76" s="542"/>
      <c r="I76" s="45"/>
      <c r="J76" s="86"/>
      <c r="K76" s="86"/>
      <c r="L76" s="35"/>
      <c r="M76" s="35"/>
      <c r="N76" s="46"/>
      <c r="O76" s="47"/>
      <c r="P76" s="48"/>
      <c r="Q76" s="47"/>
      <c r="R76" s="397"/>
      <c r="S76" s="397"/>
      <c r="T76" s="37"/>
      <c r="U76" s="37"/>
      <c r="V76" s="37"/>
      <c r="W76" s="37"/>
      <c r="X76" s="394"/>
      <c r="Y76" s="213"/>
      <c r="Z76" s="37"/>
      <c r="AA76" s="37"/>
      <c r="AB76" s="37"/>
      <c r="AC76" s="37"/>
      <c r="AD76" s="37"/>
      <c r="AE76" s="230"/>
      <c r="AF76" s="37"/>
      <c r="AG76" s="37"/>
      <c r="AH76" s="37"/>
      <c r="AI76" s="474"/>
      <c r="AJ76" s="37"/>
      <c r="AK76" s="37"/>
      <c r="AL76" s="37"/>
      <c r="AM76" s="37"/>
      <c r="AN76" s="8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50"/>
      <c r="BC76" s="51"/>
      <c r="BD76" s="51"/>
      <c r="BE76" s="51"/>
      <c r="BF76" s="51"/>
    </row>
    <row r="77" spans="1:58" ht="12.95" customHeight="1">
      <c r="A77" s="40">
        <v>45947</v>
      </c>
      <c r="B77" s="41" t="s">
        <v>523</v>
      </c>
      <c r="C77" s="428">
        <f>(M77*E77*O77*Q77)/100000000</f>
        <v>37.592100000000002</v>
      </c>
      <c r="D77" s="41" t="s">
        <v>297</v>
      </c>
      <c r="E77" s="42">
        <v>13</v>
      </c>
      <c r="F77" s="42">
        <v>1</v>
      </c>
      <c r="G77" s="472">
        <v>1350</v>
      </c>
      <c r="H77" s="489">
        <f>+N77</f>
        <v>0.25</v>
      </c>
      <c r="I77" s="45">
        <v>0.88</v>
      </c>
      <c r="J77" s="86">
        <f>E77*G77*(1-H77)*1440/1000000*2.87</f>
        <v>54.397980000000004</v>
      </c>
      <c r="K77" s="86">
        <f>(IF(G77&lt;L77,L77,G77)*(1-IF(H77&lt;N77,H77,N77))*E77*O77*Q77)/100000000</f>
        <v>37.592100000000002</v>
      </c>
      <c r="L77" s="35">
        <v>1350</v>
      </c>
      <c r="M77" s="35">
        <v>1012.5</v>
      </c>
      <c r="N77" s="46">
        <f>1-(M77/L77)</f>
        <v>0.25</v>
      </c>
      <c r="O77" s="47">
        <f>+'Trim Rwd'!H67</f>
        <v>280</v>
      </c>
      <c r="P77" s="48">
        <f>O77*(Q77-R77-S77)</f>
        <v>274400</v>
      </c>
      <c r="Q77" s="47">
        <f>960+60</f>
        <v>1020</v>
      </c>
      <c r="R77" s="397">
        <v>0</v>
      </c>
      <c r="S77" s="397">
        <v>40</v>
      </c>
      <c r="T77" s="37">
        <f>E77*M77*O77*Q77/100000000</f>
        <v>37.592100000000002</v>
      </c>
      <c r="U77" s="37">
        <f>E77*M77*O77*(Q77-R77-S77)/100000000</f>
        <v>36.117899999999999</v>
      </c>
      <c r="V77" s="37">
        <f>E77*G77*(1-N77)*O77/100*(R77+S77)/1000000</f>
        <v>1.4742</v>
      </c>
      <c r="W77" s="37">
        <f>+'17'!K9/1000</f>
        <v>39.991999999999997</v>
      </c>
      <c r="X77" s="394">
        <f>SUM(W77:W80)/SUM(K77:K80)</f>
        <v>0.89401389437451462</v>
      </c>
      <c r="Y77" s="37">
        <v>0</v>
      </c>
      <c r="Z77" s="37">
        <f>+'16'!D22/1000</f>
        <v>0</v>
      </c>
      <c r="AA77" s="49">
        <f>SUM(U77:U80)-SUM(W77:W80)-SUM(Z77:Z80)-SUM(Y77:Y80)</f>
        <v>3.8335399999999993</v>
      </c>
      <c r="AB77" s="49">
        <f>(SUM(K77:K80)-SUM(W77:W80)-SUM(Y77:Y80)-SUM(Z77:Z80)-SUM(AC77:AC80)-SUM(V77:V80))-AA77</f>
        <v>4.4408920985006262E-15</v>
      </c>
      <c r="AC77" s="37">
        <f>K77-T77</f>
        <v>0</v>
      </c>
      <c r="AD77" s="37">
        <f>+AM77+BA77</f>
        <v>15</v>
      </c>
      <c r="AE77" s="230" t="s">
        <v>526</v>
      </c>
      <c r="AF77" s="37">
        <v>15</v>
      </c>
      <c r="AG77" s="37"/>
      <c r="AH77" s="37"/>
      <c r="AI77" s="474"/>
      <c r="AJ77" s="37"/>
      <c r="AK77" s="37"/>
      <c r="AL77" s="37"/>
      <c r="AM77" s="37">
        <f>SUM(AF77:AL77)+AT77+AV77+AX77</f>
        <v>15</v>
      </c>
      <c r="AN77" s="37"/>
      <c r="AO77" s="37"/>
      <c r="AP77" s="37"/>
      <c r="AQ77" s="37"/>
      <c r="AR77" s="37">
        <f>SUM(AN77:AQ77)</f>
        <v>0</v>
      </c>
      <c r="AS77" s="37"/>
      <c r="AT77" s="37"/>
      <c r="AU77" s="37"/>
      <c r="AV77" s="37"/>
      <c r="AW77" s="37"/>
      <c r="AX77" s="37"/>
      <c r="AY77" s="37"/>
      <c r="AZ77" s="37"/>
      <c r="BA77" s="37">
        <f>+AR77+AS77+AU77+AW77+AY77+AZ77</f>
        <v>0</v>
      </c>
      <c r="BB77" s="33">
        <v>3</v>
      </c>
      <c r="BC77" s="51"/>
      <c r="BD77" s="51"/>
      <c r="BE77" s="33"/>
      <c r="BF77" s="51"/>
    </row>
    <row r="78" spans="1:58" ht="12.95" customHeight="1">
      <c r="A78" s="40"/>
      <c r="B78" s="41" t="s">
        <v>523</v>
      </c>
      <c r="C78" s="428">
        <f>(M78*E78*O78*Q78)/100000000</f>
        <v>14.817600000000001</v>
      </c>
      <c r="D78" s="41" t="s">
        <v>297</v>
      </c>
      <c r="E78" s="42">
        <v>12</v>
      </c>
      <c r="F78" s="42">
        <v>1</v>
      </c>
      <c r="G78" s="472">
        <v>1400</v>
      </c>
      <c r="H78" s="489">
        <f>+N78</f>
        <v>0.25</v>
      </c>
      <c r="I78" s="45">
        <v>0.88</v>
      </c>
      <c r="J78" s="86">
        <f>E78*G78*(1-H78)*1440/1000000*2.87</f>
        <v>52.073279999999997</v>
      </c>
      <c r="K78" s="86">
        <f>(IF(G78&lt;L78,L78,G78)*(1-IF(H78&lt;N78,H78,N78))*E78*O78*Q78)/100000000</f>
        <v>14.817600000000001</v>
      </c>
      <c r="L78" s="35">
        <v>1400</v>
      </c>
      <c r="M78" s="35">
        <v>1050</v>
      </c>
      <c r="N78" s="46">
        <f>1-(M78/L78)</f>
        <v>0.25</v>
      </c>
      <c r="O78" s="47">
        <f>+'Trim Rwd'!H68</f>
        <v>280</v>
      </c>
      <c r="P78" s="48">
        <f>O78*(Q78-R78-S78)</f>
        <v>115640</v>
      </c>
      <c r="Q78" s="47">
        <v>420</v>
      </c>
      <c r="R78" s="397">
        <v>0</v>
      </c>
      <c r="S78" s="397">
        <v>7</v>
      </c>
      <c r="T78" s="37">
        <f>E78*M78*O78*Q78/100000000</f>
        <v>14.817600000000001</v>
      </c>
      <c r="U78" s="37">
        <f>E78*M78*O78*(Q78-R78-S78)/100000000</f>
        <v>14.570639999999999</v>
      </c>
      <c r="V78" s="37">
        <f>E78*G78*(1-N78)*O78/100*(R78+S78)/1000000</f>
        <v>0.24696000000000001</v>
      </c>
      <c r="W78" s="37">
        <f>+'17'!K12/1000</f>
        <v>6.8630000000000004</v>
      </c>
      <c r="X78" s="394"/>
      <c r="Y78" s="213"/>
      <c r="Z78" s="37"/>
      <c r="AA78" s="37"/>
      <c r="AB78" s="37"/>
      <c r="AC78" s="37">
        <f>K78-T78</f>
        <v>0</v>
      </c>
      <c r="AD78" s="37">
        <f>+AM78+BA78</f>
        <v>0</v>
      </c>
      <c r="AE78" s="230" t="s">
        <v>426</v>
      </c>
      <c r="AF78" s="37"/>
      <c r="AG78" s="37">
        <v>0</v>
      </c>
      <c r="AH78" s="37"/>
      <c r="AI78" s="474"/>
      <c r="AJ78" s="37"/>
      <c r="AK78" s="37"/>
      <c r="AL78" s="37"/>
      <c r="AM78" s="37">
        <f>SUM(AF78:AL78)+AT78+AV78+AX78</f>
        <v>0</v>
      </c>
      <c r="AN78" s="87"/>
      <c r="AO78" s="37"/>
      <c r="AP78" s="37"/>
      <c r="AQ78" s="37"/>
      <c r="AR78" s="37">
        <f>SUM(AN78:AQ78)</f>
        <v>0</v>
      </c>
      <c r="AS78" s="37"/>
      <c r="AT78" s="37"/>
      <c r="AU78" s="37"/>
      <c r="AV78" s="37"/>
      <c r="AW78" s="37"/>
      <c r="AX78" s="37"/>
      <c r="AY78" s="37"/>
      <c r="AZ78" s="37"/>
      <c r="BA78" s="37">
        <f>+AR78+AS78+AU78+AW78+AY78+AZ78</f>
        <v>0</v>
      </c>
      <c r="BB78" s="50"/>
      <c r="BC78" s="51">
        <v>0</v>
      </c>
      <c r="BD78" s="51"/>
      <c r="BE78" s="50"/>
      <c r="BF78" s="51"/>
    </row>
    <row r="79" spans="1:58" ht="12.95" customHeight="1">
      <c r="A79" s="40"/>
      <c r="B79" s="41"/>
      <c r="C79" s="428"/>
      <c r="D79" s="41"/>
      <c r="E79" s="42"/>
      <c r="F79" s="42"/>
      <c r="G79" s="472"/>
      <c r="H79" s="542"/>
      <c r="I79" s="45"/>
      <c r="J79" s="86"/>
      <c r="K79" s="86"/>
      <c r="L79" s="35"/>
      <c r="M79" s="35"/>
      <c r="N79" s="46"/>
      <c r="O79" s="47"/>
      <c r="P79" s="48"/>
      <c r="Q79" s="47"/>
      <c r="R79" s="397"/>
      <c r="S79" s="397"/>
      <c r="T79" s="37"/>
      <c r="U79" s="37"/>
      <c r="V79" s="37"/>
      <c r="W79" s="37"/>
      <c r="X79" s="394"/>
      <c r="Y79" s="213"/>
      <c r="Z79" s="37"/>
      <c r="AA79" s="37"/>
      <c r="AB79" s="37"/>
      <c r="AC79" s="37"/>
      <c r="AD79" s="37">
        <f>+AM79+BA79</f>
        <v>32</v>
      </c>
      <c r="AE79" s="230" t="s">
        <v>527</v>
      </c>
      <c r="AF79" s="33"/>
      <c r="AG79" s="33"/>
      <c r="AH79" s="33">
        <v>32</v>
      </c>
      <c r="AJ79" s="37"/>
      <c r="AK79" s="37"/>
      <c r="AL79" s="37"/>
      <c r="AM79" s="37">
        <f>SUM(AF79:AL79)+AT79+AV79+AX79</f>
        <v>32</v>
      </c>
      <c r="AN79" s="37"/>
      <c r="AO79" s="37"/>
      <c r="AP79" s="37"/>
      <c r="AQ79" s="37"/>
      <c r="AR79" s="37">
        <f>SUM(AN79:AQ79)</f>
        <v>0</v>
      </c>
      <c r="AS79" s="37"/>
      <c r="AT79" s="37"/>
      <c r="AU79" s="37"/>
      <c r="AV79" s="37"/>
      <c r="AW79" s="37"/>
      <c r="AX79" s="37"/>
      <c r="AY79" s="37"/>
      <c r="AZ79" s="37"/>
      <c r="BA79" s="37">
        <f>+AR79+AS79+AU79+AW79+AY79+AZ79</f>
        <v>0</v>
      </c>
      <c r="BB79" s="33"/>
      <c r="BC79" s="53"/>
      <c r="BD79" s="53"/>
      <c r="BE79" s="33"/>
      <c r="BF79" s="53"/>
    </row>
    <row r="80" spans="1:58" ht="12.75" customHeight="1">
      <c r="A80" s="40"/>
      <c r="B80" s="41"/>
      <c r="C80" s="428"/>
      <c r="D80" s="41"/>
      <c r="E80" s="42"/>
      <c r="F80" s="42"/>
      <c r="G80" s="43"/>
      <c r="H80" s="542"/>
      <c r="I80" s="45"/>
      <c r="J80" s="86"/>
      <c r="K80" s="86"/>
      <c r="L80" s="35"/>
      <c r="M80" s="35"/>
      <c r="N80" s="46"/>
      <c r="O80" s="47"/>
      <c r="P80" s="48"/>
      <c r="Q80" s="47"/>
      <c r="R80" s="397"/>
      <c r="S80" s="397"/>
      <c r="T80" s="37"/>
      <c r="U80" s="37"/>
      <c r="V80" s="37"/>
      <c r="W80" s="37"/>
      <c r="X80" s="394"/>
      <c r="Y80" s="213"/>
      <c r="Z80" s="37"/>
      <c r="AA80" s="49"/>
      <c r="AB80" s="49"/>
      <c r="AC80" s="37"/>
      <c r="AD80" s="37"/>
      <c r="AE80" s="233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3"/>
      <c r="BC80" s="53"/>
      <c r="BD80" s="53"/>
      <c r="BE80" s="33"/>
      <c r="BF80" s="53"/>
    </row>
    <row r="81" spans="1:58" ht="12.95" customHeight="1">
      <c r="A81" s="40">
        <v>45948</v>
      </c>
      <c r="B81" s="41" t="s">
        <v>523</v>
      </c>
      <c r="C81" s="428">
        <f>(M81*E81*O81*Q81)/100000000</f>
        <v>50.803199999999997</v>
      </c>
      <c r="D81" s="41" t="s">
        <v>297</v>
      </c>
      <c r="E81" s="42">
        <v>12</v>
      </c>
      <c r="F81" s="42">
        <v>1</v>
      </c>
      <c r="G81" s="472">
        <v>1400</v>
      </c>
      <c r="H81" s="489">
        <f>+N81</f>
        <v>0.25</v>
      </c>
      <c r="I81" s="45">
        <v>0.88</v>
      </c>
      <c r="J81" s="86">
        <f>E81*G81*(1-H81)*1440/1000000*2.87</f>
        <v>52.073279999999997</v>
      </c>
      <c r="K81" s="86">
        <f>(IF(G81&lt;L81,L81,G81)*(1-IF(H81&lt;N81,H81,N81))*E81*O81*Q81)/100000000</f>
        <v>50.803199999999997</v>
      </c>
      <c r="L81" s="35">
        <v>1400</v>
      </c>
      <c r="M81" s="35">
        <v>1050</v>
      </c>
      <c r="N81" s="46">
        <f>1-(M81/L81)</f>
        <v>0.25</v>
      </c>
      <c r="O81" s="47">
        <f>+'Trim Rwd'!H70</f>
        <v>280</v>
      </c>
      <c r="P81" s="48">
        <f>O81*(Q81-R81-S81)</f>
        <v>384440</v>
      </c>
      <c r="Q81" s="47">
        <v>1440</v>
      </c>
      <c r="R81" s="397">
        <v>0</v>
      </c>
      <c r="S81" s="397">
        <f>35+4+28</f>
        <v>67</v>
      </c>
      <c r="T81" s="37">
        <f>E81*M81*O81*Q81/100000000</f>
        <v>50.803199999999997</v>
      </c>
      <c r="U81" s="37">
        <f>E81*M81*O81*(Q81-R81-S81)/100000000</f>
        <v>48.439439999999998</v>
      </c>
      <c r="V81" s="37">
        <f>E81*G81*(1-N81)*O81/100*(R81+S81)/1000000</f>
        <v>2.3637600000000001</v>
      </c>
      <c r="W81" s="37">
        <f>+'18'!K34/1000</f>
        <v>44.656999999999996</v>
      </c>
      <c r="X81" s="394">
        <f>SUM(W81:W84)/SUM(K81:K84)</f>
        <v>0.87901943184681275</v>
      </c>
      <c r="Y81" s="37">
        <v>0</v>
      </c>
      <c r="Z81" s="37">
        <f>+'18'!D34/1000</f>
        <v>0.25</v>
      </c>
      <c r="AA81" s="49">
        <f>SUM(U81:U84)-SUM(W81:W84)-SUM(Z81:Z84)-SUM(Y81:Y84)</f>
        <v>3.5324400000000011</v>
      </c>
      <c r="AB81" s="49">
        <f>(SUM(K81:K84)-SUM(W81:W84)-SUM(Y81:Y84)-SUM(Z81:Z84)-SUM(AC81:AC84)-SUM(V81:V84))-AA81</f>
        <v>0</v>
      </c>
      <c r="AC81" s="37">
        <f>K81-T81</f>
        <v>0</v>
      </c>
      <c r="AD81" s="37">
        <f>+AM81+BA81</f>
        <v>35</v>
      </c>
      <c r="AE81" s="230" t="s">
        <v>687</v>
      </c>
      <c r="AF81" s="37">
        <v>35</v>
      </c>
      <c r="AG81" s="37"/>
      <c r="AH81" s="37"/>
      <c r="AI81" s="474"/>
      <c r="AJ81" s="37"/>
      <c r="AK81" s="37"/>
      <c r="AL81" s="37"/>
      <c r="AM81" s="37">
        <f>SUM(AF81:AL81)+AT81+AV81+AX81</f>
        <v>35</v>
      </c>
      <c r="AN81" s="37"/>
      <c r="AO81" s="37"/>
      <c r="AP81" s="37"/>
      <c r="AQ81" s="37"/>
      <c r="AR81" s="37">
        <f>SUM(AN81:AQ81)</f>
        <v>0</v>
      </c>
      <c r="AS81" s="37"/>
      <c r="AT81" s="37"/>
      <c r="AU81" s="37"/>
      <c r="AV81" s="37"/>
      <c r="AW81" s="37"/>
      <c r="AX81" s="37"/>
      <c r="AY81" s="37"/>
      <c r="AZ81" s="37"/>
      <c r="BA81" s="37">
        <f>+AR81+AS81+AU81+AW81+AY81+AZ81</f>
        <v>0</v>
      </c>
      <c r="BB81" s="33">
        <v>7</v>
      </c>
      <c r="BC81" s="51"/>
      <c r="BD81" s="51"/>
      <c r="BE81" s="33"/>
      <c r="BF81" s="51"/>
    </row>
    <row r="82" spans="1:58" ht="12.95" customHeight="1">
      <c r="A82" s="40"/>
      <c r="B82" s="41"/>
      <c r="C82" s="428"/>
      <c r="D82" s="41"/>
      <c r="E82" s="42"/>
      <c r="F82" s="42"/>
      <c r="G82" s="472"/>
      <c r="H82" s="542"/>
      <c r="I82" s="45"/>
      <c r="J82" s="86"/>
      <c r="K82" s="86"/>
      <c r="L82" s="35"/>
      <c r="M82" s="35"/>
      <c r="N82" s="46"/>
      <c r="O82" s="47"/>
      <c r="P82" s="48"/>
      <c r="Q82" s="47"/>
      <c r="R82" s="397"/>
      <c r="S82" s="397"/>
      <c r="T82" s="37"/>
      <c r="U82" s="37"/>
      <c r="V82" s="37"/>
      <c r="W82" s="37"/>
      <c r="X82" s="394"/>
      <c r="Y82" s="213"/>
      <c r="Z82" s="37"/>
      <c r="AA82" s="37"/>
      <c r="AB82" s="37"/>
      <c r="AC82" s="37"/>
      <c r="AD82" s="37">
        <f>+AM82+BA82</f>
        <v>4</v>
      </c>
      <c r="AE82" s="230" t="s">
        <v>513</v>
      </c>
      <c r="AF82" s="37"/>
      <c r="AG82" s="37">
        <v>4</v>
      </c>
      <c r="AH82" s="37"/>
      <c r="AI82" s="474"/>
      <c r="AJ82" s="37"/>
      <c r="AK82" s="37"/>
      <c r="AL82" s="37"/>
      <c r="AM82" s="37">
        <f>SUM(AF82:AL82)+AT82+AV82+AX82</f>
        <v>4</v>
      </c>
      <c r="AN82" s="87"/>
      <c r="AO82" s="37"/>
      <c r="AP82" s="37"/>
      <c r="AQ82" s="37"/>
      <c r="AR82" s="37">
        <f>SUM(AN82:AQ82)</f>
        <v>0</v>
      </c>
      <c r="AS82" s="37"/>
      <c r="AT82" s="37"/>
      <c r="AU82" s="37"/>
      <c r="AV82" s="37"/>
      <c r="AW82" s="37"/>
      <c r="AX82" s="37"/>
      <c r="AY82" s="37"/>
      <c r="AZ82" s="37"/>
      <c r="BA82" s="37">
        <f>+AR82+AS82+AU82+AW82+AY82+AZ82</f>
        <v>0</v>
      </c>
      <c r="BB82" s="50"/>
      <c r="BC82" s="51">
        <v>1</v>
      </c>
      <c r="BD82" s="51"/>
      <c r="BE82" s="50"/>
      <c r="BF82" s="51"/>
    </row>
    <row r="83" spans="1:58" ht="12.95" customHeight="1">
      <c r="A83" s="40"/>
      <c r="B83" s="41"/>
      <c r="C83" s="428"/>
      <c r="D83" s="41"/>
      <c r="E83" s="42"/>
      <c r="F83" s="42"/>
      <c r="G83" s="472"/>
      <c r="H83" s="542"/>
      <c r="I83" s="45"/>
      <c r="J83" s="86"/>
      <c r="K83" s="86"/>
      <c r="L83" s="35"/>
      <c r="M83" s="35"/>
      <c r="N83" s="46"/>
      <c r="O83" s="47"/>
      <c r="P83" s="48"/>
      <c r="Q83" s="47"/>
      <c r="R83" s="397"/>
      <c r="S83" s="397"/>
      <c r="T83" s="37"/>
      <c r="U83" s="37"/>
      <c r="V83" s="37"/>
      <c r="W83" s="37"/>
      <c r="X83" s="394"/>
      <c r="Y83" s="213"/>
      <c r="Z83" s="37"/>
      <c r="AA83" s="37"/>
      <c r="AB83" s="37"/>
      <c r="AC83" s="37"/>
      <c r="AD83" s="37">
        <f>+AM83+BA83</f>
        <v>28</v>
      </c>
      <c r="AE83" s="230" t="s">
        <v>618</v>
      </c>
      <c r="AF83" s="33"/>
      <c r="AG83" s="33"/>
      <c r="AH83" s="33">
        <v>28</v>
      </c>
      <c r="AJ83" s="37"/>
      <c r="AK83" s="37"/>
      <c r="AL83" s="37"/>
      <c r="AM83" s="37">
        <f>SUM(AF83:AL83)+AT83+AV83+AX83</f>
        <v>28</v>
      </c>
      <c r="AN83" s="37"/>
      <c r="AO83" s="37"/>
      <c r="AP83" s="37"/>
      <c r="AQ83" s="37"/>
      <c r="AR83" s="37">
        <f>SUM(AN83:AQ83)</f>
        <v>0</v>
      </c>
      <c r="AS83" s="37"/>
      <c r="AT83" s="37"/>
      <c r="AU83" s="37"/>
      <c r="AV83" s="37"/>
      <c r="AW83" s="37"/>
      <c r="AX83" s="37"/>
      <c r="AY83" s="37"/>
      <c r="AZ83" s="37"/>
      <c r="BA83" s="37">
        <f>+AR83+AS83+AU83+AW83+AY83+AZ83</f>
        <v>0</v>
      </c>
      <c r="BB83" s="33"/>
      <c r="BC83" s="53"/>
      <c r="BD83" s="53"/>
      <c r="BE83" s="33"/>
      <c r="BF83" s="53"/>
    </row>
    <row r="84" spans="1:58" ht="12.95" customHeight="1">
      <c r="A84" s="40"/>
      <c r="B84" s="41"/>
      <c r="C84" s="428"/>
      <c r="D84" s="41"/>
      <c r="E84" s="42"/>
      <c r="F84" s="42"/>
      <c r="G84" s="43"/>
      <c r="H84" s="542"/>
      <c r="I84" s="45"/>
      <c r="J84" s="86"/>
      <c r="K84" s="86"/>
      <c r="L84" s="35"/>
      <c r="M84" s="35"/>
      <c r="N84" s="46"/>
      <c r="O84" s="47"/>
      <c r="P84" s="48"/>
      <c r="Q84" s="47"/>
      <c r="R84" s="397"/>
      <c r="S84" s="397"/>
      <c r="T84" s="37"/>
      <c r="U84" s="37"/>
      <c r="V84" s="37"/>
      <c r="W84" s="37"/>
      <c r="X84" s="394"/>
      <c r="Y84" s="213"/>
      <c r="Z84" s="37"/>
      <c r="AA84" s="49"/>
      <c r="AB84" s="49"/>
      <c r="AC84" s="37"/>
      <c r="AD84" s="37"/>
      <c r="AE84" s="233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3"/>
      <c r="BC84" s="53"/>
      <c r="BD84" s="53"/>
      <c r="BE84" s="33"/>
      <c r="BF84" s="53"/>
    </row>
    <row r="85" spans="1:58" ht="12.95" customHeight="1">
      <c r="A85" s="40">
        <v>45949</v>
      </c>
      <c r="B85" s="41" t="s">
        <v>523</v>
      </c>
      <c r="C85" s="428">
        <f>(M85*E85*O85*Q85)/100000000</f>
        <v>50.71752</v>
      </c>
      <c r="D85" s="41" t="s">
        <v>297</v>
      </c>
      <c r="E85" s="42">
        <v>12</v>
      </c>
      <c r="F85" s="42">
        <v>1</v>
      </c>
      <c r="G85" s="472">
        <v>1400</v>
      </c>
      <c r="H85" s="489">
        <f>+N85</f>
        <v>0.25</v>
      </c>
      <c r="I85" s="45">
        <v>0.88</v>
      </c>
      <c r="J85" s="86">
        <f>E85*G85*(1-H85)*1440/1000000*2.87</f>
        <v>52.073279999999997</v>
      </c>
      <c r="K85" s="86">
        <f>(IF(G85&lt;L85,L85,G85)*(1-IF(H85&lt;N85,H85,N85))*E85*O85*Q85)/100000000</f>
        <v>50.803199999999997</v>
      </c>
      <c r="L85" s="35">
        <v>1397.6388888888889</v>
      </c>
      <c r="M85" s="35">
        <v>1048.2291666666667</v>
      </c>
      <c r="N85" s="46">
        <f>1-(M85/L85)</f>
        <v>0.25</v>
      </c>
      <c r="O85" s="47">
        <f>+'Trim Rwd'!H73</f>
        <v>280</v>
      </c>
      <c r="P85" s="48">
        <f>O85*(Q85-R85-S85)</f>
        <v>386400</v>
      </c>
      <c r="Q85" s="47">
        <v>1440</v>
      </c>
      <c r="R85" s="397">
        <v>0</v>
      </c>
      <c r="S85" s="397">
        <v>60</v>
      </c>
      <c r="T85" s="37">
        <f>E85*M85*O85*Q85/100000000</f>
        <v>50.71752</v>
      </c>
      <c r="U85" s="37">
        <f>E85*M85*O85*(Q85-R85-S85)/100000000</f>
        <v>48.604289999999999</v>
      </c>
      <c r="V85" s="37">
        <f>E85*G85*(1-N85)*O85/100*(R85+S85)/1000000</f>
        <v>2.1168</v>
      </c>
      <c r="W85" s="37">
        <f>+'19'!K34/1000</f>
        <v>46.783999999999999</v>
      </c>
      <c r="X85" s="394">
        <f>SUM(W85:W88)/SUM(K85:K88)</f>
        <v>0.9208868732678257</v>
      </c>
      <c r="Y85" s="37">
        <v>0</v>
      </c>
      <c r="Z85" s="37">
        <v>0</v>
      </c>
      <c r="AA85" s="49">
        <f>SUM(U85:U88)-SUM(W85:W88)-SUM(Z85:Z88)-SUM(Y85:Y88)</f>
        <v>1.82029</v>
      </c>
      <c r="AB85" s="49">
        <f>(SUM(K85:K88)-SUM(W85:W88)-SUM(Y85:Y88)-SUM(Z85:Z88)-SUM(AC85:AC88)-SUM(V85:V88))-AA85</f>
        <v>-3.5699999999985188E-3</v>
      </c>
      <c r="AC85" s="37">
        <f>K85-T85</f>
        <v>8.5679999999996426E-2</v>
      </c>
      <c r="AD85" s="37">
        <f>+AM85+BA85</f>
        <v>35</v>
      </c>
      <c r="AE85" s="230" t="s">
        <v>687</v>
      </c>
      <c r="AF85" s="37">
        <v>35</v>
      </c>
      <c r="AG85" s="37"/>
      <c r="AH85" s="37"/>
      <c r="AI85" s="474"/>
      <c r="AJ85" s="37"/>
      <c r="AK85" s="37"/>
      <c r="AL85" s="37"/>
      <c r="AM85" s="37">
        <f>SUM(AF85:AL85)+AT85+AV85+AX85</f>
        <v>35</v>
      </c>
      <c r="AN85" s="37"/>
      <c r="AO85" s="37"/>
      <c r="AP85" s="37"/>
      <c r="AQ85" s="37"/>
      <c r="AR85" s="37">
        <f>SUM(AN85:AQ85)</f>
        <v>0</v>
      </c>
      <c r="AS85" s="37"/>
      <c r="AT85" s="37"/>
      <c r="AU85" s="37"/>
      <c r="AV85" s="37"/>
      <c r="AW85" s="37"/>
      <c r="AX85" s="37"/>
      <c r="AY85" s="37"/>
      <c r="AZ85" s="37"/>
      <c r="BA85" s="37">
        <f>+AR85+AS85+AU85+AW85+AY85+AZ85</f>
        <v>0</v>
      </c>
      <c r="BB85" s="33">
        <v>7</v>
      </c>
      <c r="BC85" s="51"/>
      <c r="BD85" s="51"/>
      <c r="BE85" s="33"/>
      <c r="BF85" s="51"/>
    </row>
    <row r="86" spans="1:58" ht="12.95" customHeight="1">
      <c r="A86" s="40"/>
      <c r="B86" s="41"/>
      <c r="C86" s="428"/>
      <c r="D86" s="41"/>
      <c r="E86" s="42"/>
      <c r="F86" s="42"/>
      <c r="G86" s="472"/>
      <c r="H86" s="542"/>
      <c r="I86" s="45"/>
      <c r="J86" s="86"/>
      <c r="K86" s="86"/>
      <c r="L86" s="35"/>
      <c r="M86" s="35"/>
      <c r="N86" s="46"/>
      <c r="O86" s="47"/>
      <c r="P86" s="48"/>
      <c r="Q86" s="47"/>
      <c r="R86" s="397"/>
      <c r="S86" s="397"/>
      <c r="T86" s="37"/>
      <c r="U86" s="37"/>
      <c r="V86" s="37"/>
      <c r="W86" s="37"/>
      <c r="X86" s="394"/>
      <c r="Y86" s="213"/>
      <c r="Z86" s="37"/>
      <c r="AA86" s="37"/>
      <c r="AB86" s="37"/>
      <c r="AC86" s="37"/>
      <c r="AD86" s="37">
        <f>+AM86+BA86</f>
        <v>0</v>
      </c>
      <c r="AE86" s="230" t="s">
        <v>426</v>
      </c>
      <c r="AF86" s="37"/>
      <c r="AG86" s="37">
        <v>0</v>
      </c>
      <c r="AH86" s="37"/>
      <c r="AI86" s="474"/>
      <c r="AJ86" s="37"/>
      <c r="AK86" s="37"/>
      <c r="AL86" s="37"/>
      <c r="AM86" s="37">
        <f>SUM(AF86:AL86)+AT86+AV86+AX86</f>
        <v>0</v>
      </c>
      <c r="AN86" s="87"/>
      <c r="AO86" s="37"/>
      <c r="AP86" s="37"/>
      <c r="AQ86" s="37"/>
      <c r="AR86" s="37">
        <f>SUM(AN86:AQ86)</f>
        <v>0</v>
      </c>
      <c r="AS86" s="37"/>
      <c r="AT86" s="37"/>
      <c r="AU86" s="37"/>
      <c r="AV86" s="37"/>
      <c r="AW86" s="37"/>
      <c r="AX86" s="37"/>
      <c r="AY86" s="37"/>
      <c r="AZ86" s="37"/>
      <c r="BA86" s="37">
        <f>+AR86+AS86+AU86+AW86+AY86+AZ86</f>
        <v>0</v>
      </c>
      <c r="BB86" s="50"/>
      <c r="BC86" s="51">
        <v>0</v>
      </c>
      <c r="BD86" s="51"/>
      <c r="BE86" s="50"/>
      <c r="BF86" s="51"/>
    </row>
    <row r="87" spans="1:58" ht="12.95" customHeight="1">
      <c r="A87" s="40"/>
      <c r="B87" s="41"/>
      <c r="C87" s="428"/>
      <c r="D87" s="41"/>
      <c r="E87" s="42"/>
      <c r="F87" s="42"/>
      <c r="G87" s="472"/>
      <c r="H87" s="542"/>
      <c r="I87" s="45"/>
      <c r="J87" s="86"/>
      <c r="K87" s="86"/>
      <c r="L87" s="35"/>
      <c r="M87" s="35"/>
      <c r="N87" s="46"/>
      <c r="O87" s="47"/>
      <c r="P87" s="48"/>
      <c r="Q87" s="47"/>
      <c r="R87" s="397"/>
      <c r="S87" s="397"/>
      <c r="T87" s="37"/>
      <c r="U87" s="37"/>
      <c r="V87" s="37"/>
      <c r="W87" s="37"/>
      <c r="X87" s="394"/>
      <c r="Y87" s="213"/>
      <c r="Z87" s="37"/>
      <c r="AA87" s="37"/>
      <c r="AB87" s="37"/>
      <c r="AC87" s="37"/>
      <c r="AD87" s="37">
        <f>+AM87+BA87</f>
        <v>25</v>
      </c>
      <c r="AE87" s="230" t="s">
        <v>527</v>
      </c>
      <c r="AF87" s="33"/>
      <c r="AG87" s="33"/>
      <c r="AH87" s="33">
        <v>25</v>
      </c>
      <c r="AJ87" s="37"/>
      <c r="AK87" s="37"/>
      <c r="AL87" s="37"/>
      <c r="AM87" s="37">
        <f>SUM(AF87:AL87)+AT87+AV87+AX87</f>
        <v>25</v>
      </c>
      <c r="AN87" s="37"/>
      <c r="AO87" s="37"/>
      <c r="AP87" s="37"/>
      <c r="AQ87" s="37"/>
      <c r="AR87" s="37">
        <f>SUM(AN87:AQ87)</f>
        <v>0</v>
      </c>
      <c r="AS87" s="37"/>
      <c r="AT87" s="37"/>
      <c r="AU87" s="37"/>
      <c r="AV87" s="37"/>
      <c r="AW87" s="37"/>
      <c r="AX87" s="37"/>
      <c r="AY87" s="37"/>
      <c r="AZ87" s="37"/>
      <c r="BA87" s="37">
        <f>+AR87+AS87+AU87+AW87+AY87+AZ87</f>
        <v>0</v>
      </c>
      <c r="BB87" s="33"/>
      <c r="BC87" s="53"/>
      <c r="BD87" s="53"/>
      <c r="BE87" s="33"/>
      <c r="BF87" s="53"/>
    </row>
    <row r="88" spans="1:58" ht="12.95" customHeight="1">
      <c r="A88" s="40"/>
      <c r="B88" s="41"/>
      <c r="C88" s="428"/>
      <c r="D88" s="41"/>
      <c r="E88" s="42"/>
      <c r="F88" s="42"/>
      <c r="G88" s="43"/>
      <c r="H88" s="542"/>
      <c r="I88" s="45"/>
      <c r="J88" s="86"/>
      <c r="K88" s="86"/>
      <c r="L88" s="35"/>
      <c r="M88" s="35"/>
      <c r="N88" s="46"/>
      <c r="O88" s="47"/>
      <c r="P88" s="48"/>
      <c r="Q88" s="47"/>
      <c r="R88" s="397"/>
      <c r="S88" s="397"/>
      <c r="T88" s="37"/>
      <c r="U88" s="37"/>
      <c r="V88" s="37"/>
      <c r="W88" s="37"/>
      <c r="X88" s="394"/>
      <c r="Y88" s="213"/>
      <c r="Z88" s="37"/>
      <c r="AA88" s="49"/>
      <c r="AB88" s="49"/>
      <c r="AC88" s="37"/>
      <c r="AD88" s="37"/>
      <c r="AE88" s="233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3"/>
      <c r="BC88" s="53"/>
      <c r="BD88" s="53"/>
      <c r="BE88" s="33"/>
      <c r="BF88" s="53"/>
    </row>
    <row r="89" spans="1:58" ht="12.95" customHeight="1">
      <c r="A89" s="40">
        <v>45950</v>
      </c>
      <c r="B89" s="41" t="s">
        <v>523</v>
      </c>
      <c r="C89" s="428">
        <f>(M89*E89*O89*Q89)/100000000</f>
        <v>49.795200000000001</v>
      </c>
      <c r="D89" s="41" t="s">
        <v>297</v>
      </c>
      <c r="E89" s="42">
        <v>12</v>
      </c>
      <c r="F89" s="42">
        <v>1</v>
      </c>
      <c r="G89" s="472">
        <v>1400</v>
      </c>
      <c r="H89" s="489">
        <f>+N89</f>
        <v>0.25</v>
      </c>
      <c r="I89" s="45">
        <v>0.88</v>
      </c>
      <c r="J89" s="86">
        <f>E89*G89*(1-H89)*1440/1000000*2.87</f>
        <v>52.073279999999997</v>
      </c>
      <c r="K89" s="86">
        <f>(IF(G89&lt;L89,L89,G89)*(1-IF(H89&lt;N89,H89,N89))*E89*O89*Q89)/100000000</f>
        <v>49.795200000000001</v>
      </c>
      <c r="L89" s="35">
        <v>1400</v>
      </c>
      <c r="M89" s="35">
        <v>1050</v>
      </c>
      <c r="N89" s="46">
        <f>1-(M89/L89)</f>
        <v>0.25</v>
      </c>
      <c r="O89" s="47">
        <f>+'Trim Rwd'!H76</f>
        <v>274.44444444444446</v>
      </c>
      <c r="P89" s="48">
        <f>O89*(Q89-R89-S89)</f>
        <v>386417.77777777781</v>
      </c>
      <c r="Q89" s="47">
        <v>1440</v>
      </c>
      <c r="R89" s="397">
        <v>0</v>
      </c>
      <c r="S89" s="397">
        <v>32</v>
      </c>
      <c r="T89" s="37">
        <f>E89*M89*O89*Q89/100000000</f>
        <v>49.795200000000001</v>
      </c>
      <c r="U89" s="37">
        <f>E89*M89*O89*(Q89-R89-S89)/100000000</f>
        <v>48.688639999999999</v>
      </c>
      <c r="V89" s="37">
        <f>E89*G89*(1-N89)*O89/100*(R89+S89)/1000000</f>
        <v>1.10656</v>
      </c>
      <c r="W89" s="37">
        <f>+'20'!K34/1000</f>
        <v>50.112000000000002</v>
      </c>
      <c r="X89" s="394">
        <f>SUM(W89:W92)/SUM(K89:K92)</f>
        <v>1.006362058993638</v>
      </c>
      <c r="Y89" s="37">
        <v>0</v>
      </c>
      <c r="Z89" s="37">
        <v>0</v>
      </c>
      <c r="AA89" s="49">
        <f>SUM(U89:U92)-SUM(W89:W92)-SUM(Z89:Z92)-SUM(Y89:Y92)</f>
        <v>-1.4233600000000024</v>
      </c>
      <c r="AB89" s="49">
        <f>(SUM(K89:K92)-SUM(W89:W92)-SUM(Y89:Y92)-SUM(Z89:Z92)-SUM(AC89:AC92)-SUM(V89:V92))-AA89</f>
        <v>1.7763568394002505E-15</v>
      </c>
      <c r="AC89" s="37">
        <f>K89-T89</f>
        <v>0</v>
      </c>
      <c r="AD89" s="37">
        <f>+AM89+BA89</f>
        <v>5</v>
      </c>
      <c r="AE89" s="230" t="s">
        <v>522</v>
      </c>
      <c r="AF89" s="37">
        <v>5</v>
      </c>
      <c r="AG89" s="37"/>
      <c r="AH89" s="37"/>
      <c r="AI89" s="474"/>
      <c r="AJ89" s="37"/>
      <c r="AK89" s="37"/>
      <c r="AL89" s="37"/>
      <c r="AM89" s="37">
        <f>SUM(AF89:AL89)+AT89+AV89+AX89</f>
        <v>5</v>
      </c>
      <c r="AN89" s="37"/>
      <c r="AO89" s="37"/>
      <c r="AP89" s="37"/>
      <c r="AQ89" s="37"/>
      <c r="AR89" s="37">
        <f>SUM(AN89:AQ89)</f>
        <v>0</v>
      </c>
      <c r="AS89" s="37"/>
      <c r="AT89" s="37"/>
      <c r="AU89" s="37"/>
      <c r="AV89" s="37"/>
      <c r="AW89" s="37"/>
      <c r="AX89" s="37"/>
      <c r="AY89" s="37"/>
      <c r="AZ89" s="37"/>
      <c r="BA89" s="37">
        <f>+AR89+AS89+AU89+AW89+AY89+AZ89</f>
        <v>0</v>
      </c>
      <c r="BB89" s="33">
        <v>1</v>
      </c>
      <c r="BC89" s="51"/>
      <c r="BD89" s="51"/>
      <c r="BE89" s="33"/>
      <c r="BF89" s="51"/>
    </row>
    <row r="90" spans="1:58" ht="12.95" customHeight="1">
      <c r="A90" s="40"/>
      <c r="B90" s="41"/>
      <c r="C90" s="428"/>
      <c r="D90" s="41"/>
      <c r="E90" s="42"/>
      <c r="F90" s="42"/>
      <c r="G90" s="472"/>
      <c r="H90" s="542"/>
      <c r="I90" s="45"/>
      <c r="J90" s="86"/>
      <c r="K90" s="86"/>
      <c r="L90" s="35"/>
      <c r="M90" s="35"/>
      <c r="N90" s="46"/>
      <c r="O90" s="47"/>
      <c r="P90" s="48"/>
      <c r="Q90" s="47"/>
      <c r="R90" s="397"/>
      <c r="S90" s="397"/>
      <c r="T90" s="37"/>
      <c r="U90" s="37"/>
      <c r="V90" s="37"/>
      <c r="W90" s="37"/>
      <c r="X90" s="394"/>
      <c r="Y90" s="213"/>
      <c r="Z90" s="37"/>
      <c r="AA90" s="37"/>
      <c r="AB90" s="37"/>
      <c r="AC90" s="37"/>
      <c r="AD90" s="37">
        <f>+AM90+BA90</f>
        <v>0</v>
      </c>
      <c r="AE90" s="230" t="s">
        <v>426</v>
      </c>
      <c r="AF90" s="37"/>
      <c r="AG90" s="37">
        <v>0</v>
      </c>
      <c r="AH90" s="37"/>
      <c r="AI90" s="474"/>
      <c r="AJ90" s="37"/>
      <c r="AK90" s="37"/>
      <c r="AL90" s="37"/>
      <c r="AM90" s="37">
        <f>SUM(AF90:AL90)+AT90+AV90+AX90</f>
        <v>0</v>
      </c>
      <c r="AN90" s="87"/>
      <c r="AO90" s="37"/>
      <c r="AP90" s="37"/>
      <c r="AQ90" s="37"/>
      <c r="AR90" s="37">
        <f>SUM(AN90:AQ90)</f>
        <v>0</v>
      </c>
      <c r="AS90" s="37"/>
      <c r="AT90" s="37"/>
      <c r="AU90" s="37"/>
      <c r="AV90" s="37"/>
      <c r="AW90" s="37"/>
      <c r="AX90" s="37"/>
      <c r="AY90" s="37"/>
      <c r="AZ90" s="37"/>
      <c r="BA90" s="37">
        <f>+AR90+AS90+AU90+AW90+AY90+AZ90</f>
        <v>0</v>
      </c>
      <c r="BB90" s="50"/>
      <c r="BC90" s="51">
        <v>0</v>
      </c>
      <c r="BD90" s="51"/>
      <c r="BE90" s="50"/>
      <c r="BF90" s="51"/>
    </row>
    <row r="91" spans="1:58" ht="12.95" customHeight="1">
      <c r="A91" s="40"/>
      <c r="B91" s="41"/>
      <c r="C91" s="428"/>
      <c r="D91" s="41"/>
      <c r="E91" s="42"/>
      <c r="F91" s="42"/>
      <c r="G91" s="472"/>
      <c r="H91" s="542"/>
      <c r="I91" s="45"/>
      <c r="J91" s="86"/>
      <c r="K91" s="86"/>
      <c r="L91" s="35"/>
      <c r="M91" s="35"/>
      <c r="N91" s="46"/>
      <c r="O91" s="47"/>
      <c r="P91" s="48"/>
      <c r="Q91" s="47"/>
      <c r="R91" s="397"/>
      <c r="S91" s="397"/>
      <c r="T91" s="37"/>
      <c r="U91" s="37"/>
      <c r="V91" s="37"/>
      <c r="W91" s="37"/>
      <c r="X91" s="394"/>
      <c r="Y91" s="213"/>
      <c r="Z91" s="37"/>
      <c r="AA91" s="37"/>
      <c r="AB91" s="37"/>
      <c r="AC91" s="37"/>
      <c r="AD91" s="37">
        <f>+AM91+BA91</f>
        <v>27</v>
      </c>
      <c r="AE91" s="230" t="s">
        <v>744</v>
      </c>
      <c r="AF91" s="33"/>
      <c r="AG91" s="33"/>
      <c r="AH91" s="33">
        <v>27</v>
      </c>
      <c r="AJ91" s="37"/>
      <c r="AK91" s="37"/>
      <c r="AL91" s="37"/>
      <c r="AM91" s="37">
        <f>SUM(AF91:AL91)+AT91+AV91+AX91</f>
        <v>27</v>
      </c>
      <c r="AN91" s="37"/>
      <c r="AO91" s="37"/>
      <c r="AP91" s="37"/>
      <c r="AQ91" s="37"/>
      <c r="AR91" s="37">
        <f>SUM(AN91:AQ91)</f>
        <v>0</v>
      </c>
      <c r="AS91" s="37"/>
      <c r="AT91" s="37"/>
      <c r="AU91" s="37"/>
      <c r="AV91" s="37"/>
      <c r="AW91" s="37"/>
      <c r="AX91" s="37"/>
      <c r="AY91" s="37"/>
      <c r="AZ91" s="37"/>
      <c r="BA91" s="37">
        <f>+AR91+AS91+AU91+AW91+AY91+AZ91</f>
        <v>0</v>
      </c>
      <c r="BB91" s="33"/>
      <c r="BC91" s="53"/>
      <c r="BD91" s="53"/>
      <c r="BE91" s="33"/>
      <c r="BF91" s="53"/>
    </row>
    <row r="92" spans="1:58" ht="12.95" customHeight="1">
      <c r="A92" s="40"/>
      <c r="B92" s="41"/>
      <c r="C92" s="428"/>
      <c r="D92" s="41"/>
      <c r="E92" s="42"/>
      <c r="F92" s="42"/>
      <c r="G92" s="43"/>
      <c r="H92" s="542"/>
      <c r="I92" s="45"/>
      <c r="J92" s="86"/>
      <c r="K92" s="86"/>
      <c r="L92" s="35"/>
      <c r="M92" s="35"/>
      <c r="N92" s="46"/>
      <c r="O92" s="47"/>
      <c r="P92" s="48"/>
      <c r="Q92" s="47"/>
      <c r="R92" s="397"/>
      <c r="S92" s="397"/>
      <c r="T92" s="37"/>
      <c r="U92" s="37"/>
      <c r="V92" s="37"/>
      <c r="W92" s="37"/>
      <c r="X92" s="394"/>
      <c r="Y92" s="213"/>
      <c r="Z92" s="37"/>
      <c r="AA92" s="49"/>
      <c r="AB92" s="49"/>
      <c r="AC92" s="37"/>
      <c r="AD92" s="37"/>
      <c r="AE92" s="233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3"/>
      <c r="BC92" s="53"/>
      <c r="BD92" s="53"/>
      <c r="BE92" s="33"/>
      <c r="BF92" s="53"/>
    </row>
    <row r="93" spans="1:58" ht="12.95" customHeight="1">
      <c r="A93" s="40">
        <v>45951</v>
      </c>
      <c r="B93" s="41" t="s">
        <v>523</v>
      </c>
      <c r="C93" s="428">
        <f>(M93*E93*O93*Q93)/100000000</f>
        <v>26.125173975903618</v>
      </c>
      <c r="D93" s="41" t="s">
        <v>297</v>
      </c>
      <c r="E93" s="42">
        <v>12</v>
      </c>
      <c r="F93" s="42">
        <v>1</v>
      </c>
      <c r="G93" s="472">
        <v>1400</v>
      </c>
      <c r="H93" s="489">
        <f>+N93</f>
        <v>0.24</v>
      </c>
      <c r="I93" s="45">
        <v>0.88</v>
      </c>
      <c r="J93" s="86">
        <f>E93*G93*(1-H93)*1440/1000000*2.87</f>
        <v>52.767590399999996</v>
      </c>
      <c r="K93" s="86">
        <f>(IF(G93&lt;L93,L93,G93)*(1-IF(H93&lt;N93,H93,N93))*E93*O93*Q93)/100000000</f>
        <v>26.125173975903618</v>
      </c>
      <c r="L93" s="35">
        <v>1400</v>
      </c>
      <c r="M93" s="35">
        <v>1064</v>
      </c>
      <c r="N93" s="46">
        <f>1-(M93/L93)</f>
        <v>0.24</v>
      </c>
      <c r="O93" s="47">
        <f>+'Trim Rwd'!H79</f>
        <v>276.50602409638554</v>
      </c>
      <c r="P93" s="48">
        <f>O93*(Q93-R93-S93)</f>
        <v>198254.81927710844</v>
      </c>
      <c r="Q93" s="47">
        <v>740</v>
      </c>
      <c r="R93" s="397">
        <v>0</v>
      </c>
      <c r="S93" s="397">
        <v>23</v>
      </c>
      <c r="T93" s="37">
        <f>E93*M93*O93*Q93/100000000</f>
        <v>26.125173975903618</v>
      </c>
      <c r="U93" s="37">
        <f>E93*M93*O93*(Q93-R93-S93)/100000000</f>
        <v>25.313175325301202</v>
      </c>
      <c r="V93" s="37">
        <f>E93*G93*(1-N93)*O93/100*(R93+S93)/1000000</f>
        <v>0.81199865060240961</v>
      </c>
      <c r="W93" s="37">
        <f>+'21'!K12/1000</f>
        <v>28.648</v>
      </c>
      <c r="X93" s="394">
        <f>SUM(W93:W96)/SUM(K93:K96)</f>
        <v>0.81316847105021561</v>
      </c>
      <c r="Y93" s="37">
        <v>0</v>
      </c>
      <c r="Z93" s="37">
        <f>+'21'!D16/1000</f>
        <v>0.502</v>
      </c>
      <c r="AA93" s="49">
        <f>SUM(U93:U96)-SUM(W93:W96)-SUM(Z93:Z96)-SUM(Y93:Y96)</f>
        <v>5.595585655301198</v>
      </c>
      <c r="AB93" s="49">
        <f>(SUM(K93:K96)-SUM(W93:W96)-SUM(Y93:Y96)-SUM(Z93:Z96)-SUM(AC93:AC96)-SUM(V93:V96))-AA93</f>
        <v>-4.2727334230678871E-2</v>
      </c>
      <c r="AC93" s="37">
        <f>K93-T93</f>
        <v>0</v>
      </c>
      <c r="AD93" s="37">
        <f>+AM93+BA93</f>
        <v>20</v>
      </c>
      <c r="AE93" s="230" t="s">
        <v>515</v>
      </c>
      <c r="AF93" s="37">
        <v>20</v>
      </c>
      <c r="AG93" s="37"/>
      <c r="AH93" s="37"/>
      <c r="AI93" s="474"/>
      <c r="AJ93" s="37"/>
      <c r="AK93" s="37"/>
      <c r="AL93" s="37"/>
      <c r="AM93" s="37">
        <f>SUM(AF93:AL93)+AT93+AV93+AX93</f>
        <v>20</v>
      </c>
      <c r="AN93" s="37"/>
      <c r="AO93" s="37"/>
      <c r="AP93" s="37"/>
      <c r="AQ93" s="37"/>
      <c r="AR93" s="37">
        <f>SUM(AN93:AQ93)</f>
        <v>0</v>
      </c>
      <c r="AS93" s="37"/>
      <c r="AT93" s="37"/>
      <c r="AU93" s="37"/>
      <c r="AV93" s="37"/>
      <c r="AW93" s="37"/>
      <c r="AX93" s="37"/>
      <c r="AY93" s="37"/>
      <c r="AZ93" s="37"/>
      <c r="BA93" s="37">
        <f>+AR93+AS93+AU93+AW93+AY93+AZ93</f>
        <v>0</v>
      </c>
      <c r="BB93" s="33">
        <v>4</v>
      </c>
      <c r="BC93" s="51"/>
      <c r="BD93" s="51"/>
      <c r="BE93" s="33"/>
      <c r="BF93" s="51"/>
    </row>
    <row r="94" spans="1:58" ht="12.95" customHeight="1">
      <c r="A94" s="40"/>
      <c r="B94" s="41" t="s">
        <v>416</v>
      </c>
      <c r="C94" s="428">
        <f>(M94*E94*O94*Q94)/100000000</f>
        <v>24.627603000000001</v>
      </c>
      <c r="D94" s="41" t="s">
        <v>297</v>
      </c>
      <c r="E94" s="42">
        <v>12.5</v>
      </c>
      <c r="F94" s="42">
        <v>1</v>
      </c>
      <c r="G94" s="604">
        <v>1390</v>
      </c>
      <c r="H94" s="489">
        <f>+N94</f>
        <v>0.23316598138930955</v>
      </c>
      <c r="I94" s="45">
        <v>0.88</v>
      </c>
      <c r="J94" s="86">
        <f>E94*G94*(1-H94)*1440/1000000*2.87</f>
        <v>55.064357107985295</v>
      </c>
      <c r="K94" s="86">
        <f>(IF(G94&lt;L94,L94,G94)*(1-IF(H94&lt;N94,H94,N94))*E94*O94*Q94)/100000000</f>
        <v>25.928000128760015</v>
      </c>
      <c r="L94" s="35">
        <v>1320.2857142857142</v>
      </c>
      <c r="M94" s="35">
        <v>1012.44</v>
      </c>
      <c r="N94" s="46">
        <f>1-(M94/L94)</f>
        <v>0.23316598138930955</v>
      </c>
      <c r="O94" s="47">
        <f>+'Trim Rwd'!H81</f>
        <v>278</v>
      </c>
      <c r="P94" s="48">
        <f>O94*(Q94-R94-S94)</f>
        <v>188206</v>
      </c>
      <c r="Q94" s="47">
        <v>700</v>
      </c>
      <c r="R94" s="397">
        <v>0</v>
      </c>
      <c r="S94" s="397">
        <v>23</v>
      </c>
      <c r="T94" s="37">
        <f>E94*M94*O94*Q94/100000000</f>
        <v>24.627603000000001</v>
      </c>
      <c r="U94" s="37">
        <f>E94*M94*O94*(Q94-R94-S94)/100000000</f>
        <v>23.818410329999999</v>
      </c>
      <c r="V94" s="37">
        <f>E94*G94*(1-N94)*O94/100*(R94+S94)/1000000</f>
        <v>0.85192000423068615</v>
      </c>
      <c r="W94" s="37">
        <f>+'21'!K13/1000</f>
        <v>13.68</v>
      </c>
      <c r="X94" s="394"/>
      <c r="Y94" s="213"/>
      <c r="Z94" s="37">
        <f>+'21'!D25/1000</f>
        <v>0.70599999999999996</v>
      </c>
      <c r="AA94" s="37"/>
      <c r="AB94" s="37"/>
      <c r="AC94" s="37">
        <f>K94-T94</f>
        <v>1.3003971287600145</v>
      </c>
      <c r="AD94" s="37">
        <f>+AM94+BA94</f>
        <v>1</v>
      </c>
      <c r="AE94" s="230" t="s">
        <v>513</v>
      </c>
      <c r="AF94" s="37"/>
      <c r="AG94" s="37">
        <v>1</v>
      </c>
      <c r="AH94" s="37"/>
      <c r="AI94" s="474"/>
      <c r="AJ94" s="37"/>
      <c r="AK94" s="37"/>
      <c r="AL94" s="37"/>
      <c r="AM94" s="37">
        <f>SUM(AF94:AL94)+AT94+AV94+AX94</f>
        <v>1</v>
      </c>
      <c r="AN94" s="87"/>
      <c r="AO94" s="37"/>
      <c r="AP94" s="37"/>
      <c r="AQ94" s="37"/>
      <c r="AR94" s="37">
        <f>SUM(AN94:AQ94)</f>
        <v>0</v>
      </c>
      <c r="AS94" s="37"/>
      <c r="AT94" s="37"/>
      <c r="AU94" s="37"/>
      <c r="AV94" s="37"/>
      <c r="AW94" s="37"/>
      <c r="AX94" s="37"/>
      <c r="AY94" s="37"/>
      <c r="AZ94" s="37"/>
      <c r="BA94" s="37">
        <f>+AR94+AS94+AU94+AW94+AY94+AZ94</f>
        <v>0</v>
      </c>
      <c r="BB94" s="50"/>
      <c r="BC94" s="51">
        <v>1</v>
      </c>
      <c r="BD94" s="51"/>
      <c r="BE94" s="50"/>
      <c r="BF94" s="51"/>
    </row>
    <row r="95" spans="1:58" ht="12.95" customHeight="1">
      <c r="A95" s="40"/>
      <c r="B95" s="41"/>
      <c r="C95" s="428"/>
      <c r="D95" s="41"/>
      <c r="E95" s="42"/>
      <c r="F95" s="42"/>
      <c r="G95" s="472"/>
      <c r="H95" s="542"/>
      <c r="I95" s="45"/>
      <c r="J95" s="86"/>
      <c r="K95" s="86"/>
      <c r="L95" s="35"/>
      <c r="M95" s="35"/>
      <c r="N95" s="46"/>
      <c r="O95" s="47"/>
      <c r="P95" s="48"/>
      <c r="Q95" s="47"/>
      <c r="R95" s="397"/>
      <c r="S95" s="397"/>
      <c r="T95" s="37"/>
      <c r="U95" s="37"/>
      <c r="V95" s="37"/>
      <c r="W95" s="37"/>
      <c r="X95" s="394"/>
      <c r="Y95" s="213"/>
      <c r="Z95" s="37"/>
      <c r="AA95" s="37"/>
      <c r="AB95" s="37"/>
      <c r="AC95" s="37"/>
      <c r="AD95" s="37">
        <f>+AM95+BA95</f>
        <v>25</v>
      </c>
      <c r="AE95" s="230" t="s">
        <v>527</v>
      </c>
      <c r="AF95" s="33"/>
      <c r="AG95" s="33"/>
      <c r="AH95" s="33">
        <v>25</v>
      </c>
      <c r="AJ95" s="37"/>
      <c r="AK95" s="37"/>
      <c r="AL95" s="37"/>
      <c r="AM95" s="37">
        <f>SUM(AF95:AL95)+AT95+AV95+AX95</f>
        <v>25</v>
      </c>
      <c r="AN95" s="37"/>
      <c r="AO95" s="37"/>
      <c r="AP95" s="37"/>
      <c r="AQ95" s="37"/>
      <c r="AR95" s="37">
        <f>SUM(AN95:AQ95)</f>
        <v>0</v>
      </c>
      <c r="AS95" s="37"/>
      <c r="AT95" s="37"/>
      <c r="AU95" s="37"/>
      <c r="AV95" s="37"/>
      <c r="AW95" s="37"/>
      <c r="AX95" s="37"/>
      <c r="AY95" s="37"/>
      <c r="AZ95" s="37"/>
      <c r="BA95" s="37">
        <f>+AR95+AS95+AU95+AW95+AY95+AZ95</f>
        <v>0</v>
      </c>
      <c r="BB95" s="33"/>
      <c r="BC95" s="53"/>
      <c r="BD95" s="53"/>
      <c r="BE95" s="33"/>
      <c r="BF95" s="53"/>
    </row>
    <row r="96" spans="1:58" ht="12.95" customHeight="1">
      <c r="A96" s="40"/>
      <c r="B96" s="41"/>
      <c r="C96" s="428"/>
      <c r="D96" s="41"/>
      <c r="E96" s="42"/>
      <c r="F96" s="42"/>
      <c r="G96" s="43"/>
      <c r="H96" s="542"/>
      <c r="I96" s="45"/>
      <c r="J96" s="86"/>
      <c r="K96" s="86"/>
      <c r="L96" s="35"/>
      <c r="M96" s="35"/>
      <c r="N96" s="46"/>
      <c r="O96" s="47"/>
      <c r="P96" s="48"/>
      <c r="Q96" s="47"/>
      <c r="R96" s="397"/>
      <c r="S96" s="397"/>
      <c r="T96" s="37"/>
      <c r="U96" s="37"/>
      <c r="V96" s="37"/>
      <c r="W96" s="37"/>
      <c r="X96" s="394"/>
      <c r="Y96" s="213"/>
      <c r="Z96" s="37"/>
      <c r="AA96" s="49"/>
      <c r="AB96" s="49"/>
      <c r="AC96" s="37"/>
      <c r="AD96" s="37"/>
      <c r="AE96" s="233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3"/>
      <c r="BC96" s="53"/>
      <c r="BD96" s="53"/>
      <c r="BE96" s="33"/>
      <c r="BF96" s="53"/>
    </row>
    <row r="97" spans="1:58" ht="12.95" customHeight="1">
      <c r="A97" s="40">
        <v>45952</v>
      </c>
      <c r="B97" s="41" t="s">
        <v>416</v>
      </c>
      <c r="C97" s="428">
        <f>(M97*E97*O97*Q97)/100000000</f>
        <v>15.140853000000002</v>
      </c>
      <c r="D97" s="41" t="s">
        <v>297</v>
      </c>
      <c r="E97" s="42">
        <v>12.5</v>
      </c>
      <c r="F97" s="42">
        <v>1</v>
      </c>
      <c r="G97" s="604">
        <v>1365</v>
      </c>
      <c r="H97" s="489">
        <f>+N97</f>
        <v>0.21999999999999997</v>
      </c>
      <c r="I97" s="45">
        <v>0.88</v>
      </c>
      <c r="J97" s="86">
        <f>E97*G97*(1-H97)*1440/1000000*2.87</f>
        <v>55.002402000000004</v>
      </c>
      <c r="K97" s="86">
        <f>(IF(G97&lt;L97,L97,G97)*(1-IF(H97&lt;N97,H97,N97))*E97*O97*Q97)/100000000</f>
        <v>15.539296500000001</v>
      </c>
      <c r="L97" s="35">
        <v>1330</v>
      </c>
      <c r="M97" s="35">
        <v>1037.4000000000001</v>
      </c>
      <c r="N97" s="46">
        <f>1-(M97/L97)</f>
        <v>0.21999999999999997</v>
      </c>
      <c r="O97" s="47">
        <f>+'Trim Rwd'!H83</f>
        <v>278</v>
      </c>
      <c r="P97" s="48">
        <f>O97*(Q97-R97-S97)</f>
        <v>115370</v>
      </c>
      <c r="Q97" s="47">
        <v>420</v>
      </c>
      <c r="R97" s="397">
        <v>0</v>
      </c>
      <c r="S97" s="397">
        <v>5</v>
      </c>
      <c r="T97" s="37">
        <f>E97*M97*O97*Q97/100000000</f>
        <v>15.140853000000002</v>
      </c>
      <c r="U97" s="37">
        <f>E97*M97*O97*(Q97-R97-S97)/100000000</f>
        <v>14.960604750000002</v>
      </c>
      <c r="V97" s="37">
        <f>E97*G97*(1-N97)*O97/100*(R97+S97)/1000000</f>
        <v>0.18499162499999999</v>
      </c>
      <c r="W97" s="37">
        <f>+'22'!K7/1000</f>
        <v>22.745999999999999</v>
      </c>
      <c r="X97" s="394">
        <f>SUM(W97:W100)/SUM(K97:K100)</f>
        <v>0.95092447955510229</v>
      </c>
      <c r="Y97" s="37">
        <v>0</v>
      </c>
      <c r="Z97" s="37">
        <f>+'21'!D20/1000</f>
        <v>0</v>
      </c>
      <c r="AA97" s="49">
        <f>SUM(U97:U100)-SUM(W97:W100)-SUM(Z97:Z100)-SUM(Y97:Y100)</f>
        <v>1.3762342054054102</v>
      </c>
      <c r="AB97" s="49">
        <f>(SUM(K97:K100)-SUM(W97:W100)-SUM(Y97:Y100)-SUM(Z97:Z100)-SUM(AC97:AC100)-SUM(V97:V100))-AA97</f>
        <v>4.2576869594601163E-2</v>
      </c>
      <c r="AC97" s="37">
        <f>K97-T97</f>
        <v>0.39844349999999906</v>
      </c>
      <c r="AD97" s="37">
        <f>+AM97+BA97</f>
        <v>0</v>
      </c>
      <c r="AE97" s="230" t="s">
        <v>404</v>
      </c>
      <c r="AF97" s="37">
        <v>0</v>
      </c>
      <c r="AG97" s="37"/>
      <c r="AH97" s="37"/>
      <c r="AI97" s="474"/>
      <c r="AJ97" s="37"/>
      <c r="AK97" s="37"/>
      <c r="AL97" s="37"/>
      <c r="AM97" s="37">
        <f>SUM(AF97:AL97)+AT97+AV97+AX97</f>
        <v>0</v>
      </c>
      <c r="AN97" s="37"/>
      <c r="AO97" s="37"/>
      <c r="AP97" s="37"/>
      <c r="AQ97" s="37"/>
      <c r="AR97" s="37">
        <f>SUM(AN97:AQ97)</f>
        <v>0</v>
      </c>
      <c r="AS97" s="37"/>
      <c r="AT97" s="37"/>
      <c r="AU97" s="37"/>
      <c r="AV97" s="37"/>
      <c r="AW97" s="37"/>
      <c r="AX97" s="37"/>
      <c r="AY97" s="37"/>
      <c r="AZ97" s="37"/>
      <c r="BA97" s="37">
        <f>+AR97+AS97+AU97+AW97+AY97+AZ97</f>
        <v>0</v>
      </c>
      <c r="BB97" s="33">
        <v>0</v>
      </c>
      <c r="BC97" s="51"/>
      <c r="BD97" s="51"/>
      <c r="BE97" s="33"/>
      <c r="BF97" s="51"/>
    </row>
    <row r="98" spans="1:58" ht="12.95" customHeight="1">
      <c r="A98" s="40"/>
      <c r="B98" s="41" t="s">
        <v>416</v>
      </c>
      <c r="C98" s="428">
        <f t="shared" ref="C98:C99" si="0">(M98*E98*O98*Q98)/100000000</f>
        <v>29.420380520000005</v>
      </c>
      <c r="D98" s="41" t="s">
        <v>297</v>
      </c>
      <c r="E98" s="42">
        <v>14.5</v>
      </c>
      <c r="F98" s="42">
        <v>1</v>
      </c>
      <c r="G98" s="472">
        <v>1220</v>
      </c>
      <c r="H98" s="489">
        <f t="shared" ref="H98:H99" si="1">+N98</f>
        <v>0.24</v>
      </c>
      <c r="I98" s="45">
        <v>0.88</v>
      </c>
      <c r="J98" s="86">
        <f>E98*G98*(1-H98)*1440/1000000*2.87</f>
        <v>55.563016320000003</v>
      </c>
      <c r="K98" s="86">
        <f>(IF(G98&lt;L98,L98,G98)*(1-IF(H98&lt;N98,H98,N98))*E98*O98*Q98)/100000000</f>
        <v>29.420380520000005</v>
      </c>
      <c r="L98" s="35">
        <v>1302.4324324324325</v>
      </c>
      <c r="M98" s="35">
        <v>989.84864864864869</v>
      </c>
      <c r="N98" s="46">
        <f t="shared" ref="N98:N99" si="2">1-(M98/L98)</f>
        <v>0.24</v>
      </c>
      <c r="O98" s="47">
        <f>+'Trim Rwd'!H84</f>
        <v>277</v>
      </c>
      <c r="P98" s="48">
        <f t="shared" ref="P98:P99" si="3">O98*(Q98-R98-S98)</f>
        <v>200825</v>
      </c>
      <c r="Q98" s="47">
        <v>740</v>
      </c>
      <c r="R98" s="397">
        <v>0</v>
      </c>
      <c r="S98" s="397">
        <v>15</v>
      </c>
      <c r="T98" s="37">
        <f t="shared" ref="T98:T99" si="4">E98*M98*O98*Q98/100000000</f>
        <v>29.420380520000005</v>
      </c>
      <c r="U98" s="37">
        <f t="shared" ref="U98:U99" si="5">E98*M98*O98*(Q98-R98-S98)/100000000</f>
        <v>28.824021455405408</v>
      </c>
      <c r="V98" s="37">
        <f>E98*G98*(1-N98)*O98/100*(R98+S98)/1000000</f>
        <v>0.55861481999999996</v>
      </c>
      <c r="W98" s="37">
        <f>+'22'!K17/1000</f>
        <v>27.228999999999999</v>
      </c>
      <c r="X98" s="394"/>
      <c r="Y98" s="213"/>
      <c r="Z98" s="37"/>
      <c r="AA98" s="37"/>
      <c r="AB98" s="37"/>
      <c r="AC98" s="37">
        <f t="shared" ref="AC98:AC99" si="6">K98-T98</f>
        <v>0</v>
      </c>
      <c r="AD98" s="37">
        <f>+AM98+BA98</f>
        <v>1</v>
      </c>
      <c r="AE98" s="230" t="s">
        <v>513</v>
      </c>
      <c r="AF98" s="37"/>
      <c r="AG98" s="37">
        <v>1</v>
      </c>
      <c r="AH98" s="37"/>
      <c r="AI98" s="474"/>
      <c r="AJ98" s="37"/>
      <c r="AK98" s="37"/>
      <c r="AL98" s="37"/>
      <c r="AM98" s="37">
        <f>SUM(AF98:AL98)+AT98+AV98+AX98</f>
        <v>1</v>
      </c>
      <c r="AN98" s="87"/>
      <c r="AO98" s="37"/>
      <c r="AP98" s="37"/>
      <c r="AQ98" s="37"/>
      <c r="AR98" s="37">
        <f>SUM(AN98:AQ98)</f>
        <v>0</v>
      </c>
      <c r="AS98" s="37"/>
      <c r="AT98" s="37"/>
      <c r="AU98" s="37"/>
      <c r="AV98" s="37"/>
      <c r="AW98" s="37"/>
      <c r="AX98" s="37"/>
      <c r="AY98" s="37"/>
      <c r="AZ98" s="37"/>
      <c r="BA98" s="37">
        <f>+AR98+AS98+AU98+AW98+AY98+AZ98</f>
        <v>0</v>
      </c>
      <c r="BB98" s="50"/>
      <c r="BC98" s="51">
        <v>1</v>
      </c>
      <c r="BD98" s="51"/>
      <c r="BE98" s="50"/>
      <c r="BF98" s="51"/>
    </row>
    <row r="99" spans="1:58" ht="12.95" customHeight="1">
      <c r="A99" s="40"/>
      <c r="B99" s="41" t="s">
        <v>416</v>
      </c>
      <c r="C99" s="428">
        <f t="shared" si="0"/>
        <v>11.0468736</v>
      </c>
      <c r="D99" s="41" t="s">
        <v>297</v>
      </c>
      <c r="E99" s="42">
        <v>18</v>
      </c>
      <c r="F99" s="42">
        <v>1</v>
      </c>
      <c r="G99" s="472">
        <v>980</v>
      </c>
      <c r="H99" s="489">
        <f t="shared" si="1"/>
        <v>0.24</v>
      </c>
      <c r="I99" s="45">
        <v>0.88</v>
      </c>
      <c r="J99" s="86">
        <f t="shared" ref="J99" si="7">E99*G99*(1-H99)*1440/1000000*2.87</f>
        <v>55.405969920000004</v>
      </c>
      <c r="K99" s="86">
        <f t="shared" ref="K99" si="8">(IF(G99&lt;L99,L99,G99)*(1-IF(H99&lt;N99,H99,N99))*E99*O99*Q99)/100000000</f>
        <v>11.0468736</v>
      </c>
      <c r="L99" s="35">
        <v>1030</v>
      </c>
      <c r="M99" s="35">
        <v>782.8</v>
      </c>
      <c r="N99" s="46">
        <f t="shared" si="2"/>
        <v>0.24</v>
      </c>
      <c r="O99" s="47">
        <f>+'Trim Rwd'!H85</f>
        <v>280</v>
      </c>
      <c r="P99" s="48">
        <f t="shared" si="3"/>
        <v>77000</v>
      </c>
      <c r="Q99" s="47">
        <v>280</v>
      </c>
      <c r="R99" s="397">
        <v>0</v>
      </c>
      <c r="S99" s="397">
        <v>5</v>
      </c>
      <c r="T99" s="37">
        <f t="shared" si="4"/>
        <v>11.0468736</v>
      </c>
      <c r="U99" s="37">
        <f t="shared" si="5"/>
        <v>10.849608</v>
      </c>
      <c r="V99" s="37">
        <f t="shared" ref="V99" si="9">E99*G99*(1-N99)*O99/100*(R99+S99)/1000000</f>
        <v>0.18768959999999998</v>
      </c>
      <c r="W99" s="37">
        <f>+'22'!K18/1000</f>
        <v>3.2829999999999999</v>
      </c>
      <c r="X99" s="394"/>
      <c r="Y99" s="213"/>
      <c r="Z99" s="37"/>
      <c r="AA99" s="37"/>
      <c r="AB99" s="37"/>
      <c r="AC99" s="37">
        <f t="shared" si="6"/>
        <v>0</v>
      </c>
      <c r="AD99" s="37">
        <f>+AM99+BA99</f>
        <v>24</v>
      </c>
      <c r="AE99" s="230" t="s">
        <v>527</v>
      </c>
      <c r="AF99" s="33"/>
      <c r="AG99" s="33"/>
      <c r="AH99" s="33">
        <v>24</v>
      </c>
      <c r="AJ99" s="37"/>
      <c r="AK99" s="37"/>
      <c r="AL99" s="37"/>
      <c r="AM99" s="37">
        <f>SUM(AF99:AL99)+AT99+AV99+AX99</f>
        <v>24</v>
      </c>
      <c r="AN99" s="37"/>
      <c r="AO99" s="37"/>
      <c r="AP99" s="37"/>
      <c r="AQ99" s="37"/>
      <c r="AR99" s="37">
        <f>SUM(AN99:AQ99)</f>
        <v>0</v>
      </c>
      <c r="AS99" s="37"/>
      <c r="AT99" s="37"/>
      <c r="AU99" s="37"/>
      <c r="AV99" s="37"/>
      <c r="AW99" s="37"/>
      <c r="AX99" s="37"/>
      <c r="AY99" s="37"/>
      <c r="AZ99" s="37"/>
      <c r="BA99" s="37">
        <f>+AR99+AS99+AU99+AW99+AY99+AZ99</f>
        <v>0</v>
      </c>
      <c r="BB99" s="33"/>
      <c r="BC99" s="53"/>
      <c r="BD99" s="53"/>
      <c r="BE99" s="33"/>
      <c r="BF99" s="53"/>
    </row>
    <row r="100" spans="1:58" ht="12.95" customHeight="1">
      <c r="A100" s="40"/>
      <c r="B100" s="41"/>
      <c r="C100" s="428"/>
      <c r="D100" s="41"/>
      <c r="E100" s="42"/>
      <c r="F100" s="42"/>
      <c r="G100" s="472"/>
      <c r="H100" s="542"/>
      <c r="I100" s="45"/>
      <c r="J100" s="86"/>
      <c r="K100" s="86"/>
      <c r="L100" s="35"/>
      <c r="M100" s="35"/>
      <c r="N100" s="46"/>
      <c r="O100" s="47"/>
      <c r="P100" s="48"/>
      <c r="Q100" s="47"/>
      <c r="R100" s="397"/>
      <c r="S100" s="397"/>
      <c r="T100" s="37"/>
      <c r="U100" s="37"/>
      <c r="V100" s="37"/>
      <c r="W100" s="37"/>
      <c r="X100" s="394"/>
      <c r="Y100" s="213"/>
      <c r="Z100" s="37"/>
      <c r="AA100" s="49"/>
      <c r="AB100" s="49"/>
      <c r="AC100" s="37"/>
      <c r="AD100" s="37"/>
      <c r="AE100" s="230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3"/>
      <c r="BC100" s="51"/>
      <c r="BD100" s="51"/>
      <c r="BE100" s="51"/>
      <c r="BF100" s="51"/>
    </row>
    <row r="101" spans="1:58" ht="12.95" customHeight="1">
      <c r="A101" s="40">
        <v>45953</v>
      </c>
      <c r="B101" s="41" t="s">
        <v>416</v>
      </c>
      <c r="C101" s="428">
        <f t="shared" ref="C101:C102" si="10">(M101*E101*O101*Q101)/100000000</f>
        <v>11.0468736</v>
      </c>
      <c r="D101" s="41" t="s">
        <v>297</v>
      </c>
      <c r="E101" s="42">
        <v>18</v>
      </c>
      <c r="F101" s="42">
        <v>1</v>
      </c>
      <c r="G101" s="472">
        <v>980</v>
      </c>
      <c r="H101" s="489">
        <f t="shared" ref="H101:H102" si="11">+N101</f>
        <v>0.24</v>
      </c>
      <c r="I101" s="45">
        <v>0.88</v>
      </c>
      <c r="J101" s="86">
        <f t="shared" ref="J101" si="12">E101*G101*(1-H101)*1440/1000000*2.87</f>
        <v>55.405969920000004</v>
      </c>
      <c r="K101" s="86">
        <f t="shared" ref="K101" si="13">(IF(G101&lt;L101,L101,G101)*(1-IF(H101&lt;N101,H101,N101))*E101*O101*Q101)/100000000</f>
        <v>11.0468736</v>
      </c>
      <c r="L101" s="35">
        <v>1030</v>
      </c>
      <c r="M101" s="35">
        <f>+L101-L101*0.24</f>
        <v>782.8</v>
      </c>
      <c r="N101" s="46">
        <f t="shared" ref="N101:N102" si="14">1-(M101/L101)</f>
        <v>0.24</v>
      </c>
      <c r="O101" s="47">
        <f>+'Trim Rwd'!H87</f>
        <v>280</v>
      </c>
      <c r="P101" s="48">
        <f t="shared" ref="P101:P102" si="15">O101*(Q101-R101-S101)</f>
        <v>28840</v>
      </c>
      <c r="Q101" s="47">
        <v>280</v>
      </c>
      <c r="R101" s="397">
        <v>0</v>
      </c>
      <c r="S101" s="397">
        <f>5+172</f>
        <v>177</v>
      </c>
      <c r="T101" s="37">
        <f t="shared" ref="T101:T102" si="16">E101*M101*O101*Q101/100000000</f>
        <v>11.0468736</v>
      </c>
      <c r="U101" s="37">
        <f t="shared" ref="U101:U102" si="17">E101*M101*O101*(Q101-R101-S101)/100000000</f>
        <v>4.0636713599999998</v>
      </c>
      <c r="V101" s="37">
        <f t="shared" ref="V101" si="18">E101*G101*(1-N101)*O101/100*(R101+S101)/1000000</f>
        <v>6.6442118399999996</v>
      </c>
      <c r="W101" s="37">
        <f>+'23'!K18/1000</f>
        <v>26.914000000000001</v>
      </c>
      <c r="X101" s="394">
        <f>SUM(W101:W104)/SUM(K101:K104)</f>
        <v>0.67091061566078947</v>
      </c>
      <c r="Y101" s="37">
        <v>0</v>
      </c>
      <c r="Z101" s="37">
        <f>+('23'!D7+'23'!D16+'23'!D25)/1000</f>
        <v>3.8759999999999999</v>
      </c>
      <c r="AA101" s="49">
        <f>SUM(U101:U104)-SUM(W101:W104)-SUM(Z101:Z104)-SUM(Y101:Y104)</f>
        <v>5.4067705600000018</v>
      </c>
      <c r="AB101" s="49">
        <f>(SUM(K101:K104)-SUM(W101:W104)-SUM(Y101:Y104)-SUM(Z101:Z104)-SUM(AC101:AC104)-SUM(V101:V104))-AA101</f>
        <v>0.39785087999999647</v>
      </c>
      <c r="AC101" s="37">
        <f>K101-T101</f>
        <v>0</v>
      </c>
      <c r="AD101" s="37">
        <f>+AM101+BA101</f>
        <v>5</v>
      </c>
      <c r="AE101" s="230" t="s">
        <v>522</v>
      </c>
      <c r="AF101" s="37">
        <v>5</v>
      </c>
      <c r="AG101" s="37"/>
      <c r="AH101" s="37"/>
      <c r="AI101" s="474"/>
      <c r="AJ101" s="37"/>
      <c r="AK101" s="37"/>
      <c r="AL101" s="37"/>
      <c r="AM101" s="37">
        <f>SUM(AF101:AL101)+AT101+AV101+AX101</f>
        <v>5</v>
      </c>
      <c r="AN101" s="37"/>
      <c r="AO101" s="37"/>
      <c r="AP101" s="37"/>
      <c r="AQ101" s="37"/>
      <c r="AR101" s="37">
        <f>SUM(AN101:AQ101)</f>
        <v>0</v>
      </c>
      <c r="AS101" s="37"/>
      <c r="AT101" s="37"/>
      <c r="AU101" s="37"/>
      <c r="AV101" s="37"/>
      <c r="AW101" s="37"/>
      <c r="AX101" s="37"/>
      <c r="AY101" s="37"/>
      <c r="AZ101" s="37"/>
      <c r="BA101" s="37">
        <f>+AR101+AS101+AU101+AW101+AY101+AZ101</f>
        <v>0</v>
      </c>
      <c r="BB101" s="33">
        <v>1</v>
      </c>
      <c r="BC101" s="51"/>
      <c r="BD101" s="51"/>
      <c r="BE101" s="33"/>
      <c r="BF101" s="51"/>
    </row>
    <row r="102" spans="1:58" ht="12.95" customHeight="1">
      <c r="A102" s="40"/>
      <c r="B102" s="41" t="s">
        <v>416</v>
      </c>
      <c r="C102" s="428">
        <f t="shared" si="10"/>
        <v>29.683471999999998</v>
      </c>
      <c r="D102" s="41" t="s">
        <v>297</v>
      </c>
      <c r="E102" s="42">
        <v>14.5</v>
      </c>
      <c r="F102" s="42">
        <v>1</v>
      </c>
      <c r="G102" s="472">
        <v>1220</v>
      </c>
      <c r="H102" s="489">
        <f t="shared" si="11"/>
        <v>0.24</v>
      </c>
      <c r="I102" s="45">
        <v>0.88</v>
      </c>
      <c r="J102" s="86">
        <f>E102*G102*(1-H102)*1440/1000000*2.87</f>
        <v>55.563016320000003</v>
      </c>
      <c r="K102" s="86">
        <f>(IF(G102&lt;L102,L102,G102)*(1-IF(H102&lt;N102,H102,N102))*E102*O102*Q102)/100000000</f>
        <v>29.683471999999998</v>
      </c>
      <c r="L102" s="35">
        <v>1300</v>
      </c>
      <c r="M102" s="35">
        <f>+L102-L102*0.24</f>
        <v>988</v>
      </c>
      <c r="N102" s="46">
        <f t="shared" si="14"/>
        <v>0.24</v>
      </c>
      <c r="O102" s="47">
        <f>+'Trim Rwd'!H89</f>
        <v>280</v>
      </c>
      <c r="P102" s="48">
        <f t="shared" si="15"/>
        <v>199920</v>
      </c>
      <c r="Q102" s="47">
        <v>740</v>
      </c>
      <c r="R102" s="397">
        <v>0</v>
      </c>
      <c r="S102" s="397">
        <v>26</v>
      </c>
      <c r="T102" s="37">
        <f t="shared" si="16"/>
        <v>29.683471999999998</v>
      </c>
      <c r="U102" s="37">
        <f t="shared" si="17"/>
        <v>28.640539199999999</v>
      </c>
      <c r="V102" s="37">
        <f>E102*G102*(1-N102)*O102/100*(R102+S102)/1000000</f>
        <v>0.9787523199999999</v>
      </c>
      <c r="W102" s="37">
        <f>+'23'!K17/1000</f>
        <v>6.2919999999999998</v>
      </c>
      <c r="X102" s="394"/>
      <c r="Y102" s="213"/>
      <c r="Z102" s="213">
        <f>+'23'!D26/1000</f>
        <v>0.54</v>
      </c>
      <c r="AA102" s="37"/>
      <c r="AB102" s="37"/>
      <c r="AC102" s="37">
        <f t="shared" ref="AC102:AC103" si="19">K102-T102</f>
        <v>0</v>
      </c>
      <c r="AD102" s="37">
        <f>+AM102+BA102</f>
        <v>4</v>
      </c>
      <c r="AE102" s="230" t="s">
        <v>599</v>
      </c>
      <c r="AF102" s="37"/>
      <c r="AG102" s="37">
        <v>4</v>
      </c>
      <c r="AH102" s="37"/>
      <c r="AI102" s="474"/>
      <c r="AJ102" s="37"/>
      <c r="AK102" s="37"/>
      <c r="AL102" s="37"/>
      <c r="AM102" s="37">
        <f>SUM(AF102:AL102)+AT102+AV102+AX102</f>
        <v>4</v>
      </c>
      <c r="AN102" s="87"/>
      <c r="AO102" s="37"/>
      <c r="AP102" s="37"/>
      <c r="AQ102" s="37"/>
      <c r="AR102" s="37">
        <f>SUM(AN102:AQ102)</f>
        <v>0</v>
      </c>
      <c r="AS102" s="37"/>
      <c r="AT102" s="37"/>
      <c r="AU102" s="37"/>
      <c r="AV102" s="37"/>
      <c r="AW102" s="37"/>
      <c r="AX102" s="37"/>
      <c r="AY102" s="37"/>
      <c r="AZ102" s="37"/>
      <c r="BA102" s="37">
        <f>+AR102+AS102+AU102+AW102+AY102+AZ102</f>
        <v>0</v>
      </c>
      <c r="BB102" s="50"/>
      <c r="BC102" s="51">
        <v>2</v>
      </c>
      <c r="BD102" s="51"/>
      <c r="BE102" s="50"/>
      <c r="BF102" s="51"/>
    </row>
    <row r="103" spans="1:58" ht="12.95" customHeight="1">
      <c r="A103" s="40"/>
      <c r="B103" s="41" t="s">
        <v>416</v>
      </c>
      <c r="C103" s="428">
        <f>(M103*E103*O103*Q103)/100000000</f>
        <v>15.0822</v>
      </c>
      <c r="D103" s="41" t="s">
        <v>297</v>
      </c>
      <c r="E103" s="42">
        <v>12.5</v>
      </c>
      <c r="F103" s="42">
        <v>1</v>
      </c>
      <c r="G103" s="604">
        <v>1400</v>
      </c>
      <c r="H103" s="489">
        <f>+N103</f>
        <v>0.24</v>
      </c>
      <c r="I103" s="45">
        <v>0.88</v>
      </c>
      <c r="J103" s="86">
        <f>E103*G103*(1-H103)*1440/1000000*2.87</f>
        <v>54.966240000000006</v>
      </c>
      <c r="K103" s="86">
        <f>(IF(G103&lt;L103,L103,G103)*(1-IF(H103&lt;N103,H103,N103))*E103*O103*Q103)/100000000</f>
        <v>15.6408</v>
      </c>
      <c r="L103" s="35">
        <v>1350</v>
      </c>
      <c r="M103" s="35">
        <f>+L103-L103*0.24</f>
        <v>1026</v>
      </c>
      <c r="N103" s="46">
        <f>1-(M103/L103)</f>
        <v>0.24</v>
      </c>
      <c r="O103" s="47">
        <f>+'Trim Rwd'!H90</f>
        <v>280</v>
      </c>
      <c r="P103" s="48">
        <f>O103*(Q103-R103-S103)</f>
        <v>116480</v>
      </c>
      <c r="Q103" s="47">
        <v>420</v>
      </c>
      <c r="R103" s="397">
        <v>0</v>
      </c>
      <c r="S103" s="397">
        <v>4</v>
      </c>
      <c r="T103" s="37">
        <f>E103*M103*O103*Q103/100000000</f>
        <v>15.0822</v>
      </c>
      <c r="U103" s="37">
        <f>E103*M103*O103*(Q103-R103-S103)/100000000</f>
        <v>14.938560000000001</v>
      </c>
      <c r="V103" s="37">
        <f>E103*G103*(1-N103)*O103/100*(R103+S103)/1000000</f>
        <v>0.14896000000000001</v>
      </c>
      <c r="W103" s="37">
        <f>+'23'!K13/1000</f>
        <v>4.6139999999999999</v>
      </c>
      <c r="X103" s="394"/>
      <c r="Y103" s="213"/>
      <c r="Z103" s="37"/>
      <c r="AA103" s="37"/>
      <c r="AB103" s="37"/>
      <c r="AC103" s="37">
        <f t="shared" si="19"/>
        <v>0.55860000000000021</v>
      </c>
      <c r="AD103" s="37">
        <f>+AM103+BA103</f>
        <v>26</v>
      </c>
      <c r="AE103" s="230" t="s">
        <v>570</v>
      </c>
      <c r="AF103" s="33"/>
      <c r="AG103" s="33"/>
      <c r="AH103" s="33">
        <v>26</v>
      </c>
      <c r="AJ103" s="37"/>
      <c r="AK103" s="37"/>
      <c r="AL103" s="37"/>
      <c r="AM103" s="37">
        <f>SUM(AF103:AL103)+AT103+AV103+AX103</f>
        <v>26</v>
      </c>
      <c r="AN103" s="37"/>
      <c r="AO103" s="37"/>
      <c r="AP103" s="37"/>
      <c r="AQ103" s="37"/>
      <c r="AR103" s="37">
        <f>SUM(AN103:AQ103)</f>
        <v>0</v>
      </c>
      <c r="AS103" s="37"/>
      <c r="AT103" s="37"/>
      <c r="AU103" s="37"/>
      <c r="AV103" s="37"/>
      <c r="AW103" s="37"/>
      <c r="AX103" s="37"/>
      <c r="AY103" s="37"/>
      <c r="AZ103" s="37"/>
      <c r="BA103" s="37">
        <f>+AR103+AS103+AU103+AW103+AY103+AZ103</f>
        <v>0</v>
      </c>
      <c r="BB103" s="33"/>
      <c r="BC103" s="53"/>
      <c r="BD103" s="53"/>
      <c r="BE103" s="33"/>
      <c r="BF103" s="53"/>
    </row>
    <row r="104" spans="1:58" ht="12.95" customHeight="1">
      <c r="A104" s="40"/>
      <c r="B104" s="41"/>
      <c r="C104" s="428"/>
      <c r="D104" s="41"/>
      <c r="E104" s="42"/>
      <c r="F104" s="42"/>
      <c r="G104" s="472"/>
      <c r="H104" s="542"/>
      <c r="I104" s="45"/>
      <c r="J104" s="86"/>
      <c r="K104" s="86"/>
      <c r="L104" s="35"/>
      <c r="M104" s="35"/>
      <c r="N104" s="46"/>
      <c r="O104" s="47"/>
      <c r="P104" s="48"/>
      <c r="Q104" s="47"/>
      <c r="R104" s="397"/>
      <c r="S104" s="397"/>
      <c r="T104" s="37"/>
      <c r="U104" s="37"/>
      <c r="V104" s="37"/>
      <c r="W104" s="37"/>
      <c r="X104" s="394"/>
      <c r="Y104" s="213"/>
      <c r="Z104" s="37"/>
      <c r="AA104" s="49"/>
      <c r="AB104" s="49"/>
      <c r="AC104" s="37"/>
      <c r="AD104" s="37">
        <f>+AM104+BA104</f>
        <v>172</v>
      </c>
      <c r="AE104" s="233" t="s">
        <v>840</v>
      </c>
      <c r="AF104" s="37"/>
      <c r="AG104" s="37"/>
      <c r="AH104" s="37"/>
      <c r="AI104" s="37"/>
      <c r="AJ104" s="37"/>
      <c r="AK104" s="37"/>
      <c r="AL104" s="37"/>
      <c r="AM104" s="37">
        <f>SUM(AF104:AL104)+AT104+AV104+AX104</f>
        <v>172</v>
      </c>
      <c r="AN104" s="37"/>
      <c r="AO104" s="37"/>
      <c r="AP104" s="37"/>
      <c r="AQ104" s="37"/>
      <c r="AR104" s="37">
        <f>SUM(AN104:AQ104)</f>
        <v>0</v>
      </c>
      <c r="AS104" s="37"/>
      <c r="AT104" s="37"/>
      <c r="AU104" s="37"/>
      <c r="AV104" s="37">
        <v>172</v>
      </c>
      <c r="AW104" s="37"/>
      <c r="AX104" s="37"/>
      <c r="AY104" s="37"/>
      <c r="AZ104" s="37"/>
      <c r="BA104" s="37">
        <f>+AR104+AS104+AU104+AW104+AY104+AZ104</f>
        <v>0</v>
      </c>
      <c r="BB104" s="33"/>
      <c r="BC104" s="53"/>
      <c r="BD104" s="53"/>
      <c r="BE104" s="33"/>
      <c r="BF104" s="53"/>
    </row>
    <row r="105" spans="1:58" ht="12.95" customHeight="1">
      <c r="A105" s="40"/>
      <c r="B105" s="41"/>
      <c r="C105" s="428"/>
      <c r="D105" s="41"/>
      <c r="E105" s="42"/>
      <c r="F105" s="42"/>
      <c r="G105" s="472"/>
      <c r="H105" s="542"/>
      <c r="I105" s="45"/>
      <c r="J105" s="86"/>
      <c r="K105" s="86"/>
      <c r="L105" s="35"/>
      <c r="M105" s="35"/>
      <c r="N105" s="46"/>
      <c r="O105" s="47"/>
      <c r="P105" s="48"/>
      <c r="Q105" s="47"/>
      <c r="R105" s="397"/>
      <c r="S105" s="397"/>
      <c r="T105" s="37"/>
      <c r="U105" s="37"/>
      <c r="V105" s="37"/>
      <c r="W105" s="37"/>
      <c r="X105" s="394"/>
      <c r="Y105" s="213"/>
      <c r="Z105" s="37"/>
      <c r="AA105" s="49"/>
      <c r="AB105" s="49"/>
      <c r="AC105" s="37"/>
      <c r="AD105" s="37"/>
      <c r="AE105" s="233"/>
      <c r="AF105" s="37"/>
      <c r="AG105" s="37"/>
      <c r="AH105" s="37"/>
      <c r="AI105" s="474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3"/>
      <c r="BC105" s="51"/>
      <c r="BD105" s="51"/>
      <c r="BE105" s="51"/>
      <c r="BF105" s="51"/>
    </row>
    <row r="106" spans="1:58" ht="12.95" customHeight="1">
      <c r="A106" s="40">
        <v>45954</v>
      </c>
      <c r="B106" s="41" t="s">
        <v>416</v>
      </c>
      <c r="C106" s="428">
        <f>(M106*E106*O106*Q106)/100000000</f>
        <v>32.874389999999998</v>
      </c>
      <c r="D106" s="41" t="s">
        <v>297</v>
      </c>
      <c r="E106" s="42">
        <v>12.5</v>
      </c>
      <c r="F106" s="42">
        <v>1</v>
      </c>
      <c r="G106" s="604">
        <v>1400</v>
      </c>
      <c r="H106" s="489">
        <f>+N106</f>
        <v>0.23694171082513249</v>
      </c>
      <c r="I106" s="45">
        <v>0.88</v>
      </c>
      <c r="J106" s="86">
        <f>E106*G106*(1-H106)*1440/1000000*2.87</f>
        <v>55.187427706283124</v>
      </c>
      <c r="K106" s="86">
        <f>(IF(G106&lt;L106,L106,G106)*(1-IF(H106&lt;N106,H106,N106))*E106*O106*Q106)/100000000</f>
        <v>34.840383043149124</v>
      </c>
      <c r="L106" s="35">
        <v>1321</v>
      </c>
      <c r="M106" s="35">
        <v>1008</v>
      </c>
      <c r="N106" s="46">
        <f>1-(M106/L106)</f>
        <v>0.23694171082513249</v>
      </c>
      <c r="O106" s="47">
        <f>+'Trim Rwd'!H92</f>
        <v>277.85714285714283</v>
      </c>
      <c r="P106" s="48">
        <f>O106*(Q106-R106-S106)</f>
        <v>255350.71428571426</v>
      </c>
      <c r="Q106" s="47">
        <v>939</v>
      </c>
      <c r="R106" s="397">
        <v>0</v>
      </c>
      <c r="S106" s="397">
        <v>20</v>
      </c>
      <c r="T106" s="37">
        <f>E106*M106*O106*Q106/100000000</f>
        <v>32.874389999999998</v>
      </c>
      <c r="U106" s="37">
        <f>E106*M106*O106*(Q106-R106-S106)/100000000</f>
        <v>32.174189999999996</v>
      </c>
      <c r="V106" s="37">
        <f>E106*G106*(1-N106)*O106/100*(R106+S106)/1000000</f>
        <v>0.74207418622255861</v>
      </c>
      <c r="W106" s="37">
        <f>+'24'!K13/1000</f>
        <v>25.765999999999998</v>
      </c>
      <c r="X106" s="394">
        <f>SUM(W106:W109)/SUM(K106:K109)</f>
        <v>0.77639116918864315</v>
      </c>
      <c r="Y106" s="37">
        <v>0</v>
      </c>
      <c r="Z106" s="37">
        <f>+'24'!D16/1000</f>
        <v>0.49</v>
      </c>
      <c r="AA106" s="49">
        <f>SUM(U106:U109)-SUM(W106:W109)-SUM(Z106:Z109)-SUM(Y106:Y109)</f>
        <v>7.305375599999997</v>
      </c>
      <c r="AB106" s="49">
        <f>(SUM(K106:K109)-SUM(W106:W109)-SUM(Y106:Y109)-SUM(Z106:Z109)-SUM(AC106:AC109)-SUM(V106:V109))-AA106</f>
        <v>8.1360969235158009E-3</v>
      </c>
      <c r="AC106" s="37">
        <f>K106-T106</f>
        <v>1.9659930431491262</v>
      </c>
      <c r="AD106" s="37">
        <f>+AM106+BA106</f>
        <v>0</v>
      </c>
      <c r="AE106" s="230" t="s">
        <v>404</v>
      </c>
      <c r="AF106" s="37">
        <v>0</v>
      </c>
      <c r="AG106" s="37"/>
      <c r="AH106" s="37"/>
      <c r="AI106" s="474"/>
      <c r="AJ106" s="37"/>
      <c r="AK106" s="37"/>
      <c r="AL106" s="37"/>
      <c r="AM106" s="37">
        <f>SUM(AF106:AL106)+AT106+AV106+AX106</f>
        <v>0</v>
      </c>
      <c r="AN106" s="37"/>
      <c r="AO106" s="37"/>
      <c r="AP106" s="37"/>
      <c r="AQ106" s="37"/>
      <c r="AR106" s="37">
        <f>SUM(AN106:AQ106)</f>
        <v>0</v>
      </c>
      <c r="AS106" s="37"/>
      <c r="AT106" s="37"/>
      <c r="AU106" s="37"/>
      <c r="AV106" s="37"/>
      <c r="AW106" s="37"/>
      <c r="AX106" s="37"/>
      <c r="AY106" s="37"/>
      <c r="AZ106" s="37"/>
      <c r="BA106" s="37">
        <f>+AR106+AS106+AU106+AW106+AY106+AZ106</f>
        <v>0</v>
      </c>
      <c r="BB106" s="33">
        <v>0</v>
      </c>
      <c r="BC106" s="51"/>
      <c r="BD106" s="51"/>
      <c r="BE106" s="33"/>
      <c r="BF106" s="51"/>
    </row>
    <row r="107" spans="1:58" ht="12.95" customHeight="1">
      <c r="A107" s="40"/>
      <c r="B107" s="41" t="s">
        <v>416</v>
      </c>
      <c r="C107" s="428">
        <f t="shared" ref="C107:C108" si="20">(M107*E107*O107*Q107)/100000000</f>
        <v>3.217536</v>
      </c>
      <c r="D107" s="41" t="s">
        <v>297</v>
      </c>
      <c r="E107" s="42">
        <v>18</v>
      </c>
      <c r="F107" s="42">
        <v>1</v>
      </c>
      <c r="G107" s="472">
        <v>930</v>
      </c>
      <c r="H107" s="489">
        <f t="shared" ref="H107:H108" si="21">+N107</f>
        <v>0.19999999999999996</v>
      </c>
      <c r="I107" s="45">
        <v>0.88</v>
      </c>
      <c r="J107" s="86">
        <f t="shared" ref="J107" si="22">E107*G107*(1-H107)*1440/1000000*2.87</f>
        <v>55.346457600000001</v>
      </c>
      <c r="K107" s="86">
        <f t="shared" ref="K107" si="23">(IF(G107&lt;L107,L107,G107)*(1-IF(H107&lt;N107,H107,N107))*E107*O107*Q107)/100000000</f>
        <v>3.217536</v>
      </c>
      <c r="L107" s="35">
        <v>1050</v>
      </c>
      <c r="M107" s="35">
        <v>840</v>
      </c>
      <c r="N107" s="46">
        <f t="shared" ref="N107:N108" si="24">1-(M107/L107)</f>
        <v>0.19999999999999996</v>
      </c>
      <c r="O107" s="47">
        <f>+'Trim Rwd'!H94</f>
        <v>280</v>
      </c>
      <c r="P107" s="48">
        <f t="shared" ref="P107:P108" si="25">O107*(Q107-R107-S107)</f>
        <v>20720</v>
      </c>
      <c r="Q107" s="47">
        <v>76</v>
      </c>
      <c r="R107" s="397">
        <v>0</v>
      </c>
      <c r="S107" s="397">
        <v>2</v>
      </c>
      <c r="T107" s="37">
        <f t="shared" ref="T107:T108" si="26">E107*M107*O107*Q107/100000000</f>
        <v>3.217536</v>
      </c>
      <c r="U107" s="37">
        <f t="shared" ref="U107:U108" si="27">E107*M107*O107*(Q107-R107-S107)/100000000</f>
        <v>3.1328640000000001</v>
      </c>
      <c r="V107" s="37">
        <f t="shared" ref="V107" si="28">E107*G107*(1-N107)*O107/100*(R107+S107)/1000000</f>
        <v>7.4995199999999998E-2</v>
      </c>
      <c r="W107" s="37">
        <f>+'24'!K18/1000</f>
        <v>3.2050000000000001</v>
      </c>
      <c r="X107" s="394"/>
      <c r="Y107" s="213"/>
      <c r="Z107" s="37">
        <v>0</v>
      </c>
      <c r="AA107" s="37"/>
      <c r="AB107" s="37"/>
      <c r="AC107" s="37">
        <f t="shared" ref="AC107:AC109" si="29">K107-T107</f>
        <v>0</v>
      </c>
      <c r="AD107" s="37">
        <f>+AM107+BA107</f>
        <v>2</v>
      </c>
      <c r="AE107" s="230" t="s">
        <v>513</v>
      </c>
      <c r="AF107" s="37"/>
      <c r="AG107" s="37">
        <v>2</v>
      </c>
      <c r="AH107" s="37"/>
      <c r="AI107" s="474"/>
      <c r="AJ107" s="37"/>
      <c r="AK107" s="37"/>
      <c r="AL107" s="37"/>
      <c r="AM107" s="37">
        <f>SUM(AF107:AL107)+AT107+AV107+AX107</f>
        <v>2</v>
      </c>
      <c r="AN107" s="87"/>
      <c r="AO107" s="37"/>
      <c r="AP107" s="37"/>
      <c r="AQ107" s="37"/>
      <c r="AR107" s="37">
        <f>SUM(AN107:AQ107)</f>
        <v>0</v>
      </c>
      <c r="AS107" s="37"/>
      <c r="AT107" s="37"/>
      <c r="AU107" s="37"/>
      <c r="AV107" s="37"/>
      <c r="AW107" s="37"/>
      <c r="AX107" s="37"/>
      <c r="AY107" s="37"/>
      <c r="AZ107" s="37"/>
      <c r="BA107" s="37">
        <f>+AR107+AS107+AU107+AW107+AY107+AZ107</f>
        <v>0</v>
      </c>
      <c r="BB107" s="50"/>
      <c r="BC107" s="51">
        <v>1</v>
      </c>
      <c r="BD107" s="51"/>
      <c r="BE107" s="50"/>
      <c r="BF107" s="51"/>
    </row>
    <row r="108" spans="1:58" ht="12.95" customHeight="1">
      <c r="A108" s="40"/>
      <c r="B108" s="41" t="s">
        <v>416</v>
      </c>
      <c r="C108" s="428">
        <f t="shared" si="20"/>
        <v>3.335696</v>
      </c>
      <c r="D108" s="41" t="s">
        <v>297</v>
      </c>
      <c r="E108" s="42">
        <v>14.5</v>
      </c>
      <c r="F108" s="42">
        <v>1</v>
      </c>
      <c r="G108" s="472">
        <v>1150</v>
      </c>
      <c r="H108" s="489">
        <f t="shared" si="21"/>
        <v>0.19999999999999996</v>
      </c>
      <c r="I108" s="45">
        <v>0.88</v>
      </c>
      <c r="J108" s="86">
        <f>E108*G108*(1-H108)*1440/1000000*2.87</f>
        <v>55.131551999999999</v>
      </c>
      <c r="K108" s="86">
        <f>(IF(G108&lt;L108,L108,G108)*(1-IF(H108&lt;N108,H108,N108))*E108*O108*Q108)/100000000</f>
        <v>3.335696</v>
      </c>
      <c r="L108" s="35">
        <v>1300</v>
      </c>
      <c r="M108" s="35">
        <v>1040</v>
      </c>
      <c r="N108" s="46">
        <f t="shared" si="24"/>
        <v>0.19999999999999996</v>
      </c>
      <c r="O108" s="47">
        <f>+'Trim Rwd'!H95</f>
        <v>280</v>
      </c>
      <c r="P108" s="48">
        <f t="shared" si="25"/>
        <v>21560</v>
      </c>
      <c r="Q108" s="47">
        <v>79</v>
      </c>
      <c r="R108" s="397">
        <v>0</v>
      </c>
      <c r="S108" s="397">
        <v>2</v>
      </c>
      <c r="T108" s="37">
        <f t="shared" si="26"/>
        <v>3.335696</v>
      </c>
      <c r="U108" s="37">
        <f t="shared" si="27"/>
        <v>3.2512479999999999</v>
      </c>
      <c r="V108" s="37">
        <f>E108*G108*(1-N108)*O108/100*(R108+S108)/1000000</f>
        <v>7.4704000000000007E-2</v>
      </c>
      <c r="W108" s="37">
        <f>+'24'!K17/1000</f>
        <v>3.6309999999999998</v>
      </c>
      <c r="X108" s="394"/>
      <c r="Y108" s="213"/>
      <c r="Z108" s="37">
        <v>0</v>
      </c>
      <c r="AA108" s="37"/>
      <c r="AB108" s="37"/>
      <c r="AC108" s="37">
        <f t="shared" si="29"/>
        <v>0</v>
      </c>
      <c r="AD108" s="37">
        <f>+AM108+BA108</f>
        <v>32</v>
      </c>
      <c r="AE108" s="230" t="s">
        <v>525</v>
      </c>
      <c r="AF108" s="33"/>
      <c r="AG108" s="33"/>
      <c r="AH108" s="33">
        <v>32</v>
      </c>
      <c r="AJ108" s="37"/>
      <c r="AK108" s="37"/>
      <c r="AL108" s="37"/>
      <c r="AM108" s="37">
        <f>SUM(AF108:AL108)+AT108+AV108+AX108</f>
        <v>32</v>
      </c>
      <c r="AN108" s="37"/>
      <c r="AO108" s="37"/>
      <c r="AP108" s="37"/>
      <c r="AQ108" s="37"/>
      <c r="AR108" s="37">
        <f>SUM(AN108:AQ108)</f>
        <v>0</v>
      </c>
      <c r="AS108" s="37"/>
      <c r="AT108" s="37"/>
      <c r="AU108" s="37"/>
      <c r="AV108" s="37"/>
      <c r="AW108" s="37"/>
      <c r="AX108" s="37"/>
      <c r="AY108" s="37"/>
      <c r="AZ108" s="37"/>
      <c r="BA108" s="37">
        <f>+AR108+AS108+AU108+AW108+AY108+AZ108</f>
        <v>0</v>
      </c>
      <c r="BB108" s="33"/>
      <c r="BC108" s="53"/>
      <c r="BD108" s="53"/>
      <c r="BE108" s="33"/>
      <c r="BF108" s="53"/>
    </row>
    <row r="109" spans="1:58" ht="12.95" customHeight="1">
      <c r="A109" s="40"/>
      <c r="B109" s="41" t="s">
        <v>416</v>
      </c>
      <c r="C109" s="428">
        <f>(M109*E109*O109*Q109)/100000000</f>
        <v>13.737099600000001</v>
      </c>
      <c r="D109" s="41" t="s">
        <v>297</v>
      </c>
      <c r="E109" s="42">
        <v>15</v>
      </c>
      <c r="F109" s="42">
        <v>1</v>
      </c>
      <c r="G109" s="472">
        <v>1150</v>
      </c>
      <c r="H109" s="489">
        <f>+N109</f>
        <v>0.2247191011235955</v>
      </c>
      <c r="I109" s="45">
        <v>0.88</v>
      </c>
      <c r="J109" s="86">
        <f>E109*G109*(1-H109)*1440/1000000*2.87</f>
        <v>55.270395505617984</v>
      </c>
      <c r="K109" s="86">
        <f>(IF(G109&lt;L109,L109,G109)*(1-IF(H109&lt;N109,H109,N109))*E109*O109*Q109)/100000000</f>
        <v>13.737099600000001</v>
      </c>
      <c r="L109" s="35">
        <v>1246</v>
      </c>
      <c r="M109" s="35">
        <v>966</v>
      </c>
      <c r="N109" s="46">
        <f>1-(M109/L109)</f>
        <v>0.2247191011235955</v>
      </c>
      <c r="O109" s="47">
        <f>+'Trim Rwd'!H96</f>
        <v>274</v>
      </c>
      <c r="P109" s="48">
        <f>O109*(Q109-R109-S109)</f>
        <v>92064</v>
      </c>
      <c r="Q109" s="47">
        <v>346</v>
      </c>
      <c r="R109" s="397">
        <v>0</v>
      </c>
      <c r="S109" s="397">
        <v>10</v>
      </c>
      <c r="T109" s="37">
        <f>E109*M109*O109*Q109/100000000</f>
        <v>13.737099600000001</v>
      </c>
      <c r="U109" s="37">
        <f>E109*M109*O109*(Q109-R109-S109)/100000000</f>
        <v>13.3400736</v>
      </c>
      <c r="V109" s="37">
        <f>E109*G109*(1-N109)*O109/100*(R109+S109)/1000000</f>
        <v>0.36643651685393253</v>
      </c>
      <c r="W109" s="37">
        <f>+'24'!K15/1000</f>
        <v>10.201000000000001</v>
      </c>
      <c r="X109" s="394"/>
      <c r="Y109" s="213"/>
      <c r="Z109" s="37">
        <f>+('24'!D19+'24'!D26)/1000</f>
        <v>1.3</v>
      </c>
      <c r="AA109" s="49"/>
      <c r="AB109" s="49"/>
      <c r="AC109" s="37">
        <f t="shared" si="29"/>
        <v>0</v>
      </c>
      <c r="AD109" s="37"/>
      <c r="AE109" s="230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3"/>
      <c r="BC109" s="51"/>
      <c r="BD109" s="51"/>
      <c r="BE109" s="51"/>
      <c r="BF109" s="51"/>
    </row>
    <row r="110" spans="1:58" ht="12.95" customHeight="1">
      <c r="A110" s="40"/>
      <c r="B110" s="41"/>
      <c r="C110" s="428"/>
      <c r="D110" s="41"/>
      <c r="E110" s="42"/>
      <c r="F110" s="42"/>
      <c r="G110" s="43"/>
      <c r="H110" s="542"/>
      <c r="I110" s="45"/>
      <c r="J110" s="86"/>
      <c r="K110" s="86"/>
      <c r="L110" s="35"/>
      <c r="M110" s="35"/>
      <c r="N110" s="46"/>
      <c r="O110" s="47"/>
      <c r="P110" s="48"/>
      <c r="Q110" s="47"/>
      <c r="R110" s="397"/>
      <c r="S110" s="397"/>
      <c r="T110" s="37"/>
      <c r="U110" s="37"/>
      <c r="V110" s="37"/>
      <c r="W110" s="37"/>
      <c r="X110" s="394"/>
      <c r="Y110" s="213"/>
      <c r="Z110" s="37"/>
      <c r="AA110" s="49"/>
      <c r="AB110" s="49"/>
      <c r="AC110" s="37"/>
      <c r="AD110" s="37"/>
      <c r="AE110" s="230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3"/>
      <c r="BC110" s="51"/>
      <c r="BD110" s="51"/>
      <c r="BE110" s="51"/>
      <c r="BF110" s="51"/>
    </row>
    <row r="111" spans="1:58" ht="12.95" customHeight="1">
      <c r="A111" s="40">
        <v>45955</v>
      </c>
      <c r="B111" s="41" t="s">
        <v>416</v>
      </c>
      <c r="C111" s="428">
        <f>(M111*E111*O111*Q111)/100000000</f>
        <v>51.793392000000011</v>
      </c>
      <c r="D111" s="41" t="s">
        <v>297</v>
      </c>
      <c r="E111" s="42">
        <v>12.5</v>
      </c>
      <c r="F111" s="42">
        <v>1</v>
      </c>
      <c r="G111" s="604">
        <v>1400</v>
      </c>
      <c r="H111" s="489">
        <f>+N111</f>
        <v>0.23999999999999988</v>
      </c>
      <c r="I111" s="45">
        <v>0.88</v>
      </c>
      <c r="J111" s="86">
        <f>E111*G111*(1-H111)*1440/1000000*2.87</f>
        <v>54.966240000000013</v>
      </c>
      <c r="K111" s="86">
        <f>(IF(G111&lt;L111,L111,G111)*(1-IF(H111&lt;N111,H111,N111))*E111*O111*Q111)/100000000</f>
        <v>52.041207272727291</v>
      </c>
      <c r="L111" s="35">
        <v>1393.3333333333333</v>
      </c>
      <c r="M111" s="35">
        <v>1058.9333333333334</v>
      </c>
      <c r="N111" s="46">
        <f>1-(M111/L111)</f>
        <v>0.23999999999999988</v>
      </c>
      <c r="O111" s="47">
        <f>+'Trim Rwd'!H98</f>
        <v>271.72727272727275</v>
      </c>
      <c r="P111" s="48">
        <f>O111*(Q111-R111-S111)</f>
        <v>379331.27272727276</v>
      </c>
      <c r="Q111" s="47">
        <v>1440</v>
      </c>
      <c r="R111" s="397">
        <v>0</v>
      </c>
      <c r="S111" s="397">
        <v>44</v>
      </c>
      <c r="T111" s="37">
        <f>E111*M111*O111*Q111/100000000</f>
        <v>51.793392000000011</v>
      </c>
      <c r="U111" s="37">
        <f>E111*M111*O111*(Q111-R111-S111)/100000000</f>
        <v>50.210816133333338</v>
      </c>
      <c r="V111" s="37">
        <f>E111*G111*(1-N111)*O111/100*(R111+S111)/1000000</f>
        <v>1.5901480000000003</v>
      </c>
      <c r="W111" s="37">
        <f>+'25'!K34/1000</f>
        <v>46.290999999999997</v>
      </c>
      <c r="X111" s="394">
        <f>SUM(W111:W114)/SUM(K111:K114)</f>
        <v>0.88950665109299365</v>
      </c>
      <c r="Y111" s="37">
        <v>0</v>
      </c>
      <c r="Z111" s="37">
        <f>+'25'!D34/1000</f>
        <v>0.6</v>
      </c>
      <c r="AA111" s="49">
        <f>SUM(U111:U114)-SUM(W111:W114)-SUM(Z111:Z114)-SUM(Y111:Y114)</f>
        <v>3.3198161333333416</v>
      </c>
      <c r="AB111" s="49">
        <f>(SUM(K111:K114)-SUM(W111:W114)-SUM(Y111:Y114)-SUM(Z111:Z114)-SUM(AC111:AC114)-SUM(V111:V114))-AA111</f>
        <v>-7.572133333326736E-3</v>
      </c>
      <c r="AC111" s="37">
        <f>K111-T111</f>
        <v>0.24781527272727999</v>
      </c>
      <c r="AD111" s="37">
        <f>+AM111+BA111</f>
        <v>0</v>
      </c>
      <c r="AE111" s="230" t="s">
        <v>404</v>
      </c>
      <c r="AF111" s="37">
        <v>0</v>
      </c>
      <c r="AG111" s="37"/>
      <c r="AH111" s="37"/>
      <c r="AI111" s="474"/>
      <c r="AJ111" s="37"/>
      <c r="AK111" s="37"/>
      <c r="AL111" s="37"/>
      <c r="AM111" s="37">
        <f>SUM(AF111:AL111)+AT111+AV111+AX111</f>
        <v>0</v>
      </c>
      <c r="AN111" s="37"/>
      <c r="AO111" s="37"/>
      <c r="AP111" s="37"/>
      <c r="AQ111" s="37"/>
      <c r="AR111" s="37">
        <f>SUM(AN111:AQ111)</f>
        <v>0</v>
      </c>
      <c r="AS111" s="37"/>
      <c r="AT111" s="37"/>
      <c r="AU111" s="37"/>
      <c r="AV111" s="37"/>
      <c r="AW111" s="37"/>
      <c r="AX111" s="37"/>
      <c r="AY111" s="37"/>
      <c r="AZ111" s="37"/>
      <c r="BA111" s="37">
        <f>+AR111+AS111+AU111+AW111+AY111+AZ111</f>
        <v>0</v>
      </c>
      <c r="BB111" s="33">
        <v>0</v>
      </c>
      <c r="BC111" s="51"/>
      <c r="BD111" s="51"/>
      <c r="BE111" s="33"/>
      <c r="BF111" s="51"/>
    </row>
    <row r="112" spans="1:58" ht="12.95" customHeight="1">
      <c r="A112" s="40"/>
      <c r="B112" s="41"/>
      <c r="C112" s="428"/>
      <c r="D112" s="41"/>
      <c r="E112" s="42"/>
      <c r="F112" s="42"/>
      <c r="G112" s="472"/>
      <c r="H112" s="542"/>
      <c r="I112" s="45"/>
      <c r="J112" s="86"/>
      <c r="K112" s="86"/>
      <c r="L112" s="35"/>
      <c r="M112" s="35"/>
      <c r="N112" s="46"/>
      <c r="O112" s="47"/>
      <c r="P112" s="48"/>
      <c r="Q112" s="47"/>
      <c r="R112" s="397"/>
      <c r="S112" s="397"/>
      <c r="T112" s="37"/>
      <c r="U112" s="37"/>
      <c r="V112" s="37"/>
      <c r="W112" s="37"/>
      <c r="X112" s="394"/>
      <c r="Y112" s="213"/>
      <c r="Z112" s="37"/>
      <c r="AA112" s="37"/>
      <c r="AB112" s="37"/>
      <c r="AC112" s="37"/>
      <c r="AD112" s="37">
        <f>+AM112+BA112</f>
        <v>15</v>
      </c>
      <c r="AE112" s="230" t="s">
        <v>490</v>
      </c>
      <c r="AF112" s="37"/>
      <c r="AG112" s="37">
        <v>15</v>
      </c>
      <c r="AH112" s="37"/>
      <c r="AI112" s="474"/>
      <c r="AJ112" s="37"/>
      <c r="AK112" s="37"/>
      <c r="AL112" s="37"/>
      <c r="AM112" s="37">
        <f>SUM(AF112:AL112)+AT112+AV112+AX112</f>
        <v>15</v>
      </c>
      <c r="AN112" s="87"/>
      <c r="AO112" s="37"/>
      <c r="AP112" s="37"/>
      <c r="AQ112" s="37"/>
      <c r="AR112" s="37">
        <f>SUM(AN112:AQ112)</f>
        <v>0</v>
      </c>
      <c r="AS112" s="37"/>
      <c r="AT112" s="37"/>
      <c r="AU112" s="37"/>
      <c r="AV112" s="37"/>
      <c r="AW112" s="37"/>
      <c r="AX112" s="37"/>
      <c r="AY112" s="37"/>
      <c r="AZ112" s="37"/>
      <c r="BA112" s="37">
        <f>+AR112+AS112+AU112+AW112+AY112+AZ112</f>
        <v>0</v>
      </c>
      <c r="BB112" s="50"/>
      <c r="BC112" s="51">
        <v>3</v>
      </c>
      <c r="BD112" s="51"/>
      <c r="BE112" s="50"/>
      <c r="BF112" s="51"/>
    </row>
    <row r="113" spans="1:58" ht="12.95" customHeight="1">
      <c r="A113" s="40"/>
      <c r="B113" s="41"/>
      <c r="C113" s="428"/>
      <c r="D113" s="41"/>
      <c r="E113" s="42"/>
      <c r="F113" s="42"/>
      <c r="G113" s="472"/>
      <c r="H113" s="542"/>
      <c r="I113" s="45"/>
      <c r="J113" s="86"/>
      <c r="K113" s="86"/>
      <c r="L113" s="35"/>
      <c r="M113" s="35"/>
      <c r="N113" s="46"/>
      <c r="O113" s="47"/>
      <c r="P113" s="48"/>
      <c r="Q113" s="47"/>
      <c r="R113" s="397"/>
      <c r="S113" s="397"/>
      <c r="T113" s="37"/>
      <c r="U113" s="37"/>
      <c r="V113" s="37"/>
      <c r="W113" s="37"/>
      <c r="X113" s="394"/>
      <c r="Y113" s="213"/>
      <c r="Z113" s="37"/>
      <c r="AA113" s="37"/>
      <c r="AB113" s="37"/>
      <c r="AC113" s="37"/>
      <c r="AD113" s="37">
        <f>+AM113+BA113</f>
        <v>29</v>
      </c>
      <c r="AE113" s="230" t="s">
        <v>570</v>
      </c>
      <c r="AF113" s="33"/>
      <c r="AG113" s="33"/>
      <c r="AH113" s="33">
        <v>29</v>
      </c>
      <c r="AJ113" s="37"/>
      <c r="AK113" s="37"/>
      <c r="AL113" s="37"/>
      <c r="AM113" s="37">
        <f>SUM(AF113:AL113)+AT113+AV113+AX113</f>
        <v>29</v>
      </c>
      <c r="AN113" s="37"/>
      <c r="AO113" s="37"/>
      <c r="AP113" s="37"/>
      <c r="AQ113" s="37"/>
      <c r="AR113" s="37">
        <f>SUM(AN113:AQ113)</f>
        <v>0</v>
      </c>
      <c r="AS113" s="37"/>
      <c r="AT113" s="37"/>
      <c r="AU113" s="37"/>
      <c r="AV113" s="37"/>
      <c r="AW113" s="37"/>
      <c r="AX113" s="37"/>
      <c r="AY113" s="37"/>
      <c r="AZ113" s="37"/>
      <c r="BA113" s="37">
        <f>+AR113+AS113+AU113+AW113+AY113+AZ113</f>
        <v>0</v>
      </c>
      <c r="BB113" s="33"/>
      <c r="BC113" s="53"/>
      <c r="BD113" s="53"/>
      <c r="BE113" s="33"/>
      <c r="BF113" s="53"/>
    </row>
    <row r="114" spans="1:58" ht="12.95" customHeight="1">
      <c r="A114" s="40"/>
      <c r="B114" s="41"/>
      <c r="C114" s="428"/>
      <c r="D114" s="41"/>
      <c r="E114" s="42"/>
      <c r="F114" s="42"/>
      <c r="G114" s="472"/>
      <c r="H114" s="542"/>
      <c r="I114" s="45"/>
      <c r="J114" s="86"/>
      <c r="K114" s="86"/>
      <c r="L114" s="35"/>
      <c r="M114" s="35"/>
      <c r="N114" s="46"/>
      <c r="O114" s="47"/>
      <c r="P114" s="48"/>
      <c r="Q114" s="47"/>
      <c r="R114" s="397"/>
      <c r="S114" s="397"/>
      <c r="T114" s="37"/>
      <c r="U114" s="37"/>
      <c r="V114" s="37"/>
      <c r="W114" s="37"/>
      <c r="X114" s="394"/>
      <c r="Y114" s="213"/>
      <c r="Z114" s="37"/>
      <c r="AA114" s="49"/>
      <c r="AB114" s="49"/>
      <c r="AC114" s="37"/>
      <c r="AD114" s="37"/>
      <c r="AE114" s="230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3"/>
      <c r="BC114" s="51"/>
      <c r="BD114" s="51"/>
      <c r="BE114" s="51"/>
      <c r="BF114" s="51"/>
    </row>
    <row r="115" spans="1:58" ht="12.95" customHeight="1">
      <c r="A115" s="40">
        <v>45956</v>
      </c>
      <c r="B115" s="41" t="s">
        <v>416</v>
      </c>
      <c r="C115" s="428">
        <f>(M115*E115*O115*Q115)/100000000</f>
        <v>52.443063749999993</v>
      </c>
      <c r="D115" s="41" t="s">
        <v>297</v>
      </c>
      <c r="E115" s="42">
        <v>12.5</v>
      </c>
      <c r="F115" s="42">
        <v>1</v>
      </c>
      <c r="G115" s="604">
        <v>1400</v>
      </c>
      <c r="H115" s="489">
        <f>+N115</f>
        <v>0.2400000000000001</v>
      </c>
      <c r="I115" s="45">
        <v>0.88</v>
      </c>
      <c r="J115" s="86">
        <f>E115*G115*(1-H115)*1440/1000000*2.87</f>
        <v>54.966239999999992</v>
      </c>
      <c r="K115" s="86">
        <f>(IF(G115&lt;L115,L115,G115)*(1-IF(H115&lt;N115,H115,N115))*E115*O115*Q115)/100000000</f>
        <v>52.667999999999992</v>
      </c>
      <c r="L115" s="35">
        <v>1394.0208333333333</v>
      </c>
      <c r="M115" s="35">
        <v>1059.4558333333332</v>
      </c>
      <c r="N115" s="46">
        <f>1-(M115/L115)</f>
        <v>0.2400000000000001</v>
      </c>
      <c r="O115" s="47">
        <f>+'Trim Rwd'!H101</f>
        <v>275</v>
      </c>
      <c r="P115" s="48">
        <f>O115*(Q115-R115-S115)</f>
        <v>382800</v>
      </c>
      <c r="Q115" s="47">
        <v>1440</v>
      </c>
      <c r="R115" s="397">
        <v>0</v>
      </c>
      <c r="S115" s="397">
        <v>48</v>
      </c>
      <c r="T115" s="37">
        <f>E115*M115*O115*Q115/100000000</f>
        <v>52.443063749999993</v>
      </c>
      <c r="U115" s="37">
        <f>E115*M115*O115*(Q115-R115-S115)/100000000</f>
        <v>50.694961624999991</v>
      </c>
      <c r="V115" s="37">
        <f>E115*G115*(1-N115)*O115/100*(R115+S115)/1000000</f>
        <v>1.7555999999999996</v>
      </c>
      <c r="W115" s="37">
        <f>+'26'!K34/1000</f>
        <v>42.771000000000001</v>
      </c>
      <c r="X115" s="394">
        <f>SUM(W115:W118)/SUM(K115:K118)</f>
        <v>0.81208703577124641</v>
      </c>
      <c r="Y115" s="37">
        <v>0</v>
      </c>
      <c r="Z115" s="37">
        <f>+'26'!D34/1000</f>
        <v>2.5</v>
      </c>
      <c r="AA115" s="49">
        <f>SUM(U115:U118)-SUM(W115:W118)-SUM(Z115:Z118)-SUM(Y115:Y118)</f>
        <v>5.4239616249999898</v>
      </c>
      <c r="AB115" s="49">
        <f>(SUM(K115:K118)-SUM(W115:W118)-SUM(Y115:Y118)-SUM(Z115:Z118)-SUM(AC115:AC118)-SUM(V115:V118))-AA115</f>
        <v>-7.4978749999967675E-3</v>
      </c>
      <c r="AC115" s="37">
        <f>K115-T115</f>
        <v>0.22493624999999895</v>
      </c>
      <c r="AD115" s="37">
        <f>+AM115+BA115</f>
        <v>20</v>
      </c>
      <c r="AE115" s="230" t="s">
        <v>515</v>
      </c>
      <c r="AF115" s="37">
        <v>20</v>
      </c>
      <c r="AG115" s="37"/>
      <c r="AH115" s="37"/>
      <c r="AI115" s="474"/>
      <c r="AJ115" s="37"/>
      <c r="AK115" s="37"/>
      <c r="AL115" s="37"/>
      <c r="AM115" s="37">
        <f>SUM(AF115:AL115)+AT115+AV115+AX115</f>
        <v>20</v>
      </c>
      <c r="AN115" s="37"/>
      <c r="AO115" s="37"/>
      <c r="AP115" s="37"/>
      <c r="AQ115" s="37"/>
      <c r="AR115" s="37">
        <f>SUM(AN115:AQ115)</f>
        <v>0</v>
      </c>
      <c r="AS115" s="37"/>
      <c r="AT115" s="37"/>
      <c r="AU115" s="37"/>
      <c r="AV115" s="37"/>
      <c r="AW115" s="37"/>
      <c r="AX115" s="37"/>
      <c r="AY115" s="37"/>
      <c r="AZ115" s="37"/>
      <c r="BA115" s="37">
        <f>+AR115+AS115+AU115+AW115+AY115+AZ115</f>
        <v>0</v>
      </c>
      <c r="BB115" s="33">
        <v>4</v>
      </c>
      <c r="BC115" s="51"/>
      <c r="BD115" s="51"/>
      <c r="BE115" s="33"/>
      <c r="BF115" s="51"/>
    </row>
    <row r="116" spans="1:58" ht="12.95" customHeight="1">
      <c r="A116" s="40"/>
      <c r="B116" s="41"/>
      <c r="C116" s="428"/>
      <c r="D116" s="41"/>
      <c r="E116" s="42"/>
      <c r="F116" s="42"/>
      <c r="G116" s="472"/>
      <c r="H116" s="542"/>
      <c r="I116" s="45"/>
      <c r="J116" s="86"/>
      <c r="K116" s="86"/>
      <c r="L116" s="35"/>
      <c r="M116" s="35"/>
      <c r="N116" s="46"/>
      <c r="O116" s="47"/>
      <c r="P116" s="48"/>
      <c r="Q116" s="47"/>
      <c r="R116" s="397"/>
      <c r="S116" s="397"/>
      <c r="T116" s="37"/>
      <c r="U116" s="37"/>
      <c r="V116" s="37"/>
      <c r="W116" s="37"/>
      <c r="X116" s="394"/>
      <c r="Y116" s="213"/>
      <c r="Z116" s="37"/>
      <c r="AA116" s="37"/>
      <c r="AB116" s="37"/>
      <c r="AC116" s="37"/>
      <c r="AD116" s="37">
        <f>+AM116+BA116</f>
        <v>0</v>
      </c>
      <c r="AE116" s="230" t="s">
        <v>426</v>
      </c>
      <c r="AF116" s="37"/>
      <c r="AG116" s="37">
        <v>0</v>
      </c>
      <c r="AH116" s="37"/>
      <c r="AI116" s="474"/>
      <c r="AJ116" s="37"/>
      <c r="AK116" s="37"/>
      <c r="AL116" s="37"/>
      <c r="AM116" s="37">
        <f>SUM(AF116:AL116)+AT116+AV116+AX116</f>
        <v>0</v>
      </c>
      <c r="AN116" s="87"/>
      <c r="AO116" s="37"/>
      <c r="AP116" s="37"/>
      <c r="AQ116" s="37"/>
      <c r="AR116" s="37">
        <f>SUM(AN116:AQ116)</f>
        <v>0</v>
      </c>
      <c r="AS116" s="37"/>
      <c r="AT116" s="37"/>
      <c r="AU116" s="37"/>
      <c r="AV116" s="37"/>
      <c r="AW116" s="37"/>
      <c r="AX116" s="37"/>
      <c r="AY116" s="37"/>
      <c r="AZ116" s="37"/>
      <c r="BA116" s="37">
        <f>+AR116+AS116+AU116+AW116+AY116+AZ116</f>
        <v>0</v>
      </c>
      <c r="BB116" s="50"/>
      <c r="BC116" s="51">
        <v>0</v>
      </c>
      <c r="BD116" s="51"/>
      <c r="BE116" s="50"/>
      <c r="BF116" s="51"/>
    </row>
    <row r="117" spans="1:58" ht="12.95" customHeight="1">
      <c r="A117" s="40"/>
      <c r="B117" s="41"/>
      <c r="C117" s="428"/>
      <c r="D117" s="41"/>
      <c r="E117" s="42"/>
      <c r="F117" s="42"/>
      <c r="G117" s="472"/>
      <c r="H117" s="542"/>
      <c r="I117" s="45"/>
      <c r="J117" s="86"/>
      <c r="K117" s="86"/>
      <c r="L117" s="35"/>
      <c r="M117" s="35"/>
      <c r="N117" s="46"/>
      <c r="O117" s="47"/>
      <c r="P117" s="48"/>
      <c r="Q117" s="47"/>
      <c r="R117" s="397"/>
      <c r="S117" s="397"/>
      <c r="T117" s="37"/>
      <c r="U117" s="37"/>
      <c r="V117" s="37"/>
      <c r="W117" s="37"/>
      <c r="X117" s="394"/>
      <c r="Y117" s="213"/>
      <c r="Z117" s="37"/>
      <c r="AA117" s="37"/>
      <c r="AB117" s="37"/>
      <c r="AC117" s="37"/>
      <c r="AD117" s="37">
        <f>+AM117+BA117</f>
        <v>28</v>
      </c>
      <c r="AE117" s="230" t="s">
        <v>527</v>
      </c>
      <c r="AF117" s="33"/>
      <c r="AG117" s="33"/>
      <c r="AH117" s="33">
        <v>28</v>
      </c>
      <c r="AJ117" s="37"/>
      <c r="AK117" s="37"/>
      <c r="AL117" s="37"/>
      <c r="AM117" s="37">
        <f>SUM(AF117:AL117)+AT117+AV117+AX117</f>
        <v>28</v>
      </c>
      <c r="AN117" s="37"/>
      <c r="AO117" s="37"/>
      <c r="AP117" s="37"/>
      <c r="AQ117" s="37"/>
      <c r="AR117" s="37">
        <f>SUM(AN117:AQ117)</f>
        <v>0</v>
      </c>
      <c r="AS117" s="37"/>
      <c r="AT117" s="37"/>
      <c r="AU117" s="37"/>
      <c r="AV117" s="37"/>
      <c r="AW117" s="37"/>
      <c r="AX117" s="37"/>
      <c r="AY117" s="37"/>
      <c r="AZ117" s="37"/>
      <c r="BA117" s="37">
        <f>+AR117+AS117+AU117+AW117+AY117+AZ117</f>
        <v>0</v>
      </c>
      <c r="BB117" s="33"/>
      <c r="BC117" s="53"/>
      <c r="BD117" s="53"/>
      <c r="BE117" s="33"/>
      <c r="BF117" s="53"/>
    </row>
    <row r="118" spans="1:58" ht="12.95" customHeight="1">
      <c r="A118" s="40"/>
      <c r="B118" s="41"/>
      <c r="C118" s="428"/>
      <c r="D118" s="41"/>
      <c r="E118" s="42"/>
      <c r="F118" s="42"/>
      <c r="G118" s="43"/>
      <c r="H118" s="542"/>
      <c r="I118" s="45"/>
      <c r="J118" s="86"/>
      <c r="K118" s="86"/>
      <c r="L118" s="35"/>
      <c r="M118" s="35"/>
      <c r="N118" s="46"/>
      <c r="O118" s="47"/>
      <c r="P118" s="48"/>
      <c r="Q118" s="47"/>
      <c r="R118" s="397"/>
      <c r="S118" s="397"/>
      <c r="T118" s="37"/>
      <c r="U118" s="37"/>
      <c r="V118" s="37"/>
      <c r="W118" s="37"/>
      <c r="X118" s="394"/>
      <c r="Y118" s="213"/>
      <c r="Z118" s="37"/>
      <c r="AA118" s="37"/>
      <c r="AB118" s="37"/>
      <c r="AC118" s="37"/>
      <c r="AD118" s="37"/>
      <c r="AE118" s="230"/>
      <c r="AF118" s="33"/>
      <c r="AG118" s="33"/>
      <c r="AH118" s="33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3"/>
      <c r="BC118" s="53"/>
      <c r="BD118" s="53"/>
      <c r="BE118" s="33"/>
      <c r="BF118" s="53"/>
    </row>
    <row r="119" spans="1:58" ht="12.95" customHeight="1">
      <c r="A119" s="40">
        <v>45957</v>
      </c>
      <c r="B119" s="41" t="s">
        <v>416</v>
      </c>
      <c r="C119" s="428">
        <f>(M119*E119*O119*Q119)/100000000</f>
        <v>18.878186249999999</v>
      </c>
      <c r="D119" s="41" t="s">
        <v>297</v>
      </c>
      <c r="E119" s="42">
        <v>12.5</v>
      </c>
      <c r="F119" s="42">
        <v>1</v>
      </c>
      <c r="G119" s="604">
        <v>1400</v>
      </c>
      <c r="H119" s="489">
        <f>+N119</f>
        <v>0.24</v>
      </c>
      <c r="I119" s="45">
        <v>0.88</v>
      </c>
      <c r="J119" s="86">
        <f>E119*G119*(1-H119)*1440/1000000*2.87</f>
        <v>54.966240000000006</v>
      </c>
      <c r="K119" s="86">
        <f>(IF(G119&lt;L119,L119,G119)*(1-IF(H119&lt;N119,H119,N119))*E119*O119*Q119)/100000000</f>
        <v>18.94585</v>
      </c>
      <c r="L119" s="35">
        <v>1395</v>
      </c>
      <c r="M119" s="35">
        <f>+L119-L119*0.24</f>
        <v>1060.2</v>
      </c>
      <c r="N119" s="46">
        <f>1-(M119/L119)</f>
        <v>0.24</v>
      </c>
      <c r="O119" s="47">
        <f>+'Trim Rwd'!H103</f>
        <v>275</v>
      </c>
      <c r="P119" s="48">
        <f>O119*(Q119-R119-S119)</f>
        <v>136950</v>
      </c>
      <c r="Q119" s="47">
        <v>518</v>
      </c>
      <c r="R119" s="397">
        <v>0</v>
      </c>
      <c r="S119" s="397">
        <v>20</v>
      </c>
      <c r="T119" s="37">
        <f>E119*M119*O119*Q119/100000000</f>
        <v>18.878186249999999</v>
      </c>
      <c r="U119" s="37">
        <f>E119*M119*O119*(Q119-R119-S119)/100000000</f>
        <v>18.14929875</v>
      </c>
      <c r="V119" s="37">
        <f>E119*G119*(1-N119)*O119/100*(R119+S119)/1000000</f>
        <v>0.73150000000000004</v>
      </c>
      <c r="W119" s="37">
        <f>+'27'!K13/1000</f>
        <v>16.288</v>
      </c>
      <c r="X119" s="394">
        <f>SUM(W119:W122)/SUM(K119:K122)</f>
        <v>0.73505445590878105</v>
      </c>
      <c r="Y119" s="213">
        <v>0</v>
      </c>
      <c r="Z119" s="37">
        <f>+'27'!D7/1000</f>
        <v>1</v>
      </c>
      <c r="AA119" s="49">
        <f>SUM(U119:U122)-SUM(W119:W122)-SUM(Z119:Z122)-SUM(Y119:Y122)</f>
        <v>10.63365555</v>
      </c>
      <c r="AB119" s="49">
        <f>(SUM(K119:K122)-SUM(W119:W122)-SUM(Y119:Y122)-SUM(Z119:Z122)-SUM(AC119:AC122)-SUM(V119:V122))-AA119</f>
        <v>-2.6125000000050136E-3</v>
      </c>
      <c r="AC119" s="37">
        <f>K119-T119</f>
        <v>6.7663750000001244E-2</v>
      </c>
      <c r="AD119" s="37">
        <f>+AM119+BA119</f>
        <v>20</v>
      </c>
      <c r="AE119" s="230" t="s">
        <v>515</v>
      </c>
      <c r="AF119" s="37">
        <v>20</v>
      </c>
      <c r="AG119" s="37"/>
      <c r="AH119" s="37"/>
      <c r="AI119" s="37"/>
      <c r="AJ119" s="37"/>
      <c r="AK119" s="37"/>
      <c r="AL119" s="37"/>
      <c r="AM119" s="37">
        <f>SUM(AF119:AL119)+AT119+AV119+AX119</f>
        <v>20</v>
      </c>
      <c r="AN119" s="37"/>
      <c r="AO119" s="37"/>
      <c r="AP119" s="37"/>
      <c r="AQ119" s="37"/>
      <c r="AR119" s="37">
        <f>SUM(AN119:AQ119)</f>
        <v>0</v>
      </c>
      <c r="AS119" s="37"/>
      <c r="AT119" s="37"/>
      <c r="AU119" s="37"/>
      <c r="AV119" s="37"/>
      <c r="AW119" s="37"/>
      <c r="AX119" s="37"/>
      <c r="AY119" s="37"/>
      <c r="AZ119" s="37"/>
      <c r="BA119" s="37">
        <f>+AR119+AS119+AU119+AW119+AY119+AZ119</f>
        <v>0</v>
      </c>
      <c r="BB119" s="33">
        <v>4</v>
      </c>
      <c r="BC119" s="51"/>
      <c r="BD119" s="51"/>
      <c r="BE119" s="51"/>
      <c r="BF119" s="51"/>
    </row>
    <row r="120" spans="1:58" ht="12.95" customHeight="1">
      <c r="A120" s="40"/>
      <c r="B120" s="41" t="s">
        <v>523</v>
      </c>
      <c r="C120" s="428">
        <f>(M120*E120*O120*Q120)/100000000</f>
        <v>32.961868799999998</v>
      </c>
      <c r="D120" s="41" t="s">
        <v>297</v>
      </c>
      <c r="E120" s="42">
        <v>12</v>
      </c>
      <c r="F120" s="42">
        <v>1</v>
      </c>
      <c r="G120" s="472">
        <v>1400</v>
      </c>
      <c r="H120" s="489">
        <f>+N120</f>
        <v>0.24</v>
      </c>
      <c r="I120" s="45">
        <v>0.88</v>
      </c>
      <c r="J120" s="86">
        <f>E120*G120*(1-H120)*1440/1000000*2.87</f>
        <v>52.767590399999996</v>
      </c>
      <c r="K120" s="86">
        <f>(IF(G120&lt;L120,L120,G120)*(1-IF(H120&lt;N120,H120,N120))*E120*O120*Q120)/100000000</f>
        <v>32.961868799999998</v>
      </c>
      <c r="L120" s="35">
        <v>1400</v>
      </c>
      <c r="M120" s="35">
        <f>+L120-L120*0.24</f>
        <v>1064</v>
      </c>
      <c r="N120" s="46">
        <f>1-(M120/L120)</f>
        <v>0.24</v>
      </c>
      <c r="O120" s="47">
        <f>+'Trim Rwd'!H104</f>
        <v>280</v>
      </c>
      <c r="P120" s="48">
        <f>O120*(Q120-R120-S120)</f>
        <v>249760</v>
      </c>
      <c r="Q120" s="47">
        <v>922</v>
      </c>
      <c r="R120" s="397">
        <v>0</v>
      </c>
      <c r="S120" s="397">
        <v>30</v>
      </c>
      <c r="T120" s="37">
        <f>E120*M120*O120*Q120/100000000</f>
        <v>32.961868799999998</v>
      </c>
      <c r="U120" s="37">
        <f>E120*M120*O120*(Q120-R120-S120)/100000000</f>
        <v>31.889356800000002</v>
      </c>
      <c r="V120" s="37">
        <f>E120*G120*(1-N120)*O120/100*(R120+S120)/1000000</f>
        <v>1.0725119999999999</v>
      </c>
      <c r="W120" s="37">
        <f>+'27'!K12/1000</f>
        <v>21.867000000000001</v>
      </c>
      <c r="X120" s="394"/>
      <c r="Y120" s="213"/>
      <c r="Z120" s="37">
        <f>+'27'!D25/1000</f>
        <v>0.25</v>
      </c>
      <c r="AA120" s="49"/>
      <c r="AB120" s="49"/>
      <c r="AC120" s="37">
        <f>K120-T120</f>
        <v>0</v>
      </c>
      <c r="AD120" s="37">
        <f>+AM120+BA120</f>
        <v>0</v>
      </c>
      <c r="AE120" s="230" t="s">
        <v>426</v>
      </c>
      <c r="AF120" s="37"/>
      <c r="AG120" s="37">
        <v>0</v>
      </c>
      <c r="AH120" s="37"/>
      <c r="AI120" s="37"/>
      <c r="AJ120" s="37"/>
      <c r="AK120" s="37"/>
      <c r="AL120" s="37"/>
      <c r="AM120" s="37">
        <f>SUM(AF120:AL120)+AT120+AV120+AX120</f>
        <v>0</v>
      </c>
      <c r="AN120" s="37"/>
      <c r="AO120" s="37"/>
      <c r="AP120" s="37"/>
      <c r="AQ120" s="37"/>
      <c r="AR120" s="37">
        <f>SUM(AN120:AQ120)</f>
        <v>0</v>
      </c>
      <c r="AS120" s="37"/>
      <c r="AT120" s="37"/>
      <c r="AU120" s="37"/>
      <c r="AV120" s="37"/>
      <c r="AW120" s="37"/>
      <c r="AX120" s="37"/>
      <c r="AY120" s="37"/>
      <c r="AZ120" s="37"/>
      <c r="BA120" s="37">
        <f>+AR120+AS120+AU120+AW120+AY120+AZ120</f>
        <v>0</v>
      </c>
      <c r="BB120" s="33"/>
      <c r="BC120" s="51">
        <v>0</v>
      </c>
      <c r="BD120" s="51"/>
      <c r="BE120" s="51"/>
      <c r="BF120" s="51"/>
    </row>
    <row r="121" spans="1:58" ht="12.95" customHeight="1">
      <c r="A121" s="40"/>
      <c r="B121" s="41"/>
      <c r="C121" s="428"/>
      <c r="D121" s="41"/>
      <c r="E121" s="42"/>
      <c r="F121" s="42"/>
      <c r="G121" s="472"/>
      <c r="H121" s="542"/>
      <c r="I121" s="45"/>
      <c r="J121" s="86"/>
      <c r="K121" s="86"/>
      <c r="L121" s="35"/>
      <c r="M121" s="35"/>
      <c r="N121" s="46"/>
      <c r="O121" s="47"/>
      <c r="P121" s="48"/>
      <c r="Q121" s="47"/>
      <c r="R121" s="397"/>
      <c r="S121" s="397"/>
      <c r="T121" s="37"/>
      <c r="U121" s="37"/>
      <c r="V121" s="37"/>
      <c r="W121" s="37"/>
      <c r="X121" s="394"/>
      <c r="Y121" s="213"/>
      <c r="Z121" s="37"/>
      <c r="AA121" s="37"/>
      <c r="AB121" s="37"/>
      <c r="AC121" s="37"/>
      <c r="AD121" s="37">
        <f>+AM121+BA121</f>
        <v>30</v>
      </c>
      <c r="AE121" s="230" t="s">
        <v>570</v>
      </c>
      <c r="AF121" s="37"/>
      <c r="AG121" s="37"/>
      <c r="AH121" s="37">
        <v>30</v>
      </c>
      <c r="AI121" s="37"/>
      <c r="AJ121" s="37"/>
      <c r="AK121" s="37"/>
      <c r="AL121" s="37"/>
      <c r="AM121" s="37">
        <f>SUM(AF121:AL121)+AT121+AV121+AX121</f>
        <v>30</v>
      </c>
      <c r="AN121" s="37"/>
      <c r="AO121" s="37"/>
      <c r="AP121" s="37"/>
      <c r="AQ121" s="37"/>
      <c r="AR121" s="37">
        <f>SUM(AN121:AQ121)</f>
        <v>0</v>
      </c>
      <c r="AS121" s="37"/>
      <c r="AT121" s="37"/>
      <c r="AU121" s="37"/>
      <c r="AV121" s="37"/>
      <c r="AW121" s="37"/>
      <c r="AX121" s="37"/>
      <c r="AY121" s="37"/>
      <c r="AZ121" s="37"/>
      <c r="BA121" s="37">
        <f>+AR121+AS121+AU121+AW121+AY121+AZ121</f>
        <v>0</v>
      </c>
      <c r="BB121" s="33"/>
      <c r="BC121" s="51"/>
      <c r="BD121" s="51"/>
      <c r="BE121" s="51"/>
      <c r="BF121" s="51"/>
    </row>
    <row r="122" spans="1:58" ht="12.95" customHeight="1">
      <c r="A122" s="40"/>
      <c r="B122" s="41"/>
      <c r="C122" s="428"/>
      <c r="D122" s="41"/>
      <c r="E122" s="42"/>
      <c r="F122" s="42"/>
      <c r="G122" s="472"/>
      <c r="H122" s="542"/>
      <c r="I122" s="45"/>
      <c r="J122" s="86"/>
      <c r="K122" s="86"/>
      <c r="L122" s="35"/>
      <c r="M122" s="35"/>
      <c r="N122" s="46"/>
      <c r="O122" s="47"/>
      <c r="P122" s="48"/>
      <c r="Q122" s="47"/>
      <c r="R122" s="397"/>
      <c r="S122" s="397"/>
      <c r="T122" s="37"/>
      <c r="U122" s="37"/>
      <c r="V122" s="37"/>
      <c r="W122" s="37"/>
      <c r="X122" s="394"/>
      <c r="Y122" s="37"/>
      <c r="Z122" s="37"/>
      <c r="AA122" s="49"/>
      <c r="AB122" s="49"/>
      <c r="AC122" s="37"/>
      <c r="AD122" s="37"/>
      <c r="AE122" s="230"/>
      <c r="AF122" s="37"/>
      <c r="AG122" s="37"/>
      <c r="AH122" s="37"/>
      <c r="AI122" s="474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3"/>
      <c r="BC122" s="51"/>
      <c r="BD122" s="51"/>
      <c r="BE122" s="51"/>
      <c r="BF122" s="51"/>
    </row>
    <row r="123" spans="1:58" ht="12.95" customHeight="1">
      <c r="A123" s="40">
        <v>45958</v>
      </c>
      <c r="B123" s="41" t="s">
        <v>523</v>
      </c>
      <c r="C123" s="428">
        <f>(M123*E123*O123*Q123)/100000000</f>
        <v>42.454621440000004</v>
      </c>
      <c r="D123" s="41" t="s">
        <v>297</v>
      </c>
      <c r="E123" s="42">
        <v>12</v>
      </c>
      <c r="F123" s="42">
        <v>1</v>
      </c>
      <c r="G123" s="472">
        <v>1400</v>
      </c>
      <c r="H123" s="489">
        <f t="shared" ref="H123:H124" si="30">+N123</f>
        <v>0.24</v>
      </c>
      <c r="I123" s="45">
        <v>0.88</v>
      </c>
      <c r="J123" s="86">
        <f>E123*G123*(1-H123)*1440/1000000*2.87</f>
        <v>52.767590399999996</v>
      </c>
      <c r="K123" s="86">
        <f>(IF(G123&lt;L123,L123,G123)*(1-IF(H123&lt;N123,H123,N123))*E123*O123*Q123)/100000000</f>
        <v>42.454621440000004</v>
      </c>
      <c r="L123" s="35">
        <v>1400</v>
      </c>
      <c r="M123" s="35">
        <f t="shared" ref="M123:M124" si="31">+L123-L123*0.24</f>
        <v>1064</v>
      </c>
      <c r="N123" s="46">
        <f>1-(M123/L123)</f>
        <v>0.24</v>
      </c>
      <c r="O123" s="47">
        <f>+'Trim Rwd'!H106</f>
        <v>274.8</v>
      </c>
      <c r="P123" s="48">
        <f>O123*(Q123-R123-S123)</f>
        <v>318768</v>
      </c>
      <c r="Q123" s="47">
        <v>1210</v>
      </c>
      <c r="R123" s="397">
        <v>0</v>
      </c>
      <c r="S123" s="397">
        <v>50</v>
      </c>
      <c r="T123" s="37">
        <f>E123*M123*O123*Q123/100000000</f>
        <v>42.454621440000004</v>
      </c>
      <c r="U123" s="37">
        <f>E123*M123*O123*(Q123-R123-S123)/100000000</f>
        <v>40.700298240000002</v>
      </c>
      <c r="V123" s="37">
        <f>E123*G123*(1-N123)*O123/100*(R123+S123)/1000000</f>
        <v>1.7543232000000004</v>
      </c>
      <c r="W123" s="37">
        <f>+'28'!K12/1000</f>
        <v>37.71</v>
      </c>
      <c r="X123" s="394">
        <f>SUM(W123:W126)/SUM(K123:K126)</f>
        <v>0.79284083043622589</v>
      </c>
      <c r="Y123" s="213">
        <v>0</v>
      </c>
      <c r="Z123" s="37">
        <f>+'28'!D25/1000</f>
        <v>0.26</v>
      </c>
      <c r="AA123" s="49">
        <f>SUM(U123:U126)-SUM(W123:W126)-SUM(Z123:Z126)-SUM(Y123:Y126)</f>
        <v>7.5342622400000057</v>
      </c>
      <c r="AB123" s="49">
        <f>(SUM(K123:K126)-SUM(W123:W126)-SUM(Y123:Y126)-SUM(Z123:Z126)-SUM(AC123:AC126)-SUM(V123:V126))-AA123</f>
        <v>-5.5327999999992272E-3</v>
      </c>
      <c r="AC123" s="37">
        <f>K123-T123</f>
        <v>0</v>
      </c>
      <c r="AD123" s="37">
        <f>+AM123+BA123</f>
        <v>25</v>
      </c>
      <c r="AE123" s="230" t="s">
        <v>586</v>
      </c>
      <c r="AF123" s="37">
        <v>25</v>
      </c>
      <c r="AG123" s="37"/>
      <c r="AH123" s="37"/>
      <c r="AI123" s="37"/>
      <c r="AJ123" s="37"/>
      <c r="AK123" s="37"/>
      <c r="AL123" s="37"/>
      <c r="AM123" s="37">
        <f>SUM(AF123:AL123)+AT123+AV123+AX123</f>
        <v>25</v>
      </c>
      <c r="AN123" s="37"/>
      <c r="AO123" s="37"/>
      <c r="AP123" s="37"/>
      <c r="AQ123" s="37"/>
      <c r="AR123" s="37">
        <f>SUM(AN123:AQ123)</f>
        <v>0</v>
      </c>
      <c r="AS123" s="37"/>
      <c r="AT123" s="37"/>
      <c r="AU123" s="37"/>
      <c r="AV123" s="37"/>
      <c r="AW123" s="37"/>
      <c r="AX123" s="37"/>
      <c r="AY123" s="37"/>
      <c r="AZ123" s="37"/>
      <c r="BA123" s="37">
        <f>+AR123+AS123+AU123+AW123+AY123+AZ123</f>
        <v>0</v>
      </c>
      <c r="BB123" s="33">
        <v>5</v>
      </c>
      <c r="BC123" s="51"/>
      <c r="BD123" s="51"/>
      <c r="BE123" s="51"/>
      <c r="BF123" s="51"/>
    </row>
    <row r="124" spans="1:58" ht="12.95" customHeight="1">
      <c r="A124" s="40"/>
      <c r="B124" s="41" t="s">
        <v>523</v>
      </c>
      <c r="C124" s="428">
        <f>(M124*E124*O124*Q124)/100000000</f>
        <v>8.335163200000002</v>
      </c>
      <c r="D124" s="41" t="s">
        <v>297</v>
      </c>
      <c r="E124" s="42">
        <v>13</v>
      </c>
      <c r="F124" s="42">
        <v>1</v>
      </c>
      <c r="G124" s="472">
        <v>1350</v>
      </c>
      <c r="H124" s="489">
        <f t="shared" si="30"/>
        <v>0.24</v>
      </c>
      <c r="I124" s="45">
        <v>0.88</v>
      </c>
      <c r="J124" s="86">
        <f>E124*G124*(1-H124)*1440/1000000*2.87</f>
        <v>55.123286400000005</v>
      </c>
      <c r="K124" s="86">
        <f>(IF(G124&lt;L124,L124,G124)*(1-IF(H124&lt;N124,H124,N124))*E124*O124*Q124)/100000000</f>
        <v>8.5896720000000002</v>
      </c>
      <c r="L124" s="35">
        <v>1310</v>
      </c>
      <c r="M124" s="35">
        <f t="shared" si="31"/>
        <v>995.6</v>
      </c>
      <c r="N124" s="46">
        <f>1-(M124/L124)</f>
        <v>0.24</v>
      </c>
      <c r="O124" s="47">
        <f>+'Trim Rwd'!H109</f>
        <v>280</v>
      </c>
      <c r="P124" s="48">
        <f>O124*(Q124-R124-S124)</f>
        <v>63000</v>
      </c>
      <c r="Q124" s="47">
        <v>230</v>
      </c>
      <c r="R124" s="397">
        <v>0</v>
      </c>
      <c r="S124" s="397">
        <v>5</v>
      </c>
      <c r="T124" s="37">
        <f>E124*M124*O124*Q124/100000000</f>
        <v>8.335163200000002</v>
      </c>
      <c r="U124" s="37">
        <f>E124*M124*O124*(Q124-R124-S124)/100000000</f>
        <v>8.153964000000002</v>
      </c>
      <c r="V124" s="37">
        <f>E124*G124*(1-N124)*O124/100*(R124+S124)/1000000</f>
        <v>0.18673200000000001</v>
      </c>
      <c r="W124" s="37">
        <f>+'28'!K9/1000</f>
        <v>2.1640000000000001</v>
      </c>
      <c r="X124" s="394"/>
      <c r="Y124" s="213"/>
      <c r="Z124" s="37">
        <v>0</v>
      </c>
      <c r="AA124" s="49"/>
      <c r="AB124" s="49"/>
      <c r="AC124" s="37">
        <f>K124-T124</f>
        <v>0.2545087999999982</v>
      </c>
      <c r="AD124" s="37">
        <f>+AM124+BA124</f>
        <v>0</v>
      </c>
      <c r="AE124" s="230" t="s">
        <v>426</v>
      </c>
      <c r="AF124" s="37"/>
      <c r="AG124" s="37">
        <v>0</v>
      </c>
      <c r="AH124" s="37"/>
      <c r="AI124" s="37"/>
      <c r="AJ124" s="37"/>
      <c r="AK124" s="37"/>
      <c r="AL124" s="37"/>
      <c r="AM124" s="37">
        <f>SUM(AF124:AL124)+AT124+AV124+AX124</f>
        <v>0</v>
      </c>
      <c r="AN124" s="37"/>
      <c r="AO124" s="37"/>
      <c r="AP124" s="37"/>
      <c r="AQ124" s="37"/>
      <c r="AR124" s="37">
        <f>SUM(AN124:AQ124)</f>
        <v>0</v>
      </c>
      <c r="AS124" s="37"/>
      <c r="AT124" s="37"/>
      <c r="AU124" s="37"/>
      <c r="AV124" s="37"/>
      <c r="AW124" s="37"/>
      <c r="AX124" s="37"/>
      <c r="AY124" s="37"/>
      <c r="AZ124" s="37"/>
      <c r="BA124" s="37">
        <f>+AR124+AS124+AU124+AW124+AY124+AZ124</f>
        <v>0</v>
      </c>
      <c r="BB124" s="33"/>
      <c r="BC124" s="51">
        <v>0</v>
      </c>
      <c r="BD124" s="51"/>
      <c r="BE124" s="51"/>
      <c r="BF124" s="51"/>
    </row>
    <row r="125" spans="1:58" ht="12.95" customHeight="1">
      <c r="A125" s="40"/>
      <c r="B125" s="41" t="s">
        <v>416</v>
      </c>
      <c r="C125" s="428"/>
      <c r="D125" s="41"/>
      <c r="E125" s="42">
        <v>12.5</v>
      </c>
      <c r="F125" s="42"/>
      <c r="G125" s="472"/>
      <c r="H125" s="542"/>
      <c r="I125" s="45"/>
      <c r="J125" s="86"/>
      <c r="K125" s="86"/>
      <c r="L125" s="35"/>
      <c r="M125" s="35"/>
      <c r="N125" s="46"/>
      <c r="O125" s="47"/>
      <c r="P125" s="48"/>
      <c r="Q125" s="47"/>
      <c r="R125" s="397"/>
      <c r="S125" s="397"/>
      <c r="T125" s="37"/>
      <c r="U125" s="37"/>
      <c r="V125" s="37"/>
      <c r="W125" s="37">
        <f>+'28'!K13/1000</f>
        <v>0.59599999999999997</v>
      </c>
      <c r="X125" s="394"/>
      <c r="Y125" s="213"/>
      <c r="Z125" s="37">
        <f>+'28'!D27/1000</f>
        <v>0.59</v>
      </c>
      <c r="AA125" s="37"/>
      <c r="AB125" s="37"/>
      <c r="AC125" s="37"/>
      <c r="AD125" s="37">
        <f>+AM125+BA125</f>
        <v>30</v>
      </c>
      <c r="AE125" s="230" t="s">
        <v>618</v>
      </c>
      <c r="AF125" s="37"/>
      <c r="AG125" s="37"/>
      <c r="AH125" s="37">
        <v>30</v>
      </c>
      <c r="AI125" s="37"/>
      <c r="AJ125" s="37"/>
      <c r="AK125" s="37"/>
      <c r="AL125" s="37"/>
      <c r="AM125" s="37">
        <f>SUM(AF125:AL125)+AT125+AV125+AX125</f>
        <v>30</v>
      </c>
      <c r="AN125" s="37"/>
      <c r="AO125" s="37"/>
      <c r="AP125" s="37"/>
      <c r="AQ125" s="37"/>
      <c r="AR125" s="37">
        <f>SUM(AN125:AQ125)</f>
        <v>0</v>
      </c>
      <c r="AS125" s="37"/>
      <c r="AT125" s="37"/>
      <c r="AU125" s="37"/>
      <c r="AV125" s="37"/>
      <c r="AW125" s="37"/>
      <c r="AX125" s="37"/>
      <c r="AY125" s="37"/>
      <c r="AZ125" s="37"/>
      <c r="BA125" s="37">
        <f>+AR125+AS125+AU125+AW125+AY125+AZ125</f>
        <v>0</v>
      </c>
      <c r="BB125" s="33"/>
      <c r="BC125" s="51"/>
      <c r="BD125" s="51"/>
      <c r="BE125" s="51"/>
      <c r="BF125" s="51"/>
    </row>
    <row r="126" spans="1:58" ht="12.95" customHeight="1">
      <c r="A126" s="40"/>
      <c r="B126" s="41"/>
      <c r="C126" s="428"/>
      <c r="D126" s="41"/>
      <c r="E126" s="42"/>
      <c r="F126" s="42"/>
      <c r="G126" s="43"/>
      <c r="H126" s="542"/>
      <c r="I126" s="45"/>
      <c r="J126" s="86"/>
      <c r="K126" s="86"/>
      <c r="L126" s="35"/>
      <c r="M126" s="35"/>
      <c r="N126" s="46"/>
      <c r="O126" s="47"/>
      <c r="P126" s="48"/>
      <c r="Q126" s="47"/>
      <c r="R126" s="397"/>
      <c r="S126" s="397"/>
      <c r="T126" s="37"/>
      <c r="U126" s="37"/>
      <c r="V126" s="37"/>
      <c r="W126" s="37"/>
      <c r="X126" s="394"/>
      <c r="Y126" s="213"/>
      <c r="Z126" s="37"/>
      <c r="AA126" s="49"/>
      <c r="AB126" s="49"/>
      <c r="AC126" s="37"/>
      <c r="AD126" s="37"/>
      <c r="AE126" s="230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3"/>
      <c r="BC126" s="51"/>
      <c r="BD126" s="51"/>
      <c r="BE126" s="51"/>
      <c r="BF126" s="51"/>
    </row>
    <row r="127" spans="1:58" ht="12.95" customHeight="1">
      <c r="A127" s="40">
        <v>45959</v>
      </c>
      <c r="B127" s="41" t="s">
        <v>523</v>
      </c>
      <c r="C127" s="428">
        <f>(M127*E127*O127*Q127)/100000000</f>
        <v>17.395123200000004</v>
      </c>
      <c r="D127" s="41" t="s">
        <v>297</v>
      </c>
      <c r="E127" s="42">
        <v>13</v>
      </c>
      <c r="F127" s="42">
        <v>1</v>
      </c>
      <c r="G127" s="472">
        <v>1350</v>
      </c>
      <c r="H127" s="489">
        <f t="shared" ref="H127:H128" si="32">+N127</f>
        <v>0.24</v>
      </c>
      <c r="I127" s="45">
        <v>0.88</v>
      </c>
      <c r="J127" s="86">
        <f>E127*G127*(1-H127)*1440/1000000*2.87</f>
        <v>55.123286400000005</v>
      </c>
      <c r="K127" s="86">
        <f>(IF(G127&lt;L127,L127,G127)*(1-IF(H127&lt;N127,H127,N127))*E127*O127*Q127)/100000000</f>
        <v>17.926272000000001</v>
      </c>
      <c r="L127" s="35">
        <v>1310</v>
      </c>
      <c r="M127" s="35">
        <f>+L127-L127*0.24</f>
        <v>995.6</v>
      </c>
      <c r="N127" s="46">
        <f>1-(M127/L127)</f>
        <v>0.24</v>
      </c>
      <c r="O127" s="47">
        <f>+'Trim Rwd'!H111</f>
        <v>280</v>
      </c>
      <c r="P127" s="48">
        <f>O127*(Q127-R127-S127)</f>
        <v>130200</v>
      </c>
      <c r="Q127" s="47">
        <v>480</v>
      </c>
      <c r="R127" s="397">
        <v>0</v>
      </c>
      <c r="S127" s="397">
        <v>15</v>
      </c>
      <c r="T127" s="37">
        <f>E127*M127*O127*Q127/100000000</f>
        <v>17.395123200000004</v>
      </c>
      <c r="U127" s="37">
        <f>E127*M127*O127*(Q127-R127-S127)/100000000</f>
        <v>16.851525600000002</v>
      </c>
      <c r="V127" s="37">
        <f>E127*G127*(1-N127)*O127/100*(R127+S127)/1000000</f>
        <v>0.56019600000000003</v>
      </c>
      <c r="W127" s="37">
        <f>+'29'!K9/1000</f>
        <v>21.527000000000001</v>
      </c>
      <c r="X127" s="394">
        <f>SUM(W127:W130)/SUM(K127:K130)</f>
        <v>0.82674455884845854</v>
      </c>
      <c r="Y127" s="213">
        <v>0</v>
      </c>
      <c r="Z127" s="37">
        <f>+'29'!D7/1000</f>
        <v>0.26</v>
      </c>
      <c r="AA127" s="49">
        <f>SUM(U127:U130)-SUM(W127:W130)-SUM(Z127:Z130)-SUM(Y127:Y130)</f>
        <v>6.2464312000000044</v>
      </c>
      <c r="AB127" s="49">
        <f>(SUM(K127:K130)-SUM(W127:W130)-SUM(Y127:Y130)-SUM(Z127:Z130)-SUM(AC127:AC130)-SUM(V127:V130))-AA127</f>
        <v>-1.6598400000001234E-2</v>
      </c>
      <c r="AC127" s="37">
        <f>K127-T127</f>
        <v>0.53114879999999687</v>
      </c>
      <c r="AD127" s="37">
        <f>+AM127+BA127</f>
        <v>15</v>
      </c>
      <c r="AE127" s="230" t="s">
        <v>526</v>
      </c>
      <c r="AF127" s="37">
        <v>15</v>
      </c>
      <c r="AG127" s="37"/>
      <c r="AH127" s="37"/>
      <c r="AI127" s="37"/>
      <c r="AJ127" s="37"/>
      <c r="AK127" s="37"/>
      <c r="AL127" s="37"/>
      <c r="AM127" s="37">
        <f>SUM(AF127:AL127)+AT127+AV127+AX127</f>
        <v>15</v>
      </c>
      <c r="AN127" s="37"/>
      <c r="AO127" s="37"/>
      <c r="AP127" s="37"/>
      <c r="AQ127" s="37"/>
      <c r="AR127" s="37">
        <f>SUM(AN127:AQ127)</f>
        <v>0</v>
      </c>
      <c r="AS127" s="37"/>
      <c r="AT127" s="37"/>
      <c r="AU127" s="37"/>
      <c r="AV127" s="37"/>
      <c r="AW127" s="37"/>
      <c r="AX127" s="37"/>
      <c r="AY127" s="37"/>
      <c r="AZ127" s="37"/>
      <c r="BA127" s="37">
        <f>+AR127+AS127+AU127+AW127+AY127+AZ127</f>
        <v>0</v>
      </c>
      <c r="BB127" s="33">
        <v>3</v>
      </c>
      <c r="BC127" s="51"/>
      <c r="BD127" s="51"/>
      <c r="BE127" s="51"/>
      <c r="BF127" s="51"/>
    </row>
    <row r="128" spans="1:58" ht="12.95" customHeight="1">
      <c r="A128" s="40"/>
      <c r="B128" s="41" t="s">
        <v>523</v>
      </c>
      <c r="C128" s="428">
        <f>(M128*E128*O128*Q128)/100000000</f>
        <v>34.174464</v>
      </c>
      <c r="D128" s="41" t="s">
        <v>297</v>
      </c>
      <c r="E128" s="42">
        <v>12</v>
      </c>
      <c r="F128" s="42">
        <v>1</v>
      </c>
      <c r="G128" s="472">
        <v>1400</v>
      </c>
      <c r="H128" s="489">
        <f t="shared" si="32"/>
        <v>0.24</v>
      </c>
      <c r="I128" s="45">
        <v>0.88</v>
      </c>
      <c r="J128" s="86">
        <f>E128*G128*(1-H128)*1440/1000000*2.87</f>
        <v>52.767590399999996</v>
      </c>
      <c r="K128" s="86">
        <f>(IF(G128&lt;L128,L128,G128)*(1-IF(H128&lt;N128,H128,N128))*E128*O128*Q128)/100000000</f>
        <v>34.174464</v>
      </c>
      <c r="L128" s="35">
        <v>1400</v>
      </c>
      <c r="M128" s="35">
        <f>+L128-L128*0.24</f>
        <v>1064</v>
      </c>
      <c r="N128" s="46">
        <f>1-(M128/L128)</f>
        <v>0.24</v>
      </c>
      <c r="O128" s="47">
        <f>+'Trim Rwd'!H112</f>
        <v>278.8095238095238</v>
      </c>
      <c r="P128" s="48">
        <f>O128*(Q128-R128-S128)</f>
        <v>260408.09523809524</v>
      </c>
      <c r="Q128" s="47">
        <v>960</v>
      </c>
      <c r="R128" s="397">
        <v>0</v>
      </c>
      <c r="S128" s="397">
        <v>26</v>
      </c>
      <c r="T128" s="37">
        <f>E128*M128*O128*Q128/100000000</f>
        <v>34.174464</v>
      </c>
      <c r="U128" s="37">
        <f>E128*M128*O128*(Q128-R128-S128)/100000000</f>
        <v>33.248905600000001</v>
      </c>
      <c r="V128" s="37">
        <f>E128*G128*(1-N128)*O128/100*(R128+S128)/1000000</f>
        <v>0.9255584</v>
      </c>
      <c r="W128" s="37">
        <f>+'29'!K12/1000</f>
        <v>21.547000000000001</v>
      </c>
      <c r="X128" s="394"/>
      <c r="Y128" s="213"/>
      <c r="Z128" s="37">
        <f>+'29'!D16/1000</f>
        <v>0.52</v>
      </c>
      <c r="AA128" s="49"/>
      <c r="AB128" s="49"/>
      <c r="AC128" s="37">
        <f>K128-T128</f>
        <v>0</v>
      </c>
      <c r="AD128" s="37">
        <f>+AM128+BA128</f>
        <v>0</v>
      </c>
      <c r="AE128" s="230" t="s">
        <v>426</v>
      </c>
      <c r="AF128" s="37"/>
      <c r="AG128" s="37">
        <v>0</v>
      </c>
      <c r="AH128" s="37"/>
      <c r="AI128" s="37"/>
      <c r="AJ128" s="37"/>
      <c r="AK128" s="37"/>
      <c r="AL128" s="37"/>
      <c r="AM128" s="37">
        <f>SUM(AF128:AL128)+AT128+AV128+AX128</f>
        <v>0</v>
      </c>
      <c r="AN128" s="37"/>
      <c r="AO128" s="37"/>
      <c r="AP128" s="37"/>
      <c r="AQ128" s="37"/>
      <c r="AR128" s="37">
        <f>SUM(AN128:AQ128)</f>
        <v>0</v>
      </c>
      <c r="AS128" s="37"/>
      <c r="AT128" s="37"/>
      <c r="AU128" s="37"/>
      <c r="AV128" s="37"/>
      <c r="AW128" s="37"/>
      <c r="AX128" s="37"/>
      <c r="AY128" s="37"/>
      <c r="AZ128" s="37"/>
      <c r="BA128" s="37">
        <f>+AR128+AS128+AU128+AW128+AY128+AZ128</f>
        <v>0</v>
      </c>
      <c r="BB128" s="33"/>
      <c r="BC128" s="51">
        <v>0</v>
      </c>
      <c r="BD128" s="51"/>
      <c r="BE128" s="51"/>
      <c r="BF128" s="51"/>
    </row>
    <row r="129" spans="1:58" ht="12.95" customHeight="1">
      <c r="A129" s="40"/>
      <c r="B129" s="41"/>
      <c r="C129" s="428"/>
      <c r="D129" s="41"/>
      <c r="E129" s="42"/>
      <c r="F129" s="42"/>
      <c r="G129" s="43"/>
      <c r="H129" s="542"/>
      <c r="I129" s="45"/>
      <c r="J129" s="86"/>
      <c r="K129" s="86"/>
      <c r="L129" s="35"/>
      <c r="M129" s="35"/>
      <c r="N129" s="46"/>
      <c r="O129" s="47"/>
      <c r="P129" s="48"/>
      <c r="Q129" s="47"/>
      <c r="R129" s="397"/>
      <c r="S129" s="397"/>
      <c r="T129" s="37"/>
      <c r="U129" s="37"/>
      <c r="V129" s="37"/>
      <c r="W129" s="37"/>
      <c r="X129" s="394"/>
      <c r="Y129" s="213"/>
      <c r="Z129" s="37"/>
      <c r="AA129" s="37"/>
      <c r="AB129" s="37"/>
      <c r="AC129" s="37"/>
      <c r="AD129" s="37">
        <f>+AM129+BA129</f>
        <v>26</v>
      </c>
      <c r="AE129" s="230" t="s">
        <v>527</v>
      </c>
      <c r="AF129" s="37"/>
      <c r="AG129" s="37"/>
      <c r="AH129" s="37">
        <v>26</v>
      </c>
      <c r="AI129" s="37"/>
      <c r="AJ129" s="37"/>
      <c r="AK129" s="37"/>
      <c r="AL129" s="37"/>
      <c r="AM129" s="37">
        <f>SUM(AF129:AL129)+AT129+AV129+AX129</f>
        <v>26</v>
      </c>
      <c r="AN129" s="37"/>
      <c r="AO129" s="37"/>
      <c r="AP129" s="37"/>
      <c r="AQ129" s="37"/>
      <c r="AR129" s="37">
        <f>SUM(AN129:AQ129)</f>
        <v>0</v>
      </c>
      <c r="AS129" s="37"/>
      <c r="AT129" s="37"/>
      <c r="AU129" s="37"/>
      <c r="AV129" s="37"/>
      <c r="AW129" s="37"/>
      <c r="AX129" s="37"/>
      <c r="AY129" s="37"/>
      <c r="AZ129" s="37"/>
      <c r="BA129" s="37">
        <f>+AR129+AS129+AU129+AW129+AY129+AZ129</f>
        <v>0</v>
      </c>
      <c r="BB129" s="33"/>
      <c r="BC129" s="51"/>
      <c r="BD129" s="51"/>
      <c r="BE129" s="51"/>
      <c r="BF129" s="51"/>
    </row>
    <row r="130" spans="1:58" ht="12.95" customHeight="1">
      <c r="A130" s="40"/>
      <c r="B130" s="41"/>
      <c r="C130" s="428"/>
      <c r="D130" s="41"/>
      <c r="E130" s="42"/>
      <c r="F130" s="42"/>
      <c r="G130" s="43"/>
      <c r="H130" s="542"/>
      <c r="I130" s="45"/>
      <c r="J130" s="86"/>
      <c r="K130" s="86"/>
      <c r="L130" s="35"/>
      <c r="M130" s="35"/>
      <c r="N130" s="46"/>
      <c r="O130" s="47"/>
      <c r="P130" s="48"/>
      <c r="Q130" s="47"/>
      <c r="R130" s="397"/>
      <c r="S130" s="397"/>
      <c r="T130" s="37"/>
      <c r="U130" s="37"/>
      <c r="V130" s="37"/>
      <c r="W130" s="37"/>
      <c r="X130" s="394"/>
      <c r="Y130" s="213"/>
      <c r="Z130" s="37"/>
      <c r="AA130" s="49"/>
      <c r="AB130" s="49"/>
      <c r="AC130" s="37"/>
      <c r="AD130" s="37"/>
      <c r="AE130" s="230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3"/>
      <c r="BC130" s="51"/>
      <c r="BD130" s="51"/>
      <c r="BE130" s="51"/>
      <c r="BF130" s="51"/>
    </row>
    <row r="131" spans="1:58" ht="12.95" customHeight="1">
      <c r="A131" s="40">
        <v>45960</v>
      </c>
      <c r="B131" s="41" t="s">
        <v>523</v>
      </c>
      <c r="C131" s="428">
        <f>(M131*E131*O131*Q131)/100000000</f>
        <v>36.465407999999996</v>
      </c>
      <c r="D131" s="41" t="s">
        <v>297</v>
      </c>
      <c r="E131" s="42">
        <v>12</v>
      </c>
      <c r="F131" s="42">
        <v>1</v>
      </c>
      <c r="G131" s="472">
        <v>1400</v>
      </c>
      <c r="H131" s="489">
        <f t="shared" ref="H131" si="33">+N131</f>
        <v>0.24</v>
      </c>
      <c r="I131" s="45">
        <v>0.88</v>
      </c>
      <c r="J131" s="86">
        <f>E131*G131*(1-H131)*1440/1000000*2.87</f>
        <v>52.767590399999996</v>
      </c>
      <c r="K131" s="86">
        <f>(IF(G131&lt;L131,L131,G131)*(1-IF(H131&lt;N131,H131,N131))*E131*O131*Q131)/100000000</f>
        <v>36.465407999999996</v>
      </c>
      <c r="L131" s="35">
        <v>1400</v>
      </c>
      <c r="M131" s="35">
        <f>+L131-L131*0.24</f>
        <v>1064</v>
      </c>
      <c r="N131" s="46">
        <f>1-(M131/L131)</f>
        <v>0.24</v>
      </c>
      <c r="O131" s="47">
        <f>+'Trim Rwd'!H115</f>
        <v>280</v>
      </c>
      <c r="P131" s="48">
        <f>O131*(Q131-R131-S131)</f>
        <v>277200</v>
      </c>
      <c r="Q131" s="47">
        <v>1020</v>
      </c>
      <c r="R131" s="397">
        <v>0</v>
      </c>
      <c r="S131" s="397">
        <v>30</v>
      </c>
      <c r="T131" s="37">
        <f>E131*M131*O131*Q131/100000000</f>
        <v>36.465407999999996</v>
      </c>
      <c r="U131" s="37">
        <f>E131*M131*O131*(Q131-R131-S131)/100000000</f>
        <v>35.392896</v>
      </c>
      <c r="V131" s="37">
        <f>E131*G131*(1-N131)*O131/100*(R131+S131)/1000000</f>
        <v>1.0725119999999999</v>
      </c>
      <c r="W131" s="37">
        <f>+'30'!K12/1000</f>
        <v>33.145000000000003</v>
      </c>
      <c r="X131" s="394">
        <f>SUM(W131:W134)/SUM(K131:K134)</f>
        <v>0.74764744878637046</v>
      </c>
      <c r="Y131" s="213">
        <f>+SUM(RBP!$AG$3:$AG$4)</f>
        <v>14.206</v>
      </c>
      <c r="Z131" s="37">
        <f>+'30'!D34/1000</f>
        <v>0.98299999999999998</v>
      </c>
      <c r="AA131" s="49">
        <f>SUM(U131:U134)-SUM(W131:W134)-SUM(Z131:Z134)-SUM(Y131:Y134)</f>
        <v>-4.3758680000000041</v>
      </c>
      <c r="AB131" s="49">
        <f>(SUM(K131:K134)-SUM(W131:W134)-SUM(Y131:Y134)-SUM(Z131:Z134)-SUM(AC131:AC134)-SUM(V131:V134))-AA131</f>
        <v>-1.8191250000000991E-2</v>
      </c>
      <c r="AC131" s="37">
        <f>K131-T131</f>
        <v>0</v>
      </c>
      <c r="AD131" s="37">
        <f>+AM131+BA131</f>
        <v>30</v>
      </c>
      <c r="AE131" s="230" t="s">
        <v>491</v>
      </c>
      <c r="AF131" s="37">
        <v>30</v>
      </c>
      <c r="AG131" s="37"/>
      <c r="AH131" s="37"/>
      <c r="AI131" s="37"/>
      <c r="AJ131" s="37"/>
      <c r="AK131" s="37"/>
      <c r="AL131" s="37"/>
      <c r="AM131" s="37">
        <f>SUM(AF131:AL131)+AT131+AV131+AX131</f>
        <v>30</v>
      </c>
      <c r="AN131" s="37"/>
      <c r="AO131" s="37"/>
      <c r="AP131" s="37"/>
      <c r="AQ131" s="37"/>
      <c r="AR131" s="37">
        <f>SUM(AN131:AQ131)</f>
        <v>0</v>
      </c>
      <c r="AS131" s="37"/>
      <c r="AT131" s="37"/>
      <c r="AU131" s="37"/>
      <c r="AV131" s="37"/>
      <c r="AW131" s="37"/>
      <c r="AX131" s="37"/>
      <c r="AY131" s="37"/>
      <c r="AZ131" s="37"/>
      <c r="BA131" s="37">
        <f>+AR131+AS131+AU131+AW131+AY131+AZ131</f>
        <v>0</v>
      </c>
      <c r="BB131" s="33">
        <v>6</v>
      </c>
      <c r="BC131" s="51"/>
      <c r="BD131" s="51"/>
      <c r="BE131" s="51"/>
      <c r="BF131" s="51"/>
    </row>
    <row r="132" spans="1:58" ht="12.95" customHeight="1">
      <c r="A132" s="40"/>
      <c r="B132" s="41" t="s">
        <v>416</v>
      </c>
      <c r="C132" s="428">
        <f>(M132*E132*O132*Q132)/100000000</f>
        <v>15.393840000000001</v>
      </c>
      <c r="D132" s="41" t="s">
        <v>297</v>
      </c>
      <c r="E132" s="42">
        <v>12.5</v>
      </c>
      <c r="F132" s="42">
        <v>1</v>
      </c>
      <c r="G132" s="604">
        <v>1385</v>
      </c>
      <c r="H132" s="489">
        <f>+N132</f>
        <v>0.22999999999999998</v>
      </c>
      <c r="I132" s="45">
        <v>0.88</v>
      </c>
      <c r="J132" s="86">
        <f>E132*G132*(1-H132)*1440/1000000*2.87</f>
        <v>55.092807000000008</v>
      </c>
      <c r="K132" s="86">
        <f>(IF(G132&lt;L132,L132,G132)*(1-IF(H132&lt;N132,H132,N132))*E132*O132*Q132)/100000000</f>
        <v>15.676815</v>
      </c>
      <c r="L132" s="35">
        <v>1360</v>
      </c>
      <c r="M132" s="35">
        <f>+L132-L132*0.23</f>
        <v>1047.2</v>
      </c>
      <c r="N132" s="46">
        <f>1-(M132/L132)</f>
        <v>0.22999999999999998</v>
      </c>
      <c r="O132" s="47">
        <f>+'Trim Rwd'!H116</f>
        <v>280</v>
      </c>
      <c r="P132" s="48">
        <f>O132*(Q132-R132-S132)</f>
        <v>110040</v>
      </c>
      <c r="Q132" s="47">
        <v>420</v>
      </c>
      <c r="R132" s="397">
        <v>0</v>
      </c>
      <c r="S132" s="397">
        <v>27</v>
      </c>
      <c r="T132" s="37">
        <f>E132*M132*O132*Q132/100000000</f>
        <v>15.393840000000001</v>
      </c>
      <c r="U132" s="37">
        <f>E132*M132*O132*(Q132-R132-S132)/100000000</f>
        <v>14.404235999999999</v>
      </c>
      <c r="V132" s="37">
        <f>E132*G132*(1-N132)*O132/100*(R132+S132)/1000000</f>
        <v>1.00779525</v>
      </c>
      <c r="W132" s="37">
        <f>+'30'!K13/1000</f>
        <v>5.8390000000000004</v>
      </c>
      <c r="X132" s="394"/>
      <c r="Y132" s="213"/>
      <c r="Z132" s="37"/>
      <c r="AA132" s="49"/>
      <c r="AB132" s="49"/>
      <c r="AC132" s="37">
        <f>K132-T132</f>
        <v>0.28297499999999864</v>
      </c>
      <c r="AD132" s="37">
        <f>+AM132+BA132</f>
        <v>0</v>
      </c>
      <c r="AE132" s="230" t="s">
        <v>426</v>
      </c>
      <c r="AF132" s="37"/>
      <c r="AG132" s="37">
        <v>0</v>
      </c>
      <c r="AH132" s="37"/>
      <c r="AI132" s="37"/>
      <c r="AJ132" s="37"/>
      <c r="AK132" s="37"/>
      <c r="AL132" s="37"/>
      <c r="AM132" s="37">
        <f>SUM(AF132:AL132)+AT132+AV132+AX132</f>
        <v>0</v>
      </c>
      <c r="AN132" s="37"/>
      <c r="AO132" s="37"/>
      <c r="AP132" s="37"/>
      <c r="AQ132" s="37"/>
      <c r="AR132" s="37">
        <f>SUM(AN132:AQ132)</f>
        <v>0</v>
      </c>
      <c r="AS132" s="37"/>
      <c r="AT132" s="37"/>
      <c r="AU132" s="37"/>
      <c r="AV132" s="37"/>
      <c r="AW132" s="37"/>
      <c r="AX132" s="37"/>
      <c r="AY132" s="37"/>
      <c r="AZ132" s="37"/>
      <c r="BA132" s="37">
        <f>+AR132+AS132+AU132+AW132+AY132+AZ132</f>
        <v>0</v>
      </c>
      <c r="BB132" s="33"/>
      <c r="BC132" s="51">
        <v>0</v>
      </c>
      <c r="BD132" s="51"/>
      <c r="BE132" s="51"/>
      <c r="BF132" s="51"/>
    </row>
    <row r="133" spans="1:58" ht="12.95" customHeight="1">
      <c r="A133" s="40"/>
      <c r="B133" s="41"/>
      <c r="C133" s="428"/>
      <c r="D133" s="41"/>
      <c r="E133" s="42"/>
      <c r="F133" s="42"/>
      <c r="G133" s="43"/>
      <c r="H133" s="542"/>
      <c r="I133" s="45"/>
      <c r="J133" s="86"/>
      <c r="K133" s="86"/>
      <c r="L133" s="35"/>
      <c r="M133" s="35"/>
      <c r="N133" s="46"/>
      <c r="O133" s="47"/>
      <c r="P133" s="48"/>
      <c r="Q133" s="47"/>
      <c r="R133" s="397"/>
      <c r="S133" s="397"/>
      <c r="T133" s="37"/>
      <c r="U133" s="37"/>
      <c r="V133" s="37"/>
      <c r="W133" s="37"/>
      <c r="X133" s="394"/>
      <c r="Y133" s="213"/>
      <c r="Z133" s="37"/>
      <c r="AA133" s="37"/>
      <c r="AB133" s="37"/>
      <c r="AC133" s="37"/>
      <c r="AD133" s="37">
        <f>+AM133+BA133</f>
        <v>27</v>
      </c>
      <c r="AE133" s="230" t="s">
        <v>463</v>
      </c>
      <c r="AF133" s="37"/>
      <c r="AG133" s="37"/>
      <c r="AH133" s="37">
        <v>27</v>
      </c>
      <c r="AI133" s="37"/>
      <c r="AJ133" s="37"/>
      <c r="AK133" s="37"/>
      <c r="AL133" s="37"/>
      <c r="AM133" s="37">
        <f>SUM(AF133:AL133)+AT133+AV133+AX133</f>
        <v>27</v>
      </c>
      <c r="AN133" s="37"/>
      <c r="AO133" s="37"/>
      <c r="AP133" s="37"/>
      <c r="AQ133" s="37"/>
      <c r="AR133" s="37">
        <f>SUM(AN133:AQ133)</f>
        <v>0</v>
      </c>
      <c r="AS133" s="37"/>
      <c r="AT133" s="37"/>
      <c r="AU133" s="37"/>
      <c r="AV133" s="37"/>
      <c r="AW133" s="37"/>
      <c r="AX133" s="37"/>
      <c r="AY133" s="37"/>
      <c r="AZ133" s="37"/>
      <c r="BA133" s="37">
        <f>+AR133+AS133+AU133+AW133+AY133+AZ133</f>
        <v>0</v>
      </c>
      <c r="BB133" s="33"/>
      <c r="BC133" s="51"/>
      <c r="BD133" s="51"/>
      <c r="BE133" s="51"/>
      <c r="BF133" s="51"/>
    </row>
    <row r="134" spans="1:58" ht="12.95" customHeight="1">
      <c r="A134" s="40"/>
      <c r="B134" s="41"/>
      <c r="C134" s="428"/>
      <c r="D134" s="41"/>
      <c r="E134" s="42"/>
      <c r="F134" s="42"/>
      <c r="G134" s="43"/>
      <c r="H134" s="542"/>
      <c r="I134" s="45"/>
      <c r="J134" s="86"/>
      <c r="K134" s="86"/>
      <c r="L134" s="35"/>
      <c r="M134" s="35"/>
      <c r="N134" s="46"/>
      <c r="O134" s="47"/>
      <c r="P134" s="48"/>
      <c r="Q134" s="47"/>
      <c r="R134" s="397"/>
      <c r="S134" s="397"/>
      <c r="T134" s="37"/>
      <c r="U134" s="37"/>
      <c r="V134" s="37"/>
      <c r="W134" s="37"/>
      <c r="X134" s="394"/>
      <c r="Y134" s="213"/>
      <c r="Z134" s="37"/>
      <c r="AA134" s="49"/>
      <c r="AB134" s="49"/>
      <c r="AC134" s="37"/>
      <c r="AD134" s="37"/>
      <c r="AE134" s="230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3"/>
      <c r="BC134" s="51"/>
      <c r="BD134" s="51"/>
      <c r="BE134" s="51"/>
      <c r="BF134" s="51"/>
    </row>
    <row r="135" spans="1:58" ht="12.95" customHeight="1">
      <c r="A135" s="40">
        <v>45961</v>
      </c>
      <c r="B135" s="41" t="s">
        <v>416</v>
      </c>
      <c r="C135" s="428">
        <f>(M135*E135*O135*Q135)/100000000</f>
        <v>41.783279999999998</v>
      </c>
      <c r="D135" s="41" t="s">
        <v>297</v>
      </c>
      <c r="E135" s="42">
        <v>12.5</v>
      </c>
      <c r="F135" s="42">
        <v>1</v>
      </c>
      <c r="G135" s="604">
        <v>1385</v>
      </c>
      <c r="H135" s="489">
        <f>+N135</f>
        <v>0.22999999999999998</v>
      </c>
      <c r="I135" s="45">
        <v>0.88</v>
      </c>
      <c r="J135" s="86">
        <f>E135*G135*(1-H135)*1440/1000000*2.87</f>
        <v>55.092807000000008</v>
      </c>
      <c r="K135" s="86">
        <f>(IF(G135&lt;L135,L135,G135)*(1-IF(H135&lt;N135,H135,N135))*E135*O135*Q135)/100000000</f>
        <v>42.551355000000001</v>
      </c>
      <c r="L135" s="35">
        <v>1360</v>
      </c>
      <c r="M135" s="35">
        <f>+L135-L135*0.23</f>
        <v>1047.2</v>
      </c>
      <c r="N135" s="46">
        <f>1-(M135/L135)</f>
        <v>0.22999999999999998</v>
      </c>
      <c r="O135" s="47">
        <f>+'Trim Rwd'!H118</f>
        <v>280</v>
      </c>
      <c r="P135" s="48">
        <f>O135*(Q135-R135-S135)</f>
        <v>311920</v>
      </c>
      <c r="Q135" s="47">
        <v>1140</v>
      </c>
      <c r="R135" s="397">
        <v>0</v>
      </c>
      <c r="S135" s="397">
        <v>26</v>
      </c>
      <c r="T135" s="37">
        <f>E135*M135*O135*Q135/100000000</f>
        <v>41.783279999999998</v>
      </c>
      <c r="U135" s="37">
        <f>E135*M135*O135*(Q135-R135-S135)/100000000</f>
        <v>40.830328000000002</v>
      </c>
      <c r="V135" s="37">
        <f>E135*G135*(1-N135)*O135/100*(R135+S135)/1000000</f>
        <v>0.97046949999999998</v>
      </c>
      <c r="W135" s="37">
        <f>+'31'!K7/1000</f>
        <v>42.015999999999998</v>
      </c>
      <c r="X135" s="394">
        <f>SUM(W135:W138)/SUM(K135:K138)</f>
        <v>0.84111558774454287</v>
      </c>
      <c r="Y135" s="213">
        <f>+SUM(RBP!$AG$3:$AG$4)</f>
        <v>14.206</v>
      </c>
      <c r="Z135" s="37">
        <f>+'31'!D34/1000</f>
        <v>0.66</v>
      </c>
      <c r="AA135" s="49">
        <f>SUM(U135:U138)-SUM(W135:W138)-SUM(Z135:Z138)-SUM(Y135:Y138)</f>
        <v>-8.4214665999999951</v>
      </c>
      <c r="AB135" s="49">
        <f>(SUM(K135:K138)-SUM(W135:W138)-SUM(Y135:Y138)-SUM(Z135:Z138)-SUM(AC135:AC138)-SUM(V135:V138))-AA135</f>
        <v>-1.1991980000006564E-2</v>
      </c>
      <c r="AC135" s="37">
        <f>K135-T135</f>
        <v>0.76807500000000317</v>
      </c>
      <c r="AD135" s="37">
        <f>+AM135+BA135</f>
        <v>10</v>
      </c>
      <c r="AE135" s="230" t="s">
        <v>456</v>
      </c>
      <c r="AF135" s="37">
        <v>10</v>
      </c>
      <c r="AG135" s="37"/>
      <c r="AH135" s="37"/>
      <c r="AI135" s="37"/>
      <c r="AJ135" s="37"/>
      <c r="AK135" s="37"/>
      <c r="AL135" s="37"/>
      <c r="AM135" s="37">
        <f>SUM(AF135:AL135)+AT135+AV135+AX135</f>
        <v>10</v>
      </c>
      <c r="AN135" s="37"/>
      <c r="AO135" s="37"/>
      <c r="AP135" s="37"/>
      <c r="AQ135" s="37"/>
      <c r="AR135" s="37">
        <f>SUM(AN135:AQ135)</f>
        <v>0</v>
      </c>
      <c r="AS135" s="37"/>
      <c r="AT135" s="37"/>
      <c r="AU135" s="37"/>
      <c r="AV135" s="37"/>
      <c r="AW135" s="37"/>
      <c r="AX135" s="37"/>
      <c r="AY135" s="37"/>
      <c r="AZ135" s="37"/>
      <c r="BA135" s="37">
        <f>+AR135+AS135+AU135+AW135+AY135+AZ135</f>
        <v>0</v>
      </c>
      <c r="BB135" s="33">
        <v>2</v>
      </c>
      <c r="BC135" s="51"/>
      <c r="BD135" s="51"/>
      <c r="BE135" s="51"/>
      <c r="BF135" s="51"/>
    </row>
    <row r="136" spans="1:58" ht="12.95" customHeight="1">
      <c r="A136" s="40"/>
      <c r="B136" s="41" t="s">
        <v>416</v>
      </c>
      <c r="C136" s="428">
        <f>(M136*E136*O136*Q136)/100000000</f>
        <v>11.189178</v>
      </c>
      <c r="D136" s="41" t="s">
        <v>297</v>
      </c>
      <c r="E136" s="42">
        <v>13</v>
      </c>
      <c r="F136" s="42">
        <v>1</v>
      </c>
      <c r="G136" s="604">
        <v>1330</v>
      </c>
      <c r="H136" s="489">
        <f>+N136</f>
        <v>0.22999999999999998</v>
      </c>
      <c r="I136" s="45">
        <v>0.88</v>
      </c>
      <c r="J136" s="86">
        <f>E136*G136*(1-H136)*1440/1000000*2.87</f>
        <v>55.021206239999998</v>
      </c>
      <c r="K136" s="86">
        <f>(IF(G136&lt;L136,L136,G136)*(1-IF(H136&lt;N136,H136,N136))*E136*O136*Q136)/100000000</f>
        <v>11.189178</v>
      </c>
      <c r="L136" s="35">
        <v>1350</v>
      </c>
      <c r="M136" s="35">
        <f>+L136-L136*0.23</f>
        <v>1039.5</v>
      </c>
      <c r="N136" s="46">
        <f>1-(M136/L136)</f>
        <v>0.22999999999999998</v>
      </c>
      <c r="O136" s="47">
        <f>+'Trim Rwd'!H119</f>
        <v>276</v>
      </c>
      <c r="P136" s="48">
        <f>O136*(Q136-R136-S136)</f>
        <v>80040</v>
      </c>
      <c r="Q136" s="47">
        <v>300</v>
      </c>
      <c r="R136" s="397">
        <v>0</v>
      </c>
      <c r="S136" s="397">
        <v>10</v>
      </c>
      <c r="T136" s="37">
        <f>E136*M136*O136*Q136/100000000</f>
        <v>11.189178</v>
      </c>
      <c r="U136" s="37">
        <f>E136*M136*O136*(Q136-R136-S136)/100000000</f>
        <v>10.816205399999999</v>
      </c>
      <c r="V136" s="37">
        <f>E136*G136*(1-N136)*O136/100*(R136+S136)/1000000</f>
        <v>0.36744708000000009</v>
      </c>
      <c r="W136" s="37">
        <f>+'31'!K19/1000</f>
        <v>3.1859999999999999</v>
      </c>
      <c r="X136" s="394"/>
      <c r="Y136" s="213"/>
      <c r="Z136" s="37"/>
      <c r="AA136" s="49"/>
      <c r="AB136" s="49"/>
      <c r="AC136" s="37">
        <f>K136-T136</f>
        <v>0</v>
      </c>
      <c r="AD136" s="37">
        <f>+AM136+BA136</f>
        <v>0</v>
      </c>
      <c r="AE136" s="230" t="s">
        <v>426</v>
      </c>
      <c r="AF136" s="37"/>
      <c r="AG136" s="37">
        <v>0</v>
      </c>
      <c r="AH136" s="37"/>
      <c r="AI136" s="37"/>
      <c r="AJ136" s="37"/>
      <c r="AK136" s="37"/>
      <c r="AL136" s="37"/>
      <c r="AM136" s="37">
        <f>SUM(AF136:AL136)+AT136+AV136+AX136</f>
        <v>0</v>
      </c>
      <c r="AN136" s="37"/>
      <c r="AO136" s="37"/>
      <c r="AP136" s="37"/>
      <c r="AQ136" s="37"/>
      <c r="AR136" s="37">
        <f>SUM(AN136:AQ136)</f>
        <v>0</v>
      </c>
      <c r="AS136" s="37"/>
      <c r="AT136" s="37"/>
      <c r="AU136" s="37"/>
      <c r="AV136" s="37"/>
      <c r="AW136" s="37"/>
      <c r="AX136" s="37"/>
      <c r="AY136" s="37"/>
      <c r="AZ136" s="37"/>
      <c r="BA136" s="37">
        <f>+AR136+AS136+AU136+AW136+AY136+AZ136</f>
        <v>0</v>
      </c>
      <c r="BB136" s="33"/>
      <c r="BC136" s="51">
        <v>0</v>
      </c>
      <c r="BD136" s="51"/>
      <c r="BE136" s="51"/>
      <c r="BF136" s="51"/>
    </row>
    <row r="137" spans="1:58" ht="12.95" customHeight="1">
      <c r="A137" s="40"/>
      <c r="B137" s="41"/>
      <c r="C137" s="428"/>
      <c r="D137" s="41"/>
      <c r="E137" s="42"/>
      <c r="F137" s="42"/>
      <c r="G137" s="43"/>
      <c r="H137" s="542"/>
      <c r="I137" s="45"/>
      <c r="J137" s="86"/>
      <c r="K137" s="86"/>
      <c r="L137" s="35"/>
      <c r="M137" s="35"/>
      <c r="N137" s="46"/>
      <c r="O137" s="47"/>
      <c r="P137" s="48"/>
      <c r="Q137" s="47"/>
      <c r="R137" s="397"/>
      <c r="S137" s="397"/>
      <c r="T137" s="37"/>
      <c r="U137" s="37"/>
      <c r="V137" s="37"/>
      <c r="W137" s="37"/>
      <c r="X137" s="394"/>
      <c r="Y137" s="213"/>
      <c r="Z137" s="37"/>
      <c r="AA137" s="37"/>
      <c r="AB137" s="37"/>
      <c r="AC137" s="37"/>
      <c r="AD137" s="37">
        <f>+AM137+BA137</f>
        <v>26</v>
      </c>
      <c r="AE137" s="230" t="s">
        <v>618</v>
      </c>
      <c r="AF137" s="37"/>
      <c r="AG137" s="37"/>
      <c r="AH137" s="37">
        <v>26</v>
      </c>
      <c r="AI137" s="37"/>
      <c r="AJ137" s="37"/>
      <c r="AK137" s="37"/>
      <c r="AL137" s="37"/>
      <c r="AM137" s="37">
        <f>SUM(AF137:AL137)+AT137+AV137+AX137</f>
        <v>26</v>
      </c>
      <c r="AN137" s="37"/>
      <c r="AO137" s="37"/>
      <c r="AP137" s="37"/>
      <c r="AQ137" s="37"/>
      <c r="AR137" s="37">
        <f>SUM(AN137:AQ137)</f>
        <v>0</v>
      </c>
      <c r="AS137" s="37"/>
      <c r="AT137" s="37"/>
      <c r="AU137" s="37"/>
      <c r="AV137" s="37"/>
      <c r="AW137" s="37"/>
      <c r="AX137" s="37"/>
      <c r="AY137" s="37"/>
      <c r="AZ137" s="37"/>
      <c r="BA137" s="37">
        <f>+AR137+AS137+AU137+AW137+AY137+AZ137</f>
        <v>0</v>
      </c>
      <c r="BB137" s="33"/>
      <c r="BC137" s="51"/>
      <c r="BD137" s="51"/>
      <c r="BE137" s="51"/>
      <c r="BF137" s="51"/>
    </row>
    <row r="138" spans="1:58" ht="12.95" customHeight="1">
      <c r="A138" s="40"/>
      <c r="B138" s="41"/>
      <c r="C138" s="428"/>
      <c r="D138" s="41"/>
      <c r="E138" s="42"/>
      <c r="F138" s="42"/>
      <c r="G138" s="43"/>
      <c r="H138" s="542"/>
      <c r="I138" s="45"/>
      <c r="J138" s="86"/>
      <c r="K138" s="86"/>
      <c r="L138" s="35"/>
      <c r="M138" s="35"/>
      <c r="N138" s="46"/>
      <c r="O138" s="47"/>
      <c r="P138" s="48"/>
      <c r="Q138" s="47"/>
      <c r="R138" s="397"/>
      <c r="S138" s="397"/>
      <c r="T138" s="37"/>
      <c r="U138" s="37"/>
      <c r="V138" s="37"/>
      <c r="W138" s="37"/>
      <c r="X138" s="394"/>
      <c r="Y138" s="213"/>
      <c r="Z138" s="37"/>
      <c r="AA138" s="49"/>
      <c r="AB138" s="49"/>
      <c r="AC138" s="37"/>
      <c r="AD138" s="37"/>
      <c r="AE138" s="230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3"/>
      <c r="BC138" s="51"/>
      <c r="BD138" s="51"/>
      <c r="BE138" s="51"/>
      <c r="BF138" s="51"/>
    </row>
    <row r="139" spans="1:58" ht="12.95" customHeight="1">
      <c r="A139" s="40"/>
      <c r="B139" s="41"/>
      <c r="C139" s="428"/>
      <c r="D139" s="41"/>
      <c r="E139" s="42"/>
      <c r="F139" s="42"/>
      <c r="G139" s="472"/>
      <c r="H139" s="542"/>
      <c r="I139" s="45"/>
      <c r="J139" s="86"/>
      <c r="K139" s="86"/>
      <c r="L139" s="35"/>
      <c r="M139" s="35"/>
      <c r="N139" s="46"/>
      <c r="O139" s="47"/>
      <c r="P139" s="48"/>
      <c r="Q139" s="47"/>
      <c r="R139" s="397"/>
      <c r="S139" s="397"/>
      <c r="T139" s="37"/>
      <c r="U139" s="37"/>
      <c r="V139" s="37"/>
      <c r="W139" s="37"/>
      <c r="X139" s="394"/>
      <c r="Y139" s="37"/>
      <c r="Z139" s="37"/>
      <c r="AA139" s="49"/>
      <c r="AB139" s="49"/>
      <c r="AC139" s="37"/>
      <c r="AD139" s="37"/>
      <c r="AE139" s="230"/>
      <c r="AF139" s="37"/>
      <c r="AG139" s="37"/>
      <c r="AH139" s="37"/>
      <c r="AI139" s="474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3"/>
      <c r="BC139" s="51"/>
      <c r="BD139" s="51"/>
      <c r="BE139" s="51"/>
      <c r="BF139" s="51"/>
    </row>
    <row r="140" spans="1:58" ht="12.95" customHeight="1">
      <c r="A140" s="40"/>
      <c r="B140" s="508"/>
      <c r="C140" s="428"/>
      <c r="D140" s="41"/>
      <c r="E140" s="246"/>
      <c r="F140" s="42"/>
      <c r="G140" s="43"/>
      <c r="H140" s="542"/>
      <c r="I140" s="45"/>
      <c r="J140" s="86"/>
      <c r="K140" s="86"/>
      <c r="L140" s="35"/>
      <c r="M140" s="35"/>
      <c r="N140" s="46"/>
      <c r="O140" s="47"/>
      <c r="P140" s="48"/>
      <c r="Q140" s="341"/>
      <c r="R140" s="50"/>
      <c r="S140" s="50"/>
      <c r="T140" s="37"/>
      <c r="U140" s="37"/>
      <c r="V140" s="37"/>
      <c r="W140" s="33"/>
      <c r="X140" s="394"/>
      <c r="Y140" s="38"/>
      <c r="Z140" s="33"/>
      <c r="AA140" s="49"/>
      <c r="AB140" s="49"/>
      <c r="AC140" s="37"/>
      <c r="AD140" s="37"/>
      <c r="AE140" s="20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3"/>
      <c r="BC140" s="51"/>
      <c r="BD140" s="51"/>
      <c r="BE140" s="50"/>
      <c r="BF140" s="51"/>
    </row>
    <row r="141" spans="1:58" ht="12.95" customHeight="1">
      <c r="A141" s="40"/>
      <c r="B141" s="508"/>
      <c r="C141" s="428"/>
      <c r="D141" s="41"/>
      <c r="E141" s="246"/>
      <c r="F141" s="42"/>
      <c r="G141" s="43"/>
      <c r="H141" s="44"/>
      <c r="I141" s="45"/>
      <c r="J141" s="86"/>
      <c r="K141" s="86"/>
      <c r="L141" s="35"/>
      <c r="M141" s="35"/>
      <c r="N141" s="46"/>
      <c r="O141" s="47"/>
      <c r="P141" s="48"/>
      <c r="Q141" s="341"/>
      <c r="R141" s="50"/>
      <c r="S141" s="50"/>
      <c r="T141" s="37"/>
      <c r="U141" s="37"/>
      <c r="V141" s="37"/>
      <c r="W141" s="33"/>
      <c r="X141" s="394"/>
      <c r="Y141" s="38"/>
      <c r="Z141" s="33"/>
      <c r="AA141" s="49"/>
      <c r="AB141" s="49"/>
      <c r="AC141" s="37"/>
      <c r="AD141" s="37"/>
      <c r="AE141" s="20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3"/>
      <c r="BC141" s="51"/>
      <c r="BD141" s="51"/>
      <c r="BE141" s="51"/>
      <c r="BF141" s="51"/>
    </row>
    <row r="142" spans="1:58" ht="12.95" customHeight="1">
      <c r="A142" s="40"/>
      <c r="B142" s="508"/>
      <c r="C142" s="428"/>
      <c r="D142" s="41"/>
      <c r="E142" s="246"/>
      <c r="F142" s="42"/>
      <c r="G142" s="43"/>
      <c r="H142" s="44"/>
      <c r="I142" s="45"/>
      <c r="J142" s="86"/>
      <c r="K142" s="86"/>
      <c r="L142" s="35"/>
      <c r="M142" s="35"/>
      <c r="N142" s="46"/>
      <c r="O142" s="47"/>
      <c r="P142" s="48"/>
      <c r="Q142" s="341"/>
      <c r="R142" s="50"/>
      <c r="S142" s="50"/>
      <c r="T142" s="37"/>
      <c r="U142" s="37"/>
      <c r="V142" s="37"/>
      <c r="W142" s="33"/>
      <c r="X142" s="394"/>
      <c r="Y142" s="38"/>
      <c r="Z142" s="33"/>
      <c r="AA142" s="49"/>
      <c r="AB142" s="49"/>
      <c r="AC142" s="37"/>
      <c r="AD142" s="37"/>
      <c r="AE142" s="20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3"/>
      <c r="BC142" s="51"/>
      <c r="BD142" s="51"/>
      <c r="BE142" s="51"/>
      <c r="BF142" s="51"/>
    </row>
    <row r="143" spans="1:58" ht="12.95" customHeight="1">
      <c r="A143" s="40"/>
      <c r="B143" s="508"/>
      <c r="C143" s="428"/>
      <c r="D143" s="41"/>
      <c r="E143" s="246"/>
      <c r="F143" s="42"/>
      <c r="G143" s="43"/>
      <c r="H143" s="44"/>
      <c r="I143" s="45"/>
      <c r="J143" s="86"/>
      <c r="K143" s="86"/>
      <c r="L143" s="35"/>
      <c r="M143" s="35"/>
      <c r="N143" s="46"/>
      <c r="O143" s="47"/>
      <c r="P143" s="48"/>
      <c r="Q143" s="341"/>
      <c r="R143" s="50"/>
      <c r="S143" s="50"/>
      <c r="T143" s="37"/>
      <c r="U143" s="37"/>
      <c r="V143" s="37"/>
      <c r="W143" s="33"/>
      <c r="X143" s="394"/>
      <c r="Y143" s="38"/>
      <c r="Z143" s="33"/>
      <c r="AA143" s="49"/>
      <c r="AB143" s="49"/>
      <c r="AC143" s="37"/>
      <c r="AD143" s="37"/>
      <c r="AE143" s="20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3"/>
      <c r="BC143" s="51"/>
      <c r="BD143" s="51"/>
      <c r="BE143" s="51"/>
      <c r="BF143" s="51"/>
    </row>
    <row r="144" spans="1:58" ht="12.95" customHeight="1">
      <c r="A144" s="40"/>
      <c r="B144" s="508"/>
      <c r="C144" s="428"/>
      <c r="D144" s="41"/>
      <c r="E144" s="246"/>
      <c r="F144" s="42"/>
      <c r="G144" s="43"/>
      <c r="H144" s="44"/>
      <c r="I144" s="45"/>
      <c r="J144" s="86"/>
      <c r="K144" s="86"/>
      <c r="L144" s="35"/>
      <c r="M144" s="35"/>
      <c r="N144" s="46"/>
      <c r="O144" s="47"/>
      <c r="P144" s="48"/>
      <c r="Q144" s="341"/>
      <c r="R144" s="50"/>
      <c r="S144" s="50"/>
      <c r="T144" s="37"/>
      <c r="U144" s="37"/>
      <c r="V144" s="37"/>
      <c r="W144" s="33"/>
      <c r="X144" s="394"/>
      <c r="Y144" s="38"/>
      <c r="Z144" s="33"/>
      <c r="AA144" s="49"/>
      <c r="AB144" s="49"/>
      <c r="AC144" s="37"/>
      <c r="AD144" s="37"/>
      <c r="AE144" s="20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3"/>
      <c r="BC144" s="51"/>
      <c r="BD144" s="53"/>
      <c r="BE144" s="33"/>
      <c r="BF144" s="53"/>
    </row>
    <row r="145" spans="1:58" ht="12.95" customHeight="1">
      <c r="A145" s="40"/>
      <c r="B145" s="508"/>
      <c r="C145" s="428"/>
      <c r="D145" s="41"/>
      <c r="E145" s="246"/>
      <c r="F145" s="42"/>
      <c r="G145" s="43"/>
      <c r="H145" s="44"/>
      <c r="I145" s="45"/>
      <c r="J145" s="86"/>
      <c r="K145" s="86"/>
      <c r="L145" s="35"/>
      <c r="M145" s="35"/>
      <c r="N145" s="46"/>
      <c r="O145" s="47"/>
      <c r="P145" s="48"/>
      <c r="Q145" s="341"/>
      <c r="R145" s="50"/>
      <c r="S145" s="50"/>
      <c r="T145" s="37"/>
      <c r="U145" s="37"/>
      <c r="V145" s="37"/>
      <c r="W145" s="33"/>
      <c r="X145" s="394"/>
      <c r="Y145" s="38"/>
      <c r="Z145" s="33"/>
      <c r="AA145" s="49"/>
      <c r="AB145" s="49"/>
      <c r="AC145" s="37"/>
      <c r="AD145" s="37"/>
      <c r="AE145" s="20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3"/>
      <c r="BC145" s="51"/>
      <c r="BD145" s="53"/>
      <c r="BE145" s="33"/>
      <c r="BF145" s="53"/>
    </row>
    <row r="146" spans="1:58" ht="12.95" customHeight="1">
      <c r="A146" s="40"/>
      <c r="B146" s="508"/>
      <c r="C146" s="428"/>
      <c r="D146" s="41"/>
      <c r="E146" s="42"/>
      <c r="F146" s="42"/>
      <c r="G146" s="43"/>
      <c r="H146" s="44"/>
      <c r="I146" s="45"/>
      <c r="J146" s="86"/>
      <c r="K146" s="86"/>
      <c r="L146" s="35"/>
      <c r="M146" s="35"/>
      <c r="N146" s="46"/>
      <c r="O146" s="47"/>
      <c r="P146" s="48"/>
      <c r="Q146" s="34"/>
      <c r="R146" s="397"/>
      <c r="S146" s="397"/>
      <c r="T146" s="37"/>
      <c r="U146" s="37"/>
      <c r="V146" s="37"/>
      <c r="W146" s="37"/>
      <c r="X146" s="394"/>
      <c r="Y146" s="38"/>
      <c r="Z146" s="37"/>
      <c r="AA146" s="49"/>
      <c r="AB146" s="49"/>
      <c r="AC146" s="37"/>
      <c r="AD146" s="37"/>
      <c r="AE146" s="20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3"/>
      <c r="BC146" s="51"/>
      <c r="BD146" s="51"/>
      <c r="BE146" s="51"/>
      <c r="BF146" s="51"/>
    </row>
    <row r="147" spans="1:58" ht="12.95" customHeight="1">
      <c r="A147" s="40"/>
      <c r="B147" s="508"/>
      <c r="C147" s="428"/>
      <c r="D147" s="41"/>
      <c r="E147" s="246"/>
      <c r="F147" s="42"/>
      <c r="G147" s="43"/>
      <c r="H147" s="44"/>
      <c r="I147" s="45"/>
      <c r="J147" s="86"/>
      <c r="K147" s="86"/>
      <c r="L147" s="35"/>
      <c r="M147" s="35"/>
      <c r="N147" s="46"/>
      <c r="O147" s="47"/>
      <c r="P147" s="48"/>
      <c r="Q147" s="341"/>
      <c r="R147" s="50"/>
      <c r="S147" s="50"/>
      <c r="T147" s="37"/>
      <c r="U147" s="37"/>
      <c r="V147" s="37"/>
      <c r="W147" s="33"/>
      <c r="X147" s="394"/>
      <c r="Y147" s="38"/>
      <c r="Z147" s="33"/>
      <c r="AA147" s="49"/>
      <c r="AB147" s="49"/>
      <c r="AC147" s="37"/>
      <c r="AD147" s="37"/>
      <c r="AE147" s="20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3"/>
      <c r="BC147" s="51"/>
      <c r="BD147" s="51"/>
      <c r="BE147" s="51"/>
      <c r="BF147" s="51"/>
    </row>
    <row r="148" spans="1:58" ht="12.95" customHeight="1">
      <c r="A148" s="40"/>
      <c r="B148" s="508"/>
      <c r="C148" s="428"/>
      <c r="D148" s="41"/>
      <c r="E148" s="246"/>
      <c r="F148" s="42"/>
      <c r="G148" s="43"/>
      <c r="H148" s="44"/>
      <c r="I148" s="45"/>
      <c r="J148" s="86"/>
      <c r="K148" s="86"/>
      <c r="L148" s="35"/>
      <c r="M148" s="35"/>
      <c r="N148" s="46"/>
      <c r="O148" s="47"/>
      <c r="P148" s="48"/>
      <c r="Q148" s="341"/>
      <c r="R148" s="50"/>
      <c r="S148" s="50"/>
      <c r="T148" s="37"/>
      <c r="U148" s="37"/>
      <c r="V148" s="37"/>
      <c r="W148" s="33"/>
      <c r="X148" s="394"/>
      <c r="Y148" s="38"/>
      <c r="Z148" s="33"/>
      <c r="AA148" s="49"/>
      <c r="AB148" s="49"/>
      <c r="AC148" s="37"/>
      <c r="AD148" s="37"/>
      <c r="AE148" s="20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3"/>
      <c r="BC148" s="51"/>
      <c r="BD148" s="51"/>
      <c r="BE148" s="51"/>
      <c r="BF148" s="51"/>
    </row>
    <row r="149" spans="1:58" ht="12.95" customHeight="1">
      <c r="A149" s="40"/>
      <c r="B149" s="508"/>
      <c r="C149" s="428"/>
      <c r="D149" s="41"/>
      <c r="E149" s="246"/>
      <c r="F149" s="42"/>
      <c r="G149" s="43"/>
      <c r="H149" s="44"/>
      <c r="I149" s="45"/>
      <c r="J149" s="86"/>
      <c r="K149" s="86"/>
      <c r="L149" s="35"/>
      <c r="M149" s="35"/>
      <c r="N149" s="46"/>
      <c r="O149" s="47"/>
      <c r="P149" s="48"/>
      <c r="Q149" s="341"/>
      <c r="R149" s="50"/>
      <c r="S149" s="50"/>
      <c r="T149" s="37"/>
      <c r="U149" s="37"/>
      <c r="V149" s="37"/>
      <c r="W149" s="33"/>
      <c r="X149" s="394"/>
      <c r="Y149" s="38"/>
      <c r="Z149" s="33"/>
      <c r="AA149" s="49"/>
      <c r="AB149" s="49"/>
      <c r="AC149" s="37"/>
      <c r="AD149" s="37"/>
      <c r="AE149" s="20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3"/>
      <c r="BC149" s="51"/>
      <c r="BD149" s="53"/>
      <c r="BE149" s="33"/>
      <c r="BF149" s="53"/>
    </row>
    <row r="150" spans="1:58" ht="12.95" customHeight="1">
      <c r="A150" s="40"/>
      <c r="B150" s="508"/>
      <c r="C150" s="428"/>
      <c r="D150" s="41"/>
      <c r="E150" s="42"/>
      <c r="F150" s="42"/>
      <c r="G150" s="43"/>
      <c r="H150" s="44"/>
      <c r="I150" s="45"/>
      <c r="J150" s="86"/>
      <c r="K150" s="86"/>
      <c r="L150" s="35"/>
      <c r="M150" s="35"/>
      <c r="N150" s="46"/>
      <c r="O150" s="47"/>
      <c r="P150" s="48"/>
      <c r="Q150" s="34"/>
      <c r="R150" s="397"/>
      <c r="S150" s="397"/>
      <c r="T150" s="37"/>
      <c r="U150" s="37"/>
      <c r="V150" s="37"/>
      <c r="W150" s="37"/>
      <c r="X150" s="394"/>
      <c r="Y150" s="38"/>
      <c r="Z150" s="37"/>
      <c r="AA150" s="49"/>
      <c r="AB150" s="49"/>
      <c r="AC150" s="37"/>
      <c r="AD150" s="37"/>
      <c r="AE150" s="20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3"/>
      <c r="BC150" s="51"/>
      <c r="BD150" s="51"/>
      <c r="BE150" s="51"/>
      <c r="BF150" s="51"/>
    </row>
    <row r="151" spans="1:58" ht="12.95" customHeight="1">
      <c r="A151" s="40"/>
      <c r="B151" s="508"/>
      <c r="C151" s="428"/>
      <c r="D151" s="41"/>
      <c r="E151" s="42"/>
      <c r="F151" s="42"/>
      <c r="G151" s="43"/>
      <c r="H151" s="44"/>
      <c r="I151" s="45"/>
      <c r="J151" s="86"/>
      <c r="K151" s="86"/>
      <c r="L151" s="35"/>
      <c r="M151" s="35"/>
      <c r="N151" s="46"/>
      <c r="O151" s="47"/>
      <c r="P151" s="48"/>
      <c r="Q151" s="34"/>
      <c r="R151" s="397"/>
      <c r="S151" s="397"/>
      <c r="T151" s="37"/>
      <c r="U151" s="37"/>
      <c r="V151" s="37"/>
      <c r="W151" s="37"/>
      <c r="X151" s="394"/>
      <c r="Y151" s="38"/>
      <c r="Z151" s="37"/>
      <c r="AA151" s="49"/>
      <c r="AB151" s="49"/>
      <c r="AC151" s="37"/>
      <c r="AD151" s="37"/>
      <c r="AE151" s="20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3"/>
      <c r="BC151" s="51"/>
      <c r="BD151" s="51"/>
      <c r="BE151" s="51"/>
      <c r="BF151" s="51"/>
    </row>
    <row r="152" spans="1:58" ht="12.75">
      <c r="A152" s="40"/>
      <c r="B152" s="41"/>
      <c r="C152" s="428"/>
      <c r="D152" s="41"/>
      <c r="E152" s="42"/>
      <c r="F152" s="42"/>
      <c r="G152" s="54"/>
      <c r="H152" s="55"/>
      <c r="I152" s="45"/>
      <c r="J152" s="86"/>
      <c r="K152" s="86"/>
      <c r="L152" s="35"/>
      <c r="M152" s="35"/>
      <c r="N152" s="46"/>
      <c r="O152" s="47"/>
      <c r="P152" s="48"/>
      <c r="Q152" s="341"/>
      <c r="R152" s="50"/>
      <c r="S152" s="50"/>
      <c r="T152" s="37"/>
      <c r="U152" s="37"/>
      <c r="V152" s="37"/>
      <c r="W152" s="33"/>
      <c r="X152" s="394"/>
      <c r="Y152" s="38"/>
      <c r="Z152" s="33"/>
      <c r="AA152" s="49"/>
      <c r="AB152" s="49"/>
      <c r="AC152" s="37"/>
      <c r="AD152" s="37"/>
      <c r="AE152" s="20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3"/>
      <c r="BC152" s="51"/>
      <c r="BD152" s="51"/>
      <c r="BE152" s="51"/>
      <c r="BF152" s="51"/>
    </row>
    <row r="153" spans="1:58" s="27" customFormat="1" ht="12.95" customHeight="1">
      <c r="A153" s="40"/>
      <c r="B153" s="41"/>
      <c r="C153" s="428"/>
      <c r="D153" s="41"/>
      <c r="E153" s="42"/>
      <c r="F153" s="42"/>
      <c r="G153" s="54"/>
      <c r="H153" s="55"/>
      <c r="I153" s="45"/>
      <c r="J153" s="86"/>
      <c r="K153" s="86"/>
      <c r="L153" s="35"/>
      <c r="M153" s="35"/>
      <c r="N153" s="46"/>
      <c r="O153" s="47"/>
      <c r="P153" s="48"/>
      <c r="Q153" s="341"/>
      <c r="R153" s="50"/>
      <c r="S153" s="50"/>
      <c r="T153" s="37"/>
      <c r="U153" s="37"/>
      <c r="V153" s="37"/>
      <c r="W153" s="33"/>
      <c r="X153" s="394"/>
      <c r="Y153" s="38"/>
      <c r="Z153" s="33"/>
      <c r="AA153" s="49">
        <f>U153-W153-Z153</f>
        <v>0</v>
      </c>
      <c r="AB153" s="49"/>
      <c r="AC153" s="37">
        <f>K153-T153</f>
        <v>0</v>
      </c>
      <c r="AD153" s="37"/>
      <c r="AE153" s="56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3"/>
      <c r="BC153" s="51"/>
      <c r="BD153" s="53"/>
      <c r="BE153" s="33"/>
      <c r="BF153" s="53"/>
    </row>
    <row r="154" spans="1:58" s="27" customFormat="1" ht="12.95" customHeight="1">
      <c r="A154" s="29"/>
      <c r="B154" s="29"/>
      <c r="C154" s="29"/>
      <c r="D154" s="29"/>
      <c r="E154" s="29"/>
      <c r="F154" s="58"/>
      <c r="G154" s="29"/>
      <c r="H154" s="29"/>
      <c r="I154" s="29"/>
      <c r="J154" s="87"/>
      <c r="K154" s="87"/>
      <c r="L154" s="59"/>
      <c r="M154" s="59"/>
      <c r="N154" s="29"/>
      <c r="O154" s="29"/>
      <c r="P154" s="29"/>
      <c r="Q154" s="342"/>
      <c r="R154" s="398"/>
      <c r="S154" s="398"/>
      <c r="T154" s="29"/>
      <c r="U154" s="29"/>
      <c r="V154" s="29"/>
      <c r="W154" s="29"/>
      <c r="X154" s="93"/>
      <c r="Y154" s="29"/>
      <c r="Z154" s="29"/>
      <c r="AA154" s="247">
        <f>U154-W154-Z154</f>
        <v>0</v>
      </c>
      <c r="AB154" s="247"/>
      <c r="AC154" s="248">
        <f>K154-T154</f>
        <v>0</v>
      </c>
      <c r="AD154" s="37"/>
      <c r="AE154" s="29"/>
      <c r="AF154" s="52"/>
      <c r="AG154" s="52"/>
      <c r="AH154" s="52"/>
      <c r="AI154" s="52"/>
      <c r="AJ154" s="52"/>
      <c r="AK154" s="52"/>
      <c r="AL154" s="52"/>
      <c r="AM154" s="37"/>
      <c r="AN154" s="52"/>
      <c r="AO154" s="52"/>
      <c r="AP154" s="52"/>
      <c r="AQ154" s="52"/>
      <c r="AR154" s="37"/>
      <c r="AS154" s="52"/>
      <c r="AT154" s="52"/>
      <c r="AU154" s="52"/>
      <c r="AV154" s="52"/>
      <c r="AW154" s="52"/>
      <c r="AX154" s="52"/>
      <c r="AY154" s="52"/>
      <c r="AZ154" s="52"/>
      <c r="BA154" s="37"/>
      <c r="BB154" s="67"/>
      <c r="BC154" s="67"/>
      <c r="BD154" s="53"/>
      <c r="BE154" s="33"/>
      <c r="BF154" s="53"/>
    </row>
    <row r="155" spans="1:58" ht="12.95" customHeight="1">
      <c r="A155" s="60"/>
      <c r="B155" s="61"/>
      <c r="C155" s="429">
        <f>SUM(C6:C153)</f>
        <v>1625.3786353253834</v>
      </c>
      <c r="D155" s="61"/>
      <c r="E155" s="62"/>
      <c r="F155" s="62"/>
      <c r="G155" s="63"/>
      <c r="H155" s="63"/>
      <c r="I155" s="64">
        <v>0.85</v>
      </c>
      <c r="J155" s="86"/>
      <c r="K155" s="88">
        <f>SUM(K6:K153)</f>
        <v>1642.2555927527469</v>
      </c>
      <c r="L155" s="66"/>
      <c r="M155" s="66"/>
      <c r="N155" s="67"/>
      <c r="O155" s="68">
        <f>P155/(Q155-R155-S155)</f>
        <v>275.67714382075604</v>
      </c>
      <c r="P155" s="65">
        <f>SUM(P6:P153)</f>
        <v>11637159.272105575</v>
      </c>
      <c r="Q155" s="343">
        <f>SUM(Q6:Q154)</f>
        <v>44640</v>
      </c>
      <c r="R155" s="65">
        <f t="shared" ref="R155:W155" si="34">SUM(R6:R153)</f>
        <v>545</v>
      </c>
      <c r="S155" s="65">
        <f t="shared" si="34"/>
        <v>1882</v>
      </c>
      <c r="T155" s="65">
        <f t="shared" si="34"/>
        <v>1625.3786353253834</v>
      </c>
      <c r="U155" s="65">
        <f t="shared" si="34"/>
        <v>1538.9417881825802</v>
      </c>
      <c r="V155" s="368">
        <f t="shared" si="34"/>
        <v>87.063110744147892</v>
      </c>
      <c r="W155" s="475">
        <f t="shared" si="34"/>
        <v>1387.3799999999999</v>
      </c>
      <c r="X155" s="476">
        <f>W155/K155</f>
        <v>0.84480150722122072</v>
      </c>
      <c r="Y155" s="369">
        <f>SUM(Y6:Y153)</f>
        <v>28.411999999999999</v>
      </c>
      <c r="Z155" s="475">
        <f>SUM(Z6:Z153)</f>
        <v>25.168000000000003</v>
      </c>
      <c r="AA155" s="65">
        <f>SUM(AA6:AA153)</f>
        <v>97.98178818257972</v>
      </c>
      <c r="AB155" s="65">
        <f>SUM(AB6:AB153)</f>
        <v>-0.62626360134423731</v>
      </c>
      <c r="AC155" s="65">
        <f>SUM(AC6:AC153)</f>
        <v>16.876957427363692</v>
      </c>
      <c r="AD155" s="37">
        <f>SUM(AD6:AD154)</f>
        <v>2427</v>
      </c>
      <c r="AE155" s="69"/>
      <c r="AF155" s="65">
        <f t="shared" ref="AF155:BA155" si="35">SUM(AF6:AF154)</f>
        <v>500</v>
      </c>
      <c r="AG155" s="65">
        <f t="shared" si="35"/>
        <v>229</v>
      </c>
      <c r="AH155" s="65">
        <f t="shared" si="35"/>
        <v>830</v>
      </c>
      <c r="AI155" s="65">
        <f t="shared" si="35"/>
        <v>0</v>
      </c>
      <c r="AJ155" s="65">
        <f t="shared" si="35"/>
        <v>101</v>
      </c>
      <c r="AK155" s="65">
        <f t="shared" si="35"/>
        <v>50</v>
      </c>
      <c r="AL155" s="65">
        <f t="shared" si="35"/>
        <v>0</v>
      </c>
      <c r="AM155" s="65">
        <f t="shared" si="35"/>
        <v>1882</v>
      </c>
      <c r="AN155" s="52">
        <f t="shared" si="35"/>
        <v>0</v>
      </c>
      <c r="AO155" s="52">
        <f t="shared" si="35"/>
        <v>0</v>
      </c>
      <c r="AP155" s="52">
        <f t="shared" si="35"/>
        <v>0</v>
      </c>
      <c r="AQ155" s="52">
        <f t="shared" si="35"/>
        <v>0</v>
      </c>
      <c r="AR155" s="65">
        <f t="shared" si="35"/>
        <v>0</v>
      </c>
      <c r="AS155" s="65">
        <f t="shared" si="35"/>
        <v>0</v>
      </c>
      <c r="AT155" s="65">
        <f t="shared" si="35"/>
        <v>0</v>
      </c>
      <c r="AU155" s="65">
        <f t="shared" si="35"/>
        <v>0</v>
      </c>
      <c r="AV155" s="65">
        <f t="shared" si="35"/>
        <v>172</v>
      </c>
      <c r="AW155" s="65">
        <f t="shared" si="35"/>
        <v>545</v>
      </c>
      <c r="AX155" s="65">
        <f t="shared" si="35"/>
        <v>0</v>
      </c>
      <c r="AY155" s="65">
        <f t="shared" si="35"/>
        <v>0</v>
      </c>
      <c r="AZ155" s="65">
        <f t="shared" si="35"/>
        <v>0</v>
      </c>
      <c r="BA155" s="65">
        <f t="shared" si="35"/>
        <v>545</v>
      </c>
      <c r="BB155" s="52">
        <f>SUM(BB6:BB154)</f>
        <v>99</v>
      </c>
      <c r="BC155" s="52">
        <f>SUM(BC6:BC154)</f>
        <v>171</v>
      </c>
      <c r="BD155" s="52">
        <f>SUM(BD6:BD154)</f>
        <v>0</v>
      </c>
      <c r="BE155" s="52">
        <f>SUM(BE6:BE154)</f>
        <v>0</v>
      </c>
      <c r="BF155" s="52">
        <f>SUM(BF6:BF154)</f>
        <v>0</v>
      </c>
    </row>
    <row r="156" spans="1:58">
      <c r="A156" s="60"/>
      <c r="B156" s="61"/>
      <c r="C156" s="61"/>
      <c r="D156" s="61"/>
      <c r="E156" s="62"/>
      <c r="F156" s="62"/>
      <c r="G156" s="63"/>
      <c r="H156" s="63"/>
      <c r="I156" s="63"/>
      <c r="J156" s="89"/>
      <c r="K156" s="89"/>
      <c r="L156" s="66"/>
      <c r="M156" s="66"/>
      <c r="N156" s="67"/>
      <c r="O156" s="571"/>
      <c r="P156" s="572"/>
      <c r="Q156" s="63">
        <f>31*1440-Q155</f>
        <v>0</v>
      </c>
      <c r="R156" s="70">
        <f>R155/Q155</f>
        <v>1.2208781362007169E-2</v>
      </c>
      <c r="S156" s="70">
        <f>S155/Q155</f>
        <v>4.2159498207885303E-2</v>
      </c>
      <c r="T156" s="354"/>
      <c r="U156" s="354"/>
      <c r="V156" s="356">
        <f>V155/K155</f>
        <v>5.3014348758108239E-2</v>
      </c>
      <c r="W156" s="372" t="s">
        <v>182</v>
      </c>
      <c r="X156" s="477">
        <v>0.85</v>
      </c>
      <c r="Y156" s="370">
        <f>Y155/K155</f>
        <v>1.7300595671819779E-2</v>
      </c>
      <c r="Z156" s="71">
        <f>Z155/K155</f>
        <v>1.5325263686764757E-2</v>
      </c>
      <c r="AA156" s="71">
        <f>AA155/K155</f>
        <v>5.966293469480153E-2</v>
      </c>
      <c r="AB156" s="71">
        <f>AB155/K155</f>
        <v>-3.8134356436837888E-4</v>
      </c>
      <c r="AC156" s="478">
        <f>AC155/K155</f>
        <v>1.027669353165335E-2</v>
      </c>
      <c r="AD156" s="357"/>
      <c r="AE156" s="39"/>
      <c r="AF156" s="71">
        <f>AF155/$AD$155*$V$156</f>
        <v>1.092178589989869E-2</v>
      </c>
      <c r="AG156" s="71">
        <f>AG155/$AD$155*$V$156</f>
        <v>5.0021779421535999E-3</v>
      </c>
      <c r="AH156" s="71">
        <f>AH155/$AD$155*$V$156</f>
        <v>1.8130164593831825E-2</v>
      </c>
      <c r="AI156" s="71">
        <f>AI155/$AD$155*$V$156</f>
        <v>0</v>
      </c>
      <c r="AJ156" s="71">
        <f t="shared" ref="AJ156:BA156" si="36">AJ155/$AD$155*$V$156</f>
        <v>2.2062007517795351E-3</v>
      </c>
      <c r="AK156" s="71">
        <f t="shared" si="36"/>
        <v>1.0921785899898689E-3</v>
      </c>
      <c r="AL156" s="71">
        <f t="shared" si="36"/>
        <v>0</v>
      </c>
      <c r="AM156" s="71">
        <f t="shared" si="36"/>
        <v>4.1109602127218668E-2</v>
      </c>
      <c r="AN156" s="71">
        <f t="shared" si="36"/>
        <v>0</v>
      </c>
      <c r="AO156" s="71">
        <f t="shared" si="36"/>
        <v>0</v>
      </c>
      <c r="AP156" s="71">
        <f t="shared" si="36"/>
        <v>0</v>
      </c>
      <c r="AQ156" s="71">
        <f t="shared" si="36"/>
        <v>0</v>
      </c>
      <c r="AR156" s="71">
        <f t="shared" si="36"/>
        <v>0</v>
      </c>
      <c r="AS156" s="71">
        <f t="shared" si="36"/>
        <v>0</v>
      </c>
      <c r="AT156" s="71">
        <f t="shared" si="36"/>
        <v>0</v>
      </c>
      <c r="AU156" s="71">
        <f t="shared" si="36"/>
        <v>0</v>
      </c>
      <c r="AV156" s="71">
        <f t="shared" si="36"/>
        <v>3.7570943495651493E-3</v>
      </c>
      <c r="AW156" s="71">
        <f t="shared" si="36"/>
        <v>1.1904746630889572E-2</v>
      </c>
      <c r="AX156" s="71">
        <f t="shared" si="36"/>
        <v>0</v>
      </c>
      <c r="AY156" s="71">
        <f t="shared" si="36"/>
        <v>0</v>
      </c>
      <c r="AZ156" s="71">
        <f t="shared" si="36"/>
        <v>0</v>
      </c>
      <c r="BA156" s="71">
        <f t="shared" si="36"/>
        <v>1.1904746630889572E-2</v>
      </c>
      <c r="BB156" s="34" t="s">
        <v>181</v>
      </c>
      <c r="BC156" s="34" t="s">
        <v>181</v>
      </c>
      <c r="BD156" s="34" t="s">
        <v>409</v>
      </c>
      <c r="BE156" s="34" t="s">
        <v>409</v>
      </c>
      <c r="BF156" s="34" t="s">
        <v>409</v>
      </c>
    </row>
    <row r="157" spans="1:58">
      <c r="A157" s="60"/>
      <c r="B157" s="61"/>
      <c r="C157" s="61"/>
      <c r="D157" s="61"/>
      <c r="E157" s="62"/>
      <c r="F157" s="62"/>
      <c r="G157" s="34"/>
      <c r="H157" s="34"/>
      <c r="I157" s="34"/>
      <c r="J157" s="86"/>
      <c r="K157" s="86"/>
      <c r="L157" s="35"/>
      <c r="M157" s="35"/>
      <c r="N157" s="33"/>
      <c r="O157" s="36"/>
      <c r="P157" s="28"/>
      <c r="Q157" s="34"/>
      <c r="R157" s="37">
        <f>R155-(BA155)</f>
        <v>0</v>
      </c>
      <c r="S157" s="37">
        <f>+S155-AM155</f>
        <v>0</v>
      </c>
      <c r="T157" s="33"/>
      <c r="U157" s="33"/>
      <c r="V157" s="33"/>
      <c r="W157" s="371">
        <f>+W155-'31'!M34/1000</f>
        <v>0</v>
      </c>
      <c r="X157" s="606"/>
      <c r="Y157" s="72"/>
      <c r="Z157" s="37">
        <f>+Z155-'31'!J56/1000</f>
        <v>0</v>
      </c>
      <c r="AA157" s="33"/>
      <c r="AB157" s="33"/>
      <c r="AC157" s="33"/>
      <c r="AD157" s="33"/>
      <c r="AE157" s="39"/>
      <c r="AF157" s="344"/>
      <c r="AG157" s="344"/>
      <c r="AH157" s="344"/>
      <c r="AI157" s="344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479">
        <f>BB155/($Q$155/1440)/2</f>
        <v>1.596774193548387</v>
      </c>
      <c r="BC157" s="479">
        <f>BC155/($Q$155/1440)/2</f>
        <v>2.7580645161290325</v>
      </c>
      <c r="BD157" s="479">
        <f>BD155/($Q$155/1440)</f>
        <v>0</v>
      </c>
      <c r="BE157" s="479">
        <f>BE155/($Q$155/1440)</f>
        <v>0</v>
      </c>
      <c r="BF157" s="479">
        <f>BF155/($Q$155/1440)</f>
        <v>0</v>
      </c>
    </row>
    <row r="158" spans="1:58">
      <c r="A158" s="73"/>
      <c r="B158" s="74"/>
      <c r="C158" s="74"/>
      <c r="D158" s="74"/>
      <c r="E158" s="75"/>
      <c r="F158" s="75"/>
      <c r="G158" s="76"/>
      <c r="H158" s="76"/>
      <c r="I158" s="76"/>
      <c r="J158" s="90"/>
      <c r="K158" s="90"/>
      <c r="O158" s="77"/>
      <c r="P158" s="78"/>
      <c r="Q158" s="76"/>
      <c r="R158" s="57"/>
      <c r="S158" s="57"/>
      <c r="U158" s="79"/>
      <c r="V158" s="79"/>
      <c r="W158" s="80" t="s">
        <v>133</v>
      </c>
      <c r="X158" s="607">
        <f>W155/U155</f>
        <v>0.90151558080597194</v>
      </c>
      <c r="Y158" s="480"/>
      <c r="Z158" s="57"/>
      <c r="AD158" s="87"/>
      <c r="AE158" s="82"/>
      <c r="AF158" s="83"/>
      <c r="AG158" s="83"/>
      <c r="AH158" s="83"/>
      <c r="AI158" s="83"/>
      <c r="AJ158" s="83"/>
      <c r="AK158" s="83"/>
      <c r="AL158" s="83"/>
      <c r="AM158" s="83"/>
      <c r="AN158" s="81"/>
      <c r="AO158" s="81"/>
      <c r="AP158" s="81"/>
      <c r="AQ158" s="81"/>
      <c r="AR158" s="81"/>
      <c r="AS158" s="83"/>
      <c r="AT158" s="83"/>
      <c r="AU158" s="83"/>
      <c r="AV158" s="83"/>
      <c r="AW158" s="83"/>
      <c r="AX158" s="83"/>
      <c r="AY158" s="83"/>
      <c r="AZ158" s="83"/>
      <c r="BA158" s="81"/>
      <c r="BB158" s="27"/>
      <c r="BC158" s="81"/>
      <c r="BD158" s="81"/>
      <c r="BE158" s="27"/>
      <c r="BF158" s="81"/>
    </row>
    <row r="159" spans="1:58">
      <c r="A159" s="73"/>
      <c r="B159" s="74"/>
      <c r="C159" s="74"/>
      <c r="D159" s="74"/>
      <c r="E159" s="75"/>
      <c r="F159" s="75"/>
      <c r="G159" s="76"/>
      <c r="H159" s="76"/>
      <c r="I159" s="76"/>
      <c r="J159" s="90"/>
      <c r="K159" s="90"/>
      <c r="O159" s="77"/>
      <c r="P159" s="78"/>
      <c r="Q159" s="76"/>
      <c r="R159" s="57"/>
      <c r="S159" s="57"/>
      <c r="U159" s="79"/>
      <c r="V159" s="79"/>
      <c r="W159" s="80"/>
      <c r="X159" s="608"/>
      <c r="Y159" s="81"/>
      <c r="Z159" s="57"/>
      <c r="AA159" s="93"/>
      <c r="AB159" s="93"/>
      <c r="AD159" s="87"/>
      <c r="AE159" s="82"/>
      <c r="AF159" s="83"/>
      <c r="AG159" s="83"/>
      <c r="AH159" s="83"/>
      <c r="AI159" s="83"/>
      <c r="AJ159" s="83"/>
      <c r="AK159" s="83"/>
      <c r="AL159" s="83"/>
      <c r="AM159" s="83"/>
      <c r="AN159" s="83"/>
      <c r="AO159" s="81"/>
      <c r="AP159" s="81"/>
      <c r="AQ159" s="81"/>
      <c r="AR159" s="83"/>
      <c r="AS159" s="81"/>
      <c r="AT159" s="81"/>
      <c r="AU159" s="81"/>
      <c r="AV159" s="81"/>
      <c r="AW159" s="81"/>
      <c r="AX159" s="81"/>
      <c r="AY159" s="81"/>
      <c r="AZ159" s="81"/>
      <c r="BA159" s="81"/>
      <c r="BB159" s="27"/>
      <c r="BC159" s="81"/>
      <c r="BD159" s="81"/>
      <c r="BE159" s="27"/>
      <c r="BF159" s="81"/>
    </row>
    <row r="160" spans="1:58">
      <c r="A160" s="73"/>
      <c r="B160" s="74"/>
      <c r="C160" s="74"/>
      <c r="D160" s="74"/>
      <c r="E160" s="75"/>
      <c r="F160" s="75"/>
      <c r="G160" s="76"/>
      <c r="H160" s="76"/>
      <c r="I160" s="76"/>
      <c r="J160" s="90"/>
      <c r="K160" s="90"/>
      <c r="O160" s="77"/>
      <c r="P160" s="78"/>
      <c r="Q160" s="76"/>
      <c r="R160" s="355"/>
      <c r="S160" s="57"/>
      <c r="U160" s="79"/>
      <c r="V160" s="79"/>
      <c r="W160" s="80" t="s">
        <v>156</v>
      </c>
      <c r="X160" s="609">
        <f>+W155+Y155</f>
        <v>1415.7919999999999</v>
      </c>
      <c r="Y160" s="81"/>
      <c r="Z160" s="57"/>
      <c r="AD160" s="87"/>
      <c r="AE160" s="82"/>
      <c r="AF160" s="87"/>
      <c r="AG160" s="87"/>
      <c r="AH160" s="87"/>
      <c r="AI160" s="87"/>
      <c r="AJ160" s="81"/>
      <c r="AK160" s="81"/>
      <c r="AL160" s="81"/>
      <c r="AM160" s="83"/>
      <c r="AN160" s="81"/>
      <c r="AO160" s="81"/>
      <c r="AP160" s="81"/>
      <c r="AQ160" s="81"/>
      <c r="AR160" s="83"/>
      <c r="AS160" s="81"/>
      <c r="AT160" s="81"/>
      <c r="AU160" s="81"/>
      <c r="AV160" s="81"/>
      <c r="AW160" s="81"/>
      <c r="AX160" s="81"/>
      <c r="AY160" s="81"/>
      <c r="AZ160" s="81"/>
      <c r="BA160" s="81"/>
      <c r="BB160" s="27"/>
      <c r="BC160" s="81"/>
      <c r="BD160" s="81"/>
      <c r="BE160" s="27"/>
      <c r="BF160" s="81"/>
    </row>
    <row r="161" spans="1:58">
      <c r="A161" s="73"/>
      <c r="C161" s="74" t="s">
        <v>294</v>
      </c>
      <c r="D161" s="74"/>
      <c r="E161" s="75"/>
      <c r="F161" s="75"/>
      <c r="G161" s="76"/>
      <c r="H161" s="76"/>
      <c r="I161" s="76"/>
      <c r="J161" s="90"/>
      <c r="K161" s="90"/>
      <c r="O161" s="77"/>
      <c r="P161" s="78"/>
      <c r="Q161" s="76"/>
      <c r="R161" s="355"/>
      <c r="S161" s="57"/>
      <c r="U161" s="79"/>
      <c r="V161" s="366"/>
      <c r="W161" s="367"/>
      <c r="X161" s="610"/>
      <c r="Y161" s="367"/>
      <c r="Z161" s="360"/>
      <c r="AD161" s="353"/>
      <c r="AE161" s="82"/>
      <c r="AF161" s="353"/>
      <c r="AG161" s="353"/>
      <c r="AH161" s="353"/>
      <c r="AI161" s="353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27"/>
      <c r="BC161" s="81"/>
      <c r="BD161" s="81"/>
      <c r="BE161" s="27"/>
      <c r="BF161" s="81"/>
    </row>
    <row r="162" spans="1:58">
      <c r="A162" s="73"/>
      <c r="B162" s="74"/>
      <c r="C162" s="74" t="s">
        <v>295</v>
      </c>
      <c r="D162" s="74"/>
      <c r="E162" s="75"/>
      <c r="F162" s="75"/>
      <c r="G162" s="76"/>
      <c r="H162" s="76"/>
      <c r="I162" s="76"/>
      <c r="J162" s="90"/>
      <c r="K162" s="90"/>
      <c r="O162" s="77"/>
      <c r="P162" s="78"/>
      <c r="Q162" s="76"/>
      <c r="R162" s="355"/>
      <c r="S162" s="57"/>
      <c r="V162" s="358"/>
      <c r="W162" s="359" t="s">
        <v>303</v>
      </c>
      <c r="X162" s="364"/>
      <c r="Y162" s="358"/>
      <c r="Z162" s="360"/>
      <c r="AE162" s="82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27"/>
      <c r="BE162" s="27"/>
    </row>
    <row r="163" spans="1:58">
      <c r="A163" s="73"/>
      <c r="B163" s="74"/>
      <c r="C163" s="74"/>
      <c r="D163" s="74"/>
      <c r="E163" s="75"/>
      <c r="F163" s="75"/>
      <c r="G163" s="76"/>
      <c r="H163" s="76"/>
      <c r="I163" s="76"/>
      <c r="J163" s="90"/>
      <c r="K163" s="90"/>
      <c r="O163" s="77"/>
      <c r="P163" s="78"/>
      <c r="Q163" s="76"/>
      <c r="R163" s="355"/>
      <c r="S163" s="57"/>
      <c r="V163" s="358"/>
      <c r="W163" s="361" t="s">
        <v>293</v>
      </c>
      <c r="X163" s="365">
        <f>Y156</f>
        <v>1.7300595671819779E-2</v>
      </c>
      <c r="Y163" s="362"/>
      <c r="Z163" s="360"/>
      <c r="AE163" s="82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27"/>
      <c r="BE163" s="27"/>
    </row>
    <row r="164" spans="1:58">
      <c r="R164" s="93"/>
      <c r="V164" s="358"/>
      <c r="W164" s="361" t="s">
        <v>161</v>
      </c>
      <c r="X164" s="364">
        <f>Z156</f>
        <v>1.5325263686764757E-2</v>
      </c>
      <c r="Y164" s="363"/>
      <c r="Z164" s="358"/>
    </row>
    <row r="165" spans="1:58">
      <c r="R165" s="93"/>
      <c r="V165" s="358"/>
      <c r="W165" s="361" t="s">
        <v>162</v>
      </c>
      <c r="X165" s="364">
        <f>AC156</f>
        <v>1.027669353165335E-2</v>
      </c>
      <c r="Y165" s="364"/>
      <c r="Z165" s="358"/>
    </row>
    <row r="166" spans="1:58">
      <c r="R166" s="93"/>
      <c r="V166" s="358"/>
      <c r="W166" s="361" t="s">
        <v>163</v>
      </c>
      <c r="X166" s="364">
        <f>AA156</f>
        <v>5.966293469480153E-2</v>
      </c>
      <c r="Y166" s="363"/>
      <c r="Z166" s="358"/>
    </row>
    <row r="167" spans="1:58">
      <c r="V167" s="358"/>
      <c r="W167" s="361" t="s">
        <v>179</v>
      </c>
      <c r="X167" s="364">
        <f>AB156</f>
        <v>-3.8134356436837888E-4</v>
      </c>
      <c r="Y167" s="363" t="s">
        <v>177</v>
      </c>
      <c r="Z167" s="358"/>
    </row>
    <row r="168" spans="1:58">
      <c r="V168" s="358"/>
      <c r="W168" s="361" t="s">
        <v>230</v>
      </c>
      <c r="X168" s="364">
        <f>AF156</f>
        <v>1.092178589989869E-2</v>
      </c>
      <c r="Y168" s="363"/>
      <c r="Z168" s="358"/>
    </row>
    <row r="169" spans="1:58">
      <c r="V169" s="358"/>
      <c r="W169" s="361" t="s">
        <v>231</v>
      </c>
      <c r="X169" s="364">
        <f>+AG156</f>
        <v>5.0021779421535999E-3</v>
      </c>
      <c r="Y169" s="363"/>
      <c r="Z169" s="358"/>
    </row>
    <row r="170" spans="1:58">
      <c r="V170" s="358"/>
      <c r="W170" s="361" t="s">
        <v>232</v>
      </c>
      <c r="X170" s="364">
        <f>+AH156</f>
        <v>1.8130164593831825E-2</v>
      </c>
      <c r="Y170" s="363"/>
      <c r="Z170" s="358"/>
    </row>
    <row r="171" spans="1:58">
      <c r="V171" s="358"/>
      <c r="W171" s="361" t="s">
        <v>233</v>
      </c>
      <c r="X171" s="364">
        <f>+AI156</f>
        <v>0</v>
      </c>
      <c r="Y171" s="363"/>
      <c r="Z171" s="358"/>
    </row>
    <row r="172" spans="1:58">
      <c r="V172" s="358"/>
      <c r="W172" s="361" t="s">
        <v>170</v>
      </c>
      <c r="X172" s="364">
        <f>+AJ156</f>
        <v>2.2062007517795351E-3</v>
      </c>
      <c r="Y172" s="363"/>
      <c r="Z172" s="358"/>
    </row>
    <row r="173" spans="1:58">
      <c r="V173" s="358"/>
      <c r="W173" s="361" t="s">
        <v>172</v>
      </c>
      <c r="X173" s="364">
        <f>+AK156</f>
        <v>1.0921785899898689E-3</v>
      </c>
      <c r="Y173" s="363"/>
      <c r="Z173" s="358"/>
    </row>
    <row r="174" spans="1:58">
      <c r="V174" s="358"/>
      <c r="W174" s="361" t="s">
        <v>171</v>
      </c>
      <c r="X174" s="364">
        <f>+AL156</f>
        <v>0</v>
      </c>
      <c r="Y174" s="363"/>
      <c r="Z174" s="358"/>
    </row>
    <row r="175" spans="1:58">
      <c r="V175" s="358"/>
      <c r="W175" s="361" t="s">
        <v>164</v>
      </c>
      <c r="X175" s="364">
        <f>+AN156</f>
        <v>0</v>
      </c>
      <c r="Y175" s="363"/>
      <c r="Z175" s="358"/>
    </row>
    <row r="176" spans="1:58">
      <c r="V176" s="358"/>
      <c r="W176" s="361" t="s">
        <v>174</v>
      </c>
      <c r="X176" s="364">
        <f>+AO156</f>
        <v>0</v>
      </c>
      <c r="Y176" s="363"/>
      <c r="Z176" s="358"/>
    </row>
    <row r="177" spans="22:26">
      <c r="V177" s="358"/>
      <c r="W177" s="361" t="s">
        <v>165</v>
      </c>
      <c r="X177" s="364">
        <f>+AP156</f>
        <v>0</v>
      </c>
      <c r="Y177" s="363"/>
      <c r="Z177" s="358"/>
    </row>
    <row r="178" spans="22:26">
      <c r="V178" s="358"/>
      <c r="W178" s="361" t="s">
        <v>173</v>
      </c>
      <c r="X178" s="364">
        <f>+AQ156</f>
        <v>0</v>
      </c>
      <c r="Y178" s="363"/>
      <c r="Z178" s="358"/>
    </row>
    <row r="179" spans="22:26">
      <c r="V179" s="358"/>
      <c r="W179" s="361" t="s">
        <v>176</v>
      </c>
      <c r="X179" s="364">
        <f>+AS156</f>
        <v>0</v>
      </c>
      <c r="Y179" s="363"/>
      <c r="Z179" s="358"/>
    </row>
    <row r="180" spans="22:26">
      <c r="V180" s="358"/>
      <c r="W180" s="361" t="s">
        <v>296</v>
      </c>
      <c r="X180" s="364">
        <f>+AT156</f>
        <v>0</v>
      </c>
      <c r="Y180" s="363"/>
      <c r="Z180" s="358"/>
    </row>
    <row r="181" spans="22:26">
      <c r="V181" s="358"/>
      <c r="W181" s="361" t="s">
        <v>272</v>
      </c>
      <c r="X181" s="364">
        <f>+AU156</f>
        <v>0</v>
      </c>
      <c r="Y181" s="363"/>
      <c r="Z181" s="358"/>
    </row>
    <row r="182" spans="22:26">
      <c r="V182" s="358"/>
      <c r="W182" s="361" t="s">
        <v>305</v>
      </c>
      <c r="X182" s="364">
        <f>+AW156</f>
        <v>1.1904746630889572E-2</v>
      </c>
      <c r="Y182" s="363"/>
      <c r="Z182" s="358"/>
    </row>
    <row r="183" spans="22:26">
      <c r="V183" s="358"/>
      <c r="W183" s="361" t="s">
        <v>306</v>
      </c>
      <c r="X183" s="364">
        <f>+AV156</f>
        <v>3.7570943495651493E-3</v>
      </c>
      <c r="Y183" s="363"/>
      <c r="Z183" s="358"/>
    </row>
    <row r="184" spans="22:26">
      <c r="V184" s="358"/>
      <c r="W184" s="358" t="s">
        <v>175</v>
      </c>
      <c r="X184" s="364">
        <f>+AX156+AY156</f>
        <v>0</v>
      </c>
      <c r="Y184" s="364"/>
      <c r="Z184" s="358"/>
    </row>
    <row r="185" spans="22:26">
      <c r="V185" s="358"/>
      <c r="W185" s="358" t="s">
        <v>304</v>
      </c>
      <c r="X185" s="364">
        <f>+AZ156</f>
        <v>0</v>
      </c>
      <c r="Y185" s="358"/>
      <c r="Z185" s="358"/>
    </row>
    <row r="186" spans="22:26">
      <c r="V186" s="358"/>
      <c r="W186" s="358"/>
      <c r="X186" s="495">
        <f>SUM(X163:X185)</f>
        <v>0.15519849277877928</v>
      </c>
      <c r="Y186" s="358"/>
      <c r="Z186" s="358"/>
    </row>
    <row r="188" spans="22:26">
      <c r="X188" s="93">
        <f>+X186+X155</f>
        <v>1</v>
      </c>
    </row>
  </sheetData>
  <mergeCells count="49"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AT3:AU4"/>
    <mergeCell ref="AP4:AP5"/>
    <mergeCell ref="AQ4:AQ5"/>
    <mergeCell ref="AR4:AR5"/>
    <mergeCell ref="Y3:Y5"/>
    <mergeCell ref="Z3:Z5"/>
    <mergeCell ref="AA3:AA5"/>
    <mergeCell ref="AB3:AB5"/>
    <mergeCell ref="AC3:AC5"/>
    <mergeCell ref="AD3:AD5"/>
    <mergeCell ref="AE3:AE5"/>
    <mergeCell ref="AF3:AL3"/>
    <mergeCell ref="AM3:AM5"/>
    <mergeCell ref="AN3:AR3"/>
    <mergeCell ref="AS3:AS5"/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  <mergeCell ref="BC3:BC5"/>
  </mergeCells>
  <conditionalFormatting sqref="B9:C9 B58:C58 B130:C130 C156 B134:C134 B138:C139 B136:B156 C136:C154">
    <cfRule type="cellIs" dxfId="8177" priority="6173" stopIfTrue="1" operator="equal">
      <formula>"Towel"</formula>
    </cfRule>
    <cfRule type="cellIs" dxfId="8176" priority="6174" stopIfTrue="1" operator="equal">
      <formula>"Napkin Hs"</formula>
    </cfRule>
  </conditionalFormatting>
  <conditionalFormatting sqref="B41:C41">
    <cfRule type="cellIs" dxfId="8175" priority="6163" stopIfTrue="1" operator="equal">
      <formula>"Towel"</formula>
    </cfRule>
    <cfRule type="cellIs" dxfId="8174" priority="6164" stopIfTrue="1" operator="equal">
      <formula>"Napkin Hs"</formula>
    </cfRule>
  </conditionalFormatting>
  <conditionalFormatting sqref="B66:C66">
    <cfRule type="cellIs" dxfId="8173" priority="6145" stopIfTrue="1" operator="equal">
      <formula>"Towel"</formula>
    </cfRule>
    <cfRule type="cellIs" dxfId="8172" priority="6146" stopIfTrue="1" operator="equal">
      <formula>"Napkin Hs"</formula>
    </cfRule>
  </conditionalFormatting>
  <conditionalFormatting sqref="B70:C70">
    <cfRule type="cellIs" dxfId="8171" priority="6141" stopIfTrue="1" operator="equal">
      <formula>"Towel"</formula>
    </cfRule>
    <cfRule type="cellIs" dxfId="8170" priority="6142" stopIfTrue="1" operator="equal">
      <formula>"Napkin Hs"</formula>
    </cfRule>
  </conditionalFormatting>
  <conditionalFormatting sqref="B74:C74">
    <cfRule type="cellIs" dxfId="8169" priority="6135" stopIfTrue="1" operator="equal">
      <formula>"Towel"</formula>
    </cfRule>
    <cfRule type="cellIs" dxfId="8168" priority="6136" stopIfTrue="1" operator="equal">
      <formula>"Napkin Hs"</formula>
    </cfRule>
  </conditionalFormatting>
  <conditionalFormatting sqref="B92:C92">
    <cfRule type="cellIs" dxfId="8167" priority="6115" stopIfTrue="1" operator="equal">
      <formula>"Towel"</formula>
    </cfRule>
    <cfRule type="cellIs" dxfId="8166" priority="6116" stopIfTrue="1" operator="equal">
      <formula>"Napkin Hs"</formula>
    </cfRule>
  </conditionalFormatting>
  <conditionalFormatting sqref="B121:C121">
    <cfRule type="cellIs" dxfId="8165" priority="6107" stopIfTrue="1" operator="equal">
      <formula>"Towel"</formula>
    </cfRule>
    <cfRule type="cellIs" dxfId="8164" priority="6108" stopIfTrue="1" operator="equal">
      <formula>"Napkin Hs"</formula>
    </cfRule>
  </conditionalFormatting>
  <conditionalFormatting sqref="B126:C126">
    <cfRule type="cellIs" dxfId="8163" priority="6101" stopIfTrue="1" operator="equal">
      <formula>"Towel"</formula>
    </cfRule>
    <cfRule type="cellIs" dxfId="8162" priority="6102" stopIfTrue="1" operator="equal">
      <formula>"Napkin Hs"</formula>
    </cfRule>
  </conditionalFormatting>
  <conditionalFormatting sqref="C9 C58 C130 C134 C136:C153">
    <cfRule type="cellIs" dxfId="8161" priority="6172" stopIfTrue="1" operator="equal">
      <formula>"Napkin Hs"</formula>
    </cfRule>
  </conditionalFormatting>
  <conditionalFormatting sqref="C9">
    <cfRule type="cellIs" dxfId="8160" priority="6095" stopIfTrue="1" operator="equal">
      <formula>"Towel"</formula>
    </cfRule>
    <cfRule type="cellIs" dxfId="8159" priority="6096" stopIfTrue="1" operator="equal">
      <formula>"Napkin Hs"</formula>
    </cfRule>
  </conditionalFormatting>
  <conditionalFormatting sqref="C58 C130 C9 C134 C136:C153">
    <cfRule type="cellIs" dxfId="8158" priority="6171" stopIfTrue="1" operator="equal">
      <formula>"Towel"</formula>
    </cfRule>
  </conditionalFormatting>
  <conditionalFormatting sqref="C41">
    <cfRule type="cellIs" dxfId="8157" priority="6161" stopIfTrue="1" operator="equal">
      <formula>"Towel"</formula>
    </cfRule>
    <cfRule type="cellIs" dxfId="8156" priority="6162" stopIfTrue="1" operator="equal">
      <formula>"Napkin Hs"</formula>
    </cfRule>
  </conditionalFormatting>
  <conditionalFormatting sqref="C41">
    <cfRule type="cellIs" dxfId="8155" priority="6159" stopIfTrue="1" operator="equal">
      <formula>"Towel"</formula>
    </cfRule>
    <cfRule type="cellIs" dxfId="8154" priority="6160" stopIfTrue="1" operator="equal">
      <formula>"Napkin Hs"</formula>
    </cfRule>
  </conditionalFormatting>
  <conditionalFormatting sqref="C58">
    <cfRule type="cellIs" dxfId="8153" priority="6151" stopIfTrue="1" operator="equal">
      <formula>"Towel"</formula>
    </cfRule>
    <cfRule type="cellIs" dxfId="8152" priority="6152" stopIfTrue="1" operator="equal">
      <formula>"Napkin Hs"</formula>
    </cfRule>
  </conditionalFormatting>
  <conditionalFormatting sqref="C66">
    <cfRule type="cellIs" dxfId="8151" priority="6147" stopIfTrue="1" operator="equal">
      <formula>"Towel"</formula>
    </cfRule>
    <cfRule type="cellIs" dxfId="8150" priority="6148" stopIfTrue="1" operator="equal">
      <formula>"Napkin Hs"</formula>
    </cfRule>
  </conditionalFormatting>
  <conditionalFormatting sqref="C66">
    <cfRule type="cellIs" dxfId="8149" priority="6143" stopIfTrue="1" operator="equal">
      <formula>"Towel"</formula>
    </cfRule>
    <cfRule type="cellIs" dxfId="8148" priority="6144" stopIfTrue="1" operator="equal">
      <formula>"Napkin Hs"</formula>
    </cfRule>
  </conditionalFormatting>
  <conditionalFormatting sqref="C70">
    <cfRule type="cellIs" dxfId="8147" priority="6137" stopIfTrue="1" operator="equal">
      <formula>"Towel"</formula>
    </cfRule>
    <cfRule type="cellIs" dxfId="8146" priority="6138" stopIfTrue="1" operator="equal">
      <formula>"Napkin Hs"</formula>
    </cfRule>
  </conditionalFormatting>
  <conditionalFormatting sqref="C70">
    <cfRule type="cellIs" dxfId="8145" priority="6139" stopIfTrue="1" operator="equal">
      <formula>"Towel"</formula>
    </cfRule>
    <cfRule type="cellIs" dxfId="8144" priority="6140" stopIfTrue="1" operator="equal">
      <formula>"Napkin Hs"</formula>
    </cfRule>
  </conditionalFormatting>
  <conditionalFormatting sqref="C74">
    <cfRule type="cellIs" dxfId="8143" priority="6131" stopIfTrue="1" operator="equal">
      <formula>"Towel"</formula>
    </cfRule>
    <cfRule type="cellIs" dxfId="8142" priority="6132" stopIfTrue="1" operator="equal">
      <formula>"Napkin Hs"</formula>
    </cfRule>
  </conditionalFormatting>
  <conditionalFormatting sqref="C74">
    <cfRule type="cellIs" dxfId="8141" priority="6133" stopIfTrue="1" operator="equal">
      <formula>"Towel"</formula>
    </cfRule>
    <cfRule type="cellIs" dxfId="8140" priority="6134" stopIfTrue="1" operator="equal">
      <formula>"Napkin Hs"</formula>
    </cfRule>
  </conditionalFormatting>
  <conditionalFormatting sqref="C92">
    <cfRule type="cellIs" dxfId="8139" priority="6117" stopIfTrue="1" operator="equal">
      <formula>"Towel"</formula>
    </cfRule>
    <cfRule type="cellIs" dxfId="8138" priority="6118" stopIfTrue="1" operator="equal">
      <formula>"Napkin Hs"</formula>
    </cfRule>
  </conditionalFormatting>
  <conditionalFormatting sqref="C92">
    <cfRule type="cellIs" dxfId="8137" priority="6113" stopIfTrue="1" operator="equal">
      <formula>"Towel"</formula>
    </cfRule>
    <cfRule type="cellIs" dxfId="8136" priority="6114" stopIfTrue="1" operator="equal">
      <formula>"Napkin Hs"</formula>
    </cfRule>
  </conditionalFormatting>
  <conditionalFormatting sqref="C121">
    <cfRule type="cellIs" dxfId="8135" priority="6105" stopIfTrue="1" operator="equal">
      <formula>"Towel"</formula>
    </cfRule>
    <cfRule type="cellIs" dxfId="8134" priority="6106" stopIfTrue="1" operator="equal">
      <formula>"Napkin Hs"</formula>
    </cfRule>
  </conditionalFormatting>
  <conditionalFormatting sqref="C121">
    <cfRule type="cellIs" dxfId="8133" priority="6103" stopIfTrue="1" operator="equal">
      <formula>"Towel"</formula>
    </cfRule>
    <cfRule type="cellIs" dxfId="8132" priority="6104" stopIfTrue="1" operator="equal">
      <formula>"Napkin Hs"</formula>
    </cfRule>
  </conditionalFormatting>
  <conditionalFormatting sqref="C126">
    <cfRule type="cellIs" dxfId="8131" priority="6097" stopIfTrue="1" operator="equal">
      <formula>"Towel"</formula>
    </cfRule>
    <cfRule type="cellIs" dxfId="8130" priority="6098" stopIfTrue="1" operator="equal">
      <formula>"Napkin Hs"</formula>
    </cfRule>
  </conditionalFormatting>
  <conditionalFormatting sqref="C126 C130 C134 C136:C153">
    <cfRule type="cellIs" dxfId="8129" priority="6099" stopIfTrue="1" operator="equal">
      <formula>"Towel"</formula>
    </cfRule>
    <cfRule type="cellIs" dxfId="8128" priority="6100" stopIfTrue="1" operator="equal">
      <formula>"Napkin Hs"</formula>
    </cfRule>
  </conditionalFormatting>
  <conditionalFormatting sqref="B31:C32">
    <cfRule type="cellIs" dxfId="8127" priority="6075" stopIfTrue="1" operator="equal">
      <formula>"Towel"</formula>
    </cfRule>
    <cfRule type="cellIs" dxfId="8126" priority="6076" stopIfTrue="1" operator="equal">
      <formula>"Napkin Hs"</formula>
    </cfRule>
  </conditionalFormatting>
  <conditionalFormatting sqref="C31:C32">
    <cfRule type="cellIs" dxfId="8125" priority="6074" stopIfTrue="1" operator="equal">
      <formula>"Napkin Hs"</formula>
    </cfRule>
  </conditionalFormatting>
  <conditionalFormatting sqref="C31:C32">
    <cfRule type="cellIs" dxfId="8124" priority="6071" stopIfTrue="1" operator="equal">
      <formula>"Towel"</formula>
    </cfRule>
    <cfRule type="cellIs" dxfId="8123" priority="6072" stopIfTrue="1" operator="equal">
      <formula>"Napkin Hs"</formula>
    </cfRule>
  </conditionalFormatting>
  <conditionalFormatting sqref="C31:C32">
    <cfRule type="cellIs" dxfId="8122" priority="6073" stopIfTrue="1" operator="equal">
      <formula>"Towel"</formula>
    </cfRule>
  </conditionalFormatting>
  <conditionalFormatting sqref="B37:C37">
    <cfRule type="cellIs" dxfId="8121" priority="6069" stopIfTrue="1" operator="equal">
      <formula>"Towel"</formula>
    </cfRule>
    <cfRule type="cellIs" dxfId="8120" priority="6070" stopIfTrue="1" operator="equal">
      <formula>"Napkin Hs"</formula>
    </cfRule>
  </conditionalFormatting>
  <conditionalFormatting sqref="C37">
    <cfRule type="cellIs" dxfId="8119" priority="6067" stopIfTrue="1" operator="equal">
      <formula>"Towel"</formula>
    </cfRule>
    <cfRule type="cellIs" dxfId="8118" priority="6068" stopIfTrue="1" operator="equal">
      <formula>"Napkin Hs"</formula>
    </cfRule>
  </conditionalFormatting>
  <conditionalFormatting sqref="C37">
    <cfRule type="cellIs" dxfId="8117" priority="6065" stopIfTrue="1" operator="equal">
      <formula>"Towel"</formula>
    </cfRule>
    <cfRule type="cellIs" dxfId="8116" priority="6066" stopIfTrue="1" operator="equal">
      <formula>"Napkin Hs"</formula>
    </cfRule>
  </conditionalFormatting>
  <conditionalFormatting sqref="B39:C40">
    <cfRule type="cellIs" dxfId="8115" priority="6057" stopIfTrue="1" operator="equal">
      <formula>"Towel"</formula>
    </cfRule>
    <cfRule type="cellIs" dxfId="8114" priority="6058" stopIfTrue="1" operator="equal">
      <formula>"Napkin Hs"</formula>
    </cfRule>
  </conditionalFormatting>
  <conditionalFormatting sqref="C39:C40">
    <cfRule type="cellIs" dxfId="8113" priority="6056" stopIfTrue="1" operator="equal">
      <formula>"Napkin Hs"</formula>
    </cfRule>
  </conditionalFormatting>
  <conditionalFormatting sqref="C39:C40">
    <cfRule type="cellIs" dxfId="8112" priority="6053" stopIfTrue="1" operator="equal">
      <formula>"Towel"</formula>
    </cfRule>
    <cfRule type="cellIs" dxfId="8111" priority="6054" stopIfTrue="1" operator="equal">
      <formula>"Napkin Hs"</formula>
    </cfRule>
  </conditionalFormatting>
  <conditionalFormatting sqref="C39:C40">
    <cfRule type="cellIs" dxfId="8110" priority="6055" stopIfTrue="1" operator="equal">
      <formula>"Towel"</formula>
    </cfRule>
  </conditionalFormatting>
  <conditionalFormatting sqref="B45:C45">
    <cfRule type="cellIs" dxfId="8109" priority="6047" stopIfTrue="1" operator="equal">
      <formula>"Towel"</formula>
    </cfRule>
    <cfRule type="cellIs" dxfId="8108" priority="6048" stopIfTrue="1" operator="equal">
      <formula>"Napkin Hs"</formula>
    </cfRule>
  </conditionalFormatting>
  <conditionalFormatting sqref="C45">
    <cfRule type="cellIs" dxfId="8107" priority="6043" stopIfTrue="1" operator="equal">
      <formula>"Towel"</formula>
    </cfRule>
    <cfRule type="cellIs" dxfId="8106" priority="6044" stopIfTrue="1" operator="equal">
      <formula>"Napkin Hs"</formula>
    </cfRule>
  </conditionalFormatting>
  <conditionalFormatting sqref="C45">
    <cfRule type="cellIs" dxfId="8105" priority="6045" stopIfTrue="1" operator="equal">
      <formula>"Towel"</formula>
    </cfRule>
    <cfRule type="cellIs" dxfId="8104" priority="6046" stopIfTrue="1" operator="equal">
      <formula>"Napkin Hs"</formula>
    </cfRule>
  </conditionalFormatting>
  <conditionalFormatting sqref="B42:C44">
    <cfRule type="cellIs" dxfId="8103" priority="6041" stopIfTrue="1" operator="equal">
      <formula>"Towel"</formula>
    </cfRule>
    <cfRule type="cellIs" dxfId="8102" priority="6042" stopIfTrue="1" operator="equal">
      <formula>"Napkin Hs"</formula>
    </cfRule>
  </conditionalFormatting>
  <conditionalFormatting sqref="C42:C44">
    <cfRule type="cellIs" dxfId="8101" priority="6040" stopIfTrue="1" operator="equal">
      <formula>"Napkin Hs"</formula>
    </cfRule>
  </conditionalFormatting>
  <conditionalFormatting sqref="C42:C44">
    <cfRule type="cellIs" dxfId="8100" priority="6037" stopIfTrue="1" operator="equal">
      <formula>"Towel"</formula>
    </cfRule>
    <cfRule type="cellIs" dxfId="8099" priority="6038" stopIfTrue="1" operator="equal">
      <formula>"Napkin Hs"</formula>
    </cfRule>
  </conditionalFormatting>
  <conditionalFormatting sqref="C42:C44">
    <cfRule type="cellIs" dxfId="8098" priority="6039" stopIfTrue="1" operator="equal">
      <formula>"Towel"</formula>
    </cfRule>
  </conditionalFormatting>
  <conditionalFormatting sqref="C65">
    <cfRule type="cellIs" dxfId="8097" priority="5997" stopIfTrue="1" operator="equal">
      <formula>"Towel"</formula>
    </cfRule>
    <cfRule type="cellIs" dxfId="8096" priority="5998" stopIfTrue="1" operator="equal">
      <formula>"Napkin Hs"</formula>
    </cfRule>
  </conditionalFormatting>
  <conditionalFormatting sqref="C65">
    <cfRule type="cellIs" dxfId="8095" priority="5996" stopIfTrue="1" operator="equal">
      <formula>"Napkin Hs"</formula>
    </cfRule>
  </conditionalFormatting>
  <conditionalFormatting sqref="C65">
    <cfRule type="cellIs" dxfId="8094" priority="5993" stopIfTrue="1" operator="equal">
      <formula>"Towel"</formula>
    </cfRule>
    <cfRule type="cellIs" dxfId="8093" priority="5994" stopIfTrue="1" operator="equal">
      <formula>"Napkin Hs"</formula>
    </cfRule>
  </conditionalFormatting>
  <conditionalFormatting sqref="C65">
    <cfRule type="cellIs" dxfId="8092" priority="5995" stopIfTrue="1" operator="equal">
      <formula>"Towel"</formula>
    </cfRule>
  </conditionalFormatting>
  <conditionalFormatting sqref="B68:C68">
    <cfRule type="cellIs" dxfId="8091" priority="5991" stopIfTrue="1" operator="equal">
      <formula>"Towel"</formula>
    </cfRule>
    <cfRule type="cellIs" dxfId="8090" priority="5992" stopIfTrue="1" operator="equal">
      <formula>"Napkin Hs"</formula>
    </cfRule>
  </conditionalFormatting>
  <conditionalFormatting sqref="C68">
    <cfRule type="cellIs" dxfId="8089" priority="5990" stopIfTrue="1" operator="equal">
      <formula>"Napkin Hs"</formula>
    </cfRule>
  </conditionalFormatting>
  <conditionalFormatting sqref="C68">
    <cfRule type="cellIs" dxfId="8088" priority="5987" stopIfTrue="1" operator="equal">
      <formula>"Towel"</formula>
    </cfRule>
    <cfRule type="cellIs" dxfId="8087" priority="5988" stopIfTrue="1" operator="equal">
      <formula>"Napkin Hs"</formula>
    </cfRule>
  </conditionalFormatting>
  <conditionalFormatting sqref="C68">
    <cfRule type="cellIs" dxfId="8086" priority="5989" stopIfTrue="1" operator="equal">
      <formula>"Towel"</formula>
    </cfRule>
  </conditionalFormatting>
  <conditionalFormatting sqref="B75:C76">
    <cfRule type="cellIs" dxfId="8085" priority="5973" stopIfTrue="1" operator="equal">
      <formula>"Towel"</formula>
    </cfRule>
    <cfRule type="cellIs" dxfId="8084" priority="5974" stopIfTrue="1" operator="equal">
      <formula>"Napkin Hs"</formula>
    </cfRule>
  </conditionalFormatting>
  <conditionalFormatting sqref="C75:C76">
    <cfRule type="cellIs" dxfId="8083" priority="5972" stopIfTrue="1" operator="equal">
      <formula>"Napkin Hs"</formula>
    </cfRule>
  </conditionalFormatting>
  <conditionalFormatting sqref="C75:C76">
    <cfRule type="cellIs" dxfId="8082" priority="5969" stopIfTrue="1" operator="equal">
      <formula>"Towel"</formula>
    </cfRule>
    <cfRule type="cellIs" dxfId="8081" priority="5970" stopIfTrue="1" operator="equal">
      <formula>"Napkin Hs"</formula>
    </cfRule>
  </conditionalFormatting>
  <conditionalFormatting sqref="C75:C76">
    <cfRule type="cellIs" dxfId="8080" priority="5971" stopIfTrue="1" operator="equal">
      <formula>"Towel"</formula>
    </cfRule>
  </conditionalFormatting>
  <conditionalFormatting sqref="B89:C91">
    <cfRule type="cellIs" dxfId="8079" priority="5943" stopIfTrue="1" operator="equal">
      <formula>"Towel"</formula>
    </cfRule>
    <cfRule type="cellIs" dxfId="8078" priority="5944" stopIfTrue="1" operator="equal">
      <formula>"Napkin Hs"</formula>
    </cfRule>
  </conditionalFormatting>
  <conditionalFormatting sqref="C89:C91">
    <cfRule type="cellIs" dxfId="8077" priority="5942" stopIfTrue="1" operator="equal">
      <formula>"Napkin Hs"</formula>
    </cfRule>
  </conditionalFormatting>
  <conditionalFormatting sqref="C89:C91">
    <cfRule type="cellIs" dxfId="8076" priority="5939" stopIfTrue="1" operator="equal">
      <formula>"Towel"</formula>
    </cfRule>
    <cfRule type="cellIs" dxfId="8075" priority="5940" stopIfTrue="1" operator="equal">
      <formula>"Napkin Hs"</formula>
    </cfRule>
  </conditionalFormatting>
  <conditionalFormatting sqref="C89:C91">
    <cfRule type="cellIs" dxfId="8074" priority="5941" stopIfTrue="1" operator="equal">
      <formula>"Towel"</formula>
    </cfRule>
  </conditionalFormatting>
  <conditionalFormatting sqref="B96:C96">
    <cfRule type="cellIs" dxfId="8073" priority="5935" stopIfTrue="1" operator="equal">
      <formula>"Towel"</formula>
    </cfRule>
    <cfRule type="cellIs" dxfId="8072" priority="5936" stopIfTrue="1" operator="equal">
      <formula>"Napkin Hs"</formula>
    </cfRule>
  </conditionalFormatting>
  <conditionalFormatting sqref="C96">
    <cfRule type="cellIs" dxfId="8071" priority="5937" stopIfTrue="1" operator="equal">
      <formula>"Towel"</formula>
    </cfRule>
    <cfRule type="cellIs" dxfId="8070" priority="5938" stopIfTrue="1" operator="equal">
      <formula>"Napkin Hs"</formula>
    </cfRule>
  </conditionalFormatting>
  <conditionalFormatting sqref="C96">
    <cfRule type="cellIs" dxfId="8069" priority="5933" stopIfTrue="1" operator="equal">
      <formula>"Towel"</formula>
    </cfRule>
    <cfRule type="cellIs" dxfId="8068" priority="5934" stopIfTrue="1" operator="equal">
      <formula>"Napkin Hs"</formula>
    </cfRule>
  </conditionalFormatting>
  <conditionalFormatting sqref="B93:C93 B95:C95">
    <cfRule type="cellIs" dxfId="8067" priority="5931" stopIfTrue="1" operator="equal">
      <formula>"Towel"</formula>
    </cfRule>
    <cfRule type="cellIs" dxfId="8066" priority="5932" stopIfTrue="1" operator="equal">
      <formula>"Napkin Hs"</formula>
    </cfRule>
  </conditionalFormatting>
  <conditionalFormatting sqref="C93 C95">
    <cfRule type="cellIs" dxfId="8065" priority="5930" stopIfTrue="1" operator="equal">
      <formula>"Napkin Hs"</formula>
    </cfRule>
  </conditionalFormatting>
  <conditionalFormatting sqref="C93 C95">
    <cfRule type="cellIs" dxfId="8064" priority="5927" stopIfTrue="1" operator="equal">
      <formula>"Towel"</formula>
    </cfRule>
    <cfRule type="cellIs" dxfId="8063" priority="5928" stopIfTrue="1" operator="equal">
      <formula>"Napkin Hs"</formula>
    </cfRule>
  </conditionalFormatting>
  <conditionalFormatting sqref="C93 C95">
    <cfRule type="cellIs" dxfId="8062" priority="5929" stopIfTrue="1" operator="equal">
      <formula>"Towel"</formula>
    </cfRule>
  </conditionalFormatting>
  <conditionalFormatting sqref="B100:C100">
    <cfRule type="cellIs" dxfId="8061" priority="5925" stopIfTrue="1" operator="equal">
      <formula>"Towel"</formula>
    </cfRule>
    <cfRule type="cellIs" dxfId="8060" priority="5926" stopIfTrue="1" operator="equal">
      <formula>"Napkin Hs"</formula>
    </cfRule>
  </conditionalFormatting>
  <conditionalFormatting sqref="C100">
    <cfRule type="cellIs" dxfId="8059" priority="5923" stopIfTrue="1" operator="equal">
      <formula>"Towel"</formula>
    </cfRule>
    <cfRule type="cellIs" dxfId="8058" priority="5924" stopIfTrue="1" operator="equal">
      <formula>"Napkin Hs"</formula>
    </cfRule>
  </conditionalFormatting>
  <conditionalFormatting sqref="C100">
    <cfRule type="cellIs" dxfId="8057" priority="5921" stopIfTrue="1" operator="equal">
      <formula>"Towel"</formula>
    </cfRule>
    <cfRule type="cellIs" dxfId="8056" priority="5922" stopIfTrue="1" operator="equal">
      <formula>"Napkin Hs"</formula>
    </cfRule>
  </conditionalFormatting>
  <conditionalFormatting sqref="B120:C120">
    <cfRule type="cellIs" dxfId="8055" priority="5877" stopIfTrue="1" operator="equal">
      <formula>"Towel"</formula>
    </cfRule>
    <cfRule type="cellIs" dxfId="8054" priority="5878" stopIfTrue="1" operator="equal">
      <formula>"Napkin Hs"</formula>
    </cfRule>
  </conditionalFormatting>
  <conditionalFormatting sqref="C120">
    <cfRule type="cellIs" dxfId="8053" priority="5875" stopIfTrue="1" operator="equal">
      <formula>"Towel"</formula>
    </cfRule>
    <cfRule type="cellIs" dxfId="8052" priority="5876" stopIfTrue="1" operator="equal">
      <formula>"Napkin Hs"</formula>
    </cfRule>
  </conditionalFormatting>
  <conditionalFormatting sqref="C120">
    <cfRule type="cellIs" dxfId="8051" priority="5873" stopIfTrue="1" operator="equal">
      <formula>"Towel"</formula>
    </cfRule>
    <cfRule type="cellIs" dxfId="8050" priority="5874" stopIfTrue="1" operator="equal">
      <formula>"Napkin Hs"</formula>
    </cfRule>
  </conditionalFormatting>
  <conditionalFormatting sqref="C119">
    <cfRule type="cellIs" dxfId="8049" priority="5847" stopIfTrue="1" operator="equal">
      <formula>"Towel"</formula>
    </cfRule>
    <cfRule type="cellIs" dxfId="8048" priority="5848" stopIfTrue="1" operator="equal">
      <formula>"Napkin Hs"</formula>
    </cfRule>
  </conditionalFormatting>
  <conditionalFormatting sqref="C119">
    <cfRule type="cellIs" dxfId="8047" priority="5843" stopIfTrue="1" operator="equal">
      <formula>"Towel"</formula>
    </cfRule>
    <cfRule type="cellIs" dxfId="8046" priority="5844" stopIfTrue="1" operator="equal">
      <formula>"Napkin Hs"</formula>
    </cfRule>
  </conditionalFormatting>
  <conditionalFormatting sqref="B119:C119">
    <cfRule type="cellIs" dxfId="8045" priority="5845" stopIfTrue="1" operator="equal">
      <formula>"Towel"</formula>
    </cfRule>
    <cfRule type="cellIs" dxfId="8044" priority="5846" stopIfTrue="1" operator="equal">
      <formula>"Napkin Hs"</formula>
    </cfRule>
  </conditionalFormatting>
  <conditionalFormatting sqref="B118:C118">
    <cfRule type="cellIs" dxfId="8043" priority="5841" stopIfTrue="1" operator="equal">
      <formula>"Towel"</formula>
    </cfRule>
    <cfRule type="cellIs" dxfId="8042" priority="5842" stopIfTrue="1" operator="equal">
      <formula>"Napkin Hs"</formula>
    </cfRule>
  </conditionalFormatting>
  <conditionalFormatting sqref="C118">
    <cfRule type="cellIs" dxfId="8041" priority="5840" stopIfTrue="1" operator="equal">
      <formula>"Napkin Hs"</formula>
    </cfRule>
  </conditionalFormatting>
  <conditionalFormatting sqref="C118">
    <cfRule type="cellIs" dxfId="8040" priority="5837" stopIfTrue="1" operator="equal">
      <formula>"Towel"</formula>
    </cfRule>
    <cfRule type="cellIs" dxfId="8039" priority="5838" stopIfTrue="1" operator="equal">
      <formula>"Napkin Hs"</formula>
    </cfRule>
  </conditionalFormatting>
  <conditionalFormatting sqref="C118">
    <cfRule type="cellIs" dxfId="8038" priority="5839" stopIfTrue="1" operator="equal">
      <formula>"Towel"</formula>
    </cfRule>
  </conditionalFormatting>
  <conditionalFormatting sqref="B122:C122">
    <cfRule type="cellIs" dxfId="8037" priority="5817" stopIfTrue="1" operator="equal">
      <formula>"Towel"</formula>
    </cfRule>
    <cfRule type="cellIs" dxfId="8036" priority="5818" stopIfTrue="1" operator="equal">
      <formula>"Napkin Hs"</formula>
    </cfRule>
  </conditionalFormatting>
  <conditionalFormatting sqref="C122">
    <cfRule type="cellIs" dxfId="8035" priority="5816" stopIfTrue="1" operator="equal">
      <formula>"Napkin Hs"</formula>
    </cfRule>
  </conditionalFormatting>
  <conditionalFormatting sqref="C122">
    <cfRule type="cellIs" dxfId="8034" priority="5813" stopIfTrue="1" operator="equal">
      <formula>"Towel"</formula>
    </cfRule>
    <cfRule type="cellIs" dxfId="8033" priority="5814" stopIfTrue="1" operator="equal">
      <formula>"Napkin Hs"</formula>
    </cfRule>
  </conditionalFormatting>
  <conditionalFormatting sqref="C122">
    <cfRule type="cellIs" dxfId="8032" priority="5815" stopIfTrue="1" operator="equal">
      <formula>"Towel"</formula>
    </cfRule>
  </conditionalFormatting>
  <conditionalFormatting sqref="B129:C129">
    <cfRule type="cellIs" dxfId="8031" priority="5805" stopIfTrue="1" operator="equal">
      <formula>"Towel"</formula>
    </cfRule>
    <cfRule type="cellIs" dxfId="8030" priority="5806" stopIfTrue="1" operator="equal">
      <formula>"Napkin Hs"</formula>
    </cfRule>
  </conditionalFormatting>
  <conditionalFormatting sqref="C129">
    <cfRule type="cellIs" dxfId="8029" priority="5804" stopIfTrue="1" operator="equal">
      <formula>"Napkin Hs"</formula>
    </cfRule>
  </conditionalFormatting>
  <conditionalFormatting sqref="C129">
    <cfRule type="cellIs" dxfId="8028" priority="5801" stopIfTrue="1" operator="equal">
      <formula>"Towel"</formula>
    </cfRule>
    <cfRule type="cellIs" dxfId="8027" priority="5802" stopIfTrue="1" operator="equal">
      <formula>"Napkin Hs"</formula>
    </cfRule>
  </conditionalFormatting>
  <conditionalFormatting sqref="C129">
    <cfRule type="cellIs" dxfId="8026" priority="5803" stopIfTrue="1" operator="equal">
      <formula>"Towel"</formula>
    </cfRule>
  </conditionalFormatting>
  <conditionalFormatting sqref="B133:C133">
    <cfRule type="cellIs" dxfId="8025" priority="5799" stopIfTrue="1" operator="equal">
      <formula>"Towel"</formula>
    </cfRule>
    <cfRule type="cellIs" dxfId="8024" priority="5800" stopIfTrue="1" operator="equal">
      <formula>"Napkin Hs"</formula>
    </cfRule>
  </conditionalFormatting>
  <conditionalFormatting sqref="C133">
    <cfRule type="cellIs" dxfId="8023" priority="5798" stopIfTrue="1" operator="equal">
      <formula>"Napkin Hs"</formula>
    </cfRule>
  </conditionalFormatting>
  <conditionalFormatting sqref="C133">
    <cfRule type="cellIs" dxfId="8022" priority="5795" stopIfTrue="1" operator="equal">
      <formula>"Towel"</formula>
    </cfRule>
    <cfRule type="cellIs" dxfId="8021" priority="5796" stopIfTrue="1" operator="equal">
      <formula>"Napkin Hs"</formula>
    </cfRule>
  </conditionalFormatting>
  <conditionalFormatting sqref="C133">
    <cfRule type="cellIs" dxfId="8020" priority="5797" stopIfTrue="1" operator="equal">
      <formula>"Towel"</formula>
    </cfRule>
  </conditionalFormatting>
  <conditionalFormatting sqref="B8:C8">
    <cfRule type="cellIs" dxfId="8019" priority="5793" stopIfTrue="1" operator="equal">
      <formula>"Towel"</formula>
    </cfRule>
    <cfRule type="cellIs" dxfId="8018" priority="5794" stopIfTrue="1" operator="equal">
      <formula>"Napkin Hs"</formula>
    </cfRule>
  </conditionalFormatting>
  <conditionalFormatting sqref="C8">
    <cfRule type="cellIs" dxfId="8017" priority="5792" stopIfTrue="1" operator="equal">
      <formula>"Napkin Hs"</formula>
    </cfRule>
  </conditionalFormatting>
  <conditionalFormatting sqref="C8">
    <cfRule type="cellIs" dxfId="8016" priority="5789" stopIfTrue="1" operator="equal">
      <formula>"Towel"</formula>
    </cfRule>
    <cfRule type="cellIs" dxfId="8015" priority="5790" stopIfTrue="1" operator="equal">
      <formula>"Napkin Hs"</formula>
    </cfRule>
  </conditionalFormatting>
  <conditionalFormatting sqref="C8">
    <cfRule type="cellIs" dxfId="8014" priority="5791" stopIfTrue="1" operator="equal">
      <formula>"Towel"</formula>
    </cfRule>
  </conditionalFormatting>
  <conditionalFormatting sqref="B10:C10">
    <cfRule type="cellIs" dxfId="8013" priority="5787" stopIfTrue="1" operator="equal">
      <formula>"Towel"</formula>
    </cfRule>
    <cfRule type="cellIs" dxfId="8012" priority="5788" stopIfTrue="1" operator="equal">
      <formula>"Napkin Hs"</formula>
    </cfRule>
  </conditionalFormatting>
  <conditionalFormatting sqref="C10">
    <cfRule type="cellIs" dxfId="8011" priority="5786" stopIfTrue="1" operator="equal">
      <formula>"Napkin Hs"</formula>
    </cfRule>
  </conditionalFormatting>
  <conditionalFormatting sqref="C10">
    <cfRule type="cellIs" dxfId="8010" priority="5783" stopIfTrue="1" operator="equal">
      <formula>"Towel"</formula>
    </cfRule>
    <cfRule type="cellIs" dxfId="8009" priority="5784" stopIfTrue="1" operator="equal">
      <formula>"Napkin Hs"</formula>
    </cfRule>
  </conditionalFormatting>
  <conditionalFormatting sqref="C10">
    <cfRule type="cellIs" dxfId="8008" priority="5785" stopIfTrue="1" operator="equal">
      <formula>"Towel"</formula>
    </cfRule>
  </conditionalFormatting>
  <conditionalFormatting sqref="B18:C18">
    <cfRule type="cellIs" dxfId="8007" priority="5775" stopIfTrue="1" operator="equal">
      <formula>"Towel"</formula>
    </cfRule>
    <cfRule type="cellIs" dxfId="8006" priority="5776" stopIfTrue="1" operator="equal">
      <formula>"Napkin Hs"</formula>
    </cfRule>
  </conditionalFormatting>
  <conditionalFormatting sqref="C18">
    <cfRule type="cellIs" dxfId="8005" priority="5774" stopIfTrue="1" operator="equal">
      <formula>"Napkin Hs"</formula>
    </cfRule>
  </conditionalFormatting>
  <conditionalFormatting sqref="C18">
    <cfRule type="cellIs" dxfId="8004" priority="5771" stopIfTrue="1" operator="equal">
      <formula>"Towel"</formula>
    </cfRule>
    <cfRule type="cellIs" dxfId="8003" priority="5772" stopIfTrue="1" operator="equal">
      <formula>"Napkin Hs"</formula>
    </cfRule>
  </conditionalFormatting>
  <conditionalFormatting sqref="C18">
    <cfRule type="cellIs" dxfId="8002" priority="5773" stopIfTrue="1" operator="equal">
      <formula>"Towel"</formula>
    </cfRule>
  </conditionalFormatting>
  <conditionalFormatting sqref="B19:C19">
    <cfRule type="cellIs" dxfId="8001" priority="5763" stopIfTrue="1" operator="equal">
      <formula>"Towel"</formula>
    </cfRule>
    <cfRule type="cellIs" dxfId="8000" priority="5764" stopIfTrue="1" operator="equal">
      <formula>"Napkin Hs"</formula>
    </cfRule>
  </conditionalFormatting>
  <conditionalFormatting sqref="C19">
    <cfRule type="cellIs" dxfId="7999" priority="5762" stopIfTrue="1" operator="equal">
      <formula>"Napkin Hs"</formula>
    </cfRule>
  </conditionalFormatting>
  <conditionalFormatting sqref="C19">
    <cfRule type="cellIs" dxfId="7998" priority="5759" stopIfTrue="1" operator="equal">
      <formula>"Towel"</formula>
    </cfRule>
    <cfRule type="cellIs" dxfId="7997" priority="5760" stopIfTrue="1" operator="equal">
      <formula>"Napkin Hs"</formula>
    </cfRule>
  </conditionalFormatting>
  <conditionalFormatting sqref="C19">
    <cfRule type="cellIs" dxfId="7996" priority="5761" stopIfTrue="1" operator="equal">
      <formula>"Towel"</formula>
    </cfRule>
  </conditionalFormatting>
  <conditionalFormatting sqref="B24:C24">
    <cfRule type="cellIs" dxfId="7995" priority="5757" stopIfTrue="1" operator="equal">
      <formula>"Towel"</formula>
    </cfRule>
    <cfRule type="cellIs" dxfId="7994" priority="5758" stopIfTrue="1" operator="equal">
      <formula>"Napkin Hs"</formula>
    </cfRule>
  </conditionalFormatting>
  <conditionalFormatting sqref="C24">
    <cfRule type="cellIs" dxfId="7993" priority="5756" stopIfTrue="1" operator="equal">
      <formula>"Napkin Hs"</formula>
    </cfRule>
  </conditionalFormatting>
  <conditionalFormatting sqref="C24">
    <cfRule type="cellIs" dxfId="7992" priority="5753" stopIfTrue="1" operator="equal">
      <formula>"Towel"</formula>
    </cfRule>
    <cfRule type="cellIs" dxfId="7991" priority="5754" stopIfTrue="1" operator="equal">
      <formula>"Napkin Hs"</formula>
    </cfRule>
  </conditionalFormatting>
  <conditionalFormatting sqref="C24">
    <cfRule type="cellIs" dxfId="7990" priority="5755" stopIfTrue="1" operator="equal">
      <formula>"Towel"</formula>
    </cfRule>
  </conditionalFormatting>
  <conditionalFormatting sqref="B30:C30">
    <cfRule type="cellIs" dxfId="7989" priority="5751" stopIfTrue="1" operator="equal">
      <formula>"Towel"</formula>
    </cfRule>
    <cfRule type="cellIs" dxfId="7988" priority="5752" stopIfTrue="1" operator="equal">
      <formula>"Napkin Hs"</formula>
    </cfRule>
  </conditionalFormatting>
  <conditionalFormatting sqref="C30">
    <cfRule type="cellIs" dxfId="7987" priority="5750" stopIfTrue="1" operator="equal">
      <formula>"Napkin Hs"</formula>
    </cfRule>
  </conditionalFormatting>
  <conditionalFormatting sqref="C30">
    <cfRule type="cellIs" dxfId="7986" priority="5747" stopIfTrue="1" operator="equal">
      <formula>"Towel"</formula>
    </cfRule>
    <cfRule type="cellIs" dxfId="7985" priority="5748" stopIfTrue="1" operator="equal">
      <formula>"Napkin Hs"</formula>
    </cfRule>
  </conditionalFormatting>
  <conditionalFormatting sqref="C30">
    <cfRule type="cellIs" dxfId="7984" priority="5749" stopIfTrue="1" operator="equal">
      <formula>"Towel"</formula>
    </cfRule>
  </conditionalFormatting>
  <conditionalFormatting sqref="B28:C28">
    <cfRule type="cellIs" dxfId="7983" priority="5733" stopIfTrue="1" operator="equal">
      <formula>"Towel"</formula>
    </cfRule>
    <cfRule type="cellIs" dxfId="7982" priority="5734" stopIfTrue="1" operator="equal">
      <formula>"Napkin Hs"</formula>
    </cfRule>
  </conditionalFormatting>
  <conditionalFormatting sqref="C28">
    <cfRule type="cellIs" dxfId="7981" priority="5732" stopIfTrue="1" operator="equal">
      <formula>"Napkin Hs"</formula>
    </cfRule>
  </conditionalFormatting>
  <conditionalFormatting sqref="C28">
    <cfRule type="cellIs" dxfId="7980" priority="5729" stopIfTrue="1" operator="equal">
      <formula>"Towel"</formula>
    </cfRule>
    <cfRule type="cellIs" dxfId="7979" priority="5730" stopIfTrue="1" operator="equal">
      <formula>"Napkin Hs"</formula>
    </cfRule>
  </conditionalFormatting>
  <conditionalFormatting sqref="C28">
    <cfRule type="cellIs" dxfId="7978" priority="5731" stopIfTrue="1" operator="equal">
      <formula>"Towel"</formula>
    </cfRule>
  </conditionalFormatting>
  <conditionalFormatting sqref="B6:C6">
    <cfRule type="cellIs" dxfId="7977" priority="5703" stopIfTrue="1" operator="equal">
      <formula>"Towel"</formula>
    </cfRule>
    <cfRule type="cellIs" dxfId="7976" priority="5704" stopIfTrue="1" operator="equal">
      <formula>"Napkin Hs"</formula>
    </cfRule>
  </conditionalFormatting>
  <conditionalFormatting sqref="C6">
    <cfRule type="cellIs" dxfId="7975" priority="5702" stopIfTrue="1" operator="equal">
      <formula>"Napkin Hs"</formula>
    </cfRule>
  </conditionalFormatting>
  <conditionalFormatting sqref="C6">
    <cfRule type="cellIs" dxfId="7974" priority="5699" stopIfTrue="1" operator="equal">
      <formula>"Towel"</formula>
    </cfRule>
    <cfRule type="cellIs" dxfId="7973" priority="5700" stopIfTrue="1" operator="equal">
      <formula>"Napkin Hs"</formula>
    </cfRule>
  </conditionalFormatting>
  <conditionalFormatting sqref="C6">
    <cfRule type="cellIs" dxfId="7972" priority="5701" stopIfTrue="1" operator="equal">
      <formula>"Towel"</formula>
    </cfRule>
  </conditionalFormatting>
  <conditionalFormatting sqref="B6:C6">
    <cfRule type="cellIs" dxfId="7971" priority="5697" stopIfTrue="1" operator="equal">
      <formula>"Towel"</formula>
    </cfRule>
    <cfRule type="cellIs" dxfId="7970" priority="5698" stopIfTrue="1" operator="equal">
      <formula>"Napkin Hs"</formula>
    </cfRule>
  </conditionalFormatting>
  <conditionalFormatting sqref="C6">
    <cfRule type="cellIs" dxfId="7969" priority="5696" stopIfTrue="1" operator="equal">
      <formula>"Napkin Hs"</formula>
    </cfRule>
  </conditionalFormatting>
  <conditionalFormatting sqref="C6">
    <cfRule type="cellIs" dxfId="7968" priority="5693" stopIfTrue="1" operator="equal">
      <formula>"Towel"</formula>
    </cfRule>
    <cfRule type="cellIs" dxfId="7967" priority="5694" stopIfTrue="1" operator="equal">
      <formula>"Napkin Hs"</formula>
    </cfRule>
  </conditionalFormatting>
  <conditionalFormatting sqref="C6">
    <cfRule type="cellIs" dxfId="7966" priority="5695" stopIfTrue="1" operator="equal">
      <formula>"Towel"</formula>
    </cfRule>
  </conditionalFormatting>
  <conditionalFormatting sqref="B7:C7">
    <cfRule type="cellIs" dxfId="7965" priority="5685" stopIfTrue="1" operator="equal">
      <formula>"Towel"</formula>
    </cfRule>
    <cfRule type="cellIs" dxfId="7964" priority="5686" stopIfTrue="1" operator="equal">
      <formula>"Napkin Hs"</formula>
    </cfRule>
  </conditionalFormatting>
  <conditionalFormatting sqref="C7">
    <cfRule type="cellIs" dxfId="7963" priority="5684" stopIfTrue="1" operator="equal">
      <formula>"Napkin Hs"</formula>
    </cfRule>
  </conditionalFormatting>
  <conditionalFormatting sqref="C7">
    <cfRule type="cellIs" dxfId="7962" priority="5681" stopIfTrue="1" operator="equal">
      <formula>"Towel"</formula>
    </cfRule>
    <cfRule type="cellIs" dxfId="7961" priority="5682" stopIfTrue="1" operator="equal">
      <formula>"Napkin Hs"</formula>
    </cfRule>
  </conditionalFormatting>
  <conditionalFormatting sqref="C7">
    <cfRule type="cellIs" dxfId="7960" priority="5683" stopIfTrue="1" operator="equal">
      <formula>"Towel"</formula>
    </cfRule>
  </conditionalFormatting>
  <conditionalFormatting sqref="B7:C7">
    <cfRule type="cellIs" dxfId="7959" priority="5679" stopIfTrue="1" operator="equal">
      <formula>"Towel"</formula>
    </cfRule>
    <cfRule type="cellIs" dxfId="7958" priority="5680" stopIfTrue="1" operator="equal">
      <formula>"Napkin Hs"</formula>
    </cfRule>
  </conditionalFormatting>
  <conditionalFormatting sqref="C7">
    <cfRule type="cellIs" dxfId="7957" priority="5678" stopIfTrue="1" operator="equal">
      <formula>"Napkin Hs"</formula>
    </cfRule>
  </conditionalFormatting>
  <conditionalFormatting sqref="C7">
    <cfRule type="cellIs" dxfId="7956" priority="5675" stopIfTrue="1" operator="equal">
      <formula>"Towel"</formula>
    </cfRule>
    <cfRule type="cellIs" dxfId="7955" priority="5676" stopIfTrue="1" operator="equal">
      <formula>"Napkin Hs"</formula>
    </cfRule>
  </conditionalFormatting>
  <conditionalFormatting sqref="C7">
    <cfRule type="cellIs" dxfId="7954" priority="5677" stopIfTrue="1" operator="equal">
      <formula>"Towel"</formula>
    </cfRule>
  </conditionalFormatting>
  <conditionalFormatting sqref="C13">
    <cfRule type="cellIs" dxfId="7953" priority="5613" stopIfTrue="1" operator="equal">
      <formula>"Towel"</formula>
    </cfRule>
    <cfRule type="cellIs" dxfId="7952" priority="5614" stopIfTrue="1" operator="equal">
      <formula>"Napkin Hs"</formula>
    </cfRule>
  </conditionalFormatting>
  <conditionalFormatting sqref="C13">
    <cfRule type="cellIs" dxfId="7951" priority="5611" stopIfTrue="1" operator="equal">
      <formula>"Towel"</formula>
    </cfRule>
    <cfRule type="cellIs" dxfId="7950" priority="5612" stopIfTrue="1" operator="equal">
      <formula>"Napkin Hs"</formula>
    </cfRule>
  </conditionalFormatting>
  <conditionalFormatting sqref="C13">
    <cfRule type="cellIs" dxfId="7949" priority="5609" stopIfTrue="1" operator="equal">
      <formula>"Towel"</formula>
    </cfRule>
    <cfRule type="cellIs" dxfId="7948" priority="5610" stopIfTrue="1" operator="equal">
      <formula>"Napkin Hs"</formula>
    </cfRule>
  </conditionalFormatting>
  <conditionalFormatting sqref="B12:C12 B13">
    <cfRule type="cellIs" dxfId="7947" priority="5607" stopIfTrue="1" operator="equal">
      <formula>"Towel"</formula>
    </cfRule>
    <cfRule type="cellIs" dxfId="7946" priority="5608" stopIfTrue="1" operator="equal">
      <formula>"Napkin Hs"</formula>
    </cfRule>
  </conditionalFormatting>
  <conditionalFormatting sqref="C12">
    <cfRule type="cellIs" dxfId="7945" priority="5606" stopIfTrue="1" operator="equal">
      <formula>"Napkin Hs"</formula>
    </cfRule>
  </conditionalFormatting>
  <conditionalFormatting sqref="C12">
    <cfRule type="cellIs" dxfId="7944" priority="5603" stopIfTrue="1" operator="equal">
      <formula>"Towel"</formula>
    </cfRule>
    <cfRule type="cellIs" dxfId="7943" priority="5604" stopIfTrue="1" operator="equal">
      <formula>"Napkin Hs"</formula>
    </cfRule>
  </conditionalFormatting>
  <conditionalFormatting sqref="C12">
    <cfRule type="cellIs" dxfId="7942" priority="5605" stopIfTrue="1" operator="equal">
      <formula>"Towel"</formula>
    </cfRule>
  </conditionalFormatting>
  <conditionalFormatting sqref="B14:C14">
    <cfRule type="cellIs" dxfId="7941" priority="5601" stopIfTrue="1" operator="equal">
      <formula>"Towel"</formula>
    </cfRule>
    <cfRule type="cellIs" dxfId="7940" priority="5602" stopIfTrue="1" operator="equal">
      <formula>"Napkin Hs"</formula>
    </cfRule>
  </conditionalFormatting>
  <conditionalFormatting sqref="C14">
    <cfRule type="cellIs" dxfId="7939" priority="5600" stopIfTrue="1" operator="equal">
      <formula>"Napkin Hs"</formula>
    </cfRule>
  </conditionalFormatting>
  <conditionalFormatting sqref="C14">
    <cfRule type="cellIs" dxfId="7938" priority="5597" stopIfTrue="1" operator="equal">
      <formula>"Towel"</formula>
    </cfRule>
    <cfRule type="cellIs" dxfId="7937" priority="5598" stopIfTrue="1" operator="equal">
      <formula>"Napkin Hs"</formula>
    </cfRule>
  </conditionalFormatting>
  <conditionalFormatting sqref="C14">
    <cfRule type="cellIs" dxfId="7936" priority="5599" stopIfTrue="1" operator="equal">
      <formula>"Towel"</formula>
    </cfRule>
  </conditionalFormatting>
  <conditionalFormatting sqref="B14:C14">
    <cfRule type="cellIs" dxfId="7935" priority="5595" stopIfTrue="1" operator="equal">
      <formula>"Towel"</formula>
    </cfRule>
    <cfRule type="cellIs" dxfId="7934" priority="5596" stopIfTrue="1" operator="equal">
      <formula>"Napkin Hs"</formula>
    </cfRule>
  </conditionalFormatting>
  <conditionalFormatting sqref="C14">
    <cfRule type="cellIs" dxfId="7933" priority="5594" stopIfTrue="1" operator="equal">
      <formula>"Napkin Hs"</formula>
    </cfRule>
  </conditionalFormatting>
  <conditionalFormatting sqref="C14">
    <cfRule type="cellIs" dxfId="7932" priority="5591" stopIfTrue="1" operator="equal">
      <formula>"Towel"</formula>
    </cfRule>
    <cfRule type="cellIs" dxfId="7931" priority="5592" stopIfTrue="1" operator="equal">
      <formula>"Napkin Hs"</formula>
    </cfRule>
  </conditionalFormatting>
  <conditionalFormatting sqref="C14">
    <cfRule type="cellIs" dxfId="7930" priority="5593" stopIfTrue="1" operator="equal">
      <formula>"Towel"</formula>
    </cfRule>
  </conditionalFormatting>
  <conditionalFormatting sqref="C13">
    <cfRule type="cellIs" dxfId="7929" priority="5589" stopIfTrue="1" operator="equal">
      <formula>"Towel"</formula>
    </cfRule>
    <cfRule type="cellIs" dxfId="7928" priority="5590" stopIfTrue="1" operator="equal">
      <formula>"Napkin Hs"</formula>
    </cfRule>
  </conditionalFormatting>
  <conditionalFormatting sqref="C13">
    <cfRule type="cellIs" dxfId="7927" priority="5588" stopIfTrue="1" operator="equal">
      <formula>"Napkin Hs"</formula>
    </cfRule>
  </conditionalFormatting>
  <conditionalFormatting sqref="C13">
    <cfRule type="cellIs" dxfId="7926" priority="5585" stopIfTrue="1" operator="equal">
      <formula>"Towel"</formula>
    </cfRule>
    <cfRule type="cellIs" dxfId="7925" priority="5586" stopIfTrue="1" operator="equal">
      <formula>"Napkin Hs"</formula>
    </cfRule>
  </conditionalFormatting>
  <conditionalFormatting sqref="C13">
    <cfRule type="cellIs" dxfId="7924" priority="5587" stopIfTrue="1" operator="equal">
      <formula>"Towel"</formula>
    </cfRule>
  </conditionalFormatting>
  <conditionalFormatting sqref="B12:C12 B13">
    <cfRule type="cellIs" dxfId="7923" priority="5577" stopIfTrue="1" operator="equal">
      <formula>"Towel"</formula>
    </cfRule>
    <cfRule type="cellIs" dxfId="7922" priority="5578" stopIfTrue="1" operator="equal">
      <formula>"Napkin Hs"</formula>
    </cfRule>
  </conditionalFormatting>
  <conditionalFormatting sqref="C12">
    <cfRule type="cellIs" dxfId="7921" priority="5576" stopIfTrue="1" operator="equal">
      <formula>"Napkin Hs"</formula>
    </cfRule>
  </conditionalFormatting>
  <conditionalFormatting sqref="C12">
    <cfRule type="cellIs" dxfId="7920" priority="5573" stopIfTrue="1" operator="equal">
      <formula>"Towel"</formula>
    </cfRule>
    <cfRule type="cellIs" dxfId="7919" priority="5574" stopIfTrue="1" operator="equal">
      <formula>"Napkin Hs"</formula>
    </cfRule>
  </conditionalFormatting>
  <conditionalFormatting sqref="C12">
    <cfRule type="cellIs" dxfId="7918" priority="5575" stopIfTrue="1" operator="equal">
      <formula>"Towel"</formula>
    </cfRule>
  </conditionalFormatting>
  <conditionalFormatting sqref="B12:C12 B13">
    <cfRule type="cellIs" dxfId="7917" priority="5571" stopIfTrue="1" operator="equal">
      <formula>"Towel"</formula>
    </cfRule>
    <cfRule type="cellIs" dxfId="7916" priority="5572" stopIfTrue="1" operator="equal">
      <formula>"Napkin Hs"</formula>
    </cfRule>
  </conditionalFormatting>
  <conditionalFormatting sqref="C12">
    <cfRule type="cellIs" dxfId="7915" priority="5570" stopIfTrue="1" operator="equal">
      <formula>"Napkin Hs"</formula>
    </cfRule>
  </conditionalFormatting>
  <conditionalFormatting sqref="C12">
    <cfRule type="cellIs" dxfId="7914" priority="5567" stopIfTrue="1" operator="equal">
      <formula>"Towel"</formula>
    </cfRule>
    <cfRule type="cellIs" dxfId="7913" priority="5568" stopIfTrue="1" operator="equal">
      <formula>"Napkin Hs"</formula>
    </cfRule>
  </conditionalFormatting>
  <conditionalFormatting sqref="C12">
    <cfRule type="cellIs" dxfId="7912" priority="5569" stopIfTrue="1" operator="equal">
      <formula>"Towel"</formula>
    </cfRule>
  </conditionalFormatting>
  <conditionalFormatting sqref="B11:C11">
    <cfRule type="cellIs" dxfId="7911" priority="5565" stopIfTrue="1" operator="equal">
      <formula>"Towel"</formula>
    </cfRule>
    <cfRule type="cellIs" dxfId="7910" priority="5566" stopIfTrue="1" operator="equal">
      <formula>"Napkin Hs"</formula>
    </cfRule>
  </conditionalFormatting>
  <conditionalFormatting sqref="C11">
    <cfRule type="cellIs" dxfId="7909" priority="5564" stopIfTrue="1" operator="equal">
      <formula>"Napkin Hs"</formula>
    </cfRule>
  </conditionalFormatting>
  <conditionalFormatting sqref="C11">
    <cfRule type="cellIs" dxfId="7908" priority="5561" stopIfTrue="1" operator="equal">
      <formula>"Towel"</formula>
    </cfRule>
    <cfRule type="cellIs" dxfId="7907" priority="5562" stopIfTrue="1" operator="equal">
      <formula>"Napkin Hs"</formula>
    </cfRule>
  </conditionalFormatting>
  <conditionalFormatting sqref="C11">
    <cfRule type="cellIs" dxfId="7906" priority="5563" stopIfTrue="1" operator="equal">
      <formula>"Towel"</formula>
    </cfRule>
  </conditionalFormatting>
  <conditionalFormatting sqref="B11:C11">
    <cfRule type="cellIs" dxfId="7905" priority="5559" stopIfTrue="1" operator="equal">
      <formula>"Towel"</formula>
    </cfRule>
    <cfRule type="cellIs" dxfId="7904" priority="5560" stopIfTrue="1" operator="equal">
      <formula>"Napkin Hs"</formula>
    </cfRule>
  </conditionalFormatting>
  <conditionalFormatting sqref="C11">
    <cfRule type="cellIs" dxfId="7903" priority="5558" stopIfTrue="1" operator="equal">
      <formula>"Napkin Hs"</formula>
    </cfRule>
  </conditionalFormatting>
  <conditionalFormatting sqref="C11">
    <cfRule type="cellIs" dxfId="7902" priority="5555" stopIfTrue="1" operator="equal">
      <formula>"Towel"</formula>
    </cfRule>
    <cfRule type="cellIs" dxfId="7901" priority="5556" stopIfTrue="1" operator="equal">
      <formula>"Napkin Hs"</formula>
    </cfRule>
  </conditionalFormatting>
  <conditionalFormatting sqref="C11">
    <cfRule type="cellIs" dxfId="7900" priority="5557" stopIfTrue="1" operator="equal">
      <formula>"Towel"</formula>
    </cfRule>
  </conditionalFormatting>
  <conditionalFormatting sqref="B11:C11">
    <cfRule type="cellIs" dxfId="7899" priority="5553" stopIfTrue="1" operator="equal">
      <formula>"Towel"</formula>
    </cfRule>
    <cfRule type="cellIs" dxfId="7898" priority="5554" stopIfTrue="1" operator="equal">
      <formula>"Napkin Hs"</formula>
    </cfRule>
  </conditionalFormatting>
  <conditionalFormatting sqref="C11">
    <cfRule type="cellIs" dxfId="7897" priority="5552" stopIfTrue="1" operator="equal">
      <formula>"Napkin Hs"</formula>
    </cfRule>
  </conditionalFormatting>
  <conditionalFormatting sqref="C11">
    <cfRule type="cellIs" dxfId="7896" priority="5549" stopIfTrue="1" operator="equal">
      <formula>"Towel"</formula>
    </cfRule>
    <cfRule type="cellIs" dxfId="7895" priority="5550" stopIfTrue="1" operator="equal">
      <formula>"Napkin Hs"</formula>
    </cfRule>
  </conditionalFormatting>
  <conditionalFormatting sqref="C11">
    <cfRule type="cellIs" dxfId="7894" priority="5551" stopIfTrue="1" operator="equal">
      <formula>"Towel"</formula>
    </cfRule>
  </conditionalFormatting>
  <conditionalFormatting sqref="B18:C19">
    <cfRule type="cellIs" dxfId="7893" priority="5535" stopIfTrue="1" operator="equal">
      <formula>"Towel"</formula>
    </cfRule>
    <cfRule type="cellIs" dxfId="7892" priority="5536" stopIfTrue="1" operator="equal">
      <formula>"Napkin Hs"</formula>
    </cfRule>
  </conditionalFormatting>
  <conditionalFormatting sqref="C18:C19">
    <cfRule type="cellIs" dxfId="7891" priority="5534" stopIfTrue="1" operator="equal">
      <formula>"Napkin Hs"</formula>
    </cfRule>
  </conditionalFormatting>
  <conditionalFormatting sqref="C18:C19">
    <cfRule type="cellIs" dxfId="7890" priority="5531" stopIfTrue="1" operator="equal">
      <formula>"Towel"</formula>
    </cfRule>
    <cfRule type="cellIs" dxfId="7889" priority="5532" stopIfTrue="1" operator="equal">
      <formula>"Napkin Hs"</formula>
    </cfRule>
  </conditionalFormatting>
  <conditionalFormatting sqref="C18:C19">
    <cfRule type="cellIs" dxfId="7888" priority="5533" stopIfTrue="1" operator="equal">
      <formula>"Towel"</formula>
    </cfRule>
  </conditionalFormatting>
  <conditionalFormatting sqref="B18:C18">
    <cfRule type="cellIs" dxfId="7887" priority="5529" stopIfTrue="1" operator="equal">
      <formula>"Towel"</formula>
    </cfRule>
    <cfRule type="cellIs" dxfId="7886" priority="5530" stopIfTrue="1" operator="equal">
      <formula>"Napkin Hs"</formula>
    </cfRule>
  </conditionalFormatting>
  <conditionalFormatting sqref="C18">
    <cfRule type="cellIs" dxfId="7885" priority="5528" stopIfTrue="1" operator="equal">
      <formula>"Napkin Hs"</formula>
    </cfRule>
  </conditionalFormatting>
  <conditionalFormatting sqref="C18">
    <cfRule type="cellIs" dxfId="7884" priority="5525" stopIfTrue="1" operator="equal">
      <formula>"Towel"</formula>
    </cfRule>
    <cfRule type="cellIs" dxfId="7883" priority="5526" stopIfTrue="1" operator="equal">
      <formula>"Napkin Hs"</formula>
    </cfRule>
  </conditionalFormatting>
  <conditionalFormatting sqref="C18">
    <cfRule type="cellIs" dxfId="7882" priority="5527" stopIfTrue="1" operator="equal">
      <formula>"Towel"</formula>
    </cfRule>
  </conditionalFormatting>
  <conditionalFormatting sqref="B19:C19">
    <cfRule type="cellIs" dxfId="7881" priority="5517" stopIfTrue="1" operator="equal">
      <formula>"Towel"</formula>
    </cfRule>
    <cfRule type="cellIs" dxfId="7880" priority="5518" stopIfTrue="1" operator="equal">
      <formula>"Napkin Hs"</formula>
    </cfRule>
  </conditionalFormatting>
  <conditionalFormatting sqref="C19">
    <cfRule type="cellIs" dxfId="7879" priority="5516" stopIfTrue="1" operator="equal">
      <formula>"Napkin Hs"</formula>
    </cfRule>
  </conditionalFormatting>
  <conditionalFormatting sqref="C19">
    <cfRule type="cellIs" dxfId="7878" priority="5513" stopIfTrue="1" operator="equal">
      <formula>"Towel"</formula>
    </cfRule>
    <cfRule type="cellIs" dxfId="7877" priority="5514" stopIfTrue="1" operator="equal">
      <formula>"Napkin Hs"</formula>
    </cfRule>
  </conditionalFormatting>
  <conditionalFormatting sqref="C19">
    <cfRule type="cellIs" dxfId="7876" priority="5515" stopIfTrue="1" operator="equal">
      <formula>"Towel"</formula>
    </cfRule>
  </conditionalFormatting>
  <conditionalFormatting sqref="B15:C15">
    <cfRule type="cellIs" dxfId="7875" priority="5481" stopIfTrue="1" operator="equal">
      <formula>"Towel"</formula>
    </cfRule>
    <cfRule type="cellIs" dxfId="7874" priority="5482" stopIfTrue="1" operator="equal">
      <formula>"Napkin Hs"</formula>
    </cfRule>
  </conditionalFormatting>
  <conditionalFormatting sqref="C15">
    <cfRule type="cellIs" dxfId="7873" priority="5480" stopIfTrue="1" operator="equal">
      <formula>"Napkin Hs"</formula>
    </cfRule>
  </conditionalFormatting>
  <conditionalFormatting sqref="C15">
    <cfRule type="cellIs" dxfId="7872" priority="5477" stopIfTrue="1" operator="equal">
      <formula>"Towel"</formula>
    </cfRule>
    <cfRule type="cellIs" dxfId="7871" priority="5478" stopIfTrue="1" operator="equal">
      <formula>"Napkin Hs"</formula>
    </cfRule>
  </conditionalFormatting>
  <conditionalFormatting sqref="C15">
    <cfRule type="cellIs" dxfId="7870" priority="5479" stopIfTrue="1" operator="equal">
      <formula>"Towel"</formula>
    </cfRule>
  </conditionalFormatting>
  <conditionalFormatting sqref="B15:C15">
    <cfRule type="cellIs" dxfId="7869" priority="5475" stopIfTrue="1" operator="equal">
      <formula>"Towel"</formula>
    </cfRule>
    <cfRule type="cellIs" dxfId="7868" priority="5476" stopIfTrue="1" operator="equal">
      <formula>"Napkin Hs"</formula>
    </cfRule>
  </conditionalFormatting>
  <conditionalFormatting sqref="C15">
    <cfRule type="cellIs" dxfId="7867" priority="5474" stopIfTrue="1" operator="equal">
      <formula>"Napkin Hs"</formula>
    </cfRule>
  </conditionalFormatting>
  <conditionalFormatting sqref="C15">
    <cfRule type="cellIs" dxfId="7866" priority="5471" stopIfTrue="1" operator="equal">
      <formula>"Towel"</formula>
    </cfRule>
    <cfRule type="cellIs" dxfId="7865" priority="5472" stopIfTrue="1" operator="equal">
      <formula>"Napkin Hs"</formula>
    </cfRule>
  </conditionalFormatting>
  <conditionalFormatting sqref="C15">
    <cfRule type="cellIs" dxfId="7864" priority="5473" stopIfTrue="1" operator="equal">
      <formula>"Towel"</formula>
    </cfRule>
  </conditionalFormatting>
  <conditionalFormatting sqref="B15:C15">
    <cfRule type="cellIs" dxfId="7863" priority="5469" stopIfTrue="1" operator="equal">
      <formula>"Towel"</formula>
    </cfRule>
    <cfRule type="cellIs" dxfId="7862" priority="5470" stopIfTrue="1" operator="equal">
      <formula>"Napkin Hs"</formula>
    </cfRule>
  </conditionalFormatting>
  <conditionalFormatting sqref="C15">
    <cfRule type="cellIs" dxfId="7861" priority="5468" stopIfTrue="1" operator="equal">
      <formula>"Napkin Hs"</formula>
    </cfRule>
  </conditionalFormatting>
  <conditionalFormatting sqref="C15">
    <cfRule type="cellIs" dxfId="7860" priority="5465" stopIfTrue="1" operator="equal">
      <formula>"Towel"</formula>
    </cfRule>
    <cfRule type="cellIs" dxfId="7859" priority="5466" stopIfTrue="1" operator="equal">
      <formula>"Napkin Hs"</formula>
    </cfRule>
  </conditionalFormatting>
  <conditionalFormatting sqref="C15">
    <cfRule type="cellIs" dxfId="7858" priority="5467" stopIfTrue="1" operator="equal">
      <formula>"Towel"</formula>
    </cfRule>
  </conditionalFormatting>
  <conditionalFormatting sqref="B15:C15">
    <cfRule type="cellIs" dxfId="7857" priority="5463" stopIfTrue="1" operator="equal">
      <formula>"Towel"</formula>
    </cfRule>
    <cfRule type="cellIs" dxfId="7856" priority="5464" stopIfTrue="1" operator="equal">
      <formula>"Napkin Hs"</formula>
    </cfRule>
  </conditionalFormatting>
  <conditionalFormatting sqref="C15">
    <cfRule type="cellIs" dxfId="7855" priority="5462" stopIfTrue="1" operator="equal">
      <formula>"Napkin Hs"</formula>
    </cfRule>
  </conditionalFormatting>
  <conditionalFormatting sqref="C15">
    <cfRule type="cellIs" dxfId="7854" priority="5459" stopIfTrue="1" operator="equal">
      <formula>"Towel"</formula>
    </cfRule>
    <cfRule type="cellIs" dxfId="7853" priority="5460" stopIfTrue="1" operator="equal">
      <formula>"Napkin Hs"</formula>
    </cfRule>
  </conditionalFormatting>
  <conditionalFormatting sqref="C15">
    <cfRule type="cellIs" dxfId="7852" priority="5461" stopIfTrue="1" operator="equal">
      <formula>"Towel"</formula>
    </cfRule>
  </conditionalFormatting>
  <conditionalFormatting sqref="B15:C15">
    <cfRule type="cellIs" dxfId="7851" priority="5457" stopIfTrue="1" operator="equal">
      <formula>"Towel"</formula>
    </cfRule>
    <cfRule type="cellIs" dxfId="7850" priority="5458" stopIfTrue="1" operator="equal">
      <formula>"Napkin Hs"</formula>
    </cfRule>
  </conditionalFormatting>
  <conditionalFormatting sqref="C15">
    <cfRule type="cellIs" dxfId="7849" priority="5456" stopIfTrue="1" operator="equal">
      <formula>"Napkin Hs"</formula>
    </cfRule>
  </conditionalFormatting>
  <conditionalFormatting sqref="C15">
    <cfRule type="cellIs" dxfId="7848" priority="5453" stopIfTrue="1" operator="equal">
      <formula>"Towel"</formula>
    </cfRule>
    <cfRule type="cellIs" dxfId="7847" priority="5454" stopIfTrue="1" operator="equal">
      <formula>"Napkin Hs"</formula>
    </cfRule>
  </conditionalFormatting>
  <conditionalFormatting sqref="C15">
    <cfRule type="cellIs" dxfId="7846" priority="5455" stopIfTrue="1" operator="equal">
      <formula>"Towel"</formula>
    </cfRule>
  </conditionalFormatting>
  <conditionalFormatting sqref="B16:C16">
    <cfRule type="cellIs" dxfId="7845" priority="5451" stopIfTrue="1" operator="equal">
      <formula>"Towel"</formula>
    </cfRule>
    <cfRule type="cellIs" dxfId="7844" priority="5452" stopIfTrue="1" operator="equal">
      <formula>"Napkin Hs"</formula>
    </cfRule>
  </conditionalFormatting>
  <conditionalFormatting sqref="C16">
    <cfRule type="cellIs" dxfId="7843" priority="5450" stopIfTrue="1" operator="equal">
      <formula>"Napkin Hs"</formula>
    </cfRule>
  </conditionalFormatting>
  <conditionalFormatting sqref="C16">
    <cfRule type="cellIs" dxfId="7842" priority="5447" stopIfTrue="1" operator="equal">
      <formula>"Towel"</formula>
    </cfRule>
    <cfRule type="cellIs" dxfId="7841" priority="5448" stopIfTrue="1" operator="equal">
      <formula>"Napkin Hs"</formula>
    </cfRule>
  </conditionalFormatting>
  <conditionalFormatting sqref="C16">
    <cfRule type="cellIs" dxfId="7840" priority="5449" stopIfTrue="1" operator="equal">
      <formula>"Towel"</formula>
    </cfRule>
  </conditionalFormatting>
  <conditionalFormatting sqref="B16:C16">
    <cfRule type="cellIs" dxfId="7839" priority="5445" stopIfTrue="1" operator="equal">
      <formula>"Towel"</formula>
    </cfRule>
    <cfRule type="cellIs" dxfId="7838" priority="5446" stopIfTrue="1" operator="equal">
      <formula>"Napkin Hs"</formula>
    </cfRule>
  </conditionalFormatting>
  <conditionalFormatting sqref="C16">
    <cfRule type="cellIs" dxfId="7837" priority="5444" stopIfTrue="1" operator="equal">
      <formula>"Napkin Hs"</formula>
    </cfRule>
  </conditionalFormatting>
  <conditionalFormatting sqref="C16">
    <cfRule type="cellIs" dxfId="7836" priority="5441" stopIfTrue="1" operator="equal">
      <formula>"Towel"</formula>
    </cfRule>
    <cfRule type="cellIs" dxfId="7835" priority="5442" stopIfTrue="1" operator="equal">
      <formula>"Napkin Hs"</formula>
    </cfRule>
  </conditionalFormatting>
  <conditionalFormatting sqref="C16">
    <cfRule type="cellIs" dxfId="7834" priority="5443" stopIfTrue="1" operator="equal">
      <formula>"Towel"</formula>
    </cfRule>
  </conditionalFormatting>
  <conditionalFormatting sqref="B16:C16">
    <cfRule type="cellIs" dxfId="7833" priority="5439" stopIfTrue="1" operator="equal">
      <formula>"Towel"</formula>
    </cfRule>
    <cfRule type="cellIs" dxfId="7832" priority="5440" stopIfTrue="1" operator="equal">
      <formula>"Napkin Hs"</formula>
    </cfRule>
  </conditionalFormatting>
  <conditionalFormatting sqref="C16">
    <cfRule type="cellIs" dxfId="7831" priority="5438" stopIfTrue="1" operator="equal">
      <formula>"Napkin Hs"</formula>
    </cfRule>
  </conditionalFormatting>
  <conditionalFormatting sqref="C16">
    <cfRule type="cellIs" dxfId="7830" priority="5435" stopIfTrue="1" operator="equal">
      <formula>"Towel"</formula>
    </cfRule>
    <cfRule type="cellIs" dxfId="7829" priority="5436" stopIfTrue="1" operator="equal">
      <formula>"Napkin Hs"</formula>
    </cfRule>
  </conditionalFormatting>
  <conditionalFormatting sqref="C16">
    <cfRule type="cellIs" dxfId="7828" priority="5437" stopIfTrue="1" operator="equal">
      <formula>"Towel"</formula>
    </cfRule>
  </conditionalFormatting>
  <conditionalFormatting sqref="B16:C16">
    <cfRule type="cellIs" dxfId="7827" priority="5433" stopIfTrue="1" operator="equal">
      <formula>"Towel"</formula>
    </cfRule>
    <cfRule type="cellIs" dxfId="7826" priority="5434" stopIfTrue="1" operator="equal">
      <formula>"Napkin Hs"</formula>
    </cfRule>
  </conditionalFormatting>
  <conditionalFormatting sqref="C16">
    <cfRule type="cellIs" dxfId="7825" priority="5432" stopIfTrue="1" operator="equal">
      <formula>"Napkin Hs"</formula>
    </cfRule>
  </conditionalFormatting>
  <conditionalFormatting sqref="C16">
    <cfRule type="cellIs" dxfId="7824" priority="5429" stopIfTrue="1" operator="equal">
      <formula>"Towel"</formula>
    </cfRule>
    <cfRule type="cellIs" dxfId="7823" priority="5430" stopIfTrue="1" operator="equal">
      <formula>"Napkin Hs"</formula>
    </cfRule>
  </conditionalFormatting>
  <conditionalFormatting sqref="C16">
    <cfRule type="cellIs" dxfId="7822" priority="5431" stopIfTrue="1" operator="equal">
      <formula>"Towel"</formula>
    </cfRule>
  </conditionalFormatting>
  <conditionalFormatting sqref="B16:C16">
    <cfRule type="cellIs" dxfId="7821" priority="5427" stopIfTrue="1" operator="equal">
      <formula>"Towel"</formula>
    </cfRule>
    <cfRule type="cellIs" dxfId="7820" priority="5428" stopIfTrue="1" operator="equal">
      <formula>"Napkin Hs"</formula>
    </cfRule>
  </conditionalFormatting>
  <conditionalFormatting sqref="C16">
    <cfRule type="cellIs" dxfId="7819" priority="5426" stopIfTrue="1" operator="equal">
      <formula>"Napkin Hs"</formula>
    </cfRule>
  </conditionalFormatting>
  <conditionalFormatting sqref="C16">
    <cfRule type="cellIs" dxfId="7818" priority="5423" stopIfTrue="1" operator="equal">
      <formula>"Towel"</formula>
    </cfRule>
    <cfRule type="cellIs" dxfId="7817" priority="5424" stopIfTrue="1" operator="equal">
      <formula>"Napkin Hs"</formula>
    </cfRule>
  </conditionalFormatting>
  <conditionalFormatting sqref="C16">
    <cfRule type="cellIs" dxfId="7816" priority="5425" stopIfTrue="1" operator="equal">
      <formula>"Towel"</formula>
    </cfRule>
  </conditionalFormatting>
  <conditionalFormatting sqref="C17">
    <cfRule type="cellIs" dxfId="7815" priority="5421" stopIfTrue="1" operator="equal">
      <formula>"Towel"</formula>
    </cfRule>
    <cfRule type="cellIs" dxfId="7814" priority="5422" stopIfTrue="1" operator="equal">
      <formula>"Napkin Hs"</formula>
    </cfRule>
  </conditionalFormatting>
  <conditionalFormatting sqref="C17">
    <cfRule type="cellIs" dxfId="7813" priority="5420" stopIfTrue="1" operator="equal">
      <formula>"Napkin Hs"</formula>
    </cfRule>
  </conditionalFormatting>
  <conditionalFormatting sqref="C17">
    <cfRule type="cellIs" dxfId="7812" priority="5419" stopIfTrue="1" operator="equal">
      <formula>"Towel"</formula>
    </cfRule>
  </conditionalFormatting>
  <conditionalFormatting sqref="C17">
    <cfRule type="cellIs" dxfId="7811" priority="5417" stopIfTrue="1" operator="equal">
      <formula>"Towel"</formula>
    </cfRule>
    <cfRule type="cellIs" dxfId="7810" priority="5418" stopIfTrue="1" operator="equal">
      <formula>"Napkin Hs"</formula>
    </cfRule>
  </conditionalFormatting>
  <conditionalFormatting sqref="C17">
    <cfRule type="cellIs" dxfId="7809" priority="5415" stopIfTrue="1" operator="equal">
      <formula>"Towel"</formula>
    </cfRule>
    <cfRule type="cellIs" dxfId="7808" priority="5416" stopIfTrue="1" operator="equal">
      <formula>"Napkin Hs"</formula>
    </cfRule>
  </conditionalFormatting>
  <conditionalFormatting sqref="C17">
    <cfRule type="cellIs" dxfId="7807" priority="5413" stopIfTrue="1" operator="equal">
      <formula>"Towel"</formula>
    </cfRule>
    <cfRule type="cellIs" dxfId="7806" priority="5414" stopIfTrue="1" operator="equal">
      <formula>"Napkin Hs"</formula>
    </cfRule>
  </conditionalFormatting>
  <conditionalFormatting sqref="C17">
    <cfRule type="cellIs" dxfId="7805" priority="5411" stopIfTrue="1" operator="equal">
      <formula>"Towel"</formula>
    </cfRule>
    <cfRule type="cellIs" dxfId="7804" priority="5412" stopIfTrue="1" operator="equal">
      <formula>"Napkin Hs"</formula>
    </cfRule>
  </conditionalFormatting>
  <conditionalFormatting sqref="C17">
    <cfRule type="cellIs" dxfId="7803" priority="5409" stopIfTrue="1" operator="equal">
      <formula>"Towel"</formula>
    </cfRule>
    <cfRule type="cellIs" dxfId="7802" priority="5410" stopIfTrue="1" operator="equal">
      <formula>"Napkin Hs"</formula>
    </cfRule>
  </conditionalFormatting>
  <conditionalFormatting sqref="C17">
    <cfRule type="cellIs" dxfId="7801" priority="5408" stopIfTrue="1" operator="equal">
      <formula>"Napkin Hs"</formula>
    </cfRule>
  </conditionalFormatting>
  <conditionalFormatting sqref="C17">
    <cfRule type="cellIs" dxfId="7800" priority="5405" stopIfTrue="1" operator="equal">
      <formula>"Towel"</formula>
    </cfRule>
    <cfRule type="cellIs" dxfId="7799" priority="5406" stopIfTrue="1" operator="equal">
      <formula>"Napkin Hs"</formula>
    </cfRule>
  </conditionalFormatting>
  <conditionalFormatting sqref="C17">
    <cfRule type="cellIs" dxfId="7798" priority="5407" stopIfTrue="1" operator="equal">
      <formula>"Towel"</formula>
    </cfRule>
  </conditionalFormatting>
  <conditionalFormatting sqref="B17">
    <cfRule type="cellIs" dxfId="7797" priority="5403" stopIfTrue="1" operator="equal">
      <formula>"Towel"</formula>
    </cfRule>
    <cfRule type="cellIs" dxfId="7796" priority="5404" stopIfTrue="1" operator="equal">
      <formula>"Napkin Hs"</formula>
    </cfRule>
  </conditionalFormatting>
  <conditionalFormatting sqref="B17">
    <cfRule type="cellIs" dxfId="7795" priority="5401" stopIfTrue="1" operator="equal">
      <formula>"Towel"</formula>
    </cfRule>
    <cfRule type="cellIs" dxfId="7794" priority="5402" stopIfTrue="1" operator="equal">
      <formula>"Napkin Hs"</formula>
    </cfRule>
  </conditionalFormatting>
  <conditionalFormatting sqref="B17">
    <cfRule type="cellIs" dxfId="7793" priority="5399" stopIfTrue="1" operator="equal">
      <formula>"Towel"</formula>
    </cfRule>
    <cfRule type="cellIs" dxfId="7792" priority="5400" stopIfTrue="1" operator="equal">
      <formula>"Napkin Hs"</formula>
    </cfRule>
  </conditionalFormatting>
  <conditionalFormatting sqref="B17">
    <cfRule type="cellIs" dxfId="7791" priority="5397" stopIfTrue="1" operator="equal">
      <formula>"Towel"</formula>
    </cfRule>
    <cfRule type="cellIs" dxfId="7790" priority="5398" stopIfTrue="1" operator="equal">
      <formula>"Napkin Hs"</formula>
    </cfRule>
  </conditionalFormatting>
  <conditionalFormatting sqref="B17">
    <cfRule type="cellIs" dxfId="7789" priority="5395" stopIfTrue="1" operator="equal">
      <formula>"Towel"</formula>
    </cfRule>
    <cfRule type="cellIs" dxfId="7788" priority="5396" stopIfTrue="1" operator="equal">
      <formula>"Napkin Hs"</formula>
    </cfRule>
  </conditionalFormatting>
  <conditionalFormatting sqref="B21:C21">
    <cfRule type="cellIs" dxfId="7787" priority="5363" stopIfTrue="1" operator="equal">
      <formula>"Towel"</formula>
    </cfRule>
    <cfRule type="cellIs" dxfId="7786" priority="5364" stopIfTrue="1" operator="equal">
      <formula>"Napkin Hs"</formula>
    </cfRule>
  </conditionalFormatting>
  <conditionalFormatting sqref="C21">
    <cfRule type="cellIs" dxfId="7785" priority="5362" stopIfTrue="1" operator="equal">
      <formula>"Napkin Hs"</formula>
    </cfRule>
  </conditionalFormatting>
  <conditionalFormatting sqref="C21">
    <cfRule type="cellIs" dxfId="7784" priority="5359" stopIfTrue="1" operator="equal">
      <formula>"Towel"</formula>
    </cfRule>
    <cfRule type="cellIs" dxfId="7783" priority="5360" stopIfTrue="1" operator="equal">
      <formula>"Napkin Hs"</formula>
    </cfRule>
  </conditionalFormatting>
  <conditionalFormatting sqref="C21">
    <cfRule type="cellIs" dxfId="7782" priority="5361" stopIfTrue="1" operator="equal">
      <formula>"Towel"</formula>
    </cfRule>
  </conditionalFormatting>
  <conditionalFormatting sqref="B21:C21">
    <cfRule type="cellIs" dxfId="7781" priority="5357" stopIfTrue="1" operator="equal">
      <formula>"Towel"</formula>
    </cfRule>
    <cfRule type="cellIs" dxfId="7780" priority="5358" stopIfTrue="1" operator="equal">
      <formula>"Napkin Hs"</formula>
    </cfRule>
  </conditionalFormatting>
  <conditionalFormatting sqref="C21">
    <cfRule type="cellIs" dxfId="7779" priority="5356" stopIfTrue="1" operator="equal">
      <formula>"Napkin Hs"</formula>
    </cfRule>
  </conditionalFormatting>
  <conditionalFormatting sqref="C21">
    <cfRule type="cellIs" dxfId="7778" priority="5353" stopIfTrue="1" operator="equal">
      <formula>"Towel"</formula>
    </cfRule>
    <cfRule type="cellIs" dxfId="7777" priority="5354" stopIfTrue="1" operator="equal">
      <formula>"Napkin Hs"</formula>
    </cfRule>
  </conditionalFormatting>
  <conditionalFormatting sqref="C21">
    <cfRule type="cellIs" dxfId="7776" priority="5355" stopIfTrue="1" operator="equal">
      <formula>"Towel"</formula>
    </cfRule>
  </conditionalFormatting>
  <conditionalFormatting sqref="B21:C21">
    <cfRule type="cellIs" dxfId="7775" priority="5351" stopIfTrue="1" operator="equal">
      <formula>"Towel"</formula>
    </cfRule>
    <cfRule type="cellIs" dxfId="7774" priority="5352" stopIfTrue="1" operator="equal">
      <formula>"Napkin Hs"</formula>
    </cfRule>
  </conditionalFormatting>
  <conditionalFormatting sqref="C21">
    <cfRule type="cellIs" dxfId="7773" priority="5350" stopIfTrue="1" operator="equal">
      <formula>"Napkin Hs"</formula>
    </cfRule>
  </conditionalFormatting>
  <conditionalFormatting sqref="C21">
    <cfRule type="cellIs" dxfId="7772" priority="5347" stopIfTrue="1" operator="equal">
      <formula>"Towel"</formula>
    </cfRule>
    <cfRule type="cellIs" dxfId="7771" priority="5348" stopIfTrue="1" operator="equal">
      <formula>"Napkin Hs"</formula>
    </cfRule>
  </conditionalFormatting>
  <conditionalFormatting sqref="C21">
    <cfRule type="cellIs" dxfId="7770" priority="5349" stopIfTrue="1" operator="equal">
      <formula>"Towel"</formula>
    </cfRule>
  </conditionalFormatting>
  <conditionalFormatting sqref="B21:C21">
    <cfRule type="cellIs" dxfId="7769" priority="5345" stopIfTrue="1" operator="equal">
      <formula>"Towel"</formula>
    </cfRule>
    <cfRule type="cellIs" dxfId="7768" priority="5346" stopIfTrue="1" operator="equal">
      <formula>"Napkin Hs"</formula>
    </cfRule>
  </conditionalFormatting>
  <conditionalFormatting sqref="C21">
    <cfRule type="cellIs" dxfId="7767" priority="5344" stopIfTrue="1" operator="equal">
      <formula>"Napkin Hs"</formula>
    </cfRule>
  </conditionalFormatting>
  <conditionalFormatting sqref="C21">
    <cfRule type="cellIs" dxfId="7766" priority="5341" stopIfTrue="1" operator="equal">
      <formula>"Towel"</formula>
    </cfRule>
    <cfRule type="cellIs" dxfId="7765" priority="5342" stopIfTrue="1" operator="equal">
      <formula>"Napkin Hs"</formula>
    </cfRule>
  </conditionalFormatting>
  <conditionalFormatting sqref="C21">
    <cfRule type="cellIs" dxfId="7764" priority="5343" stopIfTrue="1" operator="equal">
      <formula>"Towel"</formula>
    </cfRule>
  </conditionalFormatting>
  <conditionalFormatting sqref="B21:C21">
    <cfRule type="cellIs" dxfId="7763" priority="5339" stopIfTrue="1" operator="equal">
      <formula>"Towel"</formula>
    </cfRule>
    <cfRule type="cellIs" dxfId="7762" priority="5340" stopIfTrue="1" operator="equal">
      <formula>"Napkin Hs"</formula>
    </cfRule>
  </conditionalFormatting>
  <conditionalFormatting sqref="C21">
    <cfRule type="cellIs" dxfId="7761" priority="5338" stopIfTrue="1" operator="equal">
      <formula>"Napkin Hs"</formula>
    </cfRule>
  </conditionalFormatting>
  <conditionalFormatting sqref="C21">
    <cfRule type="cellIs" dxfId="7760" priority="5335" stopIfTrue="1" operator="equal">
      <formula>"Towel"</formula>
    </cfRule>
    <cfRule type="cellIs" dxfId="7759" priority="5336" stopIfTrue="1" operator="equal">
      <formula>"Napkin Hs"</formula>
    </cfRule>
  </conditionalFormatting>
  <conditionalFormatting sqref="C21">
    <cfRule type="cellIs" dxfId="7758" priority="5337" stopIfTrue="1" operator="equal">
      <formula>"Towel"</formula>
    </cfRule>
  </conditionalFormatting>
  <conditionalFormatting sqref="B20:C20">
    <cfRule type="cellIs" dxfId="7757" priority="5305" stopIfTrue="1" operator="equal">
      <formula>"Towel"</formula>
    </cfRule>
    <cfRule type="cellIs" dxfId="7756" priority="5306" stopIfTrue="1" operator="equal">
      <formula>"Napkin Hs"</formula>
    </cfRule>
  </conditionalFormatting>
  <conditionalFormatting sqref="C20">
    <cfRule type="cellIs" dxfId="7755" priority="5304" stopIfTrue="1" operator="equal">
      <formula>"Napkin Hs"</formula>
    </cfRule>
  </conditionalFormatting>
  <conditionalFormatting sqref="C20">
    <cfRule type="cellIs" dxfId="7754" priority="5301" stopIfTrue="1" operator="equal">
      <formula>"Towel"</formula>
    </cfRule>
    <cfRule type="cellIs" dxfId="7753" priority="5302" stopIfTrue="1" operator="equal">
      <formula>"Napkin Hs"</formula>
    </cfRule>
  </conditionalFormatting>
  <conditionalFormatting sqref="C20">
    <cfRule type="cellIs" dxfId="7752" priority="5303" stopIfTrue="1" operator="equal">
      <formula>"Towel"</formula>
    </cfRule>
  </conditionalFormatting>
  <conditionalFormatting sqref="B20:C20">
    <cfRule type="cellIs" dxfId="7751" priority="5299" stopIfTrue="1" operator="equal">
      <formula>"Towel"</formula>
    </cfRule>
    <cfRule type="cellIs" dxfId="7750" priority="5300" stopIfTrue="1" operator="equal">
      <formula>"Napkin Hs"</formula>
    </cfRule>
  </conditionalFormatting>
  <conditionalFormatting sqref="C20">
    <cfRule type="cellIs" dxfId="7749" priority="5298" stopIfTrue="1" operator="equal">
      <formula>"Napkin Hs"</formula>
    </cfRule>
  </conditionalFormatting>
  <conditionalFormatting sqref="C20">
    <cfRule type="cellIs" dxfId="7748" priority="5295" stopIfTrue="1" operator="equal">
      <formula>"Towel"</formula>
    </cfRule>
    <cfRule type="cellIs" dxfId="7747" priority="5296" stopIfTrue="1" operator="equal">
      <formula>"Napkin Hs"</formula>
    </cfRule>
  </conditionalFormatting>
  <conditionalFormatting sqref="C20">
    <cfRule type="cellIs" dxfId="7746" priority="5297" stopIfTrue="1" operator="equal">
      <formula>"Towel"</formula>
    </cfRule>
  </conditionalFormatting>
  <conditionalFormatting sqref="B20:C20">
    <cfRule type="cellIs" dxfId="7745" priority="5293" stopIfTrue="1" operator="equal">
      <formula>"Towel"</formula>
    </cfRule>
    <cfRule type="cellIs" dxfId="7744" priority="5294" stopIfTrue="1" operator="equal">
      <formula>"Napkin Hs"</formula>
    </cfRule>
  </conditionalFormatting>
  <conditionalFormatting sqref="C20">
    <cfRule type="cellIs" dxfId="7743" priority="5292" stopIfTrue="1" operator="equal">
      <formula>"Napkin Hs"</formula>
    </cfRule>
  </conditionalFormatting>
  <conditionalFormatting sqref="C20">
    <cfRule type="cellIs" dxfId="7742" priority="5289" stopIfTrue="1" operator="equal">
      <formula>"Towel"</formula>
    </cfRule>
    <cfRule type="cellIs" dxfId="7741" priority="5290" stopIfTrue="1" operator="equal">
      <formula>"Napkin Hs"</formula>
    </cfRule>
  </conditionalFormatting>
  <conditionalFormatting sqref="C20">
    <cfRule type="cellIs" dxfId="7740" priority="5291" stopIfTrue="1" operator="equal">
      <formula>"Towel"</formula>
    </cfRule>
  </conditionalFormatting>
  <conditionalFormatting sqref="B20:C20">
    <cfRule type="cellIs" dxfId="7739" priority="5287" stopIfTrue="1" operator="equal">
      <formula>"Towel"</formula>
    </cfRule>
    <cfRule type="cellIs" dxfId="7738" priority="5288" stopIfTrue="1" operator="equal">
      <formula>"Napkin Hs"</formula>
    </cfRule>
  </conditionalFormatting>
  <conditionalFormatting sqref="C20">
    <cfRule type="cellIs" dxfId="7737" priority="5286" stopIfTrue="1" operator="equal">
      <formula>"Napkin Hs"</formula>
    </cfRule>
  </conditionalFormatting>
  <conditionalFormatting sqref="C20">
    <cfRule type="cellIs" dxfId="7736" priority="5283" stopIfTrue="1" operator="equal">
      <formula>"Towel"</formula>
    </cfRule>
    <cfRule type="cellIs" dxfId="7735" priority="5284" stopIfTrue="1" operator="equal">
      <formula>"Napkin Hs"</formula>
    </cfRule>
  </conditionalFormatting>
  <conditionalFormatting sqref="C20">
    <cfRule type="cellIs" dxfId="7734" priority="5285" stopIfTrue="1" operator="equal">
      <formula>"Towel"</formula>
    </cfRule>
  </conditionalFormatting>
  <conditionalFormatting sqref="B20:C20">
    <cfRule type="cellIs" dxfId="7733" priority="5281" stopIfTrue="1" operator="equal">
      <formula>"Towel"</formula>
    </cfRule>
    <cfRule type="cellIs" dxfId="7732" priority="5282" stopIfTrue="1" operator="equal">
      <formula>"Napkin Hs"</formula>
    </cfRule>
  </conditionalFormatting>
  <conditionalFormatting sqref="C20">
    <cfRule type="cellIs" dxfId="7731" priority="5280" stopIfTrue="1" operator="equal">
      <formula>"Napkin Hs"</formula>
    </cfRule>
  </conditionalFormatting>
  <conditionalFormatting sqref="C20">
    <cfRule type="cellIs" dxfId="7730" priority="5277" stopIfTrue="1" operator="equal">
      <formula>"Towel"</formula>
    </cfRule>
    <cfRule type="cellIs" dxfId="7729" priority="5278" stopIfTrue="1" operator="equal">
      <formula>"Napkin Hs"</formula>
    </cfRule>
  </conditionalFormatting>
  <conditionalFormatting sqref="C20">
    <cfRule type="cellIs" dxfId="7728" priority="5279" stopIfTrue="1" operator="equal">
      <formula>"Towel"</formula>
    </cfRule>
  </conditionalFormatting>
  <conditionalFormatting sqref="B22:C22">
    <cfRule type="cellIs" dxfId="7727" priority="5275" stopIfTrue="1" operator="equal">
      <formula>"Towel"</formula>
    </cfRule>
    <cfRule type="cellIs" dxfId="7726" priority="5276" stopIfTrue="1" operator="equal">
      <formula>"Napkin Hs"</formula>
    </cfRule>
  </conditionalFormatting>
  <conditionalFormatting sqref="C22">
    <cfRule type="cellIs" dxfId="7725" priority="5274" stopIfTrue="1" operator="equal">
      <formula>"Napkin Hs"</formula>
    </cfRule>
  </conditionalFormatting>
  <conditionalFormatting sqref="C22">
    <cfRule type="cellIs" dxfId="7724" priority="5271" stopIfTrue="1" operator="equal">
      <formula>"Towel"</formula>
    </cfRule>
    <cfRule type="cellIs" dxfId="7723" priority="5272" stopIfTrue="1" operator="equal">
      <formula>"Napkin Hs"</formula>
    </cfRule>
  </conditionalFormatting>
  <conditionalFormatting sqref="C22">
    <cfRule type="cellIs" dxfId="7722" priority="5273" stopIfTrue="1" operator="equal">
      <formula>"Towel"</formula>
    </cfRule>
  </conditionalFormatting>
  <conditionalFormatting sqref="B22:C22">
    <cfRule type="cellIs" dxfId="7721" priority="5269" stopIfTrue="1" operator="equal">
      <formula>"Towel"</formula>
    </cfRule>
    <cfRule type="cellIs" dxfId="7720" priority="5270" stopIfTrue="1" operator="equal">
      <formula>"Napkin Hs"</formula>
    </cfRule>
  </conditionalFormatting>
  <conditionalFormatting sqref="C22">
    <cfRule type="cellIs" dxfId="7719" priority="5268" stopIfTrue="1" operator="equal">
      <formula>"Napkin Hs"</formula>
    </cfRule>
  </conditionalFormatting>
  <conditionalFormatting sqref="C22">
    <cfRule type="cellIs" dxfId="7718" priority="5265" stopIfTrue="1" operator="equal">
      <formula>"Towel"</formula>
    </cfRule>
    <cfRule type="cellIs" dxfId="7717" priority="5266" stopIfTrue="1" operator="equal">
      <formula>"Napkin Hs"</formula>
    </cfRule>
  </conditionalFormatting>
  <conditionalFormatting sqref="C22">
    <cfRule type="cellIs" dxfId="7716" priority="5267" stopIfTrue="1" operator="equal">
      <formula>"Towel"</formula>
    </cfRule>
  </conditionalFormatting>
  <conditionalFormatting sqref="B22:C22">
    <cfRule type="cellIs" dxfId="7715" priority="5263" stopIfTrue="1" operator="equal">
      <formula>"Towel"</formula>
    </cfRule>
    <cfRule type="cellIs" dxfId="7714" priority="5264" stopIfTrue="1" operator="equal">
      <formula>"Napkin Hs"</formula>
    </cfRule>
  </conditionalFormatting>
  <conditionalFormatting sqref="C22">
    <cfRule type="cellIs" dxfId="7713" priority="5262" stopIfTrue="1" operator="equal">
      <formula>"Napkin Hs"</formula>
    </cfRule>
  </conditionalFormatting>
  <conditionalFormatting sqref="C22">
    <cfRule type="cellIs" dxfId="7712" priority="5259" stopIfTrue="1" operator="equal">
      <formula>"Towel"</formula>
    </cfRule>
    <cfRule type="cellIs" dxfId="7711" priority="5260" stopIfTrue="1" operator="equal">
      <formula>"Napkin Hs"</formula>
    </cfRule>
  </conditionalFormatting>
  <conditionalFormatting sqref="C22">
    <cfRule type="cellIs" dxfId="7710" priority="5261" stopIfTrue="1" operator="equal">
      <formula>"Towel"</formula>
    </cfRule>
  </conditionalFormatting>
  <conditionalFormatting sqref="B22:C22">
    <cfRule type="cellIs" dxfId="7709" priority="5257" stopIfTrue="1" operator="equal">
      <formula>"Towel"</formula>
    </cfRule>
    <cfRule type="cellIs" dxfId="7708" priority="5258" stopIfTrue="1" operator="equal">
      <formula>"Napkin Hs"</formula>
    </cfRule>
  </conditionalFormatting>
  <conditionalFormatting sqref="C22">
    <cfRule type="cellIs" dxfId="7707" priority="5256" stopIfTrue="1" operator="equal">
      <formula>"Napkin Hs"</formula>
    </cfRule>
  </conditionalFormatting>
  <conditionalFormatting sqref="C22">
    <cfRule type="cellIs" dxfId="7706" priority="5253" stopIfTrue="1" operator="equal">
      <formula>"Towel"</formula>
    </cfRule>
    <cfRule type="cellIs" dxfId="7705" priority="5254" stopIfTrue="1" operator="equal">
      <formula>"Napkin Hs"</formula>
    </cfRule>
  </conditionalFormatting>
  <conditionalFormatting sqref="C22">
    <cfRule type="cellIs" dxfId="7704" priority="5255" stopIfTrue="1" operator="equal">
      <formula>"Towel"</formula>
    </cfRule>
  </conditionalFormatting>
  <conditionalFormatting sqref="B22:C22">
    <cfRule type="cellIs" dxfId="7703" priority="5251" stopIfTrue="1" operator="equal">
      <formula>"Towel"</formula>
    </cfRule>
    <cfRule type="cellIs" dxfId="7702" priority="5252" stopIfTrue="1" operator="equal">
      <formula>"Napkin Hs"</formula>
    </cfRule>
  </conditionalFormatting>
  <conditionalFormatting sqref="C22">
    <cfRule type="cellIs" dxfId="7701" priority="5250" stopIfTrue="1" operator="equal">
      <formula>"Napkin Hs"</formula>
    </cfRule>
  </conditionalFormatting>
  <conditionalFormatting sqref="C22">
    <cfRule type="cellIs" dxfId="7700" priority="5247" stopIfTrue="1" operator="equal">
      <formula>"Towel"</formula>
    </cfRule>
    <cfRule type="cellIs" dxfId="7699" priority="5248" stopIfTrue="1" operator="equal">
      <formula>"Napkin Hs"</formula>
    </cfRule>
  </conditionalFormatting>
  <conditionalFormatting sqref="C22">
    <cfRule type="cellIs" dxfId="7698" priority="5249" stopIfTrue="1" operator="equal">
      <formula>"Towel"</formula>
    </cfRule>
  </conditionalFormatting>
  <conditionalFormatting sqref="B23:C23">
    <cfRule type="cellIs" dxfId="7697" priority="5245" stopIfTrue="1" operator="equal">
      <formula>"Towel"</formula>
    </cfRule>
    <cfRule type="cellIs" dxfId="7696" priority="5246" stopIfTrue="1" operator="equal">
      <formula>"Napkin Hs"</formula>
    </cfRule>
  </conditionalFormatting>
  <conditionalFormatting sqref="C23">
    <cfRule type="cellIs" dxfId="7695" priority="5244" stopIfTrue="1" operator="equal">
      <formula>"Napkin Hs"</formula>
    </cfRule>
  </conditionalFormatting>
  <conditionalFormatting sqref="C23">
    <cfRule type="cellIs" dxfId="7694" priority="5241" stopIfTrue="1" operator="equal">
      <formula>"Towel"</formula>
    </cfRule>
    <cfRule type="cellIs" dxfId="7693" priority="5242" stopIfTrue="1" operator="equal">
      <formula>"Napkin Hs"</formula>
    </cfRule>
  </conditionalFormatting>
  <conditionalFormatting sqref="C23">
    <cfRule type="cellIs" dxfId="7692" priority="5243" stopIfTrue="1" operator="equal">
      <formula>"Towel"</formula>
    </cfRule>
  </conditionalFormatting>
  <conditionalFormatting sqref="B23:C23">
    <cfRule type="cellIs" dxfId="7691" priority="5239" stopIfTrue="1" operator="equal">
      <formula>"Towel"</formula>
    </cfRule>
    <cfRule type="cellIs" dxfId="7690" priority="5240" stopIfTrue="1" operator="equal">
      <formula>"Napkin Hs"</formula>
    </cfRule>
  </conditionalFormatting>
  <conditionalFormatting sqref="C23">
    <cfRule type="cellIs" dxfId="7689" priority="5238" stopIfTrue="1" operator="equal">
      <formula>"Napkin Hs"</formula>
    </cfRule>
  </conditionalFormatting>
  <conditionalFormatting sqref="C23">
    <cfRule type="cellIs" dxfId="7688" priority="5235" stopIfTrue="1" operator="equal">
      <formula>"Towel"</formula>
    </cfRule>
    <cfRule type="cellIs" dxfId="7687" priority="5236" stopIfTrue="1" operator="equal">
      <formula>"Napkin Hs"</formula>
    </cfRule>
  </conditionalFormatting>
  <conditionalFormatting sqref="C23">
    <cfRule type="cellIs" dxfId="7686" priority="5237" stopIfTrue="1" operator="equal">
      <formula>"Towel"</formula>
    </cfRule>
  </conditionalFormatting>
  <conditionalFormatting sqref="B23:C23">
    <cfRule type="cellIs" dxfId="7685" priority="5233" stopIfTrue="1" operator="equal">
      <formula>"Towel"</formula>
    </cfRule>
    <cfRule type="cellIs" dxfId="7684" priority="5234" stopIfTrue="1" operator="equal">
      <formula>"Napkin Hs"</formula>
    </cfRule>
  </conditionalFormatting>
  <conditionalFormatting sqref="C23">
    <cfRule type="cellIs" dxfId="7683" priority="5232" stopIfTrue="1" operator="equal">
      <formula>"Napkin Hs"</formula>
    </cfRule>
  </conditionalFormatting>
  <conditionalFormatting sqref="C23">
    <cfRule type="cellIs" dxfId="7682" priority="5229" stopIfTrue="1" operator="equal">
      <formula>"Towel"</formula>
    </cfRule>
    <cfRule type="cellIs" dxfId="7681" priority="5230" stopIfTrue="1" operator="equal">
      <formula>"Napkin Hs"</formula>
    </cfRule>
  </conditionalFormatting>
  <conditionalFormatting sqref="C23">
    <cfRule type="cellIs" dxfId="7680" priority="5231" stopIfTrue="1" operator="equal">
      <formula>"Towel"</formula>
    </cfRule>
  </conditionalFormatting>
  <conditionalFormatting sqref="B23:C23">
    <cfRule type="cellIs" dxfId="7679" priority="5227" stopIfTrue="1" operator="equal">
      <formula>"Towel"</formula>
    </cfRule>
    <cfRule type="cellIs" dxfId="7678" priority="5228" stopIfTrue="1" operator="equal">
      <formula>"Napkin Hs"</formula>
    </cfRule>
  </conditionalFormatting>
  <conditionalFormatting sqref="C23">
    <cfRule type="cellIs" dxfId="7677" priority="5226" stopIfTrue="1" operator="equal">
      <formula>"Napkin Hs"</formula>
    </cfRule>
  </conditionalFormatting>
  <conditionalFormatting sqref="C23">
    <cfRule type="cellIs" dxfId="7676" priority="5223" stopIfTrue="1" operator="equal">
      <formula>"Towel"</formula>
    </cfRule>
    <cfRule type="cellIs" dxfId="7675" priority="5224" stopIfTrue="1" operator="equal">
      <formula>"Napkin Hs"</formula>
    </cfRule>
  </conditionalFormatting>
  <conditionalFormatting sqref="C23">
    <cfRule type="cellIs" dxfId="7674" priority="5225" stopIfTrue="1" operator="equal">
      <formula>"Towel"</formula>
    </cfRule>
  </conditionalFormatting>
  <conditionalFormatting sqref="B23:C23">
    <cfRule type="cellIs" dxfId="7673" priority="5221" stopIfTrue="1" operator="equal">
      <formula>"Towel"</formula>
    </cfRule>
    <cfRule type="cellIs" dxfId="7672" priority="5222" stopIfTrue="1" operator="equal">
      <formula>"Napkin Hs"</formula>
    </cfRule>
  </conditionalFormatting>
  <conditionalFormatting sqref="C23">
    <cfRule type="cellIs" dxfId="7671" priority="5220" stopIfTrue="1" operator="equal">
      <formula>"Napkin Hs"</formula>
    </cfRule>
  </conditionalFormatting>
  <conditionalFormatting sqref="C23">
    <cfRule type="cellIs" dxfId="7670" priority="5217" stopIfTrue="1" operator="equal">
      <formula>"Towel"</formula>
    </cfRule>
    <cfRule type="cellIs" dxfId="7669" priority="5218" stopIfTrue="1" operator="equal">
      <formula>"Napkin Hs"</formula>
    </cfRule>
  </conditionalFormatting>
  <conditionalFormatting sqref="C23">
    <cfRule type="cellIs" dxfId="7668" priority="5219" stopIfTrue="1" operator="equal">
      <formula>"Towel"</formula>
    </cfRule>
  </conditionalFormatting>
  <conditionalFormatting sqref="B27:C27">
    <cfRule type="cellIs" dxfId="7667" priority="5155" stopIfTrue="1" operator="equal">
      <formula>"Towel"</formula>
    </cfRule>
    <cfRule type="cellIs" dxfId="7666" priority="5156" stopIfTrue="1" operator="equal">
      <formula>"Napkin Hs"</formula>
    </cfRule>
  </conditionalFormatting>
  <conditionalFormatting sqref="C27">
    <cfRule type="cellIs" dxfId="7665" priority="5154" stopIfTrue="1" operator="equal">
      <formula>"Napkin Hs"</formula>
    </cfRule>
  </conditionalFormatting>
  <conditionalFormatting sqref="C27">
    <cfRule type="cellIs" dxfId="7664" priority="5151" stopIfTrue="1" operator="equal">
      <formula>"Towel"</formula>
    </cfRule>
    <cfRule type="cellIs" dxfId="7663" priority="5152" stopIfTrue="1" operator="equal">
      <formula>"Napkin Hs"</formula>
    </cfRule>
  </conditionalFormatting>
  <conditionalFormatting sqref="C27">
    <cfRule type="cellIs" dxfId="7662" priority="5153" stopIfTrue="1" operator="equal">
      <formula>"Towel"</formula>
    </cfRule>
  </conditionalFormatting>
  <conditionalFormatting sqref="B27:C27">
    <cfRule type="cellIs" dxfId="7661" priority="5149" stopIfTrue="1" operator="equal">
      <formula>"Towel"</formula>
    </cfRule>
    <cfRule type="cellIs" dxfId="7660" priority="5150" stopIfTrue="1" operator="equal">
      <formula>"Napkin Hs"</formula>
    </cfRule>
  </conditionalFormatting>
  <conditionalFormatting sqref="C27">
    <cfRule type="cellIs" dxfId="7659" priority="5148" stopIfTrue="1" operator="equal">
      <formula>"Napkin Hs"</formula>
    </cfRule>
  </conditionalFormatting>
  <conditionalFormatting sqref="C27">
    <cfRule type="cellIs" dxfId="7658" priority="5145" stopIfTrue="1" operator="equal">
      <formula>"Towel"</formula>
    </cfRule>
    <cfRule type="cellIs" dxfId="7657" priority="5146" stopIfTrue="1" operator="equal">
      <formula>"Napkin Hs"</formula>
    </cfRule>
  </conditionalFormatting>
  <conditionalFormatting sqref="C27">
    <cfRule type="cellIs" dxfId="7656" priority="5147" stopIfTrue="1" operator="equal">
      <formula>"Towel"</formula>
    </cfRule>
  </conditionalFormatting>
  <conditionalFormatting sqref="B27:C27">
    <cfRule type="cellIs" dxfId="7655" priority="5143" stopIfTrue="1" operator="equal">
      <formula>"Towel"</formula>
    </cfRule>
    <cfRule type="cellIs" dxfId="7654" priority="5144" stopIfTrue="1" operator="equal">
      <formula>"Napkin Hs"</formula>
    </cfRule>
  </conditionalFormatting>
  <conditionalFormatting sqref="C27">
    <cfRule type="cellIs" dxfId="7653" priority="5142" stopIfTrue="1" operator="equal">
      <formula>"Napkin Hs"</formula>
    </cfRule>
  </conditionalFormatting>
  <conditionalFormatting sqref="C27">
    <cfRule type="cellIs" dxfId="7652" priority="5139" stopIfTrue="1" operator="equal">
      <formula>"Towel"</formula>
    </cfRule>
    <cfRule type="cellIs" dxfId="7651" priority="5140" stopIfTrue="1" operator="equal">
      <formula>"Napkin Hs"</formula>
    </cfRule>
  </conditionalFormatting>
  <conditionalFormatting sqref="C27">
    <cfRule type="cellIs" dxfId="7650" priority="5141" stopIfTrue="1" operator="equal">
      <formula>"Towel"</formula>
    </cfRule>
  </conditionalFormatting>
  <conditionalFormatting sqref="B27:C27">
    <cfRule type="cellIs" dxfId="7649" priority="5137" stopIfTrue="1" operator="equal">
      <formula>"Towel"</formula>
    </cfRule>
    <cfRule type="cellIs" dxfId="7648" priority="5138" stopIfTrue="1" operator="equal">
      <formula>"Napkin Hs"</formula>
    </cfRule>
  </conditionalFormatting>
  <conditionalFormatting sqref="C27">
    <cfRule type="cellIs" dxfId="7647" priority="5136" stopIfTrue="1" operator="equal">
      <formula>"Napkin Hs"</formula>
    </cfRule>
  </conditionalFormatting>
  <conditionalFormatting sqref="C27">
    <cfRule type="cellIs" dxfId="7646" priority="5133" stopIfTrue="1" operator="equal">
      <formula>"Towel"</formula>
    </cfRule>
    <cfRule type="cellIs" dxfId="7645" priority="5134" stopIfTrue="1" operator="equal">
      <formula>"Napkin Hs"</formula>
    </cfRule>
  </conditionalFormatting>
  <conditionalFormatting sqref="C27">
    <cfRule type="cellIs" dxfId="7644" priority="5135" stopIfTrue="1" operator="equal">
      <formula>"Towel"</formula>
    </cfRule>
  </conditionalFormatting>
  <conditionalFormatting sqref="B27:C27">
    <cfRule type="cellIs" dxfId="7643" priority="5131" stopIfTrue="1" operator="equal">
      <formula>"Towel"</formula>
    </cfRule>
    <cfRule type="cellIs" dxfId="7642" priority="5132" stopIfTrue="1" operator="equal">
      <formula>"Napkin Hs"</formula>
    </cfRule>
  </conditionalFormatting>
  <conditionalFormatting sqref="C27">
    <cfRule type="cellIs" dxfId="7641" priority="5130" stopIfTrue="1" operator="equal">
      <formula>"Napkin Hs"</formula>
    </cfRule>
  </conditionalFormatting>
  <conditionalFormatting sqref="C27">
    <cfRule type="cellIs" dxfId="7640" priority="5127" stopIfTrue="1" operator="equal">
      <formula>"Towel"</formula>
    </cfRule>
    <cfRule type="cellIs" dxfId="7639" priority="5128" stopIfTrue="1" operator="equal">
      <formula>"Napkin Hs"</formula>
    </cfRule>
  </conditionalFormatting>
  <conditionalFormatting sqref="C27">
    <cfRule type="cellIs" dxfId="7638" priority="5129" stopIfTrue="1" operator="equal">
      <formula>"Towel"</formula>
    </cfRule>
  </conditionalFormatting>
  <conditionalFormatting sqref="B25:C26">
    <cfRule type="cellIs" dxfId="7637" priority="5095" stopIfTrue="1" operator="equal">
      <formula>"Towel"</formula>
    </cfRule>
    <cfRule type="cellIs" dxfId="7636" priority="5096" stopIfTrue="1" operator="equal">
      <formula>"Napkin Hs"</formula>
    </cfRule>
  </conditionalFormatting>
  <conditionalFormatting sqref="C25:C26">
    <cfRule type="cellIs" dxfId="7635" priority="5094" stopIfTrue="1" operator="equal">
      <formula>"Napkin Hs"</formula>
    </cfRule>
  </conditionalFormatting>
  <conditionalFormatting sqref="C25:C26">
    <cfRule type="cellIs" dxfId="7634" priority="5091" stopIfTrue="1" operator="equal">
      <formula>"Towel"</formula>
    </cfRule>
    <cfRule type="cellIs" dxfId="7633" priority="5092" stopIfTrue="1" operator="equal">
      <formula>"Napkin Hs"</formula>
    </cfRule>
  </conditionalFormatting>
  <conditionalFormatting sqref="C25:C26">
    <cfRule type="cellIs" dxfId="7632" priority="5093" stopIfTrue="1" operator="equal">
      <formula>"Towel"</formula>
    </cfRule>
  </conditionalFormatting>
  <conditionalFormatting sqref="B25:C26">
    <cfRule type="cellIs" dxfId="7631" priority="5089" stopIfTrue="1" operator="equal">
      <formula>"Towel"</formula>
    </cfRule>
    <cfRule type="cellIs" dxfId="7630" priority="5090" stopIfTrue="1" operator="equal">
      <formula>"Napkin Hs"</formula>
    </cfRule>
  </conditionalFormatting>
  <conditionalFormatting sqref="C25:C26">
    <cfRule type="cellIs" dxfId="7629" priority="5088" stopIfTrue="1" operator="equal">
      <formula>"Napkin Hs"</formula>
    </cfRule>
  </conditionalFormatting>
  <conditionalFormatting sqref="C25:C26">
    <cfRule type="cellIs" dxfId="7628" priority="5085" stopIfTrue="1" operator="equal">
      <formula>"Towel"</formula>
    </cfRule>
    <cfRule type="cellIs" dxfId="7627" priority="5086" stopIfTrue="1" operator="equal">
      <formula>"Napkin Hs"</formula>
    </cfRule>
  </conditionalFormatting>
  <conditionalFormatting sqref="C25:C26">
    <cfRule type="cellIs" dxfId="7626" priority="5087" stopIfTrue="1" operator="equal">
      <formula>"Towel"</formula>
    </cfRule>
  </conditionalFormatting>
  <conditionalFormatting sqref="B25:C26">
    <cfRule type="cellIs" dxfId="7625" priority="5083" stopIfTrue="1" operator="equal">
      <formula>"Towel"</formula>
    </cfRule>
    <cfRule type="cellIs" dxfId="7624" priority="5084" stopIfTrue="1" operator="equal">
      <formula>"Napkin Hs"</formula>
    </cfRule>
  </conditionalFormatting>
  <conditionalFormatting sqref="C25:C26">
    <cfRule type="cellIs" dxfId="7623" priority="5082" stopIfTrue="1" operator="equal">
      <formula>"Napkin Hs"</formula>
    </cfRule>
  </conditionalFormatting>
  <conditionalFormatting sqref="C25:C26">
    <cfRule type="cellIs" dxfId="7622" priority="5079" stopIfTrue="1" operator="equal">
      <formula>"Towel"</formula>
    </cfRule>
    <cfRule type="cellIs" dxfId="7621" priority="5080" stopIfTrue="1" operator="equal">
      <formula>"Napkin Hs"</formula>
    </cfRule>
  </conditionalFormatting>
  <conditionalFormatting sqref="C25:C26">
    <cfRule type="cellIs" dxfId="7620" priority="5081" stopIfTrue="1" operator="equal">
      <formula>"Towel"</formula>
    </cfRule>
  </conditionalFormatting>
  <conditionalFormatting sqref="B25:C26">
    <cfRule type="cellIs" dxfId="7619" priority="5077" stopIfTrue="1" operator="equal">
      <formula>"Towel"</formula>
    </cfRule>
    <cfRule type="cellIs" dxfId="7618" priority="5078" stopIfTrue="1" operator="equal">
      <formula>"Napkin Hs"</formula>
    </cfRule>
  </conditionalFormatting>
  <conditionalFormatting sqref="C25:C26">
    <cfRule type="cellIs" dxfId="7617" priority="5076" stopIfTrue="1" operator="equal">
      <formula>"Napkin Hs"</formula>
    </cfRule>
  </conditionalFormatting>
  <conditionalFormatting sqref="C25:C26">
    <cfRule type="cellIs" dxfId="7616" priority="5073" stopIfTrue="1" operator="equal">
      <formula>"Towel"</formula>
    </cfRule>
    <cfRule type="cellIs" dxfId="7615" priority="5074" stopIfTrue="1" operator="equal">
      <formula>"Napkin Hs"</formula>
    </cfRule>
  </conditionalFormatting>
  <conditionalFormatting sqref="C25:C26">
    <cfRule type="cellIs" dxfId="7614" priority="5075" stopIfTrue="1" operator="equal">
      <formula>"Towel"</formula>
    </cfRule>
  </conditionalFormatting>
  <conditionalFormatting sqref="B25:C26">
    <cfRule type="cellIs" dxfId="7613" priority="5071" stopIfTrue="1" operator="equal">
      <formula>"Towel"</formula>
    </cfRule>
    <cfRule type="cellIs" dxfId="7612" priority="5072" stopIfTrue="1" operator="equal">
      <formula>"Napkin Hs"</formula>
    </cfRule>
  </conditionalFormatting>
  <conditionalFormatting sqref="C25:C26">
    <cfRule type="cellIs" dxfId="7611" priority="5070" stopIfTrue="1" operator="equal">
      <formula>"Napkin Hs"</formula>
    </cfRule>
  </conditionalFormatting>
  <conditionalFormatting sqref="C25:C26">
    <cfRule type="cellIs" dxfId="7610" priority="5067" stopIfTrue="1" operator="equal">
      <formula>"Towel"</formula>
    </cfRule>
    <cfRule type="cellIs" dxfId="7609" priority="5068" stopIfTrue="1" operator="equal">
      <formula>"Napkin Hs"</formula>
    </cfRule>
  </conditionalFormatting>
  <conditionalFormatting sqref="C25:C26">
    <cfRule type="cellIs" dxfId="7608" priority="5069" stopIfTrue="1" operator="equal">
      <formula>"Towel"</formula>
    </cfRule>
  </conditionalFormatting>
  <conditionalFormatting sqref="B32:C32">
    <cfRule type="cellIs" dxfId="7607" priority="5047" stopIfTrue="1" operator="equal">
      <formula>"Towel"</formula>
    </cfRule>
    <cfRule type="cellIs" dxfId="7606" priority="5048" stopIfTrue="1" operator="equal">
      <formula>"Napkin Hs"</formula>
    </cfRule>
  </conditionalFormatting>
  <conditionalFormatting sqref="C32">
    <cfRule type="cellIs" dxfId="7605" priority="5046" stopIfTrue="1" operator="equal">
      <formula>"Napkin Hs"</formula>
    </cfRule>
  </conditionalFormatting>
  <conditionalFormatting sqref="C32">
    <cfRule type="cellIs" dxfId="7604" priority="5043" stopIfTrue="1" operator="equal">
      <formula>"Towel"</formula>
    </cfRule>
    <cfRule type="cellIs" dxfId="7603" priority="5044" stopIfTrue="1" operator="equal">
      <formula>"Napkin Hs"</formula>
    </cfRule>
  </conditionalFormatting>
  <conditionalFormatting sqref="C32">
    <cfRule type="cellIs" dxfId="7602" priority="5045" stopIfTrue="1" operator="equal">
      <formula>"Towel"</formula>
    </cfRule>
  </conditionalFormatting>
  <conditionalFormatting sqref="B31:C31">
    <cfRule type="cellIs" dxfId="7601" priority="5041" stopIfTrue="1" operator="equal">
      <formula>"Towel"</formula>
    </cfRule>
    <cfRule type="cellIs" dxfId="7600" priority="5042" stopIfTrue="1" operator="equal">
      <formula>"Napkin Hs"</formula>
    </cfRule>
  </conditionalFormatting>
  <conditionalFormatting sqref="C31">
    <cfRule type="cellIs" dxfId="7599" priority="5040" stopIfTrue="1" operator="equal">
      <formula>"Napkin Hs"</formula>
    </cfRule>
  </conditionalFormatting>
  <conditionalFormatting sqref="C31">
    <cfRule type="cellIs" dxfId="7598" priority="5037" stopIfTrue="1" operator="equal">
      <formula>"Towel"</formula>
    </cfRule>
    <cfRule type="cellIs" dxfId="7597" priority="5038" stopIfTrue="1" operator="equal">
      <formula>"Napkin Hs"</formula>
    </cfRule>
  </conditionalFormatting>
  <conditionalFormatting sqref="C31">
    <cfRule type="cellIs" dxfId="7596" priority="5039" stopIfTrue="1" operator="equal">
      <formula>"Towel"</formula>
    </cfRule>
  </conditionalFormatting>
  <conditionalFormatting sqref="B31:C31">
    <cfRule type="cellIs" dxfId="7595" priority="5035" stopIfTrue="1" operator="equal">
      <formula>"Towel"</formula>
    </cfRule>
    <cfRule type="cellIs" dxfId="7594" priority="5036" stopIfTrue="1" operator="equal">
      <formula>"Napkin Hs"</formula>
    </cfRule>
  </conditionalFormatting>
  <conditionalFormatting sqref="C31">
    <cfRule type="cellIs" dxfId="7593" priority="5034" stopIfTrue="1" operator="equal">
      <formula>"Napkin Hs"</formula>
    </cfRule>
  </conditionalFormatting>
  <conditionalFormatting sqref="C31">
    <cfRule type="cellIs" dxfId="7592" priority="5031" stopIfTrue="1" operator="equal">
      <formula>"Towel"</formula>
    </cfRule>
    <cfRule type="cellIs" dxfId="7591" priority="5032" stopIfTrue="1" operator="equal">
      <formula>"Napkin Hs"</formula>
    </cfRule>
  </conditionalFormatting>
  <conditionalFormatting sqref="C31">
    <cfRule type="cellIs" dxfId="7590" priority="5033" stopIfTrue="1" operator="equal">
      <formula>"Towel"</formula>
    </cfRule>
  </conditionalFormatting>
  <conditionalFormatting sqref="B31:C31">
    <cfRule type="cellIs" dxfId="7589" priority="5029" stopIfTrue="1" operator="equal">
      <formula>"Towel"</formula>
    </cfRule>
    <cfRule type="cellIs" dxfId="7588" priority="5030" stopIfTrue="1" operator="equal">
      <formula>"Napkin Hs"</formula>
    </cfRule>
  </conditionalFormatting>
  <conditionalFormatting sqref="C31">
    <cfRule type="cellIs" dxfId="7587" priority="5028" stopIfTrue="1" operator="equal">
      <formula>"Napkin Hs"</formula>
    </cfRule>
  </conditionalFormatting>
  <conditionalFormatting sqref="C31">
    <cfRule type="cellIs" dxfId="7586" priority="5025" stopIfTrue="1" operator="equal">
      <formula>"Towel"</formula>
    </cfRule>
    <cfRule type="cellIs" dxfId="7585" priority="5026" stopIfTrue="1" operator="equal">
      <formula>"Napkin Hs"</formula>
    </cfRule>
  </conditionalFormatting>
  <conditionalFormatting sqref="C31">
    <cfRule type="cellIs" dxfId="7584" priority="5027" stopIfTrue="1" operator="equal">
      <formula>"Towel"</formula>
    </cfRule>
  </conditionalFormatting>
  <conditionalFormatting sqref="B31:C31">
    <cfRule type="cellIs" dxfId="7583" priority="5023" stopIfTrue="1" operator="equal">
      <formula>"Towel"</formula>
    </cfRule>
    <cfRule type="cellIs" dxfId="7582" priority="5024" stopIfTrue="1" operator="equal">
      <formula>"Napkin Hs"</formula>
    </cfRule>
  </conditionalFormatting>
  <conditionalFormatting sqref="C31">
    <cfRule type="cellIs" dxfId="7581" priority="5022" stopIfTrue="1" operator="equal">
      <formula>"Napkin Hs"</formula>
    </cfRule>
  </conditionalFormatting>
  <conditionalFormatting sqref="C31">
    <cfRule type="cellIs" dxfId="7580" priority="5019" stopIfTrue="1" operator="equal">
      <formula>"Towel"</formula>
    </cfRule>
    <cfRule type="cellIs" dxfId="7579" priority="5020" stopIfTrue="1" operator="equal">
      <formula>"Napkin Hs"</formula>
    </cfRule>
  </conditionalFormatting>
  <conditionalFormatting sqref="C31">
    <cfRule type="cellIs" dxfId="7578" priority="5021" stopIfTrue="1" operator="equal">
      <formula>"Towel"</formula>
    </cfRule>
  </conditionalFormatting>
  <conditionalFormatting sqref="B31:C31">
    <cfRule type="cellIs" dxfId="7577" priority="5017" stopIfTrue="1" operator="equal">
      <formula>"Towel"</formula>
    </cfRule>
    <cfRule type="cellIs" dxfId="7576" priority="5018" stopIfTrue="1" operator="equal">
      <formula>"Napkin Hs"</formula>
    </cfRule>
  </conditionalFormatting>
  <conditionalFormatting sqref="C31">
    <cfRule type="cellIs" dxfId="7575" priority="5016" stopIfTrue="1" operator="equal">
      <formula>"Napkin Hs"</formula>
    </cfRule>
  </conditionalFormatting>
  <conditionalFormatting sqref="C31">
    <cfRule type="cellIs" dxfId="7574" priority="5013" stopIfTrue="1" operator="equal">
      <formula>"Towel"</formula>
    </cfRule>
    <cfRule type="cellIs" dxfId="7573" priority="5014" stopIfTrue="1" operator="equal">
      <formula>"Napkin Hs"</formula>
    </cfRule>
  </conditionalFormatting>
  <conditionalFormatting sqref="C31">
    <cfRule type="cellIs" dxfId="7572" priority="5015" stopIfTrue="1" operator="equal">
      <formula>"Towel"</formula>
    </cfRule>
  </conditionalFormatting>
  <conditionalFormatting sqref="B30:C30">
    <cfRule type="cellIs" dxfId="7571" priority="5011" stopIfTrue="1" operator="equal">
      <formula>"Towel"</formula>
    </cfRule>
    <cfRule type="cellIs" dxfId="7570" priority="5012" stopIfTrue="1" operator="equal">
      <formula>"Napkin Hs"</formula>
    </cfRule>
  </conditionalFormatting>
  <conditionalFormatting sqref="C30">
    <cfRule type="cellIs" dxfId="7569" priority="5010" stopIfTrue="1" operator="equal">
      <formula>"Napkin Hs"</formula>
    </cfRule>
  </conditionalFormatting>
  <conditionalFormatting sqref="C30">
    <cfRule type="cellIs" dxfId="7568" priority="5007" stopIfTrue="1" operator="equal">
      <formula>"Towel"</formula>
    </cfRule>
    <cfRule type="cellIs" dxfId="7567" priority="5008" stopIfTrue="1" operator="equal">
      <formula>"Napkin Hs"</formula>
    </cfRule>
  </conditionalFormatting>
  <conditionalFormatting sqref="C30">
    <cfRule type="cellIs" dxfId="7566" priority="5009" stopIfTrue="1" operator="equal">
      <formula>"Towel"</formula>
    </cfRule>
  </conditionalFormatting>
  <conditionalFormatting sqref="B30:C30">
    <cfRule type="cellIs" dxfId="7565" priority="5005" stopIfTrue="1" operator="equal">
      <formula>"Towel"</formula>
    </cfRule>
    <cfRule type="cellIs" dxfId="7564" priority="5006" stopIfTrue="1" operator="equal">
      <formula>"Napkin Hs"</formula>
    </cfRule>
  </conditionalFormatting>
  <conditionalFormatting sqref="C30">
    <cfRule type="cellIs" dxfId="7563" priority="5004" stopIfTrue="1" operator="equal">
      <formula>"Napkin Hs"</formula>
    </cfRule>
  </conditionalFormatting>
  <conditionalFormatting sqref="C30">
    <cfRule type="cellIs" dxfId="7562" priority="5001" stopIfTrue="1" operator="equal">
      <formula>"Towel"</formula>
    </cfRule>
    <cfRule type="cellIs" dxfId="7561" priority="5002" stopIfTrue="1" operator="equal">
      <formula>"Napkin Hs"</formula>
    </cfRule>
  </conditionalFormatting>
  <conditionalFormatting sqref="C30">
    <cfRule type="cellIs" dxfId="7560" priority="5003" stopIfTrue="1" operator="equal">
      <formula>"Towel"</formula>
    </cfRule>
  </conditionalFormatting>
  <conditionalFormatting sqref="B30:C30">
    <cfRule type="cellIs" dxfId="7559" priority="4999" stopIfTrue="1" operator="equal">
      <formula>"Towel"</formula>
    </cfRule>
    <cfRule type="cellIs" dxfId="7558" priority="5000" stopIfTrue="1" operator="equal">
      <formula>"Napkin Hs"</formula>
    </cfRule>
  </conditionalFormatting>
  <conditionalFormatting sqref="C30">
    <cfRule type="cellIs" dxfId="7557" priority="4998" stopIfTrue="1" operator="equal">
      <formula>"Napkin Hs"</formula>
    </cfRule>
  </conditionalFormatting>
  <conditionalFormatting sqref="C30">
    <cfRule type="cellIs" dxfId="7556" priority="4995" stopIfTrue="1" operator="equal">
      <formula>"Towel"</formula>
    </cfRule>
    <cfRule type="cellIs" dxfId="7555" priority="4996" stopIfTrue="1" operator="equal">
      <formula>"Napkin Hs"</formula>
    </cfRule>
  </conditionalFormatting>
  <conditionalFormatting sqref="C30">
    <cfRule type="cellIs" dxfId="7554" priority="4997" stopIfTrue="1" operator="equal">
      <formula>"Towel"</formula>
    </cfRule>
  </conditionalFormatting>
  <conditionalFormatting sqref="B30:C30">
    <cfRule type="cellIs" dxfId="7553" priority="4993" stopIfTrue="1" operator="equal">
      <formula>"Towel"</formula>
    </cfRule>
    <cfRule type="cellIs" dxfId="7552" priority="4994" stopIfTrue="1" operator="equal">
      <formula>"Napkin Hs"</formula>
    </cfRule>
  </conditionalFormatting>
  <conditionalFormatting sqref="C30">
    <cfRule type="cellIs" dxfId="7551" priority="4992" stopIfTrue="1" operator="equal">
      <formula>"Napkin Hs"</formula>
    </cfRule>
  </conditionalFormatting>
  <conditionalFormatting sqref="C30">
    <cfRule type="cellIs" dxfId="7550" priority="4989" stopIfTrue="1" operator="equal">
      <formula>"Towel"</formula>
    </cfRule>
    <cfRule type="cellIs" dxfId="7549" priority="4990" stopIfTrue="1" operator="equal">
      <formula>"Napkin Hs"</formula>
    </cfRule>
  </conditionalFormatting>
  <conditionalFormatting sqref="C30">
    <cfRule type="cellIs" dxfId="7548" priority="4991" stopIfTrue="1" operator="equal">
      <formula>"Towel"</formula>
    </cfRule>
  </conditionalFormatting>
  <conditionalFormatting sqref="B30:C30">
    <cfRule type="cellIs" dxfId="7547" priority="4987" stopIfTrue="1" operator="equal">
      <formula>"Towel"</formula>
    </cfRule>
    <cfRule type="cellIs" dxfId="7546" priority="4988" stopIfTrue="1" operator="equal">
      <formula>"Napkin Hs"</formula>
    </cfRule>
  </conditionalFormatting>
  <conditionalFormatting sqref="C30">
    <cfRule type="cellIs" dxfId="7545" priority="4986" stopIfTrue="1" operator="equal">
      <formula>"Napkin Hs"</formula>
    </cfRule>
  </conditionalFormatting>
  <conditionalFormatting sqref="C30">
    <cfRule type="cellIs" dxfId="7544" priority="4983" stopIfTrue="1" operator="equal">
      <formula>"Towel"</formula>
    </cfRule>
    <cfRule type="cellIs" dxfId="7543" priority="4984" stopIfTrue="1" operator="equal">
      <formula>"Napkin Hs"</formula>
    </cfRule>
  </conditionalFormatting>
  <conditionalFormatting sqref="C30">
    <cfRule type="cellIs" dxfId="7542" priority="4985" stopIfTrue="1" operator="equal">
      <formula>"Towel"</formula>
    </cfRule>
  </conditionalFormatting>
  <conditionalFormatting sqref="B29:C29">
    <cfRule type="cellIs" dxfId="7541" priority="4981" stopIfTrue="1" operator="equal">
      <formula>"Towel"</formula>
    </cfRule>
    <cfRule type="cellIs" dxfId="7540" priority="4982" stopIfTrue="1" operator="equal">
      <formula>"Napkin Hs"</formula>
    </cfRule>
  </conditionalFormatting>
  <conditionalFormatting sqref="C29">
    <cfRule type="cellIs" dxfId="7539" priority="4980" stopIfTrue="1" operator="equal">
      <formula>"Napkin Hs"</formula>
    </cfRule>
  </conditionalFormatting>
  <conditionalFormatting sqref="C29">
    <cfRule type="cellIs" dxfId="7538" priority="4977" stopIfTrue="1" operator="equal">
      <formula>"Towel"</formula>
    </cfRule>
    <cfRule type="cellIs" dxfId="7537" priority="4978" stopIfTrue="1" operator="equal">
      <formula>"Napkin Hs"</formula>
    </cfRule>
  </conditionalFormatting>
  <conditionalFormatting sqref="C29">
    <cfRule type="cellIs" dxfId="7536" priority="4979" stopIfTrue="1" operator="equal">
      <formula>"Towel"</formula>
    </cfRule>
  </conditionalFormatting>
  <conditionalFormatting sqref="B29:C29">
    <cfRule type="cellIs" dxfId="7535" priority="4975" stopIfTrue="1" operator="equal">
      <formula>"Towel"</formula>
    </cfRule>
    <cfRule type="cellIs" dxfId="7534" priority="4976" stopIfTrue="1" operator="equal">
      <formula>"Napkin Hs"</formula>
    </cfRule>
  </conditionalFormatting>
  <conditionalFormatting sqref="C29">
    <cfRule type="cellIs" dxfId="7533" priority="4974" stopIfTrue="1" operator="equal">
      <formula>"Napkin Hs"</formula>
    </cfRule>
  </conditionalFormatting>
  <conditionalFormatting sqref="C29">
    <cfRule type="cellIs" dxfId="7532" priority="4971" stopIfTrue="1" operator="equal">
      <formula>"Towel"</formula>
    </cfRule>
    <cfRule type="cellIs" dxfId="7531" priority="4972" stopIfTrue="1" operator="equal">
      <formula>"Napkin Hs"</formula>
    </cfRule>
  </conditionalFormatting>
  <conditionalFormatting sqref="C29">
    <cfRule type="cellIs" dxfId="7530" priority="4973" stopIfTrue="1" operator="equal">
      <formula>"Towel"</formula>
    </cfRule>
  </conditionalFormatting>
  <conditionalFormatting sqref="B29:C29">
    <cfRule type="cellIs" dxfId="7529" priority="4969" stopIfTrue="1" operator="equal">
      <formula>"Towel"</formula>
    </cfRule>
    <cfRule type="cellIs" dxfId="7528" priority="4970" stopIfTrue="1" operator="equal">
      <formula>"Napkin Hs"</formula>
    </cfRule>
  </conditionalFormatting>
  <conditionalFormatting sqref="C29">
    <cfRule type="cellIs" dxfId="7527" priority="4968" stopIfTrue="1" operator="equal">
      <formula>"Napkin Hs"</formula>
    </cfRule>
  </conditionalFormatting>
  <conditionalFormatting sqref="C29">
    <cfRule type="cellIs" dxfId="7526" priority="4965" stopIfTrue="1" operator="equal">
      <formula>"Towel"</formula>
    </cfRule>
    <cfRule type="cellIs" dxfId="7525" priority="4966" stopIfTrue="1" operator="equal">
      <formula>"Napkin Hs"</formula>
    </cfRule>
  </conditionalFormatting>
  <conditionalFormatting sqref="C29">
    <cfRule type="cellIs" dxfId="7524" priority="4967" stopIfTrue="1" operator="equal">
      <formula>"Towel"</formula>
    </cfRule>
  </conditionalFormatting>
  <conditionalFormatting sqref="B29:C29">
    <cfRule type="cellIs" dxfId="7523" priority="4963" stopIfTrue="1" operator="equal">
      <formula>"Towel"</formula>
    </cfRule>
    <cfRule type="cellIs" dxfId="7522" priority="4964" stopIfTrue="1" operator="equal">
      <formula>"Napkin Hs"</formula>
    </cfRule>
  </conditionalFormatting>
  <conditionalFormatting sqref="C29">
    <cfRule type="cellIs" dxfId="7521" priority="4962" stopIfTrue="1" operator="equal">
      <formula>"Napkin Hs"</formula>
    </cfRule>
  </conditionalFormatting>
  <conditionalFormatting sqref="C29">
    <cfRule type="cellIs" dxfId="7520" priority="4959" stopIfTrue="1" operator="equal">
      <formula>"Towel"</formula>
    </cfRule>
    <cfRule type="cellIs" dxfId="7519" priority="4960" stopIfTrue="1" operator="equal">
      <formula>"Napkin Hs"</formula>
    </cfRule>
  </conditionalFormatting>
  <conditionalFormatting sqref="C29">
    <cfRule type="cellIs" dxfId="7518" priority="4961" stopIfTrue="1" operator="equal">
      <formula>"Towel"</formula>
    </cfRule>
  </conditionalFormatting>
  <conditionalFormatting sqref="B29:C29">
    <cfRule type="cellIs" dxfId="7517" priority="4957" stopIfTrue="1" operator="equal">
      <formula>"Towel"</formula>
    </cfRule>
    <cfRule type="cellIs" dxfId="7516" priority="4958" stopIfTrue="1" operator="equal">
      <formula>"Napkin Hs"</formula>
    </cfRule>
  </conditionalFormatting>
  <conditionalFormatting sqref="C29">
    <cfRule type="cellIs" dxfId="7515" priority="4956" stopIfTrue="1" operator="equal">
      <formula>"Napkin Hs"</formula>
    </cfRule>
  </conditionalFormatting>
  <conditionalFormatting sqref="C29">
    <cfRule type="cellIs" dxfId="7514" priority="4953" stopIfTrue="1" operator="equal">
      <formula>"Towel"</formula>
    </cfRule>
    <cfRule type="cellIs" dxfId="7513" priority="4954" stopIfTrue="1" operator="equal">
      <formula>"Napkin Hs"</formula>
    </cfRule>
  </conditionalFormatting>
  <conditionalFormatting sqref="C29">
    <cfRule type="cellIs" dxfId="7512" priority="4955" stopIfTrue="1" operator="equal">
      <formula>"Towel"</formula>
    </cfRule>
  </conditionalFormatting>
  <conditionalFormatting sqref="B29:C29">
    <cfRule type="cellIs" dxfId="7511" priority="4951" stopIfTrue="1" operator="equal">
      <formula>"Towel"</formula>
    </cfRule>
    <cfRule type="cellIs" dxfId="7510" priority="4952" stopIfTrue="1" operator="equal">
      <formula>"Napkin Hs"</formula>
    </cfRule>
  </conditionalFormatting>
  <conditionalFormatting sqref="C29">
    <cfRule type="cellIs" dxfId="7509" priority="4950" stopIfTrue="1" operator="equal">
      <formula>"Napkin Hs"</formula>
    </cfRule>
  </conditionalFormatting>
  <conditionalFormatting sqref="C29">
    <cfRule type="cellIs" dxfId="7508" priority="4947" stopIfTrue="1" operator="equal">
      <formula>"Towel"</formula>
    </cfRule>
    <cfRule type="cellIs" dxfId="7507" priority="4948" stopIfTrue="1" operator="equal">
      <formula>"Napkin Hs"</formula>
    </cfRule>
  </conditionalFormatting>
  <conditionalFormatting sqref="C29">
    <cfRule type="cellIs" dxfId="7506" priority="4949" stopIfTrue="1" operator="equal">
      <formula>"Towel"</formula>
    </cfRule>
  </conditionalFormatting>
  <conditionalFormatting sqref="B33:C33">
    <cfRule type="cellIs" dxfId="7505" priority="4867" stopIfTrue="1" operator="equal">
      <formula>"Towel"</formula>
    </cfRule>
    <cfRule type="cellIs" dxfId="7504" priority="4868" stopIfTrue="1" operator="equal">
      <formula>"Napkin Hs"</formula>
    </cfRule>
  </conditionalFormatting>
  <conditionalFormatting sqref="C33">
    <cfRule type="cellIs" dxfId="7503" priority="4866" stopIfTrue="1" operator="equal">
      <formula>"Napkin Hs"</formula>
    </cfRule>
  </conditionalFormatting>
  <conditionalFormatting sqref="C33">
    <cfRule type="cellIs" dxfId="7502" priority="4863" stopIfTrue="1" operator="equal">
      <formula>"Towel"</formula>
    </cfRule>
    <cfRule type="cellIs" dxfId="7501" priority="4864" stopIfTrue="1" operator="equal">
      <formula>"Napkin Hs"</formula>
    </cfRule>
  </conditionalFormatting>
  <conditionalFormatting sqref="C33">
    <cfRule type="cellIs" dxfId="7500" priority="4865" stopIfTrue="1" operator="equal">
      <formula>"Towel"</formula>
    </cfRule>
  </conditionalFormatting>
  <conditionalFormatting sqref="B33:C33">
    <cfRule type="cellIs" dxfId="7499" priority="4861" stopIfTrue="1" operator="equal">
      <formula>"Towel"</formula>
    </cfRule>
    <cfRule type="cellIs" dxfId="7498" priority="4862" stopIfTrue="1" operator="equal">
      <formula>"Napkin Hs"</formula>
    </cfRule>
  </conditionalFormatting>
  <conditionalFormatting sqref="C33">
    <cfRule type="cellIs" dxfId="7497" priority="4860" stopIfTrue="1" operator="equal">
      <formula>"Napkin Hs"</formula>
    </cfRule>
  </conditionalFormatting>
  <conditionalFormatting sqref="C33">
    <cfRule type="cellIs" dxfId="7496" priority="4857" stopIfTrue="1" operator="equal">
      <formula>"Towel"</formula>
    </cfRule>
    <cfRule type="cellIs" dxfId="7495" priority="4858" stopIfTrue="1" operator="equal">
      <formula>"Napkin Hs"</formula>
    </cfRule>
  </conditionalFormatting>
  <conditionalFormatting sqref="C33">
    <cfRule type="cellIs" dxfId="7494" priority="4859" stopIfTrue="1" operator="equal">
      <formula>"Towel"</formula>
    </cfRule>
  </conditionalFormatting>
  <conditionalFormatting sqref="B33:C33">
    <cfRule type="cellIs" dxfId="7493" priority="4855" stopIfTrue="1" operator="equal">
      <formula>"Towel"</formula>
    </cfRule>
    <cfRule type="cellIs" dxfId="7492" priority="4856" stopIfTrue="1" operator="equal">
      <formula>"Napkin Hs"</formula>
    </cfRule>
  </conditionalFormatting>
  <conditionalFormatting sqref="C33">
    <cfRule type="cellIs" dxfId="7491" priority="4854" stopIfTrue="1" operator="equal">
      <formula>"Napkin Hs"</formula>
    </cfRule>
  </conditionalFormatting>
  <conditionalFormatting sqref="C33">
    <cfRule type="cellIs" dxfId="7490" priority="4851" stopIfTrue="1" operator="equal">
      <formula>"Towel"</formula>
    </cfRule>
    <cfRule type="cellIs" dxfId="7489" priority="4852" stopIfTrue="1" operator="equal">
      <formula>"Napkin Hs"</formula>
    </cfRule>
  </conditionalFormatting>
  <conditionalFormatting sqref="C33">
    <cfRule type="cellIs" dxfId="7488" priority="4853" stopIfTrue="1" operator="equal">
      <formula>"Towel"</formula>
    </cfRule>
  </conditionalFormatting>
  <conditionalFormatting sqref="B33:C33">
    <cfRule type="cellIs" dxfId="7487" priority="4849" stopIfTrue="1" operator="equal">
      <formula>"Towel"</formula>
    </cfRule>
    <cfRule type="cellIs" dxfId="7486" priority="4850" stopIfTrue="1" operator="equal">
      <formula>"Napkin Hs"</formula>
    </cfRule>
  </conditionalFormatting>
  <conditionalFormatting sqref="C33">
    <cfRule type="cellIs" dxfId="7485" priority="4848" stopIfTrue="1" operator="equal">
      <formula>"Napkin Hs"</formula>
    </cfRule>
  </conditionalFormatting>
  <conditionalFormatting sqref="C33">
    <cfRule type="cellIs" dxfId="7484" priority="4845" stopIfTrue="1" operator="equal">
      <formula>"Towel"</formula>
    </cfRule>
    <cfRule type="cellIs" dxfId="7483" priority="4846" stopIfTrue="1" operator="equal">
      <formula>"Napkin Hs"</formula>
    </cfRule>
  </conditionalFormatting>
  <conditionalFormatting sqref="C33">
    <cfRule type="cellIs" dxfId="7482" priority="4847" stopIfTrue="1" operator="equal">
      <formula>"Towel"</formula>
    </cfRule>
  </conditionalFormatting>
  <conditionalFormatting sqref="B33:C33">
    <cfRule type="cellIs" dxfId="7481" priority="4843" stopIfTrue="1" operator="equal">
      <formula>"Towel"</formula>
    </cfRule>
    <cfRule type="cellIs" dxfId="7480" priority="4844" stopIfTrue="1" operator="equal">
      <formula>"Napkin Hs"</formula>
    </cfRule>
  </conditionalFormatting>
  <conditionalFormatting sqref="C33">
    <cfRule type="cellIs" dxfId="7479" priority="4842" stopIfTrue="1" operator="equal">
      <formula>"Napkin Hs"</formula>
    </cfRule>
  </conditionalFormatting>
  <conditionalFormatting sqref="C33">
    <cfRule type="cellIs" dxfId="7478" priority="4839" stopIfTrue="1" operator="equal">
      <formula>"Towel"</formula>
    </cfRule>
    <cfRule type="cellIs" dxfId="7477" priority="4840" stopIfTrue="1" operator="equal">
      <formula>"Napkin Hs"</formula>
    </cfRule>
  </conditionalFormatting>
  <conditionalFormatting sqref="C33">
    <cfRule type="cellIs" dxfId="7476" priority="4841" stopIfTrue="1" operator="equal">
      <formula>"Towel"</formula>
    </cfRule>
  </conditionalFormatting>
  <conditionalFormatting sqref="B33:C33">
    <cfRule type="cellIs" dxfId="7475" priority="4837" stopIfTrue="1" operator="equal">
      <formula>"Towel"</formula>
    </cfRule>
    <cfRule type="cellIs" dxfId="7474" priority="4838" stopIfTrue="1" operator="equal">
      <formula>"Napkin Hs"</formula>
    </cfRule>
  </conditionalFormatting>
  <conditionalFormatting sqref="C33">
    <cfRule type="cellIs" dxfId="7473" priority="4836" stopIfTrue="1" operator="equal">
      <formula>"Napkin Hs"</formula>
    </cfRule>
  </conditionalFormatting>
  <conditionalFormatting sqref="C33">
    <cfRule type="cellIs" dxfId="7472" priority="4833" stopIfTrue="1" operator="equal">
      <formula>"Towel"</formula>
    </cfRule>
    <cfRule type="cellIs" dxfId="7471" priority="4834" stopIfTrue="1" operator="equal">
      <formula>"Napkin Hs"</formula>
    </cfRule>
  </conditionalFormatting>
  <conditionalFormatting sqref="C33">
    <cfRule type="cellIs" dxfId="7470" priority="4835" stopIfTrue="1" operator="equal">
      <formula>"Towel"</formula>
    </cfRule>
  </conditionalFormatting>
  <conditionalFormatting sqref="B34:C35">
    <cfRule type="cellIs" dxfId="7469" priority="4831" stopIfTrue="1" operator="equal">
      <formula>"Towel"</formula>
    </cfRule>
    <cfRule type="cellIs" dxfId="7468" priority="4832" stopIfTrue="1" operator="equal">
      <formula>"Napkin Hs"</formula>
    </cfRule>
  </conditionalFormatting>
  <conditionalFormatting sqref="C34:C35">
    <cfRule type="cellIs" dxfId="7467" priority="4830" stopIfTrue="1" operator="equal">
      <formula>"Napkin Hs"</formula>
    </cfRule>
  </conditionalFormatting>
  <conditionalFormatting sqref="C34:C35">
    <cfRule type="cellIs" dxfId="7466" priority="4827" stopIfTrue="1" operator="equal">
      <formula>"Towel"</formula>
    </cfRule>
    <cfRule type="cellIs" dxfId="7465" priority="4828" stopIfTrue="1" operator="equal">
      <formula>"Napkin Hs"</formula>
    </cfRule>
  </conditionalFormatting>
  <conditionalFormatting sqref="C34:C35">
    <cfRule type="cellIs" dxfId="7464" priority="4829" stopIfTrue="1" operator="equal">
      <formula>"Towel"</formula>
    </cfRule>
  </conditionalFormatting>
  <conditionalFormatting sqref="B34:C35">
    <cfRule type="cellIs" dxfId="7463" priority="4825" stopIfTrue="1" operator="equal">
      <formula>"Towel"</formula>
    </cfRule>
    <cfRule type="cellIs" dxfId="7462" priority="4826" stopIfTrue="1" operator="equal">
      <formula>"Napkin Hs"</formula>
    </cfRule>
  </conditionalFormatting>
  <conditionalFormatting sqref="C34:C35">
    <cfRule type="cellIs" dxfId="7461" priority="4824" stopIfTrue="1" operator="equal">
      <formula>"Napkin Hs"</formula>
    </cfRule>
  </conditionalFormatting>
  <conditionalFormatting sqref="C34:C35">
    <cfRule type="cellIs" dxfId="7460" priority="4821" stopIfTrue="1" operator="equal">
      <formula>"Towel"</formula>
    </cfRule>
    <cfRule type="cellIs" dxfId="7459" priority="4822" stopIfTrue="1" operator="equal">
      <formula>"Napkin Hs"</formula>
    </cfRule>
  </conditionalFormatting>
  <conditionalFormatting sqref="C34:C35">
    <cfRule type="cellIs" dxfId="7458" priority="4823" stopIfTrue="1" operator="equal">
      <formula>"Towel"</formula>
    </cfRule>
  </conditionalFormatting>
  <conditionalFormatting sqref="B34:C35">
    <cfRule type="cellIs" dxfId="7457" priority="4819" stopIfTrue="1" operator="equal">
      <formula>"Towel"</formula>
    </cfRule>
    <cfRule type="cellIs" dxfId="7456" priority="4820" stopIfTrue="1" operator="equal">
      <formula>"Napkin Hs"</formula>
    </cfRule>
  </conditionalFormatting>
  <conditionalFormatting sqref="C34:C35">
    <cfRule type="cellIs" dxfId="7455" priority="4818" stopIfTrue="1" operator="equal">
      <formula>"Napkin Hs"</formula>
    </cfRule>
  </conditionalFormatting>
  <conditionalFormatting sqref="C34:C35">
    <cfRule type="cellIs" dxfId="7454" priority="4815" stopIfTrue="1" operator="equal">
      <formula>"Towel"</formula>
    </cfRule>
    <cfRule type="cellIs" dxfId="7453" priority="4816" stopIfTrue="1" operator="equal">
      <formula>"Napkin Hs"</formula>
    </cfRule>
  </conditionalFormatting>
  <conditionalFormatting sqref="C34:C35">
    <cfRule type="cellIs" dxfId="7452" priority="4817" stopIfTrue="1" operator="equal">
      <formula>"Towel"</formula>
    </cfRule>
  </conditionalFormatting>
  <conditionalFormatting sqref="B34:C35">
    <cfRule type="cellIs" dxfId="7451" priority="4813" stopIfTrue="1" operator="equal">
      <formula>"Towel"</formula>
    </cfRule>
    <cfRule type="cellIs" dxfId="7450" priority="4814" stopIfTrue="1" operator="equal">
      <formula>"Napkin Hs"</formula>
    </cfRule>
  </conditionalFormatting>
  <conditionalFormatting sqref="C34:C35">
    <cfRule type="cellIs" dxfId="7449" priority="4812" stopIfTrue="1" operator="equal">
      <formula>"Napkin Hs"</formula>
    </cfRule>
  </conditionalFormatting>
  <conditionalFormatting sqref="C34:C35">
    <cfRule type="cellIs" dxfId="7448" priority="4809" stopIfTrue="1" operator="equal">
      <formula>"Towel"</formula>
    </cfRule>
    <cfRule type="cellIs" dxfId="7447" priority="4810" stopIfTrue="1" operator="equal">
      <formula>"Napkin Hs"</formula>
    </cfRule>
  </conditionalFormatting>
  <conditionalFormatting sqref="C34:C35">
    <cfRule type="cellIs" dxfId="7446" priority="4811" stopIfTrue="1" operator="equal">
      <formula>"Towel"</formula>
    </cfRule>
  </conditionalFormatting>
  <conditionalFormatting sqref="B34:C35">
    <cfRule type="cellIs" dxfId="7445" priority="4807" stopIfTrue="1" operator="equal">
      <formula>"Towel"</formula>
    </cfRule>
    <cfRule type="cellIs" dxfId="7444" priority="4808" stopIfTrue="1" operator="equal">
      <formula>"Napkin Hs"</formula>
    </cfRule>
  </conditionalFormatting>
  <conditionalFormatting sqref="C34:C35">
    <cfRule type="cellIs" dxfId="7443" priority="4806" stopIfTrue="1" operator="equal">
      <formula>"Napkin Hs"</formula>
    </cfRule>
  </conditionalFormatting>
  <conditionalFormatting sqref="C34:C35">
    <cfRule type="cellIs" dxfId="7442" priority="4803" stopIfTrue="1" operator="equal">
      <formula>"Towel"</formula>
    </cfRule>
    <cfRule type="cellIs" dxfId="7441" priority="4804" stopIfTrue="1" operator="equal">
      <formula>"Napkin Hs"</formula>
    </cfRule>
  </conditionalFormatting>
  <conditionalFormatting sqref="C34:C35">
    <cfRule type="cellIs" dxfId="7440" priority="4805" stopIfTrue="1" operator="equal">
      <formula>"Towel"</formula>
    </cfRule>
  </conditionalFormatting>
  <conditionalFormatting sqref="B34:C35">
    <cfRule type="cellIs" dxfId="7439" priority="4801" stopIfTrue="1" operator="equal">
      <formula>"Towel"</formula>
    </cfRule>
    <cfRule type="cellIs" dxfId="7438" priority="4802" stopIfTrue="1" operator="equal">
      <formula>"Napkin Hs"</formula>
    </cfRule>
  </conditionalFormatting>
  <conditionalFormatting sqref="C34:C35">
    <cfRule type="cellIs" dxfId="7437" priority="4800" stopIfTrue="1" operator="equal">
      <formula>"Napkin Hs"</formula>
    </cfRule>
  </conditionalFormatting>
  <conditionalFormatting sqref="C34:C35">
    <cfRule type="cellIs" dxfId="7436" priority="4797" stopIfTrue="1" operator="equal">
      <formula>"Towel"</formula>
    </cfRule>
    <cfRule type="cellIs" dxfId="7435" priority="4798" stopIfTrue="1" operator="equal">
      <formula>"Napkin Hs"</formula>
    </cfRule>
  </conditionalFormatting>
  <conditionalFormatting sqref="C34:C35">
    <cfRule type="cellIs" dxfId="7434" priority="4799" stopIfTrue="1" operator="equal">
      <formula>"Towel"</formula>
    </cfRule>
  </conditionalFormatting>
  <conditionalFormatting sqref="B36:C36">
    <cfRule type="cellIs" dxfId="7433" priority="4795" stopIfTrue="1" operator="equal">
      <formula>"Towel"</formula>
    </cfRule>
    <cfRule type="cellIs" dxfId="7432" priority="4796" stopIfTrue="1" operator="equal">
      <formula>"Napkin Hs"</formula>
    </cfRule>
  </conditionalFormatting>
  <conditionalFormatting sqref="C36">
    <cfRule type="cellIs" dxfId="7431" priority="4794" stopIfTrue="1" operator="equal">
      <formula>"Napkin Hs"</formula>
    </cfRule>
  </conditionalFormatting>
  <conditionalFormatting sqref="C36">
    <cfRule type="cellIs" dxfId="7430" priority="4791" stopIfTrue="1" operator="equal">
      <formula>"Towel"</formula>
    </cfRule>
    <cfRule type="cellIs" dxfId="7429" priority="4792" stopIfTrue="1" operator="equal">
      <formula>"Napkin Hs"</formula>
    </cfRule>
  </conditionalFormatting>
  <conditionalFormatting sqref="C36">
    <cfRule type="cellIs" dxfId="7428" priority="4793" stopIfTrue="1" operator="equal">
      <formula>"Towel"</formula>
    </cfRule>
  </conditionalFormatting>
  <conditionalFormatting sqref="B36:C36">
    <cfRule type="cellIs" dxfId="7427" priority="4789" stopIfTrue="1" operator="equal">
      <formula>"Towel"</formula>
    </cfRule>
    <cfRule type="cellIs" dxfId="7426" priority="4790" stopIfTrue="1" operator="equal">
      <formula>"Napkin Hs"</formula>
    </cfRule>
  </conditionalFormatting>
  <conditionalFormatting sqref="C36">
    <cfRule type="cellIs" dxfId="7425" priority="4788" stopIfTrue="1" operator="equal">
      <formula>"Napkin Hs"</formula>
    </cfRule>
  </conditionalFormatting>
  <conditionalFormatting sqref="C36">
    <cfRule type="cellIs" dxfId="7424" priority="4785" stopIfTrue="1" operator="equal">
      <formula>"Towel"</formula>
    </cfRule>
    <cfRule type="cellIs" dxfId="7423" priority="4786" stopIfTrue="1" operator="equal">
      <formula>"Napkin Hs"</formula>
    </cfRule>
  </conditionalFormatting>
  <conditionalFormatting sqref="C36">
    <cfRule type="cellIs" dxfId="7422" priority="4787" stopIfTrue="1" operator="equal">
      <formula>"Towel"</formula>
    </cfRule>
  </conditionalFormatting>
  <conditionalFormatting sqref="B36:C36">
    <cfRule type="cellIs" dxfId="7421" priority="4783" stopIfTrue="1" operator="equal">
      <formula>"Towel"</formula>
    </cfRule>
    <cfRule type="cellIs" dxfId="7420" priority="4784" stopIfTrue="1" operator="equal">
      <formula>"Napkin Hs"</formula>
    </cfRule>
  </conditionalFormatting>
  <conditionalFormatting sqref="C36">
    <cfRule type="cellIs" dxfId="7419" priority="4782" stopIfTrue="1" operator="equal">
      <formula>"Napkin Hs"</formula>
    </cfRule>
  </conditionalFormatting>
  <conditionalFormatting sqref="C36">
    <cfRule type="cellIs" dxfId="7418" priority="4779" stopIfTrue="1" operator="equal">
      <formula>"Towel"</formula>
    </cfRule>
    <cfRule type="cellIs" dxfId="7417" priority="4780" stopIfTrue="1" operator="equal">
      <formula>"Napkin Hs"</formula>
    </cfRule>
  </conditionalFormatting>
  <conditionalFormatting sqref="C36">
    <cfRule type="cellIs" dxfId="7416" priority="4781" stopIfTrue="1" operator="equal">
      <formula>"Towel"</formula>
    </cfRule>
  </conditionalFormatting>
  <conditionalFormatting sqref="B42:C42">
    <cfRule type="cellIs" dxfId="7415" priority="4777" stopIfTrue="1" operator="equal">
      <formula>"Towel"</formula>
    </cfRule>
    <cfRule type="cellIs" dxfId="7414" priority="4778" stopIfTrue="1" operator="equal">
      <formula>"Napkin Hs"</formula>
    </cfRule>
  </conditionalFormatting>
  <conditionalFormatting sqref="C42">
    <cfRule type="cellIs" dxfId="7413" priority="4775" stopIfTrue="1" operator="equal">
      <formula>"Towel"</formula>
    </cfRule>
    <cfRule type="cellIs" dxfId="7412" priority="4776" stopIfTrue="1" operator="equal">
      <formula>"Napkin Hs"</formula>
    </cfRule>
  </conditionalFormatting>
  <conditionalFormatting sqref="C42">
    <cfRule type="cellIs" dxfId="7411" priority="4773" stopIfTrue="1" operator="equal">
      <formula>"Towel"</formula>
    </cfRule>
    <cfRule type="cellIs" dxfId="7410" priority="4774" stopIfTrue="1" operator="equal">
      <formula>"Napkin Hs"</formula>
    </cfRule>
  </conditionalFormatting>
  <conditionalFormatting sqref="B43:C43">
    <cfRule type="cellIs" dxfId="7409" priority="4771" stopIfTrue="1" operator="equal">
      <formula>"Towel"</formula>
    </cfRule>
    <cfRule type="cellIs" dxfId="7408" priority="4772" stopIfTrue="1" operator="equal">
      <formula>"Napkin Hs"</formula>
    </cfRule>
  </conditionalFormatting>
  <conditionalFormatting sqref="C43">
    <cfRule type="cellIs" dxfId="7407" priority="4770" stopIfTrue="1" operator="equal">
      <formula>"Napkin Hs"</formula>
    </cfRule>
  </conditionalFormatting>
  <conditionalFormatting sqref="C43">
    <cfRule type="cellIs" dxfId="7406" priority="4767" stopIfTrue="1" operator="equal">
      <formula>"Towel"</formula>
    </cfRule>
    <cfRule type="cellIs" dxfId="7405" priority="4768" stopIfTrue="1" operator="equal">
      <formula>"Napkin Hs"</formula>
    </cfRule>
  </conditionalFormatting>
  <conditionalFormatting sqref="C43">
    <cfRule type="cellIs" dxfId="7404" priority="4769" stopIfTrue="1" operator="equal">
      <formula>"Towel"</formula>
    </cfRule>
  </conditionalFormatting>
  <conditionalFormatting sqref="B39:C40">
    <cfRule type="cellIs" dxfId="7403" priority="4729" stopIfTrue="1" operator="equal">
      <formula>"Towel"</formula>
    </cfRule>
    <cfRule type="cellIs" dxfId="7402" priority="4730" stopIfTrue="1" operator="equal">
      <formula>"Napkin Hs"</formula>
    </cfRule>
  </conditionalFormatting>
  <conditionalFormatting sqref="C39:C40">
    <cfRule type="cellIs" dxfId="7401" priority="4728" stopIfTrue="1" operator="equal">
      <formula>"Napkin Hs"</formula>
    </cfRule>
  </conditionalFormatting>
  <conditionalFormatting sqref="C39:C40">
    <cfRule type="cellIs" dxfId="7400" priority="4725" stopIfTrue="1" operator="equal">
      <formula>"Towel"</formula>
    </cfRule>
    <cfRule type="cellIs" dxfId="7399" priority="4726" stopIfTrue="1" operator="equal">
      <formula>"Napkin Hs"</formula>
    </cfRule>
  </conditionalFormatting>
  <conditionalFormatting sqref="C39:C40">
    <cfRule type="cellIs" dxfId="7398" priority="4727" stopIfTrue="1" operator="equal">
      <formula>"Towel"</formula>
    </cfRule>
  </conditionalFormatting>
  <conditionalFormatting sqref="B39:C40">
    <cfRule type="cellIs" dxfId="7397" priority="4723" stopIfTrue="1" operator="equal">
      <formula>"Towel"</formula>
    </cfRule>
    <cfRule type="cellIs" dxfId="7396" priority="4724" stopIfTrue="1" operator="equal">
      <formula>"Napkin Hs"</formula>
    </cfRule>
  </conditionalFormatting>
  <conditionalFormatting sqref="C39:C40">
    <cfRule type="cellIs" dxfId="7395" priority="4722" stopIfTrue="1" operator="equal">
      <formula>"Napkin Hs"</formula>
    </cfRule>
  </conditionalFormatting>
  <conditionalFormatting sqref="C39:C40">
    <cfRule type="cellIs" dxfId="7394" priority="4719" stopIfTrue="1" operator="equal">
      <formula>"Towel"</formula>
    </cfRule>
    <cfRule type="cellIs" dxfId="7393" priority="4720" stopIfTrue="1" operator="equal">
      <formula>"Napkin Hs"</formula>
    </cfRule>
  </conditionalFormatting>
  <conditionalFormatting sqref="C39:C40">
    <cfRule type="cellIs" dxfId="7392" priority="4721" stopIfTrue="1" operator="equal">
      <formula>"Towel"</formula>
    </cfRule>
  </conditionalFormatting>
  <conditionalFormatting sqref="B39:C40">
    <cfRule type="cellIs" dxfId="7391" priority="4717" stopIfTrue="1" operator="equal">
      <formula>"Towel"</formula>
    </cfRule>
    <cfRule type="cellIs" dxfId="7390" priority="4718" stopIfTrue="1" operator="equal">
      <formula>"Napkin Hs"</formula>
    </cfRule>
  </conditionalFormatting>
  <conditionalFormatting sqref="C39:C40">
    <cfRule type="cellIs" dxfId="7389" priority="4716" stopIfTrue="1" operator="equal">
      <formula>"Napkin Hs"</formula>
    </cfRule>
  </conditionalFormatting>
  <conditionalFormatting sqref="C39:C40">
    <cfRule type="cellIs" dxfId="7388" priority="4713" stopIfTrue="1" operator="equal">
      <formula>"Towel"</formula>
    </cfRule>
    <cfRule type="cellIs" dxfId="7387" priority="4714" stopIfTrue="1" operator="equal">
      <formula>"Napkin Hs"</formula>
    </cfRule>
  </conditionalFormatting>
  <conditionalFormatting sqref="C39:C40">
    <cfRule type="cellIs" dxfId="7386" priority="4715" stopIfTrue="1" operator="equal">
      <formula>"Towel"</formula>
    </cfRule>
  </conditionalFormatting>
  <conditionalFormatting sqref="B39:C40">
    <cfRule type="cellIs" dxfId="7385" priority="4711" stopIfTrue="1" operator="equal">
      <formula>"Towel"</formula>
    </cfRule>
    <cfRule type="cellIs" dxfId="7384" priority="4712" stopIfTrue="1" operator="equal">
      <formula>"Napkin Hs"</formula>
    </cfRule>
  </conditionalFormatting>
  <conditionalFormatting sqref="C39:C40">
    <cfRule type="cellIs" dxfId="7383" priority="4710" stopIfTrue="1" operator="equal">
      <formula>"Napkin Hs"</formula>
    </cfRule>
  </conditionalFormatting>
  <conditionalFormatting sqref="C39:C40">
    <cfRule type="cellIs" dxfId="7382" priority="4707" stopIfTrue="1" operator="equal">
      <formula>"Towel"</formula>
    </cfRule>
    <cfRule type="cellIs" dxfId="7381" priority="4708" stopIfTrue="1" operator="equal">
      <formula>"Napkin Hs"</formula>
    </cfRule>
  </conditionalFormatting>
  <conditionalFormatting sqref="C39:C40">
    <cfRule type="cellIs" dxfId="7380" priority="4709" stopIfTrue="1" operator="equal">
      <formula>"Towel"</formula>
    </cfRule>
  </conditionalFormatting>
  <conditionalFormatting sqref="B39:C40">
    <cfRule type="cellIs" dxfId="7379" priority="4705" stopIfTrue="1" operator="equal">
      <formula>"Towel"</formula>
    </cfRule>
    <cfRule type="cellIs" dxfId="7378" priority="4706" stopIfTrue="1" operator="equal">
      <formula>"Napkin Hs"</formula>
    </cfRule>
  </conditionalFormatting>
  <conditionalFormatting sqref="C39:C40">
    <cfRule type="cellIs" dxfId="7377" priority="4704" stopIfTrue="1" operator="equal">
      <formula>"Napkin Hs"</formula>
    </cfRule>
  </conditionalFormatting>
  <conditionalFormatting sqref="C39:C40">
    <cfRule type="cellIs" dxfId="7376" priority="4701" stopIfTrue="1" operator="equal">
      <formula>"Towel"</formula>
    </cfRule>
    <cfRule type="cellIs" dxfId="7375" priority="4702" stopIfTrue="1" operator="equal">
      <formula>"Napkin Hs"</formula>
    </cfRule>
  </conditionalFormatting>
  <conditionalFormatting sqref="C39:C40">
    <cfRule type="cellIs" dxfId="7374" priority="4703" stopIfTrue="1" operator="equal">
      <formula>"Towel"</formula>
    </cfRule>
  </conditionalFormatting>
  <conditionalFormatting sqref="B39:C40">
    <cfRule type="cellIs" dxfId="7373" priority="4699" stopIfTrue="1" operator="equal">
      <formula>"Towel"</formula>
    </cfRule>
    <cfRule type="cellIs" dxfId="7372" priority="4700" stopIfTrue="1" operator="equal">
      <formula>"Napkin Hs"</formula>
    </cfRule>
  </conditionalFormatting>
  <conditionalFormatting sqref="C39:C40">
    <cfRule type="cellIs" dxfId="7371" priority="4698" stopIfTrue="1" operator="equal">
      <formula>"Napkin Hs"</formula>
    </cfRule>
  </conditionalFormatting>
  <conditionalFormatting sqref="C39:C40">
    <cfRule type="cellIs" dxfId="7370" priority="4695" stopIfTrue="1" operator="equal">
      <formula>"Towel"</formula>
    </cfRule>
    <cfRule type="cellIs" dxfId="7369" priority="4696" stopIfTrue="1" operator="equal">
      <formula>"Napkin Hs"</formula>
    </cfRule>
  </conditionalFormatting>
  <conditionalFormatting sqref="C39:C40">
    <cfRule type="cellIs" dxfId="7368" priority="4697" stopIfTrue="1" operator="equal">
      <formula>"Towel"</formula>
    </cfRule>
  </conditionalFormatting>
  <conditionalFormatting sqref="B41:C41">
    <cfRule type="cellIs" dxfId="7367" priority="4693" stopIfTrue="1" operator="equal">
      <formula>"Towel"</formula>
    </cfRule>
    <cfRule type="cellIs" dxfId="7366" priority="4694" stopIfTrue="1" operator="equal">
      <formula>"Napkin Hs"</formula>
    </cfRule>
  </conditionalFormatting>
  <conditionalFormatting sqref="C41">
    <cfRule type="cellIs" dxfId="7365" priority="4692" stopIfTrue="1" operator="equal">
      <formula>"Napkin Hs"</formula>
    </cfRule>
  </conditionalFormatting>
  <conditionalFormatting sqref="C41">
    <cfRule type="cellIs" dxfId="7364" priority="4689" stopIfTrue="1" operator="equal">
      <formula>"Towel"</formula>
    </cfRule>
    <cfRule type="cellIs" dxfId="7363" priority="4690" stopIfTrue="1" operator="equal">
      <formula>"Napkin Hs"</formula>
    </cfRule>
  </conditionalFormatting>
  <conditionalFormatting sqref="C41">
    <cfRule type="cellIs" dxfId="7362" priority="4691" stopIfTrue="1" operator="equal">
      <formula>"Towel"</formula>
    </cfRule>
  </conditionalFormatting>
  <conditionalFormatting sqref="B41:C41">
    <cfRule type="cellIs" dxfId="7361" priority="4687" stopIfTrue="1" operator="equal">
      <formula>"Towel"</formula>
    </cfRule>
    <cfRule type="cellIs" dxfId="7360" priority="4688" stopIfTrue="1" operator="equal">
      <formula>"Napkin Hs"</formula>
    </cfRule>
  </conditionalFormatting>
  <conditionalFormatting sqref="C41">
    <cfRule type="cellIs" dxfId="7359" priority="4686" stopIfTrue="1" operator="equal">
      <formula>"Napkin Hs"</formula>
    </cfRule>
  </conditionalFormatting>
  <conditionalFormatting sqref="C41">
    <cfRule type="cellIs" dxfId="7358" priority="4683" stopIfTrue="1" operator="equal">
      <formula>"Towel"</formula>
    </cfRule>
    <cfRule type="cellIs" dxfId="7357" priority="4684" stopIfTrue="1" operator="equal">
      <formula>"Napkin Hs"</formula>
    </cfRule>
  </conditionalFormatting>
  <conditionalFormatting sqref="C41">
    <cfRule type="cellIs" dxfId="7356" priority="4685" stopIfTrue="1" operator="equal">
      <formula>"Towel"</formula>
    </cfRule>
  </conditionalFormatting>
  <conditionalFormatting sqref="B41:C41">
    <cfRule type="cellIs" dxfId="7355" priority="4681" stopIfTrue="1" operator="equal">
      <formula>"Towel"</formula>
    </cfRule>
    <cfRule type="cellIs" dxfId="7354" priority="4682" stopIfTrue="1" operator="equal">
      <formula>"Napkin Hs"</formula>
    </cfRule>
  </conditionalFormatting>
  <conditionalFormatting sqref="C41">
    <cfRule type="cellIs" dxfId="7353" priority="4680" stopIfTrue="1" operator="equal">
      <formula>"Napkin Hs"</formula>
    </cfRule>
  </conditionalFormatting>
  <conditionalFormatting sqref="C41">
    <cfRule type="cellIs" dxfId="7352" priority="4677" stopIfTrue="1" operator="equal">
      <formula>"Towel"</formula>
    </cfRule>
    <cfRule type="cellIs" dxfId="7351" priority="4678" stopIfTrue="1" operator="equal">
      <formula>"Napkin Hs"</formula>
    </cfRule>
  </conditionalFormatting>
  <conditionalFormatting sqref="C41">
    <cfRule type="cellIs" dxfId="7350" priority="4679" stopIfTrue="1" operator="equal">
      <formula>"Towel"</formula>
    </cfRule>
  </conditionalFormatting>
  <conditionalFormatting sqref="B38:C38">
    <cfRule type="cellIs" dxfId="7349" priority="4675" stopIfTrue="1" operator="equal">
      <formula>"Towel"</formula>
    </cfRule>
    <cfRule type="cellIs" dxfId="7348" priority="4676" stopIfTrue="1" operator="equal">
      <formula>"Napkin Hs"</formula>
    </cfRule>
  </conditionalFormatting>
  <conditionalFormatting sqref="C38">
    <cfRule type="cellIs" dxfId="7347" priority="4673" stopIfTrue="1" operator="equal">
      <formula>"Towel"</formula>
    </cfRule>
    <cfRule type="cellIs" dxfId="7346" priority="4674" stopIfTrue="1" operator="equal">
      <formula>"Napkin Hs"</formula>
    </cfRule>
  </conditionalFormatting>
  <conditionalFormatting sqref="C38">
    <cfRule type="cellIs" dxfId="7345" priority="4671" stopIfTrue="1" operator="equal">
      <formula>"Towel"</formula>
    </cfRule>
    <cfRule type="cellIs" dxfId="7344" priority="4672" stopIfTrue="1" operator="equal">
      <formula>"Napkin Hs"</formula>
    </cfRule>
  </conditionalFormatting>
  <conditionalFormatting sqref="B38:C38">
    <cfRule type="cellIs" dxfId="7343" priority="4669" stopIfTrue="1" operator="equal">
      <formula>"Towel"</formula>
    </cfRule>
    <cfRule type="cellIs" dxfId="7342" priority="4670" stopIfTrue="1" operator="equal">
      <formula>"Napkin Hs"</formula>
    </cfRule>
  </conditionalFormatting>
  <conditionalFormatting sqref="C38">
    <cfRule type="cellIs" dxfId="7341" priority="4668" stopIfTrue="1" operator="equal">
      <formula>"Napkin Hs"</formula>
    </cfRule>
  </conditionalFormatting>
  <conditionalFormatting sqref="C38">
    <cfRule type="cellIs" dxfId="7340" priority="4665" stopIfTrue="1" operator="equal">
      <formula>"Towel"</formula>
    </cfRule>
    <cfRule type="cellIs" dxfId="7339" priority="4666" stopIfTrue="1" operator="equal">
      <formula>"Napkin Hs"</formula>
    </cfRule>
  </conditionalFormatting>
  <conditionalFormatting sqref="C38">
    <cfRule type="cellIs" dxfId="7338" priority="4667" stopIfTrue="1" operator="equal">
      <formula>"Towel"</formula>
    </cfRule>
  </conditionalFormatting>
  <conditionalFormatting sqref="B38:C38">
    <cfRule type="cellIs" dxfId="7337" priority="4663" stopIfTrue="1" operator="equal">
      <formula>"Towel"</formula>
    </cfRule>
    <cfRule type="cellIs" dxfId="7336" priority="4664" stopIfTrue="1" operator="equal">
      <formula>"Napkin Hs"</formula>
    </cfRule>
  </conditionalFormatting>
  <conditionalFormatting sqref="C38">
    <cfRule type="cellIs" dxfId="7335" priority="4662" stopIfTrue="1" operator="equal">
      <formula>"Napkin Hs"</formula>
    </cfRule>
  </conditionalFormatting>
  <conditionalFormatting sqref="C38">
    <cfRule type="cellIs" dxfId="7334" priority="4659" stopIfTrue="1" operator="equal">
      <formula>"Towel"</formula>
    </cfRule>
    <cfRule type="cellIs" dxfId="7333" priority="4660" stopIfTrue="1" operator="equal">
      <formula>"Napkin Hs"</formula>
    </cfRule>
  </conditionalFormatting>
  <conditionalFormatting sqref="C38">
    <cfRule type="cellIs" dxfId="7332" priority="4661" stopIfTrue="1" operator="equal">
      <formula>"Towel"</formula>
    </cfRule>
  </conditionalFormatting>
  <conditionalFormatting sqref="B38:C38">
    <cfRule type="cellIs" dxfId="7331" priority="4657" stopIfTrue="1" operator="equal">
      <formula>"Towel"</formula>
    </cfRule>
    <cfRule type="cellIs" dxfId="7330" priority="4658" stopIfTrue="1" operator="equal">
      <formula>"Napkin Hs"</formula>
    </cfRule>
  </conditionalFormatting>
  <conditionalFormatting sqref="C38">
    <cfRule type="cellIs" dxfId="7329" priority="4656" stopIfTrue="1" operator="equal">
      <formula>"Napkin Hs"</formula>
    </cfRule>
  </conditionalFormatting>
  <conditionalFormatting sqref="C38">
    <cfRule type="cellIs" dxfId="7328" priority="4653" stopIfTrue="1" operator="equal">
      <formula>"Towel"</formula>
    </cfRule>
    <cfRule type="cellIs" dxfId="7327" priority="4654" stopIfTrue="1" operator="equal">
      <formula>"Napkin Hs"</formula>
    </cfRule>
  </conditionalFormatting>
  <conditionalFormatting sqref="C38">
    <cfRule type="cellIs" dxfId="7326" priority="4655" stopIfTrue="1" operator="equal">
      <formula>"Towel"</formula>
    </cfRule>
  </conditionalFormatting>
  <conditionalFormatting sqref="B45:C45">
    <cfRule type="cellIs" dxfId="7325" priority="4651" stopIfTrue="1" operator="equal">
      <formula>"Towel"</formula>
    </cfRule>
    <cfRule type="cellIs" dxfId="7324" priority="4652" stopIfTrue="1" operator="equal">
      <formula>"Napkin Hs"</formula>
    </cfRule>
  </conditionalFormatting>
  <conditionalFormatting sqref="C45">
    <cfRule type="cellIs" dxfId="7323" priority="4649" stopIfTrue="1" operator="equal">
      <formula>"Towel"</formula>
    </cfRule>
    <cfRule type="cellIs" dxfId="7322" priority="4650" stopIfTrue="1" operator="equal">
      <formula>"Napkin Hs"</formula>
    </cfRule>
  </conditionalFormatting>
  <conditionalFormatting sqref="C45">
    <cfRule type="cellIs" dxfId="7321" priority="4647" stopIfTrue="1" operator="equal">
      <formula>"Towel"</formula>
    </cfRule>
    <cfRule type="cellIs" dxfId="7320" priority="4648" stopIfTrue="1" operator="equal">
      <formula>"Napkin Hs"</formula>
    </cfRule>
  </conditionalFormatting>
  <conditionalFormatting sqref="B43:C44">
    <cfRule type="cellIs" dxfId="7319" priority="4645" stopIfTrue="1" operator="equal">
      <formula>"Towel"</formula>
    </cfRule>
    <cfRule type="cellIs" dxfId="7318" priority="4646" stopIfTrue="1" operator="equal">
      <formula>"Napkin Hs"</formula>
    </cfRule>
  </conditionalFormatting>
  <conditionalFormatting sqref="C43:C44">
    <cfRule type="cellIs" dxfId="7317" priority="4644" stopIfTrue="1" operator="equal">
      <formula>"Napkin Hs"</formula>
    </cfRule>
  </conditionalFormatting>
  <conditionalFormatting sqref="C43:C44">
    <cfRule type="cellIs" dxfId="7316" priority="4641" stopIfTrue="1" operator="equal">
      <formula>"Towel"</formula>
    </cfRule>
    <cfRule type="cellIs" dxfId="7315" priority="4642" stopIfTrue="1" operator="equal">
      <formula>"Napkin Hs"</formula>
    </cfRule>
  </conditionalFormatting>
  <conditionalFormatting sqref="C43:C44">
    <cfRule type="cellIs" dxfId="7314" priority="4643" stopIfTrue="1" operator="equal">
      <formula>"Towel"</formula>
    </cfRule>
  </conditionalFormatting>
  <conditionalFormatting sqref="B43:C44">
    <cfRule type="cellIs" dxfId="7313" priority="4621" stopIfTrue="1" operator="equal">
      <formula>"Towel"</formula>
    </cfRule>
    <cfRule type="cellIs" dxfId="7312" priority="4622" stopIfTrue="1" operator="equal">
      <formula>"Napkin Hs"</formula>
    </cfRule>
  </conditionalFormatting>
  <conditionalFormatting sqref="C43:C44">
    <cfRule type="cellIs" dxfId="7311" priority="4620" stopIfTrue="1" operator="equal">
      <formula>"Napkin Hs"</formula>
    </cfRule>
  </conditionalFormatting>
  <conditionalFormatting sqref="C43:C44">
    <cfRule type="cellIs" dxfId="7310" priority="4617" stopIfTrue="1" operator="equal">
      <formula>"Towel"</formula>
    </cfRule>
    <cfRule type="cellIs" dxfId="7309" priority="4618" stopIfTrue="1" operator="equal">
      <formula>"Napkin Hs"</formula>
    </cfRule>
  </conditionalFormatting>
  <conditionalFormatting sqref="C43:C44">
    <cfRule type="cellIs" dxfId="7308" priority="4619" stopIfTrue="1" operator="equal">
      <formula>"Towel"</formula>
    </cfRule>
  </conditionalFormatting>
  <conditionalFormatting sqref="B43:C44">
    <cfRule type="cellIs" dxfId="7307" priority="4615" stopIfTrue="1" operator="equal">
      <formula>"Towel"</formula>
    </cfRule>
    <cfRule type="cellIs" dxfId="7306" priority="4616" stopIfTrue="1" operator="equal">
      <formula>"Napkin Hs"</formula>
    </cfRule>
  </conditionalFormatting>
  <conditionalFormatting sqref="C43:C44">
    <cfRule type="cellIs" dxfId="7305" priority="4614" stopIfTrue="1" operator="equal">
      <formula>"Napkin Hs"</formula>
    </cfRule>
  </conditionalFormatting>
  <conditionalFormatting sqref="C43:C44">
    <cfRule type="cellIs" dxfId="7304" priority="4611" stopIfTrue="1" operator="equal">
      <formula>"Towel"</formula>
    </cfRule>
    <cfRule type="cellIs" dxfId="7303" priority="4612" stopIfTrue="1" operator="equal">
      <formula>"Napkin Hs"</formula>
    </cfRule>
  </conditionalFormatting>
  <conditionalFormatting sqref="C43:C44">
    <cfRule type="cellIs" dxfId="7302" priority="4613" stopIfTrue="1" operator="equal">
      <formula>"Towel"</formula>
    </cfRule>
  </conditionalFormatting>
  <conditionalFormatting sqref="B43:C44">
    <cfRule type="cellIs" dxfId="7301" priority="4609" stopIfTrue="1" operator="equal">
      <formula>"Towel"</formula>
    </cfRule>
    <cfRule type="cellIs" dxfId="7300" priority="4610" stopIfTrue="1" operator="equal">
      <formula>"Napkin Hs"</formula>
    </cfRule>
  </conditionalFormatting>
  <conditionalFormatting sqref="C43:C44">
    <cfRule type="cellIs" dxfId="7299" priority="4608" stopIfTrue="1" operator="equal">
      <formula>"Napkin Hs"</formula>
    </cfRule>
  </conditionalFormatting>
  <conditionalFormatting sqref="C43:C44">
    <cfRule type="cellIs" dxfId="7298" priority="4605" stopIfTrue="1" operator="equal">
      <formula>"Towel"</formula>
    </cfRule>
    <cfRule type="cellIs" dxfId="7297" priority="4606" stopIfTrue="1" operator="equal">
      <formula>"Napkin Hs"</formula>
    </cfRule>
  </conditionalFormatting>
  <conditionalFormatting sqref="C43:C44">
    <cfRule type="cellIs" dxfId="7296" priority="4607" stopIfTrue="1" operator="equal">
      <formula>"Towel"</formula>
    </cfRule>
  </conditionalFormatting>
  <conditionalFormatting sqref="B43:C44">
    <cfRule type="cellIs" dxfId="7295" priority="4603" stopIfTrue="1" operator="equal">
      <formula>"Towel"</formula>
    </cfRule>
    <cfRule type="cellIs" dxfId="7294" priority="4604" stopIfTrue="1" operator="equal">
      <formula>"Napkin Hs"</formula>
    </cfRule>
  </conditionalFormatting>
  <conditionalFormatting sqref="C43:C44">
    <cfRule type="cellIs" dxfId="7293" priority="4602" stopIfTrue="1" operator="equal">
      <formula>"Napkin Hs"</formula>
    </cfRule>
  </conditionalFormatting>
  <conditionalFormatting sqref="C43:C44">
    <cfRule type="cellIs" dxfId="7292" priority="4599" stopIfTrue="1" operator="equal">
      <formula>"Towel"</formula>
    </cfRule>
    <cfRule type="cellIs" dxfId="7291" priority="4600" stopIfTrue="1" operator="equal">
      <formula>"Napkin Hs"</formula>
    </cfRule>
  </conditionalFormatting>
  <conditionalFormatting sqref="C43:C44">
    <cfRule type="cellIs" dxfId="7290" priority="4601" stopIfTrue="1" operator="equal">
      <formula>"Towel"</formula>
    </cfRule>
  </conditionalFormatting>
  <conditionalFormatting sqref="B43:C44">
    <cfRule type="cellIs" dxfId="7289" priority="4597" stopIfTrue="1" operator="equal">
      <formula>"Towel"</formula>
    </cfRule>
    <cfRule type="cellIs" dxfId="7288" priority="4598" stopIfTrue="1" operator="equal">
      <formula>"Napkin Hs"</formula>
    </cfRule>
  </conditionalFormatting>
  <conditionalFormatting sqref="C43:C44">
    <cfRule type="cellIs" dxfId="7287" priority="4596" stopIfTrue="1" operator="equal">
      <formula>"Napkin Hs"</formula>
    </cfRule>
  </conditionalFormatting>
  <conditionalFormatting sqref="C43:C44">
    <cfRule type="cellIs" dxfId="7286" priority="4593" stopIfTrue="1" operator="equal">
      <formula>"Towel"</formula>
    </cfRule>
    <cfRule type="cellIs" dxfId="7285" priority="4594" stopIfTrue="1" operator="equal">
      <formula>"Napkin Hs"</formula>
    </cfRule>
  </conditionalFormatting>
  <conditionalFormatting sqref="C43:C44">
    <cfRule type="cellIs" dxfId="7284" priority="4595" stopIfTrue="1" operator="equal">
      <formula>"Towel"</formula>
    </cfRule>
  </conditionalFormatting>
  <conditionalFormatting sqref="B43:C44">
    <cfRule type="cellIs" dxfId="7283" priority="4591" stopIfTrue="1" operator="equal">
      <formula>"Towel"</formula>
    </cfRule>
    <cfRule type="cellIs" dxfId="7282" priority="4592" stopIfTrue="1" operator="equal">
      <formula>"Napkin Hs"</formula>
    </cfRule>
  </conditionalFormatting>
  <conditionalFormatting sqref="C43:C44">
    <cfRule type="cellIs" dxfId="7281" priority="4590" stopIfTrue="1" operator="equal">
      <formula>"Napkin Hs"</formula>
    </cfRule>
  </conditionalFormatting>
  <conditionalFormatting sqref="C43:C44">
    <cfRule type="cellIs" dxfId="7280" priority="4587" stopIfTrue="1" operator="equal">
      <formula>"Towel"</formula>
    </cfRule>
    <cfRule type="cellIs" dxfId="7279" priority="4588" stopIfTrue="1" operator="equal">
      <formula>"Napkin Hs"</formula>
    </cfRule>
  </conditionalFormatting>
  <conditionalFormatting sqref="C43:C44">
    <cfRule type="cellIs" dxfId="7278" priority="4589" stopIfTrue="1" operator="equal">
      <formula>"Towel"</formula>
    </cfRule>
  </conditionalFormatting>
  <conditionalFormatting sqref="B45:C45">
    <cfRule type="cellIs" dxfId="7277" priority="4585" stopIfTrue="1" operator="equal">
      <formula>"Towel"</formula>
    </cfRule>
    <cfRule type="cellIs" dxfId="7276" priority="4586" stopIfTrue="1" operator="equal">
      <formula>"Napkin Hs"</formula>
    </cfRule>
  </conditionalFormatting>
  <conditionalFormatting sqref="C45">
    <cfRule type="cellIs" dxfId="7275" priority="4584" stopIfTrue="1" operator="equal">
      <formula>"Napkin Hs"</formula>
    </cfRule>
  </conditionalFormatting>
  <conditionalFormatting sqref="C45">
    <cfRule type="cellIs" dxfId="7274" priority="4581" stopIfTrue="1" operator="equal">
      <formula>"Towel"</formula>
    </cfRule>
    <cfRule type="cellIs" dxfId="7273" priority="4582" stopIfTrue="1" operator="equal">
      <formula>"Napkin Hs"</formula>
    </cfRule>
  </conditionalFormatting>
  <conditionalFormatting sqref="C45">
    <cfRule type="cellIs" dxfId="7272" priority="4583" stopIfTrue="1" operator="equal">
      <formula>"Towel"</formula>
    </cfRule>
  </conditionalFormatting>
  <conditionalFormatting sqref="B45:C45">
    <cfRule type="cellIs" dxfId="7271" priority="4579" stopIfTrue="1" operator="equal">
      <formula>"Towel"</formula>
    </cfRule>
    <cfRule type="cellIs" dxfId="7270" priority="4580" stopIfTrue="1" operator="equal">
      <formula>"Napkin Hs"</formula>
    </cfRule>
  </conditionalFormatting>
  <conditionalFormatting sqref="C45">
    <cfRule type="cellIs" dxfId="7269" priority="4578" stopIfTrue="1" operator="equal">
      <formula>"Napkin Hs"</formula>
    </cfRule>
  </conditionalFormatting>
  <conditionalFormatting sqref="C45">
    <cfRule type="cellIs" dxfId="7268" priority="4575" stopIfTrue="1" operator="equal">
      <formula>"Towel"</formula>
    </cfRule>
    <cfRule type="cellIs" dxfId="7267" priority="4576" stopIfTrue="1" operator="equal">
      <formula>"Napkin Hs"</formula>
    </cfRule>
  </conditionalFormatting>
  <conditionalFormatting sqref="C45">
    <cfRule type="cellIs" dxfId="7266" priority="4577" stopIfTrue="1" operator="equal">
      <formula>"Towel"</formula>
    </cfRule>
  </conditionalFormatting>
  <conditionalFormatting sqref="B45:C45">
    <cfRule type="cellIs" dxfId="7265" priority="4573" stopIfTrue="1" operator="equal">
      <formula>"Towel"</formula>
    </cfRule>
    <cfRule type="cellIs" dxfId="7264" priority="4574" stopIfTrue="1" operator="equal">
      <formula>"Napkin Hs"</formula>
    </cfRule>
  </conditionalFormatting>
  <conditionalFormatting sqref="C45">
    <cfRule type="cellIs" dxfId="7263" priority="4572" stopIfTrue="1" operator="equal">
      <formula>"Napkin Hs"</formula>
    </cfRule>
  </conditionalFormatting>
  <conditionalFormatting sqref="C45">
    <cfRule type="cellIs" dxfId="7262" priority="4569" stopIfTrue="1" operator="equal">
      <formula>"Towel"</formula>
    </cfRule>
    <cfRule type="cellIs" dxfId="7261" priority="4570" stopIfTrue="1" operator="equal">
      <formula>"Napkin Hs"</formula>
    </cfRule>
  </conditionalFormatting>
  <conditionalFormatting sqref="C45">
    <cfRule type="cellIs" dxfId="7260" priority="4571" stopIfTrue="1" operator="equal">
      <formula>"Towel"</formula>
    </cfRule>
  </conditionalFormatting>
  <conditionalFormatting sqref="B42:C42">
    <cfRule type="cellIs" dxfId="7259" priority="4567" stopIfTrue="1" operator="equal">
      <formula>"Towel"</formula>
    </cfRule>
    <cfRule type="cellIs" dxfId="7258" priority="4568" stopIfTrue="1" operator="equal">
      <formula>"Napkin Hs"</formula>
    </cfRule>
  </conditionalFormatting>
  <conditionalFormatting sqref="C42">
    <cfRule type="cellIs" dxfId="7257" priority="4565" stopIfTrue="1" operator="equal">
      <formula>"Towel"</formula>
    </cfRule>
    <cfRule type="cellIs" dxfId="7256" priority="4566" stopIfTrue="1" operator="equal">
      <formula>"Napkin Hs"</formula>
    </cfRule>
  </conditionalFormatting>
  <conditionalFormatting sqref="C42">
    <cfRule type="cellIs" dxfId="7255" priority="4563" stopIfTrue="1" operator="equal">
      <formula>"Towel"</formula>
    </cfRule>
    <cfRule type="cellIs" dxfId="7254" priority="4564" stopIfTrue="1" operator="equal">
      <formula>"Napkin Hs"</formula>
    </cfRule>
  </conditionalFormatting>
  <conditionalFormatting sqref="B42:C42">
    <cfRule type="cellIs" dxfId="7253" priority="4561" stopIfTrue="1" operator="equal">
      <formula>"Towel"</formula>
    </cfRule>
    <cfRule type="cellIs" dxfId="7252" priority="4562" stopIfTrue="1" operator="equal">
      <formula>"Napkin Hs"</formula>
    </cfRule>
  </conditionalFormatting>
  <conditionalFormatting sqref="C42">
    <cfRule type="cellIs" dxfId="7251" priority="4560" stopIfTrue="1" operator="equal">
      <formula>"Napkin Hs"</formula>
    </cfRule>
  </conditionalFormatting>
  <conditionalFormatting sqref="C42">
    <cfRule type="cellIs" dxfId="7250" priority="4557" stopIfTrue="1" operator="equal">
      <formula>"Towel"</formula>
    </cfRule>
    <cfRule type="cellIs" dxfId="7249" priority="4558" stopIfTrue="1" operator="equal">
      <formula>"Napkin Hs"</formula>
    </cfRule>
  </conditionalFormatting>
  <conditionalFormatting sqref="C42">
    <cfRule type="cellIs" dxfId="7248" priority="4559" stopIfTrue="1" operator="equal">
      <formula>"Towel"</formula>
    </cfRule>
  </conditionalFormatting>
  <conditionalFormatting sqref="B42:C42">
    <cfRule type="cellIs" dxfId="7247" priority="4555" stopIfTrue="1" operator="equal">
      <formula>"Towel"</formula>
    </cfRule>
    <cfRule type="cellIs" dxfId="7246" priority="4556" stopIfTrue="1" operator="equal">
      <formula>"Napkin Hs"</formula>
    </cfRule>
  </conditionalFormatting>
  <conditionalFormatting sqref="C42">
    <cfRule type="cellIs" dxfId="7245" priority="4554" stopIfTrue="1" operator="equal">
      <formula>"Napkin Hs"</formula>
    </cfRule>
  </conditionalFormatting>
  <conditionalFormatting sqref="C42">
    <cfRule type="cellIs" dxfId="7244" priority="4551" stopIfTrue="1" operator="equal">
      <formula>"Towel"</formula>
    </cfRule>
    <cfRule type="cellIs" dxfId="7243" priority="4552" stopIfTrue="1" operator="equal">
      <formula>"Napkin Hs"</formula>
    </cfRule>
  </conditionalFormatting>
  <conditionalFormatting sqref="C42">
    <cfRule type="cellIs" dxfId="7242" priority="4553" stopIfTrue="1" operator="equal">
      <formula>"Towel"</formula>
    </cfRule>
  </conditionalFormatting>
  <conditionalFormatting sqref="B42:C42">
    <cfRule type="cellIs" dxfId="7241" priority="4549" stopIfTrue="1" operator="equal">
      <formula>"Towel"</formula>
    </cfRule>
    <cfRule type="cellIs" dxfId="7240" priority="4550" stopIfTrue="1" operator="equal">
      <formula>"Napkin Hs"</formula>
    </cfRule>
  </conditionalFormatting>
  <conditionalFormatting sqref="C42">
    <cfRule type="cellIs" dxfId="7239" priority="4548" stopIfTrue="1" operator="equal">
      <formula>"Napkin Hs"</formula>
    </cfRule>
  </conditionalFormatting>
  <conditionalFormatting sqref="C42">
    <cfRule type="cellIs" dxfId="7238" priority="4545" stopIfTrue="1" operator="equal">
      <formula>"Towel"</formula>
    </cfRule>
    <cfRule type="cellIs" dxfId="7237" priority="4546" stopIfTrue="1" operator="equal">
      <formula>"Napkin Hs"</formula>
    </cfRule>
  </conditionalFormatting>
  <conditionalFormatting sqref="C42">
    <cfRule type="cellIs" dxfId="7236" priority="4547" stopIfTrue="1" operator="equal">
      <formula>"Towel"</formula>
    </cfRule>
  </conditionalFormatting>
  <conditionalFormatting sqref="B49:C49">
    <cfRule type="cellIs" dxfId="7235" priority="4543" stopIfTrue="1" operator="equal">
      <formula>"Towel"</formula>
    </cfRule>
    <cfRule type="cellIs" dxfId="7234" priority="4544" stopIfTrue="1" operator="equal">
      <formula>"Napkin Hs"</formula>
    </cfRule>
  </conditionalFormatting>
  <conditionalFormatting sqref="C49">
    <cfRule type="cellIs" dxfId="7233" priority="4539" stopIfTrue="1" operator="equal">
      <formula>"Towel"</formula>
    </cfRule>
    <cfRule type="cellIs" dxfId="7232" priority="4540" stopIfTrue="1" operator="equal">
      <formula>"Napkin Hs"</formula>
    </cfRule>
  </conditionalFormatting>
  <conditionalFormatting sqref="C49">
    <cfRule type="cellIs" dxfId="7231" priority="4541" stopIfTrue="1" operator="equal">
      <formula>"Towel"</formula>
    </cfRule>
    <cfRule type="cellIs" dxfId="7230" priority="4542" stopIfTrue="1" operator="equal">
      <formula>"Napkin Hs"</formula>
    </cfRule>
  </conditionalFormatting>
  <conditionalFormatting sqref="B46:C48">
    <cfRule type="cellIs" dxfId="7229" priority="4537" stopIfTrue="1" operator="equal">
      <formula>"Towel"</formula>
    </cfRule>
    <cfRule type="cellIs" dxfId="7228" priority="4538" stopIfTrue="1" operator="equal">
      <formula>"Napkin Hs"</formula>
    </cfRule>
  </conditionalFormatting>
  <conditionalFormatting sqref="C46:C48">
    <cfRule type="cellIs" dxfId="7227" priority="4536" stopIfTrue="1" operator="equal">
      <formula>"Napkin Hs"</formula>
    </cfRule>
  </conditionalFormatting>
  <conditionalFormatting sqref="C46:C48">
    <cfRule type="cellIs" dxfId="7226" priority="4533" stopIfTrue="1" operator="equal">
      <formula>"Towel"</formula>
    </cfRule>
    <cfRule type="cellIs" dxfId="7225" priority="4534" stopIfTrue="1" operator="equal">
      <formula>"Napkin Hs"</formula>
    </cfRule>
  </conditionalFormatting>
  <conditionalFormatting sqref="C46:C48">
    <cfRule type="cellIs" dxfId="7224" priority="4535" stopIfTrue="1" operator="equal">
      <formula>"Towel"</formula>
    </cfRule>
  </conditionalFormatting>
  <conditionalFormatting sqref="B46:C46">
    <cfRule type="cellIs" dxfId="7223" priority="4531" stopIfTrue="1" operator="equal">
      <formula>"Towel"</formula>
    </cfRule>
    <cfRule type="cellIs" dxfId="7222" priority="4532" stopIfTrue="1" operator="equal">
      <formula>"Napkin Hs"</formula>
    </cfRule>
  </conditionalFormatting>
  <conditionalFormatting sqref="C46">
    <cfRule type="cellIs" dxfId="7221" priority="4529" stopIfTrue="1" operator="equal">
      <formula>"Towel"</formula>
    </cfRule>
    <cfRule type="cellIs" dxfId="7220" priority="4530" stopIfTrue="1" operator="equal">
      <formula>"Napkin Hs"</formula>
    </cfRule>
  </conditionalFormatting>
  <conditionalFormatting sqref="C46">
    <cfRule type="cellIs" dxfId="7219" priority="4527" stopIfTrue="1" operator="equal">
      <formula>"Towel"</formula>
    </cfRule>
    <cfRule type="cellIs" dxfId="7218" priority="4528" stopIfTrue="1" operator="equal">
      <formula>"Napkin Hs"</formula>
    </cfRule>
  </conditionalFormatting>
  <conditionalFormatting sqref="B47:C47">
    <cfRule type="cellIs" dxfId="7217" priority="4525" stopIfTrue="1" operator="equal">
      <formula>"Towel"</formula>
    </cfRule>
    <cfRule type="cellIs" dxfId="7216" priority="4526" stopIfTrue="1" operator="equal">
      <formula>"Napkin Hs"</formula>
    </cfRule>
  </conditionalFormatting>
  <conditionalFormatting sqref="C47">
    <cfRule type="cellIs" dxfId="7215" priority="4524" stopIfTrue="1" operator="equal">
      <formula>"Napkin Hs"</formula>
    </cfRule>
  </conditionalFormatting>
  <conditionalFormatting sqref="C47">
    <cfRule type="cellIs" dxfId="7214" priority="4521" stopIfTrue="1" operator="equal">
      <formula>"Towel"</formula>
    </cfRule>
    <cfRule type="cellIs" dxfId="7213" priority="4522" stopIfTrue="1" operator="equal">
      <formula>"Napkin Hs"</formula>
    </cfRule>
  </conditionalFormatting>
  <conditionalFormatting sqref="C47">
    <cfRule type="cellIs" dxfId="7212" priority="4523" stopIfTrue="1" operator="equal">
      <formula>"Towel"</formula>
    </cfRule>
  </conditionalFormatting>
  <conditionalFormatting sqref="B49:C49">
    <cfRule type="cellIs" dxfId="7211" priority="4519" stopIfTrue="1" operator="equal">
      <formula>"Towel"</formula>
    </cfRule>
    <cfRule type="cellIs" dxfId="7210" priority="4520" stopIfTrue="1" operator="equal">
      <formula>"Napkin Hs"</formula>
    </cfRule>
  </conditionalFormatting>
  <conditionalFormatting sqref="C49">
    <cfRule type="cellIs" dxfId="7209" priority="4517" stopIfTrue="1" operator="equal">
      <formula>"Towel"</formula>
    </cfRule>
    <cfRule type="cellIs" dxfId="7208" priority="4518" stopIfTrue="1" operator="equal">
      <formula>"Napkin Hs"</formula>
    </cfRule>
  </conditionalFormatting>
  <conditionalFormatting sqref="C49">
    <cfRule type="cellIs" dxfId="7207" priority="4515" stopIfTrue="1" operator="equal">
      <formula>"Towel"</formula>
    </cfRule>
    <cfRule type="cellIs" dxfId="7206" priority="4516" stopIfTrue="1" operator="equal">
      <formula>"Napkin Hs"</formula>
    </cfRule>
  </conditionalFormatting>
  <conditionalFormatting sqref="B47:C48">
    <cfRule type="cellIs" dxfId="7205" priority="4513" stopIfTrue="1" operator="equal">
      <formula>"Towel"</formula>
    </cfRule>
    <cfRule type="cellIs" dxfId="7204" priority="4514" stopIfTrue="1" operator="equal">
      <formula>"Napkin Hs"</formula>
    </cfRule>
  </conditionalFormatting>
  <conditionalFormatting sqref="C47:C48">
    <cfRule type="cellIs" dxfId="7203" priority="4512" stopIfTrue="1" operator="equal">
      <formula>"Napkin Hs"</formula>
    </cfRule>
  </conditionalFormatting>
  <conditionalFormatting sqref="C47:C48">
    <cfRule type="cellIs" dxfId="7202" priority="4509" stopIfTrue="1" operator="equal">
      <formula>"Towel"</formula>
    </cfRule>
    <cfRule type="cellIs" dxfId="7201" priority="4510" stopIfTrue="1" operator="equal">
      <formula>"Napkin Hs"</formula>
    </cfRule>
  </conditionalFormatting>
  <conditionalFormatting sqref="C47:C48">
    <cfRule type="cellIs" dxfId="7200" priority="4511" stopIfTrue="1" operator="equal">
      <formula>"Towel"</formula>
    </cfRule>
  </conditionalFormatting>
  <conditionalFormatting sqref="B47:C48">
    <cfRule type="cellIs" dxfId="7199" priority="4507" stopIfTrue="1" operator="equal">
      <formula>"Towel"</formula>
    </cfRule>
    <cfRule type="cellIs" dxfId="7198" priority="4508" stopIfTrue="1" operator="equal">
      <formula>"Napkin Hs"</formula>
    </cfRule>
  </conditionalFormatting>
  <conditionalFormatting sqref="C47:C48">
    <cfRule type="cellIs" dxfId="7197" priority="4506" stopIfTrue="1" operator="equal">
      <formula>"Napkin Hs"</formula>
    </cfRule>
  </conditionalFormatting>
  <conditionalFormatting sqref="C47:C48">
    <cfRule type="cellIs" dxfId="7196" priority="4503" stopIfTrue="1" operator="equal">
      <formula>"Towel"</formula>
    </cfRule>
    <cfRule type="cellIs" dxfId="7195" priority="4504" stopIfTrue="1" operator="equal">
      <formula>"Napkin Hs"</formula>
    </cfRule>
  </conditionalFormatting>
  <conditionalFormatting sqref="C47:C48">
    <cfRule type="cellIs" dxfId="7194" priority="4505" stopIfTrue="1" operator="equal">
      <formula>"Towel"</formula>
    </cfRule>
  </conditionalFormatting>
  <conditionalFormatting sqref="B47:C48">
    <cfRule type="cellIs" dxfId="7193" priority="4501" stopIfTrue="1" operator="equal">
      <formula>"Towel"</formula>
    </cfRule>
    <cfRule type="cellIs" dxfId="7192" priority="4502" stopIfTrue="1" operator="equal">
      <formula>"Napkin Hs"</formula>
    </cfRule>
  </conditionalFormatting>
  <conditionalFormatting sqref="C47:C48">
    <cfRule type="cellIs" dxfId="7191" priority="4500" stopIfTrue="1" operator="equal">
      <formula>"Napkin Hs"</formula>
    </cfRule>
  </conditionalFormatting>
  <conditionalFormatting sqref="C47:C48">
    <cfRule type="cellIs" dxfId="7190" priority="4497" stopIfTrue="1" operator="equal">
      <formula>"Towel"</formula>
    </cfRule>
    <cfRule type="cellIs" dxfId="7189" priority="4498" stopIfTrue="1" operator="equal">
      <formula>"Napkin Hs"</formula>
    </cfRule>
  </conditionalFormatting>
  <conditionalFormatting sqref="C47:C48">
    <cfRule type="cellIs" dxfId="7188" priority="4499" stopIfTrue="1" operator="equal">
      <formula>"Towel"</formula>
    </cfRule>
  </conditionalFormatting>
  <conditionalFormatting sqref="B47:C48">
    <cfRule type="cellIs" dxfId="7187" priority="4495" stopIfTrue="1" operator="equal">
      <formula>"Towel"</formula>
    </cfRule>
    <cfRule type="cellIs" dxfId="7186" priority="4496" stopIfTrue="1" operator="equal">
      <formula>"Napkin Hs"</formula>
    </cfRule>
  </conditionalFormatting>
  <conditionalFormatting sqref="C47:C48">
    <cfRule type="cellIs" dxfId="7185" priority="4494" stopIfTrue="1" operator="equal">
      <formula>"Napkin Hs"</formula>
    </cfRule>
  </conditionalFormatting>
  <conditionalFormatting sqref="C47:C48">
    <cfRule type="cellIs" dxfId="7184" priority="4491" stopIfTrue="1" operator="equal">
      <formula>"Towel"</formula>
    </cfRule>
    <cfRule type="cellIs" dxfId="7183" priority="4492" stopIfTrue="1" operator="equal">
      <formula>"Napkin Hs"</formula>
    </cfRule>
  </conditionalFormatting>
  <conditionalFormatting sqref="C47:C48">
    <cfRule type="cellIs" dxfId="7182" priority="4493" stopIfTrue="1" operator="equal">
      <formula>"Towel"</formula>
    </cfRule>
  </conditionalFormatting>
  <conditionalFormatting sqref="B47:C48">
    <cfRule type="cellIs" dxfId="7181" priority="4489" stopIfTrue="1" operator="equal">
      <formula>"Towel"</formula>
    </cfRule>
    <cfRule type="cellIs" dxfId="7180" priority="4490" stopIfTrue="1" operator="equal">
      <formula>"Napkin Hs"</formula>
    </cfRule>
  </conditionalFormatting>
  <conditionalFormatting sqref="C47:C48">
    <cfRule type="cellIs" dxfId="7179" priority="4488" stopIfTrue="1" operator="equal">
      <formula>"Napkin Hs"</formula>
    </cfRule>
  </conditionalFormatting>
  <conditionalFormatting sqref="C47:C48">
    <cfRule type="cellIs" dxfId="7178" priority="4485" stopIfTrue="1" operator="equal">
      <formula>"Towel"</formula>
    </cfRule>
    <cfRule type="cellIs" dxfId="7177" priority="4486" stopIfTrue="1" operator="equal">
      <formula>"Napkin Hs"</formula>
    </cfRule>
  </conditionalFormatting>
  <conditionalFormatting sqref="C47:C48">
    <cfRule type="cellIs" dxfId="7176" priority="4487" stopIfTrue="1" operator="equal">
      <formula>"Towel"</formula>
    </cfRule>
  </conditionalFormatting>
  <conditionalFormatting sqref="B47:C48">
    <cfRule type="cellIs" dxfId="7175" priority="4483" stopIfTrue="1" operator="equal">
      <formula>"Towel"</formula>
    </cfRule>
    <cfRule type="cellIs" dxfId="7174" priority="4484" stopIfTrue="1" operator="equal">
      <formula>"Napkin Hs"</formula>
    </cfRule>
  </conditionalFormatting>
  <conditionalFormatting sqref="C47:C48">
    <cfRule type="cellIs" dxfId="7173" priority="4482" stopIfTrue="1" operator="equal">
      <formula>"Napkin Hs"</formula>
    </cfRule>
  </conditionalFormatting>
  <conditionalFormatting sqref="C47:C48">
    <cfRule type="cellIs" dxfId="7172" priority="4479" stopIfTrue="1" operator="equal">
      <formula>"Towel"</formula>
    </cfRule>
    <cfRule type="cellIs" dxfId="7171" priority="4480" stopIfTrue="1" operator="equal">
      <formula>"Napkin Hs"</formula>
    </cfRule>
  </conditionalFormatting>
  <conditionalFormatting sqref="C47:C48">
    <cfRule type="cellIs" dxfId="7170" priority="4481" stopIfTrue="1" operator="equal">
      <formula>"Towel"</formula>
    </cfRule>
  </conditionalFormatting>
  <conditionalFormatting sqref="B47:C48">
    <cfRule type="cellIs" dxfId="7169" priority="4477" stopIfTrue="1" operator="equal">
      <formula>"Towel"</formula>
    </cfRule>
    <cfRule type="cellIs" dxfId="7168" priority="4478" stopIfTrue="1" operator="equal">
      <formula>"Napkin Hs"</formula>
    </cfRule>
  </conditionalFormatting>
  <conditionalFormatting sqref="C47:C48">
    <cfRule type="cellIs" dxfId="7167" priority="4476" stopIfTrue="1" operator="equal">
      <formula>"Napkin Hs"</formula>
    </cfRule>
  </conditionalFormatting>
  <conditionalFormatting sqref="C47:C48">
    <cfRule type="cellIs" dxfId="7166" priority="4473" stopIfTrue="1" operator="equal">
      <formula>"Towel"</formula>
    </cfRule>
    <cfRule type="cellIs" dxfId="7165" priority="4474" stopIfTrue="1" operator="equal">
      <formula>"Napkin Hs"</formula>
    </cfRule>
  </conditionalFormatting>
  <conditionalFormatting sqref="C47:C48">
    <cfRule type="cellIs" dxfId="7164" priority="4475" stopIfTrue="1" operator="equal">
      <formula>"Towel"</formula>
    </cfRule>
  </conditionalFormatting>
  <conditionalFormatting sqref="B49:C49">
    <cfRule type="cellIs" dxfId="7163" priority="4471" stopIfTrue="1" operator="equal">
      <formula>"Towel"</formula>
    </cfRule>
    <cfRule type="cellIs" dxfId="7162" priority="4472" stopIfTrue="1" operator="equal">
      <formula>"Napkin Hs"</formula>
    </cfRule>
  </conditionalFormatting>
  <conditionalFormatting sqref="C49">
    <cfRule type="cellIs" dxfId="7161" priority="4470" stopIfTrue="1" operator="equal">
      <formula>"Napkin Hs"</formula>
    </cfRule>
  </conditionalFormatting>
  <conditionalFormatting sqref="C49">
    <cfRule type="cellIs" dxfId="7160" priority="4467" stopIfTrue="1" operator="equal">
      <formula>"Towel"</formula>
    </cfRule>
    <cfRule type="cellIs" dxfId="7159" priority="4468" stopIfTrue="1" operator="equal">
      <formula>"Napkin Hs"</formula>
    </cfRule>
  </conditionalFormatting>
  <conditionalFormatting sqref="C49">
    <cfRule type="cellIs" dxfId="7158" priority="4469" stopIfTrue="1" operator="equal">
      <formula>"Towel"</formula>
    </cfRule>
  </conditionalFormatting>
  <conditionalFormatting sqref="B49:C49">
    <cfRule type="cellIs" dxfId="7157" priority="4465" stopIfTrue="1" operator="equal">
      <formula>"Towel"</formula>
    </cfRule>
    <cfRule type="cellIs" dxfId="7156" priority="4466" stopIfTrue="1" operator="equal">
      <formula>"Napkin Hs"</formula>
    </cfRule>
  </conditionalFormatting>
  <conditionalFormatting sqref="C49">
    <cfRule type="cellIs" dxfId="7155" priority="4464" stopIfTrue="1" operator="equal">
      <formula>"Napkin Hs"</formula>
    </cfRule>
  </conditionalFormatting>
  <conditionalFormatting sqref="C49">
    <cfRule type="cellIs" dxfId="7154" priority="4461" stopIfTrue="1" operator="equal">
      <formula>"Towel"</formula>
    </cfRule>
    <cfRule type="cellIs" dxfId="7153" priority="4462" stopIfTrue="1" operator="equal">
      <formula>"Napkin Hs"</formula>
    </cfRule>
  </conditionalFormatting>
  <conditionalFormatting sqref="C49">
    <cfRule type="cellIs" dxfId="7152" priority="4463" stopIfTrue="1" operator="equal">
      <formula>"Towel"</formula>
    </cfRule>
  </conditionalFormatting>
  <conditionalFormatting sqref="B49:C49">
    <cfRule type="cellIs" dxfId="7151" priority="4459" stopIfTrue="1" operator="equal">
      <formula>"Towel"</formula>
    </cfRule>
    <cfRule type="cellIs" dxfId="7150" priority="4460" stopIfTrue="1" operator="equal">
      <formula>"Napkin Hs"</formula>
    </cfRule>
  </conditionalFormatting>
  <conditionalFormatting sqref="C49">
    <cfRule type="cellIs" dxfId="7149" priority="4458" stopIfTrue="1" operator="equal">
      <formula>"Napkin Hs"</formula>
    </cfRule>
  </conditionalFormatting>
  <conditionalFormatting sqref="C49">
    <cfRule type="cellIs" dxfId="7148" priority="4455" stopIfTrue="1" operator="equal">
      <formula>"Towel"</formula>
    </cfRule>
    <cfRule type="cellIs" dxfId="7147" priority="4456" stopIfTrue="1" operator="equal">
      <formula>"Napkin Hs"</formula>
    </cfRule>
  </conditionalFormatting>
  <conditionalFormatting sqref="C49">
    <cfRule type="cellIs" dxfId="7146" priority="4457" stopIfTrue="1" operator="equal">
      <formula>"Towel"</formula>
    </cfRule>
  </conditionalFormatting>
  <conditionalFormatting sqref="B46:C46">
    <cfRule type="cellIs" dxfId="7145" priority="4453" stopIfTrue="1" operator="equal">
      <formula>"Towel"</formula>
    </cfRule>
    <cfRule type="cellIs" dxfId="7144" priority="4454" stopIfTrue="1" operator="equal">
      <formula>"Napkin Hs"</formula>
    </cfRule>
  </conditionalFormatting>
  <conditionalFormatting sqref="C46">
    <cfRule type="cellIs" dxfId="7143" priority="4451" stopIfTrue="1" operator="equal">
      <formula>"Towel"</formula>
    </cfRule>
    <cfRule type="cellIs" dxfId="7142" priority="4452" stopIfTrue="1" operator="equal">
      <formula>"Napkin Hs"</formula>
    </cfRule>
  </conditionalFormatting>
  <conditionalFormatting sqref="C46">
    <cfRule type="cellIs" dxfId="7141" priority="4449" stopIfTrue="1" operator="equal">
      <formula>"Towel"</formula>
    </cfRule>
    <cfRule type="cellIs" dxfId="7140" priority="4450" stopIfTrue="1" operator="equal">
      <formula>"Napkin Hs"</formula>
    </cfRule>
  </conditionalFormatting>
  <conditionalFormatting sqref="B46:C46">
    <cfRule type="cellIs" dxfId="7139" priority="4447" stopIfTrue="1" operator="equal">
      <formula>"Towel"</formula>
    </cfRule>
    <cfRule type="cellIs" dxfId="7138" priority="4448" stopIfTrue="1" operator="equal">
      <formula>"Napkin Hs"</formula>
    </cfRule>
  </conditionalFormatting>
  <conditionalFormatting sqref="C46">
    <cfRule type="cellIs" dxfId="7137" priority="4446" stopIfTrue="1" operator="equal">
      <formula>"Napkin Hs"</formula>
    </cfRule>
  </conditionalFormatting>
  <conditionalFormatting sqref="C46">
    <cfRule type="cellIs" dxfId="7136" priority="4443" stopIfTrue="1" operator="equal">
      <formula>"Towel"</formula>
    </cfRule>
    <cfRule type="cellIs" dxfId="7135" priority="4444" stopIfTrue="1" operator="equal">
      <formula>"Napkin Hs"</formula>
    </cfRule>
  </conditionalFormatting>
  <conditionalFormatting sqref="C46">
    <cfRule type="cellIs" dxfId="7134" priority="4445" stopIfTrue="1" operator="equal">
      <formula>"Towel"</formula>
    </cfRule>
  </conditionalFormatting>
  <conditionalFormatting sqref="B46:C46">
    <cfRule type="cellIs" dxfId="7133" priority="4441" stopIfTrue="1" operator="equal">
      <formula>"Towel"</formula>
    </cfRule>
    <cfRule type="cellIs" dxfId="7132" priority="4442" stopIfTrue="1" operator="equal">
      <formula>"Napkin Hs"</formula>
    </cfRule>
  </conditionalFormatting>
  <conditionalFormatting sqref="C46">
    <cfRule type="cellIs" dxfId="7131" priority="4440" stopIfTrue="1" operator="equal">
      <formula>"Napkin Hs"</formula>
    </cfRule>
  </conditionalFormatting>
  <conditionalFormatting sqref="C46">
    <cfRule type="cellIs" dxfId="7130" priority="4437" stopIfTrue="1" operator="equal">
      <formula>"Towel"</formula>
    </cfRule>
    <cfRule type="cellIs" dxfId="7129" priority="4438" stopIfTrue="1" operator="equal">
      <formula>"Napkin Hs"</formula>
    </cfRule>
  </conditionalFormatting>
  <conditionalFormatting sqref="C46">
    <cfRule type="cellIs" dxfId="7128" priority="4439" stopIfTrue="1" operator="equal">
      <formula>"Towel"</formula>
    </cfRule>
  </conditionalFormatting>
  <conditionalFormatting sqref="B46:C46">
    <cfRule type="cellIs" dxfId="7127" priority="4435" stopIfTrue="1" operator="equal">
      <formula>"Towel"</formula>
    </cfRule>
    <cfRule type="cellIs" dxfId="7126" priority="4436" stopIfTrue="1" operator="equal">
      <formula>"Napkin Hs"</formula>
    </cfRule>
  </conditionalFormatting>
  <conditionalFormatting sqref="C46">
    <cfRule type="cellIs" dxfId="7125" priority="4434" stopIfTrue="1" operator="equal">
      <formula>"Napkin Hs"</formula>
    </cfRule>
  </conditionalFormatting>
  <conditionalFormatting sqref="C46">
    <cfRule type="cellIs" dxfId="7124" priority="4431" stopIfTrue="1" operator="equal">
      <formula>"Towel"</formula>
    </cfRule>
    <cfRule type="cellIs" dxfId="7123" priority="4432" stopIfTrue="1" operator="equal">
      <formula>"Napkin Hs"</formula>
    </cfRule>
  </conditionalFormatting>
  <conditionalFormatting sqref="C46">
    <cfRule type="cellIs" dxfId="7122" priority="4433" stopIfTrue="1" operator="equal">
      <formula>"Towel"</formula>
    </cfRule>
  </conditionalFormatting>
  <conditionalFormatting sqref="B53:C53">
    <cfRule type="cellIs" dxfId="7121" priority="4429" stopIfTrue="1" operator="equal">
      <formula>"Towel"</formula>
    </cfRule>
    <cfRule type="cellIs" dxfId="7120" priority="4430" stopIfTrue="1" operator="equal">
      <formula>"Napkin Hs"</formula>
    </cfRule>
  </conditionalFormatting>
  <conditionalFormatting sqref="C53">
    <cfRule type="cellIs" dxfId="7119" priority="4425" stopIfTrue="1" operator="equal">
      <formula>"Towel"</formula>
    </cfRule>
    <cfRule type="cellIs" dxfId="7118" priority="4426" stopIfTrue="1" operator="equal">
      <formula>"Napkin Hs"</formula>
    </cfRule>
  </conditionalFormatting>
  <conditionalFormatting sqref="C53">
    <cfRule type="cellIs" dxfId="7117" priority="4427" stopIfTrue="1" operator="equal">
      <formula>"Towel"</formula>
    </cfRule>
    <cfRule type="cellIs" dxfId="7116" priority="4428" stopIfTrue="1" operator="equal">
      <formula>"Napkin Hs"</formula>
    </cfRule>
  </conditionalFormatting>
  <conditionalFormatting sqref="B50:C52">
    <cfRule type="cellIs" dxfId="7115" priority="4423" stopIfTrue="1" operator="equal">
      <formula>"Towel"</formula>
    </cfRule>
    <cfRule type="cellIs" dxfId="7114" priority="4424" stopIfTrue="1" operator="equal">
      <formula>"Napkin Hs"</formula>
    </cfRule>
  </conditionalFormatting>
  <conditionalFormatting sqref="C50:C52">
    <cfRule type="cellIs" dxfId="7113" priority="4422" stopIfTrue="1" operator="equal">
      <formula>"Napkin Hs"</formula>
    </cfRule>
  </conditionalFormatting>
  <conditionalFormatting sqref="C50:C52">
    <cfRule type="cellIs" dxfId="7112" priority="4419" stopIfTrue="1" operator="equal">
      <formula>"Towel"</formula>
    </cfRule>
    <cfRule type="cellIs" dxfId="7111" priority="4420" stopIfTrue="1" operator="equal">
      <formula>"Napkin Hs"</formula>
    </cfRule>
  </conditionalFormatting>
  <conditionalFormatting sqref="C50:C52">
    <cfRule type="cellIs" dxfId="7110" priority="4421" stopIfTrue="1" operator="equal">
      <formula>"Towel"</formula>
    </cfRule>
  </conditionalFormatting>
  <conditionalFormatting sqref="B50:C51">
    <cfRule type="cellIs" dxfId="7109" priority="4417" stopIfTrue="1" operator="equal">
      <formula>"Towel"</formula>
    </cfRule>
    <cfRule type="cellIs" dxfId="7108" priority="4418" stopIfTrue="1" operator="equal">
      <formula>"Napkin Hs"</formula>
    </cfRule>
  </conditionalFormatting>
  <conditionalFormatting sqref="C50:C51">
    <cfRule type="cellIs" dxfId="7107" priority="4415" stopIfTrue="1" operator="equal">
      <formula>"Towel"</formula>
    </cfRule>
    <cfRule type="cellIs" dxfId="7106" priority="4416" stopIfTrue="1" operator="equal">
      <formula>"Napkin Hs"</formula>
    </cfRule>
  </conditionalFormatting>
  <conditionalFormatting sqref="C50:C51">
    <cfRule type="cellIs" dxfId="7105" priority="4413" stopIfTrue="1" operator="equal">
      <formula>"Towel"</formula>
    </cfRule>
    <cfRule type="cellIs" dxfId="7104" priority="4414" stopIfTrue="1" operator="equal">
      <formula>"Napkin Hs"</formula>
    </cfRule>
  </conditionalFormatting>
  <conditionalFormatting sqref="B53:C53">
    <cfRule type="cellIs" dxfId="7103" priority="4405" stopIfTrue="1" operator="equal">
      <formula>"Towel"</formula>
    </cfRule>
    <cfRule type="cellIs" dxfId="7102" priority="4406" stopIfTrue="1" operator="equal">
      <formula>"Napkin Hs"</formula>
    </cfRule>
  </conditionalFormatting>
  <conditionalFormatting sqref="C53">
    <cfRule type="cellIs" dxfId="7101" priority="4403" stopIfTrue="1" operator="equal">
      <formula>"Towel"</formula>
    </cfRule>
    <cfRule type="cellIs" dxfId="7100" priority="4404" stopIfTrue="1" operator="equal">
      <formula>"Napkin Hs"</formula>
    </cfRule>
  </conditionalFormatting>
  <conditionalFormatting sqref="C53">
    <cfRule type="cellIs" dxfId="7099" priority="4401" stopIfTrue="1" operator="equal">
      <formula>"Towel"</formula>
    </cfRule>
    <cfRule type="cellIs" dxfId="7098" priority="4402" stopIfTrue="1" operator="equal">
      <formula>"Napkin Hs"</formula>
    </cfRule>
  </conditionalFormatting>
  <conditionalFormatting sqref="B52:C52">
    <cfRule type="cellIs" dxfId="7097" priority="4399" stopIfTrue="1" operator="equal">
      <formula>"Towel"</formula>
    </cfRule>
    <cfRule type="cellIs" dxfId="7096" priority="4400" stopIfTrue="1" operator="equal">
      <formula>"Napkin Hs"</formula>
    </cfRule>
  </conditionalFormatting>
  <conditionalFormatting sqref="C52">
    <cfRule type="cellIs" dxfId="7095" priority="4398" stopIfTrue="1" operator="equal">
      <formula>"Napkin Hs"</formula>
    </cfRule>
  </conditionalFormatting>
  <conditionalFormatting sqref="C52">
    <cfRule type="cellIs" dxfId="7094" priority="4395" stopIfTrue="1" operator="equal">
      <formula>"Towel"</formula>
    </cfRule>
    <cfRule type="cellIs" dxfId="7093" priority="4396" stopIfTrue="1" operator="equal">
      <formula>"Napkin Hs"</formula>
    </cfRule>
  </conditionalFormatting>
  <conditionalFormatting sqref="C52">
    <cfRule type="cellIs" dxfId="7092" priority="4397" stopIfTrue="1" operator="equal">
      <formula>"Towel"</formula>
    </cfRule>
  </conditionalFormatting>
  <conditionalFormatting sqref="B52:C52">
    <cfRule type="cellIs" dxfId="7091" priority="4393" stopIfTrue="1" operator="equal">
      <formula>"Towel"</formula>
    </cfRule>
    <cfRule type="cellIs" dxfId="7090" priority="4394" stopIfTrue="1" operator="equal">
      <formula>"Napkin Hs"</formula>
    </cfRule>
  </conditionalFormatting>
  <conditionalFormatting sqref="C52">
    <cfRule type="cellIs" dxfId="7089" priority="4392" stopIfTrue="1" operator="equal">
      <formula>"Napkin Hs"</formula>
    </cfRule>
  </conditionalFormatting>
  <conditionalFormatting sqref="C52">
    <cfRule type="cellIs" dxfId="7088" priority="4389" stopIfTrue="1" operator="equal">
      <formula>"Towel"</formula>
    </cfRule>
    <cfRule type="cellIs" dxfId="7087" priority="4390" stopIfTrue="1" operator="equal">
      <formula>"Napkin Hs"</formula>
    </cfRule>
  </conditionalFormatting>
  <conditionalFormatting sqref="C52">
    <cfRule type="cellIs" dxfId="7086" priority="4391" stopIfTrue="1" operator="equal">
      <formula>"Towel"</formula>
    </cfRule>
  </conditionalFormatting>
  <conditionalFormatting sqref="B52:C52">
    <cfRule type="cellIs" dxfId="7085" priority="4387" stopIfTrue="1" operator="equal">
      <formula>"Towel"</formula>
    </cfRule>
    <cfRule type="cellIs" dxfId="7084" priority="4388" stopIfTrue="1" operator="equal">
      <formula>"Napkin Hs"</formula>
    </cfRule>
  </conditionalFormatting>
  <conditionalFormatting sqref="C52">
    <cfRule type="cellIs" dxfId="7083" priority="4386" stopIfTrue="1" operator="equal">
      <formula>"Napkin Hs"</formula>
    </cfRule>
  </conditionalFormatting>
  <conditionalFormatting sqref="C52">
    <cfRule type="cellIs" dxfId="7082" priority="4383" stopIfTrue="1" operator="equal">
      <formula>"Towel"</formula>
    </cfRule>
    <cfRule type="cellIs" dxfId="7081" priority="4384" stopIfTrue="1" operator="equal">
      <formula>"Napkin Hs"</formula>
    </cfRule>
  </conditionalFormatting>
  <conditionalFormatting sqref="C52">
    <cfRule type="cellIs" dxfId="7080" priority="4385" stopIfTrue="1" operator="equal">
      <formula>"Towel"</formula>
    </cfRule>
  </conditionalFormatting>
  <conditionalFormatting sqref="B52:C52">
    <cfRule type="cellIs" dxfId="7079" priority="4381" stopIfTrue="1" operator="equal">
      <formula>"Towel"</formula>
    </cfRule>
    <cfRule type="cellIs" dxfId="7078" priority="4382" stopIfTrue="1" operator="equal">
      <formula>"Napkin Hs"</formula>
    </cfRule>
  </conditionalFormatting>
  <conditionalFormatting sqref="C52">
    <cfRule type="cellIs" dxfId="7077" priority="4380" stopIfTrue="1" operator="equal">
      <formula>"Napkin Hs"</formula>
    </cfRule>
  </conditionalFormatting>
  <conditionalFormatting sqref="C52">
    <cfRule type="cellIs" dxfId="7076" priority="4377" stopIfTrue="1" operator="equal">
      <formula>"Towel"</formula>
    </cfRule>
    <cfRule type="cellIs" dxfId="7075" priority="4378" stopIfTrue="1" operator="equal">
      <formula>"Napkin Hs"</formula>
    </cfRule>
  </conditionalFormatting>
  <conditionalFormatting sqref="C52">
    <cfRule type="cellIs" dxfId="7074" priority="4379" stopIfTrue="1" operator="equal">
      <formula>"Towel"</formula>
    </cfRule>
  </conditionalFormatting>
  <conditionalFormatting sqref="B52:C52">
    <cfRule type="cellIs" dxfId="7073" priority="4375" stopIfTrue="1" operator="equal">
      <formula>"Towel"</formula>
    </cfRule>
    <cfRule type="cellIs" dxfId="7072" priority="4376" stopIfTrue="1" operator="equal">
      <formula>"Napkin Hs"</formula>
    </cfRule>
  </conditionalFormatting>
  <conditionalFormatting sqref="C52">
    <cfRule type="cellIs" dxfId="7071" priority="4374" stopIfTrue="1" operator="equal">
      <formula>"Napkin Hs"</formula>
    </cfRule>
  </conditionalFormatting>
  <conditionalFormatting sqref="C52">
    <cfRule type="cellIs" dxfId="7070" priority="4371" stopIfTrue="1" operator="equal">
      <formula>"Towel"</formula>
    </cfRule>
    <cfRule type="cellIs" dxfId="7069" priority="4372" stopIfTrue="1" operator="equal">
      <formula>"Napkin Hs"</formula>
    </cfRule>
  </conditionalFormatting>
  <conditionalFormatting sqref="C52">
    <cfRule type="cellIs" dxfId="7068" priority="4373" stopIfTrue="1" operator="equal">
      <formula>"Towel"</formula>
    </cfRule>
  </conditionalFormatting>
  <conditionalFormatting sqref="B52:C52">
    <cfRule type="cellIs" dxfId="7067" priority="4369" stopIfTrue="1" operator="equal">
      <formula>"Towel"</formula>
    </cfRule>
    <cfRule type="cellIs" dxfId="7066" priority="4370" stopIfTrue="1" operator="equal">
      <formula>"Napkin Hs"</formula>
    </cfRule>
  </conditionalFormatting>
  <conditionalFormatting sqref="C52">
    <cfRule type="cellIs" dxfId="7065" priority="4368" stopIfTrue="1" operator="equal">
      <formula>"Napkin Hs"</formula>
    </cfRule>
  </conditionalFormatting>
  <conditionalFormatting sqref="C52">
    <cfRule type="cellIs" dxfId="7064" priority="4365" stopIfTrue="1" operator="equal">
      <formula>"Towel"</formula>
    </cfRule>
    <cfRule type="cellIs" dxfId="7063" priority="4366" stopIfTrue="1" operator="equal">
      <formula>"Napkin Hs"</formula>
    </cfRule>
  </conditionalFormatting>
  <conditionalFormatting sqref="C52">
    <cfRule type="cellIs" dxfId="7062" priority="4367" stopIfTrue="1" operator="equal">
      <formula>"Towel"</formula>
    </cfRule>
  </conditionalFormatting>
  <conditionalFormatting sqref="B52:C52">
    <cfRule type="cellIs" dxfId="7061" priority="4363" stopIfTrue="1" operator="equal">
      <formula>"Towel"</formula>
    </cfRule>
    <cfRule type="cellIs" dxfId="7060" priority="4364" stopIfTrue="1" operator="equal">
      <formula>"Napkin Hs"</formula>
    </cfRule>
  </conditionalFormatting>
  <conditionalFormatting sqref="C52">
    <cfRule type="cellIs" dxfId="7059" priority="4362" stopIfTrue="1" operator="equal">
      <formula>"Napkin Hs"</formula>
    </cfRule>
  </conditionalFormatting>
  <conditionalFormatting sqref="C52">
    <cfRule type="cellIs" dxfId="7058" priority="4359" stopIfTrue="1" operator="equal">
      <formula>"Towel"</formula>
    </cfRule>
    <cfRule type="cellIs" dxfId="7057" priority="4360" stopIfTrue="1" operator="equal">
      <formula>"Napkin Hs"</formula>
    </cfRule>
  </conditionalFormatting>
  <conditionalFormatting sqref="C52">
    <cfRule type="cellIs" dxfId="7056" priority="4361" stopIfTrue="1" operator="equal">
      <formula>"Towel"</formula>
    </cfRule>
  </conditionalFormatting>
  <conditionalFormatting sqref="B53:C53">
    <cfRule type="cellIs" dxfId="7055" priority="4357" stopIfTrue="1" operator="equal">
      <formula>"Towel"</formula>
    </cfRule>
    <cfRule type="cellIs" dxfId="7054" priority="4358" stopIfTrue="1" operator="equal">
      <formula>"Napkin Hs"</formula>
    </cfRule>
  </conditionalFormatting>
  <conditionalFormatting sqref="C53">
    <cfRule type="cellIs" dxfId="7053" priority="4356" stopIfTrue="1" operator="equal">
      <formula>"Napkin Hs"</formula>
    </cfRule>
  </conditionalFormatting>
  <conditionalFormatting sqref="C53">
    <cfRule type="cellIs" dxfId="7052" priority="4353" stopIfTrue="1" operator="equal">
      <formula>"Towel"</formula>
    </cfRule>
    <cfRule type="cellIs" dxfId="7051" priority="4354" stopIfTrue="1" operator="equal">
      <formula>"Napkin Hs"</formula>
    </cfRule>
  </conditionalFormatting>
  <conditionalFormatting sqref="C53">
    <cfRule type="cellIs" dxfId="7050" priority="4355" stopIfTrue="1" operator="equal">
      <formula>"Towel"</formula>
    </cfRule>
  </conditionalFormatting>
  <conditionalFormatting sqref="B53:C53">
    <cfRule type="cellIs" dxfId="7049" priority="4351" stopIfTrue="1" operator="equal">
      <formula>"Towel"</formula>
    </cfRule>
    <cfRule type="cellIs" dxfId="7048" priority="4352" stopIfTrue="1" operator="equal">
      <formula>"Napkin Hs"</formula>
    </cfRule>
  </conditionalFormatting>
  <conditionalFormatting sqref="C53">
    <cfRule type="cellIs" dxfId="7047" priority="4350" stopIfTrue="1" operator="equal">
      <formula>"Napkin Hs"</formula>
    </cfRule>
  </conditionalFormatting>
  <conditionalFormatting sqref="C53">
    <cfRule type="cellIs" dxfId="7046" priority="4347" stopIfTrue="1" operator="equal">
      <formula>"Towel"</formula>
    </cfRule>
    <cfRule type="cellIs" dxfId="7045" priority="4348" stopIfTrue="1" operator="equal">
      <formula>"Napkin Hs"</formula>
    </cfRule>
  </conditionalFormatting>
  <conditionalFormatting sqref="C53">
    <cfRule type="cellIs" dxfId="7044" priority="4349" stopIfTrue="1" operator="equal">
      <formula>"Towel"</formula>
    </cfRule>
  </conditionalFormatting>
  <conditionalFormatting sqref="B53:C53">
    <cfRule type="cellIs" dxfId="7043" priority="4345" stopIfTrue="1" operator="equal">
      <formula>"Towel"</formula>
    </cfRule>
    <cfRule type="cellIs" dxfId="7042" priority="4346" stopIfTrue="1" operator="equal">
      <formula>"Napkin Hs"</formula>
    </cfRule>
  </conditionalFormatting>
  <conditionalFormatting sqref="C53">
    <cfRule type="cellIs" dxfId="7041" priority="4344" stopIfTrue="1" operator="equal">
      <formula>"Napkin Hs"</formula>
    </cfRule>
  </conditionalFormatting>
  <conditionalFormatting sqref="C53">
    <cfRule type="cellIs" dxfId="7040" priority="4341" stopIfTrue="1" operator="equal">
      <formula>"Towel"</formula>
    </cfRule>
    <cfRule type="cellIs" dxfId="7039" priority="4342" stopIfTrue="1" operator="equal">
      <formula>"Napkin Hs"</formula>
    </cfRule>
  </conditionalFormatting>
  <conditionalFormatting sqref="C53">
    <cfRule type="cellIs" dxfId="7038" priority="4343" stopIfTrue="1" operator="equal">
      <formula>"Towel"</formula>
    </cfRule>
  </conditionalFormatting>
  <conditionalFormatting sqref="B50:C51">
    <cfRule type="cellIs" dxfId="7037" priority="4339" stopIfTrue="1" operator="equal">
      <formula>"Towel"</formula>
    </cfRule>
    <cfRule type="cellIs" dxfId="7036" priority="4340" stopIfTrue="1" operator="equal">
      <formula>"Napkin Hs"</formula>
    </cfRule>
  </conditionalFormatting>
  <conditionalFormatting sqref="C50:C51">
    <cfRule type="cellIs" dxfId="7035" priority="4337" stopIfTrue="1" operator="equal">
      <formula>"Towel"</formula>
    </cfRule>
    <cfRule type="cellIs" dxfId="7034" priority="4338" stopIfTrue="1" operator="equal">
      <formula>"Napkin Hs"</formula>
    </cfRule>
  </conditionalFormatting>
  <conditionalFormatting sqref="C50:C51">
    <cfRule type="cellIs" dxfId="7033" priority="4335" stopIfTrue="1" operator="equal">
      <formula>"Towel"</formula>
    </cfRule>
    <cfRule type="cellIs" dxfId="7032" priority="4336" stopIfTrue="1" operator="equal">
      <formula>"Napkin Hs"</formula>
    </cfRule>
  </conditionalFormatting>
  <conditionalFormatting sqref="B50:C51">
    <cfRule type="cellIs" dxfId="7031" priority="4333" stopIfTrue="1" operator="equal">
      <formula>"Towel"</formula>
    </cfRule>
    <cfRule type="cellIs" dxfId="7030" priority="4334" stopIfTrue="1" operator="equal">
      <formula>"Napkin Hs"</formula>
    </cfRule>
  </conditionalFormatting>
  <conditionalFormatting sqref="C50:C51">
    <cfRule type="cellIs" dxfId="7029" priority="4332" stopIfTrue="1" operator="equal">
      <formula>"Napkin Hs"</formula>
    </cfRule>
  </conditionalFormatting>
  <conditionalFormatting sqref="C50:C51">
    <cfRule type="cellIs" dxfId="7028" priority="4329" stopIfTrue="1" operator="equal">
      <formula>"Towel"</formula>
    </cfRule>
    <cfRule type="cellIs" dxfId="7027" priority="4330" stopIfTrue="1" operator="equal">
      <formula>"Napkin Hs"</formula>
    </cfRule>
  </conditionalFormatting>
  <conditionalFormatting sqref="C50:C51">
    <cfRule type="cellIs" dxfId="7026" priority="4331" stopIfTrue="1" operator="equal">
      <formula>"Towel"</formula>
    </cfRule>
  </conditionalFormatting>
  <conditionalFormatting sqref="B50:C51">
    <cfRule type="cellIs" dxfId="7025" priority="4327" stopIfTrue="1" operator="equal">
      <formula>"Towel"</formula>
    </cfRule>
    <cfRule type="cellIs" dxfId="7024" priority="4328" stopIfTrue="1" operator="equal">
      <formula>"Napkin Hs"</formula>
    </cfRule>
  </conditionalFormatting>
  <conditionalFormatting sqref="C50:C51">
    <cfRule type="cellIs" dxfId="7023" priority="4326" stopIfTrue="1" operator="equal">
      <formula>"Napkin Hs"</formula>
    </cfRule>
  </conditionalFormatting>
  <conditionalFormatting sqref="C50:C51">
    <cfRule type="cellIs" dxfId="7022" priority="4323" stopIfTrue="1" operator="equal">
      <formula>"Towel"</formula>
    </cfRule>
    <cfRule type="cellIs" dxfId="7021" priority="4324" stopIfTrue="1" operator="equal">
      <formula>"Napkin Hs"</formula>
    </cfRule>
  </conditionalFormatting>
  <conditionalFormatting sqref="C50:C51">
    <cfRule type="cellIs" dxfId="7020" priority="4325" stopIfTrue="1" operator="equal">
      <formula>"Towel"</formula>
    </cfRule>
  </conditionalFormatting>
  <conditionalFormatting sqref="B50:C51">
    <cfRule type="cellIs" dxfId="7019" priority="4321" stopIfTrue="1" operator="equal">
      <formula>"Towel"</formula>
    </cfRule>
    <cfRule type="cellIs" dxfId="7018" priority="4322" stopIfTrue="1" operator="equal">
      <formula>"Napkin Hs"</formula>
    </cfRule>
  </conditionalFormatting>
  <conditionalFormatting sqref="C50:C51">
    <cfRule type="cellIs" dxfId="7017" priority="4320" stopIfTrue="1" operator="equal">
      <formula>"Napkin Hs"</formula>
    </cfRule>
  </conditionalFormatting>
  <conditionalFormatting sqref="C50:C51">
    <cfRule type="cellIs" dxfId="7016" priority="4317" stopIfTrue="1" operator="equal">
      <formula>"Towel"</formula>
    </cfRule>
    <cfRule type="cellIs" dxfId="7015" priority="4318" stopIfTrue="1" operator="equal">
      <formula>"Napkin Hs"</formula>
    </cfRule>
  </conditionalFormatting>
  <conditionalFormatting sqref="C50:C51">
    <cfRule type="cellIs" dxfId="7014" priority="4319" stopIfTrue="1" operator="equal">
      <formula>"Towel"</formula>
    </cfRule>
  </conditionalFormatting>
  <conditionalFormatting sqref="B57:C57">
    <cfRule type="cellIs" dxfId="7013" priority="4315" stopIfTrue="1" operator="equal">
      <formula>"Towel"</formula>
    </cfRule>
    <cfRule type="cellIs" dxfId="7012" priority="4316" stopIfTrue="1" operator="equal">
      <formula>"Napkin Hs"</formula>
    </cfRule>
  </conditionalFormatting>
  <conditionalFormatting sqref="C57">
    <cfRule type="cellIs" dxfId="7011" priority="4311" stopIfTrue="1" operator="equal">
      <formula>"Towel"</formula>
    </cfRule>
    <cfRule type="cellIs" dxfId="7010" priority="4312" stopIfTrue="1" operator="equal">
      <formula>"Napkin Hs"</formula>
    </cfRule>
  </conditionalFormatting>
  <conditionalFormatting sqref="C57">
    <cfRule type="cellIs" dxfId="7009" priority="4313" stopIfTrue="1" operator="equal">
      <formula>"Towel"</formula>
    </cfRule>
    <cfRule type="cellIs" dxfId="7008" priority="4314" stopIfTrue="1" operator="equal">
      <formula>"Napkin Hs"</formula>
    </cfRule>
  </conditionalFormatting>
  <conditionalFormatting sqref="B55:C55">
    <cfRule type="cellIs" dxfId="7007" priority="4309" stopIfTrue="1" operator="equal">
      <formula>"Towel"</formula>
    </cfRule>
    <cfRule type="cellIs" dxfId="7006" priority="4310" stopIfTrue="1" operator="equal">
      <formula>"Napkin Hs"</formula>
    </cfRule>
  </conditionalFormatting>
  <conditionalFormatting sqref="C55">
    <cfRule type="cellIs" dxfId="7005" priority="4308" stopIfTrue="1" operator="equal">
      <formula>"Napkin Hs"</formula>
    </cfRule>
  </conditionalFormatting>
  <conditionalFormatting sqref="C55">
    <cfRule type="cellIs" dxfId="7004" priority="4305" stopIfTrue="1" operator="equal">
      <formula>"Towel"</formula>
    </cfRule>
    <cfRule type="cellIs" dxfId="7003" priority="4306" stopIfTrue="1" operator="equal">
      <formula>"Napkin Hs"</formula>
    </cfRule>
  </conditionalFormatting>
  <conditionalFormatting sqref="C55">
    <cfRule type="cellIs" dxfId="7002" priority="4307" stopIfTrue="1" operator="equal">
      <formula>"Towel"</formula>
    </cfRule>
  </conditionalFormatting>
  <conditionalFormatting sqref="B55:C55">
    <cfRule type="cellIs" dxfId="7001" priority="4303" stopIfTrue="1" operator="equal">
      <formula>"Towel"</formula>
    </cfRule>
    <cfRule type="cellIs" dxfId="7000" priority="4304" stopIfTrue="1" operator="equal">
      <formula>"Napkin Hs"</formula>
    </cfRule>
  </conditionalFormatting>
  <conditionalFormatting sqref="C55">
    <cfRule type="cellIs" dxfId="6999" priority="4301" stopIfTrue="1" operator="equal">
      <formula>"Towel"</formula>
    </cfRule>
    <cfRule type="cellIs" dxfId="6998" priority="4302" stopIfTrue="1" operator="equal">
      <formula>"Napkin Hs"</formula>
    </cfRule>
  </conditionalFormatting>
  <conditionalFormatting sqref="C55">
    <cfRule type="cellIs" dxfId="6997" priority="4299" stopIfTrue="1" operator="equal">
      <formula>"Towel"</formula>
    </cfRule>
    <cfRule type="cellIs" dxfId="6996" priority="4300" stopIfTrue="1" operator="equal">
      <formula>"Napkin Hs"</formula>
    </cfRule>
  </conditionalFormatting>
  <conditionalFormatting sqref="B57:C57">
    <cfRule type="cellIs" dxfId="6995" priority="4297" stopIfTrue="1" operator="equal">
      <formula>"Towel"</formula>
    </cfRule>
    <cfRule type="cellIs" dxfId="6994" priority="4298" stopIfTrue="1" operator="equal">
      <formula>"Napkin Hs"</formula>
    </cfRule>
  </conditionalFormatting>
  <conditionalFormatting sqref="C57">
    <cfRule type="cellIs" dxfId="6993" priority="4295" stopIfTrue="1" operator="equal">
      <formula>"Towel"</formula>
    </cfRule>
    <cfRule type="cellIs" dxfId="6992" priority="4296" stopIfTrue="1" operator="equal">
      <formula>"Napkin Hs"</formula>
    </cfRule>
  </conditionalFormatting>
  <conditionalFormatting sqref="C57">
    <cfRule type="cellIs" dxfId="6991" priority="4293" stopIfTrue="1" operator="equal">
      <formula>"Towel"</formula>
    </cfRule>
    <cfRule type="cellIs" dxfId="6990" priority="4294" stopIfTrue="1" operator="equal">
      <formula>"Napkin Hs"</formula>
    </cfRule>
  </conditionalFormatting>
  <conditionalFormatting sqref="B57:C57">
    <cfRule type="cellIs" dxfId="6989" priority="4249" stopIfTrue="1" operator="equal">
      <formula>"Towel"</formula>
    </cfRule>
    <cfRule type="cellIs" dxfId="6988" priority="4250" stopIfTrue="1" operator="equal">
      <formula>"Napkin Hs"</formula>
    </cfRule>
  </conditionalFormatting>
  <conditionalFormatting sqref="C57">
    <cfRule type="cellIs" dxfId="6987" priority="4248" stopIfTrue="1" operator="equal">
      <formula>"Napkin Hs"</formula>
    </cfRule>
  </conditionalFormatting>
  <conditionalFormatting sqref="C57">
    <cfRule type="cellIs" dxfId="6986" priority="4245" stopIfTrue="1" operator="equal">
      <formula>"Towel"</formula>
    </cfRule>
    <cfRule type="cellIs" dxfId="6985" priority="4246" stopIfTrue="1" operator="equal">
      <formula>"Napkin Hs"</formula>
    </cfRule>
  </conditionalFormatting>
  <conditionalFormatting sqref="C57">
    <cfRule type="cellIs" dxfId="6984" priority="4247" stopIfTrue="1" operator="equal">
      <formula>"Towel"</formula>
    </cfRule>
  </conditionalFormatting>
  <conditionalFormatting sqref="B57:C57">
    <cfRule type="cellIs" dxfId="6983" priority="4243" stopIfTrue="1" operator="equal">
      <formula>"Towel"</formula>
    </cfRule>
    <cfRule type="cellIs" dxfId="6982" priority="4244" stopIfTrue="1" operator="equal">
      <formula>"Napkin Hs"</formula>
    </cfRule>
  </conditionalFormatting>
  <conditionalFormatting sqref="C57">
    <cfRule type="cellIs" dxfId="6981" priority="4242" stopIfTrue="1" operator="equal">
      <formula>"Napkin Hs"</formula>
    </cfRule>
  </conditionalFormatting>
  <conditionalFormatting sqref="C57">
    <cfRule type="cellIs" dxfId="6980" priority="4239" stopIfTrue="1" operator="equal">
      <formula>"Towel"</formula>
    </cfRule>
    <cfRule type="cellIs" dxfId="6979" priority="4240" stopIfTrue="1" operator="equal">
      <formula>"Napkin Hs"</formula>
    </cfRule>
  </conditionalFormatting>
  <conditionalFormatting sqref="C57">
    <cfRule type="cellIs" dxfId="6978" priority="4241" stopIfTrue="1" operator="equal">
      <formula>"Towel"</formula>
    </cfRule>
  </conditionalFormatting>
  <conditionalFormatting sqref="B57:C57">
    <cfRule type="cellIs" dxfId="6977" priority="4237" stopIfTrue="1" operator="equal">
      <formula>"Towel"</formula>
    </cfRule>
    <cfRule type="cellIs" dxfId="6976" priority="4238" stopIfTrue="1" operator="equal">
      <formula>"Napkin Hs"</formula>
    </cfRule>
  </conditionalFormatting>
  <conditionalFormatting sqref="C57">
    <cfRule type="cellIs" dxfId="6975" priority="4236" stopIfTrue="1" operator="equal">
      <formula>"Napkin Hs"</formula>
    </cfRule>
  </conditionalFormatting>
  <conditionalFormatting sqref="C57">
    <cfRule type="cellIs" dxfId="6974" priority="4233" stopIfTrue="1" operator="equal">
      <formula>"Towel"</formula>
    </cfRule>
    <cfRule type="cellIs" dxfId="6973" priority="4234" stopIfTrue="1" operator="equal">
      <formula>"Napkin Hs"</formula>
    </cfRule>
  </conditionalFormatting>
  <conditionalFormatting sqref="C57">
    <cfRule type="cellIs" dxfId="6972" priority="4235" stopIfTrue="1" operator="equal">
      <formula>"Towel"</formula>
    </cfRule>
  </conditionalFormatting>
  <conditionalFormatting sqref="B55:C55">
    <cfRule type="cellIs" dxfId="6971" priority="4231" stopIfTrue="1" operator="equal">
      <formula>"Towel"</formula>
    </cfRule>
    <cfRule type="cellIs" dxfId="6970" priority="4232" stopIfTrue="1" operator="equal">
      <formula>"Napkin Hs"</formula>
    </cfRule>
  </conditionalFormatting>
  <conditionalFormatting sqref="C55">
    <cfRule type="cellIs" dxfId="6969" priority="4229" stopIfTrue="1" operator="equal">
      <formula>"Towel"</formula>
    </cfRule>
    <cfRule type="cellIs" dxfId="6968" priority="4230" stopIfTrue="1" operator="equal">
      <formula>"Napkin Hs"</formula>
    </cfRule>
  </conditionalFormatting>
  <conditionalFormatting sqref="C55">
    <cfRule type="cellIs" dxfId="6967" priority="4227" stopIfTrue="1" operator="equal">
      <formula>"Towel"</formula>
    </cfRule>
    <cfRule type="cellIs" dxfId="6966" priority="4228" stopIfTrue="1" operator="equal">
      <formula>"Napkin Hs"</formula>
    </cfRule>
  </conditionalFormatting>
  <conditionalFormatting sqref="B55:C55">
    <cfRule type="cellIs" dxfId="6965" priority="4225" stopIfTrue="1" operator="equal">
      <formula>"Towel"</formula>
    </cfRule>
    <cfRule type="cellIs" dxfId="6964" priority="4226" stopIfTrue="1" operator="equal">
      <formula>"Napkin Hs"</formula>
    </cfRule>
  </conditionalFormatting>
  <conditionalFormatting sqref="C55">
    <cfRule type="cellIs" dxfId="6963" priority="4224" stopIfTrue="1" operator="equal">
      <formula>"Napkin Hs"</formula>
    </cfRule>
  </conditionalFormatting>
  <conditionalFormatting sqref="C55">
    <cfRule type="cellIs" dxfId="6962" priority="4221" stopIfTrue="1" operator="equal">
      <formula>"Towel"</formula>
    </cfRule>
    <cfRule type="cellIs" dxfId="6961" priority="4222" stopIfTrue="1" operator="equal">
      <formula>"Napkin Hs"</formula>
    </cfRule>
  </conditionalFormatting>
  <conditionalFormatting sqref="C55">
    <cfRule type="cellIs" dxfId="6960" priority="4223" stopIfTrue="1" operator="equal">
      <formula>"Towel"</formula>
    </cfRule>
  </conditionalFormatting>
  <conditionalFormatting sqref="B55:C55">
    <cfRule type="cellIs" dxfId="6959" priority="4219" stopIfTrue="1" operator="equal">
      <formula>"Towel"</formula>
    </cfRule>
    <cfRule type="cellIs" dxfId="6958" priority="4220" stopIfTrue="1" operator="equal">
      <formula>"Napkin Hs"</formula>
    </cfRule>
  </conditionalFormatting>
  <conditionalFormatting sqref="C55">
    <cfRule type="cellIs" dxfId="6957" priority="4218" stopIfTrue="1" operator="equal">
      <formula>"Napkin Hs"</formula>
    </cfRule>
  </conditionalFormatting>
  <conditionalFormatting sqref="C55">
    <cfRule type="cellIs" dxfId="6956" priority="4215" stopIfTrue="1" operator="equal">
      <formula>"Towel"</formula>
    </cfRule>
    <cfRule type="cellIs" dxfId="6955" priority="4216" stopIfTrue="1" operator="equal">
      <formula>"Napkin Hs"</formula>
    </cfRule>
  </conditionalFormatting>
  <conditionalFormatting sqref="C55">
    <cfRule type="cellIs" dxfId="6954" priority="4217" stopIfTrue="1" operator="equal">
      <formula>"Towel"</formula>
    </cfRule>
  </conditionalFormatting>
  <conditionalFormatting sqref="B55:C55">
    <cfRule type="cellIs" dxfId="6953" priority="4213" stopIfTrue="1" operator="equal">
      <formula>"Towel"</formula>
    </cfRule>
    <cfRule type="cellIs" dxfId="6952" priority="4214" stopIfTrue="1" operator="equal">
      <formula>"Napkin Hs"</formula>
    </cfRule>
  </conditionalFormatting>
  <conditionalFormatting sqref="C55">
    <cfRule type="cellIs" dxfId="6951" priority="4212" stopIfTrue="1" operator="equal">
      <formula>"Napkin Hs"</formula>
    </cfRule>
  </conditionalFormatting>
  <conditionalFormatting sqref="C55">
    <cfRule type="cellIs" dxfId="6950" priority="4209" stopIfTrue="1" operator="equal">
      <formula>"Towel"</formula>
    </cfRule>
    <cfRule type="cellIs" dxfId="6949" priority="4210" stopIfTrue="1" operator="equal">
      <formula>"Napkin Hs"</formula>
    </cfRule>
  </conditionalFormatting>
  <conditionalFormatting sqref="C55">
    <cfRule type="cellIs" dxfId="6948" priority="4211" stopIfTrue="1" operator="equal">
      <formula>"Towel"</formula>
    </cfRule>
  </conditionalFormatting>
  <conditionalFormatting sqref="B54:C54">
    <cfRule type="cellIs" dxfId="6947" priority="4207" stopIfTrue="1" operator="equal">
      <formula>"Towel"</formula>
    </cfRule>
    <cfRule type="cellIs" dxfId="6946" priority="4208" stopIfTrue="1" operator="equal">
      <formula>"Napkin Hs"</formula>
    </cfRule>
  </conditionalFormatting>
  <conditionalFormatting sqref="C54">
    <cfRule type="cellIs" dxfId="6945" priority="4206" stopIfTrue="1" operator="equal">
      <formula>"Napkin Hs"</formula>
    </cfRule>
  </conditionalFormatting>
  <conditionalFormatting sqref="C54">
    <cfRule type="cellIs" dxfId="6944" priority="4203" stopIfTrue="1" operator="equal">
      <formula>"Towel"</formula>
    </cfRule>
    <cfRule type="cellIs" dxfId="6943" priority="4204" stopIfTrue="1" operator="equal">
      <formula>"Napkin Hs"</formula>
    </cfRule>
  </conditionalFormatting>
  <conditionalFormatting sqref="C54">
    <cfRule type="cellIs" dxfId="6942" priority="4205" stopIfTrue="1" operator="equal">
      <formula>"Towel"</formula>
    </cfRule>
  </conditionalFormatting>
  <conditionalFormatting sqref="B54:C54">
    <cfRule type="cellIs" dxfId="6941" priority="4201" stopIfTrue="1" operator="equal">
      <formula>"Towel"</formula>
    </cfRule>
    <cfRule type="cellIs" dxfId="6940" priority="4202" stopIfTrue="1" operator="equal">
      <formula>"Napkin Hs"</formula>
    </cfRule>
  </conditionalFormatting>
  <conditionalFormatting sqref="C54">
    <cfRule type="cellIs" dxfId="6939" priority="4199" stopIfTrue="1" operator="equal">
      <formula>"Towel"</formula>
    </cfRule>
    <cfRule type="cellIs" dxfId="6938" priority="4200" stopIfTrue="1" operator="equal">
      <formula>"Napkin Hs"</formula>
    </cfRule>
  </conditionalFormatting>
  <conditionalFormatting sqref="C54">
    <cfRule type="cellIs" dxfId="6937" priority="4197" stopIfTrue="1" operator="equal">
      <formula>"Towel"</formula>
    </cfRule>
    <cfRule type="cellIs" dxfId="6936" priority="4198" stopIfTrue="1" operator="equal">
      <formula>"Napkin Hs"</formula>
    </cfRule>
  </conditionalFormatting>
  <conditionalFormatting sqref="B54:C54">
    <cfRule type="cellIs" dxfId="6935" priority="4195" stopIfTrue="1" operator="equal">
      <formula>"Towel"</formula>
    </cfRule>
    <cfRule type="cellIs" dxfId="6934" priority="4196" stopIfTrue="1" operator="equal">
      <formula>"Napkin Hs"</formula>
    </cfRule>
  </conditionalFormatting>
  <conditionalFormatting sqref="C54">
    <cfRule type="cellIs" dxfId="6933" priority="4193" stopIfTrue="1" operator="equal">
      <formula>"Towel"</formula>
    </cfRule>
    <cfRule type="cellIs" dxfId="6932" priority="4194" stopIfTrue="1" operator="equal">
      <formula>"Napkin Hs"</formula>
    </cfRule>
  </conditionalFormatting>
  <conditionalFormatting sqref="C54">
    <cfRule type="cellIs" dxfId="6931" priority="4191" stopIfTrue="1" operator="equal">
      <formula>"Towel"</formula>
    </cfRule>
    <cfRule type="cellIs" dxfId="6930" priority="4192" stopIfTrue="1" operator="equal">
      <formula>"Napkin Hs"</formula>
    </cfRule>
  </conditionalFormatting>
  <conditionalFormatting sqref="B54:C54">
    <cfRule type="cellIs" dxfId="6929" priority="4189" stopIfTrue="1" operator="equal">
      <formula>"Towel"</formula>
    </cfRule>
    <cfRule type="cellIs" dxfId="6928" priority="4190" stopIfTrue="1" operator="equal">
      <formula>"Napkin Hs"</formula>
    </cfRule>
  </conditionalFormatting>
  <conditionalFormatting sqref="C54">
    <cfRule type="cellIs" dxfId="6927" priority="4188" stopIfTrue="1" operator="equal">
      <formula>"Napkin Hs"</formula>
    </cfRule>
  </conditionalFormatting>
  <conditionalFormatting sqref="C54">
    <cfRule type="cellIs" dxfId="6926" priority="4185" stopIfTrue="1" operator="equal">
      <formula>"Towel"</formula>
    </cfRule>
    <cfRule type="cellIs" dxfId="6925" priority="4186" stopIfTrue="1" operator="equal">
      <formula>"Napkin Hs"</formula>
    </cfRule>
  </conditionalFormatting>
  <conditionalFormatting sqref="C54">
    <cfRule type="cellIs" dxfId="6924" priority="4187" stopIfTrue="1" operator="equal">
      <formula>"Towel"</formula>
    </cfRule>
  </conditionalFormatting>
  <conditionalFormatting sqref="B54:C54">
    <cfRule type="cellIs" dxfId="6923" priority="4183" stopIfTrue="1" operator="equal">
      <formula>"Towel"</formula>
    </cfRule>
    <cfRule type="cellIs" dxfId="6922" priority="4184" stopIfTrue="1" operator="equal">
      <formula>"Napkin Hs"</formula>
    </cfRule>
  </conditionalFormatting>
  <conditionalFormatting sqref="C54">
    <cfRule type="cellIs" dxfId="6921" priority="4182" stopIfTrue="1" operator="equal">
      <formula>"Napkin Hs"</formula>
    </cfRule>
  </conditionalFormatting>
  <conditionalFormatting sqref="C54">
    <cfRule type="cellIs" dxfId="6920" priority="4179" stopIfTrue="1" operator="equal">
      <formula>"Towel"</formula>
    </cfRule>
    <cfRule type="cellIs" dxfId="6919" priority="4180" stopIfTrue="1" operator="equal">
      <formula>"Napkin Hs"</formula>
    </cfRule>
  </conditionalFormatting>
  <conditionalFormatting sqref="C54">
    <cfRule type="cellIs" dxfId="6918" priority="4181" stopIfTrue="1" operator="equal">
      <formula>"Towel"</formula>
    </cfRule>
  </conditionalFormatting>
  <conditionalFormatting sqref="B54:C54">
    <cfRule type="cellIs" dxfId="6917" priority="4177" stopIfTrue="1" operator="equal">
      <formula>"Towel"</formula>
    </cfRule>
    <cfRule type="cellIs" dxfId="6916" priority="4178" stopIfTrue="1" operator="equal">
      <formula>"Napkin Hs"</formula>
    </cfRule>
  </conditionalFormatting>
  <conditionalFormatting sqref="C54">
    <cfRule type="cellIs" dxfId="6915" priority="4176" stopIfTrue="1" operator="equal">
      <formula>"Napkin Hs"</formula>
    </cfRule>
  </conditionalFormatting>
  <conditionalFormatting sqref="C54">
    <cfRule type="cellIs" dxfId="6914" priority="4173" stopIfTrue="1" operator="equal">
      <formula>"Towel"</formula>
    </cfRule>
    <cfRule type="cellIs" dxfId="6913" priority="4174" stopIfTrue="1" operator="equal">
      <formula>"Napkin Hs"</formula>
    </cfRule>
  </conditionalFormatting>
  <conditionalFormatting sqref="C54">
    <cfRule type="cellIs" dxfId="6912" priority="4175" stopIfTrue="1" operator="equal">
      <formula>"Towel"</formula>
    </cfRule>
  </conditionalFormatting>
  <conditionalFormatting sqref="B56:C56">
    <cfRule type="cellIs" dxfId="6911" priority="4171" stopIfTrue="1" operator="equal">
      <formula>"Towel"</formula>
    </cfRule>
    <cfRule type="cellIs" dxfId="6910" priority="4172" stopIfTrue="1" operator="equal">
      <formula>"Napkin Hs"</formula>
    </cfRule>
  </conditionalFormatting>
  <conditionalFormatting sqref="C56">
    <cfRule type="cellIs" dxfId="6909" priority="4170" stopIfTrue="1" operator="equal">
      <formula>"Napkin Hs"</formula>
    </cfRule>
  </conditionalFormatting>
  <conditionalFormatting sqref="C56">
    <cfRule type="cellIs" dxfId="6908" priority="4167" stopIfTrue="1" operator="equal">
      <formula>"Towel"</formula>
    </cfRule>
    <cfRule type="cellIs" dxfId="6907" priority="4168" stopIfTrue="1" operator="equal">
      <formula>"Napkin Hs"</formula>
    </cfRule>
  </conditionalFormatting>
  <conditionalFormatting sqref="C56">
    <cfRule type="cellIs" dxfId="6906" priority="4169" stopIfTrue="1" operator="equal">
      <formula>"Towel"</formula>
    </cfRule>
  </conditionalFormatting>
  <conditionalFormatting sqref="B56:C56">
    <cfRule type="cellIs" dxfId="6905" priority="4165" stopIfTrue="1" operator="equal">
      <formula>"Towel"</formula>
    </cfRule>
    <cfRule type="cellIs" dxfId="6904" priority="4166" stopIfTrue="1" operator="equal">
      <formula>"Napkin Hs"</formula>
    </cfRule>
  </conditionalFormatting>
  <conditionalFormatting sqref="C56">
    <cfRule type="cellIs" dxfId="6903" priority="4163" stopIfTrue="1" operator="equal">
      <formula>"Towel"</formula>
    </cfRule>
    <cfRule type="cellIs" dxfId="6902" priority="4164" stopIfTrue="1" operator="equal">
      <formula>"Napkin Hs"</formula>
    </cfRule>
  </conditionalFormatting>
  <conditionalFormatting sqref="C56">
    <cfRule type="cellIs" dxfId="6901" priority="4161" stopIfTrue="1" operator="equal">
      <formula>"Towel"</formula>
    </cfRule>
    <cfRule type="cellIs" dxfId="6900" priority="4162" stopIfTrue="1" operator="equal">
      <formula>"Napkin Hs"</formula>
    </cfRule>
  </conditionalFormatting>
  <conditionalFormatting sqref="B56:C56">
    <cfRule type="cellIs" dxfId="6899" priority="4159" stopIfTrue="1" operator="equal">
      <formula>"Towel"</formula>
    </cfRule>
    <cfRule type="cellIs" dxfId="6898" priority="4160" stopIfTrue="1" operator="equal">
      <formula>"Napkin Hs"</formula>
    </cfRule>
  </conditionalFormatting>
  <conditionalFormatting sqref="C56">
    <cfRule type="cellIs" dxfId="6897" priority="4157" stopIfTrue="1" operator="equal">
      <formula>"Towel"</formula>
    </cfRule>
    <cfRule type="cellIs" dxfId="6896" priority="4158" stopIfTrue="1" operator="equal">
      <formula>"Napkin Hs"</formula>
    </cfRule>
  </conditionalFormatting>
  <conditionalFormatting sqref="C56">
    <cfRule type="cellIs" dxfId="6895" priority="4155" stopIfTrue="1" operator="equal">
      <formula>"Towel"</formula>
    </cfRule>
    <cfRule type="cellIs" dxfId="6894" priority="4156" stopIfTrue="1" operator="equal">
      <formula>"Napkin Hs"</formula>
    </cfRule>
  </conditionalFormatting>
  <conditionalFormatting sqref="B56:C56">
    <cfRule type="cellIs" dxfId="6893" priority="4153" stopIfTrue="1" operator="equal">
      <formula>"Towel"</formula>
    </cfRule>
    <cfRule type="cellIs" dxfId="6892" priority="4154" stopIfTrue="1" operator="equal">
      <formula>"Napkin Hs"</formula>
    </cfRule>
  </conditionalFormatting>
  <conditionalFormatting sqref="C56">
    <cfRule type="cellIs" dxfId="6891" priority="4152" stopIfTrue="1" operator="equal">
      <formula>"Napkin Hs"</formula>
    </cfRule>
  </conditionalFormatting>
  <conditionalFormatting sqref="C56">
    <cfRule type="cellIs" dxfId="6890" priority="4149" stopIfTrue="1" operator="equal">
      <formula>"Towel"</formula>
    </cfRule>
    <cfRule type="cellIs" dxfId="6889" priority="4150" stopIfTrue="1" operator="equal">
      <formula>"Napkin Hs"</formula>
    </cfRule>
  </conditionalFormatting>
  <conditionalFormatting sqref="C56">
    <cfRule type="cellIs" dxfId="6888" priority="4151" stopIfTrue="1" operator="equal">
      <formula>"Towel"</formula>
    </cfRule>
  </conditionalFormatting>
  <conditionalFormatting sqref="B56:C56">
    <cfRule type="cellIs" dxfId="6887" priority="4147" stopIfTrue="1" operator="equal">
      <formula>"Towel"</formula>
    </cfRule>
    <cfRule type="cellIs" dxfId="6886" priority="4148" stopIfTrue="1" operator="equal">
      <formula>"Napkin Hs"</formula>
    </cfRule>
  </conditionalFormatting>
  <conditionalFormatting sqref="C56">
    <cfRule type="cellIs" dxfId="6885" priority="4146" stopIfTrue="1" operator="equal">
      <formula>"Napkin Hs"</formula>
    </cfRule>
  </conditionalFormatting>
  <conditionalFormatting sqref="C56">
    <cfRule type="cellIs" dxfId="6884" priority="4143" stopIfTrue="1" operator="equal">
      <formula>"Towel"</formula>
    </cfRule>
    <cfRule type="cellIs" dxfId="6883" priority="4144" stopIfTrue="1" operator="equal">
      <formula>"Napkin Hs"</formula>
    </cfRule>
  </conditionalFormatting>
  <conditionalFormatting sqref="C56">
    <cfRule type="cellIs" dxfId="6882" priority="4145" stopIfTrue="1" operator="equal">
      <formula>"Towel"</formula>
    </cfRule>
  </conditionalFormatting>
  <conditionalFormatting sqref="B56:C56">
    <cfRule type="cellIs" dxfId="6881" priority="4141" stopIfTrue="1" operator="equal">
      <formula>"Towel"</formula>
    </cfRule>
    <cfRule type="cellIs" dxfId="6880" priority="4142" stopIfTrue="1" operator="equal">
      <formula>"Napkin Hs"</formula>
    </cfRule>
  </conditionalFormatting>
  <conditionalFormatting sqref="C56">
    <cfRule type="cellIs" dxfId="6879" priority="4140" stopIfTrue="1" operator="equal">
      <formula>"Napkin Hs"</formula>
    </cfRule>
  </conditionalFormatting>
  <conditionalFormatting sqref="C56">
    <cfRule type="cellIs" dxfId="6878" priority="4137" stopIfTrue="1" operator="equal">
      <formula>"Towel"</formula>
    </cfRule>
    <cfRule type="cellIs" dxfId="6877" priority="4138" stopIfTrue="1" operator="equal">
      <formula>"Napkin Hs"</formula>
    </cfRule>
  </conditionalFormatting>
  <conditionalFormatting sqref="C56">
    <cfRule type="cellIs" dxfId="6876" priority="4139" stopIfTrue="1" operator="equal">
      <formula>"Towel"</formula>
    </cfRule>
  </conditionalFormatting>
  <conditionalFormatting sqref="B62:C62">
    <cfRule type="cellIs" dxfId="6875" priority="4135" stopIfTrue="1" operator="equal">
      <formula>"Towel"</formula>
    </cfRule>
    <cfRule type="cellIs" dxfId="6874" priority="4136" stopIfTrue="1" operator="equal">
      <formula>"Napkin Hs"</formula>
    </cfRule>
  </conditionalFormatting>
  <conditionalFormatting sqref="C62">
    <cfRule type="cellIs" dxfId="6873" priority="4131" stopIfTrue="1" operator="equal">
      <formula>"Towel"</formula>
    </cfRule>
    <cfRule type="cellIs" dxfId="6872" priority="4132" stopIfTrue="1" operator="equal">
      <formula>"Napkin Hs"</formula>
    </cfRule>
  </conditionalFormatting>
  <conditionalFormatting sqref="C62">
    <cfRule type="cellIs" dxfId="6871" priority="4133" stopIfTrue="1" operator="equal">
      <formula>"Towel"</formula>
    </cfRule>
    <cfRule type="cellIs" dxfId="6870" priority="4134" stopIfTrue="1" operator="equal">
      <formula>"Napkin Hs"</formula>
    </cfRule>
  </conditionalFormatting>
  <conditionalFormatting sqref="B62:C62">
    <cfRule type="cellIs" dxfId="6869" priority="4117" stopIfTrue="1" operator="equal">
      <formula>"Towel"</formula>
    </cfRule>
    <cfRule type="cellIs" dxfId="6868" priority="4118" stopIfTrue="1" operator="equal">
      <formula>"Napkin Hs"</formula>
    </cfRule>
  </conditionalFormatting>
  <conditionalFormatting sqref="C62">
    <cfRule type="cellIs" dxfId="6867" priority="4115" stopIfTrue="1" operator="equal">
      <formula>"Towel"</formula>
    </cfRule>
    <cfRule type="cellIs" dxfId="6866" priority="4116" stopIfTrue="1" operator="equal">
      <formula>"Napkin Hs"</formula>
    </cfRule>
  </conditionalFormatting>
  <conditionalFormatting sqref="C62">
    <cfRule type="cellIs" dxfId="6865" priority="4113" stopIfTrue="1" operator="equal">
      <formula>"Towel"</formula>
    </cfRule>
    <cfRule type="cellIs" dxfId="6864" priority="4114" stopIfTrue="1" operator="equal">
      <formula>"Napkin Hs"</formula>
    </cfRule>
  </conditionalFormatting>
  <conditionalFormatting sqref="B62:C62">
    <cfRule type="cellIs" dxfId="6863" priority="4111" stopIfTrue="1" operator="equal">
      <formula>"Towel"</formula>
    </cfRule>
    <cfRule type="cellIs" dxfId="6862" priority="4112" stopIfTrue="1" operator="equal">
      <formula>"Napkin Hs"</formula>
    </cfRule>
  </conditionalFormatting>
  <conditionalFormatting sqref="C62">
    <cfRule type="cellIs" dxfId="6861" priority="4110" stopIfTrue="1" operator="equal">
      <formula>"Napkin Hs"</formula>
    </cfRule>
  </conditionalFormatting>
  <conditionalFormatting sqref="C62">
    <cfRule type="cellIs" dxfId="6860" priority="4107" stopIfTrue="1" operator="equal">
      <formula>"Towel"</formula>
    </cfRule>
    <cfRule type="cellIs" dxfId="6859" priority="4108" stopIfTrue="1" operator="equal">
      <formula>"Napkin Hs"</formula>
    </cfRule>
  </conditionalFormatting>
  <conditionalFormatting sqref="C62">
    <cfRule type="cellIs" dxfId="6858" priority="4109" stopIfTrue="1" operator="equal">
      <formula>"Towel"</formula>
    </cfRule>
  </conditionalFormatting>
  <conditionalFormatting sqref="B62:C62">
    <cfRule type="cellIs" dxfId="6857" priority="4105" stopIfTrue="1" operator="equal">
      <formula>"Towel"</formula>
    </cfRule>
    <cfRule type="cellIs" dxfId="6856" priority="4106" stopIfTrue="1" operator="equal">
      <formula>"Napkin Hs"</formula>
    </cfRule>
  </conditionalFormatting>
  <conditionalFormatting sqref="C62">
    <cfRule type="cellIs" dxfId="6855" priority="4104" stopIfTrue="1" operator="equal">
      <formula>"Napkin Hs"</formula>
    </cfRule>
  </conditionalFormatting>
  <conditionalFormatting sqref="C62">
    <cfRule type="cellIs" dxfId="6854" priority="4101" stopIfTrue="1" operator="equal">
      <formula>"Towel"</formula>
    </cfRule>
    <cfRule type="cellIs" dxfId="6853" priority="4102" stopIfTrue="1" operator="equal">
      <formula>"Napkin Hs"</formula>
    </cfRule>
  </conditionalFormatting>
  <conditionalFormatting sqref="C62">
    <cfRule type="cellIs" dxfId="6852" priority="4103" stopIfTrue="1" operator="equal">
      <formula>"Towel"</formula>
    </cfRule>
  </conditionalFormatting>
  <conditionalFormatting sqref="B62:C62">
    <cfRule type="cellIs" dxfId="6851" priority="4099" stopIfTrue="1" operator="equal">
      <formula>"Towel"</formula>
    </cfRule>
    <cfRule type="cellIs" dxfId="6850" priority="4100" stopIfTrue="1" operator="equal">
      <formula>"Napkin Hs"</formula>
    </cfRule>
  </conditionalFormatting>
  <conditionalFormatting sqref="C62">
    <cfRule type="cellIs" dxfId="6849" priority="4098" stopIfTrue="1" operator="equal">
      <formula>"Napkin Hs"</formula>
    </cfRule>
  </conditionalFormatting>
  <conditionalFormatting sqref="C62">
    <cfRule type="cellIs" dxfId="6848" priority="4095" stopIfTrue="1" operator="equal">
      <formula>"Towel"</formula>
    </cfRule>
    <cfRule type="cellIs" dxfId="6847" priority="4096" stopIfTrue="1" operator="equal">
      <formula>"Napkin Hs"</formula>
    </cfRule>
  </conditionalFormatting>
  <conditionalFormatting sqref="C62">
    <cfRule type="cellIs" dxfId="6846" priority="4097" stopIfTrue="1" operator="equal">
      <formula>"Towel"</formula>
    </cfRule>
  </conditionalFormatting>
  <conditionalFormatting sqref="B59:C59">
    <cfRule type="cellIs" dxfId="6845" priority="3997" stopIfTrue="1" operator="equal">
      <formula>"Towel"</formula>
    </cfRule>
    <cfRule type="cellIs" dxfId="6844" priority="3998" stopIfTrue="1" operator="equal">
      <formula>"Napkin Hs"</formula>
    </cfRule>
  </conditionalFormatting>
  <conditionalFormatting sqref="C59">
    <cfRule type="cellIs" dxfId="6843" priority="3996" stopIfTrue="1" operator="equal">
      <formula>"Napkin Hs"</formula>
    </cfRule>
  </conditionalFormatting>
  <conditionalFormatting sqref="C59">
    <cfRule type="cellIs" dxfId="6842" priority="3993" stopIfTrue="1" operator="equal">
      <formula>"Towel"</formula>
    </cfRule>
    <cfRule type="cellIs" dxfId="6841" priority="3994" stopIfTrue="1" operator="equal">
      <formula>"Napkin Hs"</formula>
    </cfRule>
  </conditionalFormatting>
  <conditionalFormatting sqref="C59">
    <cfRule type="cellIs" dxfId="6840" priority="3995" stopIfTrue="1" operator="equal">
      <formula>"Towel"</formula>
    </cfRule>
  </conditionalFormatting>
  <conditionalFormatting sqref="B59:C59">
    <cfRule type="cellIs" dxfId="6839" priority="3991" stopIfTrue="1" operator="equal">
      <formula>"Towel"</formula>
    </cfRule>
    <cfRule type="cellIs" dxfId="6838" priority="3992" stopIfTrue="1" operator="equal">
      <formula>"Napkin Hs"</formula>
    </cfRule>
  </conditionalFormatting>
  <conditionalFormatting sqref="C59">
    <cfRule type="cellIs" dxfId="6837" priority="3989" stopIfTrue="1" operator="equal">
      <formula>"Towel"</formula>
    </cfRule>
    <cfRule type="cellIs" dxfId="6836" priority="3990" stopIfTrue="1" operator="equal">
      <formula>"Napkin Hs"</formula>
    </cfRule>
  </conditionalFormatting>
  <conditionalFormatting sqref="C59">
    <cfRule type="cellIs" dxfId="6835" priority="3987" stopIfTrue="1" operator="equal">
      <formula>"Towel"</formula>
    </cfRule>
    <cfRule type="cellIs" dxfId="6834" priority="3988" stopIfTrue="1" operator="equal">
      <formula>"Napkin Hs"</formula>
    </cfRule>
  </conditionalFormatting>
  <conditionalFormatting sqref="B59:C59">
    <cfRule type="cellIs" dxfId="6833" priority="3985" stopIfTrue="1" operator="equal">
      <formula>"Towel"</formula>
    </cfRule>
    <cfRule type="cellIs" dxfId="6832" priority="3986" stopIfTrue="1" operator="equal">
      <formula>"Napkin Hs"</formula>
    </cfRule>
  </conditionalFormatting>
  <conditionalFormatting sqref="C59">
    <cfRule type="cellIs" dxfId="6831" priority="3983" stopIfTrue="1" operator="equal">
      <formula>"Towel"</formula>
    </cfRule>
    <cfRule type="cellIs" dxfId="6830" priority="3984" stopIfTrue="1" operator="equal">
      <formula>"Napkin Hs"</formula>
    </cfRule>
  </conditionalFormatting>
  <conditionalFormatting sqref="C59">
    <cfRule type="cellIs" dxfId="6829" priority="3981" stopIfTrue="1" operator="equal">
      <formula>"Towel"</formula>
    </cfRule>
    <cfRule type="cellIs" dxfId="6828" priority="3982" stopIfTrue="1" operator="equal">
      <formula>"Napkin Hs"</formula>
    </cfRule>
  </conditionalFormatting>
  <conditionalFormatting sqref="B59:C59">
    <cfRule type="cellIs" dxfId="6827" priority="3979" stopIfTrue="1" operator="equal">
      <formula>"Towel"</formula>
    </cfRule>
    <cfRule type="cellIs" dxfId="6826" priority="3980" stopIfTrue="1" operator="equal">
      <formula>"Napkin Hs"</formula>
    </cfRule>
  </conditionalFormatting>
  <conditionalFormatting sqref="C59">
    <cfRule type="cellIs" dxfId="6825" priority="3978" stopIfTrue="1" operator="equal">
      <formula>"Napkin Hs"</formula>
    </cfRule>
  </conditionalFormatting>
  <conditionalFormatting sqref="C59">
    <cfRule type="cellIs" dxfId="6824" priority="3975" stopIfTrue="1" operator="equal">
      <formula>"Towel"</formula>
    </cfRule>
    <cfRule type="cellIs" dxfId="6823" priority="3976" stopIfTrue="1" operator="equal">
      <formula>"Napkin Hs"</formula>
    </cfRule>
  </conditionalFormatting>
  <conditionalFormatting sqref="C59">
    <cfRule type="cellIs" dxfId="6822" priority="3977" stopIfTrue="1" operator="equal">
      <formula>"Towel"</formula>
    </cfRule>
  </conditionalFormatting>
  <conditionalFormatting sqref="B59:C59">
    <cfRule type="cellIs" dxfId="6821" priority="3973" stopIfTrue="1" operator="equal">
      <formula>"Towel"</formula>
    </cfRule>
    <cfRule type="cellIs" dxfId="6820" priority="3974" stopIfTrue="1" operator="equal">
      <formula>"Napkin Hs"</formula>
    </cfRule>
  </conditionalFormatting>
  <conditionalFormatting sqref="C59">
    <cfRule type="cellIs" dxfId="6819" priority="3972" stopIfTrue="1" operator="equal">
      <formula>"Napkin Hs"</formula>
    </cfRule>
  </conditionalFormatting>
  <conditionalFormatting sqref="C59">
    <cfRule type="cellIs" dxfId="6818" priority="3969" stopIfTrue="1" operator="equal">
      <formula>"Towel"</formula>
    </cfRule>
    <cfRule type="cellIs" dxfId="6817" priority="3970" stopIfTrue="1" operator="equal">
      <formula>"Napkin Hs"</formula>
    </cfRule>
  </conditionalFormatting>
  <conditionalFormatting sqref="C59">
    <cfRule type="cellIs" dxfId="6816" priority="3971" stopIfTrue="1" operator="equal">
      <formula>"Towel"</formula>
    </cfRule>
  </conditionalFormatting>
  <conditionalFormatting sqref="B59:C59">
    <cfRule type="cellIs" dxfId="6815" priority="3967" stopIfTrue="1" operator="equal">
      <formula>"Towel"</formula>
    </cfRule>
    <cfRule type="cellIs" dxfId="6814" priority="3968" stopIfTrue="1" operator="equal">
      <formula>"Napkin Hs"</formula>
    </cfRule>
  </conditionalFormatting>
  <conditionalFormatting sqref="C59">
    <cfRule type="cellIs" dxfId="6813" priority="3966" stopIfTrue="1" operator="equal">
      <formula>"Napkin Hs"</formula>
    </cfRule>
  </conditionalFormatting>
  <conditionalFormatting sqref="C59">
    <cfRule type="cellIs" dxfId="6812" priority="3963" stopIfTrue="1" operator="equal">
      <formula>"Towel"</formula>
    </cfRule>
    <cfRule type="cellIs" dxfId="6811" priority="3964" stopIfTrue="1" operator="equal">
      <formula>"Napkin Hs"</formula>
    </cfRule>
  </conditionalFormatting>
  <conditionalFormatting sqref="C59">
    <cfRule type="cellIs" dxfId="6810" priority="3965" stopIfTrue="1" operator="equal">
      <formula>"Towel"</formula>
    </cfRule>
  </conditionalFormatting>
  <conditionalFormatting sqref="B60:C60">
    <cfRule type="cellIs" dxfId="6809" priority="3961" stopIfTrue="1" operator="equal">
      <formula>"Towel"</formula>
    </cfRule>
    <cfRule type="cellIs" dxfId="6808" priority="3962" stopIfTrue="1" operator="equal">
      <formula>"Napkin Hs"</formula>
    </cfRule>
  </conditionalFormatting>
  <conditionalFormatting sqref="C60">
    <cfRule type="cellIs" dxfId="6807" priority="3960" stopIfTrue="1" operator="equal">
      <formula>"Napkin Hs"</formula>
    </cfRule>
  </conditionalFormatting>
  <conditionalFormatting sqref="C60">
    <cfRule type="cellIs" dxfId="6806" priority="3957" stopIfTrue="1" operator="equal">
      <formula>"Towel"</formula>
    </cfRule>
    <cfRule type="cellIs" dxfId="6805" priority="3958" stopIfTrue="1" operator="equal">
      <formula>"Napkin Hs"</formula>
    </cfRule>
  </conditionalFormatting>
  <conditionalFormatting sqref="C60">
    <cfRule type="cellIs" dxfId="6804" priority="3959" stopIfTrue="1" operator="equal">
      <formula>"Towel"</formula>
    </cfRule>
  </conditionalFormatting>
  <conditionalFormatting sqref="B60:C60">
    <cfRule type="cellIs" dxfId="6803" priority="3955" stopIfTrue="1" operator="equal">
      <formula>"Towel"</formula>
    </cfRule>
    <cfRule type="cellIs" dxfId="6802" priority="3956" stopIfTrue="1" operator="equal">
      <formula>"Napkin Hs"</formula>
    </cfRule>
  </conditionalFormatting>
  <conditionalFormatting sqref="C60">
    <cfRule type="cellIs" dxfId="6801" priority="3953" stopIfTrue="1" operator="equal">
      <formula>"Towel"</formula>
    </cfRule>
    <cfRule type="cellIs" dxfId="6800" priority="3954" stopIfTrue="1" operator="equal">
      <formula>"Napkin Hs"</formula>
    </cfRule>
  </conditionalFormatting>
  <conditionalFormatting sqref="C60">
    <cfRule type="cellIs" dxfId="6799" priority="3951" stopIfTrue="1" operator="equal">
      <formula>"Towel"</formula>
    </cfRule>
    <cfRule type="cellIs" dxfId="6798" priority="3952" stopIfTrue="1" operator="equal">
      <formula>"Napkin Hs"</formula>
    </cfRule>
  </conditionalFormatting>
  <conditionalFormatting sqref="B60:C60">
    <cfRule type="cellIs" dxfId="6797" priority="3949" stopIfTrue="1" operator="equal">
      <formula>"Towel"</formula>
    </cfRule>
    <cfRule type="cellIs" dxfId="6796" priority="3950" stopIfTrue="1" operator="equal">
      <formula>"Napkin Hs"</formula>
    </cfRule>
  </conditionalFormatting>
  <conditionalFormatting sqref="C60">
    <cfRule type="cellIs" dxfId="6795" priority="3947" stopIfTrue="1" operator="equal">
      <formula>"Towel"</formula>
    </cfRule>
    <cfRule type="cellIs" dxfId="6794" priority="3948" stopIfTrue="1" operator="equal">
      <formula>"Napkin Hs"</formula>
    </cfRule>
  </conditionalFormatting>
  <conditionalFormatting sqref="C60">
    <cfRule type="cellIs" dxfId="6793" priority="3945" stopIfTrue="1" operator="equal">
      <formula>"Towel"</formula>
    </cfRule>
    <cfRule type="cellIs" dxfId="6792" priority="3946" stopIfTrue="1" operator="equal">
      <formula>"Napkin Hs"</formula>
    </cfRule>
  </conditionalFormatting>
  <conditionalFormatting sqref="B60:C60">
    <cfRule type="cellIs" dxfId="6791" priority="3943" stopIfTrue="1" operator="equal">
      <formula>"Towel"</formula>
    </cfRule>
    <cfRule type="cellIs" dxfId="6790" priority="3944" stopIfTrue="1" operator="equal">
      <formula>"Napkin Hs"</formula>
    </cfRule>
  </conditionalFormatting>
  <conditionalFormatting sqref="C60">
    <cfRule type="cellIs" dxfId="6789" priority="3942" stopIfTrue="1" operator="equal">
      <formula>"Napkin Hs"</formula>
    </cfRule>
  </conditionalFormatting>
  <conditionalFormatting sqref="C60">
    <cfRule type="cellIs" dxfId="6788" priority="3939" stopIfTrue="1" operator="equal">
      <formula>"Towel"</formula>
    </cfRule>
    <cfRule type="cellIs" dxfId="6787" priority="3940" stopIfTrue="1" operator="equal">
      <formula>"Napkin Hs"</formula>
    </cfRule>
  </conditionalFormatting>
  <conditionalFormatting sqref="C60">
    <cfRule type="cellIs" dxfId="6786" priority="3941" stopIfTrue="1" operator="equal">
      <formula>"Towel"</formula>
    </cfRule>
  </conditionalFormatting>
  <conditionalFormatting sqref="B60:C60">
    <cfRule type="cellIs" dxfId="6785" priority="3937" stopIfTrue="1" operator="equal">
      <formula>"Towel"</formula>
    </cfRule>
    <cfRule type="cellIs" dxfId="6784" priority="3938" stopIfTrue="1" operator="equal">
      <formula>"Napkin Hs"</formula>
    </cfRule>
  </conditionalFormatting>
  <conditionalFormatting sqref="C60">
    <cfRule type="cellIs" dxfId="6783" priority="3936" stopIfTrue="1" operator="equal">
      <formula>"Napkin Hs"</formula>
    </cfRule>
  </conditionalFormatting>
  <conditionalFormatting sqref="C60">
    <cfRule type="cellIs" dxfId="6782" priority="3933" stopIfTrue="1" operator="equal">
      <formula>"Towel"</formula>
    </cfRule>
    <cfRule type="cellIs" dxfId="6781" priority="3934" stopIfTrue="1" operator="equal">
      <formula>"Napkin Hs"</formula>
    </cfRule>
  </conditionalFormatting>
  <conditionalFormatting sqref="C60">
    <cfRule type="cellIs" dxfId="6780" priority="3935" stopIfTrue="1" operator="equal">
      <formula>"Towel"</formula>
    </cfRule>
  </conditionalFormatting>
  <conditionalFormatting sqref="B60:C60">
    <cfRule type="cellIs" dxfId="6779" priority="3931" stopIfTrue="1" operator="equal">
      <formula>"Towel"</formula>
    </cfRule>
    <cfRule type="cellIs" dxfId="6778" priority="3932" stopIfTrue="1" operator="equal">
      <formula>"Napkin Hs"</formula>
    </cfRule>
  </conditionalFormatting>
  <conditionalFormatting sqref="C60">
    <cfRule type="cellIs" dxfId="6777" priority="3930" stopIfTrue="1" operator="equal">
      <formula>"Napkin Hs"</formula>
    </cfRule>
  </conditionalFormatting>
  <conditionalFormatting sqref="C60">
    <cfRule type="cellIs" dxfId="6776" priority="3927" stopIfTrue="1" operator="equal">
      <formula>"Towel"</formula>
    </cfRule>
    <cfRule type="cellIs" dxfId="6775" priority="3928" stopIfTrue="1" operator="equal">
      <formula>"Napkin Hs"</formula>
    </cfRule>
  </conditionalFormatting>
  <conditionalFormatting sqref="C60">
    <cfRule type="cellIs" dxfId="6774" priority="3929" stopIfTrue="1" operator="equal">
      <formula>"Towel"</formula>
    </cfRule>
  </conditionalFormatting>
  <conditionalFormatting sqref="B61:C61">
    <cfRule type="cellIs" dxfId="6773" priority="3925" stopIfTrue="1" operator="equal">
      <formula>"Towel"</formula>
    </cfRule>
    <cfRule type="cellIs" dxfId="6772" priority="3926" stopIfTrue="1" operator="equal">
      <formula>"Napkin Hs"</formula>
    </cfRule>
  </conditionalFormatting>
  <conditionalFormatting sqref="C61">
    <cfRule type="cellIs" dxfId="6771" priority="3924" stopIfTrue="1" operator="equal">
      <formula>"Napkin Hs"</formula>
    </cfRule>
  </conditionalFormatting>
  <conditionalFormatting sqref="C61">
    <cfRule type="cellIs" dxfId="6770" priority="3921" stopIfTrue="1" operator="equal">
      <formula>"Towel"</formula>
    </cfRule>
    <cfRule type="cellIs" dxfId="6769" priority="3922" stopIfTrue="1" operator="equal">
      <formula>"Napkin Hs"</formula>
    </cfRule>
  </conditionalFormatting>
  <conditionalFormatting sqref="C61">
    <cfRule type="cellIs" dxfId="6768" priority="3923" stopIfTrue="1" operator="equal">
      <formula>"Towel"</formula>
    </cfRule>
  </conditionalFormatting>
  <conditionalFormatting sqref="B61:C61">
    <cfRule type="cellIs" dxfId="6767" priority="3919" stopIfTrue="1" operator="equal">
      <formula>"Towel"</formula>
    </cfRule>
    <cfRule type="cellIs" dxfId="6766" priority="3920" stopIfTrue="1" operator="equal">
      <formula>"Napkin Hs"</formula>
    </cfRule>
  </conditionalFormatting>
  <conditionalFormatting sqref="C61">
    <cfRule type="cellIs" dxfId="6765" priority="3917" stopIfTrue="1" operator="equal">
      <formula>"Towel"</formula>
    </cfRule>
    <cfRule type="cellIs" dxfId="6764" priority="3918" stopIfTrue="1" operator="equal">
      <formula>"Napkin Hs"</formula>
    </cfRule>
  </conditionalFormatting>
  <conditionalFormatting sqref="C61">
    <cfRule type="cellIs" dxfId="6763" priority="3915" stopIfTrue="1" operator="equal">
      <formula>"Towel"</formula>
    </cfRule>
    <cfRule type="cellIs" dxfId="6762" priority="3916" stopIfTrue="1" operator="equal">
      <formula>"Napkin Hs"</formula>
    </cfRule>
  </conditionalFormatting>
  <conditionalFormatting sqref="B61:C61">
    <cfRule type="cellIs" dxfId="6761" priority="3913" stopIfTrue="1" operator="equal">
      <formula>"Towel"</formula>
    </cfRule>
    <cfRule type="cellIs" dxfId="6760" priority="3914" stopIfTrue="1" operator="equal">
      <formula>"Napkin Hs"</formula>
    </cfRule>
  </conditionalFormatting>
  <conditionalFormatting sqref="C61">
    <cfRule type="cellIs" dxfId="6759" priority="3911" stopIfTrue="1" operator="equal">
      <formula>"Towel"</formula>
    </cfRule>
    <cfRule type="cellIs" dxfId="6758" priority="3912" stopIfTrue="1" operator="equal">
      <formula>"Napkin Hs"</formula>
    </cfRule>
  </conditionalFormatting>
  <conditionalFormatting sqref="C61">
    <cfRule type="cellIs" dxfId="6757" priority="3909" stopIfTrue="1" operator="equal">
      <formula>"Towel"</formula>
    </cfRule>
    <cfRule type="cellIs" dxfId="6756" priority="3910" stopIfTrue="1" operator="equal">
      <formula>"Napkin Hs"</formula>
    </cfRule>
  </conditionalFormatting>
  <conditionalFormatting sqref="B61:C61">
    <cfRule type="cellIs" dxfId="6755" priority="3907" stopIfTrue="1" operator="equal">
      <formula>"Towel"</formula>
    </cfRule>
    <cfRule type="cellIs" dxfId="6754" priority="3908" stopIfTrue="1" operator="equal">
      <formula>"Napkin Hs"</formula>
    </cfRule>
  </conditionalFormatting>
  <conditionalFormatting sqref="C61">
    <cfRule type="cellIs" dxfId="6753" priority="3906" stopIfTrue="1" operator="equal">
      <formula>"Napkin Hs"</formula>
    </cfRule>
  </conditionalFormatting>
  <conditionalFormatting sqref="C61">
    <cfRule type="cellIs" dxfId="6752" priority="3903" stopIfTrue="1" operator="equal">
      <formula>"Towel"</formula>
    </cfRule>
    <cfRule type="cellIs" dxfId="6751" priority="3904" stopIfTrue="1" operator="equal">
      <formula>"Napkin Hs"</formula>
    </cfRule>
  </conditionalFormatting>
  <conditionalFormatting sqref="C61">
    <cfRule type="cellIs" dxfId="6750" priority="3905" stopIfTrue="1" operator="equal">
      <formula>"Towel"</formula>
    </cfRule>
  </conditionalFormatting>
  <conditionalFormatting sqref="B61:C61">
    <cfRule type="cellIs" dxfId="6749" priority="3901" stopIfTrue="1" operator="equal">
      <formula>"Towel"</formula>
    </cfRule>
    <cfRule type="cellIs" dxfId="6748" priority="3902" stopIfTrue="1" operator="equal">
      <formula>"Napkin Hs"</formula>
    </cfRule>
  </conditionalFormatting>
  <conditionalFormatting sqref="C61">
    <cfRule type="cellIs" dxfId="6747" priority="3900" stopIfTrue="1" operator="equal">
      <formula>"Napkin Hs"</formula>
    </cfRule>
  </conditionalFormatting>
  <conditionalFormatting sqref="C61">
    <cfRule type="cellIs" dxfId="6746" priority="3897" stopIfTrue="1" operator="equal">
      <formula>"Towel"</formula>
    </cfRule>
    <cfRule type="cellIs" dxfId="6745" priority="3898" stopIfTrue="1" operator="equal">
      <formula>"Napkin Hs"</formula>
    </cfRule>
  </conditionalFormatting>
  <conditionalFormatting sqref="C61">
    <cfRule type="cellIs" dxfId="6744" priority="3899" stopIfTrue="1" operator="equal">
      <formula>"Towel"</formula>
    </cfRule>
  </conditionalFormatting>
  <conditionalFormatting sqref="B61:C61">
    <cfRule type="cellIs" dxfId="6743" priority="3895" stopIfTrue="1" operator="equal">
      <formula>"Towel"</formula>
    </cfRule>
    <cfRule type="cellIs" dxfId="6742" priority="3896" stopIfTrue="1" operator="equal">
      <formula>"Napkin Hs"</formula>
    </cfRule>
  </conditionalFormatting>
  <conditionalFormatting sqref="C61">
    <cfRule type="cellIs" dxfId="6741" priority="3894" stopIfTrue="1" operator="equal">
      <formula>"Napkin Hs"</formula>
    </cfRule>
  </conditionalFormatting>
  <conditionalFormatting sqref="C61">
    <cfRule type="cellIs" dxfId="6740" priority="3891" stopIfTrue="1" operator="equal">
      <formula>"Towel"</formula>
    </cfRule>
    <cfRule type="cellIs" dxfId="6739" priority="3892" stopIfTrue="1" operator="equal">
      <formula>"Napkin Hs"</formula>
    </cfRule>
  </conditionalFormatting>
  <conditionalFormatting sqref="C61">
    <cfRule type="cellIs" dxfId="6738" priority="3893" stopIfTrue="1" operator="equal">
      <formula>"Towel"</formula>
    </cfRule>
  </conditionalFormatting>
  <conditionalFormatting sqref="B68:C68">
    <cfRule type="cellIs" dxfId="6737" priority="3889" stopIfTrue="1" operator="equal">
      <formula>"Towel"</formula>
    </cfRule>
    <cfRule type="cellIs" dxfId="6736" priority="3890" stopIfTrue="1" operator="equal">
      <formula>"Napkin Hs"</formula>
    </cfRule>
  </conditionalFormatting>
  <conditionalFormatting sqref="C68">
    <cfRule type="cellIs" dxfId="6735" priority="3888" stopIfTrue="1" operator="equal">
      <formula>"Napkin Hs"</formula>
    </cfRule>
  </conditionalFormatting>
  <conditionalFormatting sqref="C68">
    <cfRule type="cellIs" dxfId="6734" priority="3885" stopIfTrue="1" operator="equal">
      <formula>"Towel"</formula>
    </cfRule>
    <cfRule type="cellIs" dxfId="6733" priority="3886" stopIfTrue="1" operator="equal">
      <formula>"Napkin Hs"</formula>
    </cfRule>
  </conditionalFormatting>
  <conditionalFormatting sqref="C68">
    <cfRule type="cellIs" dxfId="6732" priority="3887" stopIfTrue="1" operator="equal">
      <formula>"Towel"</formula>
    </cfRule>
  </conditionalFormatting>
  <conditionalFormatting sqref="B66:C66">
    <cfRule type="cellIs" dxfId="6731" priority="3883" stopIfTrue="1" operator="equal">
      <formula>"Towel"</formula>
    </cfRule>
    <cfRule type="cellIs" dxfId="6730" priority="3884" stopIfTrue="1" operator="equal">
      <formula>"Napkin Hs"</formula>
    </cfRule>
  </conditionalFormatting>
  <conditionalFormatting sqref="C66">
    <cfRule type="cellIs" dxfId="6729" priority="3879" stopIfTrue="1" operator="equal">
      <formula>"Towel"</formula>
    </cfRule>
    <cfRule type="cellIs" dxfId="6728" priority="3880" stopIfTrue="1" operator="equal">
      <formula>"Napkin Hs"</formula>
    </cfRule>
  </conditionalFormatting>
  <conditionalFormatting sqref="C66">
    <cfRule type="cellIs" dxfId="6727" priority="3881" stopIfTrue="1" operator="equal">
      <formula>"Towel"</formula>
    </cfRule>
    <cfRule type="cellIs" dxfId="6726" priority="3882" stopIfTrue="1" operator="equal">
      <formula>"Napkin Hs"</formula>
    </cfRule>
  </conditionalFormatting>
  <conditionalFormatting sqref="B66:C66">
    <cfRule type="cellIs" dxfId="6725" priority="3877" stopIfTrue="1" operator="equal">
      <formula>"Towel"</formula>
    </cfRule>
    <cfRule type="cellIs" dxfId="6724" priority="3878" stopIfTrue="1" operator="equal">
      <formula>"Napkin Hs"</formula>
    </cfRule>
  </conditionalFormatting>
  <conditionalFormatting sqref="C66">
    <cfRule type="cellIs" dxfId="6723" priority="3875" stopIfTrue="1" operator="equal">
      <formula>"Towel"</formula>
    </cfRule>
    <cfRule type="cellIs" dxfId="6722" priority="3876" stopIfTrue="1" operator="equal">
      <formula>"Napkin Hs"</formula>
    </cfRule>
  </conditionalFormatting>
  <conditionalFormatting sqref="C66">
    <cfRule type="cellIs" dxfId="6721" priority="3873" stopIfTrue="1" operator="equal">
      <formula>"Towel"</formula>
    </cfRule>
    <cfRule type="cellIs" dxfId="6720" priority="3874" stopIfTrue="1" operator="equal">
      <formula>"Napkin Hs"</formula>
    </cfRule>
  </conditionalFormatting>
  <conditionalFormatting sqref="B66:C66">
    <cfRule type="cellIs" dxfId="6719" priority="3871" stopIfTrue="1" operator="equal">
      <formula>"Towel"</formula>
    </cfRule>
    <cfRule type="cellIs" dxfId="6718" priority="3872" stopIfTrue="1" operator="equal">
      <formula>"Napkin Hs"</formula>
    </cfRule>
  </conditionalFormatting>
  <conditionalFormatting sqref="C66">
    <cfRule type="cellIs" dxfId="6717" priority="3870" stopIfTrue="1" operator="equal">
      <formula>"Napkin Hs"</formula>
    </cfRule>
  </conditionalFormatting>
  <conditionalFormatting sqref="C66">
    <cfRule type="cellIs" dxfId="6716" priority="3867" stopIfTrue="1" operator="equal">
      <formula>"Towel"</formula>
    </cfRule>
    <cfRule type="cellIs" dxfId="6715" priority="3868" stopIfTrue="1" operator="equal">
      <formula>"Napkin Hs"</formula>
    </cfRule>
  </conditionalFormatting>
  <conditionalFormatting sqref="C66">
    <cfRule type="cellIs" dxfId="6714" priority="3869" stopIfTrue="1" operator="equal">
      <formula>"Towel"</formula>
    </cfRule>
  </conditionalFormatting>
  <conditionalFormatting sqref="B66:C66">
    <cfRule type="cellIs" dxfId="6713" priority="3865" stopIfTrue="1" operator="equal">
      <formula>"Towel"</formula>
    </cfRule>
    <cfRule type="cellIs" dxfId="6712" priority="3866" stopIfTrue="1" operator="equal">
      <formula>"Napkin Hs"</formula>
    </cfRule>
  </conditionalFormatting>
  <conditionalFormatting sqref="C66">
    <cfRule type="cellIs" dxfId="6711" priority="3864" stopIfTrue="1" operator="equal">
      <formula>"Napkin Hs"</formula>
    </cfRule>
  </conditionalFormatting>
  <conditionalFormatting sqref="C66">
    <cfRule type="cellIs" dxfId="6710" priority="3861" stopIfTrue="1" operator="equal">
      <formula>"Towel"</formula>
    </cfRule>
    <cfRule type="cellIs" dxfId="6709" priority="3862" stopIfTrue="1" operator="equal">
      <formula>"Napkin Hs"</formula>
    </cfRule>
  </conditionalFormatting>
  <conditionalFormatting sqref="C66">
    <cfRule type="cellIs" dxfId="6708" priority="3863" stopIfTrue="1" operator="equal">
      <formula>"Towel"</formula>
    </cfRule>
  </conditionalFormatting>
  <conditionalFormatting sqref="B66:C66">
    <cfRule type="cellIs" dxfId="6707" priority="3859" stopIfTrue="1" operator="equal">
      <formula>"Towel"</formula>
    </cfRule>
    <cfRule type="cellIs" dxfId="6706" priority="3860" stopIfTrue="1" operator="equal">
      <formula>"Napkin Hs"</formula>
    </cfRule>
  </conditionalFormatting>
  <conditionalFormatting sqref="C66">
    <cfRule type="cellIs" dxfId="6705" priority="3858" stopIfTrue="1" operator="equal">
      <formula>"Napkin Hs"</formula>
    </cfRule>
  </conditionalFormatting>
  <conditionalFormatting sqref="C66">
    <cfRule type="cellIs" dxfId="6704" priority="3855" stopIfTrue="1" operator="equal">
      <formula>"Towel"</formula>
    </cfRule>
    <cfRule type="cellIs" dxfId="6703" priority="3856" stopIfTrue="1" operator="equal">
      <formula>"Napkin Hs"</formula>
    </cfRule>
  </conditionalFormatting>
  <conditionalFormatting sqref="C66">
    <cfRule type="cellIs" dxfId="6702" priority="3857" stopIfTrue="1" operator="equal">
      <formula>"Towel"</formula>
    </cfRule>
  </conditionalFormatting>
  <conditionalFormatting sqref="C65">
    <cfRule type="cellIs" dxfId="6701" priority="3781" stopIfTrue="1" operator="equal">
      <formula>"Towel"</formula>
    </cfRule>
    <cfRule type="cellIs" dxfId="6700" priority="3782" stopIfTrue="1" operator="equal">
      <formula>"Napkin Hs"</formula>
    </cfRule>
  </conditionalFormatting>
  <conditionalFormatting sqref="C65">
    <cfRule type="cellIs" dxfId="6699" priority="3780" stopIfTrue="1" operator="equal">
      <formula>"Napkin Hs"</formula>
    </cfRule>
  </conditionalFormatting>
  <conditionalFormatting sqref="C65">
    <cfRule type="cellIs" dxfId="6698" priority="3777" stopIfTrue="1" operator="equal">
      <formula>"Towel"</formula>
    </cfRule>
    <cfRule type="cellIs" dxfId="6697" priority="3778" stopIfTrue="1" operator="equal">
      <formula>"Napkin Hs"</formula>
    </cfRule>
  </conditionalFormatting>
  <conditionalFormatting sqref="C65">
    <cfRule type="cellIs" dxfId="6696" priority="3779" stopIfTrue="1" operator="equal">
      <formula>"Towel"</formula>
    </cfRule>
  </conditionalFormatting>
  <conditionalFormatting sqref="C65">
    <cfRule type="cellIs" dxfId="6695" priority="3775" stopIfTrue="1" operator="equal">
      <formula>"Towel"</formula>
    </cfRule>
    <cfRule type="cellIs" dxfId="6694" priority="3776" stopIfTrue="1" operator="equal">
      <formula>"Napkin Hs"</formula>
    </cfRule>
  </conditionalFormatting>
  <conditionalFormatting sqref="C65">
    <cfRule type="cellIs" dxfId="6693" priority="3773" stopIfTrue="1" operator="equal">
      <formula>"Towel"</formula>
    </cfRule>
    <cfRule type="cellIs" dxfId="6692" priority="3774" stopIfTrue="1" operator="equal">
      <formula>"Napkin Hs"</formula>
    </cfRule>
  </conditionalFormatting>
  <conditionalFormatting sqref="C65">
    <cfRule type="cellIs" dxfId="6691" priority="3771" stopIfTrue="1" operator="equal">
      <formula>"Towel"</formula>
    </cfRule>
    <cfRule type="cellIs" dxfId="6690" priority="3772" stopIfTrue="1" operator="equal">
      <formula>"Napkin Hs"</formula>
    </cfRule>
  </conditionalFormatting>
  <conditionalFormatting sqref="C65">
    <cfRule type="cellIs" dxfId="6689" priority="3769" stopIfTrue="1" operator="equal">
      <formula>"Towel"</formula>
    </cfRule>
    <cfRule type="cellIs" dxfId="6688" priority="3770" stopIfTrue="1" operator="equal">
      <formula>"Napkin Hs"</formula>
    </cfRule>
  </conditionalFormatting>
  <conditionalFormatting sqref="C65">
    <cfRule type="cellIs" dxfId="6687" priority="3767" stopIfTrue="1" operator="equal">
      <formula>"Towel"</formula>
    </cfRule>
    <cfRule type="cellIs" dxfId="6686" priority="3768" stopIfTrue="1" operator="equal">
      <formula>"Napkin Hs"</formula>
    </cfRule>
  </conditionalFormatting>
  <conditionalFormatting sqref="C65">
    <cfRule type="cellIs" dxfId="6685" priority="3765" stopIfTrue="1" operator="equal">
      <formula>"Towel"</formula>
    </cfRule>
    <cfRule type="cellIs" dxfId="6684" priority="3766" stopIfTrue="1" operator="equal">
      <formula>"Napkin Hs"</formula>
    </cfRule>
  </conditionalFormatting>
  <conditionalFormatting sqref="C65">
    <cfRule type="cellIs" dxfId="6683" priority="3763" stopIfTrue="1" operator="equal">
      <formula>"Towel"</formula>
    </cfRule>
    <cfRule type="cellIs" dxfId="6682" priority="3764" stopIfTrue="1" operator="equal">
      <formula>"Napkin Hs"</formula>
    </cfRule>
  </conditionalFormatting>
  <conditionalFormatting sqref="C65">
    <cfRule type="cellIs" dxfId="6681" priority="3762" stopIfTrue="1" operator="equal">
      <formula>"Napkin Hs"</formula>
    </cfRule>
  </conditionalFormatting>
  <conditionalFormatting sqref="C65">
    <cfRule type="cellIs" dxfId="6680" priority="3759" stopIfTrue="1" operator="equal">
      <formula>"Towel"</formula>
    </cfRule>
    <cfRule type="cellIs" dxfId="6679" priority="3760" stopIfTrue="1" operator="equal">
      <formula>"Napkin Hs"</formula>
    </cfRule>
  </conditionalFormatting>
  <conditionalFormatting sqref="C65">
    <cfRule type="cellIs" dxfId="6678" priority="3761" stopIfTrue="1" operator="equal">
      <formula>"Towel"</formula>
    </cfRule>
  </conditionalFormatting>
  <conditionalFormatting sqref="C65">
    <cfRule type="cellIs" dxfId="6677" priority="3757" stopIfTrue="1" operator="equal">
      <formula>"Towel"</formula>
    </cfRule>
    <cfRule type="cellIs" dxfId="6676" priority="3758" stopIfTrue="1" operator="equal">
      <formula>"Napkin Hs"</formula>
    </cfRule>
  </conditionalFormatting>
  <conditionalFormatting sqref="C65">
    <cfRule type="cellIs" dxfId="6675" priority="3756" stopIfTrue="1" operator="equal">
      <formula>"Napkin Hs"</formula>
    </cfRule>
  </conditionalFormatting>
  <conditionalFormatting sqref="C65">
    <cfRule type="cellIs" dxfId="6674" priority="3753" stopIfTrue="1" operator="equal">
      <formula>"Towel"</formula>
    </cfRule>
    <cfRule type="cellIs" dxfId="6673" priority="3754" stopIfTrue="1" operator="equal">
      <formula>"Napkin Hs"</formula>
    </cfRule>
  </conditionalFormatting>
  <conditionalFormatting sqref="C65">
    <cfRule type="cellIs" dxfId="6672" priority="3755" stopIfTrue="1" operator="equal">
      <formula>"Towel"</formula>
    </cfRule>
  </conditionalFormatting>
  <conditionalFormatting sqref="C65">
    <cfRule type="cellIs" dxfId="6671" priority="3751" stopIfTrue="1" operator="equal">
      <formula>"Towel"</formula>
    </cfRule>
    <cfRule type="cellIs" dxfId="6670" priority="3752" stopIfTrue="1" operator="equal">
      <formula>"Napkin Hs"</formula>
    </cfRule>
  </conditionalFormatting>
  <conditionalFormatting sqref="C65">
    <cfRule type="cellIs" dxfId="6669" priority="3750" stopIfTrue="1" operator="equal">
      <formula>"Napkin Hs"</formula>
    </cfRule>
  </conditionalFormatting>
  <conditionalFormatting sqref="C65">
    <cfRule type="cellIs" dxfId="6668" priority="3747" stopIfTrue="1" operator="equal">
      <formula>"Towel"</formula>
    </cfRule>
    <cfRule type="cellIs" dxfId="6667" priority="3748" stopIfTrue="1" operator="equal">
      <formula>"Napkin Hs"</formula>
    </cfRule>
  </conditionalFormatting>
  <conditionalFormatting sqref="C65">
    <cfRule type="cellIs" dxfId="6666" priority="3749" stopIfTrue="1" operator="equal">
      <formula>"Towel"</formula>
    </cfRule>
  </conditionalFormatting>
  <conditionalFormatting sqref="B63:C63">
    <cfRule type="cellIs" dxfId="6665" priority="3745" stopIfTrue="1" operator="equal">
      <formula>"Towel"</formula>
    </cfRule>
    <cfRule type="cellIs" dxfId="6664" priority="3746" stopIfTrue="1" operator="equal">
      <formula>"Napkin Hs"</formula>
    </cfRule>
  </conditionalFormatting>
  <conditionalFormatting sqref="C63">
    <cfRule type="cellIs" dxfId="6663" priority="3744" stopIfTrue="1" operator="equal">
      <formula>"Napkin Hs"</formula>
    </cfRule>
  </conditionalFormatting>
  <conditionalFormatting sqref="C63">
    <cfRule type="cellIs" dxfId="6662" priority="3741" stopIfTrue="1" operator="equal">
      <formula>"Towel"</formula>
    </cfRule>
    <cfRule type="cellIs" dxfId="6661" priority="3742" stopIfTrue="1" operator="equal">
      <formula>"Napkin Hs"</formula>
    </cfRule>
  </conditionalFormatting>
  <conditionalFormatting sqref="C63">
    <cfRule type="cellIs" dxfId="6660" priority="3743" stopIfTrue="1" operator="equal">
      <formula>"Towel"</formula>
    </cfRule>
  </conditionalFormatting>
  <conditionalFormatting sqref="B63:C63">
    <cfRule type="cellIs" dxfId="6659" priority="3739" stopIfTrue="1" operator="equal">
      <formula>"Towel"</formula>
    </cfRule>
    <cfRule type="cellIs" dxfId="6658" priority="3740" stopIfTrue="1" operator="equal">
      <formula>"Napkin Hs"</formula>
    </cfRule>
  </conditionalFormatting>
  <conditionalFormatting sqref="C63">
    <cfRule type="cellIs" dxfId="6657" priority="3738" stopIfTrue="1" operator="equal">
      <formula>"Napkin Hs"</formula>
    </cfRule>
  </conditionalFormatting>
  <conditionalFormatting sqref="C63">
    <cfRule type="cellIs" dxfId="6656" priority="3735" stopIfTrue="1" operator="equal">
      <formula>"Towel"</formula>
    </cfRule>
    <cfRule type="cellIs" dxfId="6655" priority="3736" stopIfTrue="1" operator="equal">
      <formula>"Napkin Hs"</formula>
    </cfRule>
  </conditionalFormatting>
  <conditionalFormatting sqref="C63">
    <cfRule type="cellIs" dxfId="6654" priority="3737" stopIfTrue="1" operator="equal">
      <formula>"Towel"</formula>
    </cfRule>
  </conditionalFormatting>
  <conditionalFormatting sqref="B63:C63">
    <cfRule type="cellIs" dxfId="6653" priority="3733" stopIfTrue="1" operator="equal">
      <formula>"Towel"</formula>
    </cfRule>
    <cfRule type="cellIs" dxfId="6652" priority="3734" stopIfTrue="1" operator="equal">
      <formula>"Napkin Hs"</formula>
    </cfRule>
  </conditionalFormatting>
  <conditionalFormatting sqref="C63">
    <cfRule type="cellIs" dxfId="6651" priority="3731" stopIfTrue="1" operator="equal">
      <formula>"Towel"</formula>
    </cfRule>
    <cfRule type="cellIs" dxfId="6650" priority="3732" stopIfTrue="1" operator="equal">
      <formula>"Napkin Hs"</formula>
    </cfRule>
  </conditionalFormatting>
  <conditionalFormatting sqref="C63">
    <cfRule type="cellIs" dxfId="6649" priority="3729" stopIfTrue="1" operator="equal">
      <formula>"Towel"</formula>
    </cfRule>
    <cfRule type="cellIs" dxfId="6648" priority="3730" stopIfTrue="1" operator="equal">
      <formula>"Napkin Hs"</formula>
    </cfRule>
  </conditionalFormatting>
  <conditionalFormatting sqref="B63:C63">
    <cfRule type="cellIs" dxfId="6647" priority="3727" stopIfTrue="1" operator="equal">
      <formula>"Towel"</formula>
    </cfRule>
    <cfRule type="cellIs" dxfId="6646" priority="3728" stopIfTrue="1" operator="equal">
      <formula>"Napkin Hs"</formula>
    </cfRule>
  </conditionalFormatting>
  <conditionalFormatting sqref="C63">
    <cfRule type="cellIs" dxfId="6645" priority="3725" stopIfTrue="1" operator="equal">
      <formula>"Towel"</formula>
    </cfRule>
    <cfRule type="cellIs" dxfId="6644" priority="3726" stopIfTrue="1" operator="equal">
      <formula>"Napkin Hs"</formula>
    </cfRule>
  </conditionalFormatting>
  <conditionalFormatting sqref="C63">
    <cfRule type="cellIs" dxfId="6643" priority="3723" stopIfTrue="1" operator="equal">
      <formula>"Towel"</formula>
    </cfRule>
    <cfRule type="cellIs" dxfId="6642" priority="3724" stopIfTrue="1" operator="equal">
      <formula>"Napkin Hs"</formula>
    </cfRule>
  </conditionalFormatting>
  <conditionalFormatting sqref="B63:C63">
    <cfRule type="cellIs" dxfId="6641" priority="3721" stopIfTrue="1" operator="equal">
      <formula>"Towel"</formula>
    </cfRule>
    <cfRule type="cellIs" dxfId="6640" priority="3722" stopIfTrue="1" operator="equal">
      <formula>"Napkin Hs"</formula>
    </cfRule>
  </conditionalFormatting>
  <conditionalFormatting sqref="C63">
    <cfRule type="cellIs" dxfId="6639" priority="3720" stopIfTrue="1" operator="equal">
      <formula>"Napkin Hs"</formula>
    </cfRule>
  </conditionalFormatting>
  <conditionalFormatting sqref="C63">
    <cfRule type="cellIs" dxfId="6638" priority="3717" stopIfTrue="1" operator="equal">
      <formula>"Towel"</formula>
    </cfRule>
    <cfRule type="cellIs" dxfId="6637" priority="3718" stopIfTrue="1" operator="equal">
      <formula>"Napkin Hs"</formula>
    </cfRule>
  </conditionalFormatting>
  <conditionalFormatting sqref="C63">
    <cfRule type="cellIs" dxfId="6636" priority="3719" stopIfTrue="1" operator="equal">
      <formula>"Towel"</formula>
    </cfRule>
  </conditionalFormatting>
  <conditionalFormatting sqref="B63:C63">
    <cfRule type="cellIs" dxfId="6635" priority="3715" stopIfTrue="1" operator="equal">
      <formula>"Towel"</formula>
    </cfRule>
    <cfRule type="cellIs" dxfId="6634" priority="3716" stopIfTrue="1" operator="equal">
      <formula>"Napkin Hs"</formula>
    </cfRule>
  </conditionalFormatting>
  <conditionalFormatting sqref="C63">
    <cfRule type="cellIs" dxfId="6633" priority="3714" stopIfTrue="1" operator="equal">
      <formula>"Napkin Hs"</formula>
    </cfRule>
  </conditionalFormatting>
  <conditionalFormatting sqref="C63">
    <cfRule type="cellIs" dxfId="6632" priority="3711" stopIfTrue="1" operator="equal">
      <formula>"Towel"</formula>
    </cfRule>
    <cfRule type="cellIs" dxfId="6631" priority="3712" stopIfTrue="1" operator="equal">
      <formula>"Napkin Hs"</formula>
    </cfRule>
  </conditionalFormatting>
  <conditionalFormatting sqref="C63">
    <cfRule type="cellIs" dxfId="6630" priority="3713" stopIfTrue="1" operator="equal">
      <formula>"Towel"</formula>
    </cfRule>
  </conditionalFormatting>
  <conditionalFormatting sqref="B63:C63">
    <cfRule type="cellIs" dxfId="6629" priority="3709" stopIfTrue="1" operator="equal">
      <formula>"Towel"</formula>
    </cfRule>
    <cfRule type="cellIs" dxfId="6628" priority="3710" stopIfTrue="1" operator="equal">
      <formula>"Napkin Hs"</formula>
    </cfRule>
  </conditionalFormatting>
  <conditionalFormatting sqref="C63">
    <cfRule type="cellIs" dxfId="6627" priority="3708" stopIfTrue="1" operator="equal">
      <formula>"Napkin Hs"</formula>
    </cfRule>
  </conditionalFormatting>
  <conditionalFormatting sqref="C63">
    <cfRule type="cellIs" dxfId="6626" priority="3705" stopIfTrue="1" operator="equal">
      <formula>"Towel"</formula>
    </cfRule>
    <cfRule type="cellIs" dxfId="6625" priority="3706" stopIfTrue="1" operator="equal">
      <formula>"Napkin Hs"</formula>
    </cfRule>
  </conditionalFormatting>
  <conditionalFormatting sqref="C63">
    <cfRule type="cellIs" dxfId="6624" priority="3707" stopIfTrue="1" operator="equal">
      <formula>"Towel"</formula>
    </cfRule>
  </conditionalFormatting>
  <conditionalFormatting sqref="B64:C64 B65">
    <cfRule type="cellIs" dxfId="6623" priority="3703" stopIfTrue="1" operator="equal">
      <formula>"Towel"</formula>
    </cfRule>
    <cfRule type="cellIs" dxfId="6622" priority="3704" stopIfTrue="1" operator="equal">
      <formula>"Napkin Hs"</formula>
    </cfRule>
  </conditionalFormatting>
  <conditionalFormatting sqref="C64">
    <cfRule type="cellIs" dxfId="6621" priority="3702" stopIfTrue="1" operator="equal">
      <formula>"Napkin Hs"</formula>
    </cfRule>
  </conditionalFormatting>
  <conditionalFormatting sqref="C64">
    <cfRule type="cellIs" dxfId="6620" priority="3699" stopIfTrue="1" operator="equal">
      <formula>"Towel"</formula>
    </cfRule>
    <cfRule type="cellIs" dxfId="6619" priority="3700" stopIfTrue="1" operator="equal">
      <formula>"Napkin Hs"</formula>
    </cfRule>
  </conditionalFormatting>
  <conditionalFormatting sqref="C64">
    <cfRule type="cellIs" dxfId="6618" priority="3701" stopIfTrue="1" operator="equal">
      <formula>"Towel"</formula>
    </cfRule>
  </conditionalFormatting>
  <conditionalFormatting sqref="B64:C64 B65">
    <cfRule type="cellIs" dxfId="6617" priority="3697" stopIfTrue="1" operator="equal">
      <formula>"Towel"</formula>
    </cfRule>
    <cfRule type="cellIs" dxfId="6616" priority="3698" stopIfTrue="1" operator="equal">
      <formula>"Napkin Hs"</formula>
    </cfRule>
  </conditionalFormatting>
  <conditionalFormatting sqref="C64">
    <cfRule type="cellIs" dxfId="6615" priority="3696" stopIfTrue="1" operator="equal">
      <formula>"Napkin Hs"</formula>
    </cfRule>
  </conditionalFormatting>
  <conditionalFormatting sqref="C64">
    <cfRule type="cellIs" dxfId="6614" priority="3693" stopIfTrue="1" operator="equal">
      <formula>"Towel"</formula>
    </cfRule>
    <cfRule type="cellIs" dxfId="6613" priority="3694" stopIfTrue="1" operator="equal">
      <formula>"Napkin Hs"</formula>
    </cfRule>
  </conditionalFormatting>
  <conditionalFormatting sqref="C64">
    <cfRule type="cellIs" dxfId="6612" priority="3695" stopIfTrue="1" operator="equal">
      <formula>"Towel"</formula>
    </cfRule>
  </conditionalFormatting>
  <conditionalFormatting sqref="B64:C64 B65">
    <cfRule type="cellIs" dxfId="6611" priority="3691" stopIfTrue="1" operator="equal">
      <formula>"Towel"</formula>
    </cfRule>
    <cfRule type="cellIs" dxfId="6610" priority="3692" stopIfTrue="1" operator="equal">
      <formula>"Napkin Hs"</formula>
    </cfRule>
  </conditionalFormatting>
  <conditionalFormatting sqref="C64">
    <cfRule type="cellIs" dxfId="6609" priority="3689" stopIfTrue="1" operator="equal">
      <formula>"Towel"</formula>
    </cfRule>
    <cfRule type="cellIs" dxfId="6608" priority="3690" stopIfTrue="1" operator="equal">
      <formula>"Napkin Hs"</formula>
    </cfRule>
  </conditionalFormatting>
  <conditionalFormatting sqref="C64">
    <cfRule type="cellIs" dxfId="6607" priority="3687" stopIfTrue="1" operator="equal">
      <formula>"Towel"</formula>
    </cfRule>
    <cfRule type="cellIs" dxfId="6606" priority="3688" stopIfTrue="1" operator="equal">
      <formula>"Napkin Hs"</formula>
    </cfRule>
  </conditionalFormatting>
  <conditionalFormatting sqref="B64:C64 B65">
    <cfRule type="cellIs" dxfId="6605" priority="3685" stopIfTrue="1" operator="equal">
      <formula>"Towel"</formula>
    </cfRule>
    <cfRule type="cellIs" dxfId="6604" priority="3686" stopIfTrue="1" operator="equal">
      <formula>"Napkin Hs"</formula>
    </cfRule>
  </conditionalFormatting>
  <conditionalFormatting sqref="C64">
    <cfRule type="cellIs" dxfId="6603" priority="3683" stopIfTrue="1" operator="equal">
      <formula>"Towel"</formula>
    </cfRule>
    <cfRule type="cellIs" dxfId="6602" priority="3684" stopIfTrue="1" operator="equal">
      <formula>"Napkin Hs"</formula>
    </cfRule>
  </conditionalFormatting>
  <conditionalFormatting sqref="C64">
    <cfRule type="cellIs" dxfId="6601" priority="3681" stopIfTrue="1" operator="equal">
      <formula>"Towel"</formula>
    </cfRule>
    <cfRule type="cellIs" dxfId="6600" priority="3682" stopIfTrue="1" operator="equal">
      <formula>"Napkin Hs"</formula>
    </cfRule>
  </conditionalFormatting>
  <conditionalFormatting sqref="B64:C64 B65">
    <cfRule type="cellIs" dxfId="6599" priority="3679" stopIfTrue="1" operator="equal">
      <formula>"Towel"</formula>
    </cfRule>
    <cfRule type="cellIs" dxfId="6598" priority="3680" stopIfTrue="1" operator="equal">
      <formula>"Napkin Hs"</formula>
    </cfRule>
  </conditionalFormatting>
  <conditionalFormatting sqref="C64">
    <cfRule type="cellIs" dxfId="6597" priority="3678" stopIfTrue="1" operator="equal">
      <formula>"Napkin Hs"</formula>
    </cfRule>
  </conditionalFormatting>
  <conditionalFormatting sqref="C64">
    <cfRule type="cellIs" dxfId="6596" priority="3675" stopIfTrue="1" operator="equal">
      <formula>"Towel"</formula>
    </cfRule>
    <cfRule type="cellIs" dxfId="6595" priority="3676" stopIfTrue="1" operator="equal">
      <formula>"Napkin Hs"</formula>
    </cfRule>
  </conditionalFormatting>
  <conditionalFormatting sqref="C64">
    <cfRule type="cellIs" dxfId="6594" priority="3677" stopIfTrue="1" operator="equal">
      <formula>"Towel"</formula>
    </cfRule>
  </conditionalFormatting>
  <conditionalFormatting sqref="B64:C64 B65">
    <cfRule type="cellIs" dxfId="6593" priority="3673" stopIfTrue="1" operator="equal">
      <formula>"Towel"</formula>
    </cfRule>
    <cfRule type="cellIs" dxfId="6592" priority="3674" stopIfTrue="1" operator="equal">
      <formula>"Napkin Hs"</formula>
    </cfRule>
  </conditionalFormatting>
  <conditionalFormatting sqref="C64">
    <cfRule type="cellIs" dxfId="6591" priority="3672" stopIfTrue="1" operator="equal">
      <formula>"Napkin Hs"</formula>
    </cfRule>
  </conditionalFormatting>
  <conditionalFormatting sqref="C64">
    <cfRule type="cellIs" dxfId="6590" priority="3669" stopIfTrue="1" operator="equal">
      <formula>"Towel"</formula>
    </cfRule>
    <cfRule type="cellIs" dxfId="6589" priority="3670" stopIfTrue="1" operator="equal">
      <formula>"Napkin Hs"</formula>
    </cfRule>
  </conditionalFormatting>
  <conditionalFormatting sqref="C64">
    <cfRule type="cellIs" dxfId="6588" priority="3671" stopIfTrue="1" operator="equal">
      <formula>"Towel"</formula>
    </cfRule>
  </conditionalFormatting>
  <conditionalFormatting sqref="B64:C64 B65">
    <cfRule type="cellIs" dxfId="6587" priority="3667" stopIfTrue="1" operator="equal">
      <formula>"Towel"</formula>
    </cfRule>
    <cfRule type="cellIs" dxfId="6586" priority="3668" stopIfTrue="1" operator="equal">
      <formula>"Napkin Hs"</formula>
    </cfRule>
  </conditionalFormatting>
  <conditionalFormatting sqref="C64">
    <cfRule type="cellIs" dxfId="6585" priority="3666" stopIfTrue="1" operator="equal">
      <formula>"Napkin Hs"</formula>
    </cfRule>
  </conditionalFormatting>
  <conditionalFormatting sqref="C64">
    <cfRule type="cellIs" dxfId="6584" priority="3663" stopIfTrue="1" operator="equal">
      <formula>"Towel"</formula>
    </cfRule>
    <cfRule type="cellIs" dxfId="6583" priority="3664" stopIfTrue="1" operator="equal">
      <formula>"Napkin Hs"</formula>
    </cfRule>
  </conditionalFormatting>
  <conditionalFormatting sqref="C64">
    <cfRule type="cellIs" dxfId="6582" priority="3665" stopIfTrue="1" operator="equal">
      <formula>"Towel"</formula>
    </cfRule>
  </conditionalFormatting>
  <conditionalFormatting sqref="B70:C70">
    <cfRule type="cellIs" dxfId="6581" priority="3659" stopIfTrue="1" operator="equal">
      <formula>"Towel"</formula>
    </cfRule>
    <cfRule type="cellIs" dxfId="6580" priority="3660" stopIfTrue="1" operator="equal">
      <formula>"Napkin Hs"</formula>
    </cfRule>
  </conditionalFormatting>
  <conditionalFormatting sqref="C70">
    <cfRule type="cellIs" dxfId="6579" priority="3661" stopIfTrue="1" operator="equal">
      <formula>"Towel"</formula>
    </cfRule>
    <cfRule type="cellIs" dxfId="6578" priority="3662" stopIfTrue="1" operator="equal">
      <formula>"Napkin Hs"</formula>
    </cfRule>
  </conditionalFormatting>
  <conditionalFormatting sqref="C70">
    <cfRule type="cellIs" dxfId="6577" priority="3657" stopIfTrue="1" operator="equal">
      <formula>"Towel"</formula>
    </cfRule>
    <cfRule type="cellIs" dxfId="6576" priority="3658" stopIfTrue="1" operator="equal">
      <formula>"Napkin Hs"</formula>
    </cfRule>
  </conditionalFormatting>
  <conditionalFormatting sqref="B69:C69">
    <cfRule type="cellIs" dxfId="6575" priority="3403" stopIfTrue="1" operator="equal">
      <formula>"Towel"</formula>
    </cfRule>
    <cfRule type="cellIs" dxfId="6574" priority="3404" stopIfTrue="1" operator="equal">
      <formula>"Napkin Hs"</formula>
    </cfRule>
  </conditionalFormatting>
  <conditionalFormatting sqref="C69">
    <cfRule type="cellIs" dxfId="6573" priority="3399" stopIfTrue="1" operator="equal">
      <formula>"Towel"</formula>
    </cfRule>
    <cfRule type="cellIs" dxfId="6572" priority="3400" stopIfTrue="1" operator="equal">
      <formula>"Napkin Hs"</formula>
    </cfRule>
  </conditionalFormatting>
  <conditionalFormatting sqref="B69:C69">
    <cfRule type="cellIs" dxfId="6571" priority="3397" stopIfTrue="1" operator="equal">
      <formula>"Towel"</formula>
    </cfRule>
    <cfRule type="cellIs" dxfId="6570" priority="3398" stopIfTrue="1" operator="equal">
      <formula>"Napkin Hs"</formula>
    </cfRule>
  </conditionalFormatting>
  <conditionalFormatting sqref="C69">
    <cfRule type="cellIs" dxfId="6569" priority="3396" stopIfTrue="1" operator="equal">
      <formula>"Napkin Hs"</formula>
    </cfRule>
  </conditionalFormatting>
  <conditionalFormatting sqref="C69">
    <cfRule type="cellIs" dxfId="6568" priority="3393" stopIfTrue="1" operator="equal">
      <formula>"Towel"</formula>
    </cfRule>
    <cfRule type="cellIs" dxfId="6567" priority="3394" stopIfTrue="1" operator="equal">
      <formula>"Napkin Hs"</formula>
    </cfRule>
  </conditionalFormatting>
  <conditionalFormatting sqref="C69">
    <cfRule type="cellIs" dxfId="6566" priority="3395" stopIfTrue="1" operator="equal">
      <formula>"Towel"</formula>
    </cfRule>
  </conditionalFormatting>
  <conditionalFormatting sqref="B70:C70">
    <cfRule type="cellIs" dxfId="6565" priority="3637" stopIfTrue="1" operator="equal">
      <formula>"Towel"</formula>
    </cfRule>
    <cfRule type="cellIs" dxfId="6564" priority="3638" stopIfTrue="1" operator="equal">
      <formula>"Napkin Hs"</formula>
    </cfRule>
  </conditionalFormatting>
  <conditionalFormatting sqref="C70">
    <cfRule type="cellIs" dxfId="6563" priority="3633" stopIfTrue="1" operator="equal">
      <formula>"Towel"</formula>
    </cfRule>
    <cfRule type="cellIs" dxfId="6562" priority="3634" stopIfTrue="1" operator="equal">
      <formula>"Napkin Hs"</formula>
    </cfRule>
  </conditionalFormatting>
  <conditionalFormatting sqref="C70">
    <cfRule type="cellIs" dxfId="6561" priority="3635" stopIfTrue="1" operator="equal">
      <formula>"Towel"</formula>
    </cfRule>
    <cfRule type="cellIs" dxfId="6560" priority="3636" stopIfTrue="1" operator="equal">
      <formula>"Napkin Hs"</formula>
    </cfRule>
  </conditionalFormatting>
  <conditionalFormatting sqref="B70:C70">
    <cfRule type="cellIs" dxfId="6559" priority="3631" stopIfTrue="1" operator="equal">
      <formula>"Towel"</formula>
    </cfRule>
    <cfRule type="cellIs" dxfId="6558" priority="3632" stopIfTrue="1" operator="equal">
      <formula>"Napkin Hs"</formula>
    </cfRule>
  </conditionalFormatting>
  <conditionalFormatting sqref="C70">
    <cfRule type="cellIs" dxfId="6557" priority="3629" stopIfTrue="1" operator="equal">
      <formula>"Towel"</formula>
    </cfRule>
    <cfRule type="cellIs" dxfId="6556" priority="3630" stopIfTrue="1" operator="equal">
      <formula>"Napkin Hs"</formula>
    </cfRule>
  </conditionalFormatting>
  <conditionalFormatting sqref="C70">
    <cfRule type="cellIs" dxfId="6555" priority="3627" stopIfTrue="1" operator="equal">
      <formula>"Towel"</formula>
    </cfRule>
    <cfRule type="cellIs" dxfId="6554" priority="3628" stopIfTrue="1" operator="equal">
      <formula>"Napkin Hs"</formula>
    </cfRule>
  </conditionalFormatting>
  <conditionalFormatting sqref="B70:C70">
    <cfRule type="cellIs" dxfId="6553" priority="3625" stopIfTrue="1" operator="equal">
      <formula>"Towel"</formula>
    </cfRule>
    <cfRule type="cellIs" dxfId="6552" priority="3626" stopIfTrue="1" operator="equal">
      <formula>"Napkin Hs"</formula>
    </cfRule>
  </conditionalFormatting>
  <conditionalFormatting sqref="C70">
    <cfRule type="cellIs" dxfId="6551" priority="3624" stopIfTrue="1" operator="equal">
      <formula>"Napkin Hs"</formula>
    </cfRule>
  </conditionalFormatting>
  <conditionalFormatting sqref="C70">
    <cfRule type="cellIs" dxfId="6550" priority="3621" stopIfTrue="1" operator="equal">
      <formula>"Towel"</formula>
    </cfRule>
    <cfRule type="cellIs" dxfId="6549" priority="3622" stopIfTrue="1" operator="equal">
      <formula>"Napkin Hs"</formula>
    </cfRule>
  </conditionalFormatting>
  <conditionalFormatting sqref="C70">
    <cfRule type="cellIs" dxfId="6548" priority="3623" stopIfTrue="1" operator="equal">
      <formula>"Towel"</formula>
    </cfRule>
  </conditionalFormatting>
  <conditionalFormatting sqref="B70:C70">
    <cfRule type="cellIs" dxfId="6547" priority="3619" stopIfTrue="1" operator="equal">
      <formula>"Towel"</formula>
    </cfRule>
    <cfRule type="cellIs" dxfId="6546" priority="3620" stopIfTrue="1" operator="equal">
      <formula>"Napkin Hs"</formula>
    </cfRule>
  </conditionalFormatting>
  <conditionalFormatting sqref="C70">
    <cfRule type="cellIs" dxfId="6545" priority="3618" stopIfTrue="1" operator="equal">
      <formula>"Napkin Hs"</formula>
    </cfRule>
  </conditionalFormatting>
  <conditionalFormatting sqref="C70">
    <cfRule type="cellIs" dxfId="6544" priority="3615" stopIfTrue="1" operator="equal">
      <formula>"Towel"</formula>
    </cfRule>
    <cfRule type="cellIs" dxfId="6543" priority="3616" stopIfTrue="1" operator="equal">
      <formula>"Napkin Hs"</formula>
    </cfRule>
  </conditionalFormatting>
  <conditionalFormatting sqref="C70">
    <cfRule type="cellIs" dxfId="6542" priority="3617" stopIfTrue="1" operator="equal">
      <formula>"Towel"</formula>
    </cfRule>
  </conditionalFormatting>
  <conditionalFormatting sqref="B70:C70">
    <cfRule type="cellIs" dxfId="6541" priority="3613" stopIfTrue="1" operator="equal">
      <formula>"Towel"</formula>
    </cfRule>
    <cfRule type="cellIs" dxfId="6540" priority="3614" stopIfTrue="1" operator="equal">
      <formula>"Napkin Hs"</formula>
    </cfRule>
  </conditionalFormatting>
  <conditionalFormatting sqref="C70">
    <cfRule type="cellIs" dxfId="6539" priority="3612" stopIfTrue="1" operator="equal">
      <formula>"Napkin Hs"</formula>
    </cfRule>
  </conditionalFormatting>
  <conditionalFormatting sqref="C70">
    <cfRule type="cellIs" dxfId="6538" priority="3609" stopIfTrue="1" operator="equal">
      <formula>"Towel"</formula>
    </cfRule>
    <cfRule type="cellIs" dxfId="6537" priority="3610" stopIfTrue="1" operator="equal">
      <formula>"Napkin Hs"</formula>
    </cfRule>
  </conditionalFormatting>
  <conditionalFormatting sqref="C70">
    <cfRule type="cellIs" dxfId="6536" priority="3611" stopIfTrue="1" operator="equal">
      <formula>"Towel"</formula>
    </cfRule>
  </conditionalFormatting>
  <conditionalFormatting sqref="B68:C68">
    <cfRule type="cellIs" dxfId="6535" priority="3529" stopIfTrue="1" operator="equal">
      <formula>"Towel"</formula>
    </cfRule>
    <cfRule type="cellIs" dxfId="6534" priority="3530" stopIfTrue="1" operator="equal">
      <formula>"Napkin Hs"</formula>
    </cfRule>
  </conditionalFormatting>
  <conditionalFormatting sqref="C68">
    <cfRule type="cellIs" dxfId="6533" priority="3528" stopIfTrue="1" operator="equal">
      <formula>"Napkin Hs"</formula>
    </cfRule>
  </conditionalFormatting>
  <conditionalFormatting sqref="C68">
    <cfRule type="cellIs" dxfId="6532" priority="3525" stopIfTrue="1" operator="equal">
      <formula>"Towel"</formula>
    </cfRule>
    <cfRule type="cellIs" dxfId="6531" priority="3526" stopIfTrue="1" operator="equal">
      <formula>"Napkin Hs"</formula>
    </cfRule>
  </conditionalFormatting>
  <conditionalFormatting sqref="C68">
    <cfRule type="cellIs" dxfId="6530" priority="3527" stopIfTrue="1" operator="equal">
      <formula>"Towel"</formula>
    </cfRule>
  </conditionalFormatting>
  <conditionalFormatting sqref="B68:C68">
    <cfRule type="cellIs" dxfId="6529" priority="3523" stopIfTrue="1" operator="equal">
      <formula>"Towel"</formula>
    </cfRule>
    <cfRule type="cellIs" dxfId="6528" priority="3524" stopIfTrue="1" operator="equal">
      <formula>"Napkin Hs"</formula>
    </cfRule>
  </conditionalFormatting>
  <conditionalFormatting sqref="C68">
    <cfRule type="cellIs" dxfId="6527" priority="3522" stopIfTrue="1" operator="equal">
      <formula>"Napkin Hs"</formula>
    </cfRule>
  </conditionalFormatting>
  <conditionalFormatting sqref="C68">
    <cfRule type="cellIs" dxfId="6526" priority="3519" stopIfTrue="1" operator="equal">
      <formula>"Towel"</formula>
    </cfRule>
    <cfRule type="cellIs" dxfId="6525" priority="3520" stopIfTrue="1" operator="equal">
      <formula>"Napkin Hs"</formula>
    </cfRule>
  </conditionalFormatting>
  <conditionalFormatting sqref="C68">
    <cfRule type="cellIs" dxfId="6524" priority="3521" stopIfTrue="1" operator="equal">
      <formula>"Towel"</formula>
    </cfRule>
  </conditionalFormatting>
  <conditionalFormatting sqref="B68:C68">
    <cfRule type="cellIs" dxfId="6523" priority="3517" stopIfTrue="1" operator="equal">
      <formula>"Towel"</formula>
    </cfRule>
    <cfRule type="cellIs" dxfId="6522" priority="3518" stopIfTrue="1" operator="equal">
      <formula>"Napkin Hs"</formula>
    </cfRule>
  </conditionalFormatting>
  <conditionalFormatting sqref="C68">
    <cfRule type="cellIs" dxfId="6521" priority="3515" stopIfTrue="1" operator="equal">
      <formula>"Towel"</formula>
    </cfRule>
    <cfRule type="cellIs" dxfId="6520" priority="3516" stopIfTrue="1" operator="equal">
      <formula>"Napkin Hs"</formula>
    </cfRule>
  </conditionalFormatting>
  <conditionalFormatting sqref="C68">
    <cfRule type="cellIs" dxfId="6519" priority="3513" stopIfTrue="1" operator="equal">
      <formula>"Towel"</formula>
    </cfRule>
    <cfRule type="cellIs" dxfId="6518" priority="3514" stopIfTrue="1" operator="equal">
      <formula>"Napkin Hs"</formula>
    </cfRule>
  </conditionalFormatting>
  <conditionalFormatting sqref="B68:C68">
    <cfRule type="cellIs" dxfId="6517" priority="3511" stopIfTrue="1" operator="equal">
      <formula>"Towel"</formula>
    </cfRule>
    <cfRule type="cellIs" dxfId="6516" priority="3512" stopIfTrue="1" operator="equal">
      <formula>"Napkin Hs"</formula>
    </cfRule>
  </conditionalFormatting>
  <conditionalFormatting sqref="C68">
    <cfRule type="cellIs" dxfId="6515" priority="3509" stopIfTrue="1" operator="equal">
      <formula>"Towel"</formula>
    </cfRule>
    <cfRule type="cellIs" dxfId="6514" priority="3510" stopIfTrue="1" operator="equal">
      <formula>"Napkin Hs"</formula>
    </cfRule>
  </conditionalFormatting>
  <conditionalFormatting sqref="C68">
    <cfRule type="cellIs" dxfId="6513" priority="3507" stopIfTrue="1" operator="equal">
      <formula>"Towel"</formula>
    </cfRule>
    <cfRule type="cellIs" dxfId="6512" priority="3508" stopIfTrue="1" operator="equal">
      <formula>"Napkin Hs"</formula>
    </cfRule>
  </conditionalFormatting>
  <conditionalFormatting sqref="B68:C68">
    <cfRule type="cellIs" dxfId="6511" priority="3505" stopIfTrue="1" operator="equal">
      <formula>"Towel"</formula>
    </cfRule>
    <cfRule type="cellIs" dxfId="6510" priority="3506" stopIfTrue="1" operator="equal">
      <formula>"Napkin Hs"</formula>
    </cfRule>
  </conditionalFormatting>
  <conditionalFormatting sqref="C68">
    <cfRule type="cellIs" dxfId="6509" priority="3504" stopIfTrue="1" operator="equal">
      <formula>"Napkin Hs"</formula>
    </cfRule>
  </conditionalFormatting>
  <conditionalFormatting sqref="C68">
    <cfRule type="cellIs" dxfId="6508" priority="3501" stopIfTrue="1" operator="equal">
      <formula>"Towel"</formula>
    </cfRule>
    <cfRule type="cellIs" dxfId="6507" priority="3502" stopIfTrue="1" operator="equal">
      <formula>"Napkin Hs"</formula>
    </cfRule>
  </conditionalFormatting>
  <conditionalFormatting sqref="C68">
    <cfRule type="cellIs" dxfId="6506" priority="3503" stopIfTrue="1" operator="equal">
      <formula>"Towel"</formula>
    </cfRule>
  </conditionalFormatting>
  <conditionalFormatting sqref="B68:C68">
    <cfRule type="cellIs" dxfId="6505" priority="3499" stopIfTrue="1" operator="equal">
      <formula>"Towel"</formula>
    </cfRule>
    <cfRule type="cellIs" dxfId="6504" priority="3500" stopIfTrue="1" operator="equal">
      <formula>"Napkin Hs"</formula>
    </cfRule>
  </conditionalFormatting>
  <conditionalFormatting sqref="C68">
    <cfRule type="cellIs" dxfId="6503" priority="3498" stopIfTrue="1" operator="equal">
      <formula>"Napkin Hs"</formula>
    </cfRule>
  </conditionalFormatting>
  <conditionalFormatting sqref="C68">
    <cfRule type="cellIs" dxfId="6502" priority="3495" stopIfTrue="1" operator="equal">
      <formula>"Towel"</formula>
    </cfRule>
    <cfRule type="cellIs" dxfId="6501" priority="3496" stopIfTrue="1" operator="equal">
      <formula>"Napkin Hs"</formula>
    </cfRule>
  </conditionalFormatting>
  <conditionalFormatting sqref="C68">
    <cfRule type="cellIs" dxfId="6500" priority="3497" stopIfTrue="1" operator="equal">
      <formula>"Towel"</formula>
    </cfRule>
  </conditionalFormatting>
  <conditionalFormatting sqref="B68:C68">
    <cfRule type="cellIs" dxfId="6499" priority="3493" stopIfTrue="1" operator="equal">
      <formula>"Towel"</formula>
    </cfRule>
    <cfRule type="cellIs" dxfId="6498" priority="3494" stopIfTrue="1" operator="equal">
      <formula>"Napkin Hs"</formula>
    </cfRule>
  </conditionalFormatting>
  <conditionalFormatting sqref="C68">
    <cfRule type="cellIs" dxfId="6497" priority="3492" stopIfTrue="1" operator="equal">
      <formula>"Napkin Hs"</formula>
    </cfRule>
  </conditionalFormatting>
  <conditionalFormatting sqref="C68">
    <cfRule type="cellIs" dxfId="6496" priority="3489" stopIfTrue="1" operator="equal">
      <formula>"Towel"</formula>
    </cfRule>
    <cfRule type="cellIs" dxfId="6495" priority="3490" stopIfTrue="1" operator="equal">
      <formula>"Napkin Hs"</formula>
    </cfRule>
  </conditionalFormatting>
  <conditionalFormatting sqref="C68">
    <cfRule type="cellIs" dxfId="6494" priority="3491" stopIfTrue="1" operator="equal">
      <formula>"Towel"</formula>
    </cfRule>
  </conditionalFormatting>
  <conditionalFormatting sqref="B67:C67">
    <cfRule type="cellIs" dxfId="6493" priority="3487" stopIfTrue="1" operator="equal">
      <formula>"Towel"</formula>
    </cfRule>
    <cfRule type="cellIs" dxfId="6492" priority="3488" stopIfTrue="1" operator="equal">
      <formula>"Napkin Hs"</formula>
    </cfRule>
  </conditionalFormatting>
  <conditionalFormatting sqref="C67">
    <cfRule type="cellIs" dxfId="6491" priority="3486" stopIfTrue="1" operator="equal">
      <formula>"Napkin Hs"</formula>
    </cfRule>
  </conditionalFormatting>
  <conditionalFormatting sqref="C67">
    <cfRule type="cellIs" dxfId="6490" priority="3483" stopIfTrue="1" operator="equal">
      <formula>"Towel"</formula>
    </cfRule>
    <cfRule type="cellIs" dxfId="6489" priority="3484" stopIfTrue="1" operator="equal">
      <formula>"Napkin Hs"</formula>
    </cfRule>
  </conditionalFormatting>
  <conditionalFormatting sqref="C67">
    <cfRule type="cellIs" dxfId="6488" priority="3485" stopIfTrue="1" operator="equal">
      <formula>"Towel"</formula>
    </cfRule>
  </conditionalFormatting>
  <conditionalFormatting sqref="B67:C67">
    <cfRule type="cellIs" dxfId="6487" priority="3481" stopIfTrue="1" operator="equal">
      <formula>"Towel"</formula>
    </cfRule>
    <cfRule type="cellIs" dxfId="6486" priority="3482" stopIfTrue="1" operator="equal">
      <formula>"Napkin Hs"</formula>
    </cfRule>
  </conditionalFormatting>
  <conditionalFormatting sqref="C67">
    <cfRule type="cellIs" dxfId="6485" priority="3480" stopIfTrue="1" operator="equal">
      <formula>"Napkin Hs"</formula>
    </cfRule>
  </conditionalFormatting>
  <conditionalFormatting sqref="C67">
    <cfRule type="cellIs" dxfId="6484" priority="3477" stopIfTrue="1" operator="equal">
      <formula>"Towel"</formula>
    </cfRule>
    <cfRule type="cellIs" dxfId="6483" priority="3478" stopIfTrue="1" operator="equal">
      <formula>"Napkin Hs"</formula>
    </cfRule>
  </conditionalFormatting>
  <conditionalFormatting sqref="C67">
    <cfRule type="cellIs" dxfId="6482" priority="3479" stopIfTrue="1" operator="equal">
      <formula>"Towel"</formula>
    </cfRule>
  </conditionalFormatting>
  <conditionalFormatting sqref="B67:C67">
    <cfRule type="cellIs" dxfId="6481" priority="3475" stopIfTrue="1" operator="equal">
      <formula>"Towel"</formula>
    </cfRule>
    <cfRule type="cellIs" dxfId="6480" priority="3476" stopIfTrue="1" operator="equal">
      <formula>"Napkin Hs"</formula>
    </cfRule>
  </conditionalFormatting>
  <conditionalFormatting sqref="C67">
    <cfRule type="cellIs" dxfId="6479" priority="3474" stopIfTrue="1" operator="equal">
      <formula>"Napkin Hs"</formula>
    </cfRule>
  </conditionalFormatting>
  <conditionalFormatting sqref="C67">
    <cfRule type="cellIs" dxfId="6478" priority="3471" stopIfTrue="1" operator="equal">
      <formula>"Towel"</formula>
    </cfRule>
    <cfRule type="cellIs" dxfId="6477" priority="3472" stopIfTrue="1" operator="equal">
      <formula>"Napkin Hs"</formula>
    </cfRule>
  </conditionalFormatting>
  <conditionalFormatting sqref="C67">
    <cfRule type="cellIs" dxfId="6476" priority="3473" stopIfTrue="1" operator="equal">
      <formula>"Towel"</formula>
    </cfRule>
  </conditionalFormatting>
  <conditionalFormatting sqref="B67:C67">
    <cfRule type="cellIs" dxfId="6475" priority="3469" stopIfTrue="1" operator="equal">
      <formula>"Towel"</formula>
    </cfRule>
    <cfRule type="cellIs" dxfId="6474" priority="3470" stopIfTrue="1" operator="equal">
      <formula>"Napkin Hs"</formula>
    </cfRule>
  </conditionalFormatting>
  <conditionalFormatting sqref="C67">
    <cfRule type="cellIs" dxfId="6473" priority="3468" stopIfTrue="1" operator="equal">
      <formula>"Napkin Hs"</formula>
    </cfRule>
  </conditionalFormatting>
  <conditionalFormatting sqref="C67">
    <cfRule type="cellIs" dxfId="6472" priority="3465" stopIfTrue="1" operator="equal">
      <formula>"Towel"</formula>
    </cfRule>
    <cfRule type="cellIs" dxfId="6471" priority="3466" stopIfTrue="1" operator="equal">
      <formula>"Napkin Hs"</formula>
    </cfRule>
  </conditionalFormatting>
  <conditionalFormatting sqref="C67">
    <cfRule type="cellIs" dxfId="6470" priority="3467" stopIfTrue="1" operator="equal">
      <formula>"Towel"</formula>
    </cfRule>
  </conditionalFormatting>
  <conditionalFormatting sqref="B67:C67">
    <cfRule type="cellIs" dxfId="6469" priority="3463" stopIfTrue="1" operator="equal">
      <formula>"Towel"</formula>
    </cfRule>
    <cfRule type="cellIs" dxfId="6468" priority="3464" stopIfTrue="1" operator="equal">
      <formula>"Napkin Hs"</formula>
    </cfRule>
  </conditionalFormatting>
  <conditionalFormatting sqref="C67">
    <cfRule type="cellIs" dxfId="6467" priority="3461" stopIfTrue="1" operator="equal">
      <formula>"Towel"</formula>
    </cfRule>
    <cfRule type="cellIs" dxfId="6466" priority="3462" stopIfTrue="1" operator="equal">
      <formula>"Napkin Hs"</formula>
    </cfRule>
  </conditionalFormatting>
  <conditionalFormatting sqref="C67">
    <cfRule type="cellIs" dxfId="6465" priority="3459" stopIfTrue="1" operator="equal">
      <formula>"Towel"</formula>
    </cfRule>
    <cfRule type="cellIs" dxfId="6464" priority="3460" stopIfTrue="1" operator="equal">
      <formula>"Napkin Hs"</formula>
    </cfRule>
  </conditionalFormatting>
  <conditionalFormatting sqref="B67:C67">
    <cfRule type="cellIs" dxfId="6463" priority="3457" stopIfTrue="1" operator="equal">
      <formula>"Towel"</formula>
    </cfRule>
    <cfRule type="cellIs" dxfId="6462" priority="3458" stopIfTrue="1" operator="equal">
      <formula>"Napkin Hs"</formula>
    </cfRule>
  </conditionalFormatting>
  <conditionalFormatting sqref="C67">
    <cfRule type="cellIs" dxfId="6461" priority="3455" stopIfTrue="1" operator="equal">
      <formula>"Towel"</formula>
    </cfRule>
    <cfRule type="cellIs" dxfId="6460" priority="3456" stopIfTrue="1" operator="equal">
      <formula>"Napkin Hs"</formula>
    </cfRule>
  </conditionalFormatting>
  <conditionalFormatting sqref="C67">
    <cfRule type="cellIs" dxfId="6459" priority="3453" stopIfTrue="1" operator="equal">
      <formula>"Towel"</formula>
    </cfRule>
    <cfRule type="cellIs" dxfId="6458" priority="3454" stopIfTrue="1" operator="equal">
      <formula>"Napkin Hs"</formula>
    </cfRule>
  </conditionalFormatting>
  <conditionalFormatting sqref="B67:C67">
    <cfRule type="cellIs" dxfId="6457" priority="3451" stopIfTrue="1" operator="equal">
      <formula>"Towel"</formula>
    </cfRule>
    <cfRule type="cellIs" dxfId="6456" priority="3452" stopIfTrue="1" operator="equal">
      <formula>"Napkin Hs"</formula>
    </cfRule>
  </conditionalFormatting>
  <conditionalFormatting sqref="C67">
    <cfRule type="cellIs" dxfId="6455" priority="3450" stopIfTrue="1" operator="equal">
      <formula>"Napkin Hs"</formula>
    </cfRule>
  </conditionalFormatting>
  <conditionalFormatting sqref="C67">
    <cfRule type="cellIs" dxfId="6454" priority="3447" stopIfTrue="1" operator="equal">
      <formula>"Towel"</formula>
    </cfRule>
    <cfRule type="cellIs" dxfId="6453" priority="3448" stopIfTrue="1" operator="equal">
      <formula>"Napkin Hs"</formula>
    </cfRule>
  </conditionalFormatting>
  <conditionalFormatting sqref="C67">
    <cfRule type="cellIs" dxfId="6452" priority="3449" stopIfTrue="1" operator="equal">
      <formula>"Towel"</formula>
    </cfRule>
  </conditionalFormatting>
  <conditionalFormatting sqref="B67:C67">
    <cfRule type="cellIs" dxfId="6451" priority="3445" stopIfTrue="1" operator="equal">
      <formula>"Towel"</formula>
    </cfRule>
    <cfRule type="cellIs" dxfId="6450" priority="3446" stopIfTrue="1" operator="equal">
      <formula>"Napkin Hs"</formula>
    </cfRule>
  </conditionalFormatting>
  <conditionalFormatting sqref="C67">
    <cfRule type="cellIs" dxfId="6449" priority="3444" stopIfTrue="1" operator="equal">
      <formula>"Napkin Hs"</formula>
    </cfRule>
  </conditionalFormatting>
  <conditionalFormatting sqref="C67">
    <cfRule type="cellIs" dxfId="6448" priority="3441" stopIfTrue="1" operator="equal">
      <formula>"Towel"</formula>
    </cfRule>
    <cfRule type="cellIs" dxfId="6447" priority="3442" stopIfTrue="1" operator="equal">
      <formula>"Napkin Hs"</formula>
    </cfRule>
  </conditionalFormatting>
  <conditionalFormatting sqref="C67">
    <cfRule type="cellIs" dxfId="6446" priority="3443" stopIfTrue="1" operator="equal">
      <formula>"Towel"</formula>
    </cfRule>
  </conditionalFormatting>
  <conditionalFormatting sqref="B67:C67">
    <cfRule type="cellIs" dxfId="6445" priority="3439" stopIfTrue="1" operator="equal">
      <formula>"Towel"</formula>
    </cfRule>
    <cfRule type="cellIs" dxfId="6444" priority="3440" stopIfTrue="1" operator="equal">
      <formula>"Napkin Hs"</formula>
    </cfRule>
  </conditionalFormatting>
  <conditionalFormatting sqref="C67">
    <cfRule type="cellIs" dxfId="6443" priority="3438" stopIfTrue="1" operator="equal">
      <formula>"Napkin Hs"</formula>
    </cfRule>
  </conditionalFormatting>
  <conditionalFormatting sqref="C67">
    <cfRule type="cellIs" dxfId="6442" priority="3435" stopIfTrue="1" operator="equal">
      <formula>"Towel"</formula>
    </cfRule>
    <cfRule type="cellIs" dxfId="6441" priority="3436" stopIfTrue="1" operator="equal">
      <formula>"Napkin Hs"</formula>
    </cfRule>
  </conditionalFormatting>
  <conditionalFormatting sqref="C67">
    <cfRule type="cellIs" dxfId="6440" priority="3437" stopIfTrue="1" operator="equal">
      <formula>"Towel"</formula>
    </cfRule>
  </conditionalFormatting>
  <conditionalFormatting sqref="B69:C69">
    <cfRule type="cellIs" dxfId="6439" priority="3433" stopIfTrue="1" operator="equal">
      <formula>"Towel"</formula>
    </cfRule>
    <cfRule type="cellIs" dxfId="6438" priority="3434" stopIfTrue="1" operator="equal">
      <formula>"Napkin Hs"</formula>
    </cfRule>
  </conditionalFormatting>
  <conditionalFormatting sqref="C69">
    <cfRule type="cellIs" dxfId="6437" priority="3432" stopIfTrue="1" operator="equal">
      <formula>"Napkin Hs"</formula>
    </cfRule>
  </conditionalFormatting>
  <conditionalFormatting sqref="C69">
    <cfRule type="cellIs" dxfId="6436" priority="3429" stopIfTrue="1" operator="equal">
      <formula>"Towel"</formula>
    </cfRule>
    <cfRule type="cellIs" dxfId="6435" priority="3430" stopIfTrue="1" operator="equal">
      <formula>"Napkin Hs"</formula>
    </cfRule>
  </conditionalFormatting>
  <conditionalFormatting sqref="C69">
    <cfRule type="cellIs" dxfId="6434" priority="3431" stopIfTrue="1" operator="equal">
      <formula>"Towel"</formula>
    </cfRule>
  </conditionalFormatting>
  <conditionalFormatting sqref="B69:C69">
    <cfRule type="cellIs" dxfId="6433" priority="3427" stopIfTrue="1" operator="equal">
      <formula>"Towel"</formula>
    </cfRule>
    <cfRule type="cellIs" dxfId="6432" priority="3428" stopIfTrue="1" operator="equal">
      <formula>"Napkin Hs"</formula>
    </cfRule>
  </conditionalFormatting>
  <conditionalFormatting sqref="C69">
    <cfRule type="cellIs" dxfId="6431" priority="3426" stopIfTrue="1" operator="equal">
      <formula>"Napkin Hs"</formula>
    </cfRule>
  </conditionalFormatting>
  <conditionalFormatting sqref="C69">
    <cfRule type="cellIs" dxfId="6430" priority="3423" stopIfTrue="1" operator="equal">
      <formula>"Towel"</formula>
    </cfRule>
    <cfRule type="cellIs" dxfId="6429" priority="3424" stopIfTrue="1" operator="equal">
      <formula>"Napkin Hs"</formula>
    </cfRule>
  </conditionalFormatting>
  <conditionalFormatting sqref="C69">
    <cfRule type="cellIs" dxfId="6428" priority="3425" stopIfTrue="1" operator="equal">
      <formula>"Towel"</formula>
    </cfRule>
  </conditionalFormatting>
  <conditionalFormatting sqref="B69:C69">
    <cfRule type="cellIs" dxfId="6427" priority="3421" stopIfTrue="1" operator="equal">
      <formula>"Towel"</formula>
    </cfRule>
    <cfRule type="cellIs" dxfId="6426" priority="3422" stopIfTrue="1" operator="equal">
      <formula>"Napkin Hs"</formula>
    </cfRule>
  </conditionalFormatting>
  <conditionalFormatting sqref="C69">
    <cfRule type="cellIs" dxfId="6425" priority="3420" stopIfTrue="1" operator="equal">
      <formula>"Napkin Hs"</formula>
    </cfRule>
  </conditionalFormatting>
  <conditionalFormatting sqref="C69">
    <cfRule type="cellIs" dxfId="6424" priority="3417" stopIfTrue="1" operator="equal">
      <formula>"Towel"</formula>
    </cfRule>
    <cfRule type="cellIs" dxfId="6423" priority="3418" stopIfTrue="1" operator="equal">
      <formula>"Napkin Hs"</formula>
    </cfRule>
  </conditionalFormatting>
  <conditionalFormatting sqref="C69">
    <cfRule type="cellIs" dxfId="6422" priority="3419" stopIfTrue="1" operator="equal">
      <formula>"Towel"</formula>
    </cfRule>
  </conditionalFormatting>
  <conditionalFormatting sqref="B69:C69">
    <cfRule type="cellIs" dxfId="6421" priority="3415" stopIfTrue="1" operator="equal">
      <formula>"Towel"</formula>
    </cfRule>
    <cfRule type="cellIs" dxfId="6420" priority="3416" stopIfTrue="1" operator="equal">
      <formula>"Napkin Hs"</formula>
    </cfRule>
  </conditionalFormatting>
  <conditionalFormatting sqref="C69">
    <cfRule type="cellIs" dxfId="6419" priority="3414" stopIfTrue="1" operator="equal">
      <formula>"Napkin Hs"</formula>
    </cfRule>
  </conditionalFormatting>
  <conditionalFormatting sqref="C69">
    <cfRule type="cellIs" dxfId="6418" priority="3411" stopIfTrue="1" operator="equal">
      <formula>"Towel"</formula>
    </cfRule>
    <cfRule type="cellIs" dxfId="6417" priority="3412" stopIfTrue="1" operator="equal">
      <formula>"Napkin Hs"</formula>
    </cfRule>
  </conditionalFormatting>
  <conditionalFormatting sqref="C69">
    <cfRule type="cellIs" dxfId="6416" priority="3413" stopIfTrue="1" operator="equal">
      <formula>"Towel"</formula>
    </cfRule>
  </conditionalFormatting>
  <conditionalFormatting sqref="B69:C69">
    <cfRule type="cellIs" dxfId="6415" priority="3409" stopIfTrue="1" operator="equal">
      <formula>"Towel"</formula>
    </cfRule>
    <cfRule type="cellIs" dxfId="6414" priority="3410" stopIfTrue="1" operator="equal">
      <formula>"Napkin Hs"</formula>
    </cfRule>
  </conditionalFormatting>
  <conditionalFormatting sqref="C69">
    <cfRule type="cellIs" dxfId="6413" priority="3407" stopIfTrue="1" operator="equal">
      <formula>"Towel"</formula>
    </cfRule>
    <cfRule type="cellIs" dxfId="6412" priority="3408" stopIfTrue="1" operator="equal">
      <formula>"Napkin Hs"</formula>
    </cfRule>
  </conditionalFormatting>
  <conditionalFormatting sqref="C69">
    <cfRule type="cellIs" dxfId="6411" priority="3405" stopIfTrue="1" operator="equal">
      <formula>"Towel"</formula>
    </cfRule>
    <cfRule type="cellIs" dxfId="6410" priority="3406" stopIfTrue="1" operator="equal">
      <formula>"Napkin Hs"</formula>
    </cfRule>
  </conditionalFormatting>
  <conditionalFormatting sqref="C69">
    <cfRule type="cellIs" dxfId="6409" priority="3401" stopIfTrue="1" operator="equal">
      <formula>"Towel"</formula>
    </cfRule>
    <cfRule type="cellIs" dxfId="6408" priority="3402" stopIfTrue="1" operator="equal">
      <formula>"Napkin Hs"</formula>
    </cfRule>
  </conditionalFormatting>
  <conditionalFormatting sqref="B69:C69">
    <cfRule type="cellIs" dxfId="6407" priority="3391" stopIfTrue="1" operator="equal">
      <formula>"Towel"</formula>
    </cfRule>
    <cfRule type="cellIs" dxfId="6406" priority="3392" stopIfTrue="1" operator="equal">
      <formula>"Napkin Hs"</formula>
    </cfRule>
  </conditionalFormatting>
  <conditionalFormatting sqref="C69">
    <cfRule type="cellIs" dxfId="6405" priority="3390" stopIfTrue="1" operator="equal">
      <formula>"Napkin Hs"</formula>
    </cfRule>
  </conditionalFormatting>
  <conditionalFormatting sqref="C69">
    <cfRule type="cellIs" dxfId="6404" priority="3387" stopIfTrue="1" operator="equal">
      <formula>"Towel"</formula>
    </cfRule>
    <cfRule type="cellIs" dxfId="6403" priority="3388" stopIfTrue="1" operator="equal">
      <formula>"Napkin Hs"</formula>
    </cfRule>
  </conditionalFormatting>
  <conditionalFormatting sqref="C69">
    <cfRule type="cellIs" dxfId="6402" priority="3389" stopIfTrue="1" operator="equal">
      <formula>"Towel"</formula>
    </cfRule>
  </conditionalFormatting>
  <conditionalFormatting sqref="B69:C69">
    <cfRule type="cellIs" dxfId="6401" priority="3385" stopIfTrue="1" operator="equal">
      <formula>"Towel"</formula>
    </cfRule>
    <cfRule type="cellIs" dxfId="6400" priority="3386" stopIfTrue="1" operator="equal">
      <formula>"Napkin Hs"</formula>
    </cfRule>
  </conditionalFormatting>
  <conditionalFormatting sqref="C69">
    <cfRule type="cellIs" dxfId="6399" priority="3384" stopIfTrue="1" operator="equal">
      <formula>"Napkin Hs"</formula>
    </cfRule>
  </conditionalFormatting>
  <conditionalFormatting sqref="C69">
    <cfRule type="cellIs" dxfId="6398" priority="3381" stopIfTrue="1" operator="equal">
      <formula>"Towel"</formula>
    </cfRule>
    <cfRule type="cellIs" dxfId="6397" priority="3382" stopIfTrue="1" operator="equal">
      <formula>"Napkin Hs"</formula>
    </cfRule>
  </conditionalFormatting>
  <conditionalFormatting sqref="C69">
    <cfRule type="cellIs" dxfId="6396" priority="3383" stopIfTrue="1" operator="equal">
      <formula>"Towel"</formula>
    </cfRule>
  </conditionalFormatting>
  <conditionalFormatting sqref="B73:C73">
    <cfRule type="cellIs" dxfId="6395" priority="3241" stopIfTrue="1" operator="equal">
      <formula>"Towel"</formula>
    </cfRule>
    <cfRule type="cellIs" dxfId="6394" priority="3242" stopIfTrue="1" operator="equal">
      <formula>"Napkin Hs"</formula>
    </cfRule>
  </conditionalFormatting>
  <conditionalFormatting sqref="C73">
    <cfRule type="cellIs" dxfId="6393" priority="3237" stopIfTrue="1" operator="equal">
      <formula>"Towel"</formula>
    </cfRule>
    <cfRule type="cellIs" dxfId="6392" priority="3238" stopIfTrue="1" operator="equal">
      <formula>"Napkin Hs"</formula>
    </cfRule>
  </conditionalFormatting>
  <conditionalFormatting sqref="B73:C73">
    <cfRule type="cellIs" dxfId="6391" priority="3235" stopIfTrue="1" operator="equal">
      <formula>"Towel"</formula>
    </cfRule>
    <cfRule type="cellIs" dxfId="6390" priority="3236" stopIfTrue="1" operator="equal">
      <formula>"Napkin Hs"</formula>
    </cfRule>
  </conditionalFormatting>
  <conditionalFormatting sqref="C73">
    <cfRule type="cellIs" dxfId="6389" priority="3234" stopIfTrue="1" operator="equal">
      <formula>"Napkin Hs"</formula>
    </cfRule>
  </conditionalFormatting>
  <conditionalFormatting sqref="C73">
    <cfRule type="cellIs" dxfId="6388" priority="3231" stopIfTrue="1" operator="equal">
      <formula>"Towel"</formula>
    </cfRule>
    <cfRule type="cellIs" dxfId="6387" priority="3232" stopIfTrue="1" operator="equal">
      <formula>"Napkin Hs"</formula>
    </cfRule>
  </conditionalFormatting>
  <conditionalFormatting sqref="C73">
    <cfRule type="cellIs" dxfId="6386" priority="3233" stopIfTrue="1" operator="equal">
      <formula>"Towel"</formula>
    </cfRule>
  </conditionalFormatting>
  <conditionalFormatting sqref="B73:C73">
    <cfRule type="cellIs" dxfId="6385" priority="3229" stopIfTrue="1" operator="equal">
      <formula>"Towel"</formula>
    </cfRule>
    <cfRule type="cellIs" dxfId="6384" priority="3230" stopIfTrue="1" operator="equal">
      <formula>"Napkin Hs"</formula>
    </cfRule>
  </conditionalFormatting>
  <conditionalFormatting sqref="C73">
    <cfRule type="cellIs" dxfId="6383" priority="3228" stopIfTrue="1" operator="equal">
      <formula>"Napkin Hs"</formula>
    </cfRule>
  </conditionalFormatting>
  <conditionalFormatting sqref="C73">
    <cfRule type="cellIs" dxfId="6382" priority="3225" stopIfTrue="1" operator="equal">
      <formula>"Towel"</formula>
    </cfRule>
    <cfRule type="cellIs" dxfId="6381" priority="3226" stopIfTrue="1" operator="equal">
      <formula>"Napkin Hs"</formula>
    </cfRule>
  </conditionalFormatting>
  <conditionalFormatting sqref="C73">
    <cfRule type="cellIs" dxfId="6380" priority="3227" stopIfTrue="1" operator="equal">
      <formula>"Towel"</formula>
    </cfRule>
  </conditionalFormatting>
  <conditionalFormatting sqref="B73:C73">
    <cfRule type="cellIs" dxfId="6379" priority="3223" stopIfTrue="1" operator="equal">
      <formula>"Towel"</formula>
    </cfRule>
    <cfRule type="cellIs" dxfId="6378" priority="3224" stopIfTrue="1" operator="equal">
      <formula>"Napkin Hs"</formula>
    </cfRule>
  </conditionalFormatting>
  <conditionalFormatting sqref="C73">
    <cfRule type="cellIs" dxfId="6377" priority="3222" stopIfTrue="1" operator="equal">
      <formula>"Napkin Hs"</formula>
    </cfRule>
  </conditionalFormatting>
  <conditionalFormatting sqref="C73">
    <cfRule type="cellIs" dxfId="6376" priority="3219" stopIfTrue="1" operator="equal">
      <formula>"Towel"</formula>
    </cfRule>
    <cfRule type="cellIs" dxfId="6375" priority="3220" stopIfTrue="1" operator="equal">
      <formula>"Napkin Hs"</formula>
    </cfRule>
  </conditionalFormatting>
  <conditionalFormatting sqref="C73">
    <cfRule type="cellIs" dxfId="6374" priority="3221" stopIfTrue="1" operator="equal">
      <formula>"Towel"</formula>
    </cfRule>
  </conditionalFormatting>
  <conditionalFormatting sqref="B71:C71">
    <cfRule type="cellIs" dxfId="6373" priority="3217" stopIfTrue="1" operator="equal">
      <formula>"Towel"</formula>
    </cfRule>
    <cfRule type="cellIs" dxfId="6372" priority="3218" stopIfTrue="1" operator="equal">
      <formula>"Napkin Hs"</formula>
    </cfRule>
  </conditionalFormatting>
  <conditionalFormatting sqref="C71">
    <cfRule type="cellIs" dxfId="6371" priority="3213" stopIfTrue="1" operator="equal">
      <formula>"Towel"</formula>
    </cfRule>
    <cfRule type="cellIs" dxfId="6370" priority="3214" stopIfTrue="1" operator="equal">
      <formula>"Napkin Hs"</formula>
    </cfRule>
  </conditionalFormatting>
  <conditionalFormatting sqref="B71:C71">
    <cfRule type="cellIs" dxfId="6369" priority="3211" stopIfTrue="1" operator="equal">
      <formula>"Towel"</formula>
    </cfRule>
    <cfRule type="cellIs" dxfId="6368" priority="3212" stopIfTrue="1" operator="equal">
      <formula>"Napkin Hs"</formula>
    </cfRule>
  </conditionalFormatting>
  <conditionalFormatting sqref="C71">
    <cfRule type="cellIs" dxfId="6367" priority="3207" stopIfTrue="1" operator="equal">
      <formula>"Towel"</formula>
    </cfRule>
    <cfRule type="cellIs" dxfId="6366" priority="3208" stopIfTrue="1" operator="equal">
      <formula>"Napkin Hs"</formula>
    </cfRule>
  </conditionalFormatting>
  <conditionalFormatting sqref="B71:C71">
    <cfRule type="cellIs" dxfId="6365" priority="3205" stopIfTrue="1" operator="equal">
      <formula>"Towel"</formula>
    </cfRule>
    <cfRule type="cellIs" dxfId="6364" priority="3206" stopIfTrue="1" operator="equal">
      <formula>"Napkin Hs"</formula>
    </cfRule>
  </conditionalFormatting>
  <conditionalFormatting sqref="C71">
    <cfRule type="cellIs" dxfId="6363" priority="3204" stopIfTrue="1" operator="equal">
      <formula>"Napkin Hs"</formula>
    </cfRule>
  </conditionalFormatting>
  <conditionalFormatting sqref="C71">
    <cfRule type="cellIs" dxfId="6362" priority="3201" stopIfTrue="1" operator="equal">
      <formula>"Towel"</formula>
    </cfRule>
    <cfRule type="cellIs" dxfId="6361" priority="3202" stopIfTrue="1" operator="equal">
      <formula>"Napkin Hs"</formula>
    </cfRule>
  </conditionalFormatting>
  <conditionalFormatting sqref="C71">
    <cfRule type="cellIs" dxfId="6360" priority="3203" stopIfTrue="1" operator="equal">
      <formula>"Towel"</formula>
    </cfRule>
  </conditionalFormatting>
  <conditionalFormatting sqref="B71:C71">
    <cfRule type="cellIs" dxfId="6359" priority="3199" stopIfTrue="1" operator="equal">
      <formula>"Towel"</formula>
    </cfRule>
    <cfRule type="cellIs" dxfId="6358" priority="3200" stopIfTrue="1" operator="equal">
      <formula>"Napkin Hs"</formula>
    </cfRule>
  </conditionalFormatting>
  <conditionalFormatting sqref="C71">
    <cfRule type="cellIs" dxfId="6357" priority="3198" stopIfTrue="1" operator="equal">
      <formula>"Napkin Hs"</formula>
    </cfRule>
  </conditionalFormatting>
  <conditionalFormatting sqref="C71">
    <cfRule type="cellIs" dxfId="6356" priority="3195" stopIfTrue="1" operator="equal">
      <formula>"Towel"</formula>
    </cfRule>
    <cfRule type="cellIs" dxfId="6355" priority="3196" stopIfTrue="1" operator="equal">
      <formula>"Napkin Hs"</formula>
    </cfRule>
  </conditionalFormatting>
  <conditionalFormatting sqref="C71">
    <cfRule type="cellIs" dxfId="6354" priority="3197" stopIfTrue="1" operator="equal">
      <formula>"Towel"</formula>
    </cfRule>
  </conditionalFormatting>
  <conditionalFormatting sqref="B71:C71">
    <cfRule type="cellIs" dxfId="6353" priority="3193" stopIfTrue="1" operator="equal">
      <formula>"Towel"</formula>
    </cfRule>
    <cfRule type="cellIs" dxfId="6352" priority="3194" stopIfTrue="1" operator="equal">
      <formula>"Napkin Hs"</formula>
    </cfRule>
  </conditionalFormatting>
  <conditionalFormatting sqref="C71">
    <cfRule type="cellIs" dxfId="6351" priority="3189" stopIfTrue="1" operator="equal">
      <formula>"Towel"</formula>
    </cfRule>
    <cfRule type="cellIs" dxfId="6350" priority="3190" stopIfTrue="1" operator="equal">
      <formula>"Napkin Hs"</formula>
    </cfRule>
  </conditionalFormatting>
  <conditionalFormatting sqref="B73:C73">
    <cfRule type="cellIs" dxfId="6349" priority="3271" stopIfTrue="1" operator="equal">
      <formula>"Towel"</formula>
    </cfRule>
    <cfRule type="cellIs" dxfId="6348" priority="3272" stopIfTrue="1" operator="equal">
      <formula>"Napkin Hs"</formula>
    </cfRule>
  </conditionalFormatting>
  <conditionalFormatting sqref="C73">
    <cfRule type="cellIs" dxfId="6347" priority="3270" stopIfTrue="1" operator="equal">
      <formula>"Napkin Hs"</formula>
    </cfRule>
  </conditionalFormatting>
  <conditionalFormatting sqref="C73">
    <cfRule type="cellIs" dxfId="6346" priority="3267" stopIfTrue="1" operator="equal">
      <formula>"Towel"</formula>
    </cfRule>
    <cfRule type="cellIs" dxfId="6345" priority="3268" stopIfTrue="1" operator="equal">
      <formula>"Napkin Hs"</formula>
    </cfRule>
  </conditionalFormatting>
  <conditionalFormatting sqref="C73">
    <cfRule type="cellIs" dxfId="6344" priority="3269" stopIfTrue="1" operator="equal">
      <formula>"Towel"</formula>
    </cfRule>
  </conditionalFormatting>
  <conditionalFormatting sqref="B73:C73">
    <cfRule type="cellIs" dxfId="6343" priority="3265" stopIfTrue="1" operator="equal">
      <formula>"Towel"</formula>
    </cfRule>
    <cfRule type="cellIs" dxfId="6342" priority="3266" stopIfTrue="1" operator="equal">
      <formula>"Napkin Hs"</formula>
    </cfRule>
  </conditionalFormatting>
  <conditionalFormatting sqref="C73">
    <cfRule type="cellIs" dxfId="6341" priority="3264" stopIfTrue="1" operator="equal">
      <formula>"Napkin Hs"</formula>
    </cfRule>
  </conditionalFormatting>
  <conditionalFormatting sqref="C73">
    <cfRule type="cellIs" dxfId="6340" priority="3261" stopIfTrue="1" operator="equal">
      <formula>"Towel"</formula>
    </cfRule>
    <cfRule type="cellIs" dxfId="6339" priority="3262" stopIfTrue="1" operator="equal">
      <formula>"Napkin Hs"</formula>
    </cfRule>
  </conditionalFormatting>
  <conditionalFormatting sqref="C73">
    <cfRule type="cellIs" dxfId="6338" priority="3263" stopIfTrue="1" operator="equal">
      <formula>"Towel"</formula>
    </cfRule>
  </conditionalFormatting>
  <conditionalFormatting sqref="B73:C73">
    <cfRule type="cellIs" dxfId="6337" priority="3259" stopIfTrue="1" operator="equal">
      <formula>"Towel"</formula>
    </cfRule>
    <cfRule type="cellIs" dxfId="6336" priority="3260" stopIfTrue="1" operator="equal">
      <formula>"Napkin Hs"</formula>
    </cfRule>
  </conditionalFormatting>
  <conditionalFormatting sqref="C73">
    <cfRule type="cellIs" dxfId="6335" priority="3258" stopIfTrue="1" operator="equal">
      <formula>"Napkin Hs"</formula>
    </cfRule>
  </conditionalFormatting>
  <conditionalFormatting sqref="C73">
    <cfRule type="cellIs" dxfId="6334" priority="3255" stopIfTrue="1" operator="equal">
      <formula>"Towel"</formula>
    </cfRule>
    <cfRule type="cellIs" dxfId="6333" priority="3256" stopIfTrue="1" operator="equal">
      <formula>"Napkin Hs"</formula>
    </cfRule>
  </conditionalFormatting>
  <conditionalFormatting sqref="C73">
    <cfRule type="cellIs" dxfId="6332" priority="3257" stopIfTrue="1" operator="equal">
      <formula>"Towel"</formula>
    </cfRule>
  </conditionalFormatting>
  <conditionalFormatting sqref="B73:C73">
    <cfRule type="cellIs" dxfId="6331" priority="3253" stopIfTrue="1" operator="equal">
      <formula>"Towel"</formula>
    </cfRule>
    <cfRule type="cellIs" dxfId="6330" priority="3254" stopIfTrue="1" operator="equal">
      <formula>"Napkin Hs"</formula>
    </cfRule>
  </conditionalFormatting>
  <conditionalFormatting sqref="C73">
    <cfRule type="cellIs" dxfId="6329" priority="3252" stopIfTrue="1" operator="equal">
      <formula>"Napkin Hs"</formula>
    </cfRule>
  </conditionalFormatting>
  <conditionalFormatting sqref="C73">
    <cfRule type="cellIs" dxfId="6328" priority="3249" stopIfTrue="1" operator="equal">
      <formula>"Towel"</formula>
    </cfRule>
    <cfRule type="cellIs" dxfId="6327" priority="3250" stopIfTrue="1" operator="equal">
      <formula>"Napkin Hs"</formula>
    </cfRule>
  </conditionalFormatting>
  <conditionalFormatting sqref="C73">
    <cfRule type="cellIs" dxfId="6326" priority="3251" stopIfTrue="1" operator="equal">
      <formula>"Towel"</formula>
    </cfRule>
  </conditionalFormatting>
  <conditionalFormatting sqref="B73:C73">
    <cfRule type="cellIs" dxfId="6325" priority="3247" stopIfTrue="1" operator="equal">
      <formula>"Towel"</formula>
    </cfRule>
    <cfRule type="cellIs" dxfId="6324" priority="3248" stopIfTrue="1" operator="equal">
      <formula>"Napkin Hs"</formula>
    </cfRule>
  </conditionalFormatting>
  <conditionalFormatting sqref="C73">
    <cfRule type="cellIs" dxfId="6323" priority="3245" stopIfTrue="1" operator="equal">
      <formula>"Towel"</formula>
    </cfRule>
    <cfRule type="cellIs" dxfId="6322" priority="3246" stopIfTrue="1" operator="equal">
      <formula>"Napkin Hs"</formula>
    </cfRule>
  </conditionalFormatting>
  <conditionalFormatting sqref="C73">
    <cfRule type="cellIs" dxfId="6321" priority="3243" stopIfTrue="1" operator="equal">
      <formula>"Towel"</formula>
    </cfRule>
    <cfRule type="cellIs" dxfId="6320" priority="3244" stopIfTrue="1" operator="equal">
      <formula>"Napkin Hs"</formula>
    </cfRule>
  </conditionalFormatting>
  <conditionalFormatting sqref="C73">
    <cfRule type="cellIs" dxfId="6319" priority="3239" stopIfTrue="1" operator="equal">
      <formula>"Towel"</formula>
    </cfRule>
    <cfRule type="cellIs" dxfId="6318" priority="3240" stopIfTrue="1" operator="equal">
      <formula>"Napkin Hs"</formula>
    </cfRule>
  </conditionalFormatting>
  <conditionalFormatting sqref="C71">
    <cfRule type="cellIs" dxfId="6317" priority="3216" stopIfTrue="1" operator="equal">
      <formula>"Napkin Hs"</formula>
    </cfRule>
  </conditionalFormatting>
  <conditionalFormatting sqref="C71">
    <cfRule type="cellIs" dxfId="6316" priority="3215" stopIfTrue="1" operator="equal">
      <formula>"Towel"</formula>
    </cfRule>
  </conditionalFormatting>
  <conditionalFormatting sqref="C71">
    <cfRule type="cellIs" dxfId="6315" priority="3210" stopIfTrue="1" operator="equal">
      <formula>"Napkin Hs"</formula>
    </cfRule>
  </conditionalFormatting>
  <conditionalFormatting sqref="C71">
    <cfRule type="cellIs" dxfId="6314" priority="3209" stopIfTrue="1" operator="equal">
      <formula>"Towel"</formula>
    </cfRule>
  </conditionalFormatting>
  <conditionalFormatting sqref="C71">
    <cfRule type="cellIs" dxfId="6313" priority="3191" stopIfTrue="1" operator="equal">
      <formula>"Towel"</formula>
    </cfRule>
    <cfRule type="cellIs" dxfId="6312" priority="3192" stopIfTrue="1" operator="equal">
      <formula>"Napkin Hs"</formula>
    </cfRule>
  </conditionalFormatting>
  <conditionalFormatting sqref="B71:C71">
    <cfRule type="cellIs" dxfId="6311" priority="3187" stopIfTrue="1" operator="equal">
      <formula>"Towel"</formula>
    </cfRule>
    <cfRule type="cellIs" dxfId="6310" priority="3188" stopIfTrue="1" operator="equal">
      <formula>"Napkin Hs"</formula>
    </cfRule>
  </conditionalFormatting>
  <conditionalFormatting sqref="C71">
    <cfRule type="cellIs" dxfId="6309" priority="3185" stopIfTrue="1" operator="equal">
      <formula>"Towel"</formula>
    </cfRule>
    <cfRule type="cellIs" dxfId="6308" priority="3186" stopIfTrue="1" operator="equal">
      <formula>"Napkin Hs"</formula>
    </cfRule>
  </conditionalFormatting>
  <conditionalFormatting sqref="C71">
    <cfRule type="cellIs" dxfId="6307" priority="3183" stopIfTrue="1" operator="equal">
      <formula>"Towel"</formula>
    </cfRule>
    <cfRule type="cellIs" dxfId="6306" priority="3184" stopIfTrue="1" operator="equal">
      <formula>"Napkin Hs"</formula>
    </cfRule>
  </conditionalFormatting>
  <conditionalFormatting sqref="B71:C71">
    <cfRule type="cellIs" dxfId="6305" priority="3181" stopIfTrue="1" operator="equal">
      <formula>"Towel"</formula>
    </cfRule>
    <cfRule type="cellIs" dxfId="6304" priority="3182" stopIfTrue="1" operator="equal">
      <formula>"Napkin Hs"</formula>
    </cfRule>
  </conditionalFormatting>
  <conditionalFormatting sqref="C71">
    <cfRule type="cellIs" dxfId="6303" priority="3180" stopIfTrue="1" operator="equal">
      <formula>"Napkin Hs"</formula>
    </cfRule>
  </conditionalFormatting>
  <conditionalFormatting sqref="C71">
    <cfRule type="cellIs" dxfId="6302" priority="3177" stopIfTrue="1" operator="equal">
      <formula>"Towel"</formula>
    </cfRule>
    <cfRule type="cellIs" dxfId="6301" priority="3178" stopIfTrue="1" operator="equal">
      <formula>"Napkin Hs"</formula>
    </cfRule>
  </conditionalFormatting>
  <conditionalFormatting sqref="C71">
    <cfRule type="cellIs" dxfId="6300" priority="3179" stopIfTrue="1" operator="equal">
      <formula>"Towel"</formula>
    </cfRule>
  </conditionalFormatting>
  <conditionalFormatting sqref="B71:C71">
    <cfRule type="cellIs" dxfId="6299" priority="3175" stopIfTrue="1" operator="equal">
      <formula>"Towel"</formula>
    </cfRule>
    <cfRule type="cellIs" dxfId="6298" priority="3176" stopIfTrue="1" operator="equal">
      <formula>"Napkin Hs"</formula>
    </cfRule>
  </conditionalFormatting>
  <conditionalFormatting sqref="C71">
    <cfRule type="cellIs" dxfId="6297" priority="3174" stopIfTrue="1" operator="equal">
      <formula>"Napkin Hs"</formula>
    </cfRule>
  </conditionalFormatting>
  <conditionalFormatting sqref="C71">
    <cfRule type="cellIs" dxfId="6296" priority="3171" stopIfTrue="1" operator="equal">
      <formula>"Towel"</formula>
    </cfRule>
    <cfRule type="cellIs" dxfId="6295" priority="3172" stopIfTrue="1" operator="equal">
      <formula>"Napkin Hs"</formula>
    </cfRule>
  </conditionalFormatting>
  <conditionalFormatting sqref="C71">
    <cfRule type="cellIs" dxfId="6294" priority="3173" stopIfTrue="1" operator="equal">
      <formula>"Towel"</formula>
    </cfRule>
  </conditionalFormatting>
  <conditionalFormatting sqref="B71:C71">
    <cfRule type="cellIs" dxfId="6293" priority="3169" stopIfTrue="1" operator="equal">
      <formula>"Towel"</formula>
    </cfRule>
    <cfRule type="cellIs" dxfId="6292" priority="3170" stopIfTrue="1" operator="equal">
      <formula>"Napkin Hs"</formula>
    </cfRule>
  </conditionalFormatting>
  <conditionalFormatting sqref="C71">
    <cfRule type="cellIs" dxfId="6291" priority="3168" stopIfTrue="1" operator="equal">
      <formula>"Napkin Hs"</formula>
    </cfRule>
  </conditionalFormatting>
  <conditionalFormatting sqref="C71">
    <cfRule type="cellIs" dxfId="6290" priority="3165" stopIfTrue="1" operator="equal">
      <formula>"Towel"</formula>
    </cfRule>
    <cfRule type="cellIs" dxfId="6289" priority="3166" stopIfTrue="1" operator="equal">
      <formula>"Napkin Hs"</formula>
    </cfRule>
  </conditionalFormatting>
  <conditionalFormatting sqref="C71">
    <cfRule type="cellIs" dxfId="6288" priority="3167" stopIfTrue="1" operator="equal">
      <formula>"Towel"</formula>
    </cfRule>
  </conditionalFormatting>
  <conditionalFormatting sqref="B72:C72">
    <cfRule type="cellIs" dxfId="6287" priority="3163" stopIfTrue="1" operator="equal">
      <formula>"Towel"</formula>
    </cfRule>
    <cfRule type="cellIs" dxfId="6286" priority="3164" stopIfTrue="1" operator="equal">
      <formula>"Napkin Hs"</formula>
    </cfRule>
  </conditionalFormatting>
  <conditionalFormatting sqref="C72">
    <cfRule type="cellIs" dxfId="6285" priority="3162" stopIfTrue="1" operator="equal">
      <formula>"Napkin Hs"</formula>
    </cfRule>
  </conditionalFormatting>
  <conditionalFormatting sqref="C72">
    <cfRule type="cellIs" dxfId="6284" priority="3159" stopIfTrue="1" operator="equal">
      <formula>"Towel"</formula>
    </cfRule>
    <cfRule type="cellIs" dxfId="6283" priority="3160" stopIfTrue="1" operator="equal">
      <formula>"Napkin Hs"</formula>
    </cfRule>
  </conditionalFormatting>
  <conditionalFormatting sqref="C72">
    <cfRule type="cellIs" dxfId="6282" priority="3161" stopIfTrue="1" operator="equal">
      <formula>"Towel"</formula>
    </cfRule>
  </conditionalFormatting>
  <conditionalFormatting sqref="B72:C72">
    <cfRule type="cellIs" dxfId="6281" priority="3157" stopIfTrue="1" operator="equal">
      <formula>"Towel"</formula>
    </cfRule>
    <cfRule type="cellIs" dxfId="6280" priority="3158" stopIfTrue="1" operator="equal">
      <formula>"Napkin Hs"</formula>
    </cfRule>
  </conditionalFormatting>
  <conditionalFormatting sqref="C72">
    <cfRule type="cellIs" dxfId="6279" priority="3156" stopIfTrue="1" operator="equal">
      <formula>"Napkin Hs"</formula>
    </cfRule>
  </conditionalFormatting>
  <conditionalFormatting sqref="C72">
    <cfRule type="cellIs" dxfId="6278" priority="3153" stopIfTrue="1" operator="equal">
      <formula>"Towel"</formula>
    </cfRule>
    <cfRule type="cellIs" dxfId="6277" priority="3154" stopIfTrue="1" operator="equal">
      <formula>"Napkin Hs"</formula>
    </cfRule>
  </conditionalFormatting>
  <conditionalFormatting sqref="C72">
    <cfRule type="cellIs" dxfId="6276" priority="3155" stopIfTrue="1" operator="equal">
      <formula>"Towel"</formula>
    </cfRule>
  </conditionalFormatting>
  <conditionalFormatting sqref="B72:C72">
    <cfRule type="cellIs" dxfId="6275" priority="3151" stopIfTrue="1" operator="equal">
      <formula>"Towel"</formula>
    </cfRule>
    <cfRule type="cellIs" dxfId="6274" priority="3152" stopIfTrue="1" operator="equal">
      <formula>"Napkin Hs"</formula>
    </cfRule>
  </conditionalFormatting>
  <conditionalFormatting sqref="C72">
    <cfRule type="cellIs" dxfId="6273" priority="3150" stopIfTrue="1" operator="equal">
      <formula>"Napkin Hs"</formula>
    </cfRule>
  </conditionalFormatting>
  <conditionalFormatting sqref="C72">
    <cfRule type="cellIs" dxfId="6272" priority="3147" stopIfTrue="1" operator="equal">
      <formula>"Towel"</formula>
    </cfRule>
    <cfRule type="cellIs" dxfId="6271" priority="3148" stopIfTrue="1" operator="equal">
      <formula>"Napkin Hs"</formula>
    </cfRule>
  </conditionalFormatting>
  <conditionalFormatting sqref="C72">
    <cfRule type="cellIs" dxfId="6270" priority="3149" stopIfTrue="1" operator="equal">
      <formula>"Towel"</formula>
    </cfRule>
  </conditionalFormatting>
  <conditionalFormatting sqref="B72:C72">
    <cfRule type="cellIs" dxfId="6269" priority="3145" stopIfTrue="1" operator="equal">
      <formula>"Towel"</formula>
    </cfRule>
    <cfRule type="cellIs" dxfId="6268" priority="3146" stopIfTrue="1" operator="equal">
      <formula>"Napkin Hs"</formula>
    </cfRule>
  </conditionalFormatting>
  <conditionalFormatting sqref="C72">
    <cfRule type="cellIs" dxfId="6267" priority="3144" stopIfTrue="1" operator="equal">
      <formula>"Napkin Hs"</formula>
    </cfRule>
  </conditionalFormatting>
  <conditionalFormatting sqref="C72">
    <cfRule type="cellIs" dxfId="6266" priority="3141" stopIfTrue="1" operator="equal">
      <formula>"Towel"</formula>
    </cfRule>
    <cfRule type="cellIs" dxfId="6265" priority="3142" stopIfTrue="1" operator="equal">
      <formula>"Napkin Hs"</formula>
    </cfRule>
  </conditionalFormatting>
  <conditionalFormatting sqref="C72">
    <cfRule type="cellIs" dxfId="6264" priority="3143" stopIfTrue="1" operator="equal">
      <formula>"Towel"</formula>
    </cfRule>
  </conditionalFormatting>
  <conditionalFormatting sqref="B72:C72">
    <cfRule type="cellIs" dxfId="6263" priority="3139" stopIfTrue="1" operator="equal">
      <formula>"Towel"</formula>
    </cfRule>
    <cfRule type="cellIs" dxfId="6262" priority="3140" stopIfTrue="1" operator="equal">
      <formula>"Napkin Hs"</formula>
    </cfRule>
  </conditionalFormatting>
  <conditionalFormatting sqref="C72">
    <cfRule type="cellIs" dxfId="6261" priority="3138" stopIfTrue="1" operator="equal">
      <formula>"Napkin Hs"</formula>
    </cfRule>
  </conditionalFormatting>
  <conditionalFormatting sqref="C72">
    <cfRule type="cellIs" dxfId="6260" priority="3135" stopIfTrue="1" operator="equal">
      <formula>"Towel"</formula>
    </cfRule>
    <cfRule type="cellIs" dxfId="6259" priority="3136" stopIfTrue="1" operator="equal">
      <formula>"Napkin Hs"</formula>
    </cfRule>
  </conditionalFormatting>
  <conditionalFormatting sqref="C72">
    <cfRule type="cellIs" dxfId="6258" priority="3137" stopIfTrue="1" operator="equal">
      <formula>"Towel"</formula>
    </cfRule>
  </conditionalFormatting>
  <conditionalFormatting sqref="B80:C80">
    <cfRule type="cellIs" dxfId="6257" priority="3133" stopIfTrue="1" operator="equal">
      <formula>"Towel"</formula>
    </cfRule>
    <cfRule type="cellIs" dxfId="6256" priority="3134" stopIfTrue="1" operator="equal">
      <formula>"Napkin Hs"</formula>
    </cfRule>
  </conditionalFormatting>
  <conditionalFormatting sqref="C80">
    <cfRule type="cellIs" dxfId="6255" priority="3129" stopIfTrue="1" operator="equal">
      <formula>"Towel"</formula>
    </cfRule>
    <cfRule type="cellIs" dxfId="6254" priority="3130" stopIfTrue="1" operator="equal">
      <formula>"Napkin Hs"</formula>
    </cfRule>
  </conditionalFormatting>
  <conditionalFormatting sqref="C80">
    <cfRule type="cellIs" dxfId="6253" priority="3131" stopIfTrue="1" operator="equal">
      <formula>"Towel"</formula>
    </cfRule>
    <cfRule type="cellIs" dxfId="6252" priority="3132" stopIfTrue="1" operator="equal">
      <formula>"Napkin Hs"</formula>
    </cfRule>
  </conditionalFormatting>
  <conditionalFormatting sqref="B79:C79">
    <cfRule type="cellIs" dxfId="6251" priority="3091" stopIfTrue="1" operator="equal">
      <formula>"Towel"</formula>
    </cfRule>
    <cfRule type="cellIs" dxfId="6250" priority="3092" stopIfTrue="1" operator="equal">
      <formula>"Napkin Hs"</formula>
    </cfRule>
  </conditionalFormatting>
  <conditionalFormatting sqref="C79">
    <cfRule type="cellIs" dxfId="6249" priority="3087" stopIfTrue="1" operator="equal">
      <formula>"Towel"</formula>
    </cfRule>
    <cfRule type="cellIs" dxfId="6248" priority="3088" stopIfTrue="1" operator="equal">
      <formula>"Napkin Hs"</formula>
    </cfRule>
  </conditionalFormatting>
  <conditionalFormatting sqref="B79:C79">
    <cfRule type="cellIs" dxfId="6247" priority="3085" stopIfTrue="1" operator="equal">
      <formula>"Towel"</formula>
    </cfRule>
    <cfRule type="cellIs" dxfId="6246" priority="3086" stopIfTrue="1" operator="equal">
      <formula>"Napkin Hs"</formula>
    </cfRule>
  </conditionalFormatting>
  <conditionalFormatting sqref="C79">
    <cfRule type="cellIs" dxfId="6245" priority="3084" stopIfTrue="1" operator="equal">
      <formula>"Napkin Hs"</formula>
    </cfRule>
  </conditionalFormatting>
  <conditionalFormatting sqref="C79">
    <cfRule type="cellIs" dxfId="6244" priority="3081" stopIfTrue="1" operator="equal">
      <formula>"Towel"</formula>
    </cfRule>
    <cfRule type="cellIs" dxfId="6243" priority="3082" stopIfTrue="1" operator="equal">
      <formula>"Napkin Hs"</formula>
    </cfRule>
  </conditionalFormatting>
  <conditionalFormatting sqref="C79">
    <cfRule type="cellIs" dxfId="6242" priority="3083" stopIfTrue="1" operator="equal">
      <formula>"Towel"</formula>
    </cfRule>
  </conditionalFormatting>
  <conditionalFormatting sqref="B79:C79">
    <cfRule type="cellIs" dxfId="6241" priority="3079" stopIfTrue="1" operator="equal">
      <formula>"Towel"</formula>
    </cfRule>
    <cfRule type="cellIs" dxfId="6240" priority="3080" stopIfTrue="1" operator="equal">
      <formula>"Napkin Hs"</formula>
    </cfRule>
  </conditionalFormatting>
  <conditionalFormatting sqref="C79">
    <cfRule type="cellIs" dxfId="6239" priority="3078" stopIfTrue="1" operator="equal">
      <formula>"Napkin Hs"</formula>
    </cfRule>
  </conditionalFormatting>
  <conditionalFormatting sqref="C79">
    <cfRule type="cellIs" dxfId="6238" priority="3075" stopIfTrue="1" operator="equal">
      <formula>"Towel"</formula>
    </cfRule>
    <cfRule type="cellIs" dxfId="6237" priority="3076" stopIfTrue="1" operator="equal">
      <formula>"Napkin Hs"</formula>
    </cfRule>
  </conditionalFormatting>
  <conditionalFormatting sqref="C79">
    <cfRule type="cellIs" dxfId="6236" priority="3077" stopIfTrue="1" operator="equal">
      <formula>"Towel"</formula>
    </cfRule>
  </conditionalFormatting>
  <conditionalFormatting sqref="B79:C79">
    <cfRule type="cellIs" dxfId="6235" priority="3073" stopIfTrue="1" operator="equal">
      <formula>"Towel"</formula>
    </cfRule>
    <cfRule type="cellIs" dxfId="6234" priority="3074" stopIfTrue="1" operator="equal">
      <formula>"Napkin Hs"</formula>
    </cfRule>
  </conditionalFormatting>
  <conditionalFormatting sqref="C79">
    <cfRule type="cellIs" dxfId="6233" priority="3072" stopIfTrue="1" operator="equal">
      <formula>"Napkin Hs"</formula>
    </cfRule>
  </conditionalFormatting>
  <conditionalFormatting sqref="C79">
    <cfRule type="cellIs" dxfId="6232" priority="3069" stopIfTrue="1" operator="equal">
      <formula>"Towel"</formula>
    </cfRule>
    <cfRule type="cellIs" dxfId="6231" priority="3070" stopIfTrue="1" operator="equal">
      <formula>"Napkin Hs"</formula>
    </cfRule>
  </conditionalFormatting>
  <conditionalFormatting sqref="C79">
    <cfRule type="cellIs" dxfId="6230" priority="3071" stopIfTrue="1" operator="equal">
      <formula>"Towel"</formula>
    </cfRule>
  </conditionalFormatting>
  <conditionalFormatting sqref="B79:C79">
    <cfRule type="cellIs" dxfId="6229" priority="3121" stopIfTrue="1" operator="equal">
      <formula>"Towel"</formula>
    </cfRule>
    <cfRule type="cellIs" dxfId="6228" priority="3122" stopIfTrue="1" operator="equal">
      <formula>"Napkin Hs"</formula>
    </cfRule>
  </conditionalFormatting>
  <conditionalFormatting sqref="C79">
    <cfRule type="cellIs" dxfId="6227" priority="3120" stopIfTrue="1" operator="equal">
      <formula>"Napkin Hs"</formula>
    </cfRule>
  </conditionalFormatting>
  <conditionalFormatting sqref="C79">
    <cfRule type="cellIs" dxfId="6226" priority="3117" stopIfTrue="1" operator="equal">
      <formula>"Towel"</formula>
    </cfRule>
    <cfRule type="cellIs" dxfId="6225" priority="3118" stopIfTrue="1" operator="equal">
      <formula>"Napkin Hs"</formula>
    </cfRule>
  </conditionalFormatting>
  <conditionalFormatting sqref="C79">
    <cfRule type="cellIs" dxfId="6224" priority="3119" stopIfTrue="1" operator="equal">
      <formula>"Towel"</formula>
    </cfRule>
  </conditionalFormatting>
  <conditionalFormatting sqref="B79:C79">
    <cfRule type="cellIs" dxfId="6223" priority="3115" stopIfTrue="1" operator="equal">
      <formula>"Towel"</formula>
    </cfRule>
    <cfRule type="cellIs" dxfId="6222" priority="3116" stopIfTrue="1" operator="equal">
      <formula>"Napkin Hs"</formula>
    </cfRule>
  </conditionalFormatting>
  <conditionalFormatting sqref="C79">
    <cfRule type="cellIs" dxfId="6221" priority="3114" stopIfTrue="1" operator="equal">
      <formula>"Napkin Hs"</formula>
    </cfRule>
  </conditionalFormatting>
  <conditionalFormatting sqref="C79">
    <cfRule type="cellIs" dxfId="6220" priority="3111" stopIfTrue="1" operator="equal">
      <formula>"Towel"</formula>
    </cfRule>
    <cfRule type="cellIs" dxfId="6219" priority="3112" stopIfTrue="1" operator="equal">
      <formula>"Napkin Hs"</formula>
    </cfRule>
  </conditionalFormatting>
  <conditionalFormatting sqref="C79">
    <cfRule type="cellIs" dxfId="6218" priority="3113" stopIfTrue="1" operator="equal">
      <formula>"Towel"</formula>
    </cfRule>
  </conditionalFormatting>
  <conditionalFormatting sqref="B79:C79">
    <cfRule type="cellIs" dxfId="6217" priority="3109" stopIfTrue="1" operator="equal">
      <formula>"Towel"</formula>
    </cfRule>
    <cfRule type="cellIs" dxfId="6216" priority="3110" stopIfTrue="1" operator="equal">
      <formula>"Napkin Hs"</formula>
    </cfRule>
  </conditionalFormatting>
  <conditionalFormatting sqref="C79">
    <cfRule type="cellIs" dxfId="6215" priority="3108" stopIfTrue="1" operator="equal">
      <formula>"Napkin Hs"</formula>
    </cfRule>
  </conditionalFormatting>
  <conditionalFormatting sqref="C79">
    <cfRule type="cellIs" dxfId="6214" priority="3105" stopIfTrue="1" operator="equal">
      <formula>"Towel"</formula>
    </cfRule>
    <cfRule type="cellIs" dxfId="6213" priority="3106" stopIfTrue="1" operator="equal">
      <formula>"Napkin Hs"</formula>
    </cfRule>
  </conditionalFormatting>
  <conditionalFormatting sqref="C79">
    <cfRule type="cellIs" dxfId="6212" priority="3107" stopIfTrue="1" operator="equal">
      <formula>"Towel"</formula>
    </cfRule>
  </conditionalFormatting>
  <conditionalFormatting sqref="B79:C79">
    <cfRule type="cellIs" dxfId="6211" priority="3103" stopIfTrue="1" operator="equal">
      <formula>"Towel"</formula>
    </cfRule>
    <cfRule type="cellIs" dxfId="6210" priority="3104" stopIfTrue="1" operator="equal">
      <formula>"Napkin Hs"</formula>
    </cfRule>
  </conditionalFormatting>
  <conditionalFormatting sqref="C79">
    <cfRule type="cellIs" dxfId="6209" priority="3102" stopIfTrue="1" operator="equal">
      <formula>"Napkin Hs"</formula>
    </cfRule>
  </conditionalFormatting>
  <conditionalFormatting sqref="C79">
    <cfRule type="cellIs" dxfId="6208" priority="3099" stopIfTrue="1" operator="equal">
      <formula>"Towel"</formula>
    </cfRule>
    <cfRule type="cellIs" dxfId="6207" priority="3100" stopIfTrue="1" operator="equal">
      <formula>"Napkin Hs"</formula>
    </cfRule>
  </conditionalFormatting>
  <conditionalFormatting sqref="C79">
    <cfRule type="cellIs" dxfId="6206" priority="3101" stopIfTrue="1" operator="equal">
      <formula>"Towel"</formula>
    </cfRule>
  </conditionalFormatting>
  <conditionalFormatting sqref="B79:C79">
    <cfRule type="cellIs" dxfId="6205" priority="3097" stopIfTrue="1" operator="equal">
      <formula>"Towel"</formula>
    </cfRule>
    <cfRule type="cellIs" dxfId="6204" priority="3098" stopIfTrue="1" operator="equal">
      <formula>"Napkin Hs"</formula>
    </cfRule>
  </conditionalFormatting>
  <conditionalFormatting sqref="C79">
    <cfRule type="cellIs" dxfId="6203" priority="3095" stopIfTrue="1" operator="equal">
      <formula>"Towel"</formula>
    </cfRule>
    <cfRule type="cellIs" dxfId="6202" priority="3096" stopIfTrue="1" operator="equal">
      <formula>"Napkin Hs"</formula>
    </cfRule>
  </conditionalFormatting>
  <conditionalFormatting sqref="C79">
    <cfRule type="cellIs" dxfId="6201" priority="3093" stopIfTrue="1" operator="equal">
      <formula>"Towel"</formula>
    </cfRule>
    <cfRule type="cellIs" dxfId="6200" priority="3094" stopIfTrue="1" operator="equal">
      <formula>"Napkin Hs"</formula>
    </cfRule>
  </conditionalFormatting>
  <conditionalFormatting sqref="C79">
    <cfRule type="cellIs" dxfId="6199" priority="3089" stopIfTrue="1" operator="equal">
      <formula>"Towel"</formula>
    </cfRule>
    <cfRule type="cellIs" dxfId="6198" priority="3090" stopIfTrue="1" operator="equal">
      <formula>"Napkin Hs"</formula>
    </cfRule>
  </conditionalFormatting>
  <conditionalFormatting sqref="B77:C78">
    <cfRule type="cellIs" dxfId="6197" priority="2983" stopIfTrue="1" operator="equal">
      <formula>"Towel"</formula>
    </cfRule>
    <cfRule type="cellIs" dxfId="6196" priority="2984" stopIfTrue="1" operator="equal">
      <formula>"Napkin Hs"</formula>
    </cfRule>
  </conditionalFormatting>
  <conditionalFormatting sqref="C77:C78">
    <cfRule type="cellIs" dxfId="6195" priority="2982" stopIfTrue="1" operator="equal">
      <formula>"Napkin Hs"</formula>
    </cfRule>
  </conditionalFormatting>
  <conditionalFormatting sqref="C77:C78">
    <cfRule type="cellIs" dxfId="6194" priority="2979" stopIfTrue="1" operator="equal">
      <formula>"Towel"</formula>
    </cfRule>
    <cfRule type="cellIs" dxfId="6193" priority="2980" stopIfTrue="1" operator="equal">
      <formula>"Napkin Hs"</formula>
    </cfRule>
  </conditionalFormatting>
  <conditionalFormatting sqref="C77:C78">
    <cfRule type="cellIs" dxfId="6192" priority="2981" stopIfTrue="1" operator="equal">
      <formula>"Towel"</formula>
    </cfRule>
  </conditionalFormatting>
  <conditionalFormatting sqref="B77:C78">
    <cfRule type="cellIs" dxfId="6191" priority="2977" stopIfTrue="1" operator="equal">
      <formula>"Towel"</formula>
    </cfRule>
    <cfRule type="cellIs" dxfId="6190" priority="2978" stopIfTrue="1" operator="equal">
      <formula>"Napkin Hs"</formula>
    </cfRule>
  </conditionalFormatting>
  <conditionalFormatting sqref="C77:C78">
    <cfRule type="cellIs" dxfId="6189" priority="2976" stopIfTrue="1" operator="equal">
      <formula>"Napkin Hs"</formula>
    </cfRule>
  </conditionalFormatting>
  <conditionalFormatting sqref="C77:C78">
    <cfRule type="cellIs" dxfId="6188" priority="2973" stopIfTrue="1" operator="equal">
      <formula>"Towel"</formula>
    </cfRule>
    <cfRule type="cellIs" dxfId="6187" priority="2974" stopIfTrue="1" operator="equal">
      <formula>"Napkin Hs"</formula>
    </cfRule>
  </conditionalFormatting>
  <conditionalFormatting sqref="C77:C78">
    <cfRule type="cellIs" dxfId="6186" priority="2975" stopIfTrue="1" operator="equal">
      <formula>"Towel"</formula>
    </cfRule>
  </conditionalFormatting>
  <conditionalFormatting sqref="B77:C78">
    <cfRule type="cellIs" dxfId="6185" priority="2971" stopIfTrue="1" operator="equal">
      <formula>"Towel"</formula>
    </cfRule>
    <cfRule type="cellIs" dxfId="6184" priority="2972" stopIfTrue="1" operator="equal">
      <formula>"Napkin Hs"</formula>
    </cfRule>
  </conditionalFormatting>
  <conditionalFormatting sqref="C77:C78">
    <cfRule type="cellIs" dxfId="6183" priority="2970" stopIfTrue="1" operator="equal">
      <formula>"Napkin Hs"</formula>
    </cfRule>
  </conditionalFormatting>
  <conditionalFormatting sqref="C77:C78">
    <cfRule type="cellIs" dxfId="6182" priority="2967" stopIfTrue="1" operator="equal">
      <formula>"Towel"</formula>
    </cfRule>
    <cfRule type="cellIs" dxfId="6181" priority="2968" stopIfTrue="1" operator="equal">
      <formula>"Napkin Hs"</formula>
    </cfRule>
  </conditionalFormatting>
  <conditionalFormatting sqref="C77:C78">
    <cfRule type="cellIs" dxfId="6180" priority="2969" stopIfTrue="1" operator="equal">
      <formula>"Towel"</formula>
    </cfRule>
  </conditionalFormatting>
  <conditionalFormatting sqref="B77:C78">
    <cfRule type="cellIs" dxfId="6179" priority="2965" stopIfTrue="1" operator="equal">
      <formula>"Towel"</formula>
    </cfRule>
    <cfRule type="cellIs" dxfId="6178" priority="2966" stopIfTrue="1" operator="equal">
      <formula>"Napkin Hs"</formula>
    </cfRule>
  </conditionalFormatting>
  <conditionalFormatting sqref="C77:C78">
    <cfRule type="cellIs" dxfId="6177" priority="2964" stopIfTrue="1" operator="equal">
      <formula>"Napkin Hs"</formula>
    </cfRule>
  </conditionalFormatting>
  <conditionalFormatting sqref="C77:C78">
    <cfRule type="cellIs" dxfId="6176" priority="2961" stopIfTrue="1" operator="equal">
      <formula>"Towel"</formula>
    </cfRule>
    <cfRule type="cellIs" dxfId="6175" priority="2962" stopIfTrue="1" operator="equal">
      <formula>"Napkin Hs"</formula>
    </cfRule>
  </conditionalFormatting>
  <conditionalFormatting sqref="C77:C78">
    <cfRule type="cellIs" dxfId="6174" priority="2963" stopIfTrue="1" operator="equal">
      <formula>"Towel"</formula>
    </cfRule>
  </conditionalFormatting>
  <conditionalFormatting sqref="B77:C78">
    <cfRule type="cellIs" dxfId="6173" priority="2959" stopIfTrue="1" operator="equal">
      <formula>"Towel"</formula>
    </cfRule>
    <cfRule type="cellIs" dxfId="6172" priority="2960" stopIfTrue="1" operator="equal">
      <formula>"Napkin Hs"</formula>
    </cfRule>
  </conditionalFormatting>
  <conditionalFormatting sqref="C77:C78">
    <cfRule type="cellIs" dxfId="6171" priority="2958" stopIfTrue="1" operator="equal">
      <formula>"Napkin Hs"</formula>
    </cfRule>
  </conditionalFormatting>
  <conditionalFormatting sqref="C77:C78">
    <cfRule type="cellIs" dxfId="6170" priority="2955" stopIfTrue="1" operator="equal">
      <formula>"Towel"</formula>
    </cfRule>
    <cfRule type="cellIs" dxfId="6169" priority="2956" stopIfTrue="1" operator="equal">
      <formula>"Napkin Hs"</formula>
    </cfRule>
  </conditionalFormatting>
  <conditionalFormatting sqref="C77:C78">
    <cfRule type="cellIs" dxfId="6168" priority="2957" stopIfTrue="1" operator="equal">
      <formula>"Towel"</formula>
    </cfRule>
  </conditionalFormatting>
  <conditionalFormatting sqref="B84:C84">
    <cfRule type="cellIs" dxfId="6167" priority="2953" stopIfTrue="1" operator="equal">
      <formula>"Towel"</formula>
    </cfRule>
    <cfRule type="cellIs" dxfId="6166" priority="2954" stopIfTrue="1" operator="equal">
      <formula>"Napkin Hs"</formula>
    </cfRule>
  </conditionalFormatting>
  <conditionalFormatting sqref="C84">
    <cfRule type="cellIs" dxfId="6165" priority="2949" stopIfTrue="1" operator="equal">
      <formula>"Towel"</formula>
    </cfRule>
    <cfRule type="cellIs" dxfId="6164" priority="2950" stopIfTrue="1" operator="equal">
      <formula>"Napkin Hs"</formula>
    </cfRule>
  </conditionalFormatting>
  <conditionalFormatting sqref="C84">
    <cfRule type="cellIs" dxfId="6163" priority="2951" stopIfTrue="1" operator="equal">
      <formula>"Towel"</formula>
    </cfRule>
    <cfRule type="cellIs" dxfId="6162" priority="2952" stopIfTrue="1" operator="equal">
      <formula>"Napkin Hs"</formula>
    </cfRule>
  </conditionalFormatting>
  <conditionalFormatting sqref="B83:C83">
    <cfRule type="cellIs" dxfId="6161" priority="2917" stopIfTrue="1" operator="equal">
      <formula>"Towel"</formula>
    </cfRule>
    <cfRule type="cellIs" dxfId="6160" priority="2918" stopIfTrue="1" operator="equal">
      <formula>"Napkin Hs"</formula>
    </cfRule>
  </conditionalFormatting>
  <conditionalFormatting sqref="C83">
    <cfRule type="cellIs" dxfId="6159" priority="2913" stopIfTrue="1" operator="equal">
      <formula>"Towel"</formula>
    </cfRule>
    <cfRule type="cellIs" dxfId="6158" priority="2914" stopIfTrue="1" operator="equal">
      <formula>"Napkin Hs"</formula>
    </cfRule>
  </conditionalFormatting>
  <conditionalFormatting sqref="B83:C83">
    <cfRule type="cellIs" dxfId="6157" priority="2911" stopIfTrue="1" operator="equal">
      <formula>"Towel"</formula>
    </cfRule>
    <cfRule type="cellIs" dxfId="6156" priority="2912" stopIfTrue="1" operator="equal">
      <formula>"Napkin Hs"</formula>
    </cfRule>
  </conditionalFormatting>
  <conditionalFormatting sqref="C83">
    <cfRule type="cellIs" dxfId="6155" priority="2910" stopIfTrue="1" operator="equal">
      <formula>"Napkin Hs"</formula>
    </cfRule>
  </conditionalFormatting>
  <conditionalFormatting sqref="C83">
    <cfRule type="cellIs" dxfId="6154" priority="2907" stopIfTrue="1" operator="equal">
      <formula>"Towel"</formula>
    </cfRule>
    <cfRule type="cellIs" dxfId="6153" priority="2908" stopIfTrue="1" operator="equal">
      <formula>"Napkin Hs"</formula>
    </cfRule>
  </conditionalFormatting>
  <conditionalFormatting sqref="C83">
    <cfRule type="cellIs" dxfId="6152" priority="2909" stopIfTrue="1" operator="equal">
      <formula>"Towel"</formula>
    </cfRule>
  </conditionalFormatting>
  <conditionalFormatting sqref="B83:C83">
    <cfRule type="cellIs" dxfId="6151" priority="2905" stopIfTrue="1" operator="equal">
      <formula>"Towel"</formula>
    </cfRule>
    <cfRule type="cellIs" dxfId="6150" priority="2906" stopIfTrue="1" operator="equal">
      <formula>"Napkin Hs"</formula>
    </cfRule>
  </conditionalFormatting>
  <conditionalFormatting sqref="C83">
    <cfRule type="cellIs" dxfId="6149" priority="2904" stopIfTrue="1" operator="equal">
      <formula>"Napkin Hs"</formula>
    </cfRule>
  </conditionalFormatting>
  <conditionalFormatting sqref="C83">
    <cfRule type="cellIs" dxfId="6148" priority="2901" stopIfTrue="1" operator="equal">
      <formula>"Towel"</formula>
    </cfRule>
    <cfRule type="cellIs" dxfId="6147" priority="2902" stopIfTrue="1" operator="equal">
      <formula>"Napkin Hs"</formula>
    </cfRule>
  </conditionalFormatting>
  <conditionalFormatting sqref="C83">
    <cfRule type="cellIs" dxfId="6146" priority="2903" stopIfTrue="1" operator="equal">
      <formula>"Towel"</formula>
    </cfRule>
  </conditionalFormatting>
  <conditionalFormatting sqref="B83:C83">
    <cfRule type="cellIs" dxfId="6145" priority="2899" stopIfTrue="1" operator="equal">
      <formula>"Towel"</formula>
    </cfRule>
    <cfRule type="cellIs" dxfId="6144" priority="2900" stopIfTrue="1" operator="equal">
      <formula>"Napkin Hs"</formula>
    </cfRule>
  </conditionalFormatting>
  <conditionalFormatting sqref="C83">
    <cfRule type="cellIs" dxfId="6143" priority="2898" stopIfTrue="1" operator="equal">
      <formula>"Napkin Hs"</formula>
    </cfRule>
  </conditionalFormatting>
  <conditionalFormatting sqref="C83">
    <cfRule type="cellIs" dxfId="6142" priority="2895" stopIfTrue="1" operator="equal">
      <formula>"Towel"</formula>
    </cfRule>
    <cfRule type="cellIs" dxfId="6141" priority="2896" stopIfTrue="1" operator="equal">
      <formula>"Napkin Hs"</formula>
    </cfRule>
  </conditionalFormatting>
  <conditionalFormatting sqref="C83">
    <cfRule type="cellIs" dxfId="6140" priority="2897" stopIfTrue="1" operator="equal">
      <formula>"Towel"</formula>
    </cfRule>
  </conditionalFormatting>
  <conditionalFormatting sqref="B83:C83">
    <cfRule type="cellIs" dxfId="6139" priority="2947" stopIfTrue="1" operator="equal">
      <formula>"Towel"</formula>
    </cfRule>
    <cfRule type="cellIs" dxfId="6138" priority="2948" stopIfTrue="1" operator="equal">
      <formula>"Napkin Hs"</formula>
    </cfRule>
  </conditionalFormatting>
  <conditionalFormatting sqref="C83">
    <cfRule type="cellIs" dxfId="6137" priority="2946" stopIfTrue="1" operator="equal">
      <formula>"Napkin Hs"</formula>
    </cfRule>
  </conditionalFormatting>
  <conditionalFormatting sqref="C83">
    <cfRule type="cellIs" dxfId="6136" priority="2943" stopIfTrue="1" operator="equal">
      <formula>"Towel"</formula>
    </cfRule>
    <cfRule type="cellIs" dxfId="6135" priority="2944" stopIfTrue="1" operator="equal">
      <formula>"Napkin Hs"</formula>
    </cfRule>
  </conditionalFormatting>
  <conditionalFormatting sqref="C83">
    <cfRule type="cellIs" dxfId="6134" priority="2945" stopIfTrue="1" operator="equal">
      <formula>"Towel"</formula>
    </cfRule>
  </conditionalFormatting>
  <conditionalFormatting sqref="B83:C83">
    <cfRule type="cellIs" dxfId="6133" priority="2941" stopIfTrue="1" operator="equal">
      <formula>"Towel"</formula>
    </cfRule>
    <cfRule type="cellIs" dxfId="6132" priority="2942" stopIfTrue="1" operator="equal">
      <formula>"Napkin Hs"</formula>
    </cfRule>
  </conditionalFormatting>
  <conditionalFormatting sqref="C83">
    <cfRule type="cellIs" dxfId="6131" priority="2940" stopIfTrue="1" operator="equal">
      <formula>"Napkin Hs"</formula>
    </cfRule>
  </conditionalFormatting>
  <conditionalFormatting sqref="C83">
    <cfRule type="cellIs" dxfId="6130" priority="2937" stopIfTrue="1" operator="equal">
      <formula>"Towel"</formula>
    </cfRule>
    <cfRule type="cellIs" dxfId="6129" priority="2938" stopIfTrue="1" operator="equal">
      <formula>"Napkin Hs"</formula>
    </cfRule>
  </conditionalFormatting>
  <conditionalFormatting sqref="C83">
    <cfRule type="cellIs" dxfId="6128" priority="2939" stopIfTrue="1" operator="equal">
      <formula>"Towel"</formula>
    </cfRule>
  </conditionalFormatting>
  <conditionalFormatting sqref="B83:C83">
    <cfRule type="cellIs" dxfId="6127" priority="2935" stopIfTrue="1" operator="equal">
      <formula>"Towel"</formula>
    </cfRule>
    <cfRule type="cellIs" dxfId="6126" priority="2936" stopIfTrue="1" operator="equal">
      <formula>"Napkin Hs"</formula>
    </cfRule>
  </conditionalFormatting>
  <conditionalFormatting sqref="C83">
    <cfRule type="cellIs" dxfId="6125" priority="2934" stopIfTrue="1" operator="equal">
      <formula>"Napkin Hs"</formula>
    </cfRule>
  </conditionalFormatting>
  <conditionalFormatting sqref="C83">
    <cfRule type="cellIs" dxfId="6124" priority="2931" stopIfTrue="1" operator="equal">
      <formula>"Towel"</formula>
    </cfRule>
    <cfRule type="cellIs" dxfId="6123" priority="2932" stopIfTrue="1" operator="equal">
      <formula>"Napkin Hs"</formula>
    </cfRule>
  </conditionalFormatting>
  <conditionalFormatting sqref="C83">
    <cfRule type="cellIs" dxfId="6122" priority="2933" stopIfTrue="1" operator="equal">
      <formula>"Towel"</formula>
    </cfRule>
  </conditionalFormatting>
  <conditionalFormatting sqref="B83:C83">
    <cfRule type="cellIs" dxfId="6121" priority="2929" stopIfTrue="1" operator="equal">
      <formula>"Towel"</formula>
    </cfRule>
    <cfRule type="cellIs" dxfId="6120" priority="2930" stopIfTrue="1" operator="equal">
      <formula>"Napkin Hs"</formula>
    </cfRule>
  </conditionalFormatting>
  <conditionalFormatting sqref="C83">
    <cfRule type="cellIs" dxfId="6119" priority="2928" stopIfTrue="1" operator="equal">
      <formula>"Napkin Hs"</formula>
    </cfRule>
  </conditionalFormatting>
  <conditionalFormatting sqref="C83">
    <cfRule type="cellIs" dxfId="6118" priority="2925" stopIfTrue="1" operator="equal">
      <formula>"Towel"</formula>
    </cfRule>
    <cfRule type="cellIs" dxfId="6117" priority="2926" stopIfTrue="1" operator="equal">
      <formula>"Napkin Hs"</formula>
    </cfRule>
  </conditionalFormatting>
  <conditionalFormatting sqref="C83">
    <cfRule type="cellIs" dxfId="6116" priority="2927" stopIfTrue="1" operator="equal">
      <formula>"Towel"</formula>
    </cfRule>
  </conditionalFormatting>
  <conditionalFormatting sqref="B83:C83">
    <cfRule type="cellIs" dxfId="6115" priority="2923" stopIfTrue="1" operator="equal">
      <formula>"Towel"</formula>
    </cfRule>
    <cfRule type="cellIs" dxfId="6114" priority="2924" stopIfTrue="1" operator="equal">
      <formula>"Napkin Hs"</formula>
    </cfRule>
  </conditionalFormatting>
  <conditionalFormatting sqref="C83">
    <cfRule type="cellIs" dxfId="6113" priority="2921" stopIfTrue="1" operator="equal">
      <formula>"Towel"</formula>
    </cfRule>
    <cfRule type="cellIs" dxfId="6112" priority="2922" stopIfTrue="1" operator="equal">
      <formula>"Napkin Hs"</formula>
    </cfRule>
  </conditionalFormatting>
  <conditionalFormatting sqref="C83">
    <cfRule type="cellIs" dxfId="6111" priority="2919" stopIfTrue="1" operator="equal">
      <formula>"Towel"</formula>
    </cfRule>
    <cfRule type="cellIs" dxfId="6110" priority="2920" stopIfTrue="1" operator="equal">
      <formula>"Napkin Hs"</formula>
    </cfRule>
  </conditionalFormatting>
  <conditionalFormatting sqref="C83">
    <cfRule type="cellIs" dxfId="6109" priority="2915" stopIfTrue="1" operator="equal">
      <formula>"Towel"</formula>
    </cfRule>
    <cfRule type="cellIs" dxfId="6108" priority="2916" stopIfTrue="1" operator="equal">
      <formula>"Napkin Hs"</formula>
    </cfRule>
  </conditionalFormatting>
  <conditionalFormatting sqref="B82:C82">
    <cfRule type="cellIs" dxfId="6107" priority="2893" stopIfTrue="1" operator="equal">
      <formula>"Towel"</formula>
    </cfRule>
    <cfRule type="cellIs" dxfId="6106" priority="2894" stopIfTrue="1" operator="equal">
      <formula>"Napkin Hs"</formula>
    </cfRule>
  </conditionalFormatting>
  <conditionalFormatting sqref="C82">
    <cfRule type="cellIs" dxfId="6105" priority="2892" stopIfTrue="1" operator="equal">
      <formula>"Napkin Hs"</formula>
    </cfRule>
  </conditionalFormatting>
  <conditionalFormatting sqref="C82">
    <cfRule type="cellIs" dxfId="6104" priority="2889" stopIfTrue="1" operator="equal">
      <formula>"Towel"</formula>
    </cfRule>
    <cfRule type="cellIs" dxfId="6103" priority="2890" stopIfTrue="1" operator="equal">
      <formula>"Napkin Hs"</formula>
    </cfRule>
  </conditionalFormatting>
  <conditionalFormatting sqref="C82">
    <cfRule type="cellIs" dxfId="6102" priority="2891" stopIfTrue="1" operator="equal">
      <formula>"Towel"</formula>
    </cfRule>
  </conditionalFormatting>
  <conditionalFormatting sqref="B82:C82">
    <cfRule type="cellIs" dxfId="6101" priority="2887" stopIfTrue="1" operator="equal">
      <formula>"Towel"</formula>
    </cfRule>
    <cfRule type="cellIs" dxfId="6100" priority="2888" stopIfTrue="1" operator="equal">
      <formula>"Napkin Hs"</formula>
    </cfRule>
  </conditionalFormatting>
  <conditionalFormatting sqref="C82">
    <cfRule type="cellIs" dxfId="6099" priority="2886" stopIfTrue="1" operator="equal">
      <formula>"Napkin Hs"</formula>
    </cfRule>
  </conditionalFormatting>
  <conditionalFormatting sqref="C82">
    <cfRule type="cellIs" dxfId="6098" priority="2883" stopIfTrue="1" operator="equal">
      <formula>"Towel"</formula>
    </cfRule>
    <cfRule type="cellIs" dxfId="6097" priority="2884" stopIfTrue="1" operator="equal">
      <formula>"Napkin Hs"</formula>
    </cfRule>
  </conditionalFormatting>
  <conditionalFormatting sqref="C82">
    <cfRule type="cellIs" dxfId="6096" priority="2885" stopIfTrue="1" operator="equal">
      <formula>"Towel"</formula>
    </cfRule>
  </conditionalFormatting>
  <conditionalFormatting sqref="B82:C82">
    <cfRule type="cellIs" dxfId="6095" priority="2881" stopIfTrue="1" operator="equal">
      <formula>"Towel"</formula>
    </cfRule>
    <cfRule type="cellIs" dxfId="6094" priority="2882" stopIfTrue="1" operator="equal">
      <formula>"Napkin Hs"</formula>
    </cfRule>
  </conditionalFormatting>
  <conditionalFormatting sqref="C82">
    <cfRule type="cellIs" dxfId="6093" priority="2880" stopIfTrue="1" operator="equal">
      <formula>"Napkin Hs"</formula>
    </cfRule>
  </conditionalFormatting>
  <conditionalFormatting sqref="C82">
    <cfRule type="cellIs" dxfId="6092" priority="2877" stopIfTrue="1" operator="equal">
      <formula>"Towel"</formula>
    </cfRule>
    <cfRule type="cellIs" dxfId="6091" priority="2878" stopIfTrue="1" operator="equal">
      <formula>"Napkin Hs"</formula>
    </cfRule>
  </conditionalFormatting>
  <conditionalFormatting sqref="C82">
    <cfRule type="cellIs" dxfId="6090" priority="2879" stopIfTrue="1" operator="equal">
      <formula>"Towel"</formula>
    </cfRule>
  </conditionalFormatting>
  <conditionalFormatting sqref="B82:C82">
    <cfRule type="cellIs" dxfId="6089" priority="2875" stopIfTrue="1" operator="equal">
      <formula>"Towel"</formula>
    </cfRule>
    <cfRule type="cellIs" dxfId="6088" priority="2876" stopIfTrue="1" operator="equal">
      <formula>"Napkin Hs"</formula>
    </cfRule>
  </conditionalFormatting>
  <conditionalFormatting sqref="C82">
    <cfRule type="cellIs" dxfId="6087" priority="2874" stopIfTrue="1" operator="equal">
      <formula>"Napkin Hs"</formula>
    </cfRule>
  </conditionalFormatting>
  <conditionalFormatting sqref="C82">
    <cfRule type="cellIs" dxfId="6086" priority="2871" stopIfTrue="1" operator="equal">
      <formula>"Towel"</formula>
    </cfRule>
    <cfRule type="cellIs" dxfId="6085" priority="2872" stopIfTrue="1" operator="equal">
      <formula>"Napkin Hs"</formula>
    </cfRule>
  </conditionalFormatting>
  <conditionalFormatting sqref="C82">
    <cfRule type="cellIs" dxfId="6084" priority="2873" stopIfTrue="1" operator="equal">
      <formula>"Towel"</formula>
    </cfRule>
  </conditionalFormatting>
  <conditionalFormatting sqref="B82:C82">
    <cfRule type="cellIs" dxfId="6083" priority="2869" stopIfTrue="1" operator="equal">
      <formula>"Towel"</formula>
    </cfRule>
    <cfRule type="cellIs" dxfId="6082" priority="2870" stopIfTrue="1" operator="equal">
      <formula>"Napkin Hs"</formula>
    </cfRule>
  </conditionalFormatting>
  <conditionalFormatting sqref="C82">
    <cfRule type="cellIs" dxfId="6081" priority="2868" stopIfTrue="1" operator="equal">
      <formula>"Napkin Hs"</formula>
    </cfRule>
  </conditionalFormatting>
  <conditionalFormatting sqref="C82">
    <cfRule type="cellIs" dxfId="6080" priority="2865" stopIfTrue="1" operator="equal">
      <formula>"Towel"</formula>
    </cfRule>
    <cfRule type="cellIs" dxfId="6079" priority="2866" stopIfTrue="1" operator="equal">
      <formula>"Napkin Hs"</formula>
    </cfRule>
  </conditionalFormatting>
  <conditionalFormatting sqref="C82">
    <cfRule type="cellIs" dxfId="6078" priority="2867" stopIfTrue="1" operator="equal">
      <formula>"Towel"</formula>
    </cfRule>
  </conditionalFormatting>
  <conditionalFormatting sqref="B81:C81">
    <cfRule type="cellIs" dxfId="6077" priority="2863" stopIfTrue="1" operator="equal">
      <formula>"Towel"</formula>
    </cfRule>
    <cfRule type="cellIs" dxfId="6076" priority="2864" stopIfTrue="1" operator="equal">
      <formula>"Napkin Hs"</formula>
    </cfRule>
  </conditionalFormatting>
  <conditionalFormatting sqref="C81">
    <cfRule type="cellIs" dxfId="6075" priority="2862" stopIfTrue="1" operator="equal">
      <formula>"Napkin Hs"</formula>
    </cfRule>
  </conditionalFormatting>
  <conditionalFormatting sqref="C81">
    <cfRule type="cellIs" dxfId="6074" priority="2859" stopIfTrue="1" operator="equal">
      <formula>"Towel"</formula>
    </cfRule>
    <cfRule type="cellIs" dxfId="6073" priority="2860" stopIfTrue="1" operator="equal">
      <formula>"Napkin Hs"</formula>
    </cfRule>
  </conditionalFormatting>
  <conditionalFormatting sqref="C81">
    <cfRule type="cellIs" dxfId="6072" priority="2861" stopIfTrue="1" operator="equal">
      <formula>"Towel"</formula>
    </cfRule>
  </conditionalFormatting>
  <conditionalFormatting sqref="B81:C81">
    <cfRule type="cellIs" dxfId="6071" priority="2857" stopIfTrue="1" operator="equal">
      <formula>"Towel"</formula>
    </cfRule>
    <cfRule type="cellIs" dxfId="6070" priority="2858" stopIfTrue="1" operator="equal">
      <formula>"Napkin Hs"</formula>
    </cfRule>
  </conditionalFormatting>
  <conditionalFormatting sqref="C81">
    <cfRule type="cellIs" dxfId="6069" priority="2856" stopIfTrue="1" operator="equal">
      <formula>"Napkin Hs"</formula>
    </cfRule>
  </conditionalFormatting>
  <conditionalFormatting sqref="C81">
    <cfRule type="cellIs" dxfId="6068" priority="2853" stopIfTrue="1" operator="equal">
      <formula>"Towel"</formula>
    </cfRule>
    <cfRule type="cellIs" dxfId="6067" priority="2854" stopIfTrue="1" operator="equal">
      <formula>"Napkin Hs"</formula>
    </cfRule>
  </conditionalFormatting>
  <conditionalFormatting sqref="C81">
    <cfRule type="cellIs" dxfId="6066" priority="2855" stopIfTrue="1" operator="equal">
      <formula>"Towel"</formula>
    </cfRule>
  </conditionalFormatting>
  <conditionalFormatting sqref="B81:C81">
    <cfRule type="cellIs" dxfId="6065" priority="2851" stopIfTrue="1" operator="equal">
      <formula>"Towel"</formula>
    </cfRule>
    <cfRule type="cellIs" dxfId="6064" priority="2852" stopIfTrue="1" operator="equal">
      <formula>"Napkin Hs"</formula>
    </cfRule>
  </conditionalFormatting>
  <conditionalFormatting sqref="C81">
    <cfRule type="cellIs" dxfId="6063" priority="2850" stopIfTrue="1" operator="equal">
      <formula>"Napkin Hs"</formula>
    </cfRule>
  </conditionalFormatting>
  <conditionalFormatting sqref="C81">
    <cfRule type="cellIs" dxfId="6062" priority="2847" stopIfTrue="1" operator="equal">
      <formula>"Towel"</formula>
    </cfRule>
    <cfRule type="cellIs" dxfId="6061" priority="2848" stopIfTrue="1" operator="equal">
      <formula>"Napkin Hs"</formula>
    </cfRule>
  </conditionalFormatting>
  <conditionalFormatting sqref="C81">
    <cfRule type="cellIs" dxfId="6060" priority="2849" stopIfTrue="1" operator="equal">
      <formula>"Towel"</formula>
    </cfRule>
  </conditionalFormatting>
  <conditionalFormatting sqref="B81:C81">
    <cfRule type="cellIs" dxfId="6059" priority="2845" stopIfTrue="1" operator="equal">
      <formula>"Towel"</formula>
    </cfRule>
    <cfRule type="cellIs" dxfId="6058" priority="2846" stopIfTrue="1" operator="equal">
      <formula>"Napkin Hs"</formula>
    </cfRule>
  </conditionalFormatting>
  <conditionalFormatting sqref="C81">
    <cfRule type="cellIs" dxfId="6057" priority="2844" stopIfTrue="1" operator="equal">
      <formula>"Napkin Hs"</formula>
    </cfRule>
  </conditionalFormatting>
  <conditionalFormatting sqref="C81">
    <cfRule type="cellIs" dxfId="6056" priority="2841" stopIfTrue="1" operator="equal">
      <formula>"Towel"</formula>
    </cfRule>
    <cfRule type="cellIs" dxfId="6055" priority="2842" stopIfTrue="1" operator="equal">
      <formula>"Napkin Hs"</formula>
    </cfRule>
  </conditionalFormatting>
  <conditionalFormatting sqref="C81">
    <cfRule type="cellIs" dxfId="6054" priority="2843" stopIfTrue="1" operator="equal">
      <formula>"Towel"</formula>
    </cfRule>
  </conditionalFormatting>
  <conditionalFormatting sqref="B81:C81">
    <cfRule type="cellIs" dxfId="6053" priority="2839" stopIfTrue="1" operator="equal">
      <formula>"Towel"</formula>
    </cfRule>
    <cfRule type="cellIs" dxfId="6052" priority="2840" stopIfTrue="1" operator="equal">
      <formula>"Napkin Hs"</formula>
    </cfRule>
  </conditionalFormatting>
  <conditionalFormatting sqref="C81">
    <cfRule type="cellIs" dxfId="6051" priority="2838" stopIfTrue="1" operator="equal">
      <formula>"Napkin Hs"</formula>
    </cfRule>
  </conditionalFormatting>
  <conditionalFormatting sqref="C81">
    <cfRule type="cellIs" dxfId="6050" priority="2835" stopIfTrue="1" operator="equal">
      <formula>"Towel"</formula>
    </cfRule>
    <cfRule type="cellIs" dxfId="6049" priority="2836" stopIfTrue="1" operator="equal">
      <formula>"Napkin Hs"</formula>
    </cfRule>
  </conditionalFormatting>
  <conditionalFormatting sqref="C81">
    <cfRule type="cellIs" dxfId="6048" priority="2837" stopIfTrue="1" operator="equal">
      <formula>"Towel"</formula>
    </cfRule>
  </conditionalFormatting>
  <conditionalFormatting sqref="B88:C88">
    <cfRule type="cellIs" dxfId="6047" priority="2833" stopIfTrue="1" operator="equal">
      <formula>"Towel"</formula>
    </cfRule>
    <cfRule type="cellIs" dxfId="6046" priority="2834" stopIfTrue="1" operator="equal">
      <formula>"Napkin Hs"</formula>
    </cfRule>
  </conditionalFormatting>
  <conditionalFormatting sqref="C88">
    <cfRule type="cellIs" dxfId="6045" priority="2829" stopIfTrue="1" operator="equal">
      <formula>"Towel"</formula>
    </cfRule>
    <cfRule type="cellIs" dxfId="6044" priority="2830" stopIfTrue="1" operator="equal">
      <formula>"Napkin Hs"</formula>
    </cfRule>
  </conditionalFormatting>
  <conditionalFormatting sqref="C88">
    <cfRule type="cellIs" dxfId="6043" priority="2831" stopIfTrue="1" operator="equal">
      <formula>"Towel"</formula>
    </cfRule>
    <cfRule type="cellIs" dxfId="6042" priority="2832" stopIfTrue="1" operator="equal">
      <formula>"Napkin Hs"</formula>
    </cfRule>
  </conditionalFormatting>
  <conditionalFormatting sqref="B87:C87">
    <cfRule type="cellIs" dxfId="6041" priority="2797" stopIfTrue="1" operator="equal">
      <formula>"Towel"</formula>
    </cfRule>
    <cfRule type="cellIs" dxfId="6040" priority="2798" stopIfTrue="1" operator="equal">
      <formula>"Napkin Hs"</formula>
    </cfRule>
  </conditionalFormatting>
  <conditionalFormatting sqref="C87">
    <cfRule type="cellIs" dxfId="6039" priority="2793" stopIfTrue="1" operator="equal">
      <formula>"Towel"</formula>
    </cfRule>
    <cfRule type="cellIs" dxfId="6038" priority="2794" stopIfTrue="1" operator="equal">
      <formula>"Napkin Hs"</formula>
    </cfRule>
  </conditionalFormatting>
  <conditionalFormatting sqref="B87:C87">
    <cfRule type="cellIs" dxfId="6037" priority="2791" stopIfTrue="1" operator="equal">
      <formula>"Towel"</formula>
    </cfRule>
    <cfRule type="cellIs" dxfId="6036" priority="2792" stopIfTrue="1" operator="equal">
      <formula>"Napkin Hs"</formula>
    </cfRule>
  </conditionalFormatting>
  <conditionalFormatting sqref="C87">
    <cfRule type="cellIs" dxfId="6035" priority="2790" stopIfTrue="1" operator="equal">
      <formula>"Napkin Hs"</formula>
    </cfRule>
  </conditionalFormatting>
  <conditionalFormatting sqref="C87">
    <cfRule type="cellIs" dxfId="6034" priority="2787" stopIfTrue="1" operator="equal">
      <formula>"Towel"</formula>
    </cfRule>
    <cfRule type="cellIs" dxfId="6033" priority="2788" stopIfTrue="1" operator="equal">
      <formula>"Napkin Hs"</formula>
    </cfRule>
  </conditionalFormatting>
  <conditionalFormatting sqref="C87">
    <cfRule type="cellIs" dxfId="6032" priority="2789" stopIfTrue="1" operator="equal">
      <formula>"Towel"</formula>
    </cfRule>
  </conditionalFormatting>
  <conditionalFormatting sqref="B87:C87">
    <cfRule type="cellIs" dxfId="6031" priority="2785" stopIfTrue="1" operator="equal">
      <formula>"Towel"</formula>
    </cfRule>
    <cfRule type="cellIs" dxfId="6030" priority="2786" stopIfTrue="1" operator="equal">
      <formula>"Napkin Hs"</formula>
    </cfRule>
  </conditionalFormatting>
  <conditionalFormatting sqref="C87">
    <cfRule type="cellIs" dxfId="6029" priority="2784" stopIfTrue="1" operator="equal">
      <formula>"Napkin Hs"</formula>
    </cfRule>
  </conditionalFormatting>
  <conditionalFormatting sqref="C87">
    <cfRule type="cellIs" dxfId="6028" priority="2781" stopIfTrue="1" operator="equal">
      <formula>"Towel"</formula>
    </cfRule>
    <cfRule type="cellIs" dxfId="6027" priority="2782" stopIfTrue="1" operator="equal">
      <formula>"Napkin Hs"</formula>
    </cfRule>
  </conditionalFormatting>
  <conditionalFormatting sqref="C87">
    <cfRule type="cellIs" dxfId="6026" priority="2783" stopIfTrue="1" operator="equal">
      <formula>"Towel"</formula>
    </cfRule>
  </conditionalFormatting>
  <conditionalFormatting sqref="B87:C87">
    <cfRule type="cellIs" dxfId="6025" priority="2779" stopIfTrue="1" operator="equal">
      <formula>"Towel"</formula>
    </cfRule>
    <cfRule type="cellIs" dxfId="6024" priority="2780" stopIfTrue="1" operator="equal">
      <formula>"Napkin Hs"</formula>
    </cfRule>
  </conditionalFormatting>
  <conditionalFormatting sqref="C87">
    <cfRule type="cellIs" dxfId="6023" priority="2778" stopIfTrue="1" operator="equal">
      <formula>"Napkin Hs"</formula>
    </cfRule>
  </conditionalFormatting>
  <conditionalFormatting sqref="C87">
    <cfRule type="cellIs" dxfId="6022" priority="2775" stopIfTrue="1" operator="equal">
      <formula>"Towel"</formula>
    </cfRule>
    <cfRule type="cellIs" dxfId="6021" priority="2776" stopIfTrue="1" operator="equal">
      <formula>"Napkin Hs"</formula>
    </cfRule>
  </conditionalFormatting>
  <conditionalFormatting sqref="C87">
    <cfRule type="cellIs" dxfId="6020" priority="2777" stopIfTrue="1" operator="equal">
      <formula>"Towel"</formula>
    </cfRule>
  </conditionalFormatting>
  <conditionalFormatting sqref="B87:C87">
    <cfRule type="cellIs" dxfId="6019" priority="2827" stopIfTrue="1" operator="equal">
      <formula>"Towel"</formula>
    </cfRule>
    <cfRule type="cellIs" dxfId="6018" priority="2828" stopIfTrue="1" operator="equal">
      <formula>"Napkin Hs"</formula>
    </cfRule>
  </conditionalFormatting>
  <conditionalFormatting sqref="C87">
    <cfRule type="cellIs" dxfId="6017" priority="2826" stopIfTrue="1" operator="equal">
      <formula>"Napkin Hs"</formula>
    </cfRule>
  </conditionalFormatting>
  <conditionalFormatting sqref="C87">
    <cfRule type="cellIs" dxfId="6016" priority="2823" stopIfTrue="1" operator="equal">
      <formula>"Towel"</formula>
    </cfRule>
    <cfRule type="cellIs" dxfId="6015" priority="2824" stopIfTrue="1" operator="equal">
      <formula>"Napkin Hs"</formula>
    </cfRule>
  </conditionalFormatting>
  <conditionalFormatting sqref="C87">
    <cfRule type="cellIs" dxfId="6014" priority="2825" stopIfTrue="1" operator="equal">
      <formula>"Towel"</formula>
    </cfRule>
  </conditionalFormatting>
  <conditionalFormatting sqref="B87:C87">
    <cfRule type="cellIs" dxfId="6013" priority="2821" stopIfTrue="1" operator="equal">
      <formula>"Towel"</formula>
    </cfRule>
    <cfRule type="cellIs" dxfId="6012" priority="2822" stopIfTrue="1" operator="equal">
      <formula>"Napkin Hs"</formula>
    </cfRule>
  </conditionalFormatting>
  <conditionalFormatting sqref="C87">
    <cfRule type="cellIs" dxfId="6011" priority="2820" stopIfTrue="1" operator="equal">
      <formula>"Napkin Hs"</formula>
    </cfRule>
  </conditionalFormatting>
  <conditionalFormatting sqref="C87">
    <cfRule type="cellIs" dxfId="6010" priority="2817" stopIfTrue="1" operator="equal">
      <formula>"Towel"</formula>
    </cfRule>
    <cfRule type="cellIs" dxfId="6009" priority="2818" stopIfTrue="1" operator="equal">
      <formula>"Napkin Hs"</formula>
    </cfRule>
  </conditionalFormatting>
  <conditionalFormatting sqref="C87">
    <cfRule type="cellIs" dxfId="6008" priority="2819" stopIfTrue="1" operator="equal">
      <formula>"Towel"</formula>
    </cfRule>
  </conditionalFormatting>
  <conditionalFormatting sqref="B87:C87">
    <cfRule type="cellIs" dxfId="6007" priority="2815" stopIfTrue="1" operator="equal">
      <formula>"Towel"</formula>
    </cfRule>
    <cfRule type="cellIs" dxfId="6006" priority="2816" stopIfTrue="1" operator="equal">
      <formula>"Napkin Hs"</formula>
    </cfRule>
  </conditionalFormatting>
  <conditionalFormatting sqref="C87">
    <cfRule type="cellIs" dxfId="6005" priority="2814" stopIfTrue="1" operator="equal">
      <formula>"Napkin Hs"</formula>
    </cfRule>
  </conditionalFormatting>
  <conditionalFormatting sqref="C87">
    <cfRule type="cellIs" dxfId="6004" priority="2811" stopIfTrue="1" operator="equal">
      <formula>"Towel"</formula>
    </cfRule>
    <cfRule type="cellIs" dxfId="6003" priority="2812" stopIfTrue="1" operator="equal">
      <formula>"Napkin Hs"</formula>
    </cfRule>
  </conditionalFormatting>
  <conditionalFormatting sqref="C87">
    <cfRule type="cellIs" dxfId="6002" priority="2813" stopIfTrue="1" operator="equal">
      <formula>"Towel"</formula>
    </cfRule>
  </conditionalFormatting>
  <conditionalFormatting sqref="B87:C87">
    <cfRule type="cellIs" dxfId="6001" priority="2809" stopIfTrue="1" operator="equal">
      <formula>"Towel"</formula>
    </cfRule>
    <cfRule type="cellIs" dxfId="6000" priority="2810" stopIfTrue="1" operator="equal">
      <formula>"Napkin Hs"</formula>
    </cfRule>
  </conditionalFormatting>
  <conditionalFormatting sqref="C87">
    <cfRule type="cellIs" dxfId="5999" priority="2808" stopIfTrue="1" operator="equal">
      <formula>"Napkin Hs"</formula>
    </cfRule>
  </conditionalFormatting>
  <conditionalFormatting sqref="C87">
    <cfRule type="cellIs" dxfId="5998" priority="2805" stopIfTrue="1" operator="equal">
      <formula>"Towel"</formula>
    </cfRule>
    <cfRule type="cellIs" dxfId="5997" priority="2806" stopIfTrue="1" operator="equal">
      <formula>"Napkin Hs"</formula>
    </cfRule>
  </conditionalFormatting>
  <conditionalFormatting sqref="C87">
    <cfRule type="cellIs" dxfId="5996" priority="2807" stopIfTrue="1" operator="equal">
      <formula>"Towel"</formula>
    </cfRule>
  </conditionalFormatting>
  <conditionalFormatting sqref="B87:C87">
    <cfRule type="cellIs" dxfId="5995" priority="2803" stopIfTrue="1" operator="equal">
      <formula>"Towel"</formula>
    </cfRule>
    <cfRule type="cellIs" dxfId="5994" priority="2804" stopIfTrue="1" operator="equal">
      <formula>"Napkin Hs"</formula>
    </cfRule>
  </conditionalFormatting>
  <conditionalFormatting sqref="C87">
    <cfRule type="cellIs" dxfId="5993" priority="2801" stopIfTrue="1" operator="equal">
      <formula>"Towel"</formula>
    </cfRule>
    <cfRule type="cellIs" dxfId="5992" priority="2802" stopIfTrue="1" operator="equal">
      <formula>"Napkin Hs"</formula>
    </cfRule>
  </conditionalFormatting>
  <conditionalFormatting sqref="C87">
    <cfRule type="cellIs" dxfId="5991" priority="2799" stopIfTrue="1" operator="equal">
      <formula>"Towel"</formula>
    </cfRule>
    <cfRule type="cellIs" dxfId="5990" priority="2800" stopIfTrue="1" operator="equal">
      <formula>"Napkin Hs"</formula>
    </cfRule>
  </conditionalFormatting>
  <conditionalFormatting sqref="C87">
    <cfRule type="cellIs" dxfId="5989" priority="2795" stopIfTrue="1" operator="equal">
      <formula>"Towel"</formula>
    </cfRule>
    <cfRule type="cellIs" dxfId="5988" priority="2796" stopIfTrue="1" operator="equal">
      <formula>"Napkin Hs"</formula>
    </cfRule>
  </conditionalFormatting>
  <conditionalFormatting sqref="B86:C86">
    <cfRule type="cellIs" dxfId="5987" priority="2773" stopIfTrue="1" operator="equal">
      <formula>"Towel"</formula>
    </cfRule>
    <cfRule type="cellIs" dxfId="5986" priority="2774" stopIfTrue="1" operator="equal">
      <formula>"Napkin Hs"</formula>
    </cfRule>
  </conditionalFormatting>
  <conditionalFormatting sqref="C86">
    <cfRule type="cellIs" dxfId="5985" priority="2772" stopIfTrue="1" operator="equal">
      <formula>"Napkin Hs"</formula>
    </cfRule>
  </conditionalFormatting>
  <conditionalFormatting sqref="C86">
    <cfRule type="cellIs" dxfId="5984" priority="2769" stopIfTrue="1" operator="equal">
      <formula>"Towel"</formula>
    </cfRule>
    <cfRule type="cellIs" dxfId="5983" priority="2770" stopIfTrue="1" operator="equal">
      <formula>"Napkin Hs"</formula>
    </cfRule>
  </conditionalFormatting>
  <conditionalFormatting sqref="C86">
    <cfRule type="cellIs" dxfId="5982" priority="2771" stopIfTrue="1" operator="equal">
      <formula>"Towel"</formula>
    </cfRule>
  </conditionalFormatting>
  <conditionalFormatting sqref="B86:C86">
    <cfRule type="cellIs" dxfId="5981" priority="2767" stopIfTrue="1" operator="equal">
      <formula>"Towel"</formula>
    </cfRule>
    <cfRule type="cellIs" dxfId="5980" priority="2768" stopIfTrue="1" operator="equal">
      <formula>"Napkin Hs"</formula>
    </cfRule>
  </conditionalFormatting>
  <conditionalFormatting sqref="C86">
    <cfRule type="cellIs" dxfId="5979" priority="2766" stopIfTrue="1" operator="equal">
      <formula>"Napkin Hs"</formula>
    </cfRule>
  </conditionalFormatting>
  <conditionalFormatting sqref="C86">
    <cfRule type="cellIs" dxfId="5978" priority="2763" stopIfTrue="1" operator="equal">
      <formula>"Towel"</formula>
    </cfRule>
    <cfRule type="cellIs" dxfId="5977" priority="2764" stopIfTrue="1" operator="equal">
      <formula>"Napkin Hs"</formula>
    </cfRule>
  </conditionalFormatting>
  <conditionalFormatting sqref="C86">
    <cfRule type="cellIs" dxfId="5976" priority="2765" stopIfTrue="1" operator="equal">
      <formula>"Towel"</formula>
    </cfRule>
  </conditionalFormatting>
  <conditionalFormatting sqref="B86:C86">
    <cfRule type="cellIs" dxfId="5975" priority="2761" stopIfTrue="1" operator="equal">
      <formula>"Towel"</formula>
    </cfRule>
    <cfRule type="cellIs" dxfId="5974" priority="2762" stopIfTrue="1" operator="equal">
      <formula>"Napkin Hs"</formula>
    </cfRule>
  </conditionalFormatting>
  <conditionalFormatting sqref="C86">
    <cfRule type="cellIs" dxfId="5973" priority="2760" stopIfTrue="1" operator="equal">
      <formula>"Napkin Hs"</formula>
    </cfRule>
  </conditionalFormatting>
  <conditionalFormatting sqref="C86">
    <cfRule type="cellIs" dxfId="5972" priority="2757" stopIfTrue="1" operator="equal">
      <formula>"Towel"</formula>
    </cfRule>
    <cfRule type="cellIs" dxfId="5971" priority="2758" stopIfTrue="1" operator="equal">
      <formula>"Napkin Hs"</formula>
    </cfRule>
  </conditionalFormatting>
  <conditionalFormatting sqref="C86">
    <cfRule type="cellIs" dxfId="5970" priority="2759" stopIfTrue="1" operator="equal">
      <formula>"Towel"</formula>
    </cfRule>
  </conditionalFormatting>
  <conditionalFormatting sqref="B86:C86">
    <cfRule type="cellIs" dxfId="5969" priority="2755" stopIfTrue="1" operator="equal">
      <formula>"Towel"</formula>
    </cfRule>
    <cfRule type="cellIs" dxfId="5968" priority="2756" stopIfTrue="1" operator="equal">
      <formula>"Napkin Hs"</formula>
    </cfRule>
  </conditionalFormatting>
  <conditionalFormatting sqref="C86">
    <cfRule type="cellIs" dxfId="5967" priority="2754" stopIfTrue="1" operator="equal">
      <formula>"Napkin Hs"</formula>
    </cfRule>
  </conditionalFormatting>
  <conditionalFormatting sqref="C86">
    <cfRule type="cellIs" dxfId="5966" priority="2751" stopIfTrue="1" operator="equal">
      <formula>"Towel"</formula>
    </cfRule>
    <cfRule type="cellIs" dxfId="5965" priority="2752" stopIfTrue="1" operator="equal">
      <formula>"Napkin Hs"</formula>
    </cfRule>
  </conditionalFormatting>
  <conditionalFormatting sqref="C86">
    <cfRule type="cellIs" dxfId="5964" priority="2753" stopIfTrue="1" operator="equal">
      <formula>"Towel"</formula>
    </cfRule>
  </conditionalFormatting>
  <conditionalFormatting sqref="B86:C86">
    <cfRule type="cellIs" dxfId="5963" priority="2749" stopIfTrue="1" operator="equal">
      <formula>"Towel"</formula>
    </cfRule>
    <cfRule type="cellIs" dxfId="5962" priority="2750" stopIfTrue="1" operator="equal">
      <formula>"Napkin Hs"</formula>
    </cfRule>
  </conditionalFormatting>
  <conditionalFormatting sqref="C86">
    <cfRule type="cellIs" dxfId="5961" priority="2748" stopIfTrue="1" operator="equal">
      <formula>"Napkin Hs"</formula>
    </cfRule>
  </conditionalFormatting>
  <conditionalFormatting sqref="C86">
    <cfRule type="cellIs" dxfId="5960" priority="2745" stopIfTrue="1" operator="equal">
      <formula>"Towel"</formula>
    </cfRule>
    <cfRule type="cellIs" dxfId="5959" priority="2746" stopIfTrue="1" operator="equal">
      <formula>"Napkin Hs"</formula>
    </cfRule>
  </conditionalFormatting>
  <conditionalFormatting sqref="C86">
    <cfRule type="cellIs" dxfId="5958" priority="2747" stopIfTrue="1" operator="equal">
      <formula>"Towel"</formula>
    </cfRule>
  </conditionalFormatting>
  <conditionalFormatting sqref="B85:C85">
    <cfRule type="cellIs" dxfId="5957" priority="2743" stopIfTrue="1" operator="equal">
      <formula>"Towel"</formula>
    </cfRule>
    <cfRule type="cellIs" dxfId="5956" priority="2744" stopIfTrue="1" operator="equal">
      <formula>"Napkin Hs"</formula>
    </cfRule>
  </conditionalFormatting>
  <conditionalFormatting sqref="C85">
    <cfRule type="cellIs" dxfId="5955" priority="2742" stopIfTrue="1" operator="equal">
      <formula>"Napkin Hs"</formula>
    </cfRule>
  </conditionalFormatting>
  <conditionalFormatting sqref="C85">
    <cfRule type="cellIs" dxfId="5954" priority="2739" stopIfTrue="1" operator="equal">
      <formula>"Towel"</formula>
    </cfRule>
    <cfRule type="cellIs" dxfId="5953" priority="2740" stopIfTrue="1" operator="equal">
      <formula>"Napkin Hs"</formula>
    </cfRule>
  </conditionalFormatting>
  <conditionalFormatting sqref="C85">
    <cfRule type="cellIs" dxfId="5952" priority="2741" stopIfTrue="1" operator="equal">
      <formula>"Towel"</formula>
    </cfRule>
  </conditionalFormatting>
  <conditionalFormatting sqref="B85:C85">
    <cfRule type="cellIs" dxfId="5951" priority="2737" stopIfTrue="1" operator="equal">
      <formula>"Towel"</formula>
    </cfRule>
    <cfRule type="cellIs" dxfId="5950" priority="2738" stopIfTrue="1" operator="equal">
      <formula>"Napkin Hs"</formula>
    </cfRule>
  </conditionalFormatting>
  <conditionalFormatting sqref="C85">
    <cfRule type="cellIs" dxfId="5949" priority="2736" stopIfTrue="1" operator="equal">
      <formula>"Napkin Hs"</formula>
    </cfRule>
  </conditionalFormatting>
  <conditionalFormatting sqref="C85">
    <cfRule type="cellIs" dxfId="5948" priority="2733" stopIfTrue="1" operator="equal">
      <formula>"Towel"</formula>
    </cfRule>
    <cfRule type="cellIs" dxfId="5947" priority="2734" stopIfTrue="1" operator="equal">
      <formula>"Napkin Hs"</formula>
    </cfRule>
  </conditionalFormatting>
  <conditionalFormatting sqref="C85">
    <cfRule type="cellIs" dxfId="5946" priority="2735" stopIfTrue="1" operator="equal">
      <formula>"Towel"</formula>
    </cfRule>
  </conditionalFormatting>
  <conditionalFormatting sqref="B85:C85">
    <cfRule type="cellIs" dxfId="5945" priority="2731" stopIfTrue="1" operator="equal">
      <formula>"Towel"</formula>
    </cfRule>
    <cfRule type="cellIs" dxfId="5944" priority="2732" stopIfTrue="1" operator="equal">
      <formula>"Napkin Hs"</formula>
    </cfRule>
  </conditionalFormatting>
  <conditionalFormatting sqref="C85">
    <cfRule type="cellIs" dxfId="5943" priority="2730" stopIfTrue="1" operator="equal">
      <formula>"Napkin Hs"</formula>
    </cfRule>
  </conditionalFormatting>
  <conditionalFormatting sqref="C85">
    <cfRule type="cellIs" dxfId="5942" priority="2727" stopIfTrue="1" operator="equal">
      <formula>"Towel"</formula>
    </cfRule>
    <cfRule type="cellIs" dxfId="5941" priority="2728" stopIfTrue="1" operator="equal">
      <formula>"Napkin Hs"</formula>
    </cfRule>
  </conditionalFormatting>
  <conditionalFormatting sqref="C85">
    <cfRule type="cellIs" dxfId="5940" priority="2729" stopIfTrue="1" operator="equal">
      <formula>"Towel"</formula>
    </cfRule>
  </conditionalFormatting>
  <conditionalFormatting sqref="B85:C85">
    <cfRule type="cellIs" dxfId="5939" priority="2725" stopIfTrue="1" operator="equal">
      <formula>"Towel"</formula>
    </cfRule>
    <cfRule type="cellIs" dxfId="5938" priority="2726" stopIfTrue="1" operator="equal">
      <formula>"Napkin Hs"</formula>
    </cfRule>
  </conditionalFormatting>
  <conditionalFormatting sqref="C85">
    <cfRule type="cellIs" dxfId="5937" priority="2724" stopIfTrue="1" operator="equal">
      <formula>"Napkin Hs"</formula>
    </cfRule>
  </conditionalFormatting>
  <conditionalFormatting sqref="C85">
    <cfRule type="cellIs" dxfId="5936" priority="2721" stopIfTrue="1" operator="equal">
      <formula>"Towel"</formula>
    </cfRule>
    <cfRule type="cellIs" dxfId="5935" priority="2722" stopIfTrue="1" operator="equal">
      <formula>"Napkin Hs"</formula>
    </cfRule>
  </conditionalFormatting>
  <conditionalFormatting sqref="C85">
    <cfRule type="cellIs" dxfId="5934" priority="2723" stopIfTrue="1" operator="equal">
      <formula>"Towel"</formula>
    </cfRule>
  </conditionalFormatting>
  <conditionalFormatting sqref="B85:C85">
    <cfRule type="cellIs" dxfId="5933" priority="2719" stopIfTrue="1" operator="equal">
      <formula>"Towel"</formula>
    </cfRule>
    <cfRule type="cellIs" dxfId="5932" priority="2720" stopIfTrue="1" operator="equal">
      <formula>"Napkin Hs"</formula>
    </cfRule>
  </conditionalFormatting>
  <conditionalFormatting sqref="C85">
    <cfRule type="cellIs" dxfId="5931" priority="2718" stopIfTrue="1" operator="equal">
      <formula>"Napkin Hs"</formula>
    </cfRule>
  </conditionalFormatting>
  <conditionalFormatting sqref="C85">
    <cfRule type="cellIs" dxfId="5930" priority="2715" stopIfTrue="1" operator="equal">
      <formula>"Towel"</formula>
    </cfRule>
    <cfRule type="cellIs" dxfId="5929" priority="2716" stopIfTrue="1" operator="equal">
      <formula>"Napkin Hs"</formula>
    </cfRule>
  </conditionalFormatting>
  <conditionalFormatting sqref="C85">
    <cfRule type="cellIs" dxfId="5928" priority="2717" stopIfTrue="1" operator="equal">
      <formula>"Towel"</formula>
    </cfRule>
  </conditionalFormatting>
  <conditionalFormatting sqref="B93:C93">
    <cfRule type="cellIs" dxfId="5927" priority="2713" stopIfTrue="1" operator="equal">
      <formula>"Towel"</formula>
    </cfRule>
    <cfRule type="cellIs" dxfId="5926" priority="2714" stopIfTrue="1" operator="equal">
      <formula>"Napkin Hs"</formula>
    </cfRule>
  </conditionalFormatting>
  <conditionalFormatting sqref="C93">
    <cfRule type="cellIs" dxfId="5925" priority="2712" stopIfTrue="1" operator="equal">
      <formula>"Napkin Hs"</formula>
    </cfRule>
  </conditionalFormatting>
  <conditionalFormatting sqref="C93">
    <cfRule type="cellIs" dxfId="5924" priority="2709" stopIfTrue="1" operator="equal">
      <formula>"Towel"</formula>
    </cfRule>
    <cfRule type="cellIs" dxfId="5923" priority="2710" stopIfTrue="1" operator="equal">
      <formula>"Napkin Hs"</formula>
    </cfRule>
  </conditionalFormatting>
  <conditionalFormatting sqref="C93">
    <cfRule type="cellIs" dxfId="5922" priority="2711" stopIfTrue="1" operator="equal">
      <formula>"Towel"</formula>
    </cfRule>
  </conditionalFormatting>
  <conditionalFormatting sqref="B92:C92">
    <cfRule type="cellIs" dxfId="5921" priority="2707" stopIfTrue="1" operator="equal">
      <formula>"Towel"</formula>
    </cfRule>
    <cfRule type="cellIs" dxfId="5920" priority="2708" stopIfTrue="1" operator="equal">
      <formula>"Napkin Hs"</formula>
    </cfRule>
  </conditionalFormatting>
  <conditionalFormatting sqref="C92">
    <cfRule type="cellIs" dxfId="5919" priority="2703" stopIfTrue="1" operator="equal">
      <formula>"Towel"</formula>
    </cfRule>
    <cfRule type="cellIs" dxfId="5918" priority="2704" stopIfTrue="1" operator="equal">
      <formula>"Napkin Hs"</formula>
    </cfRule>
  </conditionalFormatting>
  <conditionalFormatting sqref="C92">
    <cfRule type="cellIs" dxfId="5917" priority="2705" stopIfTrue="1" operator="equal">
      <formula>"Towel"</formula>
    </cfRule>
    <cfRule type="cellIs" dxfId="5916" priority="2706" stopIfTrue="1" operator="equal">
      <formula>"Napkin Hs"</formula>
    </cfRule>
  </conditionalFormatting>
  <conditionalFormatting sqref="B91:C91">
    <cfRule type="cellIs" dxfId="5915" priority="2671" stopIfTrue="1" operator="equal">
      <formula>"Towel"</formula>
    </cfRule>
    <cfRule type="cellIs" dxfId="5914" priority="2672" stopIfTrue="1" operator="equal">
      <formula>"Napkin Hs"</formula>
    </cfRule>
  </conditionalFormatting>
  <conditionalFormatting sqref="C91">
    <cfRule type="cellIs" dxfId="5913" priority="2667" stopIfTrue="1" operator="equal">
      <formula>"Towel"</formula>
    </cfRule>
    <cfRule type="cellIs" dxfId="5912" priority="2668" stopIfTrue="1" operator="equal">
      <formula>"Napkin Hs"</formula>
    </cfRule>
  </conditionalFormatting>
  <conditionalFormatting sqref="B91:C91">
    <cfRule type="cellIs" dxfId="5911" priority="2665" stopIfTrue="1" operator="equal">
      <formula>"Towel"</formula>
    </cfRule>
    <cfRule type="cellIs" dxfId="5910" priority="2666" stopIfTrue="1" operator="equal">
      <formula>"Napkin Hs"</formula>
    </cfRule>
  </conditionalFormatting>
  <conditionalFormatting sqref="C91">
    <cfRule type="cellIs" dxfId="5909" priority="2664" stopIfTrue="1" operator="equal">
      <formula>"Napkin Hs"</formula>
    </cfRule>
  </conditionalFormatting>
  <conditionalFormatting sqref="C91">
    <cfRule type="cellIs" dxfId="5908" priority="2661" stopIfTrue="1" operator="equal">
      <formula>"Towel"</formula>
    </cfRule>
    <cfRule type="cellIs" dxfId="5907" priority="2662" stopIfTrue="1" operator="equal">
      <formula>"Napkin Hs"</formula>
    </cfRule>
  </conditionalFormatting>
  <conditionalFormatting sqref="C91">
    <cfRule type="cellIs" dxfId="5906" priority="2663" stopIfTrue="1" operator="equal">
      <formula>"Towel"</formula>
    </cfRule>
  </conditionalFormatting>
  <conditionalFormatting sqref="B91:C91">
    <cfRule type="cellIs" dxfId="5905" priority="2659" stopIfTrue="1" operator="equal">
      <formula>"Towel"</formula>
    </cfRule>
    <cfRule type="cellIs" dxfId="5904" priority="2660" stopIfTrue="1" operator="equal">
      <formula>"Napkin Hs"</formula>
    </cfRule>
  </conditionalFormatting>
  <conditionalFormatting sqref="C91">
    <cfRule type="cellIs" dxfId="5903" priority="2658" stopIfTrue="1" operator="equal">
      <formula>"Napkin Hs"</formula>
    </cfRule>
  </conditionalFormatting>
  <conditionalFormatting sqref="C91">
    <cfRule type="cellIs" dxfId="5902" priority="2655" stopIfTrue="1" operator="equal">
      <formula>"Towel"</formula>
    </cfRule>
    <cfRule type="cellIs" dxfId="5901" priority="2656" stopIfTrue="1" operator="equal">
      <formula>"Napkin Hs"</formula>
    </cfRule>
  </conditionalFormatting>
  <conditionalFormatting sqref="C91">
    <cfRule type="cellIs" dxfId="5900" priority="2657" stopIfTrue="1" operator="equal">
      <formula>"Towel"</formula>
    </cfRule>
  </conditionalFormatting>
  <conditionalFormatting sqref="B91:C91">
    <cfRule type="cellIs" dxfId="5899" priority="2653" stopIfTrue="1" operator="equal">
      <formula>"Towel"</formula>
    </cfRule>
    <cfRule type="cellIs" dxfId="5898" priority="2654" stopIfTrue="1" operator="equal">
      <formula>"Napkin Hs"</formula>
    </cfRule>
  </conditionalFormatting>
  <conditionalFormatting sqref="C91">
    <cfRule type="cellIs" dxfId="5897" priority="2652" stopIfTrue="1" operator="equal">
      <formula>"Napkin Hs"</formula>
    </cfRule>
  </conditionalFormatting>
  <conditionalFormatting sqref="C91">
    <cfRule type="cellIs" dxfId="5896" priority="2649" stopIfTrue="1" operator="equal">
      <formula>"Towel"</formula>
    </cfRule>
    <cfRule type="cellIs" dxfId="5895" priority="2650" stopIfTrue="1" operator="equal">
      <formula>"Napkin Hs"</formula>
    </cfRule>
  </conditionalFormatting>
  <conditionalFormatting sqref="C91">
    <cfRule type="cellIs" dxfId="5894" priority="2651" stopIfTrue="1" operator="equal">
      <formula>"Towel"</formula>
    </cfRule>
  </conditionalFormatting>
  <conditionalFormatting sqref="B91:C91">
    <cfRule type="cellIs" dxfId="5893" priority="2701" stopIfTrue="1" operator="equal">
      <formula>"Towel"</formula>
    </cfRule>
    <cfRule type="cellIs" dxfId="5892" priority="2702" stopIfTrue="1" operator="equal">
      <formula>"Napkin Hs"</formula>
    </cfRule>
  </conditionalFormatting>
  <conditionalFormatting sqref="C91">
    <cfRule type="cellIs" dxfId="5891" priority="2700" stopIfTrue="1" operator="equal">
      <formula>"Napkin Hs"</formula>
    </cfRule>
  </conditionalFormatting>
  <conditionalFormatting sqref="C91">
    <cfRule type="cellIs" dxfId="5890" priority="2697" stopIfTrue="1" operator="equal">
      <formula>"Towel"</formula>
    </cfRule>
    <cfRule type="cellIs" dxfId="5889" priority="2698" stopIfTrue="1" operator="equal">
      <formula>"Napkin Hs"</formula>
    </cfRule>
  </conditionalFormatting>
  <conditionalFormatting sqref="C91">
    <cfRule type="cellIs" dxfId="5888" priority="2699" stopIfTrue="1" operator="equal">
      <formula>"Towel"</formula>
    </cfRule>
  </conditionalFormatting>
  <conditionalFormatting sqref="B91:C91">
    <cfRule type="cellIs" dxfId="5887" priority="2695" stopIfTrue="1" operator="equal">
      <formula>"Towel"</formula>
    </cfRule>
    <cfRule type="cellIs" dxfId="5886" priority="2696" stopIfTrue="1" operator="equal">
      <formula>"Napkin Hs"</formula>
    </cfRule>
  </conditionalFormatting>
  <conditionalFormatting sqref="C91">
    <cfRule type="cellIs" dxfId="5885" priority="2694" stopIfTrue="1" operator="equal">
      <formula>"Napkin Hs"</formula>
    </cfRule>
  </conditionalFormatting>
  <conditionalFormatting sqref="C91">
    <cfRule type="cellIs" dxfId="5884" priority="2691" stopIfTrue="1" operator="equal">
      <formula>"Towel"</formula>
    </cfRule>
    <cfRule type="cellIs" dxfId="5883" priority="2692" stopIfTrue="1" operator="equal">
      <formula>"Napkin Hs"</formula>
    </cfRule>
  </conditionalFormatting>
  <conditionalFormatting sqref="C91">
    <cfRule type="cellIs" dxfId="5882" priority="2693" stopIfTrue="1" operator="equal">
      <formula>"Towel"</formula>
    </cfRule>
  </conditionalFormatting>
  <conditionalFormatting sqref="B91:C91">
    <cfRule type="cellIs" dxfId="5881" priority="2689" stopIfTrue="1" operator="equal">
      <formula>"Towel"</formula>
    </cfRule>
    <cfRule type="cellIs" dxfId="5880" priority="2690" stopIfTrue="1" operator="equal">
      <formula>"Napkin Hs"</formula>
    </cfRule>
  </conditionalFormatting>
  <conditionalFormatting sqref="C91">
    <cfRule type="cellIs" dxfId="5879" priority="2688" stopIfTrue="1" operator="equal">
      <formula>"Napkin Hs"</formula>
    </cfRule>
  </conditionalFormatting>
  <conditionalFormatting sqref="C91">
    <cfRule type="cellIs" dxfId="5878" priority="2685" stopIfTrue="1" operator="equal">
      <formula>"Towel"</formula>
    </cfRule>
    <cfRule type="cellIs" dxfId="5877" priority="2686" stopIfTrue="1" operator="equal">
      <formula>"Napkin Hs"</formula>
    </cfRule>
  </conditionalFormatting>
  <conditionalFormatting sqref="C91">
    <cfRule type="cellIs" dxfId="5876" priority="2687" stopIfTrue="1" operator="equal">
      <formula>"Towel"</formula>
    </cfRule>
  </conditionalFormatting>
  <conditionalFormatting sqref="B91:C91">
    <cfRule type="cellIs" dxfId="5875" priority="2683" stopIfTrue="1" operator="equal">
      <formula>"Towel"</formula>
    </cfRule>
    <cfRule type="cellIs" dxfId="5874" priority="2684" stopIfTrue="1" operator="equal">
      <formula>"Napkin Hs"</formula>
    </cfRule>
  </conditionalFormatting>
  <conditionalFormatting sqref="C91">
    <cfRule type="cellIs" dxfId="5873" priority="2682" stopIfTrue="1" operator="equal">
      <formula>"Napkin Hs"</formula>
    </cfRule>
  </conditionalFormatting>
  <conditionalFormatting sqref="C91">
    <cfRule type="cellIs" dxfId="5872" priority="2679" stopIfTrue="1" operator="equal">
      <formula>"Towel"</formula>
    </cfRule>
    <cfRule type="cellIs" dxfId="5871" priority="2680" stopIfTrue="1" operator="equal">
      <formula>"Napkin Hs"</formula>
    </cfRule>
  </conditionalFormatting>
  <conditionalFormatting sqref="C91">
    <cfRule type="cellIs" dxfId="5870" priority="2681" stopIfTrue="1" operator="equal">
      <formula>"Towel"</formula>
    </cfRule>
  </conditionalFormatting>
  <conditionalFormatting sqref="B91:C91">
    <cfRule type="cellIs" dxfId="5869" priority="2677" stopIfTrue="1" operator="equal">
      <formula>"Towel"</formula>
    </cfRule>
    <cfRule type="cellIs" dxfId="5868" priority="2678" stopIfTrue="1" operator="equal">
      <formula>"Napkin Hs"</formula>
    </cfRule>
  </conditionalFormatting>
  <conditionalFormatting sqref="C91">
    <cfRule type="cellIs" dxfId="5867" priority="2675" stopIfTrue="1" operator="equal">
      <formula>"Towel"</formula>
    </cfRule>
    <cfRule type="cellIs" dxfId="5866" priority="2676" stopIfTrue="1" operator="equal">
      <formula>"Napkin Hs"</formula>
    </cfRule>
  </conditionalFormatting>
  <conditionalFormatting sqref="C91">
    <cfRule type="cellIs" dxfId="5865" priority="2673" stopIfTrue="1" operator="equal">
      <formula>"Towel"</formula>
    </cfRule>
    <cfRule type="cellIs" dxfId="5864" priority="2674" stopIfTrue="1" operator="equal">
      <formula>"Napkin Hs"</formula>
    </cfRule>
  </conditionalFormatting>
  <conditionalFormatting sqref="C91">
    <cfRule type="cellIs" dxfId="5863" priority="2669" stopIfTrue="1" operator="equal">
      <formula>"Towel"</formula>
    </cfRule>
    <cfRule type="cellIs" dxfId="5862" priority="2670" stopIfTrue="1" operator="equal">
      <formula>"Napkin Hs"</formula>
    </cfRule>
  </conditionalFormatting>
  <conditionalFormatting sqref="B90:C90">
    <cfRule type="cellIs" dxfId="5861" priority="2647" stopIfTrue="1" operator="equal">
      <formula>"Towel"</formula>
    </cfRule>
    <cfRule type="cellIs" dxfId="5860" priority="2648" stopIfTrue="1" operator="equal">
      <formula>"Napkin Hs"</formula>
    </cfRule>
  </conditionalFormatting>
  <conditionalFormatting sqref="C90">
    <cfRule type="cellIs" dxfId="5859" priority="2646" stopIfTrue="1" operator="equal">
      <formula>"Napkin Hs"</formula>
    </cfRule>
  </conditionalFormatting>
  <conditionalFormatting sqref="C90">
    <cfRule type="cellIs" dxfId="5858" priority="2643" stopIfTrue="1" operator="equal">
      <formula>"Towel"</formula>
    </cfRule>
    <cfRule type="cellIs" dxfId="5857" priority="2644" stopIfTrue="1" operator="equal">
      <formula>"Napkin Hs"</formula>
    </cfRule>
  </conditionalFormatting>
  <conditionalFormatting sqref="C90">
    <cfRule type="cellIs" dxfId="5856" priority="2645" stopIfTrue="1" operator="equal">
      <formula>"Towel"</formula>
    </cfRule>
  </conditionalFormatting>
  <conditionalFormatting sqref="B90:C90">
    <cfRule type="cellIs" dxfId="5855" priority="2641" stopIfTrue="1" operator="equal">
      <formula>"Towel"</formula>
    </cfRule>
    <cfRule type="cellIs" dxfId="5854" priority="2642" stopIfTrue="1" operator="equal">
      <formula>"Napkin Hs"</formula>
    </cfRule>
  </conditionalFormatting>
  <conditionalFormatting sqref="C90">
    <cfRule type="cellIs" dxfId="5853" priority="2640" stopIfTrue="1" operator="equal">
      <formula>"Napkin Hs"</formula>
    </cfRule>
  </conditionalFormatting>
  <conditionalFormatting sqref="C90">
    <cfRule type="cellIs" dxfId="5852" priority="2637" stopIfTrue="1" operator="equal">
      <formula>"Towel"</formula>
    </cfRule>
    <cfRule type="cellIs" dxfId="5851" priority="2638" stopIfTrue="1" operator="equal">
      <formula>"Napkin Hs"</formula>
    </cfRule>
  </conditionalFormatting>
  <conditionalFormatting sqref="C90">
    <cfRule type="cellIs" dxfId="5850" priority="2639" stopIfTrue="1" operator="equal">
      <formula>"Towel"</formula>
    </cfRule>
  </conditionalFormatting>
  <conditionalFormatting sqref="B90:C90">
    <cfRule type="cellIs" dxfId="5849" priority="2635" stopIfTrue="1" operator="equal">
      <formula>"Towel"</formula>
    </cfRule>
    <cfRule type="cellIs" dxfId="5848" priority="2636" stopIfTrue="1" operator="equal">
      <formula>"Napkin Hs"</formula>
    </cfRule>
  </conditionalFormatting>
  <conditionalFormatting sqref="C90">
    <cfRule type="cellIs" dxfId="5847" priority="2634" stopIfTrue="1" operator="equal">
      <formula>"Napkin Hs"</formula>
    </cfRule>
  </conditionalFormatting>
  <conditionalFormatting sqref="C90">
    <cfRule type="cellIs" dxfId="5846" priority="2631" stopIfTrue="1" operator="equal">
      <formula>"Towel"</formula>
    </cfRule>
    <cfRule type="cellIs" dxfId="5845" priority="2632" stopIfTrue="1" operator="equal">
      <formula>"Napkin Hs"</formula>
    </cfRule>
  </conditionalFormatting>
  <conditionalFormatting sqref="C90">
    <cfRule type="cellIs" dxfId="5844" priority="2633" stopIfTrue="1" operator="equal">
      <formula>"Towel"</formula>
    </cfRule>
  </conditionalFormatting>
  <conditionalFormatting sqref="B90:C90">
    <cfRule type="cellIs" dxfId="5843" priority="2629" stopIfTrue="1" operator="equal">
      <formula>"Towel"</formula>
    </cfRule>
    <cfRule type="cellIs" dxfId="5842" priority="2630" stopIfTrue="1" operator="equal">
      <formula>"Napkin Hs"</formula>
    </cfRule>
  </conditionalFormatting>
  <conditionalFormatting sqref="C90">
    <cfRule type="cellIs" dxfId="5841" priority="2628" stopIfTrue="1" operator="equal">
      <formula>"Napkin Hs"</formula>
    </cfRule>
  </conditionalFormatting>
  <conditionalFormatting sqref="C90">
    <cfRule type="cellIs" dxfId="5840" priority="2625" stopIfTrue="1" operator="equal">
      <formula>"Towel"</formula>
    </cfRule>
    <cfRule type="cellIs" dxfId="5839" priority="2626" stopIfTrue="1" operator="equal">
      <formula>"Napkin Hs"</formula>
    </cfRule>
  </conditionalFormatting>
  <conditionalFormatting sqref="C90">
    <cfRule type="cellIs" dxfId="5838" priority="2627" stopIfTrue="1" operator="equal">
      <formula>"Towel"</formula>
    </cfRule>
  </conditionalFormatting>
  <conditionalFormatting sqref="B90:C90">
    <cfRule type="cellIs" dxfId="5837" priority="2623" stopIfTrue="1" operator="equal">
      <formula>"Towel"</formula>
    </cfRule>
    <cfRule type="cellIs" dxfId="5836" priority="2624" stopIfTrue="1" operator="equal">
      <formula>"Napkin Hs"</formula>
    </cfRule>
  </conditionalFormatting>
  <conditionalFormatting sqref="C90">
    <cfRule type="cellIs" dxfId="5835" priority="2622" stopIfTrue="1" operator="equal">
      <formula>"Napkin Hs"</formula>
    </cfRule>
  </conditionalFormatting>
  <conditionalFormatting sqref="C90">
    <cfRule type="cellIs" dxfId="5834" priority="2619" stopIfTrue="1" operator="equal">
      <formula>"Towel"</formula>
    </cfRule>
    <cfRule type="cellIs" dxfId="5833" priority="2620" stopIfTrue="1" operator="equal">
      <formula>"Napkin Hs"</formula>
    </cfRule>
  </conditionalFormatting>
  <conditionalFormatting sqref="C90">
    <cfRule type="cellIs" dxfId="5832" priority="2621" stopIfTrue="1" operator="equal">
      <formula>"Towel"</formula>
    </cfRule>
  </conditionalFormatting>
  <conditionalFormatting sqref="B89:C89">
    <cfRule type="cellIs" dxfId="5831" priority="2617" stopIfTrue="1" operator="equal">
      <formula>"Towel"</formula>
    </cfRule>
    <cfRule type="cellIs" dxfId="5830" priority="2618" stopIfTrue="1" operator="equal">
      <formula>"Napkin Hs"</formula>
    </cfRule>
  </conditionalFormatting>
  <conditionalFormatting sqref="C89">
    <cfRule type="cellIs" dxfId="5829" priority="2616" stopIfTrue="1" operator="equal">
      <formula>"Napkin Hs"</formula>
    </cfRule>
  </conditionalFormatting>
  <conditionalFormatting sqref="C89">
    <cfRule type="cellIs" dxfId="5828" priority="2613" stopIfTrue="1" operator="equal">
      <formula>"Towel"</formula>
    </cfRule>
    <cfRule type="cellIs" dxfId="5827" priority="2614" stopIfTrue="1" operator="equal">
      <formula>"Napkin Hs"</formula>
    </cfRule>
  </conditionalFormatting>
  <conditionalFormatting sqref="C89">
    <cfRule type="cellIs" dxfId="5826" priority="2615" stopIfTrue="1" operator="equal">
      <formula>"Towel"</formula>
    </cfRule>
  </conditionalFormatting>
  <conditionalFormatting sqref="B89:C89">
    <cfRule type="cellIs" dxfId="5825" priority="2611" stopIfTrue="1" operator="equal">
      <formula>"Towel"</formula>
    </cfRule>
    <cfRule type="cellIs" dxfId="5824" priority="2612" stopIfTrue="1" operator="equal">
      <formula>"Napkin Hs"</formula>
    </cfRule>
  </conditionalFormatting>
  <conditionalFormatting sqref="C89">
    <cfRule type="cellIs" dxfId="5823" priority="2610" stopIfTrue="1" operator="equal">
      <formula>"Napkin Hs"</formula>
    </cfRule>
  </conditionalFormatting>
  <conditionalFormatting sqref="C89">
    <cfRule type="cellIs" dxfId="5822" priority="2607" stopIfTrue="1" operator="equal">
      <formula>"Towel"</formula>
    </cfRule>
    <cfRule type="cellIs" dxfId="5821" priority="2608" stopIfTrue="1" operator="equal">
      <formula>"Napkin Hs"</formula>
    </cfRule>
  </conditionalFormatting>
  <conditionalFormatting sqref="C89">
    <cfRule type="cellIs" dxfId="5820" priority="2609" stopIfTrue="1" operator="equal">
      <formula>"Towel"</formula>
    </cfRule>
  </conditionalFormatting>
  <conditionalFormatting sqref="B89:C89">
    <cfRule type="cellIs" dxfId="5819" priority="2605" stopIfTrue="1" operator="equal">
      <formula>"Towel"</formula>
    </cfRule>
    <cfRule type="cellIs" dxfId="5818" priority="2606" stopIfTrue="1" operator="equal">
      <formula>"Napkin Hs"</formula>
    </cfRule>
  </conditionalFormatting>
  <conditionalFormatting sqref="C89">
    <cfRule type="cellIs" dxfId="5817" priority="2604" stopIfTrue="1" operator="equal">
      <formula>"Napkin Hs"</formula>
    </cfRule>
  </conditionalFormatting>
  <conditionalFormatting sqref="C89">
    <cfRule type="cellIs" dxfId="5816" priority="2601" stopIfTrue="1" operator="equal">
      <formula>"Towel"</formula>
    </cfRule>
    <cfRule type="cellIs" dxfId="5815" priority="2602" stopIfTrue="1" operator="equal">
      <formula>"Napkin Hs"</formula>
    </cfRule>
  </conditionalFormatting>
  <conditionalFormatting sqref="C89">
    <cfRule type="cellIs" dxfId="5814" priority="2603" stopIfTrue="1" operator="equal">
      <formula>"Towel"</formula>
    </cfRule>
  </conditionalFormatting>
  <conditionalFormatting sqref="B89:C89">
    <cfRule type="cellIs" dxfId="5813" priority="2599" stopIfTrue="1" operator="equal">
      <formula>"Towel"</formula>
    </cfRule>
    <cfRule type="cellIs" dxfId="5812" priority="2600" stopIfTrue="1" operator="equal">
      <formula>"Napkin Hs"</formula>
    </cfRule>
  </conditionalFormatting>
  <conditionalFormatting sqref="C89">
    <cfRule type="cellIs" dxfId="5811" priority="2598" stopIfTrue="1" operator="equal">
      <formula>"Napkin Hs"</formula>
    </cfRule>
  </conditionalFormatting>
  <conditionalFormatting sqref="C89">
    <cfRule type="cellIs" dxfId="5810" priority="2595" stopIfTrue="1" operator="equal">
      <formula>"Towel"</formula>
    </cfRule>
    <cfRule type="cellIs" dxfId="5809" priority="2596" stopIfTrue="1" operator="equal">
      <formula>"Napkin Hs"</formula>
    </cfRule>
  </conditionalFormatting>
  <conditionalFormatting sqref="C89">
    <cfRule type="cellIs" dxfId="5808" priority="2597" stopIfTrue="1" operator="equal">
      <formula>"Towel"</formula>
    </cfRule>
  </conditionalFormatting>
  <conditionalFormatting sqref="B89:C89">
    <cfRule type="cellIs" dxfId="5807" priority="2593" stopIfTrue="1" operator="equal">
      <formula>"Towel"</formula>
    </cfRule>
    <cfRule type="cellIs" dxfId="5806" priority="2594" stopIfTrue="1" operator="equal">
      <formula>"Napkin Hs"</formula>
    </cfRule>
  </conditionalFormatting>
  <conditionalFormatting sqref="C89">
    <cfRule type="cellIs" dxfId="5805" priority="2592" stopIfTrue="1" operator="equal">
      <formula>"Napkin Hs"</formula>
    </cfRule>
  </conditionalFormatting>
  <conditionalFormatting sqref="C89">
    <cfRule type="cellIs" dxfId="5804" priority="2589" stopIfTrue="1" operator="equal">
      <formula>"Towel"</formula>
    </cfRule>
    <cfRule type="cellIs" dxfId="5803" priority="2590" stopIfTrue="1" operator="equal">
      <formula>"Napkin Hs"</formula>
    </cfRule>
  </conditionalFormatting>
  <conditionalFormatting sqref="C89">
    <cfRule type="cellIs" dxfId="5802" priority="2591" stopIfTrue="1" operator="equal">
      <formula>"Towel"</formula>
    </cfRule>
  </conditionalFormatting>
  <conditionalFormatting sqref="B96:C96">
    <cfRule type="cellIs" dxfId="5801" priority="2585" stopIfTrue="1" operator="equal">
      <formula>"Towel"</formula>
    </cfRule>
    <cfRule type="cellIs" dxfId="5800" priority="2586" stopIfTrue="1" operator="equal">
      <formula>"Napkin Hs"</formula>
    </cfRule>
  </conditionalFormatting>
  <conditionalFormatting sqref="C96">
    <cfRule type="cellIs" dxfId="5799" priority="2587" stopIfTrue="1" operator="equal">
      <formula>"Towel"</formula>
    </cfRule>
    <cfRule type="cellIs" dxfId="5798" priority="2588" stopIfTrue="1" operator="equal">
      <formula>"Napkin Hs"</formula>
    </cfRule>
  </conditionalFormatting>
  <conditionalFormatting sqref="C96">
    <cfRule type="cellIs" dxfId="5797" priority="2583" stopIfTrue="1" operator="equal">
      <formula>"Towel"</formula>
    </cfRule>
    <cfRule type="cellIs" dxfId="5796" priority="2584" stopIfTrue="1" operator="equal">
      <formula>"Napkin Hs"</formula>
    </cfRule>
  </conditionalFormatting>
  <conditionalFormatting sqref="B93:C93 B95:C95">
    <cfRule type="cellIs" dxfId="5795" priority="2581" stopIfTrue="1" operator="equal">
      <formula>"Towel"</formula>
    </cfRule>
    <cfRule type="cellIs" dxfId="5794" priority="2582" stopIfTrue="1" operator="equal">
      <formula>"Napkin Hs"</formula>
    </cfRule>
  </conditionalFormatting>
  <conditionalFormatting sqref="C93 C95">
    <cfRule type="cellIs" dxfId="5793" priority="2580" stopIfTrue="1" operator="equal">
      <formula>"Napkin Hs"</formula>
    </cfRule>
  </conditionalFormatting>
  <conditionalFormatting sqref="C93 C95">
    <cfRule type="cellIs" dxfId="5792" priority="2577" stopIfTrue="1" operator="equal">
      <formula>"Towel"</formula>
    </cfRule>
    <cfRule type="cellIs" dxfId="5791" priority="2578" stopIfTrue="1" operator="equal">
      <formula>"Napkin Hs"</formula>
    </cfRule>
  </conditionalFormatting>
  <conditionalFormatting sqref="C93 C95">
    <cfRule type="cellIs" dxfId="5790" priority="2579" stopIfTrue="1" operator="equal">
      <formula>"Towel"</formula>
    </cfRule>
  </conditionalFormatting>
  <conditionalFormatting sqref="B96:C96">
    <cfRule type="cellIs" dxfId="5789" priority="2563" stopIfTrue="1" operator="equal">
      <formula>"Towel"</formula>
    </cfRule>
    <cfRule type="cellIs" dxfId="5788" priority="2564" stopIfTrue="1" operator="equal">
      <formula>"Napkin Hs"</formula>
    </cfRule>
  </conditionalFormatting>
  <conditionalFormatting sqref="C96">
    <cfRule type="cellIs" dxfId="5787" priority="2559" stopIfTrue="1" operator="equal">
      <formula>"Towel"</formula>
    </cfRule>
    <cfRule type="cellIs" dxfId="5786" priority="2560" stopIfTrue="1" operator="equal">
      <formula>"Napkin Hs"</formula>
    </cfRule>
  </conditionalFormatting>
  <conditionalFormatting sqref="C96">
    <cfRule type="cellIs" dxfId="5785" priority="2561" stopIfTrue="1" operator="equal">
      <formula>"Towel"</formula>
    </cfRule>
    <cfRule type="cellIs" dxfId="5784" priority="2562" stopIfTrue="1" operator="equal">
      <formula>"Napkin Hs"</formula>
    </cfRule>
  </conditionalFormatting>
  <conditionalFormatting sqref="B95:C95">
    <cfRule type="cellIs" dxfId="5783" priority="2527" stopIfTrue="1" operator="equal">
      <formula>"Towel"</formula>
    </cfRule>
    <cfRule type="cellIs" dxfId="5782" priority="2528" stopIfTrue="1" operator="equal">
      <formula>"Napkin Hs"</formula>
    </cfRule>
  </conditionalFormatting>
  <conditionalFormatting sqref="C95">
    <cfRule type="cellIs" dxfId="5781" priority="2523" stopIfTrue="1" operator="equal">
      <formula>"Towel"</formula>
    </cfRule>
    <cfRule type="cellIs" dxfId="5780" priority="2524" stopIfTrue="1" operator="equal">
      <formula>"Napkin Hs"</formula>
    </cfRule>
  </conditionalFormatting>
  <conditionalFormatting sqref="B95:C95">
    <cfRule type="cellIs" dxfId="5779" priority="2521" stopIfTrue="1" operator="equal">
      <formula>"Towel"</formula>
    </cfRule>
    <cfRule type="cellIs" dxfId="5778" priority="2522" stopIfTrue="1" operator="equal">
      <formula>"Napkin Hs"</formula>
    </cfRule>
  </conditionalFormatting>
  <conditionalFormatting sqref="C95">
    <cfRule type="cellIs" dxfId="5777" priority="2520" stopIfTrue="1" operator="equal">
      <formula>"Napkin Hs"</formula>
    </cfRule>
  </conditionalFormatting>
  <conditionalFormatting sqref="C95">
    <cfRule type="cellIs" dxfId="5776" priority="2517" stopIfTrue="1" operator="equal">
      <formula>"Towel"</formula>
    </cfRule>
    <cfRule type="cellIs" dxfId="5775" priority="2518" stopIfTrue="1" operator="equal">
      <formula>"Napkin Hs"</formula>
    </cfRule>
  </conditionalFormatting>
  <conditionalFormatting sqref="C95">
    <cfRule type="cellIs" dxfId="5774" priority="2519" stopIfTrue="1" operator="equal">
      <formula>"Towel"</formula>
    </cfRule>
  </conditionalFormatting>
  <conditionalFormatting sqref="B95:C95">
    <cfRule type="cellIs" dxfId="5773" priority="2515" stopIfTrue="1" operator="equal">
      <formula>"Towel"</formula>
    </cfRule>
    <cfRule type="cellIs" dxfId="5772" priority="2516" stopIfTrue="1" operator="equal">
      <formula>"Napkin Hs"</formula>
    </cfRule>
  </conditionalFormatting>
  <conditionalFormatting sqref="C95">
    <cfRule type="cellIs" dxfId="5771" priority="2514" stopIfTrue="1" operator="equal">
      <formula>"Napkin Hs"</formula>
    </cfRule>
  </conditionalFormatting>
  <conditionalFormatting sqref="C95">
    <cfRule type="cellIs" dxfId="5770" priority="2511" stopIfTrue="1" operator="equal">
      <formula>"Towel"</formula>
    </cfRule>
    <cfRule type="cellIs" dxfId="5769" priority="2512" stopIfTrue="1" operator="equal">
      <formula>"Napkin Hs"</formula>
    </cfRule>
  </conditionalFormatting>
  <conditionalFormatting sqref="C95">
    <cfRule type="cellIs" dxfId="5768" priority="2513" stopIfTrue="1" operator="equal">
      <formula>"Towel"</formula>
    </cfRule>
  </conditionalFormatting>
  <conditionalFormatting sqref="B95:C95">
    <cfRule type="cellIs" dxfId="5767" priority="2509" stopIfTrue="1" operator="equal">
      <formula>"Towel"</formula>
    </cfRule>
    <cfRule type="cellIs" dxfId="5766" priority="2510" stopIfTrue="1" operator="equal">
      <formula>"Napkin Hs"</formula>
    </cfRule>
  </conditionalFormatting>
  <conditionalFormatting sqref="C95">
    <cfRule type="cellIs" dxfId="5765" priority="2508" stopIfTrue="1" operator="equal">
      <formula>"Napkin Hs"</formula>
    </cfRule>
  </conditionalFormatting>
  <conditionalFormatting sqref="C95">
    <cfRule type="cellIs" dxfId="5764" priority="2505" stopIfTrue="1" operator="equal">
      <formula>"Towel"</formula>
    </cfRule>
    <cfRule type="cellIs" dxfId="5763" priority="2506" stopIfTrue="1" operator="equal">
      <formula>"Napkin Hs"</formula>
    </cfRule>
  </conditionalFormatting>
  <conditionalFormatting sqref="C95">
    <cfRule type="cellIs" dxfId="5762" priority="2507" stopIfTrue="1" operator="equal">
      <formula>"Towel"</formula>
    </cfRule>
  </conditionalFormatting>
  <conditionalFormatting sqref="B95:C95">
    <cfRule type="cellIs" dxfId="5761" priority="2557" stopIfTrue="1" operator="equal">
      <formula>"Towel"</formula>
    </cfRule>
    <cfRule type="cellIs" dxfId="5760" priority="2558" stopIfTrue="1" operator="equal">
      <formula>"Napkin Hs"</formula>
    </cfRule>
  </conditionalFormatting>
  <conditionalFormatting sqref="C95">
    <cfRule type="cellIs" dxfId="5759" priority="2556" stopIfTrue="1" operator="equal">
      <formula>"Napkin Hs"</formula>
    </cfRule>
  </conditionalFormatting>
  <conditionalFormatting sqref="C95">
    <cfRule type="cellIs" dxfId="5758" priority="2553" stopIfTrue="1" operator="equal">
      <formula>"Towel"</formula>
    </cfRule>
    <cfRule type="cellIs" dxfId="5757" priority="2554" stopIfTrue="1" operator="equal">
      <formula>"Napkin Hs"</formula>
    </cfRule>
  </conditionalFormatting>
  <conditionalFormatting sqref="C95">
    <cfRule type="cellIs" dxfId="5756" priority="2555" stopIfTrue="1" operator="equal">
      <formula>"Towel"</formula>
    </cfRule>
  </conditionalFormatting>
  <conditionalFormatting sqref="B95:C95">
    <cfRule type="cellIs" dxfId="5755" priority="2551" stopIfTrue="1" operator="equal">
      <formula>"Towel"</formula>
    </cfRule>
    <cfRule type="cellIs" dxfId="5754" priority="2552" stopIfTrue="1" operator="equal">
      <formula>"Napkin Hs"</formula>
    </cfRule>
  </conditionalFormatting>
  <conditionalFormatting sqref="C95">
    <cfRule type="cellIs" dxfId="5753" priority="2550" stopIfTrue="1" operator="equal">
      <formula>"Napkin Hs"</formula>
    </cfRule>
  </conditionalFormatting>
  <conditionalFormatting sqref="C95">
    <cfRule type="cellIs" dxfId="5752" priority="2547" stopIfTrue="1" operator="equal">
      <formula>"Towel"</formula>
    </cfRule>
    <cfRule type="cellIs" dxfId="5751" priority="2548" stopIfTrue="1" operator="equal">
      <formula>"Napkin Hs"</formula>
    </cfRule>
  </conditionalFormatting>
  <conditionalFormatting sqref="C95">
    <cfRule type="cellIs" dxfId="5750" priority="2549" stopIfTrue="1" operator="equal">
      <formula>"Towel"</formula>
    </cfRule>
  </conditionalFormatting>
  <conditionalFormatting sqref="B95:C95">
    <cfRule type="cellIs" dxfId="5749" priority="2545" stopIfTrue="1" operator="equal">
      <formula>"Towel"</formula>
    </cfRule>
    <cfRule type="cellIs" dxfId="5748" priority="2546" stopIfTrue="1" operator="equal">
      <formula>"Napkin Hs"</formula>
    </cfRule>
  </conditionalFormatting>
  <conditionalFormatting sqref="C95">
    <cfRule type="cellIs" dxfId="5747" priority="2544" stopIfTrue="1" operator="equal">
      <formula>"Napkin Hs"</formula>
    </cfRule>
  </conditionalFormatting>
  <conditionalFormatting sqref="C95">
    <cfRule type="cellIs" dxfId="5746" priority="2541" stopIfTrue="1" operator="equal">
      <formula>"Towel"</formula>
    </cfRule>
    <cfRule type="cellIs" dxfId="5745" priority="2542" stopIfTrue="1" operator="equal">
      <formula>"Napkin Hs"</formula>
    </cfRule>
  </conditionalFormatting>
  <conditionalFormatting sqref="C95">
    <cfRule type="cellIs" dxfId="5744" priority="2543" stopIfTrue="1" operator="equal">
      <formula>"Towel"</formula>
    </cfRule>
  </conditionalFormatting>
  <conditionalFormatting sqref="B95:C95">
    <cfRule type="cellIs" dxfId="5743" priority="2539" stopIfTrue="1" operator="equal">
      <formula>"Towel"</formula>
    </cfRule>
    <cfRule type="cellIs" dxfId="5742" priority="2540" stopIfTrue="1" operator="equal">
      <formula>"Napkin Hs"</formula>
    </cfRule>
  </conditionalFormatting>
  <conditionalFormatting sqref="C95">
    <cfRule type="cellIs" dxfId="5741" priority="2538" stopIfTrue="1" operator="equal">
      <formula>"Napkin Hs"</formula>
    </cfRule>
  </conditionalFormatting>
  <conditionalFormatting sqref="C95">
    <cfRule type="cellIs" dxfId="5740" priority="2535" stopIfTrue="1" operator="equal">
      <formula>"Towel"</formula>
    </cfRule>
    <cfRule type="cellIs" dxfId="5739" priority="2536" stopIfTrue="1" operator="equal">
      <formula>"Napkin Hs"</formula>
    </cfRule>
  </conditionalFormatting>
  <conditionalFormatting sqref="C95">
    <cfRule type="cellIs" dxfId="5738" priority="2537" stopIfTrue="1" operator="equal">
      <formula>"Towel"</formula>
    </cfRule>
  </conditionalFormatting>
  <conditionalFormatting sqref="B95:C95">
    <cfRule type="cellIs" dxfId="5737" priority="2533" stopIfTrue="1" operator="equal">
      <formula>"Towel"</formula>
    </cfRule>
    <cfRule type="cellIs" dxfId="5736" priority="2534" stopIfTrue="1" operator="equal">
      <formula>"Napkin Hs"</formula>
    </cfRule>
  </conditionalFormatting>
  <conditionalFormatting sqref="C95">
    <cfRule type="cellIs" dxfId="5735" priority="2531" stopIfTrue="1" operator="equal">
      <formula>"Towel"</formula>
    </cfRule>
    <cfRule type="cellIs" dxfId="5734" priority="2532" stopIfTrue="1" operator="equal">
      <formula>"Napkin Hs"</formula>
    </cfRule>
  </conditionalFormatting>
  <conditionalFormatting sqref="C95">
    <cfRule type="cellIs" dxfId="5733" priority="2529" stopIfTrue="1" operator="equal">
      <formula>"Towel"</formula>
    </cfRule>
    <cfRule type="cellIs" dxfId="5732" priority="2530" stopIfTrue="1" operator="equal">
      <formula>"Napkin Hs"</formula>
    </cfRule>
  </conditionalFormatting>
  <conditionalFormatting sqref="C95">
    <cfRule type="cellIs" dxfId="5731" priority="2525" stopIfTrue="1" operator="equal">
      <formula>"Towel"</formula>
    </cfRule>
    <cfRule type="cellIs" dxfId="5730" priority="2526" stopIfTrue="1" operator="equal">
      <formula>"Napkin Hs"</formula>
    </cfRule>
  </conditionalFormatting>
  <conditionalFormatting sqref="B93:C93">
    <cfRule type="cellIs" dxfId="5729" priority="2473" stopIfTrue="1" operator="equal">
      <formula>"Towel"</formula>
    </cfRule>
    <cfRule type="cellIs" dxfId="5728" priority="2474" stopIfTrue="1" operator="equal">
      <formula>"Napkin Hs"</formula>
    </cfRule>
  </conditionalFormatting>
  <conditionalFormatting sqref="C93">
    <cfRule type="cellIs" dxfId="5727" priority="2472" stopIfTrue="1" operator="equal">
      <formula>"Napkin Hs"</formula>
    </cfRule>
  </conditionalFormatting>
  <conditionalFormatting sqref="C93">
    <cfRule type="cellIs" dxfId="5726" priority="2469" stopIfTrue="1" operator="equal">
      <formula>"Towel"</formula>
    </cfRule>
    <cfRule type="cellIs" dxfId="5725" priority="2470" stopIfTrue="1" operator="equal">
      <formula>"Napkin Hs"</formula>
    </cfRule>
  </conditionalFormatting>
  <conditionalFormatting sqref="C93">
    <cfRule type="cellIs" dxfId="5724" priority="2471" stopIfTrue="1" operator="equal">
      <formula>"Towel"</formula>
    </cfRule>
  </conditionalFormatting>
  <conditionalFormatting sqref="B93:C93">
    <cfRule type="cellIs" dxfId="5723" priority="2467" stopIfTrue="1" operator="equal">
      <formula>"Towel"</formula>
    </cfRule>
    <cfRule type="cellIs" dxfId="5722" priority="2468" stopIfTrue="1" operator="equal">
      <formula>"Napkin Hs"</formula>
    </cfRule>
  </conditionalFormatting>
  <conditionalFormatting sqref="C93">
    <cfRule type="cellIs" dxfId="5721" priority="2466" stopIfTrue="1" operator="equal">
      <formula>"Napkin Hs"</formula>
    </cfRule>
  </conditionalFormatting>
  <conditionalFormatting sqref="C93">
    <cfRule type="cellIs" dxfId="5720" priority="2463" stopIfTrue="1" operator="equal">
      <formula>"Towel"</formula>
    </cfRule>
    <cfRule type="cellIs" dxfId="5719" priority="2464" stopIfTrue="1" operator="equal">
      <formula>"Napkin Hs"</formula>
    </cfRule>
  </conditionalFormatting>
  <conditionalFormatting sqref="C93">
    <cfRule type="cellIs" dxfId="5718" priority="2465" stopIfTrue="1" operator="equal">
      <formula>"Towel"</formula>
    </cfRule>
  </conditionalFormatting>
  <conditionalFormatting sqref="B93:C93">
    <cfRule type="cellIs" dxfId="5717" priority="2461" stopIfTrue="1" operator="equal">
      <formula>"Towel"</formula>
    </cfRule>
    <cfRule type="cellIs" dxfId="5716" priority="2462" stopIfTrue="1" operator="equal">
      <formula>"Napkin Hs"</formula>
    </cfRule>
  </conditionalFormatting>
  <conditionalFormatting sqref="C93">
    <cfRule type="cellIs" dxfId="5715" priority="2460" stopIfTrue="1" operator="equal">
      <formula>"Napkin Hs"</formula>
    </cfRule>
  </conditionalFormatting>
  <conditionalFormatting sqref="C93">
    <cfRule type="cellIs" dxfId="5714" priority="2457" stopIfTrue="1" operator="equal">
      <formula>"Towel"</formula>
    </cfRule>
    <cfRule type="cellIs" dxfId="5713" priority="2458" stopIfTrue="1" operator="equal">
      <formula>"Napkin Hs"</formula>
    </cfRule>
  </conditionalFormatting>
  <conditionalFormatting sqref="C93">
    <cfRule type="cellIs" dxfId="5712" priority="2459" stopIfTrue="1" operator="equal">
      <formula>"Towel"</formula>
    </cfRule>
  </conditionalFormatting>
  <conditionalFormatting sqref="B93:C93">
    <cfRule type="cellIs" dxfId="5711" priority="2455" stopIfTrue="1" operator="equal">
      <formula>"Towel"</formula>
    </cfRule>
    <cfRule type="cellIs" dxfId="5710" priority="2456" stopIfTrue="1" operator="equal">
      <formula>"Napkin Hs"</formula>
    </cfRule>
  </conditionalFormatting>
  <conditionalFormatting sqref="C93">
    <cfRule type="cellIs" dxfId="5709" priority="2454" stopIfTrue="1" operator="equal">
      <formula>"Napkin Hs"</formula>
    </cfRule>
  </conditionalFormatting>
  <conditionalFormatting sqref="C93">
    <cfRule type="cellIs" dxfId="5708" priority="2451" stopIfTrue="1" operator="equal">
      <formula>"Towel"</formula>
    </cfRule>
    <cfRule type="cellIs" dxfId="5707" priority="2452" stopIfTrue="1" operator="equal">
      <formula>"Napkin Hs"</formula>
    </cfRule>
  </conditionalFormatting>
  <conditionalFormatting sqref="C93">
    <cfRule type="cellIs" dxfId="5706" priority="2453" stopIfTrue="1" operator="equal">
      <formula>"Towel"</formula>
    </cfRule>
  </conditionalFormatting>
  <conditionalFormatting sqref="B93:C93">
    <cfRule type="cellIs" dxfId="5705" priority="2449" stopIfTrue="1" operator="equal">
      <formula>"Towel"</formula>
    </cfRule>
    <cfRule type="cellIs" dxfId="5704" priority="2450" stopIfTrue="1" operator="equal">
      <formula>"Napkin Hs"</formula>
    </cfRule>
  </conditionalFormatting>
  <conditionalFormatting sqref="C93">
    <cfRule type="cellIs" dxfId="5703" priority="2448" stopIfTrue="1" operator="equal">
      <formula>"Napkin Hs"</formula>
    </cfRule>
  </conditionalFormatting>
  <conditionalFormatting sqref="C93">
    <cfRule type="cellIs" dxfId="5702" priority="2445" stopIfTrue="1" operator="equal">
      <formula>"Towel"</formula>
    </cfRule>
    <cfRule type="cellIs" dxfId="5701" priority="2446" stopIfTrue="1" operator="equal">
      <formula>"Napkin Hs"</formula>
    </cfRule>
  </conditionalFormatting>
  <conditionalFormatting sqref="C93">
    <cfRule type="cellIs" dxfId="5700" priority="2447" stopIfTrue="1" operator="equal">
      <formula>"Towel"</formula>
    </cfRule>
  </conditionalFormatting>
  <conditionalFormatting sqref="B94:C94">
    <cfRule type="cellIs" dxfId="5699" priority="2443" stopIfTrue="1" operator="equal">
      <formula>"Towel"</formula>
    </cfRule>
    <cfRule type="cellIs" dxfId="5698" priority="2444" stopIfTrue="1" operator="equal">
      <formula>"Napkin Hs"</formula>
    </cfRule>
  </conditionalFormatting>
  <conditionalFormatting sqref="C94">
    <cfRule type="cellIs" dxfId="5697" priority="2442" stopIfTrue="1" operator="equal">
      <formula>"Napkin Hs"</formula>
    </cfRule>
  </conditionalFormatting>
  <conditionalFormatting sqref="C94">
    <cfRule type="cellIs" dxfId="5696" priority="2439" stopIfTrue="1" operator="equal">
      <formula>"Towel"</formula>
    </cfRule>
    <cfRule type="cellIs" dxfId="5695" priority="2440" stopIfTrue="1" operator="equal">
      <formula>"Napkin Hs"</formula>
    </cfRule>
  </conditionalFormatting>
  <conditionalFormatting sqref="C94">
    <cfRule type="cellIs" dxfId="5694" priority="2441" stopIfTrue="1" operator="equal">
      <formula>"Towel"</formula>
    </cfRule>
  </conditionalFormatting>
  <conditionalFormatting sqref="B94:C94">
    <cfRule type="cellIs" dxfId="5693" priority="2437" stopIfTrue="1" operator="equal">
      <formula>"Towel"</formula>
    </cfRule>
    <cfRule type="cellIs" dxfId="5692" priority="2438" stopIfTrue="1" operator="equal">
      <formula>"Napkin Hs"</formula>
    </cfRule>
  </conditionalFormatting>
  <conditionalFormatting sqref="C94">
    <cfRule type="cellIs" dxfId="5691" priority="2436" stopIfTrue="1" operator="equal">
      <formula>"Napkin Hs"</formula>
    </cfRule>
  </conditionalFormatting>
  <conditionalFormatting sqref="C94">
    <cfRule type="cellIs" dxfId="5690" priority="2433" stopIfTrue="1" operator="equal">
      <formula>"Towel"</formula>
    </cfRule>
    <cfRule type="cellIs" dxfId="5689" priority="2434" stopIfTrue="1" operator="equal">
      <formula>"Napkin Hs"</formula>
    </cfRule>
  </conditionalFormatting>
  <conditionalFormatting sqref="C94">
    <cfRule type="cellIs" dxfId="5688" priority="2435" stopIfTrue="1" operator="equal">
      <formula>"Towel"</formula>
    </cfRule>
  </conditionalFormatting>
  <conditionalFormatting sqref="B94:C94">
    <cfRule type="cellIs" dxfId="5687" priority="2431" stopIfTrue="1" operator="equal">
      <formula>"Towel"</formula>
    </cfRule>
    <cfRule type="cellIs" dxfId="5686" priority="2432" stopIfTrue="1" operator="equal">
      <formula>"Napkin Hs"</formula>
    </cfRule>
  </conditionalFormatting>
  <conditionalFormatting sqref="C94">
    <cfRule type="cellIs" dxfId="5685" priority="2430" stopIfTrue="1" operator="equal">
      <formula>"Napkin Hs"</formula>
    </cfRule>
  </conditionalFormatting>
  <conditionalFormatting sqref="C94">
    <cfRule type="cellIs" dxfId="5684" priority="2427" stopIfTrue="1" operator="equal">
      <formula>"Towel"</formula>
    </cfRule>
    <cfRule type="cellIs" dxfId="5683" priority="2428" stopIfTrue="1" operator="equal">
      <formula>"Napkin Hs"</formula>
    </cfRule>
  </conditionalFormatting>
  <conditionalFormatting sqref="C94">
    <cfRule type="cellIs" dxfId="5682" priority="2429" stopIfTrue="1" operator="equal">
      <formula>"Towel"</formula>
    </cfRule>
  </conditionalFormatting>
  <conditionalFormatting sqref="B94:C94">
    <cfRule type="cellIs" dxfId="5681" priority="2425" stopIfTrue="1" operator="equal">
      <formula>"Towel"</formula>
    </cfRule>
    <cfRule type="cellIs" dxfId="5680" priority="2426" stopIfTrue="1" operator="equal">
      <formula>"Napkin Hs"</formula>
    </cfRule>
  </conditionalFormatting>
  <conditionalFormatting sqref="C94">
    <cfRule type="cellIs" dxfId="5679" priority="2424" stopIfTrue="1" operator="equal">
      <formula>"Napkin Hs"</formula>
    </cfRule>
  </conditionalFormatting>
  <conditionalFormatting sqref="C94">
    <cfRule type="cellIs" dxfId="5678" priority="2421" stopIfTrue="1" operator="equal">
      <formula>"Towel"</formula>
    </cfRule>
    <cfRule type="cellIs" dxfId="5677" priority="2422" stopIfTrue="1" operator="equal">
      <formula>"Napkin Hs"</formula>
    </cfRule>
  </conditionalFormatting>
  <conditionalFormatting sqref="C94">
    <cfRule type="cellIs" dxfId="5676" priority="2423" stopIfTrue="1" operator="equal">
      <formula>"Towel"</formula>
    </cfRule>
  </conditionalFormatting>
  <conditionalFormatting sqref="B94:C94">
    <cfRule type="cellIs" dxfId="5675" priority="2419" stopIfTrue="1" operator="equal">
      <formula>"Towel"</formula>
    </cfRule>
    <cfRule type="cellIs" dxfId="5674" priority="2420" stopIfTrue="1" operator="equal">
      <formula>"Napkin Hs"</formula>
    </cfRule>
  </conditionalFormatting>
  <conditionalFormatting sqref="C94">
    <cfRule type="cellIs" dxfId="5673" priority="2418" stopIfTrue="1" operator="equal">
      <formula>"Napkin Hs"</formula>
    </cfRule>
  </conditionalFormatting>
  <conditionalFormatting sqref="C94">
    <cfRule type="cellIs" dxfId="5672" priority="2415" stopIfTrue="1" operator="equal">
      <formula>"Towel"</formula>
    </cfRule>
    <cfRule type="cellIs" dxfId="5671" priority="2416" stopIfTrue="1" operator="equal">
      <formula>"Napkin Hs"</formula>
    </cfRule>
  </conditionalFormatting>
  <conditionalFormatting sqref="C94">
    <cfRule type="cellIs" dxfId="5670" priority="2417" stopIfTrue="1" operator="equal">
      <formula>"Towel"</formula>
    </cfRule>
  </conditionalFormatting>
  <conditionalFormatting sqref="B94:C94">
    <cfRule type="cellIs" dxfId="5669" priority="2413" stopIfTrue="1" operator="equal">
      <formula>"Towel"</formula>
    </cfRule>
    <cfRule type="cellIs" dxfId="5668" priority="2414" stopIfTrue="1" operator="equal">
      <formula>"Napkin Hs"</formula>
    </cfRule>
  </conditionalFormatting>
  <conditionalFormatting sqref="C94">
    <cfRule type="cellIs" dxfId="5667" priority="2412" stopIfTrue="1" operator="equal">
      <formula>"Napkin Hs"</formula>
    </cfRule>
  </conditionalFormatting>
  <conditionalFormatting sqref="C94">
    <cfRule type="cellIs" dxfId="5666" priority="2409" stopIfTrue="1" operator="equal">
      <formula>"Towel"</formula>
    </cfRule>
    <cfRule type="cellIs" dxfId="5665" priority="2410" stopIfTrue="1" operator="equal">
      <formula>"Napkin Hs"</formula>
    </cfRule>
  </conditionalFormatting>
  <conditionalFormatting sqref="C94">
    <cfRule type="cellIs" dxfId="5664" priority="2411" stopIfTrue="1" operator="equal">
      <formula>"Towel"</formula>
    </cfRule>
  </conditionalFormatting>
  <conditionalFormatting sqref="B94:C94">
    <cfRule type="cellIs" dxfId="5663" priority="2407" stopIfTrue="1" operator="equal">
      <formula>"Towel"</formula>
    </cfRule>
    <cfRule type="cellIs" dxfId="5662" priority="2408" stopIfTrue="1" operator="equal">
      <formula>"Napkin Hs"</formula>
    </cfRule>
  </conditionalFormatting>
  <conditionalFormatting sqref="C94">
    <cfRule type="cellIs" dxfId="5661" priority="2406" stopIfTrue="1" operator="equal">
      <formula>"Napkin Hs"</formula>
    </cfRule>
  </conditionalFormatting>
  <conditionalFormatting sqref="C94">
    <cfRule type="cellIs" dxfId="5660" priority="2403" stopIfTrue="1" operator="equal">
      <formula>"Towel"</formula>
    </cfRule>
    <cfRule type="cellIs" dxfId="5659" priority="2404" stopIfTrue="1" operator="equal">
      <formula>"Napkin Hs"</formula>
    </cfRule>
  </conditionalFormatting>
  <conditionalFormatting sqref="C94">
    <cfRule type="cellIs" dxfId="5658" priority="2405" stopIfTrue="1" operator="equal">
      <formula>"Towel"</formula>
    </cfRule>
  </conditionalFormatting>
  <conditionalFormatting sqref="B94:C94">
    <cfRule type="cellIs" dxfId="5657" priority="2401" stopIfTrue="1" operator="equal">
      <formula>"Towel"</formula>
    </cfRule>
    <cfRule type="cellIs" dxfId="5656" priority="2402" stopIfTrue="1" operator="equal">
      <formula>"Napkin Hs"</formula>
    </cfRule>
  </conditionalFormatting>
  <conditionalFormatting sqref="C94">
    <cfRule type="cellIs" dxfId="5655" priority="2400" stopIfTrue="1" operator="equal">
      <formula>"Napkin Hs"</formula>
    </cfRule>
  </conditionalFormatting>
  <conditionalFormatting sqref="C94">
    <cfRule type="cellIs" dxfId="5654" priority="2397" stopIfTrue="1" operator="equal">
      <formula>"Towel"</formula>
    </cfRule>
    <cfRule type="cellIs" dxfId="5653" priority="2398" stopIfTrue="1" operator="equal">
      <formula>"Napkin Hs"</formula>
    </cfRule>
  </conditionalFormatting>
  <conditionalFormatting sqref="C94">
    <cfRule type="cellIs" dxfId="5652" priority="2399" stopIfTrue="1" operator="equal">
      <formula>"Towel"</formula>
    </cfRule>
  </conditionalFormatting>
  <conditionalFormatting sqref="B99:C99">
    <cfRule type="cellIs" dxfId="5651" priority="2395" stopIfTrue="1" operator="equal">
      <formula>"Towel"</formula>
    </cfRule>
    <cfRule type="cellIs" dxfId="5650" priority="2396" stopIfTrue="1" operator="equal">
      <formula>"Napkin Hs"</formula>
    </cfRule>
  </conditionalFormatting>
  <conditionalFormatting sqref="C99">
    <cfRule type="cellIs" dxfId="5649" priority="2394" stopIfTrue="1" operator="equal">
      <formula>"Napkin Hs"</formula>
    </cfRule>
  </conditionalFormatting>
  <conditionalFormatting sqref="C99">
    <cfRule type="cellIs" dxfId="5648" priority="2391" stopIfTrue="1" operator="equal">
      <formula>"Towel"</formula>
    </cfRule>
    <cfRule type="cellIs" dxfId="5647" priority="2392" stopIfTrue="1" operator="equal">
      <formula>"Napkin Hs"</formula>
    </cfRule>
  </conditionalFormatting>
  <conditionalFormatting sqref="C99">
    <cfRule type="cellIs" dxfId="5646" priority="2393" stopIfTrue="1" operator="equal">
      <formula>"Towel"</formula>
    </cfRule>
  </conditionalFormatting>
  <conditionalFormatting sqref="B99:C99">
    <cfRule type="cellIs" dxfId="5645" priority="2383" stopIfTrue="1" operator="equal">
      <formula>"Towel"</formula>
    </cfRule>
    <cfRule type="cellIs" dxfId="5644" priority="2384" stopIfTrue="1" operator="equal">
      <formula>"Napkin Hs"</formula>
    </cfRule>
  </conditionalFormatting>
  <conditionalFormatting sqref="C99">
    <cfRule type="cellIs" dxfId="5643" priority="2382" stopIfTrue="1" operator="equal">
      <formula>"Napkin Hs"</formula>
    </cfRule>
  </conditionalFormatting>
  <conditionalFormatting sqref="C99">
    <cfRule type="cellIs" dxfId="5642" priority="2379" stopIfTrue="1" operator="equal">
      <formula>"Towel"</formula>
    </cfRule>
    <cfRule type="cellIs" dxfId="5641" priority="2380" stopIfTrue="1" operator="equal">
      <formula>"Napkin Hs"</formula>
    </cfRule>
  </conditionalFormatting>
  <conditionalFormatting sqref="C99">
    <cfRule type="cellIs" dxfId="5640" priority="2381" stopIfTrue="1" operator="equal">
      <formula>"Towel"</formula>
    </cfRule>
  </conditionalFormatting>
  <conditionalFormatting sqref="B99:C99">
    <cfRule type="cellIs" dxfId="5639" priority="2347" stopIfTrue="1" operator="equal">
      <formula>"Towel"</formula>
    </cfRule>
    <cfRule type="cellIs" dxfId="5638" priority="2348" stopIfTrue="1" operator="equal">
      <formula>"Napkin Hs"</formula>
    </cfRule>
  </conditionalFormatting>
  <conditionalFormatting sqref="C99">
    <cfRule type="cellIs" dxfId="5637" priority="2343" stopIfTrue="1" operator="equal">
      <formula>"Towel"</formula>
    </cfRule>
    <cfRule type="cellIs" dxfId="5636" priority="2344" stopIfTrue="1" operator="equal">
      <formula>"Napkin Hs"</formula>
    </cfRule>
  </conditionalFormatting>
  <conditionalFormatting sqref="B99:C99">
    <cfRule type="cellIs" dxfId="5635" priority="2341" stopIfTrue="1" operator="equal">
      <formula>"Towel"</formula>
    </cfRule>
    <cfRule type="cellIs" dxfId="5634" priority="2342" stopIfTrue="1" operator="equal">
      <formula>"Napkin Hs"</formula>
    </cfRule>
  </conditionalFormatting>
  <conditionalFormatting sqref="C99">
    <cfRule type="cellIs" dxfId="5633" priority="2340" stopIfTrue="1" operator="equal">
      <formula>"Napkin Hs"</formula>
    </cfRule>
  </conditionalFormatting>
  <conditionalFormatting sqref="C99">
    <cfRule type="cellIs" dxfId="5632" priority="2337" stopIfTrue="1" operator="equal">
      <formula>"Towel"</formula>
    </cfRule>
    <cfRule type="cellIs" dxfId="5631" priority="2338" stopIfTrue="1" operator="equal">
      <formula>"Napkin Hs"</formula>
    </cfRule>
  </conditionalFormatting>
  <conditionalFormatting sqref="C99">
    <cfRule type="cellIs" dxfId="5630" priority="2339" stopIfTrue="1" operator="equal">
      <formula>"Towel"</formula>
    </cfRule>
  </conditionalFormatting>
  <conditionalFormatting sqref="B99:C99">
    <cfRule type="cellIs" dxfId="5629" priority="2335" stopIfTrue="1" operator="equal">
      <formula>"Towel"</formula>
    </cfRule>
    <cfRule type="cellIs" dxfId="5628" priority="2336" stopIfTrue="1" operator="equal">
      <formula>"Napkin Hs"</formula>
    </cfRule>
  </conditionalFormatting>
  <conditionalFormatting sqref="C99">
    <cfRule type="cellIs" dxfId="5627" priority="2334" stopIfTrue="1" operator="equal">
      <formula>"Napkin Hs"</formula>
    </cfRule>
  </conditionalFormatting>
  <conditionalFormatting sqref="C99">
    <cfRule type="cellIs" dxfId="5626" priority="2331" stopIfTrue="1" operator="equal">
      <formula>"Towel"</formula>
    </cfRule>
    <cfRule type="cellIs" dxfId="5625" priority="2332" stopIfTrue="1" operator="equal">
      <formula>"Napkin Hs"</formula>
    </cfRule>
  </conditionalFormatting>
  <conditionalFormatting sqref="C99">
    <cfRule type="cellIs" dxfId="5624" priority="2333" stopIfTrue="1" operator="equal">
      <formula>"Towel"</formula>
    </cfRule>
  </conditionalFormatting>
  <conditionalFormatting sqref="B99:C99">
    <cfRule type="cellIs" dxfId="5623" priority="2329" stopIfTrue="1" operator="equal">
      <formula>"Towel"</formula>
    </cfRule>
    <cfRule type="cellIs" dxfId="5622" priority="2330" stopIfTrue="1" operator="equal">
      <formula>"Napkin Hs"</formula>
    </cfRule>
  </conditionalFormatting>
  <conditionalFormatting sqref="C99">
    <cfRule type="cellIs" dxfId="5621" priority="2328" stopIfTrue="1" operator="equal">
      <formula>"Napkin Hs"</formula>
    </cfRule>
  </conditionalFormatting>
  <conditionalFormatting sqref="C99">
    <cfRule type="cellIs" dxfId="5620" priority="2325" stopIfTrue="1" operator="equal">
      <formula>"Towel"</formula>
    </cfRule>
    <cfRule type="cellIs" dxfId="5619" priority="2326" stopIfTrue="1" operator="equal">
      <formula>"Napkin Hs"</formula>
    </cfRule>
  </conditionalFormatting>
  <conditionalFormatting sqref="C99">
    <cfRule type="cellIs" dxfId="5618" priority="2327" stopIfTrue="1" operator="equal">
      <formula>"Towel"</formula>
    </cfRule>
  </conditionalFormatting>
  <conditionalFormatting sqref="B99:C99">
    <cfRule type="cellIs" dxfId="5617" priority="2377" stopIfTrue="1" operator="equal">
      <formula>"Towel"</formula>
    </cfRule>
    <cfRule type="cellIs" dxfId="5616" priority="2378" stopIfTrue="1" operator="equal">
      <formula>"Napkin Hs"</formula>
    </cfRule>
  </conditionalFormatting>
  <conditionalFormatting sqref="C99">
    <cfRule type="cellIs" dxfId="5615" priority="2376" stopIfTrue="1" operator="equal">
      <formula>"Napkin Hs"</formula>
    </cfRule>
  </conditionalFormatting>
  <conditionalFormatting sqref="C99">
    <cfRule type="cellIs" dxfId="5614" priority="2373" stopIfTrue="1" operator="equal">
      <formula>"Towel"</formula>
    </cfRule>
    <cfRule type="cellIs" dxfId="5613" priority="2374" stopIfTrue="1" operator="equal">
      <formula>"Napkin Hs"</formula>
    </cfRule>
  </conditionalFormatting>
  <conditionalFormatting sqref="C99">
    <cfRule type="cellIs" dxfId="5612" priority="2375" stopIfTrue="1" operator="equal">
      <formula>"Towel"</formula>
    </cfRule>
  </conditionalFormatting>
  <conditionalFormatting sqref="B99:C99">
    <cfRule type="cellIs" dxfId="5611" priority="2371" stopIfTrue="1" operator="equal">
      <formula>"Towel"</formula>
    </cfRule>
    <cfRule type="cellIs" dxfId="5610" priority="2372" stopIfTrue="1" operator="equal">
      <formula>"Napkin Hs"</formula>
    </cfRule>
  </conditionalFormatting>
  <conditionalFormatting sqref="C99">
    <cfRule type="cellIs" dxfId="5609" priority="2370" stopIfTrue="1" operator="equal">
      <formula>"Napkin Hs"</formula>
    </cfRule>
  </conditionalFormatting>
  <conditionalFormatting sqref="C99">
    <cfRule type="cellIs" dxfId="5608" priority="2367" stopIfTrue="1" operator="equal">
      <formula>"Towel"</formula>
    </cfRule>
    <cfRule type="cellIs" dxfId="5607" priority="2368" stopIfTrue="1" operator="equal">
      <formula>"Napkin Hs"</formula>
    </cfRule>
  </conditionalFormatting>
  <conditionalFormatting sqref="C99">
    <cfRule type="cellIs" dxfId="5606" priority="2369" stopIfTrue="1" operator="equal">
      <formula>"Towel"</formula>
    </cfRule>
  </conditionalFormatting>
  <conditionalFormatting sqref="B99:C99">
    <cfRule type="cellIs" dxfId="5605" priority="2365" stopIfTrue="1" operator="equal">
      <formula>"Towel"</formula>
    </cfRule>
    <cfRule type="cellIs" dxfId="5604" priority="2366" stopIfTrue="1" operator="equal">
      <formula>"Napkin Hs"</formula>
    </cfRule>
  </conditionalFormatting>
  <conditionalFormatting sqref="C99">
    <cfRule type="cellIs" dxfId="5603" priority="2364" stopIfTrue="1" operator="equal">
      <formula>"Napkin Hs"</formula>
    </cfRule>
  </conditionalFormatting>
  <conditionalFormatting sqref="C99">
    <cfRule type="cellIs" dxfId="5602" priority="2361" stopIfTrue="1" operator="equal">
      <formula>"Towel"</formula>
    </cfRule>
    <cfRule type="cellIs" dxfId="5601" priority="2362" stopIfTrue="1" operator="equal">
      <formula>"Napkin Hs"</formula>
    </cfRule>
  </conditionalFormatting>
  <conditionalFormatting sqref="C99">
    <cfRule type="cellIs" dxfId="5600" priority="2363" stopIfTrue="1" operator="equal">
      <formula>"Towel"</formula>
    </cfRule>
  </conditionalFormatting>
  <conditionalFormatting sqref="B99:C99">
    <cfRule type="cellIs" dxfId="5599" priority="2359" stopIfTrue="1" operator="equal">
      <formula>"Towel"</formula>
    </cfRule>
    <cfRule type="cellIs" dxfId="5598" priority="2360" stopIfTrue="1" operator="equal">
      <formula>"Napkin Hs"</formula>
    </cfRule>
  </conditionalFormatting>
  <conditionalFormatting sqref="C99">
    <cfRule type="cellIs" dxfId="5597" priority="2358" stopIfTrue="1" operator="equal">
      <formula>"Napkin Hs"</formula>
    </cfRule>
  </conditionalFormatting>
  <conditionalFormatting sqref="C99">
    <cfRule type="cellIs" dxfId="5596" priority="2355" stopIfTrue="1" operator="equal">
      <formula>"Towel"</formula>
    </cfRule>
    <cfRule type="cellIs" dxfId="5595" priority="2356" stopIfTrue="1" operator="equal">
      <formula>"Napkin Hs"</formula>
    </cfRule>
  </conditionalFormatting>
  <conditionalFormatting sqref="C99">
    <cfRule type="cellIs" dxfId="5594" priority="2357" stopIfTrue="1" operator="equal">
      <formula>"Towel"</formula>
    </cfRule>
  </conditionalFormatting>
  <conditionalFormatting sqref="B99:C99">
    <cfRule type="cellIs" dxfId="5593" priority="2353" stopIfTrue="1" operator="equal">
      <formula>"Towel"</formula>
    </cfRule>
    <cfRule type="cellIs" dxfId="5592" priority="2354" stopIfTrue="1" operator="equal">
      <formula>"Napkin Hs"</formula>
    </cfRule>
  </conditionalFormatting>
  <conditionalFormatting sqref="C99">
    <cfRule type="cellIs" dxfId="5591" priority="2351" stopIfTrue="1" operator="equal">
      <formula>"Towel"</formula>
    </cfRule>
    <cfRule type="cellIs" dxfId="5590" priority="2352" stopIfTrue="1" operator="equal">
      <formula>"Napkin Hs"</formula>
    </cfRule>
  </conditionalFormatting>
  <conditionalFormatting sqref="C99">
    <cfRule type="cellIs" dxfId="5589" priority="2349" stopIfTrue="1" operator="equal">
      <formula>"Towel"</formula>
    </cfRule>
    <cfRule type="cellIs" dxfId="5588" priority="2350" stopIfTrue="1" operator="equal">
      <formula>"Napkin Hs"</formula>
    </cfRule>
  </conditionalFormatting>
  <conditionalFormatting sqref="C99">
    <cfRule type="cellIs" dxfId="5587" priority="2345" stopIfTrue="1" operator="equal">
      <formula>"Towel"</formula>
    </cfRule>
    <cfRule type="cellIs" dxfId="5586" priority="2346" stopIfTrue="1" operator="equal">
      <formula>"Napkin Hs"</formula>
    </cfRule>
  </conditionalFormatting>
  <conditionalFormatting sqref="B98:C98">
    <cfRule type="cellIs" dxfId="5585" priority="2293" stopIfTrue="1" operator="equal">
      <formula>"Towel"</formula>
    </cfRule>
    <cfRule type="cellIs" dxfId="5584" priority="2294" stopIfTrue="1" operator="equal">
      <formula>"Napkin Hs"</formula>
    </cfRule>
  </conditionalFormatting>
  <conditionalFormatting sqref="C98">
    <cfRule type="cellIs" dxfId="5583" priority="2292" stopIfTrue="1" operator="equal">
      <formula>"Napkin Hs"</formula>
    </cfRule>
  </conditionalFormatting>
  <conditionalFormatting sqref="C98">
    <cfRule type="cellIs" dxfId="5582" priority="2289" stopIfTrue="1" operator="equal">
      <formula>"Towel"</formula>
    </cfRule>
    <cfRule type="cellIs" dxfId="5581" priority="2290" stopIfTrue="1" operator="equal">
      <formula>"Napkin Hs"</formula>
    </cfRule>
  </conditionalFormatting>
  <conditionalFormatting sqref="C98">
    <cfRule type="cellIs" dxfId="5580" priority="2291" stopIfTrue="1" operator="equal">
      <formula>"Towel"</formula>
    </cfRule>
  </conditionalFormatting>
  <conditionalFormatting sqref="B98:C98">
    <cfRule type="cellIs" dxfId="5579" priority="2287" stopIfTrue="1" operator="equal">
      <formula>"Towel"</formula>
    </cfRule>
    <cfRule type="cellIs" dxfId="5578" priority="2288" stopIfTrue="1" operator="equal">
      <formula>"Napkin Hs"</formula>
    </cfRule>
  </conditionalFormatting>
  <conditionalFormatting sqref="C98">
    <cfRule type="cellIs" dxfId="5577" priority="2286" stopIfTrue="1" operator="equal">
      <formula>"Napkin Hs"</formula>
    </cfRule>
  </conditionalFormatting>
  <conditionalFormatting sqref="C98">
    <cfRule type="cellIs" dxfId="5576" priority="2283" stopIfTrue="1" operator="equal">
      <formula>"Towel"</formula>
    </cfRule>
    <cfRule type="cellIs" dxfId="5575" priority="2284" stopIfTrue="1" operator="equal">
      <formula>"Napkin Hs"</formula>
    </cfRule>
  </conditionalFormatting>
  <conditionalFormatting sqref="C98">
    <cfRule type="cellIs" dxfId="5574" priority="2285" stopIfTrue="1" operator="equal">
      <formula>"Towel"</formula>
    </cfRule>
  </conditionalFormatting>
  <conditionalFormatting sqref="B98:C98">
    <cfRule type="cellIs" dxfId="5573" priority="2281" stopIfTrue="1" operator="equal">
      <formula>"Towel"</formula>
    </cfRule>
    <cfRule type="cellIs" dxfId="5572" priority="2282" stopIfTrue="1" operator="equal">
      <formula>"Napkin Hs"</formula>
    </cfRule>
  </conditionalFormatting>
  <conditionalFormatting sqref="C98">
    <cfRule type="cellIs" dxfId="5571" priority="2280" stopIfTrue="1" operator="equal">
      <formula>"Napkin Hs"</formula>
    </cfRule>
  </conditionalFormatting>
  <conditionalFormatting sqref="C98">
    <cfRule type="cellIs" dxfId="5570" priority="2277" stopIfTrue="1" operator="equal">
      <formula>"Towel"</formula>
    </cfRule>
    <cfRule type="cellIs" dxfId="5569" priority="2278" stopIfTrue="1" operator="equal">
      <formula>"Napkin Hs"</formula>
    </cfRule>
  </conditionalFormatting>
  <conditionalFormatting sqref="C98">
    <cfRule type="cellIs" dxfId="5568" priority="2279" stopIfTrue="1" operator="equal">
      <formula>"Towel"</formula>
    </cfRule>
  </conditionalFormatting>
  <conditionalFormatting sqref="B98:C98">
    <cfRule type="cellIs" dxfId="5567" priority="2275" stopIfTrue="1" operator="equal">
      <formula>"Towel"</formula>
    </cfRule>
    <cfRule type="cellIs" dxfId="5566" priority="2276" stopIfTrue="1" operator="equal">
      <formula>"Napkin Hs"</formula>
    </cfRule>
  </conditionalFormatting>
  <conditionalFormatting sqref="C98">
    <cfRule type="cellIs" dxfId="5565" priority="2274" stopIfTrue="1" operator="equal">
      <formula>"Napkin Hs"</formula>
    </cfRule>
  </conditionalFormatting>
  <conditionalFormatting sqref="C98">
    <cfRule type="cellIs" dxfId="5564" priority="2271" stopIfTrue="1" operator="equal">
      <formula>"Towel"</formula>
    </cfRule>
    <cfRule type="cellIs" dxfId="5563" priority="2272" stopIfTrue="1" operator="equal">
      <formula>"Napkin Hs"</formula>
    </cfRule>
  </conditionalFormatting>
  <conditionalFormatting sqref="C98">
    <cfRule type="cellIs" dxfId="5562" priority="2273" stopIfTrue="1" operator="equal">
      <formula>"Towel"</formula>
    </cfRule>
  </conditionalFormatting>
  <conditionalFormatting sqref="B98:C98">
    <cfRule type="cellIs" dxfId="5561" priority="2269" stopIfTrue="1" operator="equal">
      <formula>"Towel"</formula>
    </cfRule>
    <cfRule type="cellIs" dxfId="5560" priority="2270" stopIfTrue="1" operator="equal">
      <formula>"Napkin Hs"</formula>
    </cfRule>
  </conditionalFormatting>
  <conditionalFormatting sqref="C98">
    <cfRule type="cellIs" dxfId="5559" priority="2268" stopIfTrue="1" operator="equal">
      <formula>"Napkin Hs"</formula>
    </cfRule>
  </conditionalFormatting>
  <conditionalFormatting sqref="C98">
    <cfRule type="cellIs" dxfId="5558" priority="2265" stopIfTrue="1" operator="equal">
      <formula>"Towel"</formula>
    </cfRule>
    <cfRule type="cellIs" dxfId="5557" priority="2266" stopIfTrue="1" operator="equal">
      <formula>"Napkin Hs"</formula>
    </cfRule>
  </conditionalFormatting>
  <conditionalFormatting sqref="C98">
    <cfRule type="cellIs" dxfId="5556" priority="2267" stopIfTrue="1" operator="equal">
      <formula>"Towel"</formula>
    </cfRule>
  </conditionalFormatting>
  <conditionalFormatting sqref="B98:C98">
    <cfRule type="cellIs" dxfId="5555" priority="2263" stopIfTrue="1" operator="equal">
      <formula>"Towel"</formula>
    </cfRule>
    <cfRule type="cellIs" dxfId="5554" priority="2264" stopIfTrue="1" operator="equal">
      <formula>"Napkin Hs"</formula>
    </cfRule>
  </conditionalFormatting>
  <conditionalFormatting sqref="C98">
    <cfRule type="cellIs" dxfId="5553" priority="2262" stopIfTrue="1" operator="equal">
      <formula>"Napkin Hs"</formula>
    </cfRule>
  </conditionalFormatting>
  <conditionalFormatting sqref="C98">
    <cfRule type="cellIs" dxfId="5552" priority="2259" stopIfTrue="1" operator="equal">
      <formula>"Towel"</formula>
    </cfRule>
    <cfRule type="cellIs" dxfId="5551" priority="2260" stopIfTrue="1" operator="equal">
      <formula>"Napkin Hs"</formula>
    </cfRule>
  </conditionalFormatting>
  <conditionalFormatting sqref="C98">
    <cfRule type="cellIs" dxfId="5550" priority="2261" stopIfTrue="1" operator="equal">
      <formula>"Towel"</formula>
    </cfRule>
  </conditionalFormatting>
  <conditionalFormatting sqref="B98:C98">
    <cfRule type="cellIs" dxfId="5549" priority="2257" stopIfTrue="1" operator="equal">
      <formula>"Towel"</formula>
    </cfRule>
    <cfRule type="cellIs" dxfId="5548" priority="2258" stopIfTrue="1" operator="equal">
      <formula>"Napkin Hs"</formula>
    </cfRule>
  </conditionalFormatting>
  <conditionalFormatting sqref="C98">
    <cfRule type="cellIs" dxfId="5547" priority="2256" stopIfTrue="1" operator="equal">
      <formula>"Napkin Hs"</formula>
    </cfRule>
  </conditionalFormatting>
  <conditionalFormatting sqref="C98">
    <cfRule type="cellIs" dxfId="5546" priority="2253" stopIfTrue="1" operator="equal">
      <formula>"Towel"</formula>
    </cfRule>
    <cfRule type="cellIs" dxfId="5545" priority="2254" stopIfTrue="1" operator="equal">
      <formula>"Napkin Hs"</formula>
    </cfRule>
  </conditionalFormatting>
  <conditionalFormatting sqref="C98">
    <cfRule type="cellIs" dxfId="5544" priority="2255" stopIfTrue="1" operator="equal">
      <formula>"Towel"</formula>
    </cfRule>
  </conditionalFormatting>
  <conditionalFormatting sqref="B98:C98">
    <cfRule type="cellIs" dxfId="5543" priority="2251" stopIfTrue="1" operator="equal">
      <formula>"Towel"</formula>
    </cfRule>
    <cfRule type="cellIs" dxfId="5542" priority="2252" stopIfTrue="1" operator="equal">
      <formula>"Napkin Hs"</formula>
    </cfRule>
  </conditionalFormatting>
  <conditionalFormatting sqref="C98">
    <cfRule type="cellIs" dxfId="5541" priority="2250" stopIfTrue="1" operator="equal">
      <formula>"Napkin Hs"</formula>
    </cfRule>
  </conditionalFormatting>
  <conditionalFormatting sqref="C98">
    <cfRule type="cellIs" dxfId="5540" priority="2247" stopIfTrue="1" operator="equal">
      <formula>"Towel"</formula>
    </cfRule>
    <cfRule type="cellIs" dxfId="5539" priority="2248" stopIfTrue="1" operator="equal">
      <formula>"Napkin Hs"</formula>
    </cfRule>
  </conditionalFormatting>
  <conditionalFormatting sqref="C98">
    <cfRule type="cellIs" dxfId="5538" priority="2249" stopIfTrue="1" operator="equal">
      <formula>"Towel"</formula>
    </cfRule>
  </conditionalFormatting>
  <conditionalFormatting sqref="B97:C99">
    <cfRule type="cellIs" dxfId="5537" priority="2245" stopIfTrue="1" operator="equal">
      <formula>"Towel"</formula>
    </cfRule>
    <cfRule type="cellIs" dxfId="5536" priority="2246" stopIfTrue="1" operator="equal">
      <formula>"Napkin Hs"</formula>
    </cfRule>
  </conditionalFormatting>
  <conditionalFormatting sqref="C97:C99">
    <cfRule type="cellIs" dxfId="5535" priority="2244" stopIfTrue="1" operator="equal">
      <formula>"Napkin Hs"</formula>
    </cfRule>
  </conditionalFormatting>
  <conditionalFormatting sqref="C97:C99">
    <cfRule type="cellIs" dxfId="5534" priority="2241" stopIfTrue="1" operator="equal">
      <formula>"Towel"</formula>
    </cfRule>
    <cfRule type="cellIs" dxfId="5533" priority="2242" stopIfTrue="1" operator="equal">
      <formula>"Napkin Hs"</formula>
    </cfRule>
  </conditionalFormatting>
  <conditionalFormatting sqref="C97:C99">
    <cfRule type="cellIs" dxfId="5532" priority="2243" stopIfTrue="1" operator="equal">
      <formula>"Towel"</formula>
    </cfRule>
  </conditionalFormatting>
  <conditionalFormatting sqref="B97:C99">
    <cfRule type="cellIs" dxfId="5531" priority="2239" stopIfTrue="1" operator="equal">
      <formula>"Towel"</formula>
    </cfRule>
    <cfRule type="cellIs" dxfId="5530" priority="2240" stopIfTrue="1" operator="equal">
      <formula>"Napkin Hs"</formula>
    </cfRule>
  </conditionalFormatting>
  <conditionalFormatting sqref="C97:C99">
    <cfRule type="cellIs" dxfId="5529" priority="2238" stopIfTrue="1" operator="equal">
      <formula>"Napkin Hs"</formula>
    </cfRule>
  </conditionalFormatting>
  <conditionalFormatting sqref="C97:C99">
    <cfRule type="cellIs" dxfId="5528" priority="2235" stopIfTrue="1" operator="equal">
      <formula>"Towel"</formula>
    </cfRule>
    <cfRule type="cellIs" dxfId="5527" priority="2236" stopIfTrue="1" operator="equal">
      <formula>"Napkin Hs"</formula>
    </cfRule>
  </conditionalFormatting>
  <conditionalFormatting sqref="C97:C99">
    <cfRule type="cellIs" dxfId="5526" priority="2237" stopIfTrue="1" operator="equal">
      <formula>"Towel"</formula>
    </cfRule>
  </conditionalFormatting>
  <conditionalFormatting sqref="B97:C99">
    <cfRule type="cellIs" dxfId="5525" priority="2233" stopIfTrue="1" operator="equal">
      <formula>"Towel"</formula>
    </cfRule>
    <cfRule type="cellIs" dxfId="5524" priority="2234" stopIfTrue="1" operator="equal">
      <formula>"Napkin Hs"</formula>
    </cfRule>
  </conditionalFormatting>
  <conditionalFormatting sqref="C97:C99">
    <cfRule type="cellIs" dxfId="5523" priority="2232" stopIfTrue="1" operator="equal">
      <formula>"Napkin Hs"</formula>
    </cfRule>
  </conditionalFormatting>
  <conditionalFormatting sqref="C97:C99">
    <cfRule type="cellIs" dxfId="5522" priority="2229" stopIfTrue="1" operator="equal">
      <formula>"Towel"</formula>
    </cfRule>
    <cfRule type="cellIs" dxfId="5521" priority="2230" stopIfTrue="1" operator="equal">
      <formula>"Napkin Hs"</formula>
    </cfRule>
  </conditionalFormatting>
  <conditionalFormatting sqref="C97:C99">
    <cfRule type="cellIs" dxfId="5520" priority="2231" stopIfTrue="1" operator="equal">
      <formula>"Towel"</formula>
    </cfRule>
  </conditionalFormatting>
  <conditionalFormatting sqref="B97:C99">
    <cfRule type="cellIs" dxfId="5519" priority="2227" stopIfTrue="1" operator="equal">
      <formula>"Towel"</formula>
    </cfRule>
    <cfRule type="cellIs" dxfId="5518" priority="2228" stopIfTrue="1" operator="equal">
      <formula>"Napkin Hs"</formula>
    </cfRule>
  </conditionalFormatting>
  <conditionalFormatting sqref="C97:C99">
    <cfRule type="cellIs" dxfId="5517" priority="2226" stopIfTrue="1" operator="equal">
      <formula>"Napkin Hs"</formula>
    </cfRule>
  </conditionalFormatting>
  <conditionalFormatting sqref="C97:C99">
    <cfRule type="cellIs" dxfId="5516" priority="2223" stopIfTrue="1" operator="equal">
      <formula>"Towel"</formula>
    </cfRule>
    <cfRule type="cellIs" dxfId="5515" priority="2224" stopIfTrue="1" operator="equal">
      <formula>"Napkin Hs"</formula>
    </cfRule>
  </conditionalFormatting>
  <conditionalFormatting sqref="C97:C99">
    <cfRule type="cellIs" dxfId="5514" priority="2225" stopIfTrue="1" operator="equal">
      <formula>"Towel"</formula>
    </cfRule>
  </conditionalFormatting>
  <conditionalFormatting sqref="B97:C99">
    <cfRule type="cellIs" dxfId="5513" priority="2221" stopIfTrue="1" operator="equal">
      <formula>"Towel"</formula>
    </cfRule>
    <cfRule type="cellIs" dxfId="5512" priority="2222" stopIfTrue="1" operator="equal">
      <formula>"Napkin Hs"</formula>
    </cfRule>
  </conditionalFormatting>
  <conditionalFormatting sqref="C97:C99">
    <cfRule type="cellIs" dxfId="5511" priority="2220" stopIfTrue="1" operator="equal">
      <formula>"Napkin Hs"</formula>
    </cfRule>
  </conditionalFormatting>
  <conditionalFormatting sqref="C97:C99">
    <cfRule type="cellIs" dxfId="5510" priority="2217" stopIfTrue="1" operator="equal">
      <formula>"Towel"</formula>
    </cfRule>
    <cfRule type="cellIs" dxfId="5509" priority="2218" stopIfTrue="1" operator="equal">
      <formula>"Napkin Hs"</formula>
    </cfRule>
  </conditionalFormatting>
  <conditionalFormatting sqref="C97:C99">
    <cfRule type="cellIs" dxfId="5508" priority="2219" stopIfTrue="1" operator="equal">
      <formula>"Towel"</formula>
    </cfRule>
  </conditionalFormatting>
  <conditionalFormatting sqref="B97:C99">
    <cfRule type="cellIs" dxfId="5507" priority="2215" stopIfTrue="1" operator="equal">
      <formula>"Towel"</formula>
    </cfRule>
    <cfRule type="cellIs" dxfId="5506" priority="2216" stopIfTrue="1" operator="equal">
      <formula>"Napkin Hs"</formula>
    </cfRule>
  </conditionalFormatting>
  <conditionalFormatting sqref="C97:C99">
    <cfRule type="cellIs" dxfId="5505" priority="2214" stopIfTrue="1" operator="equal">
      <formula>"Napkin Hs"</formula>
    </cfRule>
  </conditionalFormatting>
  <conditionalFormatting sqref="C97:C99">
    <cfRule type="cellIs" dxfId="5504" priority="2211" stopIfTrue="1" operator="equal">
      <formula>"Towel"</formula>
    </cfRule>
    <cfRule type="cellIs" dxfId="5503" priority="2212" stopIfTrue="1" operator="equal">
      <formula>"Napkin Hs"</formula>
    </cfRule>
  </conditionalFormatting>
  <conditionalFormatting sqref="C97:C99">
    <cfRule type="cellIs" dxfId="5502" priority="2213" stopIfTrue="1" operator="equal">
      <formula>"Towel"</formula>
    </cfRule>
  </conditionalFormatting>
  <conditionalFormatting sqref="B97:C99">
    <cfRule type="cellIs" dxfId="5501" priority="2209" stopIfTrue="1" operator="equal">
      <formula>"Towel"</formula>
    </cfRule>
    <cfRule type="cellIs" dxfId="5500" priority="2210" stopIfTrue="1" operator="equal">
      <formula>"Napkin Hs"</formula>
    </cfRule>
  </conditionalFormatting>
  <conditionalFormatting sqref="C97:C99">
    <cfRule type="cellIs" dxfId="5499" priority="2208" stopIfTrue="1" operator="equal">
      <formula>"Napkin Hs"</formula>
    </cfRule>
  </conditionalFormatting>
  <conditionalFormatting sqref="C97:C99">
    <cfRule type="cellIs" dxfId="5498" priority="2205" stopIfTrue="1" operator="equal">
      <formula>"Towel"</formula>
    </cfRule>
    <cfRule type="cellIs" dxfId="5497" priority="2206" stopIfTrue="1" operator="equal">
      <formula>"Napkin Hs"</formula>
    </cfRule>
  </conditionalFormatting>
  <conditionalFormatting sqref="C97:C99">
    <cfRule type="cellIs" dxfId="5496" priority="2207" stopIfTrue="1" operator="equal">
      <formula>"Towel"</formula>
    </cfRule>
  </conditionalFormatting>
  <conditionalFormatting sqref="B97:C99">
    <cfRule type="cellIs" dxfId="5495" priority="2203" stopIfTrue="1" operator="equal">
      <formula>"Towel"</formula>
    </cfRule>
    <cfRule type="cellIs" dxfId="5494" priority="2204" stopIfTrue="1" operator="equal">
      <formula>"Napkin Hs"</formula>
    </cfRule>
  </conditionalFormatting>
  <conditionalFormatting sqref="C97:C99">
    <cfRule type="cellIs" dxfId="5493" priority="2202" stopIfTrue="1" operator="equal">
      <formula>"Napkin Hs"</formula>
    </cfRule>
  </conditionalFormatting>
  <conditionalFormatting sqref="C97:C99">
    <cfRule type="cellIs" dxfId="5492" priority="2199" stopIfTrue="1" operator="equal">
      <formula>"Towel"</formula>
    </cfRule>
    <cfRule type="cellIs" dxfId="5491" priority="2200" stopIfTrue="1" operator="equal">
      <formula>"Napkin Hs"</formula>
    </cfRule>
  </conditionalFormatting>
  <conditionalFormatting sqref="C97:C99">
    <cfRule type="cellIs" dxfId="5490" priority="2201" stopIfTrue="1" operator="equal">
      <formula>"Towel"</formula>
    </cfRule>
  </conditionalFormatting>
  <conditionalFormatting sqref="B104:C105">
    <cfRule type="cellIs" dxfId="5489" priority="2197" stopIfTrue="1" operator="equal">
      <formula>"Towel"</formula>
    </cfRule>
    <cfRule type="cellIs" dxfId="5488" priority="2198" stopIfTrue="1" operator="equal">
      <formula>"Napkin Hs"</formula>
    </cfRule>
  </conditionalFormatting>
  <conditionalFormatting sqref="C104:C105">
    <cfRule type="cellIs" dxfId="5487" priority="2195" stopIfTrue="1" operator="equal">
      <formula>"Towel"</formula>
    </cfRule>
    <cfRule type="cellIs" dxfId="5486" priority="2196" stopIfTrue="1" operator="equal">
      <formula>"Napkin Hs"</formula>
    </cfRule>
  </conditionalFormatting>
  <conditionalFormatting sqref="C104:C105">
    <cfRule type="cellIs" dxfId="5485" priority="2193" stopIfTrue="1" operator="equal">
      <formula>"Towel"</formula>
    </cfRule>
    <cfRule type="cellIs" dxfId="5484" priority="2194" stopIfTrue="1" operator="equal">
      <formula>"Napkin Hs"</formula>
    </cfRule>
  </conditionalFormatting>
  <conditionalFormatting sqref="B101:C101">
    <cfRule type="cellIs" dxfId="5483" priority="2029" stopIfTrue="1" operator="equal">
      <formula>"Towel"</formula>
    </cfRule>
    <cfRule type="cellIs" dxfId="5482" priority="2030" stopIfTrue="1" operator="equal">
      <formula>"Napkin Hs"</formula>
    </cfRule>
  </conditionalFormatting>
  <conditionalFormatting sqref="C101">
    <cfRule type="cellIs" dxfId="5481" priority="2028" stopIfTrue="1" operator="equal">
      <formula>"Napkin Hs"</formula>
    </cfRule>
  </conditionalFormatting>
  <conditionalFormatting sqref="C101">
    <cfRule type="cellIs" dxfId="5480" priority="2025" stopIfTrue="1" operator="equal">
      <formula>"Towel"</formula>
    </cfRule>
    <cfRule type="cellIs" dxfId="5479" priority="2026" stopIfTrue="1" operator="equal">
      <formula>"Napkin Hs"</formula>
    </cfRule>
  </conditionalFormatting>
  <conditionalFormatting sqref="C101">
    <cfRule type="cellIs" dxfId="5478" priority="2027" stopIfTrue="1" operator="equal">
      <formula>"Towel"</formula>
    </cfRule>
  </conditionalFormatting>
  <conditionalFormatting sqref="B101:C101">
    <cfRule type="cellIs" dxfId="5477" priority="2023" stopIfTrue="1" operator="equal">
      <formula>"Towel"</formula>
    </cfRule>
    <cfRule type="cellIs" dxfId="5476" priority="2024" stopIfTrue="1" operator="equal">
      <formula>"Napkin Hs"</formula>
    </cfRule>
  </conditionalFormatting>
  <conditionalFormatting sqref="C101">
    <cfRule type="cellIs" dxfId="5475" priority="2022" stopIfTrue="1" operator="equal">
      <formula>"Napkin Hs"</formula>
    </cfRule>
  </conditionalFormatting>
  <conditionalFormatting sqref="C101">
    <cfRule type="cellIs" dxfId="5474" priority="2019" stopIfTrue="1" operator="equal">
      <formula>"Towel"</formula>
    </cfRule>
    <cfRule type="cellIs" dxfId="5473" priority="2020" stopIfTrue="1" operator="equal">
      <formula>"Napkin Hs"</formula>
    </cfRule>
  </conditionalFormatting>
  <conditionalFormatting sqref="C101">
    <cfRule type="cellIs" dxfId="5472" priority="2021" stopIfTrue="1" operator="equal">
      <formula>"Towel"</formula>
    </cfRule>
  </conditionalFormatting>
  <conditionalFormatting sqref="B101:C101">
    <cfRule type="cellIs" dxfId="5471" priority="1987" stopIfTrue="1" operator="equal">
      <formula>"Towel"</formula>
    </cfRule>
    <cfRule type="cellIs" dxfId="5470" priority="1988" stopIfTrue="1" operator="equal">
      <formula>"Napkin Hs"</formula>
    </cfRule>
  </conditionalFormatting>
  <conditionalFormatting sqref="C101">
    <cfRule type="cellIs" dxfId="5469" priority="1983" stopIfTrue="1" operator="equal">
      <formula>"Towel"</formula>
    </cfRule>
    <cfRule type="cellIs" dxfId="5468" priority="1984" stopIfTrue="1" operator="equal">
      <formula>"Napkin Hs"</formula>
    </cfRule>
  </conditionalFormatting>
  <conditionalFormatting sqref="B101:C101">
    <cfRule type="cellIs" dxfId="5467" priority="1981" stopIfTrue="1" operator="equal">
      <formula>"Towel"</formula>
    </cfRule>
    <cfRule type="cellIs" dxfId="5466" priority="1982" stopIfTrue="1" operator="equal">
      <formula>"Napkin Hs"</formula>
    </cfRule>
  </conditionalFormatting>
  <conditionalFormatting sqref="C101">
    <cfRule type="cellIs" dxfId="5465" priority="1980" stopIfTrue="1" operator="equal">
      <formula>"Napkin Hs"</formula>
    </cfRule>
  </conditionalFormatting>
  <conditionalFormatting sqref="C101">
    <cfRule type="cellIs" dxfId="5464" priority="1977" stopIfTrue="1" operator="equal">
      <formula>"Towel"</formula>
    </cfRule>
    <cfRule type="cellIs" dxfId="5463" priority="1978" stopIfTrue="1" operator="equal">
      <formula>"Napkin Hs"</formula>
    </cfRule>
  </conditionalFormatting>
  <conditionalFormatting sqref="C101">
    <cfRule type="cellIs" dxfId="5462" priority="1979" stopIfTrue="1" operator="equal">
      <formula>"Towel"</formula>
    </cfRule>
  </conditionalFormatting>
  <conditionalFormatting sqref="B101:C101">
    <cfRule type="cellIs" dxfId="5461" priority="1975" stopIfTrue="1" operator="equal">
      <formula>"Towel"</formula>
    </cfRule>
    <cfRule type="cellIs" dxfId="5460" priority="1976" stopIfTrue="1" operator="equal">
      <formula>"Napkin Hs"</formula>
    </cfRule>
  </conditionalFormatting>
  <conditionalFormatting sqref="C101">
    <cfRule type="cellIs" dxfId="5459" priority="1974" stopIfTrue="1" operator="equal">
      <formula>"Napkin Hs"</formula>
    </cfRule>
  </conditionalFormatting>
  <conditionalFormatting sqref="C101">
    <cfRule type="cellIs" dxfId="5458" priority="1971" stopIfTrue="1" operator="equal">
      <formula>"Towel"</formula>
    </cfRule>
    <cfRule type="cellIs" dxfId="5457" priority="1972" stopIfTrue="1" operator="equal">
      <formula>"Napkin Hs"</formula>
    </cfRule>
  </conditionalFormatting>
  <conditionalFormatting sqref="C101">
    <cfRule type="cellIs" dxfId="5456" priority="1973" stopIfTrue="1" operator="equal">
      <formula>"Towel"</formula>
    </cfRule>
  </conditionalFormatting>
  <conditionalFormatting sqref="B101:C101">
    <cfRule type="cellIs" dxfId="5455" priority="1969" stopIfTrue="1" operator="equal">
      <formula>"Towel"</formula>
    </cfRule>
    <cfRule type="cellIs" dxfId="5454" priority="1970" stopIfTrue="1" operator="equal">
      <formula>"Napkin Hs"</formula>
    </cfRule>
  </conditionalFormatting>
  <conditionalFormatting sqref="C101">
    <cfRule type="cellIs" dxfId="5453" priority="1968" stopIfTrue="1" operator="equal">
      <formula>"Napkin Hs"</formula>
    </cfRule>
  </conditionalFormatting>
  <conditionalFormatting sqref="C101">
    <cfRule type="cellIs" dxfId="5452" priority="1965" stopIfTrue="1" operator="equal">
      <formula>"Towel"</formula>
    </cfRule>
    <cfRule type="cellIs" dxfId="5451" priority="1966" stopIfTrue="1" operator="equal">
      <formula>"Napkin Hs"</formula>
    </cfRule>
  </conditionalFormatting>
  <conditionalFormatting sqref="C101">
    <cfRule type="cellIs" dxfId="5450" priority="1967" stopIfTrue="1" operator="equal">
      <formula>"Towel"</formula>
    </cfRule>
  </conditionalFormatting>
  <conditionalFormatting sqref="B101:C101">
    <cfRule type="cellIs" dxfId="5449" priority="2017" stopIfTrue="1" operator="equal">
      <formula>"Towel"</formula>
    </cfRule>
    <cfRule type="cellIs" dxfId="5448" priority="2018" stopIfTrue="1" operator="equal">
      <formula>"Napkin Hs"</formula>
    </cfRule>
  </conditionalFormatting>
  <conditionalFormatting sqref="C101">
    <cfRule type="cellIs" dxfId="5447" priority="2016" stopIfTrue="1" operator="equal">
      <formula>"Napkin Hs"</formula>
    </cfRule>
  </conditionalFormatting>
  <conditionalFormatting sqref="C101">
    <cfRule type="cellIs" dxfId="5446" priority="2013" stopIfTrue="1" operator="equal">
      <formula>"Towel"</formula>
    </cfRule>
    <cfRule type="cellIs" dxfId="5445" priority="2014" stopIfTrue="1" operator="equal">
      <formula>"Napkin Hs"</formula>
    </cfRule>
  </conditionalFormatting>
  <conditionalFormatting sqref="C101">
    <cfRule type="cellIs" dxfId="5444" priority="2015" stopIfTrue="1" operator="equal">
      <formula>"Towel"</formula>
    </cfRule>
  </conditionalFormatting>
  <conditionalFormatting sqref="B101:C101">
    <cfRule type="cellIs" dxfId="5443" priority="2011" stopIfTrue="1" operator="equal">
      <formula>"Towel"</formula>
    </cfRule>
    <cfRule type="cellIs" dxfId="5442" priority="2012" stopIfTrue="1" operator="equal">
      <formula>"Napkin Hs"</formula>
    </cfRule>
  </conditionalFormatting>
  <conditionalFormatting sqref="C101">
    <cfRule type="cellIs" dxfId="5441" priority="2010" stopIfTrue="1" operator="equal">
      <formula>"Napkin Hs"</formula>
    </cfRule>
  </conditionalFormatting>
  <conditionalFormatting sqref="C101">
    <cfRule type="cellIs" dxfId="5440" priority="2007" stopIfTrue="1" operator="equal">
      <formula>"Towel"</formula>
    </cfRule>
    <cfRule type="cellIs" dxfId="5439" priority="2008" stopIfTrue="1" operator="equal">
      <formula>"Napkin Hs"</formula>
    </cfRule>
  </conditionalFormatting>
  <conditionalFormatting sqref="C101">
    <cfRule type="cellIs" dxfId="5438" priority="2009" stopIfTrue="1" operator="equal">
      <formula>"Towel"</formula>
    </cfRule>
  </conditionalFormatting>
  <conditionalFormatting sqref="B101:C101">
    <cfRule type="cellIs" dxfId="5437" priority="2005" stopIfTrue="1" operator="equal">
      <formula>"Towel"</formula>
    </cfRule>
    <cfRule type="cellIs" dxfId="5436" priority="2006" stopIfTrue="1" operator="equal">
      <formula>"Napkin Hs"</formula>
    </cfRule>
  </conditionalFormatting>
  <conditionalFormatting sqref="C101">
    <cfRule type="cellIs" dxfId="5435" priority="2004" stopIfTrue="1" operator="equal">
      <formula>"Napkin Hs"</formula>
    </cfRule>
  </conditionalFormatting>
  <conditionalFormatting sqref="C101">
    <cfRule type="cellIs" dxfId="5434" priority="2001" stopIfTrue="1" operator="equal">
      <formula>"Towel"</formula>
    </cfRule>
    <cfRule type="cellIs" dxfId="5433" priority="2002" stopIfTrue="1" operator="equal">
      <formula>"Napkin Hs"</formula>
    </cfRule>
  </conditionalFormatting>
  <conditionalFormatting sqref="C101">
    <cfRule type="cellIs" dxfId="5432" priority="2003" stopIfTrue="1" operator="equal">
      <formula>"Towel"</formula>
    </cfRule>
  </conditionalFormatting>
  <conditionalFormatting sqref="B101:C101">
    <cfRule type="cellIs" dxfId="5431" priority="1999" stopIfTrue="1" operator="equal">
      <formula>"Towel"</formula>
    </cfRule>
    <cfRule type="cellIs" dxfId="5430" priority="2000" stopIfTrue="1" operator="equal">
      <formula>"Napkin Hs"</formula>
    </cfRule>
  </conditionalFormatting>
  <conditionalFormatting sqref="C101">
    <cfRule type="cellIs" dxfId="5429" priority="1998" stopIfTrue="1" operator="equal">
      <formula>"Napkin Hs"</formula>
    </cfRule>
  </conditionalFormatting>
  <conditionalFormatting sqref="C101">
    <cfRule type="cellIs" dxfId="5428" priority="1995" stopIfTrue="1" operator="equal">
      <formula>"Towel"</formula>
    </cfRule>
    <cfRule type="cellIs" dxfId="5427" priority="1996" stopIfTrue="1" operator="equal">
      <formula>"Napkin Hs"</formula>
    </cfRule>
  </conditionalFormatting>
  <conditionalFormatting sqref="C101">
    <cfRule type="cellIs" dxfId="5426" priority="1997" stopIfTrue="1" operator="equal">
      <formula>"Towel"</formula>
    </cfRule>
  </conditionalFormatting>
  <conditionalFormatting sqref="B101:C101">
    <cfRule type="cellIs" dxfId="5425" priority="1993" stopIfTrue="1" operator="equal">
      <formula>"Towel"</formula>
    </cfRule>
    <cfRule type="cellIs" dxfId="5424" priority="1994" stopIfTrue="1" operator="equal">
      <formula>"Napkin Hs"</formula>
    </cfRule>
  </conditionalFormatting>
  <conditionalFormatting sqref="C101">
    <cfRule type="cellIs" dxfId="5423" priority="1991" stopIfTrue="1" operator="equal">
      <formula>"Towel"</formula>
    </cfRule>
    <cfRule type="cellIs" dxfId="5422" priority="1992" stopIfTrue="1" operator="equal">
      <formula>"Napkin Hs"</formula>
    </cfRule>
  </conditionalFormatting>
  <conditionalFormatting sqref="C101">
    <cfRule type="cellIs" dxfId="5421" priority="1989" stopIfTrue="1" operator="equal">
      <formula>"Towel"</formula>
    </cfRule>
    <cfRule type="cellIs" dxfId="5420" priority="1990" stopIfTrue="1" operator="equal">
      <formula>"Napkin Hs"</formula>
    </cfRule>
  </conditionalFormatting>
  <conditionalFormatting sqref="C101">
    <cfRule type="cellIs" dxfId="5419" priority="1985" stopIfTrue="1" operator="equal">
      <formula>"Towel"</formula>
    </cfRule>
    <cfRule type="cellIs" dxfId="5418" priority="1986" stopIfTrue="1" operator="equal">
      <formula>"Napkin Hs"</formula>
    </cfRule>
  </conditionalFormatting>
  <conditionalFormatting sqref="B101:C101">
    <cfRule type="cellIs" dxfId="5417" priority="1963" stopIfTrue="1" operator="equal">
      <formula>"Towel"</formula>
    </cfRule>
    <cfRule type="cellIs" dxfId="5416" priority="1964" stopIfTrue="1" operator="equal">
      <formula>"Napkin Hs"</formula>
    </cfRule>
  </conditionalFormatting>
  <conditionalFormatting sqref="C101">
    <cfRule type="cellIs" dxfId="5415" priority="1962" stopIfTrue="1" operator="equal">
      <formula>"Napkin Hs"</formula>
    </cfRule>
  </conditionalFormatting>
  <conditionalFormatting sqref="C101">
    <cfRule type="cellIs" dxfId="5414" priority="1959" stopIfTrue="1" operator="equal">
      <formula>"Towel"</formula>
    </cfRule>
    <cfRule type="cellIs" dxfId="5413" priority="1960" stopIfTrue="1" operator="equal">
      <formula>"Napkin Hs"</formula>
    </cfRule>
  </conditionalFormatting>
  <conditionalFormatting sqref="C101">
    <cfRule type="cellIs" dxfId="5412" priority="1961" stopIfTrue="1" operator="equal">
      <formula>"Towel"</formula>
    </cfRule>
  </conditionalFormatting>
  <conditionalFormatting sqref="B101:C101">
    <cfRule type="cellIs" dxfId="5411" priority="1957" stopIfTrue="1" operator="equal">
      <formula>"Towel"</formula>
    </cfRule>
    <cfRule type="cellIs" dxfId="5410" priority="1958" stopIfTrue="1" operator="equal">
      <formula>"Napkin Hs"</formula>
    </cfRule>
  </conditionalFormatting>
  <conditionalFormatting sqref="C101">
    <cfRule type="cellIs" dxfId="5409" priority="1956" stopIfTrue="1" operator="equal">
      <formula>"Napkin Hs"</formula>
    </cfRule>
  </conditionalFormatting>
  <conditionalFormatting sqref="C101">
    <cfRule type="cellIs" dxfId="5408" priority="1953" stopIfTrue="1" operator="equal">
      <formula>"Towel"</formula>
    </cfRule>
    <cfRule type="cellIs" dxfId="5407" priority="1954" stopIfTrue="1" operator="equal">
      <formula>"Napkin Hs"</formula>
    </cfRule>
  </conditionalFormatting>
  <conditionalFormatting sqref="C101">
    <cfRule type="cellIs" dxfId="5406" priority="1955" stopIfTrue="1" operator="equal">
      <formula>"Towel"</formula>
    </cfRule>
  </conditionalFormatting>
  <conditionalFormatting sqref="B101:C101">
    <cfRule type="cellIs" dxfId="5405" priority="1951" stopIfTrue="1" operator="equal">
      <formula>"Towel"</formula>
    </cfRule>
    <cfRule type="cellIs" dxfId="5404" priority="1952" stopIfTrue="1" operator="equal">
      <formula>"Napkin Hs"</formula>
    </cfRule>
  </conditionalFormatting>
  <conditionalFormatting sqref="C101">
    <cfRule type="cellIs" dxfId="5403" priority="1950" stopIfTrue="1" operator="equal">
      <formula>"Napkin Hs"</formula>
    </cfRule>
  </conditionalFormatting>
  <conditionalFormatting sqref="C101">
    <cfRule type="cellIs" dxfId="5402" priority="1947" stopIfTrue="1" operator="equal">
      <formula>"Towel"</formula>
    </cfRule>
    <cfRule type="cellIs" dxfId="5401" priority="1948" stopIfTrue="1" operator="equal">
      <formula>"Napkin Hs"</formula>
    </cfRule>
  </conditionalFormatting>
  <conditionalFormatting sqref="C101">
    <cfRule type="cellIs" dxfId="5400" priority="1949" stopIfTrue="1" operator="equal">
      <formula>"Towel"</formula>
    </cfRule>
  </conditionalFormatting>
  <conditionalFormatting sqref="B101:C101">
    <cfRule type="cellIs" dxfId="5399" priority="1945" stopIfTrue="1" operator="equal">
      <formula>"Towel"</formula>
    </cfRule>
    <cfRule type="cellIs" dxfId="5398" priority="1946" stopIfTrue="1" operator="equal">
      <formula>"Napkin Hs"</formula>
    </cfRule>
  </conditionalFormatting>
  <conditionalFormatting sqref="C101">
    <cfRule type="cellIs" dxfId="5397" priority="1944" stopIfTrue="1" operator="equal">
      <formula>"Napkin Hs"</formula>
    </cfRule>
  </conditionalFormatting>
  <conditionalFormatting sqref="C101">
    <cfRule type="cellIs" dxfId="5396" priority="1941" stopIfTrue="1" operator="equal">
      <formula>"Towel"</formula>
    </cfRule>
    <cfRule type="cellIs" dxfId="5395" priority="1942" stopIfTrue="1" operator="equal">
      <formula>"Napkin Hs"</formula>
    </cfRule>
  </conditionalFormatting>
  <conditionalFormatting sqref="C101">
    <cfRule type="cellIs" dxfId="5394" priority="1943" stopIfTrue="1" operator="equal">
      <formula>"Towel"</formula>
    </cfRule>
  </conditionalFormatting>
  <conditionalFormatting sqref="B101:C101">
    <cfRule type="cellIs" dxfId="5393" priority="1939" stopIfTrue="1" operator="equal">
      <formula>"Towel"</formula>
    </cfRule>
    <cfRule type="cellIs" dxfId="5392" priority="1940" stopIfTrue="1" operator="equal">
      <formula>"Napkin Hs"</formula>
    </cfRule>
  </conditionalFormatting>
  <conditionalFormatting sqref="C101">
    <cfRule type="cellIs" dxfId="5391" priority="1938" stopIfTrue="1" operator="equal">
      <formula>"Napkin Hs"</formula>
    </cfRule>
  </conditionalFormatting>
  <conditionalFormatting sqref="C101">
    <cfRule type="cellIs" dxfId="5390" priority="1935" stopIfTrue="1" operator="equal">
      <formula>"Towel"</formula>
    </cfRule>
    <cfRule type="cellIs" dxfId="5389" priority="1936" stopIfTrue="1" operator="equal">
      <formula>"Napkin Hs"</formula>
    </cfRule>
  </conditionalFormatting>
  <conditionalFormatting sqref="C101">
    <cfRule type="cellIs" dxfId="5388" priority="1937" stopIfTrue="1" operator="equal">
      <formula>"Towel"</formula>
    </cfRule>
  </conditionalFormatting>
  <conditionalFormatting sqref="B101:C101">
    <cfRule type="cellIs" dxfId="5387" priority="1933" stopIfTrue="1" operator="equal">
      <formula>"Towel"</formula>
    </cfRule>
    <cfRule type="cellIs" dxfId="5386" priority="1934" stopIfTrue="1" operator="equal">
      <formula>"Napkin Hs"</formula>
    </cfRule>
  </conditionalFormatting>
  <conditionalFormatting sqref="C101">
    <cfRule type="cellIs" dxfId="5385" priority="1932" stopIfTrue="1" operator="equal">
      <formula>"Napkin Hs"</formula>
    </cfRule>
  </conditionalFormatting>
  <conditionalFormatting sqref="C101">
    <cfRule type="cellIs" dxfId="5384" priority="1929" stopIfTrue="1" operator="equal">
      <formula>"Towel"</formula>
    </cfRule>
    <cfRule type="cellIs" dxfId="5383" priority="1930" stopIfTrue="1" operator="equal">
      <formula>"Napkin Hs"</formula>
    </cfRule>
  </conditionalFormatting>
  <conditionalFormatting sqref="C101">
    <cfRule type="cellIs" dxfId="5382" priority="1931" stopIfTrue="1" operator="equal">
      <formula>"Towel"</formula>
    </cfRule>
  </conditionalFormatting>
  <conditionalFormatting sqref="B101:C101">
    <cfRule type="cellIs" dxfId="5381" priority="1927" stopIfTrue="1" operator="equal">
      <formula>"Towel"</formula>
    </cfRule>
    <cfRule type="cellIs" dxfId="5380" priority="1928" stopIfTrue="1" operator="equal">
      <formula>"Napkin Hs"</formula>
    </cfRule>
  </conditionalFormatting>
  <conditionalFormatting sqref="C101">
    <cfRule type="cellIs" dxfId="5379" priority="1926" stopIfTrue="1" operator="equal">
      <formula>"Napkin Hs"</formula>
    </cfRule>
  </conditionalFormatting>
  <conditionalFormatting sqref="C101">
    <cfRule type="cellIs" dxfId="5378" priority="1923" stopIfTrue="1" operator="equal">
      <formula>"Towel"</formula>
    </cfRule>
    <cfRule type="cellIs" dxfId="5377" priority="1924" stopIfTrue="1" operator="equal">
      <formula>"Napkin Hs"</formula>
    </cfRule>
  </conditionalFormatting>
  <conditionalFormatting sqref="C101">
    <cfRule type="cellIs" dxfId="5376" priority="1925" stopIfTrue="1" operator="equal">
      <formula>"Towel"</formula>
    </cfRule>
  </conditionalFormatting>
  <conditionalFormatting sqref="B101:C101">
    <cfRule type="cellIs" dxfId="5375" priority="1921" stopIfTrue="1" operator="equal">
      <formula>"Towel"</formula>
    </cfRule>
    <cfRule type="cellIs" dxfId="5374" priority="1922" stopIfTrue="1" operator="equal">
      <formula>"Napkin Hs"</formula>
    </cfRule>
  </conditionalFormatting>
  <conditionalFormatting sqref="C101">
    <cfRule type="cellIs" dxfId="5373" priority="1920" stopIfTrue="1" operator="equal">
      <formula>"Napkin Hs"</formula>
    </cfRule>
  </conditionalFormatting>
  <conditionalFormatting sqref="C101">
    <cfRule type="cellIs" dxfId="5372" priority="1917" stopIfTrue="1" operator="equal">
      <formula>"Towel"</formula>
    </cfRule>
    <cfRule type="cellIs" dxfId="5371" priority="1918" stopIfTrue="1" operator="equal">
      <formula>"Napkin Hs"</formula>
    </cfRule>
  </conditionalFormatting>
  <conditionalFormatting sqref="C101">
    <cfRule type="cellIs" dxfId="5370" priority="1919" stopIfTrue="1" operator="equal">
      <formula>"Towel"</formula>
    </cfRule>
  </conditionalFormatting>
  <conditionalFormatting sqref="B102:C102">
    <cfRule type="cellIs" dxfId="5369" priority="1915" stopIfTrue="1" operator="equal">
      <formula>"Towel"</formula>
    </cfRule>
    <cfRule type="cellIs" dxfId="5368" priority="1916" stopIfTrue="1" operator="equal">
      <formula>"Napkin Hs"</formula>
    </cfRule>
  </conditionalFormatting>
  <conditionalFormatting sqref="C102">
    <cfRule type="cellIs" dxfId="5367" priority="1914" stopIfTrue="1" operator="equal">
      <formula>"Napkin Hs"</formula>
    </cfRule>
  </conditionalFormatting>
  <conditionalFormatting sqref="C102">
    <cfRule type="cellIs" dxfId="5366" priority="1911" stopIfTrue="1" operator="equal">
      <formula>"Towel"</formula>
    </cfRule>
    <cfRule type="cellIs" dxfId="5365" priority="1912" stopIfTrue="1" operator="equal">
      <formula>"Napkin Hs"</formula>
    </cfRule>
  </conditionalFormatting>
  <conditionalFormatting sqref="C102">
    <cfRule type="cellIs" dxfId="5364" priority="1913" stopIfTrue="1" operator="equal">
      <formula>"Towel"</formula>
    </cfRule>
  </conditionalFormatting>
  <conditionalFormatting sqref="B102:C102">
    <cfRule type="cellIs" dxfId="5363" priority="1909" stopIfTrue="1" operator="equal">
      <formula>"Towel"</formula>
    </cfRule>
    <cfRule type="cellIs" dxfId="5362" priority="1910" stopIfTrue="1" operator="equal">
      <formula>"Napkin Hs"</formula>
    </cfRule>
  </conditionalFormatting>
  <conditionalFormatting sqref="C102">
    <cfRule type="cellIs" dxfId="5361" priority="1908" stopIfTrue="1" operator="equal">
      <formula>"Napkin Hs"</formula>
    </cfRule>
  </conditionalFormatting>
  <conditionalFormatting sqref="C102">
    <cfRule type="cellIs" dxfId="5360" priority="1905" stopIfTrue="1" operator="equal">
      <formula>"Towel"</formula>
    </cfRule>
    <cfRule type="cellIs" dxfId="5359" priority="1906" stopIfTrue="1" operator="equal">
      <formula>"Napkin Hs"</formula>
    </cfRule>
  </conditionalFormatting>
  <conditionalFormatting sqref="C102">
    <cfRule type="cellIs" dxfId="5358" priority="1907" stopIfTrue="1" operator="equal">
      <formula>"Towel"</formula>
    </cfRule>
  </conditionalFormatting>
  <conditionalFormatting sqref="B102:C102">
    <cfRule type="cellIs" dxfId="5357" priority="1903" stopIfTrue="1" operator="equal">
      <formula>"Towel"</formula>
    </cfRule>
    <cfRule type="cellIs" dxfId="5356" priority="1904" stopIfTrue="1" operator="equal">
      <formula>"Napkin Hs"</formula>
    </cfRule>
  </conditionalFormatting>
  <conditionalFormatting sqref="C102">
    <cfRule type="cellIs" dxfId="5355" priority="1902" stopIfTrue="1" operator="equal">
      <formula>"Napkin Hs"</formula>
    </cfRule>
  </conditionalFormatting>
  <conditionalFormatting sqref="C102">
    <cfRule type="cellIs" dxfId="5354" priority="1899" stopIfTrue="1" operator="equal">
      <formula>"Towel"</formula>
    </cfRule>
    <cfRule type="cellIs" dxfId="5353" priority="1900" stopIfTrue="1" operator="equal">
      <formula>"Napkin Hs"</formula>
    </cfRule>
  </conditionalFormatting>
  <conditionalFormatting sqref="C102">
    <cfRule type="cellIs" dxfId="5352" priority="1901" stopIfTrue="1" operator="equal">
      <formula>"Towel"</formula>
    </cfRule>
  </conditionalFormatting>
  <conditionalFormatting sqref="B102:C102">
    <cfRule type="cellIs" dxfId="5351" priority="1897" stopIfTrue="1" operator="equal">
      <formula>"Towel"</formula>
    </cfRule>
    <cfRule type="cellIs" dxfId="5350" priority="1898" stopIfTrue="1" operator="equal">
      <formula>"Napkin Hs"</formula>
    </cfRule>
  </conditionalFormatting>
  <conditionalFormatting sqref="C102">
    <cfRule type="cellIs" dxfId="5349" priority="1896" stopIfTrue="1" operator="equal">
      <formula>"Napkin Hs"</formula>
    </cfRule>
  </conditionalFormatting>
  <conditionalFormatting sqref="C102">
    <cfRule type="cellIs" dxfId="5348" priority="1893" stopIfTrue="1" operator="equal">
      <formula>"Towel"</formula>
    </cfRule>
    <cfRule type="cellIs" dxfId="5347" priority="1894" stopIfTrue="1" operator="equal">
      <formula>"Napkin Hs"</formula>
    </cfRule>
  </conditionalFormatting>
  <conditionalFormatting sqref="C102">
    <cfRule type="cellIs" dxfId="5346" priority="1895" stopIfTrue="1" operator="equal">
      <formula>"Towel"</formula>
    </cfRule>
  </conditionalFormatting>
  <conditionalFormatting sqref="B102:C102">
    <cfRule type="cellIs" dxfId="5345" priority="1891" stopIfTrue="1" operator="equal">
      <formula>"Towel"</formula>
    </cfRule>
    <cfRule type="cellIs" dxfId="5344" priority="1892" stopIfTrue="1" operator="equal">
      <formula>"Napkin Hs"</formula>
    </cfRule>
  </conditionalFormatting>
  <conditionalFormatting sqref="C102">
    <cfRule type="cellIs" dxfId="5343" priority="1890" stopIfTrue="1" operator="equal">
      <formula>"Napkin Hs"</formula>
    </cfRule>
  </conditionalFormatting>
  <conditionalFormatting sqref="C102">
    <cfRule type="cellIs" dxfId="5342" priority="1887" stopIfTrue="1" operator="equal">
      <formula>"Towel"</formula>
    </cfRule>
    <cfRule type="cellIs" dxfId="5341" priority="1888" stopIfTrue="1" operator="equal">
      <formula>"Napkin Hs"</formula>
    </cfRule>
  </conditionalFormatting>
  <conditionalFormatting sqref="C102">
    <cfRule type="cellIs" dxfId="5340" priority="1889" stopIfTrue="1" operator="equal">
      <formula>"Towel"</formula>
    </cfRule>
  </conditionalFormatting>
  <conditionalFormatting sqref="B102:C102">
    <cfRule type="cellIs" dxfId="5339" priority="1885" stopIfTrue="1" operator="equal">
      <formula>"Towel"</formula>
    </cfRule>
    <cfRule type="cellIs" dxfId="5338" priority="1886" stopIfTrue="1" operator="equal">
      <formula>"Napkin Hs"</formula>
    </cfRule>
  </conditionalFormatting>
  <conditionalFormatting sqref="C102">
    <cfRule type="cellIs" dxfId="5337" priority="1884" stopIfTrue="1" operator="equal">
      <formula>"Napkin Hs"</formula>
    </cfRule>
  </conditionalFormatting>
  <conditionalFormatting sqref="C102">
    <cfRule type="cellIs" dxfId="5336" priority="1881" stopIfTrue="1" operator="equal">
      <formula>"Towel"</formula>
    </cfRule>
    <cfRule type="cellIs" dxfId="5335" priority="1882" stopIfTrue="1" operator="equal">
      <formula>"Napkin Hs"</formula>
    </cfRule>
  </conditionalFormatting>
  <conditionalFormatting sqref="C102">
    <cfRule type="cellIs" dxfId="5334" priority="1883" stopIfTrue="1" operator="equal">
      <formula>"Towel"</formula>
    </cfRule>
  </conditionalFormatting>
  <conditionalFormatting sqref="B102:C102">
    <cfRule type="cellIs" dxfId="5333" priority="1879" stopIfTrue="1" operator="equal">
      <formula>"Towel"</formula>
    </cfRule>
    <cfRule type="cellIs" dxfId="5332" priority="1880" stopIfTrue="1" operator="equal">
      <formula>"Napkin Hs"</formula>
    </cfRule>
  </conditionalFormatting>
  <conditionalFormatting sqref="C102">
    <cfRule type="cellIs" dxfId="5331" priority="1878" stopIfTrue="1" operator="equal">
      <formula>"Napkin Hs"</formula>
    </cfRule>
  </conditionalFormatting>
  <conditionalFormatting sqref="C102">
    <cfRule type="cellIs" dxfId="5330" priority="1875" stopIfTrue="1" operator="equal">
      <formula>"Towel"</formula>
    </cfRule>
    <cfRule type="cellIs" dxfId="5329" priority="1876" stopIfTrue="1" operator="equal">
      <formula>"Napkin Hs"</formula>
    </cfRule>
  </conditionalFormatting>
  <conditionalFormatting sqref="C102">
    <cfRule type="cellIs" dxfId="5328" priority="1877" stopIfTrue="1" operator="equal">
      <formula>"Towel"</formula>
    </cfRule>
  </conditionalFormatting>
  <conditionalFormatting sqref="B102:C102">
    <cfRule type="cellIs" dxfId="5327" priority="1873" stopIfTrue="1" operator="equal">
      <formula>"Towel"</formula>
    </cfRule>
    <cfRule type="cellIs" dxfId="5326" priority="1874" stopIfTrue="1" operator="equal">
      <formula>"Napkin Hs"</formula>
    </cfRule>
  </conditionalFormatting>
  <conditionalFormatting sqref="C102">
    <cfRule type="cellIs" dxfId="5325" priority="1872" stopIfTrue="1" operator="equal">
      <formula>"Napkin Hs"</formula>
    </cfRule>
  </conditionalFormatting>
  <conditionalFormatting sqref="C102">
    <cfRule type="cellIs" dxfId="5324" priority="1869" stopIfTrue="1" operator="equal">
      <formula>"Towel"</formula>
    </cfRule>
    <cfRule type="cellIs" dxfId="5323" priority="1870" stopIfTrue="1" operator="equal">
      <formula>"Napkin Hs"</formula>
    </cfRule>
  </conditionalFormatting>
  <conditionalFormatting sqref="C102">
    <cfRule type="cellIs" dxfId="5322" priority="1871" stopIfTrue="1" operator="equal">
      <formula>"Towel"</formula>
    </cfRule>
  </conditionalFormatting>
  <conditionalFormatting sqref="B102:C102">
    <cfRule type="cellIs" dxfId="5321" priority="1867" stopIfTrue="1" operator="equal">
      <formula>"Towel"</formula>
    </cfRule>
    <cfRule type="cellIs" dxfId="5320" priority="1868" stopIfTrue="1" operator="equal">
      <formula>"Napkin Hs"</formula>
    </cfRule>
  </conditionalFormatting>
  <conditionalFormatting sqref="C102">
    <cfRule type="cellIs" dxfId="5319" priority="1866" stopIfTrue="1" operator="equal">
      <formula>"Napkin Hs"</formula>
    </cfRule>
  </conditionalFormatting>
  <conditionalFormatting sqref="C102">
    <cfRule type="cellIs" dxfId="5318" priority="1863" stopIfTrue="1" operator="equal">
      <formula>"Towel"</formula>
    </cfRule>
    <cfRule type="cellIs" dxfId="5317" priority="1864" stopIfTrue="1" operator="equal">
      <formula>"Napkin Hs"</formula>
    </cfRule>
  </conditionalFormatting>
  <conditionalFormatting sqref="C102">
    <cfRule type="cellIs" dxfId="5316" priority="1865" stopIfTrue="1" operator="equal">
      <formula>"Towel"</formula>
    </cfRule>
  </conditionalFormatting>
  <conditionalFormatting sqref="B102:C102">
    <cfRule type="cellIs" dxfId="5315" priority="1861" stopIfTrue="1" operator="equal">
      <formula>"Towel"</formula>
    </cfRule>
    <cfRule type="cellIs" dxfId="5314" priority="1862" stopIfTrue="1" operator="equal">
      <formula>"Napkin Hs"</formula>
    </cfRule>
  </conditionalFormatting>
  <conditionalFormatting sqref="C102">
    <cfRule type="cellIs" dxfId="5313" priority="1860" stopIfTrue="1" operator="equal">
      <formula>"Napkin Hs"</formula>
    </cfRule>
  </conditionalFormatting>
  <conditionalFormatting sqref="C102">
    <cfRule type="cellIs" dxfId="5312" priority="1857" stopIfTrue="1" operator="equal">
      <formula>"Towel"</formula>
    </cfRule>
    <cfRule type="cellIs" dxfId="5311" priority="1858" stopIfTrue="1" operator="equal">
      <formula>"Napkin Hs"</formula>
    </cfRule>
  </conditionalFormatting>
  <conditionalFormatting sqref="C102">
    <cfRule type="cellIs" dxfId="5310" priority="1859" stopIfTrue="1" operator="equal">
      <formula>"Towel"</formula>
    </cfRule>
  </conditionalFormatting>
  <conditionalFormatting sqref="B102:C102">
    <cfRule type="cellIs" dxfId="5309" priority="1855" stopIfTrue="1" operator="equal">
      <formula>"Towel"</formula>
    </cfRule>
    <cfRule type="cellIs" dxfId="5308" priority="1856" stopIfTrue="1" operator="equal">
      <formula>"Napkin Hs"</formula>
    </cfRule>
  </conditionalFormatting>
  <conditionalFormatting sqref="C102">
    <cfRule type="cellIs" dxfId="5307" priority="1854" stopIfTrue="1" operator="equal">
      <formula>"Napkin Hs"</formula>
    </cfRule>
  </conditionalFormatting>
  <conditionalFormatting sqref="C102">
    <cfRule type="cellIs" dxfId="5306" priority="1851" stopIfTrue="1" operator="equal">
      <formula>"Towel"</formula>
    </cfRule>
    <cfRule type="cellIs" dxfId="5305" priority="1852" stopIfTrue="1" operator="equal">
      <formula>"Napkin Hs"</formula>
    </cfRule>
  </conditionalFormatting>
  <conditionalFormatting sqref="C102">
    <cfRule type="cellIs" dxfId="5304" priority="1853" stopIfTrue="1" operator="equal">
      <formula>"Towel"</formula>
    </cfRule>
  </conditionalFormatting>
  <conditionalFormatting sqref="B102:C102">
    <cfRule type="cellIs" dxfId="5303" priority="1849" stopIfTrue="1" operator="equal">
      <formula>"Towel"</formula>
    </cfRule>
    <cfRule type="cellIs" dxfId="5302" priority="1850" stopIfTrue="1" operator="equal">
      <formula>"Napkin Hs"</formula>
    </cfRule>
  </conditionalFormatting>
  <conditionalFormatting sqref="C102">
    <cfRule type="cellIs" dxfId="5301" priority="1848" stopIfTrue="1" operator="equal">
      <formula>"Napkin Hs"</formula>
    </cfRule>
  </conditionalFormatting>
  <conditionalFormatting sqref="C102">
    <cfRule type="cellIs" dxfId="5300" priority="1845" stopIfTrue="1" operator="equal">
      <formula>"Towel"</formula>
    </cfRule>
    <cfRule type="cellIs" dxfId="5299" priority="1846" stopIfTrue="1" operator="equal">
      <formula>"Napkin Hs"</formula>
    </cfRule>
  </conditionalFormatting>
  <conditionalFormatting sqref="C102">
    <cfRule type="cellIs" dxfId="5298" priority="1847" stopIfTrue="1" operator="equal">
      <formula>"Towel"</formula>
    </cfRule>
  </conditionalFormatting>
  <conditionalFormatting sqref="B102:C102">
    <cfRule type="cellIs" dxfId="5297" priority="1843" stopIfTrue="1" operator="equal">
      <formula>"Towel"</formula>
    </cfRule>
    <cfRule type="cellIs" dxfId="5296" priority="1844" stopIfTrue="1" operator="equal">
      <formula>"Napkin Hs"</formula>
    </cfRule>
  </conditionalFormatting>
  <conditionalFormatting sqref="C102">
    <cfRule type="cellIs" dxfId="5295" priority="1842" stopIfTrue="1" operator="equal">
      <formula>"Napkin Hs"</formula>
    </cfRule>
  </conditionalFormatting>
  <conditionalFormatting sqref="C102">
    <cfRule type="cellIs" dxfId="5294" priority="1839" stopIfTrue="1" operator="equal">
      <formula>"Towel"</formula>
    </cfRule>
    <cfRule type="cellIs" dxfId="5293" priority="1840" stopIfTrue="1" operator="equal">
      <formula>"Napkin Hs"</formula>
    </cfRule>
  </conditionalFormatting>
  <conditionalFormatting sqref="C102">
    <cfRule type="cellIs" dxfId="5292" priority="1841" stopIfTrue="1" operator="equal">
      <formula>"Towel"</formula>
    </cfRule>
  </conditionalFormatting>
  <conditionalFormatting sqref="B102:C102">
    <cfRule type="cellIs" dxfId="5291" priority="1837" stopIfTrue="1" operator="equal">
      <formula>"Towel"</formula>
    </cfRule>
    <cfRule type="cellIs" dxfId="5290" priority="1838" stopIfTrue="1" operator="equal">
      <formula>"Napkin Hs"</formula>
    </cfRule>
  </conditionalFormatting>
  <conditionalFormatting sqref="C102">
    <cfRule type="cellIs" dxfId="5289" priority="1836" stopIfTrue="1" operator="equal">
      <formula>"Napkin Hs"</formula>
    </cfRule>
  </conditionalFormatting>
  <conditionalFormatting sqref="C102">
    <cfRule type="cellIs" dxfId="5288" priority="1833" stopIfTrue="1" operator="equal">
      <formula>"Towel"</formula>
    </cfRule>
    <cfRule type="cellIs" dxfId="5287" priority="1834" stopIfTrue="1" operator="equal">
      <formula>"Napkin Hs"</formula>
    </cfRule>
  </conditionalFormatting>
  <conditionalFormatting sqref="C102">
    <cfRule type="cellIs" dxfId="5286" priority="1835" stopIfTrue="1" operator="equal">
      <formula>"Towel"</formula>
    </cfRule>
  </conditionalFormatting>
  <conditionalFormatting sqref="B102:C102">
    <cfRule type="cellIs" dxfId="5285" priority="1831" stopIfTrue="1" operator="equal">
      <formula>"Towel"</formula>
    </cfRule>
    <cfRule type="cellIs" dxfId="5284" priority="1832" stopIfTrue="1" operator="equal">
      <formula>"Napkin Hs"</formula>
    </cfRule>
  </conditionalFormatting>
  <conditionalFormatting sqref="C102">
    <cfRule type="cellIs" dxfId="5283" priority="1830" stopIfTrue="1" operator="equal">
      <formula>"Napkin Hs"</formula>
    </cfRule>
  </conditionalFormatting>
  <conditionalFormatting sqref="C102">
    <cfRule type="cellIs" dxfId="5282" priority="1827" stopIfTrue="1" operator="equal">
      <formula>"Towel"</formula>
    </cfRule>
    <cfRule type="cellIs" dxfId="5281" priority="1828" stopIfTrue="1" operator="equal">
      <formula>"Napkin Hs"</formula>
    </cfRule>
  </conditionalFormatting>
  <conditionalFormatting sqref="C102">
    <cfRule type="cellIs" dxfId="5280" priority="1829" stopIfTrue="1" operator="equal">
      <formula>"Towel"</formula>
    </cfRule>
  </conditionalFormatting>
  <conditionalFormatting sqref="B102:C102">
    <cfRule type="cellIs" dxfId="5279" priority="1825" stopIfTrue="1" operator="equal">
      <formula>"Towel"</formula>
    </cfRule>
    <cfRule type="cellIs" dxfId="5278" priority="1826" stopIfTrue="1" operator="equal">
      <formula>"Napkin Hs"</formula>
    </cfRule>
  </conditionalFormatting>
  <conditionalFormatting sqref="C102">
    <cfRule type="cellIs" dxfId="5277" priority="1824" stopIfTrue="1" operator="equal">
      <formula>"Napkin Hs"</formula>
    </cfRule>
  </conditionalFormatting>
  <conditionalFormatting sqref="C102">
    <cfRule type="cellIs" dxfId="5276" priority="1821" stopIfTrue="1" operator="equal">
      <formula>"Towel"</formula>
    </cfRule>
    <cfRule type="cellIs" dxfId="5275" priority="1822" stopIfTrue="1" operator="equal">
      <formula>"Napkin Hs"</formula>
    </cfRule>
  </conditionalFormatting>
  <conditionalFormatting sqref="C102">
    <cfRule type="cellIs" dxfId="5274" priority="1823" stopIfTrue="1" operator="equal">
      <formula>"Towel"</formula>
    </cfRule>
  </conditionalFormatting>
  <conditionalFormatting sqref="B103:C103">
    <cfRule type="cellIs" dxfId="5273" priority="1819" stopIfTrue="1" operator="equal">
      <formula>"Towel"</formula>
    </cfRule>
    <cfRule type="cellIs" dxfId="5272" priority="1820" stopIfTrue="1" operator="equal">
      <formula>"Napkin Hs"</formula>
    </cfRule>
  </conditionalFormatting>
  <conditionalFormatting sqref="C103">
    <cfRule type="cellIs" dxfId="5271" priority="1818" stopIfTrue="1" operator="equal">
      <formula>"Napkin Hs"</formula>
    </cfRule>
  </conditionalFormatting>
  <conditionalFormatting sqref="C103">
    <cfRule type="cellIs" dxfId="5270" priority="1815" stopIfTrue="1" operator="equal">
      <formula>"Towel"</formula>
    </cfRule>
    <cfRule type="cellIs" dxfId="5269" priority="1816" stopIfTrue="1" operator="equal">
      <formula>"Napkin Hs"</formula>
    </cfRule>
  </conditionalFormatting>
  <conditionalFormatting sqref="C103">
    <cfRule type="cellIs" dxfId="5268" priority="1817" stopIfTrue="1" operator="equal">
      <formula>"Towel"</formula>
    </cfRule>
  </conditionalFormatting>
  <conditionalFormatting sqref="B103:C103">
    <cfRule type="cellIs" dxfId="5267" priority="1813" stopIfTrue="1" operator="equal">
      <formula>"Towel"</formula>
    </cfRule>
    <cfRule type="cellIs" dxfId="5266" priority="1814" stopIfTrue="1" operator="equal">
      <formula>"Napkin Hs"</formula>
    </cfRule>
  </conditionalFormatting>
  <conditionalFormatting sqref="C103">
    <cfRule type="cellIs" dxfId="5265" priority="1812" stopIfTrue="1" operator="equal">
      <formula>"Napkin Hs"</formula>
    </cfRule>
  </conditionalFormatting>
  <conditionalFormatting sqref="C103">
    <cfRule type="cellIs" dxfId="5264" priority="1809" stopIfTrue="1" operator="equal">
      <formula>"Towel"</formula>
    </cfRule>
    <cfRule type="cellIs" dxfId="5263" priority="1810" stopIfTrue="1" operator="equal">
      <formula>"Napkin Hs"</formula>
    </cfRule>
  </conditionalFormatting>
  <conditionalFormatting sqref="C103">
    <cfRule type="cellIs" dxfId="5262" priority="1811" stopIfTrue="1" operator="equal">
      <formula>"Towel"</formula>
    </cfRule>
  </conditionalFormatting>
  <conditionalFormatting sqref="B103:C103">
    <cfRule type="cellIs" dxfId="5261" priority="1807" stopIfTrue="1" operator="equal">
      <formula>"Towel"</formula>
    </cfRule>
    <cfRule type="cellIs" dxfId="5260" priority="1808" stopIfTrue="1" operator="equal">
      <formula>"Napkin Hs"</formula>
    </cfRule>
  </conditionalFormatting>
  <conditionalFormatting sqref="C103">
    <cfRule type="cellIs" dxfId="5259" priority="1806" stopIfTrue="1" operator="equal">
      <formula>"Napkin Hs"</formula>
    </cfRule>
  </conditionalFormatting>
  <conditionalFormatting sqref="C103">
    <cfRule type="cellIs" dxfId="5258" priority="1803" stopIfTrue="1" operator="equal">
      <formula>"Towel"</formula>
    </cfRule>
    <cfRule type="cellIs" dxfId="5257" priority="1804" stopIfTrue="1" operator="equal">
      <formula>"Napkin Hs"</formula>
    </cfRule>
  </conditionalFormatting>
  <conditionalFormatting sqref="C103">
    <cfRule type="cellIs" dxfId="5256" priority="1805" stopIfTrue="1" operator="equal">
      <formula>"Towel"</formula>
    </cfRule>
  </conditionalFormatting>
  <conditionalFormatting sqref="B103:C103">
    <cfRule type="cellIs" dxfId="5255" priority="1801" stopIfTrue="1" operator="equal">
      <formula>"Towel"</formula>
    </cfRule>
    <cfRule type="cellIs" dxfId="5254" priority="1802" stopIfTrue="1" operator="equal">
      <formula>"Napkin Hs"</formula>
    </cfRule>
  </conditionalFormatting>
  <conditionalFormatting sqref="C103">
    <cfRule type="cellIs" dxfId="5253" priority="1800" stopIfTrue="1" operator="equal">
      <formula>"Napkin Hs"</formula>
    </cfRule>
  </conditionalFormatting>
  <conditionalFormatting sqref="C103">
    <cfRule type="cellIs" dxfId="5252" priority="1797" stopIfTrue="1" operator="equal">
      <formula>"Towel"</formula>
    </cfRule>
    <cfRule type="cellIs" dxfId="5251" priority="1798" stopIfTrue="1" operator="equal">
      <formula>"Napkin Hs"</formula>
    </cfRule>
  </conditionalFormatting>
  <conditionalFormatting sqref="C103">
    <cfRule type="cellIs" dxfId="5250" priority="1799" stopIfTrue="1" operator="equal">
      <formula>"Towel"</formula>
    </cfRule>
  </conditionalFormatting>
  <conditionalFormatting sqref="B103:C103">
    <cfRule type="cellIs" dxfId="5249" priority="1795" stopIfTrue="1" operator="equal">
      <formula>"Towel"</formula>
    </cfRule>
    <cfRule type="cellIs" dxfId="5248" priority="1796" stopIfTrue="1" operator="equal">
      <formula>"Napkin Hs"</formula>
    </cfRule>
  </conditionalFormatting>
  <conditionalFormatting sqref="C103">
    <cfRule type="cellIs" dxfId="5247" priority="1794" stopIfTrue="1" operator="equal">
      <formula>"Napkin Hs"</formula>
    </cfRule>
  </conditionalFormatting>
  <conditionalFormatting sqref="C103">
    <cfRule type="cellIs" dxfId="5246" priority="1791" stopIfTrue="1" operator="equal">
      <formula>"Towel"</formula>
    </cfRule>
    <cfRule type="cellIs" dxfId="5245" priority="1792" stopIfTrue="1" operator="equal">
      <formula>"Napkin Hs"</formula>
    </cfRule>
  </conditionalFormatting>
  <conditionalFormatting sqref="C103">
    <cfRule type="cellIs" dxfId="5244" priority="1793" stopIfTrue="1" operator="equal">
      <formula>"Towel"</formula>
    </cfRule>
  </conditionalFormatting>
  <conditionalFormatting sqref="B103:C103">
    <cfRule type="cellIs" dxfId="5243" priority="1789" stopIfTrue="1" operator="equal">
      <formula>"Towel"</formula>
    </cfRule>
    <cfRule type="cellIs" dxfId="5242" priority="1790" stopIfTrue="1" operator="equal">
      <formula>"Napkin Hs"</formula>
    </cfRule>
  </conditionalFormatting>
  <conditionalFormatting sqref="C103">
    <cfRule type="cellIs" dxfId="5241" priority="1788" stopIfTrue="1" operator="equal">
      <formula>"Napkin Hs"</formula>
    </cfRule>
  </conditionalFormatting>
  <conditionalFormatting sqref="C103">
    <cfRule type="cellIs" dxfId="5240" priority="1785" stopIfTrue="1" operator="equal">
      <formula>"Towel"</formula>
    </cfRule>
    <cfRule type="cellIs" dxfId="5239" priority="1786" stopIfTrue="1" operator="equal">
      <formula>"Napkin Hs"</formula>
    </cfRule>
  </conditionalFormatting>
  <conditionalFormatting sqref="C103">
    <cfRule type="cellIs" dxfId="5238" priority="1787" stopIfTrue="1" operator="equal">
      <formula>"Towel"</formula>
    </cfRule>
  </conditionalFormatting>
  <conditionalFormatting sqref="B103:C103">
    <cfRule type="cellIs" dxfId="5237" priority="1783" stopIfTrue="1" operator="equal">
      <formula>"Towel"</formula>
    </cfRule>
    <cfRule type="cellIs" dxfId="5236" priority="1784" stopIfTrue="1" operator="equal">
      <formula>"Napkin Hs"</formula>
    </cfRule>
  </conditionalFormatting>
  <conditionalFormatting sqref="C103">
    <cfRule type="cellIs" dxfId="5235" priority="1782" stopIfTrue="1" operator="equal">
      <formula>"Napkin Hs"</formula>
    </cfRule>
  </conditionalFormatting>
  <conditionalFormatting sqref="C103">
    <cfRule type="cellIs" dxfId="5234" priority="1779" stopIfTrue="1" operator="equal">
      <formula>"Towel"</formula>
    </cfRule>
    <cfRule type="cellIs" dxfId="5233" priority="1780" stopIfTrue="1" operator="equal">
      <formula>"Napkin Hs"</formula>
    </cfRule>
  </conditionalFormatting>
  <conditionalFormatting sqref="C103">
    <cfRule type="cellIs" dxfId="5232" priority="1781" stopIfTrue="1" operator="equal">
      <formula>"Towel"</formula>
    </cfRule>
  </conditionalFormatting>
  <conditionalFormatting sqref="B103:C103">
    <cfRule type="cellIs" dxfId="5231" priority="1777" stopIfTrue="1" operator="equal">
      <formula>"Towel"</formula>
    </cfRule>
    <cfRule type="cellIs" dxfId="5230" priority="1778" stopIfTrue="1" operator="equal">
      <formula>"Napkin Hs"</formula>
    </cfRule>
  </conditionalFormatting>
  <conditionalFormatting sqref="C103">
    <cfRule type="cellIs" dxfId="5229" priority="1776" stopIfTrue="1" operator="equal">
      <formula>"Napkin Hs"</formula>
    </cfRule>
  </conditionalFormatting>
  <conditionalFormatting sqref="C103">
    <cfRule type="cellIs" dxfId="5228" priority="1773" stopIfTrue="1" operator="equal">
      <formula>"Towel"</formula>
    </cfRule>
    <cfRule type="cellIs" dxfId="5227" priority="1774" stopIfTrue="1" operator="equal">
      <formula>"Napkin Hs"</formula>
    </cfRule>
  </conditionalFormatting>
  <conditionalFormatting sqref="C103">
    <cfRule type="cellIs" dxfId="5226" priority="1775" stopIfTrue="1" operator="equal">
      <formula>"Towel"</formula>
    </cfRule>
  </conditionalFormatting>
  <conditionalFormatting sqref="B110:C110">
    <cfRule type="cellIs" dxfId="5225" priority="1195" stopIfTrue="1" operator="equal">
      <formula>"Towel"</formula>
    </cfRule>
    <cfRule type="cellIs" dxfId="5224" priority="1196" stopIfTrue="1" operator="equal">
      <formula>"Napkin Hs"</formula>
    </cfRule>
  </conditionalFormatting>
  <conditionalFormatting sqref="C110">
    <cfRule type="cellIs" dxfId="5223" priority="1194" stopIfTrue="1" operator="equal">
      <formula>"Napkin Hs"</formula>
    </cfRule>
  </conditionalFormatting>
  <conditionalFormatting sqref="C110">
    <cfRule type="cellIs" dxfId="5222" priority="1193" stopIfTrue="1" operator="equal">
      <formula>"Towel"</formula>
    </cfRule>
  </conditionalFormatting>
  <conditionalFormatting sqref="C110">
    <cfRule type="cellIs" dxfId="5221" priority="1191" stopIfTrue="1" operator="equal">
      <formula>"Towel"</formula>
    </cfRule>
    <cfRule type="cellIs" dxfId="5220" priority="1192" stopIfTrue="1" operator="equal">
      <formula>"Napkin Hs"</formula>
    </cfRule>
  </conditionalFormatting>
  <conditionalFormatting sqref="B106:C106">
    <cfRule type="cellIs" dxfId="5219" priority="1165" stopIfTrue="1" operator="equal">
      <formula>"Towel"</formula>
    </cfRule>
    <cfRule type="cellIs" dxfId="5218" priority="1166" stopIfTrue="1" operator="equal">
      <formula>"Napkin Hs"</formula>
    </cfRule>
  </conditionalFormatting>
  <conditionalFormatting sqref="C106">
    <cfRule type="cellIs" dxfId="5217" priority="1164" stopIfTrue="1" operator="equal">
      <formula>"Napkin Hs"</formula>
    </cfRule>
  </conditionalFormatting>
  <conditionalFormatting sqref="C106">
    <cfRule type="cellIs" dxfId="5216" priority="1161" stopIfTrue="1" operator="equal">
      <formula>"Towel"</formula>
    </cfRule>
    <cfRule type="cellIs" dxfId="5215" priority="1162" stopIfTrue="1" operator="equal">
      <formula>"Napkin Hs"</formula>
    </cfRule>
  </conditionalFormatting>
  <conditionalFormatting sqref="C106">
    <cfRule type="cellIs" dxfId="5214" priority="1163" stopIfTrue="1" operator="equal">
      <formula>"Towel"</formula>
    </cfRule>
  </conditionalFormatting>
  <conditionalFormatting sqref="B106:C106">
    <cfRule type="cellIs" dxfId="5213" priority="1159" stopIfTrue="1" operator="equal">
      <formula>"Towel"</formula>
    </cfRule>
    <cfRule type="cellIs" dxfId="5212" priority="1160" stopIfTrue="1" operator="equal">
      <formula>"Napkin Hs"</formula>
    </cfRule>
  </conditionalFormatting>
  <conditionalFormatting sqref="C106">
    <cfRule type="cellIs" dxfId="5211" priority="1158" stopIfTrue="1" operator="equal">
      <formula>"Napkin Hs"</formula>
    </cfRule>
  </conditionalFormatting>
  <conditionalFormatting sqref="C106">
    <cfRule type="cellIs" dxfId="5210" priority="1155" stopIfTrue="1" operator="equal">
      <formula>"Towel"</formula>
    </cfRule>
    <cfRule type="cellIs" dxfId="5209" priority="1156" stopIfTrue="1" operator="equal">
      <formula>"Napkin Hs"</formula>
    </cfRule>
  </conditionalFormatting>
  <conditionalFormatting sqref="C106">
    <cfRule type="cellIs" dxfId="5208" priority="1157" stopIfTrue="1" operator="equal">
      <formula>"Towel"</formula>
    </cfRule>
  </conditionalFormatting>
  <conditionalFormatting sqref="B106:C106">
    <cfRule type="cellIs" dxfId="5207" priority="1153" stopIfTrue="1" operator="equal">
      <formula>"Towel"</formula>
    </cfRule>
    <cfRule type="cellIs" dxfId="5206" priority="1154" stopIfTrue="1" operator="equal">
      <formula>"Napkin Hs"</formula>
    </cfRule>
  </conditionalFormatting>
  <conditionalFormatting sqref="C106">
    <cfRule type="cellIs" dxfId="5205" priority="1152" stopIfTrue="1" operator="equal">
      <formula>"Napkin Hs"</formula>
    </cfRule>
  </conditionalFormatting>
  <conditionalFormatting sqref="C106">
    <cfRule type="cellIs" dxfId="5204" priority="1149" stopIfTrue="1" operator="equal">
      <formula>"Towel"</formula>
    </cfRule>
    <cfRule type="cellIs" dxfId="5203" priority="1150" stopIfTrue="1" operator="equal">
      <formula>"Napkin Hs"</formula>
    </cfRule>
  </conditionalFormatting>
  <conditionalFormatting sqref="C106">
    <cfRule type="cellIs" dxfId="5202" priority="1151" stopIfTrue="1" operator="equal">
      <formula>"Towel"</formula>
    </cfRule>
  </conditionalFormatting>
  <conditionalFormatting sqref="B106:C106">
    <cfRule type="cellIs" dxfId="5201" priority="1147" stopIfTrue="1" operator="equal">
      <formula>"Towel"</formula>
    </cfRule>
    <cfRule type="cellIs" dxfId="5200" priority="1148" stopIfTrue="1" operator="equal">
      <formula>"Napkin Hs"</formula>
    </cfRule>
  </conditionalFormatting>
  <conditionalFormatting sqref="C106">
    <cfRule type="cellIs" dxfId="5199" priority="1146" stopIfTrue="1" operator="equal">
      <formula>"Napkin Hs"</formula>
    </cfRule>
  </conditionalFormatting>
  <conditionalFormatting sqref="C106">
    <cfRule type="cellIs" dxfId="5198" priority="1143" stopIfTrue="1" operator="equal">
      <formula>"Towel"</formula>
    </cfRule>
    <cfRule type="cellIs" dxfId="5197" priority="1144" stopIfTrue="1" operator="equal">
      <formula>"Napkin Hs"</formula>
    </cfRule>
  </conditionalFormatting>
  <conditionalFormatting sqref="C106">
    <cfRule type="cellIs" dxfId="5196" priority="1145" stopIfTrue="1" operator="equal">
      <formula>"Towel"</formula>
    </cfRule>
  </conditionalFormatting>
  <conditionalFormatting sqref="B106:C106">
    <cfRule type="cellIs" dxfId="5195" priority="1141" stopIfTrue="1" operator="equal">
      <formula>"Towel"</formula>
    </cfRule>
    <cfRule type="cellIs" dxfId="5194" priority="1142" stopIfTrue="1" operator="equal">
      <formula>"Napkin Hs"</formula>
    </cfRule>
  </conditionalFormatting>
  <conditionalFormatting sqref="C106">
    <cfRule type="cellIs" dxfId="5193" priority="1140" stopIfTrue="1" operator="equal">
      <formula>"Napkin Hs"</formula>
    </cfRule>
  </conditionalFormatting>
  <conditionalFormatting sqref="C106">
    <cfRule type="cellIs" dxfId="5192" priority="1137" stopIfTrue="1" operator="equal">
      <formula>"Towel"</formula>
    </cfRule>
    <cfRule type="cellIs" dxfId="5191" priority="1138" stopIfTrue="1" operator="equal">
      <formula>"Napkin Hs"</formula>
    </cfRule>
  </conditionalFormatting>
  <conditionalFormatting sqref="C106">
    <cfRule type="cellIs" dxfId="5190" priority="1139" stopIfTrue="1" operator="equal">
      <formula>"Towel"</formula>
    </cfRule>
  </conditionalFormatting>
  <conditionalFormatting sqref="B106:C106">
    <cfRule type="cellIs" dxfId="5189" priority="1135" stopIfTrue="1" operator="equal">
      <formula>"Towel"</formula>
    </cfRule>
    <cfRule type="cellIs" dxfId="5188" priority="1136" stopIfTrue="1" operator="equal">
      <formula>"Napkin Hs"</formula>
    </cfRule>
  </conditionalFormatting>
  <conditionalFormatting sqref="C106">
    <cfRule type="cellIs" dxfId="5187" priority="1134" stopIfTrue="1" operator="equal">
      <formula>"Napkin Hs"</formula>
    </cfRule>
  </conditionalFormatting>
  <conditionalFormatting sqref="C106">
    <cfRule type="cellIs" dxfId="5186" priority="1131" stopIfTrue="1" operator="equal">
      <formula>"Towel"</formula>
    </cfRule>
    <cfRule type="cellIs" dxfId="5185" priority="1132" stopIfTrue="1" operator="equal">
      <formula>"Napkin Hs"</formula>
    </cfRule>
  </conditionalFormatting>
  <conditionalFormatting sqref="C106">
    <cfRule type="cellIs" dxfId="5184" priority="1133" stopIfTrue="1" operator="equal">
      <formula>"Towel"</formula>
    </cfRule>
  </conditionalFormatting>
  <conditionalFormatting sqref="B106:C106">
    <cfRule type="cellIs" dxfId="5183" priority="1129" stopIfTrue="1" operator="equal">
      <formula>"Towel"</formula>
    </cfRule>
    <cfRule type="cellIs" dxfId="5182" priority="1130" stopIfTrue="1" operator="equal">
      <formula>"Napkin Hs"</formula>
    </cfRule>
  </conditionalFormatting>
  <conditionalFormatting sqref="C106">
    <cfRule type="cellIs" dxfId="5181" priority="1128" stopIfTrue="1" operator="equal">
      <formula>"Napkin Hs"</formula>
    </cfRule>
  </conditionalFormatting>
  <conditionalFormatting sqref="C106">
    <cfRule type="cellIs" dxfId="5180" priority="1125" stopIfTrue="1" operator="equal">
      <formula>"Towel"</formula>
    </cfRule>
    <cfRule type="cellIs" dxfId="5179" priority="1126" stopIfTrue="1" operator="equal">
      <formula>"Napkin Hs"</formula>
    </cfRule>
  </conditionalFormatting>
  <conditionalFormatting sqref="C106">
    <cfRule type="cellIs" dxfId="5178" priority="1127" stopIfTrue="1" operator="equal">
      <formula>"Towel"</formula>
    </cfRule>
  </conditionalFormatting>
  <conditionalFormatting sqref="B106:C106">
    <cfRule type="cellIs" dxfId="5177" priority="1123" stopIfTrue="1" operator="equal">
      <formula>"Towel"</formula>
    </cfRule>
    <cfRule type="cellIs" dxfId="5176" priority="1124" stopIfTrue="1" operator="equal">
      <formula>"Napkin Hs"</formula>
    </cfRule>
  </conditionalFormatting>
  <conditionalFormatting sqref="C106">
    <cfRule type="cellIs" dxfId="5175" priority="1122" stopIfTrue="1" operator="equal">
      <formula>"Napkin Hs"</formula>
    </cfRule>
  </conditionalFormatting>
  <conditionalFormatting sqref="C106">
    <cfRule type="cellIs" dxfId="5174" priority="1119" stopIfTrue="1" operator="equal">
      <formula>"Towel"</formula>
    </cfRule>
    <cfRule type="cellIs" dxfId="5173" priority="1120" stopIfTrue="1" operator="equal">
      <formula>"Napkin Hs"</formula>
    </cfRule>
  </conditionalFormatting>
  <conditionalFormatting sqref="C106">
    <cfRule type="cellIs" dxfId="5172" priority="1121" stopIfTrue="1" operator="equal">
      <formula>"Towel"</formula>
    </cfRule>
  </conditionalFormatting>
  <conditionalFormatting sqref="B108:C108">
    <cfRule type="cellIs" dxfId="5171" priority="1117" stopIfTrue="1" operator="equal">
      <formula>"Towel"</formula>
    </cfRule>
    <cfRule type="cellIs" dxfId="5170" priority="1118" stopIfTrue="1" operator="equal">
      <formula>"Napkin Hs"</formula>
    </cfRule>
  </conditionalFormatting>
  <conditionalFormatting sqref="C108">
    <cfRule type="cellIs" dxfId="5169" priority="1116" stopIfTrue="1" operator="equal">
      <formula>"Napkin Hs"</formula>
    </cfRule>
  </conditionalFormatting>
  <conditionalFormatting sqref="C108">
    <cfRule type="cellIs" dxfId="5168" priority="1113" stopIfTrue="1" operator="equal">
      <formula>"Towel"</formula>
    </cfRule>
    <cfRule type="cellIs" dxfId="5167" priority="1114" stopIfTrue="1" operator="equal">
      <formula>"Napkin Hs"</formula>
    </cfRule>
  </conditionalFormatting>
  <conditionalFormatting sqref="C108">
    <cfRule type="cellIs" dxfId="5166" priority="1115" stopIfTrue="1" operator="equal">
      <formula>"Towel"</formula>
    </cfRule>
  </conditionalFormatting>
  <conditionalFormatting sqref="B108:C108">
    <cfRule type="cellIs" dxfId="5165" priority="1111" stopIfTrue="1" operator="equal">
      <formula>"Towel"</formula>
    </cfRule>
    <cfRule type="cellIs" dxfId="5164" priority="1112" stopIfTrue="1" operator="equal">
      <formula>"Napkin Hs"</formula>
    </cfRule>
  </conditionalFormatting>
  <conditionalFormatting sqref="C108">
    <cfRule type="cellIs" dxfId="5163" priority="1110" stopIfTrue="1" operator="equal">
      <formula>"Napkin Hs"</formula>
    </cfRule>
  </conditionalFormatting>
  <conditionalFormatting sqref="C108">
    <cfRule type="cellIs" dxfId="5162" priority="1107" stopIfTrue="1" operator="equal">
      <formula>"Towel"</formula>
    </cfRule>
    <cfRule type="cellIs" dxfId="5161" priority="1108" stopIfTrue="1" operator="equal">
      <formula>"Napkin Hs"</formula>
    </cfRule>
  </conditionalFormatting>
  <conditionalFormatting sqref="C108">
    <cfRule type="cellIs" dxfId="5160" priority="1109" stopIfTrue="1" operator="equal">
      <formula>"Towel"</formula>
    </cfRule>
  </conditionalFormatting>
  <conditionalFormatting sqref="B108:C108">
    <cfRule type="cellIs" dxfId="5159" priority="1105" stopIfTrue="1" operator="equal">
      <formula>"Towel"</formula>
    </cfRule>
    <cfRule type="cellIs" dxfId="5158" priority="1106" stopIfTrue="1" operator="equal">
      <formula>"Napkin Hs"</formula>
    </cfRule>
  </conditionalFormatting>
  <conditionalFormatting sqref="C108">
    <cfRule type="cellIs" dxfId="5157" priority="1104" stopIfTrue="1" operator="equal">
      <formula>"Napkin Hs"</formula>
    </cfRule>
  </conditionalFormatting>
  <conditionalFormatting sqref="C108">
    <cfRule type="cellIs" dxfId="5156" priority="1101" stopIfTrue="1" operator="equal">
      <formula>"Towel"</formula>
    </cfRule>
    <cfRule type="cellIs" dxfId="5155" priority="1102" stopIfTrue="1" operator="equal">
      <formula>"Napkin Hs"</formula>
    </cfRule>
  </conditionalFormatting>
  <conditionalFormatting sqref="C108">
    <cfRule type="cellIs" dxfId="5154" priority="1103" stopIfTrue="1" operator="equal">
      <formula>"Towel"</formula>
    </cfRule>
  </conditionalFormatting>
  <conditionalFormatting sqref="B108:C108">
    <cfRule type="cellIs" dxfId="5153" priority="1099" stopIfTrue="1" operator="equal">
      <formula>"Towel"</formula>
    </cfRule>
    <cfRule type="cellIs" dxfId="5152" priority="1100" stopIfTrue="1" operator="equal">
      <formula>"Napkin Hs"</formula>
    </cfRule>
  </conditionalFormatting>
  <conditionalFormatting sqref="C108">
    <cfRule type="cellIs" dxfId="5151" priority="1098" stopIfTrue="1" operator="equal">
      <formula>"Napkin Hs"</formula>
    </cfRule>
  </conditionalFormatting>
  <conditionalFormatting sqref="C108">
    <cfRule type="cellIs" dxfId="5150" priority="1095" stopIfTrue="1" operator="equal">
      <formula>"Towel"</formula>
    </cfRule>
    <cfRule type="cellIs" dxfId="5149" priority="1096" stopIfTrue="1" operator="equal">
      <formula>"Napkin Hs"</formula>
    </cfRule>
  </conditionalFormatting>
  <conditionalFormatting sqref="C108">
    <cfRule type="cellIs" dxfId="5148" priority="1097" stopIfTrue="1" operator="equal">
      <formula>"Towel"</formula>
    </cfRule>
  </conditionalFormatting>
  <conditionalFormatting sqref="B108:C108">
    <cfRule type="cellIs" dxfId="5147" priority="1093" stopIfTrue="1" operator="equal">
      <formula>"Towel"</formula>
    </cfRule>
    <cfRule type="cellIs" dxfId="5146" priority="1094" stopIfTrue="1" operator="equal">
      <formula>"Napkin Hs"</formula>
    </cfRule>
  </conditionalFormatting>
  <conditionalFormatting sqref="C108">
    <cfRule type="cellIs" dxfId="5145" priority="1092" stopIfTrue="1" operator="equal">
      <formula>"Napkin Hs"</formula>
    </cfRule>
  </conditionalFormatting>
  <conditionalFormatting sqref="C108">
    <cfRule type="cellIs" dxfId="5144" priority="1089" stopIfTrue="1" operator="equal">
      <formula>"Towel"</formula>
    </cfRule>
    <cfRule type="cellIs" dxfId="5143" priority="1090" stopIfTrue="1" operator="equal">
      <formula>"Napkin Hs"</formula>
    </cfRule>
  </conditionalFormatting>
  <conditionalFormatting sqref="C108">
    <cfRule type="cellIs" dxfId="5142" priority="1091" stopIfTrue="1" operator="equal">
      <formula>"Towel"</formula>
    </cfRule>
  </conditionalFormatting>
  <conditionalFormatting sqref="B108:C108">
    <cfRule type="cellIs" dxfId="5141" priority="1087" stopIfTrue="1" operator="equal">
      <formula>"Towel"</formula>
    </cfRule>
    <cfRule type="cellIs" dxfId="5140" priority="1088" stopIfTrue="1" operator="equal">
      <formula>"Napkin Hs"</formula>
    </cfRule>
  </conditionalFormatting>
  <conditionalFormatting sqref="C108">
    <cfRule type="cellIs" dxfId="5139" priority="1086" stopIfTrue="1" operator="equal">
      <formula>"Napkin Hs"</formula>
    </cfRule>
  </conditionalFormatting>
  <conditionalFormatting sqref="C108">
    <cfRule type="cellIs" dxfId="5138" priority="1083" stopIfTrue="1" operator="equal">
      <formula>"Towel"</formula>
    </cfRule>
    <cfRule type="cellIs" dxfId="5137" priority="1084" stopIfTrue="1" operator="equal">
      <formula>"Napkin Hs"</formula>
    </cfRule>
  </conditionalFormatting>
  <conditionalFormatting sqref="C108">
    <cfRule type="cellIs" dxfId="5136" priority="1085" stopIfTrue="1" operator="equal">
      <formula>"Towel"</formula>
    </cfRule>
  </conditionalFormatting>
  <conditionalFormatting sqref="B108:C108">
    <cfRule type="cellIs" dxfId="5135" priority="1081" stopIfTrue="1" operator="equal">
      <formula>"Towel"</formula>
    </cfRule>
    <cfRule type="cellIs" dxfId="5134" priority="1082" stopIfTrue="1" operator="equal">
      <formula>"Napkin Hs"</formula>
    </cfRule>
  </conditionalFormatting>
  <conditionalFormatting sqref="C108">
    <cfRule type="cellIs" dxfId="5133" priority="1080" stopIfTrue="1" operator="equal">
      <formula>"Napkin Hs"</formula>
    </cfRule>
  </conditionalFormatting>
  <conditionalFormatting sqref="C108">
    <cfRule type="cellIs" dxfId="5132" priority="1077" stopIfTrue="1" operator="equal">
      <formula>"Towel"</formula>
    </cfRule>
    <cfRule type="cellIs" dxfId="5131" priority="1078" stopIfTrue="1" operator="equal">
      <formula>"Napkin Hs"</formula>
    </cfRule>
  </conditionalFormatting>
  <conditionalFormatting sqref="C108">
    <cfRule type="cellIs" dxfId="5130" priority="1079" stopIfTrue="1" operator="equal">
      <formula>"Towel"</formula>
    </cfRule>
  </conditionalFormatting>
  <conditionalFormatting sqref="B108:C108">
    <cfRule type="cellIs" dxfId="5129" priority="1075" stopIfTrue="1" operator="equal">
      <formula>"Towel"</formula>
    </cfRule>
    <cfRule type="cellIs" dxfId="5128" priority="1076" stopIfTrue="1" operator="equal">
      <formula>"Napkin Hs"</formula>
    </cfRule>
  </conditionalFormatting>
  <conditionalFormatting sqref="C108">
    <cfRule type="cellIs" dxfId="5127" priority="1074" stopIfTrue="1" operator="equal">
      <formula>"Napkin Hs"</formula>
    </cfRule>
  </conditionalFormatting>
  <conditionalFormatting sqref="C108">
    <cfRule type="cellIs" dxfId="5126" priority="1071" stopIfTrue="1" operator="equal">
      <formula>"Towel"</formula>
    </cfRule>
    <cfRule type="cellIs" dxfId="5125" priority="1072" stopIfTrue="1" operator="equal">
      <formula>"Napkin Hs"</formula>
    </cfRule>
  </conditionalFormatting>
  <conditionalFormatting sqref="C108">
    <cfRule type="cellIs" dxfId="5124" priority="1073" stopIfTrue="1" operator="equal">
      <formula>"Towel"</formula>
    </cfRule>
  </conditionalFormatting>
  <conditionalFormatting sqref="B108:C108">
    <cfRule type="cellIs" dxfId="5123" priority="1069" stopIfTrue="1" operator="equal">
      <formula>"Towel"</formula>
    </cfRule>
    <cfRule type="cellIs" dxfId="5122" priority="1070" stopIfTrue="1" operator="equal">
      <formula>"Napkin Hs"</formula>
    </cfRule>
  </conditionalFormatting>
  <conditionalFormatting sqref="C108">
    <cfRule type="cellIs" dxfId="5121" priority="1068" stopIfTrue="1" operator="equal">
      <formula>"Napkin Hs"</formula>
    </cfRule>
  </conditionalFormatting>
  <conditionalFormatting sqref="C108">
    <cfRule type="cellIs" dxfId="5120" priority="1065" stopIfTrue="1" operator="equal">
      <formula>"Towel"</formula>
    </cfRule>
    <cfRule type="cellIs" dxfId="5119" priority="1066" stopIfTrue="1" operator="equal">
      <formula>"Napkin Hs"</formula>
    </cfRule>
  </conditionalFormatting>
  <conditionalFormatting sqref="C108">
    <cfRule type="cellIs" dxfId="5118" priority="1067" stopIfTrue="1" operator="equal">
      <formula>"Towel"</formula>
    </cfRule>
  </conditionalFormatting>
  <conditionalFormatting sqref="B108:C108">
    <cfRule type="cellIs" dxfId="5117" priority="1063" stopIfTrue="1" operator="equal">
      <formula>"Towel"</formula>
    </cfRule>
    <cfRule type="cellIs" dxfId="5116" priority="1064" stopIfTrue="1" operator="equal">
      <formula>"Napkin Hs"</formula>
    </cfRule>
  </conditionalFormatting>
  <conditionalFormatting sqref="C108">
    <cfRule type="cellIs" dxfId="5115" priority="1062" stopIfTrue="1" operator="equal">
      <formula>"Napkin Hs"</formula>
    </cfRule>
  </conditionalFormatting>
  <conditionalFormatting sqref="C108">
    <cfRule type="cellIs" dxfId="5114" priority="1059" stopIfTrue="1" operator="equal">
      <formula>"Towel"</formula>
    </cfRule>
    <cfRule type="cellIs" dxfId="5113" priority="1060" stopIfTrue="1" operator="equal">
      <formula>"Napkin Hs"</formula>
    </cfRule>
  </conditionalFormatting>
  <conditionalFormatting sqref="C108">
    <cfRule type="cellIs" dxfId="5112" priority="1061" stopIfTrue="1" operator="equal">
      <formula>"Towel"</formula>
    </cfRule>
  </conditionalFormatting>
  <conditionalFormatting sqref="B108:C108">
    <cfRule type="cellIs" dxfId="5111" priority="1057" stopIfTrue="1" operator="equal">
      <formula>"Towel"</formula>
    </cfRule>
    <cfRule type="cellIs" dxfId="5110" priority="1058" stopIfTrue="1" operator="equal">
      <formula>"Napkin Hs"</formula>
    </cfRule>
  </conditionalFormatting>
  <conditionalFormatting sqref="C108">
    <cfRule type="cellIs" dxfId="5109" priority="1056" stopIfTrue="1" operator="equal">
      <formula>"Napkin Hs"</formula>
    </cfRule>
  </conditionalFormatting>
  <conditionalFormatting sqref="C108">
    <cfRule type="cellIs" dxfId="5108" priority="1053" stopIfTrue="1" operator="equal">
      <formula>"Towel"</formula>
    </cfRule>
    <cfRule type="cellIs" dxfId="5107" priority="1054" stopIfTrue="1" operator="equal">
      <formula>"Napkin Hs"</formula>
    </cfRule>
  </conditionalFormatting>
  <conditionalFormatting sqref="C108">
    <cfRule type="cellIs" dxfId="5106" priority="1055" stopIfTrue="1" operator="equal">
      <formula>"Towel"</formula>
    </cfRule>
  </conditionalFormatting>
  <conditionalFormatting sqref="B108:C108">
    <cfRule type="cellIs" dxfId="5105" priority="1051" stopIfTrue="1" operator="equal">
      <formula>"Towel"</formula>
    </cfRule>
    <cfRule type="cellIs" dxfId="5104" priority="1052" stopIfTrue="1" operator="equal">
      <formula>"Napkin Hs"</formula>
    </cfRule>
  </conditionalFormatting>
  <conditionalFormatting sqref="C108">
    <cfRule type="cellIs" dxfId="5103" priority="1050" stopIfTrue="1" operator="equal">
      <formula>"Napkin Hs"</formula>
    </cfRule>
  </conditionalFormatting>
  <conditionalFormatting sqref="C108">
    <cfRule type="cellIs" dxfId="5102" priority="1047" stopIfTrue="1" operator="equal">
      <formula>"Towel"</formula>
    </cfRule>
    <cfRule type="cellIs" dxfId="5101" priority="1048" stopIfTrue="1" operator="equal">
      <formula>"Napkin Hs"</formula>
    </cfRule>
  </conditionalFormatting>
  <conditionalFormatting sqref="C108">
    <cfRule type="cellIs" dxfId="5100" priority="1049" stopIfTrue="1" operator="equal">
      <formula>"Towel"</formula>
    </cfRule>
  </conditionalFormatting>
  <conditionalFormatting sqref="B108:C108">
    <cfRule type="cellIs" dxfId="5099" priority="1045" stopIfTrue="1" operator="equal">
      <formula>"Towel"</formula>
    </cfRule>
    <cfRule type="cellIs" dxfId="5098" priority="1046" stopIfTrue="1" operator="equal">
      <formula>"Napkin Hs"</formula>
    </cfRule>
  </conditionalFormatting>
  <conditionalFormatting sqref="C108">
    <cfRule type="cellIs" dxfId="5097" priority="1044" stopIfTrue="1" operator="equal">
      <formula>"Napkin Hs"</formula>
    </cfRule>
  </conditionalFormatting>
  <conditionalFormatting sqref="C108">
    <cfRule type="cellIs" dxfId="5096" priority="1041" stopIfTrue="1" operator="equal">
      <formula>"Towel"</formula>
    </cfRule>
    <cfRule type="cellIs" dxfId="5095" priority="1042" stopIfTrue="1" operator="equal">
      <formula>"Napkin Hs"</formula>
    </cfRule>
  </conditionalFormatting>
  <conditionalFormatting sqref="C108">
    <cfRule type="cellIs" dxfId="5094" priority="1043" stopIfTrue="1" operator="equal">
      <formula>"Towel"</formula>
    </cfRule>
  </conditionalFormatting>
  <conditionalFormatting sqref="B108:C108">
    <cfRule type="cellIs" dxfId="5093" priority="1039" stopIfTrue="1" operator="equal">
      <formula>"Towel"</formula>
    </cfRule>
    <cfRule type="cellIs" dxfId="5092" priority="1040" stopIfTrue="1" operator="equal">
      <formula>"Napkin Hs"</formula>
    </cfRule>
  </conditionalFormatting>
  <conditionalFormatting sqref="C108">
    <cfRule type="cellIs" dxfId="5091" priority="1038" stopIfTrue="1" operator="equal">
      <formula>"Napkin Hs"</formula>
    </cfRule>
  </conditionalFormatting>
  <conditionalFormatting sqref="C108">
    <cfRule type="cellIs" dxfId="5090" priority="1035" stopIfTrue="1" operator="equal">
      <formula>"Towel"</formula>
    </cfRule>
    <cfRule type="cellIs" dxfId="5089" priority="1036" stopIfTrue="1" operator="equal">
      <formula>"Napkin Hs"</formula>
    </cfRule>
  </conditionalFormatting>
  <conditionalFormatting sqref="C108">
    <cfRule type="cellIs" dxfId="5088" priority="1037" stopIfTrue="1" operator="equal">
      <formula>"Towel"</formula>
    </cfRule>
  </conditionalFormatting>
  <conditionalFormatting sqref="B108:C108">
    <cfRule type="cellIs" dxfId="5087" priority="1033" stopIfTrue="1" operator="equal">
      <formula>"Towel"</formula>
    </cfRule>
    <cfRule type="cellIs" dxfId="5086" priority="1034" stopIfTrue="1" operator="equal">
      <formula>"Napkin Hs"</formula>
    </cfRule>
  </conditionalFormatting>
  <conditionalFormatting sqref="C108">
    <cfRule type="cellIs" dxfId="5085" priority="1032" stopIfTrue="1" operator="equal">
      <formula>"Napkin Hs"</formula>
    </cfRule>
  </conditionalFormatting>
  <conditionalFormatting sqref="C108">
    <cfRule type="cellIs" dxfId="5084" priority="1029" stopIfTrue="1" operator="equal">
      <formula>"Towel"</formula>
    </cfRule>
    <cfRule type="cellIs" dxfId="5083" priority="1030" stopIfTrue="1" operator="equal">
      <formula>"Napkin Hs"</formula>
    </cfRule>
  </conditionalFormatting>
  <conditionalFormatting sqref="C108">
    <cfRule type="cellIs" dxfId="5082" priority="1031" stopIfTrue="1" operator="equal">
      <formula>"Towel"</formula>
    </cfRule>
  </conditionalFormatting>
  <conditionalFormatting sqref="B108:C108">
    <cfRule type="cellIs" dxfId="5081" priority="1027" stopIfTrue="1" operator="equal">
      <formula>"Towel"</formula>
    </cfRule>
    <cfRule type="cellIs" dxfId="5080" priority="1028" stopIfTrue="1" operator="equal">
      <formula>"Napkin Hs"</formula>
    </cfRule>
  </conditionalFormatting>
  <conditionalFormatting sqref="C108">
    <cfRule type="cellIs" dxfId="5079" priority="1026" stopIfTrue="1" operator="equal">
      <formula>"Napkin Hs"</formula>
    </cfRule>
  </conditionalFormatting>
  <conditionalFormatting sqref="C108">
    <cfRule type="cellIs" dxfId="5078" priority="1023" stopIfTrue="1" operator="equal">
      <formula>"Towel"</formula>
    </cfRule>
    <cfRule type="cellIs" dxfId="5077" priority="1024" stopIfTrue="1" operator="equal">
      <formula>"Napkin Hs"</formula>
    </cfRule>
  </conditionalFormatting>
  <conditionalFormatting sqref="C108">
    <cfRule type="cellIs" dxfId="5076" priority="1025" stopIfTrue="1" operator="equal">
      <formula>"Towel"</formula>
    </cfRule>
  </conditionalFormatting>
  <conditionalFormatting sqref="B107:C107">
    <cfRule type="cellIs" dxfId="5075" priority="1021" stopIfTrue="1" operator="equal">
      <formula>"Towel"</formula>
    </cfRule>
    <cfRule type="cellIs" dxfId="5074" priority="1022" stopIfTrue="1" operator="equal">
      <formula>"Napkin Hs"</formula>
    </cfRule>
  </conditionalFormatting>
  <conditionalFormatting sqref="C107">
    <cfRule type="cellIs" dxfId="5073" priority="1020" stopIfTrue="1" operator="equal">
      <formula>"Napkin Hs"</formula>
    </cfRule>
  </conditionalFormatting>
  <conditionalFormatting sqref="C107">
    <cfRule type="cellIs" dxfId="5072" priority="1017" stopIfTrue="1" operator="equal">
      <formula>"Towel"</formula>
    </cfRule>
    <cfRule type="cellIs" dxfId="5071" priority="1018" stopIfTrue="1" operator="equal">
      <formula>"Napkin Hs"</formula>
    </cfRule>
  </conditionalFormatting>
  <conditionalFormatting sqref="C107">
    <cfRule type="cellIs" dxfId="5070" priority="1019" stopIfTrue="1" operator="equal">
      <formula>"Towel"</formula>
    </cfRule>
  </conditionalFormatting>
  <conditionalFormatting sqref="B107:C107">
    <cfRule type="cellIs" dxfId="5069" priority="1015" stopIfTrue="1" operator="equal">
      <formula>"Towel"</formula>
    </cfRule>
    <cfRule type="cellIs" dxfId="5068" priority="1016" stopIfTrue="1" operator="equal">
      <formula>"Napkin Hs"</formula>
    </cfRule>
  </conditionalFormatting>
  <conditionalFormatting sqref="C107">
    <cfRule type="cellIs" dxfId="5067" priority="1014" stopIfTrue="1" operator="equal">
      <formula>"Napkin Hs"</formula>
    </cfRule>
  </conditionalFormatting>
  <conditionalFormatting sqref="C107">
    <cfRule type="cellIs" dxfId="5066" priority="1011" stopIfTrue="1" operator="equal">
      <formula>"Towel"</formula>
    </cfRule>
    <cfRule type="cellIs" dxfId="5065" priority="1012" stopIfTrue="1" operator="equal">
      <formula>"Napkin Hs"</formula>
    </cfRule>
  </conditionalFormatting>
  <conditionalFormatting sqref="C107">
    <cfRule type="cellIs" dxfId="5064" priority="1013" stopIfTrue="1" operator="equal">
      <formula>"Towel"</formula>
    </cfRule>
  </conditionalFormatting>
  <conditionalFormatting sqref="B107:C107">
    <cfRule type="cellIs" dxfId="5063" priority="979" stopIfTrue="1" operator="equal">
      <formula>"Towel"</formula>
    </cfRule>
    <cfRule type="cellIs" dxfId="5062" priority="980" stopIfTrue="1" operator="equal">
      <formula>"Napkin Hs"</formula>
    </cfRule>
  </conditionalFormatting>
  <conditionalFormatting sqref="C107">
    <cfRule type="cellIs" dxfId="5061" priority="975" stopIfTrue="1" operator="equal">
      <formula>"Towel"</formula>
    </cfRule>
    <cfRule type="cellIs" dxfId="5060" priority="976" stopIfTrue="1" operator="equal">
      <formula>"Napkin Hs"</formula>
    </cfRule>
  </conditionalFormatting>
  <conditionalFormatting sqref="B107:C107">
    <cfRule type="cellIs" dxfId="5059" priority="973" stopIfTrue="1" operator="equal">
      <formula>"Towel"</formula>
    </cfRule>
    <cfRule type="cellIs" dxfId="5058" priority="974" stopIfTrue="1" operator="equal">
      <formula>"Napkin Hs"</formula>
    </cfRule>
  </conditionalFormatting>
  <conditionalFormatting sqref="C107">
    <cfRule type="cellIs" dxfId="5057" priority="972" stopIfTrue="1" operator="equal">
      <formula>"Napkin Hs"</formula>
    </cfRule>
  </conditionalFormatting>
  <conditionalFormatting sqref="C107">
    <cfRule type="cellIs" dxfId="5056" priority="969" stopIfTrue="1" operator="equal">
      <formula>"Towel"</formula>
    </cfRule>
    <cfRule type="cellIs" dxfId="5055" priority="970" stopIfTrue="1" operator="equal">
      <formula>"Napkin Hs"</formula>
    </cfRule>
  </conditionalFormatting>
  <conditionalFormatting sqref="C107">
    <cfRule type="cellIs" dxfId="5054" priority="971" stopIfTrue="1" operator="equal">
      <formula>"Towel"</formula>
    </cfRule>
  </conditionalFormatting>
  <conditionalFormatting sqref="B107:C107">
    <cfRule type="cellIs" dxfId="5053" priority="967" stopIfTrue="1" operator="equal">
      <formula>"Towel"</formula>
    </cfRule>
    <cfRule type="cellIs" dxfId="5052" priority="968" stopIfTrue="1" operator="equal">
      <formula>"Napkin Hs"</formula>
    </cfRule>
  </conditionalFormatting>
  <conditionalFormatting sqref="C107">
    <cfRule type="cellIs" dxfId="5051" priority="966" stopIfTrue="1" operator="equal">
      <formula>"Napkin Hs"</formula>
    </cfRule>
  </conditionalFormatting>
  <conditionalFormatting sqref="C107">
    <cfRule type="cellIs" dxfId="5050" priority="963" stopIfTrue="1" operator="equal">
      <formula>"Towel"</formula>
    </cfRule>
    <cfRule type="cellIs" dxfId="5049" priority="964" stopIfTrue="1" operator="equal">
      <formula>"Napkin Hs"</formula>
    </cfRule>
  </conditionalFormatting>
  <conditionalFormatting sqref="C107">
    <cfRule type="cellIs" dxfId="5048" priority="965" stopIfTrue="1" operator="equal">
      <formula>"Towel"</formula>
    </cfRule>
  </conditionalFormatting>
  <conditionalFormatting sqref="B107:C107">
    <cfRule type="cellIs" dxfId="5047" priority="961" stopIfTrue="1" operator="equal">
      <formula>"Towel"</formula>
    </cfRule>
    <cfRule type="cellIs" dxfId="5046" priority="962" stopIfTrue="1" operator="equal">
      <formula>"Napkin Hs"</formula>
    </cfRule>
  </conditionalFormatting>
  <conditionalFormatting sqref="C107">
    <cfRule type="cellIs" dxfId="5045" priority="960" stopIfTrue="1" operator="equal">
      <formula>"Napkin Hs"</formula>
    </cfRule>
  </conditionalFormatting>
  <conditionalFormatting sqref="C107">
    <cfRule type="cellIs" dxfId="5044" priority="957" stopIfTrue="1" operator="equal">
      <formula>"Towel"</formula>
    </cfRule>
    <cfRule type="cellIs" dxfId="5043" priority="958" stopIfTrue="1" operator="equal">
      <formula>"Napkin Hs"</formula>
    </cfRule>
  </conditionalFormatting>
  <conditionalFormatting sqref="C107">
    <cfRule type="cellIs" dxfId="5042" priority="959" stopIfTrue="1" operator="equal">
      <formula>"Towel"</formula>
    </cfRule>
  </conditionalFormatting>
  <conditionalFormatting sqref="B107:C107">
    <cfRule type="cellIs" dxfId="5041" priority="1009" stopIfTrue="1" operator="equal">
      <formula>"Towel"</formula>
    </cfRule>
    <cfRule type="cellIs" dxfId="5040" priority="1010" stopIfTrue="1" operator="equal">
      <formula>"Napkin Hs"</formula>
    </cfRule>
  </conditionalFormatting>
  <conditionalFormatting sqref="C107">
    <cfRule type="cellIs" dxfId="5039" priority="1008" stopIfTrue="1" operator="equal">
      <formula>"Napkin Hs"</formula>
    </cfRule>
  </conditionalFormatting>
  <conditionalFormatting sqref="C107">
    <cfRule type="cellIs" dxfId="5038" priority="1005" stopIfTrue="1" operator="equal">
      <formula>"Towel"</formula>
    </cfRule>
    <cfRule type="cellIs" dxfId="5037" priority="1006" stopIfTrue="1" operator="equal">
      <formula>"Napkin Hs"</formula>
    </cfRule>
  </conditionalFormatting>
  <conditionalFormatting sqref="C107">
    <cfRule type="cellIs" dxfId="5036" priority="1007" stopIfTrue="1" operator="equal">
      <formula>"Towel"</formula>
    </cfRule>
  </conditionalFormatting>
  <conditionalFormatting sqref="B107:C107">
    <cfRule type="cellIs" dxfId="5035" priority="1003" stopIfTrue="1" operator="equal">
      <formula>"Towel"</formula>
    </cfRule>
    <cfRule type="cellIs" dxfId="5034" priority="1004" stopIfTrue="1" operator="equal">
      <formula>"Napkin Hs"</formula>
    </cfRule>
  </conditionalFormatting>
  <conditionalFormatting sqref="C107">
    <cfRule type="cellIs" dxfId="5033" priority="1002" stopIfTrue="1" operator="equal">
      <formula>"Napkin Hs"</formula>
    </cfRule>
  </conditionalFormatting>
  <conditionalFormatting sqref="C107">
    <cfRule type="cellIs" dxfId="5032" priority="999" stopIfTrue="1" operator="equal">
      <formula>"Towel"</formula>
    </cfRule>
    <cfRule type="cellIs" dxfId="5031" priority="1000" stopIfTrue="1" operator="equal">
      <formula>"Napkin Hs"</formula>
    </cfRule>
  </conditionalFormatting>
  <conditionalFormatting sqref="C107">
    <cfRule type="cellIs" dxfId="5030" priority="1001" stopIfTrue="1" operator="equal">
      <formula>"Towel"</formula>
    </cfRule>
  </conditionalFormatting>
  <conditionalFormatting sqref="B107:C107">
    <cfRule type="cellIs" dxfId="5029" priority="997" stopIfTrue="1" operator="equal">
      <formula>"Towel"</formula>
    </cfRule>
    <cfRule type="cellIs" dxfId="5028" priority="998" stopIfTrue="1" operator="equal">
      <formula>"Napkin Hs"</formula>
    </cfRule>
  </conditionalFormatting>
  <conditionalFormatting sqref="C107">
    <cfRule type="cellIs" dxfId="5027" priority="996" stopIfTrue="1" operator="equal">
      <formula>"Napkin Hs"</formula>
    </cfRule>
  </conditionalFormatting>
  <conditionalFormatting sqref="C107">
    <cfRule type="cellIs" dxfId="5026" priority="993" stopIfTrue="1" operator="equal">
      <formula>"Towel"</formula>
    </cfRule>
    <cfRule type="cellIs" dxfId="5025" priority="994" stopIfTrue="1" operator="equal">
      <formula>"Napkin Hs"</formula>
    </cfRule>
  </conditionalFormatting>
  <conditionalFormatting sqref="C107">
    <cfRule type="cellIs" dxfId="5024" priority="995" stopIfTrue="1" operator="equal">
      <formula>"Towel"</formula>
    </cfRule>
  </conditionalFormatting>
  <conditionalFormatting sqref="B107:C107">
    <cfRule type="cellIs" dxfId="5023" priority="991" stopIfTrue="1" operator="equal">
      <formula>"Towel"</formula>
    </cfRule>
    <cfRule type="cellIs" dxfId="5022" priority="992" stopIfTrue="1" operator="equal">
      <formula>"Napkin Hs"</formula>
    </cfRule>
  </conditionalFormatting>
  <conditionalFormatting sqref="C107">
    <cfRule type="cellIs" dxfId="5021" priority="990" stopIfTrue="1" operator="equal">
      <formula>"Napkin Hs"</formula>
    </cfRule>
  </conditionalFormatting>
  <conditionalFormatting sqref="C107">
    <cfRule type="cellIs" dxfId="5020" priority="987" stopIfTrue="1" operator="equal">
      <formula>"Towel"</formula>
    </cfRule>
    <cfRule type="cellIs" dxfId="5019" priority="988" stopIfTrue="1" operator="equal">
      <formula>"Napkin Hs"</formula>
    </cfRule>
  </conditionalFormatting>
  <conditionalFormatting sqref="C107">
    <cfRule type="cellIs" dxfId="5018" priority="989" stopIfTrue="1" operator="equal">
      <formula>"Towel"</formula>
    </cfRule>
  </conditionalFormatting>
  <conditionalFormatting sqref="B107:C107">
    <cfRule type="cellIs" dxfId="5017" priority="985" stopIfTrue="1" operator="equal">
      <formula>"Towel"</formula>
    </cfRule>
    <cfRule type="cellIs" dxfId="5016" priority="986" stopIfTrue="1" operator="equal">
      <formula>"Napkin Hs"</formula>
    </cfRule>
  </conditionalFormatting>
  <conditionalFormatting sqref="C107">
    <cfRule type="cellIs" dxfId="5015" priority="983" stopIfTrue="1" operator="equal">
      <formula>"Towel"</formula>
    </cfRule>
    <cfRule type="cellIs" dxfId="5014" priority="984" stopIfTrue="1" operator="equal">
      <formula>"Napkin Hs"</formula>
    </cfRule>
  </conditionalFormatting>
  <conditionalFormatting sqref="C107">
    <cfRule type="cellIs" dxfId="5013" priority="981" stopIfTrue="1" operator="equal">
      <formula>"Towel"</formula>
    </cfRule>
    <cfRule type="cellIs" dxfId="5012" priority="982" stopIfTrue="1" operator="equal">
      <formula>"Napkin Hs"</formula>
    </cfRule>
  </conditionalFormatting>
  <conditionalFormatting sqref="C107">
    <cfRule type="cellIs" dxfId="5011" priority="977" stopIfTrue="1" operator="equal">
      <formula>"Towel"</formula>
    </cfRule>
    <cfRule type="cellIs" dxfId="5010" priority="978" stopIfTrue="1" operator="equal">
      <formula>"Napkin Hs"</formula>
    </cfRule>
  </conditionalFormatting>
  <conditionalFormatting sqref="B107:C107">
    <cfRule type="cellIs" dxfId="5009" priority="955" stopIfTrue="1" operator="equal">
      <formula>"Towel"</formula>
    </cfRule>
    <cfRule type="cellIs" dxfId="5008" priority="956" stopIfTrue="1" operator="equal">
      <formula>"Napkin Hs"</formula>
    </cfRule>
  </conditionalFormatting>
  <conditionalFormatting sqref="C107">
    <cfRule type="cellIs" dxfId="5007" priority="954" stopIfTrue="1" operator="equal">
      <formula>"Napkin Hs"</formula>
    </cfRule>
  </conditionalFormatting>
  <conditionalFormatting sqref="C107">
    <cfRule type="cellIs" dxfId="5006" priority="951" stopIfTrue="1" operator="equal">
      <formula>"Towel"</formula>
    </cfRule>
    <cfRule type="cellIs" dxfId="5005" priority="952" stopIfTrue="1" operator="equal">
      <formula>"Napkin Hs"</formula>
    </cfRule>
  </conditionalFormatting>
  <conditionalFormatting sqref="C107">
    <cfRule type="cellIs" dxfId="5004" priority="953" stopIfTrue="1" operator="equal">
      <formula>"Towel"</formula>
    </cfRule>
  </conditionalFormatting>
  <conditionalFormatting sqref="B107:C107">
    <cfRule type="cellIs" dxfId="5003" priority="949" stopIfTrue="1" operator="equal">
      <formula>"Towel"</formula>
    </cfRule>
    <cfRule type="cellIs" dxfId="5002" priority="950" stopIfTrue="1" operator="equal">
      <formula>"Napkin Hs"</formula>
    </cfRule>
  </conditionalFormatting>
  <conditionalFormatting sqref="C107">
    <cfRule type="cellIs" dxfId="5001" priority="948" stopIfTrue="1" operator="equal">
      <formula>"Napkin Hs"</formula>
    </cfRule>
  </conditionalFormatting>
  <conditionalFormatting sqref="C107">
    <cfRule type="cellIs" dxfId="5000" priority="945" stopIfTrue="1" operator="equal">
      <formula>"Towel"</formula>
    </cfRule>
    <cfRule type="cellIs" dxfId="4999" priority="946" stopIfTrue="1" operator="equal">
      <formula>"Napkin Hs"</formula>
    </cfRule>
  </conditionalFormatting>
  <conditionalFormatting sqref="C107">
    <cfRule type="cellIs" dxfId="4998" priority="947" stopIfTrue="1" operator="equal">
      <formula>"Towel"</formula>
    </cfRule>
  </conditionalFormatting>
  <conditionalFormatting sqref="B107:C107">
    <cfRule type="cellIs" dxfId="4997" priority="943" stopIfTrue="1" operator="equal">
      <formula>"Towel"</formula>
    </cfRule>
    <cfRule type="cellIs" dxfId="4996" priority="944" stopIfTrue="1" operator="equal">
      <formula>"Napkin Hs"</formula>
    </cfRule>
  </conditionalFormatting>
  <conditionalFormatting sqref="C107">
    <cfRule type="cellIs" dxfId="4995" priority="942" stopIfTrue="1" operator="equal">
      <formula>"Napkin Hs"</formula>
    </cfRule>
  </conditionalFormatting>
  <conditionalFormatting sqref="C107">
    <cfRule type="cellIs" dxfId="4994" priority="939" stopIfTrue="1" operator="equal">
      <formula>"Towel"</formula>
    </cfRule>
    <cfRule type="cellIs" dxfId="4993" priority="940" stopIfTrue="1" operator="equal">
      <formula>"Napkin Hs"</formula>
    </cfRule>
  </conditionalFormatting>
  <conditionalFormatting sqref="C107">
    <cfRule type="cellIs" dxfId="4992" priority="941" stopIfTrue="1" operator="equal">
      <formula>"Towel"</formula>
    </cfRule>
  </conditionalFormatting>
  <conditionalFormatting sqref="B107:C107">
    <cfRule type="cellIs" dxfId="4991" priority="937" stopIfTrue="1" operator="equal">
      <formula>"Towel"</formula>
    </cfRule>
    <cfRule type="cellIs" dxfId="4990" priority="938" stopIfTrue="1" operator="equal">
      <formula>"Napkin Hs"</formula>
    </cfRule>
  </conditionalFormatting>
  <conditionalFormatting sqref="C107">
    <cfRule type="cellIs" dxfId="4989" priority="936" stopIfTrue="1" operator="equal">
      <formula>"Napkin Hs"</formula>
    </cfRule>
  </conditionalFormatting>
  <conditionalFormatting sqref="C107">
    <cfRule type="cellIs" dxfId="4988" priority="933" stopIfTrue="1" operator="equal">
      <formula>"Towel"</formula>
    </cfRule>
    <cfRule type="cellIs" dxfId="4987" priority="934" stopIfTrue="1" operator="equal">
      <formula>"Napkin Hs"</formula>
    </cfRule>
  </conditionalFormatting>
  <conditionalFormatting sqref="C107">
    <cfRule type="cellIs" dxfId="4986" priority="935" stopIfTrue="1" operator="equal">
      <formula>"Towel"</formula>
    </cfRule>
  </conditionalFormatting>
  <conditionalFormatting sqref="B107:C107">
    <cfRule type="cellIs" dxfId="4985" priority="931" stopIfTrue="1" operator="equal">
      <formula>"Towel"</formula>
    </cfRule>
    <cfRule type="cellIs" dxfId="4984" priority="932" stopIfTrue="1" operator="equal">
      <formula>"Napkin Hs"</formula>
    </cfRule>
  </conditionalFormatting>
  <conditionalFormatting sqref="C107">
    <cfRule type="cellIs" dxfId="4983" priority="930" stopIfTrue="1" operator="equal">
      <formula>"Napkin Hs"</formula>
    </cfRule>
  </conditionalFormatting>
  <conditionalFormatting sqref="C107">
    <cfRule type="cellIs" dxfId="4982" priority="927" stopIfTrue="1" operator="equal">
      <formula>"Towel"</formula>
    </cfRule>
    <cfRule type="cellIs" dxfId="4981" priority="928" stopIfTrue="1" operator="equal">
      <formula>"Napkin Hs"</formula>
    </cfRule>
  </conditionalFormatting>
  <conditionalFormatting sqref="C107">
    <cfRule type="cellIs" dxfId="4980" priority="929" stopIfTrue="1" operator="equal">
      <formula>"Towel"</formula>
    </cfRule>
  </conditionalFormatting>
  <conditionalFormatting sqref="B107:C107">
    <cfRule type="cellIs" dxfId="4979" priority="925" stopIfTrue="1" operator="equal">
      <formula>"Towel"</formula>
    </cfRule>
    <cfRule type="cellIs" dxfId="4978" priority="926" stopIfTrue="1" operator="equal">
      <formula>"Napkin Hs"</formula>
    </cfRule>
  </conditionalFormatting>
  <conditionalFormatting sqref="C107">
    <cfRule type="cellIs" dxfId="4977" priority="924" stopIfTrue="1" operator="equal">
      <formula>"Napkin Hs"</formula>
    </cfRule>
  </conditionalFormatting>
  <conditionalFormatting sqref="C107">
    <cfRule type="cellIs" dxfId="4976" priority="921" stopIfTrue="1" operator="equal">
      <formula>"Towel"</formula>
    </cfRule>
    <cfRule type="cellIs" dxfId="4975" priority="922" stopIfTrue="1" operator="equal">
      <formula>"Napkin Hs"</formula>
    </cfRule>
  </conditionalFormatting>
  <conditionalFormatting sqref="C107">
    <cfRule type="cellIs" dxfId="4974" priority="923" stopIfTrue="1" operator="equal">
      <formula>"Towel"</formula>
    </cfRule>
  </conditionalFormatting>
  <conditionalFormatting sqref="B107:C107">
    <cfRule type="cellIs" dxfId="4973" priority="919" stopIfTrue="1" operator="equal">
      <formula>"Towel"</formula>
    </cfRule>
    <cfRule type="cellIs" dxfId="4972" priority="920" stopIfTrue="1" operator="equal">
      <formula>"Napkin Hs"</formula>
    </cfRule>
  </conditionalFormatting>
  <conditionalFormatting sqref="C107">
    <cfRule type="cellIs" dxfId="4971" priority="918" stopIfTrue="1" operator="equal">
      <formula>"Napkin Hs"</formula>
    </cfRule>
  </conditionalFormatting>
  <conditionalFormatting sqref="C107">
    <cfRule type="cellIs" dxfId="4970" priority="915" stopIfTrue="1" operator="equal">
      <formula>"Towel"</formula>
    </cfRule>
    <cfRule type="cellIs" dxfId="4969" priority="916" stopIfTrue="1" operator="equal">
      <formula>"Napkin Hs"</formula>
    </cfRule>
  </conditionalFormatting>
  <conditionalFormatting sqref="C107">
    <cfRule type="cellIs" dxfId="4968" priority="917" stopIfTrue="1" operator="equal">
      <formula>"Towel"</formula>
    </cfRule>
  </conditionalFormatting>
  <conditionalFormatting sqref="B107:C107">
    <cfRule type="cellIs" dxfId="4967" priority="913" stopIfTrue="1" operator="equal">
      <formula>"Towel"</formula>
    </cfRule>
    <cfRule type="cellIs" dxfId="4966" priority="914" stopIfTrue="1" operator="equal">
      <formula>"Napkin Hs"</formula>
    </cfRule>
  </conditionalFormatting>
  <conditionalFormatting sqref="C107">
    <cfRule type="cellIs" dxfId="4965" priority="912" stopIfTrue="1" operator="equal">
      <formula>"Napkin Hs"</formula>
    </cfRule>
  </conditionalFormatting>
  <conditionalFormatting sqref="C107">
    <cfRule type="cellIs" dxfId="4964" priority="909" stopIfTrue="1" operator="equal">
      <formula>"Towel"</formula>
    </cfRule>
    <cfRule type="cellIs" dxfId="4963" priority="910" stopIfTrue="1" operator="equal">
      <formula>"Napkin Hs"</formula>
    </cfRule>
  </conditionalFormatting>
  <conditionalFormatting sqref="C107">
    <cfRule type="cellIs" dxfId="4962" priority="911" stopIfTrue="1" operator="equal">
      <formula>"Towel"</formula>
    </cfRule>
  </conditionalFormatting>
  <conditionalFormatting sqref="B109:C109">
    <cfRule type="cellIs" dxfId="4961" priority="907" stopIfTrue="1" operator="equal">
      <formula>"Towel"</formula>
    </cfRule>
    <cfRule type="cellIs" dxfId="4960" priority="908" stopIfTrue="1" operator="equal">
      <formula>"Napkin Hs"</formula>
    </cfRule>
  </conditionalFormatting>
  <conditionalFormatting sqref="C109">
    <cfRule type="cellIs" dxfId="4959" priority="906" stopIfTrue="1" operator="equal">
      <formula>"Napkin Hs"</formula>
    </cfRule>
  </conditionalFormatting>
  <conditionalFormatting sqref="C109">
    <cfRule type="cellIs" dxfId="4958" priority="903" stopIfTrue="1" operator="equal">
      <formula>"Towel"</formula>
    </cfRule>
    <cfRule type="cellIs" dxfId="4957" priority="904" stopIfTrue="1" operator="equal">
      <formula>"Napkin Hs"</formula>
    </cfRule>
  </conditionalFormatting>
  <conditionalFormatting sqref="C109">
    <cfRule type="cellIs" dxfId="4956" priority="905" stopIfTrue="1" operator="equal">
      <formula>"Towel"</formula>
    </cfRule>
  </conditionalFormatting>
  <conditionalFormatting sqref="B109:C109">
    <cfRule type="cellIs" dxfId="4955" priority="901" stopIfTrue="1" operator="equal">
      <formula>"Towel"</formula>
    </cfRule>
    <cfRule type="cellIs" dxfId="4954" priority="902" stopIfTrue="1" operator="equal">
      <formula>"Napkin Hs"</formula>
    </cfRule>
  </conditionalFormatting>
  <conditionalFormatting sqref="C109">
    <cfRule type="cellIs" dxfId="4953" priority="900" stopIfTrue="1" operator="equal">
      <formula>"Napkin Hs"</formula>
    </cfRule>
  </conditionalFormatting>
  <conditionalFormatting sqref="C109">
    <cfRule type="cellIs" dxfId="4952" priority="897" stopIfTrue="1" operator="equal">
      <formula>"Towel"</formula>
    </cfRule>
    <cfRule type="cellIs" dxfId="4951" priority="898" stopIfTrue="1" operator="equal">
      <formula>"Napkin Hs"</formula>
    </cfRule>
  </conditionalFormatting>
  <conditionalFormatting sqref="C109">
    <cfRule type="cellIs" dxfId="4950" priority="899" stopIfTrue="1" operator="equal">
      <formula>"Towel"</formula>
    </cfRule>
  </conditionalFormatting>
  <conditionalFormatting sqref="B109:C109">
    <cfRule type="cellIs" dxfId="4949" priority="895" stopIfTrue="1" operator="equal">
      <formula>"Towel"</formula>
    </cfRule>
    <cfRule type="cellIs" dxfId="4948" priority="896" stopIfTrue="1" operator="equal">
      <formula>"Napkin Hs"</formula>
    </cfRule>
  </conditionalFormatting>
  <conditionalFormatting sqref="C109">
    <cfRule type="cellIs" dxfId="4947" priority="894" stopIfTrue="1" operator="equal">
      <formula>"Napkin Hs"</formula>
    </cfRule>
  </conditionalFormatting>
  <conditionalFormatting sqref="C109">
    <cfRule type="cellIs" dxfId="4946" priority="891" stopIfTrue="1" operator="equal">
      <formula>"Towel"</formula>
    </cfRule>
    <cfRule type="cellIs" dxfId="4945" priority="892" stopIfTrue="1" operator="equal">
      <formula>"Napkin Hs"</formula>
    </cfRule>
  </conditionalFormatting>
  <conditionalFormatting sqref="C109">
    <cfRule type="cellIs" dxfId="4944" priority="893" stopIfTrue="1" operator="equal">
      <formula>"Towel"</formula>
    </cfRule>
  </conditionalFormatting>
  <conditionalFormatting sqref="B109:C109">
    <cfRule type="cellIs" dxfId="4943" priority="889" stopIfTrue="1" operator="equal">
      <formula>"Towel"</formula>
    </cfRule>
    <cfRule type="cellIs" dxfId="4942" priority="890" stopIfTrue="1" operator="equal">
      <formula>"Napkin Hs"</formula>
    </cfRule>
  </conditionalFormatting>
  <conditionalFormatting sqref="C109">
    <cfRule type="cellIs" dxfId="4941" priority="888" stopIfTrue="1" operator="equal">
      <formula>"Napkin Hs"</formula>
    </cfRule>
  </conditionalFormatting>
  <conditionalFormatting sqref="C109">
    <cfRule type="cellIs" dxfId="4940" priority="885" stopIfTrue="1" operator="equal">
      <formula>"Towel"</formula>
    </cfRule>
    <cfRule type="cellIs" dxfId="4939" priority="886" stopIfTrue="1" operator="equal">
      <formula>"Napkin Hs"</formula>
    </cfRule>
  </conditionalFormatting>
  <conditionalFormatting sqref="C109">
    <cfRule type="cellIs" dxfId="4938" priority="887" stopIfTrue="1" operator="equal">
      <formula>"Towel"</formula>
    </cfRule>
  </conditionalFormatting>
  <conditionalFormatting sqref="B109:C109">
    <cfRule type="cellIs" dxfId="4937" priority="883" stopIfTrue="1" operator="equal">
      <formula>"Towel"</formula>
    </cfRule>
    <cfRule type="cellIs" dxfId="4936" priority="884" stopIfTrue="1" operator="equal">
      <formula>"Napkin Hs"</formula>
    </cfRule>
  </conditionalFormatting>
  <conditionalFormatting sqref="C109">
    <cfRule type="cellIs" dxfId="4935" priority="881" stopIfTrue="1" operator="equal">
      <formula>"Towel"</formula>
    </cfRule>
    <cfRule type="cellIs" dxfId="4934" priority="882" stopIfTrue="1" operator="equal">
      <formula>"Napkin Hs"</formula>
    </cfRule>
  </conditionalFormatting>
  <conditionalFormatting sqref="C109">
    <cfRule type="cellIs" dxfId="4933" priority="879" stopIfTrue="1" operator="equal">
      <formula>"Towel"</formula>
    </cfRule>
    <cfRule type="cellIs" dxfId="4932" priority="880" stopIfTrue="1" operator="equal">
      <formula>"Napkin Hs"</formula>
    </cfRule>
  </conditionalFormatting>
  <conditionalFormatting sqref="B109:C109">
    <cfRule type="cellIs" dxfId="4931" priority="877" stopIfTrue="1" operator="equal">
      <formula>"Towel"</formula>
    </cfRule>
    <cfRule type="cellIs" dxfId="4930" priority="878" stopIfTrue="1" operator="equal">
      <formula>"Napkin Hs"</formula>
    </cfRule>
  </conditionalFormatting>
  <conditionalFormatting sqref="C109">
    <cfRule type="cellIs" dxfId="4929" priority="875" stopIfTrue="1" operator="equal">
      <formula>"Towel"</formula>
    </cfRule>
    <cfRule type="cellIs" dxfId="4928" priority="876" stopIfTrue="1" operator="equal">
      <formula>"Napkin Hs"</formula>
    </cfRule>
  </conditionalFormatting>
  <conditionalFormatting sqref="C109">
    <cfRule type="cellIs" dxfId="4927" priority="873" stopIfTrue="1" operator="equal">
      <formula>"Towel"</formula>
    </cfRule>
    <cfRule type="cellIs" dxfId="4926" priority="874" stopIfTrue="1" operator="equal">
      <formula>"Napkin Hs"</formula>
    </cfRule>
  </conditionalFormatting>
  <conditionalFormatting sqref="B109:C109">
    <cfRule type="cellIs" dxfId="4925" priority="871" stopIfTrue="1" operator="equal">
      <formula>"Towel"</formula>
    </cfRule>
    <cfRule type="cellIs" dxfId="4924" priority="872" stopIfTrue="1" operator="equal">
      <formula>"Napkin Hs"</formula>
    </cfRule>
  </conditionalFormatting>
  <conditionalFormatting sqref="C109">
    <cfRule type="cellIs" dxfId="4923" priority="870" stopIfTrue="1" operator="equal">
      <formula>"Napkin Hs"</formula>
    </cfRule>
  </conditionalFormatting>
  <conditionalFormatting sqref="C109">
    <cfRule type="cellIs" dxfId="4922" priority="867" stopIfTrue="1" operator="equal">
      <formula>"Towel"</formula>
    </cfRule>
    <cfRule type="cellIs" dxfId="4921" priority="868" stopIfTrue="1" operator="equal">
      <formula>"Napkin Hs"</formula>
    </cfRule>
  </conditionalFormatting>
  <conditionalFormatting sqref="C109">
    <cfRule type="cellIs" dxfId="4920" priority="869" stopIfTrue="1" operator="equal">
      <formula>"Towel"</formula>
    </cfRule>
  </conditionalFormatting>
  <conditionalFormatting sqref="B109:C109">
    <cfRule type="cellIs" dxfId="4919" priority="865" stopIfTrue="1" operator="equal">
      <formula>"Towel"</formula>
    </cfRule>
    <cfRule type="cellIs" dxfId="4918" priority="866" stopIfTrue="1" operator="equal">
      <formula>"Napkin Hs"</formula>
    </cfRule>
  </conditionalFormatting>
  <conditionalFormatting sqref="C109">
    <cfRule type="cellIs" dxfId="4917" priority="864" stopIfTrue="1" operator="equal">
      <formula>"Napkin Hs"</formula>
    </cfRule>
  </conditionalFormatting>
  <conditionalFormatting sqref="C109">
    <cfRule type="cellIs" dxfId="4916" priority="861" stopIfTrue="1" operator="equal">
      <formula>"Towel"</formula>
    </cfRule>
    <cfRule type="cellIs" dxfId="4915" priority="862" stopIfTrue="1" operator="equal">
      <formula>"Napkin Hs"</formula>
    </cfRule>
  </conditionalFormatting>
  <conditionalFormatting sqref="C109">
    <cfRule type="cellIs" dxfId="4914" priority="863" stopIfTrue="1" operator="equal">
      <formula>"Towel"</formula>
    </cfRule>
  </conditionalFormatting>
  <conditionalFormatting sqref="B109:C109">
    <cfRule type="cellIs" dxfId="4913" priority="859" stopIfTrue="1" operator="equal">
      <formula>"Towel"</formula>
    </cfRule>
    <cfRule type="cellIs" dxfId="4912" priority="860" stopIfTrue="1" operator="equal">
      <formula>"Napkin Hs"</formula>
    </cfRule>
  </conditionalFormatting>
  <conditionalFormatting sqref="C109">
    <cfRule type="cellIs" dxfId="4911" priority="858" stopIfTrue="1" operator="equal">
      <formula>"Napkin Hs"</formula>
    </cfRule>
  </conditionalFormatting>
  <conditionalFormatting sqref="C109">
    <cfRule type="cellIs" dxfId="4910" priority="855" stopIfTrue="1" operator="equal">
      <formula>"Towel"</formula>
    </cfRule>
    <cfRule type="cellIs" dxfId="4909" priority="856" stopIfTrue="1" operator="equal">
      <formula>"Napkin Hs"</formula>
    </cfRule>
  </conditionalFormatting>
  <conditionalFormatting sqref="C109">
    <cfRule type="cellIs" dxfId="4908" priority="857" stopIfTrue="1" operator="equal">
      <formula>"Towel"</formula>
    </cfRule>
  </conditionalFormatting>
  <conditionalFormatting sqref="B111:C111">
    <cfRule type="cellIs" dxfId="4907" priority="847" stopIfTrue="1" operator="equal">
      <formula>"Towel"</formula>
    </cfRule>
    <cfRule type="cellIs" dxfId="4906" priority="848" stopIfTrue="1" operator="equal">
      <formula>"Napkin Hs"</formula>
    </cfRule>
  </conditionalFormatting>
  <conditionalFormatting sqref="C111">
    <cfRule type="cellIs" dxfId="4905" priority="846" stopIfTrue="1" operator="equal">
      <formula>"Napkin Hs"</formula>
    </cfRule>
  </conditionalFormatting>
  <conditionalFormatting sqref="C111">
    <cfRule type="cellIs" dxfId="4904" priority="843" stopIfTrue="1" operator="equal">
      <formula>"Towel"</formula>
    </cfRule>
    <cfRule type="cellIs" dxfId="4903" priority="844" stopIfTrue="1" operator="equal">
      <formula>"Napkin Hs"</formula>
    </cfRule>
  </conditionalFormatting>
  <conditionalFormatting sqref="C111">
    <cfRule type="cellIs" dxfId="4902" priority="845" stopIfTrue="1" operator="equal">
      <formula>"Towel"</formula>
    </cfRule>
  </conditionalFormatting>
  <conditionalFormatting sqref="B111:C111">
    <cfRule type="cellIs" dxfId="4901" priority="841" stopIfTrue="1" operator="equal">
      <formula>"Towel"</formula>
    </cfRule>
    <cfRule type="cellIs" dxfId="4900" priority="842" stopIfTrue="1" operator="equal">
      <formula>"Napkin Hs"</formula>
    </cfRule>
  </conditionalFormatting>
  <conditionalFormatting sqref="C111">
    <cfRule type="cellIs" dxfId="4899" priority="840" stopIfTrue="1" operator="equal">
      <formula>"Napkin Hs"</formula>
    </cfRule>
  </conditionalFormatting>
  <conditionalFormatting sqref="C111">
    <cfRule type="cellIs" dxfId="4898" priority="837" stopIfTrue="1" operator="equal">
      <formula>"Towel"</formula>
    </cfRule>
    <cfRule type="cellIs" dxfId="4897" priority="838" stopIfTrue="1" operator="equal">
      <formula>"Napkin Hs"</formula>
    </cfRule>
  </conditionalFormatting>
  <conditionalFormatting sqref="C111">
    <cfRule type="cellIs" dxfId="4896" priority="839" stopIfTrue="1" operator="equal">
      <formula>"Towel"</formula>
    </cfRule>
  </conditionalFormatting>
  <conditionalFormatting sqref="B111:C111">
    <cfRule type="cellIs" dxfId="4895" priority="835" stopIfTrue="1" operator="equal">
      <formula>"Towel"</formula>
    </cfRule>
    <cfRule type="cellIs" dxfId="4894" priority="836" stopIfTrue="1" operator="equal">
      <formula>"Napkin Hs"</formula>
    </cfRule>
  </conditionalFormatting>
  <conditionalFormatting sqref="C111">
    <cfRule type="cellIs" dxfId="4893" priority="834" stopIfTrue="1" operator="equal">
      <formula>"Napkin Hs"</formula>
    </cfRule>
  </conditionalFormatting>
  <conditionalFormatting sqref="C111">
    <cfRule type="cellIs" dxfId="4892" priority="831" stopIfTrue="1" operator="equal">
      <formula>"Towel"</formula>
    </cfRule>
    <cfRule type="cellIs" dxfId="4891" priority="832" stopIfTrue="1" operator="equal">
      <formula>"Napkin Hs"</formula>
    </cfRule>
  </conditionalFormatting>
  <conditionalFormatting sqref="C111">
    <cfRule type="cellIs" dxfId="4890" priority="833" stopIfTrue="1" operator="equal">
      <formula>"Towel"</formula>
    </cfRule>
  </conditionalFormatting>
  <conditionalFormatting sqref="B111:C111">
    <cfRule type="cellIs" dxfId="4889" priority="829" stopIfTrue="1" operator="equal">
      <formula>"Towel"</formula>
    </cfRule>
    <cfRule type="cellIs" dxfId="4888" priority="830" stopIfTrue="1" operator="equal">
      <formula>"Napkin Hs"</formula>
    </cfRule>
  </conditionalFormatting>
  <conditionalFormatting sqref="C111">
    <cfRule type="cellIs" dxfId="4887" priority="828" stopIfTrue="1" operator="equal">
      <formula>"Napkin Hs"</formula>
    </cfRule>
  </conditionalFormatting>
  <conditionalFormatting sqref="C111">
    <cfRule type="cellIs" dxfId="4886" priority="825" stopIfTrue="1" operator="equal">
      <formula>"Towel"</formula>
    </cfRule>
    <cfRule type="cellIs" dxfId="4885" priority="826" stopIfTrue="1" operator="equal">
      <formula>"Napkin Hs"</formula>
    </cfRule>
  </conditionalFormatting>
  <conditionalFormatting sqref="C111">
    <cfRule type="cellIs" dxfId="4884" priority="827" stopIfTrue="1" operator="equal">
      <formula>"Towel"</formula>
    </cfRule>
  </conditionalFormatting>
  <conditionalFormatting sqref="B111:C111">
    <cfRule type="cellIs" dxfId="4883" priority="823" stopIfTrue="1" operator="equal">
      <formula>"Towel"</formula>
    </cfRule>
    <cfRule type="cellIs" dxfId="4882" priority="824" stopIfTrue="1" operator="equal">
      <formula>"Napkin Hs"</formula>
    </cfRule>
  </conditionalFormatting>
  <conditionalFormatting sqref="C111">
    <cfRule type="cellIs" dxfId="4881" priority="822" stopIfTrue="1" operator="equal">
      <formula>"Napkin Hs"</formula>
    </cfRule>
  </conditionalFormatting>
  <conditionalFormatting sqref="C111">
    <cfRule type="cellIs" dxfId="4880" priority="819" stopIfTrue="1" operator="equal">
      <formula>"Towel"</formula>
    </cfRule>
    <cfRule type="cellIs" dxfId="4879" priority="820" stopIfTrue="1" operator="equal">
      <formula>"Napkin Hs"</formula>
    </cfRule>
  </conditionalFormatting>
  <conditionalFormatting sqref="C111">
    <cfRule type="cellIs" dxfId="4878" priority="821" stopIfTrue="1" operator="equal">
      <formula>"Towel"</formula>
    </cfRule>
  </conditionalFormatting>
  <conditionalFormatting sqref="B111:C111">
    <cfRule type="cellIs" dxfId="4877" priority="817" stopIfTrue="1" operator="equal">
      <formula>"Towel"</formula>
    </cfRule>
    <cfRule type="cellIs" dxfId="4876" priority="818" stopIfTrue="1" operator="equal">
      <formula>"Napkin Hs"</formula>
    </cfRule>
  </conditionalFormatting>
  <conditionalFormatting sqref="C111">
    <cfRule type="cellIs" dxfId="4875" priority="816" stopIfTrue="1" operator="equal">
      <formula>"Napkin Hs"</formula>
    </cfRule>
  </conditionalFormatting>
  <conditionalFormatting sqref="C111">
    <cfRule type="cellIs" dxfId="4874" priority="813" stopIfTrue="1" operator="equal">
      <formula>"Towel"</formula>
    </cfRule>
    <cfRule type="cellIs" dxfId="4873" priority="814" stopIfTrue="1" operator="equal">
      <formula>"Napkin Hs"</formula>
    </cfRule>
  </conditionalFormatting>
  <conditionalFormatting sqref="C111">
    <cfRule type="cellIs" dxfId="4872" priority="815" stopIfTrue="1" operator="equal">
      <formula>"Towel"</formula>
    </cfRule>
  </conditionalFormatting>
  <conditionalFormatting sqref="B111:C111">
    <cfRule type="cellIs" dxfId="4871" priority="811" stopIfTrue="1" operator="equal">
      <formula>"Towel"</formula>
    </cfRule>
    <cfRule type="cellIs" dxfId="4870" priority="812" stopIfTrue="1" operator="equal">
      <formula>"Napkin Hs"</formula>
    </cfRule>
  </conditionalFormatting>
  <conditionalFormatting sqref="C111">
    <cfRule type="cellIs" dxfId="4869" priority="810" stopIfTrue="1" operator="equal">
      <formula>"Napkin Hs"</formula>
    </cfRule>
  </conditionalFormatting>
  <conditionalFormatting sqref="C111">
    <cfRule type="cellIs" dxfId="4868" priority="807" stopIfTrue="1" operator="equal">
      <formula>"Towel"</formula>
    </cfRule>
    <cfRule type="cellIs" dxfId="4867" priority="808" stopIfTrue="1" operator="equal">
      <formula>"Napkin Hs"</formula>
    </cfRule>
  </conditionalFormatting>
  <conditionalFormatting sqref="C111">
    <cfRule type="cellIs" dxfId="4866" priority="809" stopIfTrue="1" operator="equal">
      <formula>"Towel"</formula>
    </cfRule>
  </conditionalFormatting>
  <conditionalFormatting sqref="B111:C111">
    <cfRule type="cellIs" dxfId="4865" priority="805" stopIfTrue="1" operator="equal">
      <formula>"Towel"</formula>
    </cfRule>
    <cfRule type="cellIs" dxfId="4864" priority="806" stopIfTrue="1" operator="equal">
      <formula>"Napkin Hs"</formula>
    </cfRule>
  </conditionalFormatting>
  <conditionalFormatting sqref="C111">
    <cfRule type="cellIs" dxfId="4863" priority="804" stopIfTrue="1" operator="equal">
      <formula>"Napkin Hs"</formula>
    </cfRule>
  </conditionalFormatting>
  <conditionalFormatting sqref="C111">
    <cfRule type="cellIs" dxfId="4862" priority="801" stopIfTrue="1" operator="equal">
      <formula>"Towel"</formula>
    </cfRule>
    <cfRule type="cellIs" dxfId="4861" priority="802" stopIfTrue="1" operator="equal">
      <formula>"Napkin Hs"</formula>
    </cfRule>
  </conditionalFormatting>
  <conditionalFormatting sqref="C111">
    <cfRule type="cellIs" dxfId="4860" priority="803" stopIfTrue="1" operator="equal">
      <formula>"Towel"</formula>
    </cfRule>
  </conditionalFormatting>
  <conditionalFormatting sqref="B113:C113">
    <cfRule type="cellIs" dxfId="4859" priority="799" stopIfTrue="1" operator="equal">
      <formula>"Towel"</formula>
    </cfRule>
    <cfRule type="cellIs" dxfId="4858" priority="800" stopIfTrue="1" operator="equal">
      <formula>"Napkin Hs"</formula>
    </cfRule>
  </conditionalFormatting>
  <conditionalFormatting sqref="C113">
    <cfRule type="cellIs" dxfId="4857" priority="798" stopIfTrue="1" operator="equal">
      <formula>"Napkin Hs"</formula>
    </cfRule>
  </conditionalFormatting>
  <conditionalFormatting sqref="C113">
    <cfRule type="cellIs" dxfId="4856" priority="795" stopIfTrue="1" operator="equal">
      <formula>"Towel"</formula>
    </cfRule>
    <cfRule type="cellIs" dxfId="4855" priority="796" stopIfTrue="1" operator="equal">
      <formula>"Napkin Hs"</formula>
    </cfRule>
  </conditionalFormatting>
  <conditionalFormatting sqref="C113">
    <cfRule type="cellIs" dxfId="4854" priority="797" stopIfTrue="1" operator="equal">
      <formula>"Towel"</formula>
    </cfRule>
  </conditionalFormatting>
  <conditionalFormatting sqref="B113:C113">
    <cfRule type="cellIs" dxfId="4853" priority="793" stopIfTrue="1" operator="equal">
      <formula>"Towel"</formula>
    </cfRule>
    <cfRule type="cellIs" dxfId="4852" priority="794" stopIfTrue="1" operator="equal">
      <formula>"Napkin Hs"</formula>
    </cfRule>
  </conditionalFormatting>
  <conditionalFormatting sqref="C113">
    <cfRule type="cellIs" dxfId="4851" priority="792" stopIfTrue="1" operator="equal">
      <formula>"Napkin Hs"</formula>
    </cfRule>
  </conditionalFormatting>
  <conditionalFormatting sqref="C113">
    <cfRule type="cellIs" dxfId="4850" priority="789" stopIfTrue="1" operator="equal">
      <formula>"Towel"</formula>
    </cfRule>
    <cfRule type="cellIs" dxfId="4849" priority="790" stopIfTrue="1" operator="equal">
      <formula>"Napkin Hs"</formula>
    </cfRule>
  </conditionalFormatting>
  <conditionalFormatting sqref="C113">
    <cfRule type="cellIs" dxfId="4848" priority="791" stopIfTrue="1" operator="equal">
      <formula>"Towel"</formula>
    </cfRule>
  </conditionalFormatting>
  <conditionalFormatting sqref="B113:C113">
    <cfRule type="cellIs" dxfId="4847" priority="787" stopIfTrue="1" operator="equal">
      <formula>"Towel"</formula>
    </cfRule>
    <cfRule type="cellIs" dxfId="4846" priority="788" stopIfTrue="1" operator="equal">
      <formula>"Napkin Hs"</formula>
    </cfRule>
  </conditionalFormatting>
  <conditionalFormatting sqref="C113">
    <cfRule type="cellIs" dxfId="4845" priority="786" stopIfTrue="1" operator="equal">
      <formula>"Napkin Hs"</formula>
    </cfRule>
  </conditionalFormatting>
  <conditionalFormatting sqref="C113">
    <cfRule type="cellIs" dxfId="4844" priority="783" stopIfTrue="1" operator="equal">
      <formula>"Towel"</formula>
    </cfRule>
    <cfRule type="cellIs" dxfId="4843" priority="784" stopIfTrue="1" operator="equal">
      <formula>"Napkin Hs"</formula>
    </cfRule>
  </conditionalFormatting>
  <conditionalFormatting sqref="C113">
    <cfRule type="cellIs" dxfId="4842" priority="785" stopIfTrue="1" operator="equal">
      <formula>"Towel"</formula>
    </cfRule>
  </conditionalFormatting>
  <conditionalFormatting sqref="B113:C113">
    <cfRule type="cellIs" dxfId="4841" priority="781" stopIfTrue="1" operator="equal">
      <formula>"Towel"</formula>
    </cfRule>
    <cfRule type="cellIs" dxfId="4840" priority="782" stopIfTrue="1" operator="equal">
      <formula>"Napkin Hs"</formula>
    </cfRule>
  </conditionalFormatting>
  <conditionalFormatting sqref="C113">
    <cfRule type="cellIs" dxfId="4839" priority="780" stopIfTrue="1" operator="equal">
      <formula>"Napkin Hs"</formula>
    </cfRule>
  </conditionalFormatting>
  <conditionalFormatting sqref="C113">
    <cfRule type="cellIs" dxfId="4838" priority="777" stopIfTrue="1" operator="equal">
      <formula>"Towel"</formula>
    </cfRule>
    <cfRule type="cellIs" dxfId="4837" priority="778" stopIfTrue="1" operator="equal">
      <formula>"Napkin Hs"</formula>
    </cfRule>
  </conditionalFormatting>
  <conditionalFormatting sqref="C113">
    <cfRule type="cellIs" dxfId="4836" priority="779" stopIfTrue="1" operator="equal">
      <formula>"Towel"</formula>
    </cfRule>
  </conditionalFormatting>
  <conditionalFormatting sqref="B113:C113">
    <cfRule type="cellIs" dxfId="4835" priority="775" stopIfTrue="1" operator="equal">
      <formula>"Towel"</formula>
    </cfRule>
    <cfRule type="cellIs" dxfId="4834" priority="776" stopIfTrue="1" operator="equal">
      <formula>"Napkin Hs"</formula>
    </cfRule>
  </conditionalFormatting>
  <conditionalFormatting sqref="C113">
    <cfRule type="cellIs" dxfId="4833" priority="774" stopIfTrue="1" operator="equal">
      <formula>"Napkin Hs"</formula>
    </cfRule>
  </conditionalFormatting>
  <conditionalFormatting sqref="C113">
    <cfRule type="cellIs" dxfId="4832" priority="771" stopIfTrue="1" operator="equal">
      <formula>"Towel"</formula>
    </cfRule>
    <cfRule type="cellIs" dxfId="4831" priority="772" stopIfTrue="1" operator="equal">
      <formula>"Napkin Hs"</formula>
    </cfRule>
  </conditionalFormatting>
  <conditionalFormatting sqref="C113">
    <cfRule type="cellIs" dxfId="4830" priority="773" stopIfTrue="1" operator="equal">
      <formula>"Towel"</formula>
    </cfRule>
  </conditionalFormatting>
  <conditionalFormatting sqref="B113:C113">
    <cfRule type="cellIs" dxfId="4829" priority="769" stopIfTrue="1" operator="equal">
      <formula>"Towel"</formula>
    </cfRule>
    <cfRule type="cellIs" dxfId="4828" priority="770" stopIfTrue="1" operator="equal">
      <formula>"Napkin Hs"</formula>
    </cfRule>
  </conditionalFormatting>
  <conditionalFormatting sqref="C113">
    <cfRule type="cellIs" dxfId="4827" priority="768" stopIfTrue="1" operator="equal">
      <formula>"Napkin Hs"</formula>
    </cfRule>
  </conditionalFormatting>
  <conditionalFormatting sqref="C113">
    <cfRule type="cellIs" dxfId="4826" priority="765" stopIfTrue="1" operator="equal">
      <formula>"Towel"</formula>
    </cfRule>
    <cfRule type="cellIs" dxfId="4825" priority="766" stopIfTrue="1" operator="equal">
      <formula>"Napkin Hs"</formula>
    </cfRule>
  </conditionalFormatting>
  <conditionalFormatting sqref="C113">
    <cfRule type="cellIs" dxfId="4824" priority="767" stopIfTrue="1" operator="equal">
      <formula>"Towel"</formula>
    </cfRule>
  </conditionalFormatting>
  <conditionalFormatting sqref="B113:C113">
    <cfRule type="cellIs" dxfId="4823" priority="763" stopIfTrue="1" operator="equal">
      <formula>"Towel"</formula>
    </cfRule>
    <cfRule type="cellIs" dxfId="4822" priority="764" stopIfTrue="1" operator="equal">
      <formula>"Napkin Hs"</formula>
    </cfRule>
  </conditionalFormatting>
  <conditionalFormatting sqref="C113">
    <cfRule type="cellIs" dxfId="4821" priority="762" stopIfTrue="1" operator="equal">
      <formula>"Napkin Hs"</formula>
    </cfRule>
  </conditionalFormatting>
  <conditionalFormatting sqref="C113">
    <cfRule type="cellIs" dxfId="4820" priority="759" stopIfTrue="1" operator="equal">
      <formula>"Towel"</formula>
    </cfRule>
    <cfRule type="cellIs" dxfId="4819" priority="760" stopIfTrue="1" operator="equal">
      <formula>"Napkin Hs"</formula>
    </cfRule>
  </conditionalFormatting>
  <conditionalFormatting sqref="C113">
    <cfRule type="cellIs" dxfId="4818" priority="761" stopIfTrue="1" operator="equal">
      <formula>"Towel"</formula>
    </cfRule>
  </conditionalFormatting>
  <conditionalFormatting sqref="B113:C113">
    <cfRule type="cellIs" dxfId="4817" priority="757" stopIfTrue="1" operator="equal">
      <formula>"Towel"</formula>
    </cfRule>
    <cfRule type="cellIs" dxfId="4816" priority="758" stopIfTrue="1" operator="equal">
      <formula>"Napkin Hs"</formula>
    </cfRule>
  </conditionalFormatting>
  <conditionalFormatting sqref="C113">
    <cfRule type="cellIs" dxfId="4815" priority="756" stopIfTrue="1" operator="equal">
      <formula>"Napkin Hs"</formula>
    </cfRule>
  </conditionalFormatting>
  <conditionalFormatting sqref="C113">
    <cfRule type="cellIs" dxfId="4814" priority="753" stopIfTrue="1" operator="equal">
      <formula>"Towel"</formula>
    </cfRule>
    <cfRule type="cellIs" dxfId="4813" priority="754" stopIfTrue="1" operator="equal">
      <formula>"Napkin Hs"</formula>
    </cfRule>
  </conditionalFormatting>
  <conditionalFormatting sqref="C113">
    <cfRule type="cellIs" dxfId="4812" priority="755" stopIfTrue="1" operator="equal">
      <formula>"Towel"</formula>
    </cfRule>
  </conditionalFormatting>
  <conditionalFormatting sqref="B113:C113">
    <cfRule type="cellIs" dxfId="4811" priority="751" stopIfTrue="1" operator="equal">
      <formula>"Towel"</formula>
    </cfRule>
    <cfRule type="cellIs" dxfId="4810" priority="752" stopIfTrue="1" operator="equal">
      <formula>"Napkin Hs"</formula>
    </cfRule>
  </conditionalFormatting>
  <conditionalFormatting sqref="C113">
    <cfRule type="cellIs" dxfId="4809" priority="750" stopIfTrue="1" operator="equal">
      <formula>"Napkin Hs"</formula>
    </cfRule>
  </conditionalFormatting>
  <conditionalFormatting sqref="C113">
    <cfRule type="cellIs" dxfId="4808" priority="747" stopIfTrue="1" operator="equal">
      <formula>"Towel"</formula>
    </cfRule>
    <cfRule type="cellIs" dxfId="4807" priority="748" stopIfTrue="1" operator="equal">
      <formula>"Napkin Hs"</formula>
    </cfRule>
  </conditionalFormatting>
  <conditionalFormatting sqref="C113">
    <cfRule type="cellIs" dxfId="4806" priority="749" stopIfTrue="1" operator="equal">
      <formula>"Towel"</formula>
    </cfRule>
  </conditionalFormatting>
  <conditionalFormatting sqref="B113:C113">
    <cfRule type="cellIs" dxfId="4805" priority="745" stopIfTrue="1" operator="equal">
      <formula>"Towel"</formula>
    </cfRule>
    <cfRule type="cellIs" dxfId="4804" priority="746" stopIfTrue="1" operator="equal">
      <formula>"Napkin Hs"</formula>
    </cfRule>
  </conditionalFormatting>
  <conditionalFormatting sqref="C113">
    <cfRule type="cellIs" dxfId="4803" priority="744" stopIfTrue="1" operator="equal">
      <formula>"Napkin Hs"</formula>
    </cfRule>
  </conditionalFormatting>
  <conditionalFormatting sqref="C113">
    <cfRule type="cellIs" dxfId="4802" priority="741" stopIfTrue="1" operator="equal">
      <formula>"Towel"</formula>
    </cfRule>
    <cfRule type="cellIs" dxfId="4801" priority="742" stopIfTrue="1" operator="equal">
      <formula>"Napkin Hs"</formula>
    </cfRule>
  </conditionalFormatting>
  <conditionalFormatting sqref="C113">
    <cfRule type="cellIs" dxfId="4800" priority="743" stopIfTrue="1" operator="equal">
      <formula>"Towel"</formula>
    </cfRule>
  </conditionalFormatting>
  <conditionalFormatting sqref="B113:C113">
    <cfRule type="cellIs" dxfId="4799" priority="739" stopIfTrue="1" operator="equal">
      <formula>"Towel"</formula>
    </cfRule>
    <cfRule type="cellIs" dxfId="4798" priority="740" stopIfTrue="1" operator="equal">
      <formula>"Napkin Hs"</formula>
    </cfRule>
  </conditionalFormatting>
  <conditionalFormatting sqref="C113">
    <cfRule type="cellIs" dxfId="4797" priority="738" stopIfTrue="1" operator="equal">
      <formula>"Napkin Hs"</formula>
    </cfRule>
  </conditionalFormatting>
  <conditionalFormatting sqref="C113">
    <cfRule type="cellIs" dxfId="4796" priority="735" stopIfTrue="1" operator="equal">
      <formula>"Towel"</formula>
    </cfRule>
    <cfRule type="cellIs" dxfId="4795" priority="736" stopIfTrue="1" operator="equal">
      <formula>"Napkin Hs"</formula>
    </cfRule>
  </conditionalFormatting>
  <conditionalFormatting sqref="C113">
    <cfRule type="cellIs" dxfId="4794" priority="737" stopIfTrue="1" operator="equal">
      <formula>"Towel"</formula>
    </cfRule>
  </conditionalFormatting>
  <conditionalFormatting sqref="B113:C113">
    <cfRule type="cellIs" dxfId="4793" priority="733" stopIfTrue="1" operator="equal">
      <formula>"Towel"</formula>
    </cfRule>
    <cfRule type="cellIs" dxfId="4792" priority="734" stopIfTrue="1" operator="equal">
      <formula>"Napkin Hs"</formula>
    </cfRule>
  </conditionalFormatting>
  <conditionalFormatting sqref="C113">
    <cfRule type="cellIs" dxfId="4791" priority="732" stopIfTrue="1" operator="equal">
      <formula>"Napkin Hs"</formula>
    </cfRule>
  </conditionalFormatting>
  <conditionalFormatting sqref="C113">
    <cfRule type="cellIs" dxfId="4790" priority="729" stopIfTrue="1" operator="equal">
      <formula>"Towel"</formula>
    </cfRule>
    <cfRule type="cellIs" dxfId="4789" priority="730" stopIfTrue="1" operator="equal">
      <formula>"Napkin Hs"</formula>
    </cfRule>
  </conditionalFormatting>
  <conditionalFormatting sqref="C113">
    <cfRule type="cellIs" dxfId="4788" priority="731" stopIfTrue="1" operator="equal">
      <formula>"Towel"</formula>
    </cfRule>
  </conditionalFormatting>
  <conditionalFormatting sqref="B113:C113">
    <cfRule type="cellIs" dxfId="4787" priority="727" stopIfTrue="1" operator="equal">
      <formula>"Towel"</formula>
    </cfRule>
    <cfRule type="cellIs" dxfId="4786" priority="728" stopIfTrue="1" operator="equal">
      <formula>"Napkin Hs"</formula>
    </cfRule>
  </conditionalFormatting>
  <conditionalFormatting sqref="C113">
    <cfRule type="cellIs" dxfId="4785" priority="726" stopIfTrue="1" operator="equal">
      <formula>"Napkin Hs"</formula>
    </cfRule>
  </conditionalFormatting>
  <conditionalFormatting sqref="C113">
    <cfRule type="cellIs" dxfId="4784" priority="723" stopIfTrue="1" operator="equal">
      <formula>"Towel"</formula>
    </cfRule>
    <cfRule type="cellIs" dxfId="4783" priority="724" stopIfTrue="1" operator="equal">
      <formula>"Napkin Hs"</formula>
    </cfRule>
  </conditionalFormatting>
  <conditionalFormatting sqref="C113">
    <cfRule type="cellIs" dxfId="4782" priority="725" stopIfTrue="1" operator="equal">
      <formula>"Towel"</formula>
    </cfRule>
  </conditionalFormatting>
  <conditionalFormatting sqref="B113:C113">
    <cfRule type="cellIs" dxfId="4781" priority="721" stopIfTrue="1" operator="equal">
      <formula>"Towel"</formula>
    </cfRule>
    <cfRule type="cellIs" dxfId="4780" priority="722" stopIfTrue="1" operator="equal">
      <formula>"Napkin Hs"</formula>
    </cfRule>
  </conditionalFormatting>
  <conditionalFormatting sqref="C113">
    <cfRule type="cellIs" dxfId="4779" priority="720" stopIfTrue="1" operator="equal">
      <formula>"Napkin Hs"</formula>
    </cfRule>
  </conditionalFormatting>
  <conditionalFormatting sqref="C113">
    <cfRule type="cellIs" dxfId="4778" priority="717" stopIfTrue="1" operator="equal">
      <formula>"Towel"</formula>
    </cfRule>
    <cfRule type="cellIs" dxfId="4777" priority="718" stopIfTrue="1" operator="equal">
      <formula>"Napkin Hs"</formula>
    </cfRule>
  </conditionalFormatting>
  <conditionalFormatting sqref="C113">
    <cfRule type="cellIs" dxfId="4776" priority="719" stopIfTrue="1" operator="equal">
      <formula>"Towel"</formula>
    </cfRule>
  </conditionalFormatting>
  <conditionalFormatting sqref="B113:C113">
    <cfRule type="cellIs" dxfId="4775" priority="715" stopIfTrue="1" operator="equal">
      <formula>"Towel"</formula>
    </cfRule>
    <cfRule type="cellIs" dxfId="4774" priority="716" stopIfTrue="1" operator="equal">
      <formula>"Napkin Hs"</formula>
    </cfRule>
  </conditionalFormatting>
  <conditionalFormatting sqref="C113">
    <cfRule type="cellIs" dxfId="4773" priority="714" stopIfTrue="1" operator="equal">
      <formula>"Napkin Hs"</formula>
    </cfRule>
  </conditionalFormatting>
  <conditionalFormatting sqref="C113">
    <cfRule type="cellIs" dxfId="4772" priority="711" stopIfTrue="1" operator="equal">
      <formula>"Towel"</formula>
    </cfRule>
    <cfRule type="cellIs" dxfId="4771" priority="712" stopIfTrue="1" operator="equal">
      <formula>"Napkin Hs"</formula>
    </cfRule>
  </conditionalFormatting>
  <conditionalFormatting sqref="C113">
    <cfRule type="cellIs" dxfId="4770" priority="713" stopIfTrue="1" operator="equal">
      <formula>"Towel"</formula>
    </cfRule>
  </conditionalFormatting>
  <conditionalFormatting sqref="B113:C113">
    <cfRule type="cellIs" dxfId="4769" priority="709" stopIfTrue="1" operator="equal">
      <formula>"Towel"</formula>
    </cfRule>
    <cfRule type="cellIs" dxfId="4768" priority="710" stopIfTrue="1" operator="equal">
      <formula>"Napkin Hs"</formula>
    </cfRule>
  </conditionalFormatting>
  <conditionalFormatting sqref="C113">
    <cfRule type="cellIs" dxfId="4767" priority="708" stopIfTrue="1" operator="equal">
      <formula>"Napkin Hs"</formula>
    </cfRule>
  </conditionalFormatting>
  <conditionalFormatting sqref="C113">
    <cfRule type="cellIs" dxfId="4766" priority="705" stopIfTrue="1" operator="equal">
      <formula>"Towel"</formula>
    </cfRule>
    <cfRule type="cellIs" dxfId="4765" priority="706" stopIfTrue="1" operator="equal">
      <formula>"Napkin Hs"</formula>
    </cfRule>
  </conditionalFormatting>
  <conditionalFormatting sqref="C113">
    <cfRule type="cellIs" dxfId="4764" priority="707" stopIfTrue="1" operator="equal">
      <formula>"Towel"</formula>
    </cfRule>
  </conditionalFormatting>
  <conditionalFormatting sqref="B112:C112">
    <cfRule type="cellIs" dxfId="4763" priority="703" stopIfTrue="1" operator="equal">
      <formula>"Towel"</formula>
    </cfRule>
    <cfRule type="cellIs" dxfId="4762" priority="704" stopIfTrue="1" operator="equal">
      <formula>"Napkin Hs"</formula>
    </cfRule>
  </conditionalFormatting>
  <conditionalFormatting sqref="C112">
    <cfRule type="cellIs" dxfId="4761" priority="702" stopIfTrue="1" operator="equal">
      <formula>"Napkin Hs"</formula>
    </cfRule>
  </conditionalFormatting>
  <conditionalFormatting sqref="C112">
    <cfRule type="cellIs" dxfId="4760" priority="699" stopIfTrue="1" operator="equal">
      <formula>"Towel"</formula>
    </cfRule>
    <cfRule type="cellIs" dxfId="4759" priority="700" stopIfTrue="1" operator="equal">
      <formula>"Napkin Hs"</formula>
    </cfRule>
  </conditionalFormatting>
  <conditionalFormatting sqref="C112">
    <cfRule type="cellIs" dxfId="4758" priority="701" stopIfTrue="1" operator="equal">
      <formula>"Towel"</formula>
    </cfRule>
  </conditionalFormatting>
  <conditionalFormatting sqref="B112:C112">
    <cfRule type="cellIs" dxfId="4757" priority="697" stopIfTrue="1" operator="equal">
      <formula>"Towel"</formula>
    </cfRule>
    <cfRule type="cellIs" dxfId="4756" priority="698" stopIfTrue="1" operator="equal">
      <formula>"Napkin Hs"</formula>
    </cfRule>
  </conditionalFormatting>
  <conditionalFormatting sqref="C112">
    <cfRule type="cellIs" dxfId="4755" priority="696" stopIfTrue="1" operator="equal">
      <formula>"Napkin Hs"</formula>
    </cfRule>
  </conditionalFormatting>
  <conditionalFormatting sqref="C112">
    <cfRule type="cellIs" dxfId="4754" priority="693" stopIfTrue="1" operator="equal">
      <formula>"Towel"</formula>
    </cfRule>
    <cfRule type="cellIs" dxfId="4753" priority="694" stopIfTrue="1" operator="equal">
      <formula>"Napkin Hs"</formula>
    </cfRule>
  </conditionalFormatting>
  <conditionalFormatting sqref="C112">
    <cfRule type="cellIs" dxfId="4752" priority="695" stopIfTrue="1" operator="equal">
      <formula>"Towel"</formula>
    </cfRule>
  </conditionalFormatting>
  <conditionalFormatting sqref="B112:C112">
    <cfRule type="cellIs" dxfId="4751" priority="661" stopIfTrue="1" operator="equal">
      <formula>"Towel"</formula>
    </cfRule>
    <cfRule type="cellIs" dxfId="4750" priority="662" stopIfTrue="1" operator="equal">
      <formula>"Napkin Hs"</formula>
    </cfRule>
  </conditionalFormatting>
  <conditionalFormatting sqref="C112">
    <cfRule type="cellIs" dxfId="4749" priority="657" stopIfTrue="1" operator="equal">
      <formula>"Towel"</formula>
    </cfRule>
    <cfRule type="cellIs" dxfId="4748" priority="658" stopIfTrue="1" operator="equal">
      <formula>"Napkin Hs"</formula>
    </cfRule>
  </conditionalFormatting>
  <conditionalFormatting sqref="B112:C112">
    <cfRule type="cellIs" dxfId="4747" priority="655" stopIfTrue="1" operator="equal">
      <formula>"Towel"</formula>
    </cfRule>
    <cfRule type="cellIs" dxfId="4746" priority="656" stopIfTrue="1" operator="equal">
      <formula>"Napkin Hs"</formula>
    </cfRule>
  </conditionalFormatting>
  <conditionalFormatting sqref="C112">
    <cfRule type="cellIs" dxfId="4745" priority="654" stopIfTrue="1" operator="equal">
      <formula>"Napkin Hs"</formula>
    </cfRule>
  </conditionalFormatting>
  <conditionalFormatting sqref="C112">
    <cfRule type="cellIs" dxfId="4744" priority="651" stopIfTrue="1" operator="equal">
      <formula>"Towel"</formula>
    </cfRule>
    <cfRule type="cellIs" dxfId="4743" priority="652" stopIfTrue="1" operator="equal">
      <formula>"Napkin Hs"</formula>
    </cfRule>
  </conditionalFormatting>
  <conditionalFormatting sqref="C112">
    <cfRule type="cellIs" dxfId="4742" priority="653" stopIfTrue="1" operator="equal">
      <formula>"Towel"</formula>
    </cfRule>
  </conditionalFormatting>
  <conditionalFormatting sqref="B112:C112">
    <cfRule type="cellIs" dxfId="4741" priority="649" stopIfTrue="1" operator="equal">
      <formula>"Towel"</formula>
    </cfRule>
    <cfRule type="cellIs" dxfId="4740" priority="650" stopIfTrue="1" operator="equal">
      <formula>"Napkin Hs"</formula>
    </cfRule>
  </conditionalFormatting>
  <conditionalFormatting sqref="C112">
    <cfRule type="cellIs" dxfId="4739" priority="648" stopIfTrue="1" operator="equal">
      <formula>"Napkin Hs"</formula>
    </cfRule>
  </conditionalFormatting>
  <conditionalFormatting sqref="C112">
    <cfRule type="cellIs" dxfId="4738" priority="645" stopIfTrue="1" operator="equal">
      <formula>"Towel"</formula>
    </cfRule>
    <cfRule type="cellIs" dxfId="4737" priority="646" stopIfTrue="1" operator="equal">
      <formula>"Napkin Hs"</formula>
    </cfRule>
  </conditionalFormatting>
  <conditionalFormatting sqref="C112">
    <cfRule type="cellIs" dxfId="4736" priority="647" stopIfTrue="1" operator="equal">
      <formula>"Towel"</formula>
    </cfRule>
  </conditionalFormatting>
  <conditionalFormatting sqref="B112:C112">
    <cfRule type="cellIs" dxfId="4735" priority="643" stopIfTrue="1" operator="equal">
      <formula>"Towel"</formula>
    </cfRule>
    <cfRule type="cellIs" dxfId="4734" priority="644" stopIfTrue="1" operator="equal">
      <formula>"Napkin Hs"</formula>
    </cfRule>
  </conditionalFormatting>
  <conditionalFormatting sqref="C112">
    <cfRule type="cellIs" dxfId="4733" priority="642" stopIfTrue="1" operator="equal">
      <formula>"Napkin Hs"</formula>
    </cfRule>
  </conditionalFormatting>
  <conditionalFormatting sqref="C112">
    <cfRule type="cellIs" dxfId="4732" priority="639" stopIfTrue="1" operator="equal">
      <formula>"Towel"</formula>
    </cfRule>
    <cfRule type="cellIs" dxfId="4731" priority="640" stopIfTrue="1" operator="equal">
      <formula>"Napkin Hs"</formula>
    </cfRule>
  </conditionalFormatting>
  <conditionalFormatting sqref="C112">
    <cfRule type="cellIs" dxfId="4730" priority="641" stopIfTrue="1" operator="equal">
      <formula>"Towel"</formula>
    </cfRule>
  </conditionalFormatting>
  <conditionalFormatting sqref="B112:C112">
    <cfRule type="cellIs" dxfId="4729" priority="691" stopIfTrue="1" operator="equal">
      <formula>"Towel"</formula>
    </cfRule>
    <cfRule type="cellIs" dxfId="4728" priority="692" stopIfTrue="1" operator="equal">
      <formula>"Napkin Hs"</formula>
    </cfRule>
  </conditionalFormatting>
  <conditionalFormatting sqref="C112">
    <cfRule type="cellIs" dxfId="4727" priority="690" stopIfTrue="1" operator="equal">
      <formula>"Napkin Hs"</formula>
    </cfRule>
  </conditionalFormatting>
  <conditionalFormatting sqref="C112">
    <cfRule type="cellIs" dxfId="4726" priority="687" stopIfTrue="1" operator="equal">
      <formula>"Towel"</formula>
    </cfRule>
    <cfRule type="cellIs" dxfId="4725" priority="688" stopIfTrue="1" operator="equal">
      <formula>"Napkin Hs"</formula>
    </cfRule>
  </conditionalFormatting>
  <conditionalFormatting sqref="C112">
    <cfRule type="cellIs" dxfId="4724" priority="689" stopIfTrue="1" operator="equal">
      <formula>"Towel"</formula>
    </cfRule>
  </conditionalFormatting>
  <conditionalFormatting sqref="B112:C112">
    <cfRule type="cellIs" dxfId="4723" priority="685" stopIfTrue="1" operator="equal">
      <formula>"Towel"</formula>
    </cfRule>
    <cfRule type="cellIs" dxfId="4722" priority="686" stopIfTrue="1" operator="equal">
      <formula>"Napkin Hs"</formula>
    </cfRule>
  </conditionalFormatting>
  <conditionalFormatting sqref="C112">
    <cfRule type="cellIs" dxfId="4721" priority="684" stopIfTrue="1" operator="equal">
      <formula>"Napkin Hs"</formula>
    </cfRule>
  </conditionalFormatting>
  <conditionalFormatting sqref="C112">
    <cfRule type="cellIs" dxfId="4720" priority="681" stopIfTrue="1" operator="equal">
      <formula>"Towel"</formula>
    </cfRule>
    <cfRule type="cellIs" dxfId="4719" priority="682" stopIfTrue="1" operator="equal">
      <formula>"Napkin Hs"</formula>
    </cfRule>
  </conditionalFormatting>
  <conditionalFormatting sqref="C112">
    <cfRule type="cellIs" dxfId="4718" priority="683" stopIfTrue="1" operator="equal">
      <formula>"Towel"</formula>
    </cfRule>
  </conditionalFormatting>
  <conditionalFormatting sqref="B112:C112">
    <cfRule type="cellIs" dxfId="4717" priority="679" stopIfTrue="1" operator="equal">
      <formula>"Towel"</formula>
    </cfRule>
    <cfRule type="cellIs" dxfId="4716" priority="680" stopIfTrue="1" operator="equal">
      <formula>"Napkin Hs"</formula>
    </cfRule>
  </conditionalFormatting>
  <conditionalFormatting sqref="C112">
    <cfRule type="cellIs" dxfId="4715" priority="678" stopIfTrue="1" operator="equal">
      <formula>"Napkin Hs"</formula>
    </cfRule>
  </conditionalFormatting>
  <conditionalFormatting sqref="C112">
    <cfRule type="cellIs" dxfId="4714" priority="675" stopIfTrue="1" operator="equal">
      <formula>"Towel"</formula>
    </cfRule>
    <cfRule type="cellIs" dxfId="4713" priority="676" stopIfTrue="1" operator="equal">
      <formula>"Napkin Hs"</formula>
    </cfRule>
  </conditionalFormatting>
  <conditionalFormatting sqref="C112">
    <cfRule type="cellIs" dxfId="4712" priority="677" stopIfTrue="1" operator="equal">
      <formula>"Towel"</formula>
    </cfRule>
  </conditionalFormatting>
  <conditionalFormatting sqref="B112:C112">
    <cfRule type="cellIs" dxfId="4711" priority="673" stopIfTrue="1" operator="equal">
      <formula>"Towel"</formula>
    </cfRule>
    <cfRule type="cellIs" dxfId="4710" priority="674" stopIfTrue="1" operator="equal">
      <formula>"Napkin Hs"</formula>
    </cfRule>
  </conditionalFormatting>
  <conditionalFormatting sqref="C112">
    <cfRule type="cellIs" dxfId="4709" priority="672" stopIfTrue="1" operator="equal">
      <formula>"Napkin Hs"</formula>
    </cfRule>
  </conditionalFormatting>
  <conditionalFormatting sqref="C112">
    <cfRule type="cellIs" dxfId="4708" priority="669" stopIfTrue="1" operator="equal">
      <formula>"Towel"</formula>
    </cfRule>
    <cfRule type="cellIs" dxfId="4707" priority="670" stopIfTrue="1" operator="equal">
      <formula>"Napkin Hs"</formula>
    </cfRule>
  </conditionalFormatting>
  <conditionalFormatting sqref="C112">
    <cfRule type="cellIs" dxfId="4706" priority="671" stopIfTrue="1" operator="equal">
      <formula>"Towel"</formula>
    </cfRule>
  </conditionalFormatting>
  <conditionalFormatting sqref="B112:C112">
    <cfRule type="cellIs" dxfId="4705" priority="667" stopIfTrue="1" operator="equal">
      <formula>"Towel"</formula>
    </cfRule>
    <cfRule type="cellIs" dxfId="4704" priority="668" stopIfTrue="1" operator="equal">
      <formula>"Napkin Hs"</formula>
    </cfRule>
  </conditionalFormatting>
  <conditionalFormatting sqref="C112">
    <cfRule type="cellIs" dxfId="4703" priority="665" stopIfTrue="1" operator="equal">
      <formula>"Towel"</formula>
    </cfRule>
    <cfRule type="cellIs" dxfId="4702" priority="666" stopIfTrue="1" operator="equal">
      <formula>"Napkin Hs"</formula>
    </cfRule>
  </conditionalFormatting>
  <conditionalFormatting sqref="C112">
    <cfRule type="cellIs" dxfId="4701" priority="663" stopIfTrue="1" operator="equal">
      <formula>"Towel"</formula>
    </cfRule>
    <cfRule type="cellIs" dxfId="4700" priority="664" stopIfTrue="1" operator="equal">
      <formula>"Napkin Hs"</formula>
    </cfRule>
  </conditionalFormatting>
  <conditionalFormatting sqref="C112">
    <cfRule type="cellIs" dxfId="4699" priority="659" stopIfTrue="1" operator="equal">
      <formula>"Towel"</formula>
    </cfRule>
    <cfRule type="cellIs" dxfId="4698" priority="660" stopIfTrue="1" operator="equal">
      <formula>"Napkin Hs"</formula>
    </cfRule>
  </conditionalFormatting>
  <conditionalFormatting sqref="B112:C112">
    <cfRule type="cellIs" dxfId="4697" priority="637" stopIfTrue="1" operator="equal">
      <formula>"Towel"</formula>
    </cfRule>
    <cfRule type="cellIs" dxfId="4696" priority="638" stopIfTrue="1" operator="equal">
      <formula>"Napkin Hs"</formula>
    </cfRule>
  </conditionalFormatting>
  <conditionalFormatting sqref="C112">
    <cfRule type="cellIs" dxfId="4695" priority="636" stopIfTrue="1" operator="equal">
      <formula>"Napkin Hs"</formula>
    </cfRule>
  </conditionalFormatting>
  <conditionalFormatting sqref="C112">
    <cfRule type="cellIs" dxfId="4694" priority="633" stopIfTrue="1" operator="equal">
      <formula>"Towel"</formula>
    </cfRule>
    <cfRule type="cellIs" dxfId="4693" priority="634" stopIfTrue="1" operator="equal">
      <formula>"Napkin Hs"</formula>
    </cfRule>
  </conditionalFormatting>
  <conditionalFormatting sqref="C112">
    <cfRule type="cellIs" dxfId="4692" priority="635" stopIfTrue="1" operator="equal">
      <formula>"Towel"</formula>
    </cfRule>
  </conditionalFormatting>
  <conditionalFormatting sqref="B112:C112">
    <cfRule type="cellIs" dxfId="4691" priority="631" stopIfTrue="1" operator="equal">
      <formula>"Towel"</formula>
    </cfRule>
    <cfRule type="cellIs" dxfId="4690" priority="632" stopIfTrue="1" operator="equal">
      <formula>"Napkin Hs"</formula>
    </cfRule>
  </conditionalFormatting>
  <conditionalFormatting sqref="C112">
    <cfRule type="cellIs" dxfId="4689" priority="630" stopIfTrue="1" operator="equal">
      <formula>"Napkin Hs"</formula>
    </cfRule>
  </conditionalFormatting>
  <conditionalFormatting sqref="C112">
    <cfRule type="cellIs" dxfId="4688" priority="627" stopIfTrue="1" operator="equal">
      <formula>"Towel"</formula>
    </cfRule>
    <cfRule type="cellIs" dxfId="4687" priority="628" stopIfTrue="1" operator="equal">
      <formula>"Napkin Hs"</formula>
    </cfRule>
  </conditionalFormatting>
  <conditionalFormatting sqref="C112">
    <cfRule type="cellIs" dxfId="4686" priority="629" stopIfTrue="1" operator="equal">
      <formula>"Towel"</formula>
    </cfRule>
  </conditionalFormatting>
  <conditionalFormatting sqref="B112:C112">
    <cfRule type="cellIs" dxfId="4685" priority="625" stopIfTrue="1" operator="equal">
      <formula>"Towel"</formula>
    </cfRule>
    <cfRule type="cellIs" dxfId="4684" priority="626" stopIfTrue="1" operator="equal">
      <formula>"Napkin Hs"</formula>
    </cfRule>
  </conditionalFormatting>
  <conditionalFormatting sqref="C112">
    <cfRule type="cellIs" dxfId="4683" priority="624" stopIfTrue="1" operator="equal">
      <formula>"Napkin Hs"</formula>
    </cfRule>
  </conditionalFormatting>
  <conditionalFormatting sqref="C112">
    <cfRule type="cellIs" dxfId="4682" priority="621" stopIfTrue="1" operator="equal">
      <formula>"Towel"</formula>
    </cfRule>
    <cfRule type="cellIs" dxfId="4681" priority="622" stopIfTrue="1" operator="equal">
      <formula>"Napkin Hs"</formula>
    </cfRule>
  </conditionalFormatting>
  <conditionalFormatting sqref="C112">
    <cfRule type="cellIs" dxfId="4680" priority="623" stopIfTrue="1" operator="equal">
      <formula>"Towel"</formula>
    </cfRule>
  </conditionalFormatting>
  <conditionalFormatting sqref="B112:C112">
    <cfRule type="cellIs" dxfId="4679" priority="619" stopIfTrue="1" operator="equal">
      <formula>"Towel"</formula>
    </cfRule>
    <cfRule type="cellIs" dxfId="4678" priority="620" stopIfTrue="1" operator="equal">
      <formula>"Napkin Hs"</formula>
    </cfRule>
  </conditionalFormatting>
  <conditionalFormatting sqref="C112">
    <cfRule type="cellIs" dxfId="4677" priority="618" stopIfTrue="1" operator="equal">
      <formula>"Napkin Hs"</formula>
    </cfRule>
  </conditionalFormatting>
  <conditionalFormatting sqref="C112">
    <cfRule type="cellIs" dxfId="4676" priority="615" stopIfTrue="1" operator="equal">
      <formula>"Towel"</formula>
    </cfRule>
    <cfRule type="cellIs" dxfId="4675" priority="616" stopIfTrue="1" operator="equal">
      <formula>"Napkin Hs"</formula>
    </cfRule>
  </conditionalFormatting>
  <conditionalFormatting sqref="C112">
    <cfRule type="cellIs" dxfId="4674" priority="617" stopIfTrue="1" operator="equal">
      <formula>"Towel"</formula>
    </cfRule>
  </conditionalFormatting>
  <conditionalFormatting sqref="B112:C112">
    <cfRule type="cellIs" dxfId="4673" priority="613" stopIfTrue="1" operator="equal">
      <formula>"Towel"</formula>
    </cfRule>
    <cfRule type="cellIs" dxfId="4672" priority="614" stopIfTrue="1" operator="equal">
      <formula>"Napkin Hs"</formula>
    </cfRule>
  </conditionalFormatting>
  <conditionalFormatting sqref="C112">
    <cfRule type="cellIs" dxfId="4671" priority="612" stopIfTrue="1" operator="equal">
      <formula>"Napkin Hs"</formula>
    </cfRule>
  </conditionalFormatting>
  <conditionalFormatting sqref="C112">
    <cfRule type="cellIs" dxfId="4670" priority="609" stopIfTrue="1" operator="equal">
      <formula>"Towel"</formula>
    </cfRule>
    <cfRule type="cellIs" dxfId="4669" priority="610" stopIfTrue="1" operator="equal">
      <formula>"Napkin Hs"</formula>
    </cfRule>
  </conditionalFormatting>
  <conditionalFormatting sqref="C112">
    <cfRule type="cellIs" dxfId="4668" priority="611" stopIfTrue="1" operator="equal">
      <formula>"Towel"</formula>
    </cfRule>
  </conditionalFormatting>
  <conditionalFormatting sqref="B112:C112">
    <cfRule type="cellIs" dxfId="4667" priority="607" stopIfTrue="1" operator="equal">
      <formula>"Towel"</formula>
    </cfRule>
    <cfRule type="cellIs" dxfId="4666" priority="608" stopIfTrue="1" operator="equal">
      <formula>"Napkin Hs"</formula>
    </cfRule>
  </conditionalFormatting>
  <conditionalFormatting sqref="C112">
    <cfRule type="cellIs" dxfId="4665" priority="606" stopIfTrue="1" operator="equal">
      <formula>"Napkin Hs"</formula>
    </cfRule>
  </conditionalFormatting>
  <conditionalFormatting sqref="C112">
    <cfRule type="cellIs" dxfId="4664" priority="603" stopIfTrue="1" operator="equal">
      <formula>"Towel"</formula>
    </cfRule>
    <cfRule type="cellIs" dxfId="4663" priority="604" stopIfTrue="1" operator="equal">
      <formula>"Napkin Hs"</formula>
    </cfRule>
  </conditionalFormatting>
  <conditionalFormatting sqref="C112">
    <cfRule type="cellIs" dxfId="4662" priority="605" stopIfTrue="1" operator="equal">
      <formula>"Towel"</formula>
    </cfRule>
  </conditionalFormatting>
  <conditionalFormatting sqref="B112:C112">
    <cfRule type="cellIs" dxfId="4661" priority="601" stopIfTrue="1" operator="equal">
      <formula>"Towel"</formula>
    </cfRule>
    <cfRule type="cellIs" dxfId="4660" priority="602" stopIfTrue="1" operator="equal">
      <formula>"Napkin Hs"</formula>
    </cfRule>
  </conditionalFormatting>
  <conditionalFormatting sqref="C112">
    <cfRule type="cellIs" dxfId="4659" priority="600" stopIfTrue="1" operator="equal">
      <formula>"Napkin Hs"</formula>
    </cfRule>
  </conditionalFormatting>
  <conditionalFormatting sqref="C112">
    <cfRule type="cellIs" dxfId="4658" priority="597" stopIfTrue="1" operator="equal">
      <formula>"Towel"</formula>
    </cfRule>
    <cfRule type="cellIs" dxfId="4657" priority="598" stopIfTrue="1" operator="equal">
      <formula>"Napkin Hs"</formula>
    </cfRule>
  </conditionalFormatting>
  <conditionalFormatting sqref="C112">
    <cfRule type="cellIs" dxfId="4656" priority="599" stopIfTrue="1" operator="equal">
      <formula>"Towel"</formula>
    </cfRule>
  </conditionalFormatting>
  <conditionalFormatting sqref="B112:C112">
    <cfRule type="cellIs" dxfId="4655" priority="595" stopIfTrue="1" operator="equal">
      <formula>"Towel"</formula>
    </cfRule>
    <cfRule type="cellIs" dxfId="4654" priority="596" stopIfTrue="1" operator="equal">
      <formula>"Napkin Hs"</formula>
    </cfRule>
  </conditionalFormatting>
  <conditionalFormatting sqref="C112">
    <cfRule type="cellIs" dxfId="4653" priority="594" stopIfTrue="1" operator="equal">
      <formula>"Napkin Hs"</formula>
    </cfRule>
  </conditionalFormatting>
  <conditionalFormatting sqref="C112">
    <cfRule type="cellIs" dxfId="4652" priority="591" stopIfTrue="1" operator="equal">
      <formula>"Towel"</formula>
    </cfRule>
    <cfRule type="cellIs" dxfId="4651" priority="592" stopIfTrue="1" operator="equal">
      <formula>"Napkin Hs"</formula>
    </cfRule>
  </conditionalFormatting>
  <conditionalFormatting sqref="C112">
    <cfRule type="cellIs" dxfId="4650" priority="593" stopIfTrue="1" operator="equal">
      <formula>"Towel"</formula>
    </cfRule>
  </conditionalFormatting>
  <conditionalFormatting sqref="B114:C114">
    <cfRule type="cellIs" dxfId="4649" priority="589" stopIfTrue="1" operator="equal">
      <formula>"Towel"</formula>
    </cfRule>
    <cfRule type="cellIs" dxfId="4648" priority="590" stopIfTrue="1" operator="equal">
      <formula>"Napkin Hs"</formula>
    </cfRule>
  </conditionalFormatting>
  <conditionalFormatting sqref="C114">
    <cfRule type="cellIs" dxfId="4647" priority="588" stopIfTrue="1" operator="equal">
      <formula>"Napkin Hs"</formula>
    </cfRule>
  </conditionalFormatting>
  <conditionalFormatting sqref="C114">
    <cfRule type="cellIs" dxfId="4646" priority="585" stopIfTrue="1" operator="equal">
      <formula>"Towel"</formula>
    </cfRule>
    <cfRule type="cellIs" dxfId="4645" priority="586" stopIfTrue="1" operator="equal">
      <formula>"Napkin Hs"</formula>
    </cfRule>
  </conditionalFormatting>
  <conditionalFormatting sqref="C114">
    <cfRule type="cellIs" dxfId="4644" priority="587" stopIfTrue="1" operator="equal">
      <formula>"Towel"</formula>
    </cfRule>
  </conditionalFormatting>
  <conditionalFormatting sqref="B114:C114">
    <cfRule type="cellIs" dxfId="4643" priority="583" stopIfTrue="1" operator="equal">
      <formula>"Towel"</formula>
    </cfRule>
    <cfRule type="cellIs" dxfId="4642" priority="584" stopIfTrue="1" operator="equal">
      <formula>"Napkin Hs"</formula>
    </cfRule>
  </conditionalFormatting>
  <conditionalFormatting sqref="C114">
    <cfRule type="cellIs" dxfId="4641" priority="582" stopIfTrue="1" operator="equal">
      <formula>"Napkin Hs"</formula>
    </cfRule>
  </conditionalFormatting>
  <conditionalFormatting sqref="C114">
    <cfRule type="cellIs" dxfId="4640" priority="579" stopIfTrue="1" operator="equal">
      <formula>"Towel"</formula>
    </cfRule>
    <cfRule type="cellIs" dxfId="4639" priority="580" stopIfTrue="1" operator="equal">
      <formula>"Napkin Hs"</formula>
    </cfRule>
  </conditionalFormatting>
  <conditionalFormatting sqref="C114">
    <cfRule type="cellIs" dxfId="4638" priority="581" stopIfTrue="1" operator="equal">
      <formula>"Towel"</formula>
    </cfRule>
  </conditionalFormatting>
  <conditionalFormatting sqref="B114:C114">
    <cfRule type="cellIs" dxfId="4637" priority="577" stopIfTrue="1" operator="equal">
      <formula>"Towel"</formula>
    </cfRule>
    <cfRule type="cellIs" dxfId="4636" priority="578" stopIfTrue="1" operator="equal">
      <formula>"Napkin Hs"</formula>
    </cfRule>
  </conditionalFormatting>
  <conditionalFormatting sqref="C114">
    <cfRule type="cellIs" dxfId="4635" priority="576" stopIfTrue="1" operator="equal">
      <formula>"Napkin Hs"</formula>
    </cfRule>
  </conditionalFormatting>
  <conditionalFormatting sqref="C114">
    <cfRule type="cellIs" dxfId="4634" priority="573" stopIfTrue="1" operator="equal">
      <formula>"Towel"</formula>
    </cfRule>
    <cfRule type="cellIs" dxfId="4633" priority="574" stopIfTrue="1" operator="equal">
      <formula>"Napkin Hs"</formula>
    </cfRule>
  </conditionalFormatting>
  <conditionalFormatting sqref="C114">
    <cfRule type="cellIs" dxfId="4632" priority="575" stopIfTrue="1" operator="equal">
      <formula>"Towel"</formula>
    </cfRule>
  </conditionalFormatting>
  <conditionalFormatting sqref="B114:C114">
    <cfRule type="cellIs" dxfId="4631" priority="571" stopIfTrue="1" operator="equal">
      <formula>"Towel"</formula>
    </cfRule>
    <cfRule type="cellIs" dxfId="4630" priority="572" stopIfTrue="1" operator="equal">
      <formula>"Napkin Hs"</formula>
    </cfRule>
  </conditionalFormatting>
  <conditionalFormatting sqref="C114">
    <cfRule type="cellIs" dxfId="4629" priority="570" stopIfTrue="1" operator="equal">
      <formula>"Napkin Hs"</formula>
    </cfRule>
  </conditionalFormatting>
  <conditionalFormatting sqref="C114">
    <cfRule type="cellIs" dxfId="4628" priority="567" stopIfTrue="1" operator="equal">
      <formula>"Towel"</formula>
    </cfRule>
    <cfRule type="cellIs" dxfId="4627" priority="568" stopIfTrue="1" operator="equal">
      <formula>"Napkin Hs"</formula>
    </cfRule>
  </conditionalFormatting>
  <conditionalFormatting sqref="C114">
    <cfRule type="cellIs" dxfId="4626" priority="569" stopIfTrue="1" operator="equal">
      <formula>"Towel"</formula>
    </cfRule>
  </conditionalFormatting>
  <conditionalFormatting sqref="B114:C114">
    <cfRule type="cellIs" dxfId="4625" priority="565" stopIfTrue="1" operator="equal">
      <formula>"Towel"</formula>
    </cfRule>
    <cfRule type="cellIs" dxfId="4624" priority="566" stopIfTrue="1" operator="equal">
      <formula>"Napkin Hs"</formula>
    </cfRule>
  </conditionalFormatting>
  <conditionalFormatting sqref="C114">
    <cfRule type="cellIs" dxfId="4623" priority="563" stopIfTrue="1" operator="equal">
      <formula>"Towel"</formula>
    </cfRule>
    <cfRule type="cellIs" dxfId="4622" priority="564" stopIfTrue="1" operator="equal">
      <formula>"Napkin Hs"</formula>
    </cfRule>
  </conditionalFormatting>
  <conditionalFormatting sqref="C114">
    <cfRule type="cellIs" dxfId="4621" priority="561" stopIfTrue="1" operator="equal">
      <formula>"Towel"</formula>
    </cfRule>
    <cfRule type="cellIs" dxfId="4620" priority="562" stopIfTrue="1" operator="equal">
      <formula>"Napkin Hs"</formula>
    </cfRule>
  </conditionalFormatting>
  <conditionalFormatting sqref="B114:C114">
    <cfRule type="cellIs" dxfId="4619" priority="559" stopIfTrue="1" operator="equal">
      <formula>"Towel"</formula>
    </cfRule>
    <cfRule type="cellIs" dxfId="4618" priority="560" stopIfTrue="1" operator="equal">
      <formula>"Napkin Hs"</formula>
    </cfRule>
  </conditionalFormatting>
  <conditionalFormatting sqref="C114">
    <cfRule type="cellIs" dxfId="4617" priority="557" stopIfTrue="1" operator="equal">
      <formula>"Towel"</formula>
    </cfRule>
    <cfRule type="cellIs" dxfId="4616" priority="558" stopIfTrue="1" operator="equal">
      <formula>"Napkin Hs"</formula>
    </cfRule>
  </conditionalFormatting>
  <conditionalFormatting sqref="C114">
    <cfRule type="cellIs" dxfId="4615" priority="555" stopIfTrue="1" operator="equal">
      <formula>"Towel"</formula>
    </cfRule>
    <cfRule type="cellIs" dxfId="4614" priority="556" stopIfTrue="1" operator="equal">
      <formula>"Napkin Hs"</formula>
    </cfRule>
  </conditionalFormatting>
  <conditionalFormatting sqref="B114:C114">
    <cfRule type="cellIs" dxfId="4613" priority="553" stopIfTrue="1" operator="equal">
      <formula>"Towel"</formula>
    </cfRule>
    <cfRule type="cellIs" dxfId="4612" priority="554" stopIfTrue="1" operator="equal">
      <formula>"Napkin Hs"</formula>
    </cfRule>
  </conditionalFormatting>
  <conditionalFormatting sqref="C114">
    <cfRule type="cellIs" dxfId="4611" priority="552" stopIfTrue="1" operator="equal">
      <formula>"Napkin Hs"</formula>
    </cfRule>
  </conditionalFormatting>
  <conditionalFormatting sqref="C114">
    <cfRule type="cellIs" dxfId="4610" priority="549" stopIfTrue="1" operator="equal">
      <formula>"Towel"</formula>
    </cfRule>
    <cfRule type="cellIs" dxfId="4609" priority="550" stopIfTrue="1" operator="equal">
      <formula>"Napkin Hs"</formula>
    </cfRule>
  </conditionalFormatting>
  <conditionalFormatting sqref="C114">
    <cfRule type="cellIs" dxfId="4608" priority="551" stopIfTrue="1" operator="equal">
      <formula>"Towel"</formula>
    </cfRule>
  </conditionalFormatting>
  <conditionalFormatting sqref="B114:C114">
    <cfRule type="cellIs" dxfId="4607" priority="547" stopIfTrue="1" operator="equal">
      <formula>"Towel"</formula>
    </cfRule>
    <cfRule type="cellIs" dxfId="4606" priority="548" stopIfTrue="1" operator="equal">
      <formula>"Napkin Hs"</formula>
    </cfRule>
  </conditionalFormatting>
  <conditionalFormatting sqref="C114">
    <cfRule type="cellIs" dxfId="4605" priority="546" stopIfTrue="1" operator="equal">
      <formula>"Napkin Hs"</formula>
    </cfRule>
  </conditionalFormatting>
  <conditionalFormatting sqref="C114">
    <cfRule type="cellIs" dxfId="4604" priority="543" stopIfTrue="1" operator="equal">
      <formula>"Towel"</formula>
    </cfRule>
    <cfRule type="cellIs" dxfId="4603" priority="544" stopIfTrue="1" operator="equal">
      <formula>"Napkin Hs"</formula>
    </cfRule>
  </conditionalFormatting>
  <conditionalFormatting sqref="C114">
    <cfRule type="cellIs" dxfId="4602" priority="545" stopIfTrue="1" operator="equal">
      <formula>"Towel"</formula>
    </cfRule>
  </conditionalFormatting>
  <conditionalFormatting sqref="B114:C114">
    <cfRule type="cellIs" dxfId="4601" priority="541" stopIfTrue="1" operator="equal">
      <formula>"Towel"</formula>
    </cfRule>
    <cfRule type="cellIs" dxfId="4600" priority="542" stopIfTrue="1" operator="equal">
      <formula>"Napkin Hs"</formula>
    </cfRule>
  </conditionalFormatting>
  <conditionalFormatting sqref="C114">
    <cfRule type="cellIs" dxfId="4599" priority="540" stopIfTrue="1" operator="equal">
      <formula>"Napkin Hs"</formula>
    </cfRule>
  </conditionalFormatting>
  <conditionalFormatting sqref="C114">
    <cfRule type="cellIs" dxfId="4598" priority="537" stopIfTrue="1" operator="equal">
      <formula>"Towel"</formula>
    </cfRule>
    <cfRule type="cellIs" dxfId="4597" priority="538" stopIfTrue="1" operator="equal">
      <formula>"Napkin Hs"</formula>
    </cfRule>
  </conditionalFormatting>
  <conditionalFormatting sqref="C114">
    <cfRule type="cellIs" dxfId="4596" priority="539" stopIfTrue="1" operator="equal">
      <formula>"Towel"</formula>
    </cfRule>
  </conditionalFormatting>
  <conditionalFormatting sqref="B115:C115">
    <cfRule type="cellIs" dxfId="4595" priority="535" stopIfTrue="1" operator="equal">
      <formula>"Towel"</formula>
    </cfRule>
    <cfRule type="cellIs" dxfId="4594" priority="536" stopIfTrue="1" operator="equal">
      <formula>"Napkin Hs"</formula>
    </cfRule>
  </conditionalFormatting>
  <conditionalFormatting sqref="C115">
    <cfRule type="cellIs" dxfId="4593" priority="534" stopIfTrue="1" operator="equal">
      <formula>"Napkin Hs"</formula>
    </cfRule>
  </conditionalFormatting>
  <conditionalFormatting sqref="C115">
    <cfRule type="cellIs" dxfId="4592" priority="531" stopIfTrue="1" operator="equal">
      <formula>"Towel"</formula>
    </cfRule>
    <cfRule type="cellIs" dxfId="4591" priority="532" stopIfTrue="1" operator="equal">
      <formula>"Napkin Hs"</formula>
    </cfRule>
  </conditionalFormatting>
  <conditionalFormatting sqref="C115">
    <cfRule type="cellIs" dxfId="4590" priority="533" stopIfTrue="1" operator="equal">
      <formula>"Towel"</formula>
    </cfRule>
  </conditionalFormatting>
  <conditionalFormatting sqref="B115:C115">
    <cfRule type="cellIs" dxfId="4589" priority="529" stopIfTrue="1" operator="equal">
      <formula>"Towel"</formula>
    </cfRule>
    <cfRule type="cellIs" dxfId="4588" priority="530" stopIfTrue="1" operator="equal">
      <formula>"Napkin Hs"</formula>
    </cfRule>
  </conditionalFormatting>
  <conditionalFormatting sqref="C115">
    <cfRule type="cellIs" dxfId="4587" priority="528" stopIfTrue="1" operator="equal">
      <formula>"Napkin Hs"</formula>
    </cfRule>
  </conditionalFormatting>
  <conditionalFormatting sqref="C115">
    <cfRule type="cellIs" dxfId="4586" priority="525" stopIfTrue="1" operator="equal">
      <formula>"Towel"</formula>
    </cfRule>
    <cfRule type="cellIs" dxfId="4585" priority="526" stopIfTrue="1" operator="equal">
      <formula>"Napkin Hs"</formula>
    </cfRule>
  </conditionalFormatting>
  <conditionalFormatting sqref="C115">
    <cfRule type="cellIs" dxfId="4584" priority="527" stopIfTrue="1" operator="equal">
      <formula>"Towel"</formula>
    </cfRule>
  </conditionalFormatting>
  <conditionalFormatting sqref="B115:C115">
    <cfRule type="cellIs" dxfId="4583" priority="523" stopIfTrue="1" operator="equal">
      <formula>"Towel"</formula>
    </cfRule>
    <cfRule type="cellIs" dxfId="4582" priority="524" stopIfTrue="1" operator="equal">
      <formula>"Napkin Hs"</formula>
    </cfRule>
  </conditionalFormatting>
  <conditionalFormatting sqref="C115">
    <cfRule type="cellIs" dxfId="4581" priority="522" stopIfTrue="1" operator="equal">
      <formula>"Napkin Hs"</formula>
    </cfRule>
  </conditionalFormatting>
  <conditionalFormatting sqref="C115">
    <cfRule type="cellIs" dxfId="4580" priority="519" stopIfTrue="1" operator="equal">
      <formula>"Towel"</formula>
    </cfRule>
    <cfRule type="cellIs" dxfId="4579" priority="520" stopIfTrue="1" operator="equal">
      <formula>"Napkin Hs"</formula>
    </cfRule>
  </conditionalFormatting>
  <conditionalFormatting sqref="C115">
    <cfRule type="cellIs" dxfId="4578" priority="521" stopIfTrue="1" operator="equal">
      <formula>"Towel"</formula>
    </cfRule>
  </conditionalFormatting>
  <conditionalFormatting sqref="B115:C115">
    <cfRule type="cellIs" dxfId="4577" priority="517" stopIfTrue="1" operator="equal">
      <formula>"Towel"</formula>
    </cfRule>
    <cfRule type="cellIs" dxfId="4576" priority="518" stopIfTrue="1" operator="equal">
      <formula>"Napkin Hs"</formula>
    </cfRule>
  </conditionalFormatting>
  <conditionalFormatting sqref="C115">
    <cfRule type="cellIs" dxfId="4575" priority="516" stopIfTrue="1" operator="equal">
      <formula>"Napkin Hs"</formula>
    </cfRule>
  </conditionalFormatting>
  <conditionalFormatting sqref="C115">
    <cfRule type="cellIs" dxfId="4574" priority="513" stopIfTrue="1" operator="equal">
      <formula>"Towel"</formula>
    </cfRule>
    <cfRule type="cellIs" dxfId="4573" priority="514" stopIfTrue="1" operator="equal">
      <formula>"Napkin Hs"</formula>
    </cfRule>
  </conditionalFormatting>
  <conditionalFormatting sqref="C115">
    <cfRule type="cellIs" dxfId="4572" priority="515" stopIfTrue="1" operator="equal">
      <formula>"Towel"</formula>
    </cfRule>
  </conditionalFormatting>
  <conditionalFormatting sqref="B115:C115">
    <cfRule type="cellIs" dxfId="4571" priority="511" stopIfTrue="1" operator="equal">
      <formula>"Towel"</formula>
    </cfRule>
    <cfRule type="cellIs" dxfId="4570" priority="512" stopIfTrue="1" operator="equal">
      <formula>"Napkin Hs"</formula>
    </cfRule>
  </conditionalFormatting>
  <conditionalFormatting sqref="C115">
    <cfRule type="cellIs" dxfId="4569" priority="510" stopIfTrue="1" operator="equal">
      <formula>"Napkin Hs"</formula>
    </cfRule>
  </conditionalFormatting>
  <conditionalFormatting sqref="C115">
    <cfRule type="cellIs" dxfId="4568" priority="507" stopIfTrue="1" operator="equal">
      <formula>"Towel"</formula>
    </cfRule>
    <cfRule type="cellIs" dxfId="4567" priority="508" stopIfTrue="1" operator="equal">
      <formula>"Napkin Hs"</formula>
    </cfRule>
  </conditionalFormatting>
  <conditionalFormatting sqref="C115">
    <cfRule type="cellIs" dxfId="4566" priority="509" stopIfTrue="1" operator="equal">
      <formula>"Towel"</formula>
    </cfRule>
  </conditionalFormatting>
  <conditionalFormatting sqref="B115:C115">
    <cfRule type="cellIs" dxfId="4565" priority="505" stopIfTrue="1" operator="equal">
      <formula>"Towel"</formula>
    </cfRule>
    <cfRule type="cellIs" dxfId="4564" priority="506" stopIfTrue="1" operator="equal">
      <formula>"Napkin Hs"</formula>
    </cfRule>
  </conditionalFormatting>
  <conditionalFormatting sqref="C115">
    <cfRule type="cellIs" dxfId="4563" priority="504" stopIfTrue="1" operator="equal">
      <formula>"Napkin Hs"</formula>
    </cfRule>
  </conditionalFormatting>
  <conditionalFormatting sqref="C115">
    <cfRule type="cellIs" dxfId="4562" priority="501" stopIfTrue="1" operator="equal">
      <formula>"Towel"</formula>
    </cfRule>
    <cfRule type="cellIs" dxfId="4561" priority="502" stopIfTrue="1" operator="equal">
      <formula>"Napkin Hs"</formula>
    </cfRule>
  </conditionalFormatting>
  <conditionalFormatting sqref="C115">
    <cfRule type="cellIs" dxfId="4560" priority="503" stopIfTrue="1" operator="equal">
      <formula>"Towel"</formula>
    </cfRule>
  </conditionalFormatting>
  <conditionalFormatting sqref="B115:C115">
    <cfRule type="cellIs" dxfId="4559" priority="499" stopIfTrue="1" operator="equal">
      <formula>"Towel"</formula>
    </cfRule>
    <cfRule type="cellIs" dxfId="4558" priority="500" stopIfTrue="1" operator="equal">
      <formula>"Napkin Hs"</formula>
    </cfRule>
  </conditionalFormatting>
  <conditionalFormatting sqref="C115">
    <cfRule type="cellIs" dxfId="4557" priority="498" stopIfTrue="1" operator="equal">
      <formula>"Napkin Hs"</formula>
    </cfRule>
  </conditionalFormatting>
  <conditionalFormatting sqref="C115">
    <cfRule type="cellIs" dxfId="4556" priority="495" stopIfTrue="1" operator="equal">
      <formula>"Towel"</formula>
    </cfRule>
    <cfRule type="cellIs" dxfId="4555" priority="496" stopIfTrue="1" operator="equal">
      <formula>"Napkin Hs"</formula>
    </cfRule>
  </conditionalFormatting>
  <conditionalFormatting sqref="C115">
    <cfRule type="cellIs" dxfId="4554" priority="497" stopIfTrue="1" operator="equal">
      <formula>"Towel"</formula>
    </cfRule>
  </conditionalFormatting>
  <conditionalFormatting sqref="B115:C115">
    <cfRule type="cellIs" dxfId="4553" priority="493" stopIfTrue="1" operator="equal">
      <formula>"Towel"</formula>
    </cfRule>
    <cfRule type="cellIs" dxfId="4552" priority="494" stopIfTrue="1" operator="equal">
      <formula>"Napkin Hs"</formula>
    </cfRule>
  </conditionalFormatting>
  <conditionalFormatting sqref="C115">
    <cfRule type="cellIs" dxfId="4551" priority="492" stopIfTrue="1" operator="equal">
      <formula>"Napkin Hs"</formula>
    </cfRule>
  </conditionalFormatting>
  <conditionalFormatting sqref="C115">
    <cfRule type="cellIs" dxfId="4550" priority="489" stopIfTrue="1" operator="equal">
      <formula>"Towel"</formula>
    </cfRule>
    <cfRule type="cellIs" dxfId="4549" priority="490" stopIfTrue="1" operator="equal">
      <formula>"Napkin Hs"</formula>
    </cfRule>
  </conditionalFormatting>
  <conditionalFormatting sqref="C115">
    <cfRule type="cellIs" dxfId="4548" priority="491" stopIfTrue="1" operator="equal">
      <formula>"Towel"</formula>
    </cfRule>
  </conditionalFormatting>
  <conditionalFormatting sqref="B117:C117">
    <cfRule type="cellIs" dxfId="4547" priority="487" stopIfTrue="1" operator="equal">
      <formula>"Towel"</formula>
    </cfRule>
    <cfRule type="cellIs" dxfId="4546" priority="488" stopIfTrue="1" operator="equal">
      <formula>"Napkin Hs"</formula>
    </cfRule>
  </conditionalFormatting>
  <conditionalFormatting sqref="C117">
    <cfRule type="cellIs" dxfId="4545" priority="486" stopIfTrue="1" operator="equal">
      <formula>"Napkin Hs"</formula>
    </cfRule>
  </conditionalFormatting>
  <conditionalFormatting sqref="C117">
    <cfRule type="cellIs" dxfId="4544" priority="483" stopIfTrue="1" operator="equal">
      <formula>"Towel"</formula>
    </cfRule>
    <cfRule type="cellIs" dxfId="4543" priority="484" stopIfTrue="1" operator="equal">
      <formula>"Napkin Hs"</formula>
    </cfRule>
  </conditionalFormatting>
  <conditionalFormatting sqref="C117">
    <cfRule type="cellIs" dxfId="4542" priority="485" stopIfTrue="1" operator="equal">
      <formula>"Towel"</formula>
    </cfRule>
  </conditionalFormatting>
  <conditionalFormatting sqref="B117:C117">
    <cfRule type="cellIs" dxfId="4541" priority="481" stopIfTrue="1" operator="equal">
      <formula>"Towel"</formula>
    </cfRule>
    <cfRule type="cellIs" dxfId="4540" priority="482" stopIfTrue="1" operator="equal">
      <formula>"Napkin Hs"</formula>
    </cfRule>
  </conditionalFormatting>
  <conditionalFormatting sqref="C117">
    <cfRule type="cellIs" dxfId="4539" priority="480" stopIfTrue="1" operator="equal">
      <formula>"Napkin Hs"</formula>
    </cfRule>
  </conditionalFormatting>
  <conditionalFormatting sqref="C117">
    <cfRule type="cellIs" dxfId="4538" priority="477" stopIfTrue="1" operator="equal">
      <formula>"Towel"</formula>
    </cfRule>
    <cfRule type="cellIs" dxfId="4537" priority="478" stopIfTrue="1" operator="equal">
      <formula>"Napkin Hs"</formula>
    </cfRule>
  </conditionalFormatting>
  <conditionalFormatting sqref="C117">
    <cfRule type="cellIs" dxfId="4536" priority="479" stopIfTrue="1" operator="equal">
      <formula>"Towel"</formula>
    </cfRule>
  </conditionalFormatting>
  <conditionalFormatting sqref="B117:C117">
    <cfRule type="cellIs" dxfId="4535" priority="475" stopIfTrue="1" operator="equal">
      <formula>"Towel"</formula>
    </cfRule>
    <cfRule type="cellIs" dxfId="4534" priority="476" stopIfTrue="1" operator="equal">
      <formula>"Napkin Hs"</formula>
    </cfRule>
  </conditionalFormatting>
  <conditionalFormatting sqref="C117">
    <cfRule type="cellIs" dxfId="4533" priority="474" stopIfTrue="1" operator="equal">
      <formula>"Napkin Hs"</formula>
    </cfRule>
  </conditionalFormatting>
  <conditionalFormatting sqref="C117">
    <cfRule type="cellIs" dxfId="4532" priority="471" stopIfTrue="1" operator="equal">
      <formula>"Towel"</formula>
    </cfRule>
    <cfRule type="cellIs" dxfId="4531" priority="472" stopIfTrue="1" operator="equal">
      <formula>"Napkin Hs"</formula>
    </cfRule>
  </conditionalFormatting>
  <conditionalFormatting sqref="C117">
    <cfRule type="cellIs" dxfId="4530" priority="473" stopIfTrue="1" operator="equal">
      <formula>"Towel"</formula>
    </cfRule>
  </conditionalFormatting>
  <conditionalFormatting sqref="B117:C117">
    <cfRule type="cellIs" dxfId="4529" priority="469" stopIfTrue="1" operator="equal">
      <formula>"Towel"</formula>
    </cfRule>
    <cfRule type="cellIs" dxfId="4528" priority="470" stopIfTrue="1" operator="equal">
      <formula>"Napkin Hs"</formula>
    </cfRule>
  </conditionalFormatting>
  <conditionalFormatting sqref="C117">
    <cfRule type="cellIs" dxfId="4527" priority="468" stopIfTrue="1" operator="equal">
      <formula>"Napkin Hs"</formula>
    </cfRule>
  </conditionalFormatting>
  <conditionalFormatting sqref="C117">
    <cfRule type="cellIs" dxfId="4526" priority="465" stopIfTrue="1" operator="equal">
      <formula>"Towel"</formula>
    </cfRule>
    <cfRule type="cellIs" dxfId="4525" priority="466" stopIfTrue="1" operator="equal">
      <formula>"Napkin Hs"</formula>
    </cfRule>
  </conditionalFormatting>
  <conditionalFormatting sqref="C117">
    <cfRule type="cellIs" dxfId="4524" priority="467" stopIfTrue="1" operator="equal">
      <formula>"Towel"</formula>
    </cfRule>
  </conditionalFormatting>
  <conditionalFormatting sqref="B117:C117">
    <cfRule type="cellIs" dxfId="4523" priority="463" stopIfTrue="1" operator="equal">
      <formula>"Towel"</formula>
    </cfRule>
    <cfRule type="cellIs" dxfId="4522" priority="464" stopIfTrue="1" operator="equal">
      <formula>"Napkin Hs"</formula>
    </cfRule>
  </conditionalFormatting>
  <conditionalFormatting sqref="C117">
    <cfRule type="cellIs" dxfId="4521" priority="462" stopIfTrue="1" operator="equal">
      <formula>"Napkin Hs"</formula>
    </cfRule>
  </conditionalFormatting>
  <conditionalFormatting sqref="C117">
    <cfRule type="cellIs" dxfId="4520" priority="459" stopIfTrue="1" operator="equal">
      <formula>"Towel"</formula>
    </cfRule>
    <cfRule type="cellIs" dxfId="4519" priority="460" stopIfTrue="1" operator="equal">
      <formula>"Napkin Hs"</formula>
    </cfRule>
  </conditionalFormatting>
  <conditionalFormatting sqref="C117">
    <cfRule type="cellIs" dxfId="4518" priority="461" stopIfTrue="1" operator="equal">
      <formula>"Towel"</formula>
    </cfRule>
  </conditionalFormatting>
  <conditionalFormatting sqref="B117:C117">
    <cfRule type="cellIs" dxfId="4517" priority="457" stopIfTrue="1" operator="equal">
      <formula>"Towel"</formula>
    </cfRule>
    <cfRule type="cellIs" dxfId="4516" priority="458" stopIfTrue="1" operator="equal">
      <formula>"Napkin Hs"</formula>
    </cfRule>
  </conditionalFormatting>
  <conditionalFormatting sqref="C117">
    <cfRule type="cellIs" dxfId="4515" priority="456" stopIfTrue="1" operator="equal">
      <formula>"Napkin Hs"</formula>
    </cfRule>
  </conditionalFormatting>
  <conditionalFormatting sqref="C117">
    <cfRule type="cellIs" dxfId="4514" priority="453" stopIfTrue="1" operator="equal">
      <formula>"Towel"</formula>
    </cfRule>
    <cfRule type="cellIs" dxfId="4513" priority="454" stopIfTrue="1" operator="equal">
      <formula>"Napkin Hs"</formula>
    </cfRule>
  </conditionalFormatting>
  <conditionalFormatting sqref="C117">
    <cfRule type="cellIs" dxfId="4512" priority="455" stopIfTrue="1" operator="equal">
      <formula>"Towel"</formula>
    </cfRule>
  </conditionalFormatting>
  <conditionalFormatting sqref="B117:C117">
    <cfRule type="cellIs" dxfId="4511" priority="451" stopIfTrue="1" operator="equal">
      <formula>"Towel"</formula>
    </cfRule>
    <cfRule type="cellIs" dxfId="4510" priority="452" stopIfTrue="1" operator="equal">
      <formula>"Napkin Hs"</formula>
    </cfRule>
  </conditionalFormatting>
  <conditionalFormatting sqref="C117">
    <cfRule type="cellIs" dxfId="4509" priority="450" stopIfTrue="1" operator="equal">
      <formula>"Napkin Hs"</formula>
    </cfRule>
  </conditionalFormatting>
  <conditionalFormatting sqref="C117">
    <cfRule type="cellIs" dxfId="4508" priority="447" stopIfTrue="1" operator="equal">
      <formula>"Towel"</formula>
    </cfRule>
    <cfRule type="cellIs" dxfId="4507" priority="448" stopIfTrue="1" operator="equal">
      <formula>"Napkin Hs"</formula>
    </cfRule>
  </conditionalFormatting>
  <conditionalFormatting sqref="C117">
    <cfRule type="cellIs" dxfId="4506" priority="449" stopIfTrue="1" operator="equal">
      <formula>"Towel"</formula>
    </cfRule>
  </conditionalFormatting>
  <conditionalFormatting sqref="B117:C117">
    <cfRule type="cellIs" dxfId="4505" priority="445" stopIfTrue="1" operator="equal">
      <formula>"Towel"</formula>
    </cfRule>
    <cfRule type="cellIs" dxfId="4504" priority="446" stopIfTrue="1" operator="equal">
      <formula>"Napkin Hs"</formula>
    </cfRule>
  </conditionalFormatting>
  <conditionalFormatting sqref="C117">
    <cfRule type="cellIs" dxfId="4503" priority="444" stopIfTrue="1" operator="equal">
      <formula>"Napkin Hs"</formula>
    </cfRule>
  </conditionalFormatting>
  <conditionalFormatting sqref="C117">
    <cfRule type="cellIs" dxfId="4502" priority="441" stopIfTrue="1" operator="equal">
      <formula>"Towel"</formula>
    </cfRule>
    <cfRule type="cellIs" dxfId="4501" priority="442" stopIfTrue="1" operator="equal">
      <formula>"Napkin Hs"</formula>
    </cfRule>
  </conditionalFormatting>
  <conditionalFormatting sqref="C117">
    <cfRule type="cellIs" dxfId="4500" priority="443" stopIfTrue="1" operator="equal">
      <formula>"Towel"</formula>
    </cfRule>
  </conditionalFormatting>
  <conditionalFormatting sqref="B117:C117">
    <cfRule type="cellIs" dxfId="4499" priority="439" stopIfTrue="1" operator="equal">
      <formula>"Towel"</formula>
    </cfRule>
    <cfRule type="cellIs" dxfId="4498" priority="440" stopIfTrue="1" operator="equal">
      <formula>"Napkin Hs"</formula>
    </cfRule>
  </conditionalFormatting>
  <conditionalFormatting sqref="C117">
    <cfRule type="cellIs" dxfId="4497" priority="438" stopIfTrue="1" operator="equal">
      <formula>"Napkin Hs"</formula>
    </cfRule>
  </conditionalFormatting>
  <conditionalFormatting sqref="C117">
    <cfRule type="cellIs" dxfId="4496" priority="435" stopIfTrue="1" operator="equal">
      <formula>"Towel"</formula>
    </cfRule>
    <cfRule type="cellIs" dxfId="4495" priority="436" stopIfTrue="1" operator="equal">
      <formula>"Napkin Hs"</formula>
    </cfRule>
  </conditionalFormatting>
  <conditionalFormatting sqref="C117">
    <cfRule type="cellIs" dxfId="4494" priority="437" stopIfTrue="1" operator="equal">
      <formula>"Towel"</formula>
    </cfRule>
  </conditionalFormatting>
  <conditionalFormatting sqref="B117:C117">
    <cfRule type="cellIs" dxfId="4493" priority="433" stopIfTrue="1" operator="equal">
      <formula>"Towel"</formula>
    </cfRule>
    <cfRule type="cellIs" dxfId="4492" priority="434" stopIfTrue="1" operator="equal">
      <formula>"Napkin Hs"</formula>
    </cfRule>
  </conditionalFormatting>
  <conditionalFormatting sqref="C117">
    <cfRule type="cellIs" dxfId="4491" priority="432" stopIfTrue="1" operator="equal">
      <formula>"Napkin Hs"</formula>
    </cfRule>
  </conditionalFormatting>
  <conditionalFormatting sqref="C117">
    <cfRule type="cellIs" dxfId="4490" priority="429" stopIfTrue="1" operator="equal">
      <formula>"Towel"</formula>
    </cfRule>
    <cfRule type="cellIs" dxfId="4489" priority="430" stopIfTrue="1" operator="equal">
      <formula>"Napkin Hs"</formula>
    </cfRule>
  </conditionalFormatting>
  <conditionalFormatting sqref="C117">
    <cfRule type="cellIs" dxfId="4488" priority="431" stopIfTrue="1" operator="equal">
      <formula>"Towel"</formula>
    </cfRule>
  </conditionalFormatting>
  <conditionalFormatting sqref="B117:C117">
    <cfRule type="cellIs" dxfId="4487" priority="427" stopIfTrue="1" operator="equal">
      <formula>"Towel"</formula>
    </cfRule>
    <cfRule type="cellIs" dxfId="4486" priority="428" stopIfTrue="1" operator="equal">
      <formula>"Napkin Hs"</formula>
    </cfRule>
  </conditionalFormatting>
  <conditionalFormatting sqref="C117">
    <cfRule type="cellIs" dxfId="4485" priority="426" stopIfTrue="1" operator="equal">
      <formula>"Napkin Hs"</formula>
    </cfRule>
  </conditionalFormatting>
  <conditionalFormatting sqref="C117">
    <cfRule type="cellIs" dxfId="4484" priority="423" stopIfTrue="1" operator="equal">
      <formula>"Towel"</formula>
    </cfRule>
    <cfRule type="cellIs" dxfId="4483" priority="424" stopIfTrue="1" operator="equal">
      <formula>"Napkin Hs"</formula>
    </cfRule>
  </conditionalFormatting>
  <conditionalFormatting sqref="C117">
    <cfRule type="cellIs" dxfId="4482" priority="425" stopIfTrue="1" operator="equal">
      <formula>"Towel"</formula>
    </cfRule>
  </conditionalFormatting>
  <conditionalFormatting sqref="B117:C117">
    <cfRule type="cellIs" dxfId="4481" priority="421" stopIfTrue="1" operator="equal">
      <formula>"Towel"</formula>
    </cfRule>
    <cfRule type="cellIs" dxfId="4480" priority="422" stopIfTrue="1" operator="equal">
      <formula>"Napkin Hs"</formula>
    </cfRule>
  </conditionalFormatting>
  <conditionalFormatting sqref="C117">
    <cfRule type="cellIs" dxfId="4479" priority="420" stopIfTrue="1" operator="equal">
      <formula>"Napkin Hs"</formula>
    </cfRule>
  </conditionalFormatting>
  <conditionalFormatting sqref="C117">
    <cfRule type="cellIs" dxfId="4478" priority="417" stopIfTrue="1" operator="equal">
      <formula>"Towel"</formula>
    </cfRule>
    <cfRule type="cellIs" dxfId="4477" priority="418" stopIfTrue="1" operator="equal">
      <formula>"Napkin Hs"</formula>
    </cfRule>
  </conditionalFormatting>
  <conditionalFormatting sqref="C117">
    <cfRule type="cellIs" dxfId="4476" priority="419" stopIfTrue="1" operator="equal">
      <formula>"Towel"</formula>
    </cfRule>
  </conditionalFormatting>
  <conditionalFormatting sqref="B117:C117">
    <cfRule type="cellIs" dxfId="4475" priority="415" stopIfTrue="1" operator="equal">
      <formula>"Towel"</formula>
    </cfRule>
    <cfRule type="cellIs" dxfId="4474" priority="416" stopIfTrue="1" operator="equal">
      <formula>"Napkin Hs"</formula>
    </cfRule>
  </conditionalFormatting>
  <conditionalFormatting sqref="C117">
    <cfRule type="cellIs" dxfId="4473" priority="414" stopIfTrue="1" operator="equal">
      <formula>"Napkin Hs"</formula>
    </cfRule>
  </conditionalFormatting>
  <conditionalFormatting sqref="C117">
    <cfRule type="cellIs" dxfId="4472" priority="411" stopIfTrue="1" operator="equal">
      <formula>"Towel"</formula>
    </cfRule>
    <cfRule type="cellIs" dxfId="4471" priority="412" stopIfTrue="1" operator="equal">
      <formula>"Napkin Hs"</formula>
    </cfRule>
  </conditionalFormatting>
  <conditionalFormatting sqref="C117">
    <cfRule type="cellIs" dxfId="4470" priority="413" stopIfTrue="1" operator="equal">
      <formula>"Towel"</formula>
    </cfRule>
  </conditionalFormatting>
  <conditionalFormatting sqref="B117:C117">
    <cfRule type="cellIs" dxfId="4469" priority="409" stopIfTrue="1" operator="equal">
      <formula>"Towel"</formula>
    </cfRule>
    <cfRule type="cellIs" dxfId="4468" priority="410" stopIfTrue="1" operator="equal">
      <formula>"Napkin Hs"</formula>
    </cfRule>
  </conditionalFormatting>
  <conditionalFormatting sqref="C117">
    <cfRule type="cellIs" dxfId="4467" priority="408" stopIfTrue="1" operator="equal">
      <formula>"Napkin Hs"</formula>
    </cfRule>
  </conditionalFormatting>
  <conditionalFormatting sqref="C117">
    <cfRule type="cellIs" dxfId="4466" priority="405" stopIfTrue="1" operator="equal">
      <formula>"Towel"</formula>
    </cfRule>
    <cfRule type="cellIs" dxfId="4465" priority="406" stopIfTrue="1" operator="equal">
      <formula>"Napkin Hs"</formula>
    </cfRule>
  </conditionalFormatting>
  <conditionalFormatting sqref="C117">
    <cfRule type="cellIs" dxfId="4464" priority="407" stopIfTrue="1" operator="equal">
      <formula>"Towel"</formula>
    </cfRule>
  </conditionalFormatting>
  <conditionalFormatting sqref="B117:C117">
    <cfRule type="cellIs" dxfId="4463" priority="403" stopIfTrue="1" operator="equal">
      <formula>"Towel"</formula>
    </cfRule>
    <cfRule type="cellIs" dxfId="4462" priority="404" stopIfTrue="1" operator="equal">
      <formula>"Napkin Hs"</formula>
    </cfRule>
  </conditionalFormatting>
  <conditionalFormatting sqref="C117">
    <cfRule type="cellIs" dxfId="4461" priority="402" stopIfTrue="1" operator="equal">
      <formula>"Napkin Hs"</formula>
    </cfRule>
  </conditionalFormatting>
  <conditionalFormatting sqref="C117">
    <cfRule type="cellIs" dxfId="4460" priority="399" stopIfTrue="1" operator="equal">
      <formula>"Towel"</formula>
    </cfRule>
    <cfRule type="cellIs" dxfId="4459" priority="400" stopIfTrue="1" operator="equal">
      <formula>"Napkin Hs"</formula>
    </cfRule>
  </conditionalFormatting>
  <conditionalFormatting sqref="C117">
    <cfRule type="cellIs" dxfId="4458" priority="401" stopIfTrue="1" operator="equal">
      <formula>"Towel"</formula>
    </cfRule>
  </conditionalFormatting>
  <conditionalFormatting sqref="B117:C117">
    <cfRule type="cellIs" dxfId="4457" priority="397" stopIfTrue="1" operator="equal">
      <formula>"Towel"</formula>
    </cfRule>
    <cfRule type="cellIs" dxfId="4456" priority="398" stopIfTrue="1" operator="equal">
      <formula>"Napkin Hs"</formula>
    </cfRule>
  </conditionalFormatting>
  <conditionalFormatting sqref="C117">
    <cfRule type="cellIs" dxfId="4455" priority="396" stopIfTrue="1" operator="equal">
      <formula>"Napkin Hs"</formula>
    </cfRule>
  </conditionalFormatting>
  <conditionalFormatting sqref="C117">
    <cfRule type="cellIs" dxfId="4454" priority="393" stopIfTrue="1" operator="equal">
      <formula>"Towel"</formula>
    </cfRule>
    <cfRule type="cellIs" dxfId="4453" priority="394" stopIfTrue="1" operator="equal">
      <formula>"Napkin Hs"</formula>
    </cfRule>
  </conditionalFormatting>
  <conditionalFormatting sqref="C117">
    <cfRule type="cellIs" dxfId="4452" priority="395" stopIfTrue="1" operator="equal">
      <formula>"Towel"</formula>
    </cfRule>
  </conditionalFormatting>
  <conditionalFormatting sqref="B116:C116">
    <cfRule type="cellIs" dxfId="4451" priority="391" stopIfTrue="1" operator="equal">
      <formula>"Towel"</formula>
    </cfRule>
    <cfRule type="cellIs" dxfId="4450" priority="392" stopIfTrue="1" operator="equal">
      <formula>"Napkin Hs"</formula>
    </cfRule>
  </conditionalFormatting>
  <conditionalFormatting sqref="C116">
    <cfRule type="cellIs" dxfId="4449" priority="390" stopIfTrue="1" operator="equal">
      <formula>"Napkin Hs"</formula>
    </cfRule>
  </conditionalFormatting>
  <conditionalFormatting sqref="C116">
    <cfRule type="cellIs" dxfId="4448" priority="387" stopIfTrue="1" operator="equal">
      <formula>"Towel"</formula>
    </cfRule>
    <cfRule type="cellIs" dxfId="4447" priority="388" stopIfTrue="1" operator="equal">
      <formula>"Napkin Hs"</formula>
    </cfRule>
  </conditionalFormatting>
  <conditionalFormatting sqref="C116">
    <cfRule type="cellIs" dxfId="4446" priority="389" stopIfTrue="1" operator="equal">
      <formula>"Towel"</formula>
    </cfRule>
  </conditionalFormatting>
  <conditionalFormatting sqref="B116:C116">
    <cfRule type="cellIs" dxfId="4445" priority="385" stopIfTrue="1" operator="equal">
      <formula>"Towel"</formula>
    </cfRule>
    <cfRule type="cellIs" dxfId="4444" priority="386" stopIfTrue="1" operator="equal">
      <formula>"Napkin Hs"</formula>
    </cfRule>
  </conditionalFormatting>
  <conditionalFormatting sqref="C116">
    <cfRule type="cellIs" dxfId="4443" priority="384" stopIfTrue="1" operator="equal">
      <formula>"Napkin Hs"</formula>
    </cfRule>
  </conditionalFormatting>
  <conditionalFormatting sqref="C116">
    <cfRule type="cellIs" dxfId="4442" priority="381" stopIfTrue="1" operator="equal">
      <formula>"Towel"</formula>
    </cfRule>
    <cfRule type="cellIs" dxfId="4441" priority="382" stopIfTrue="1" operator="equal">
      <formula>"Napkin Hs"</formula>
    </cfRule>
  </conditionalFormatting>
  <conditionalFormatting sqref="C116">
    <cfRule type="cellIs" dxfId="4440" priority="383" stopIfTrue="1" operator="equal">
      <formula>"Towel"</formula>
    </cfRule>
  </conditionalFormatting>
  <conditionalFormatting sqref="B116:C116">
    <cfRule type="cellIs" dxfId="4439" priority="349" stopIfTrue="1" operator="equal">
      <formula>"Towel"</formula>
    </cfRule>
    <cfRule type="cellIs" dxfId="4438" priority="350" stopIfTrue="1" operator="equal">
      <formula>"Napkin Hs"</formula>
    </cfRule>
  </conditionalFormatting>
  <conditionalFormatting sqref="C116">
    <cfRule type="cellIs" dxfId="4437" priority="345" stopIfTrue="1" operator="equal">
      <formula>"Towel"</formula>
    </cfRule>
    <cfRule type="cellIs" dxfId="4436" priority="346" stopIfTrue="1" operator="equal">
      <formula>"Napkin Hs"</formula>
    </cfRule>
  </conditionalFormatting>
  <conditionalFormatting sqref="B116:C116">
    <cfRule type="cellIs" dxfId="4435" priority="343" stopIfTrue="1" operator="equal">
      <formula>"Towel"</formula>
    </cfRule>
    <cfRule type="cellIs" dxfId="4434" priority="344" stopIfTrue="1" operator="equal">
      <formula>"Napkin Hs"</formula>
    </cfRule>
  </conditionalFormatting>
  <conditionalFormatting sqref="C116">
    <cfRule type="cellIs" dxfId="4433" priority="342" stopIfTrue="1" operator="equal">
      <formula>"Napkin Hs"</formula>
    </cfRule>
  </conditionalFormatting>
  <conditionalFormatting sqref="C116">
    <cfRule type="cellIs" dxfId="4432" priority="339" stopIfTrue="1" operator="equal">
      <formula>"Towel"</formula>
    </cfRule>
    <cfRule type="cellIs" dxfId="4431" priority="340" stopIfTrue="1" operator="equal">
      <formula>"Napkin Hs"</formula>
    </cfRule>
  </conditionalFormatting>
  <conditionalFormatting sqref="C116">
    <cfRule type="cellIs" dxfId="4430" priority="341" stopIfTrue="1" operator="equal">
      <formula>"Towel"</formula>
    </cfRule>
  </conditionalFormatting>
  <conditionalFormatting sqref="B116:C116">
    <cfRule type="cellIs" dxfId="4429" priority="337" stopIfTrue="1" operator="equal">
      <formula>"Towel"</formula>
    </cfRule>
    <cfRule type="cellIs" dxfId="4428" priority="338" stopIfTrue="1" operator="equal">
      <formula>"Napkin Hs"</formula>
    </cfRule>
  </conditionalFormatting>
  <conditionalFormatting sqref="C116">
    <cfRule type="cellIs" dxfId="4427" priority="336" stopIfTrue="1" operator="equal">
      <formula>"Napkin Hs"</formula>
    </cfRule>
  </conditionalFormatting>
  <conditionalFormatting sqref="C116">
    <cfRule type="cellIs" dxfId="4426" priority="333" stopIfTrue="1" operator="equal">
      <formula>"Towel"</formula>
    </cfRule>
    <cfRule type="cellIs" dxfId="4425" priority="334" stopIfTrue="1" operator="equal">
      <formula>"Napkin Hs"</formula>
    </cfRule>
  </conditionalFormatting>
  <conditionalFormatting sqref="C116">
    <cfRule type="cellIs" dxfId="4424" priority="335" stopIfTrue="1" operator="equal">
      <formula>"Towel"</formula>
    </cfRule>
  </conditionalFormatting>
  <conditionalFormatting sqref="B116:C116">
    <cfRule type="cellIs" dxfId="4423" priority="331" stopIfTrue="1" operator="equal">
      <formula>"Towel"</formula>
    </cfRule>
    <cfRule type="cellIs" dxfId="4422" priority="332" stopIfTrue="1" operator="equal">
      <formula>"Napkin Hs"</formula>
    </cfRule>
  </conditionalFormatting>
  <conditionalFormatting sqref="C116">
    <cfRule type="cellIs" dxfId="4421" priority="330" stopIfTrue="1" operator="equal">
      <formula>"Napkin Hs"</formula>
    </cfRule>
  </conditionalFormatting>
  <conditionalFormatting sqref="C116">
    <cfRule type="cellIs" dxfId="4420" priority="327" stopIfTrue="1" operator="equal">
      <formula>"Towel"</formula>
    </cfRule>
    <cfRule type="cellIs" dxfId="4419" priority="328" stopIfTrue="1" operator="equal">
      <formula>"Napkin Hs"</formula>
    </cfRule>
  </conditionalFormatting>
  <conditionalFormatting sqref="C116">
    <cfRule type="cellIs" dxfId="4418" priority="329" stopIfTrue="1" operator="equal">
      <formula>"Towel"</formula>
    </cfRule>
  </conditionalFormatting>
  <conditionalFormatting sqref="B116:C116">
    <cfRule type="cellIs" dxfId="4417" priority="379" stopIfTrue="1" operator="equal">
      <formula>"Towel"</formula>
    </cfRule>
    <cfRule type="cellIs" dxfId="4416" priority="380" stopIfTrue="1" operator="equal">
      <formula>"Napkin Hs"</formula>
    </cfRule>
  </conditionalFormatting>
  <conditionalFormatting sqref="C116">
    <cfRule type="cellIs" dxfId="4415" priority="378" stopIfTrue="1" operator="equal">
      <formula>"Napkin Hs"</formula>
    </cfRule>
  </conditionalFormatting>
  <conditionalFormatting sqref="C116">
    <cfRule type="cellIs" dxfId="4414" priority="375" stopIfTrue="1" operator="equal">
      <formula>"Towel"</formula>
    </cfRule>
    <cfRule type="cellIs" dxfId="4413" priority="376" stopIfTrue="1" operator="equal">
      <formula>"Napkin Hs"</formula>
    </cfRule>
  </conditionalFormatting>
  <conditionalFormatting sqref="C116">
    <cfRule type="cellIs" dxfId="4412" priority="377" stopIfTrue="1" operator="equal">
      <formula>"Towel"</formula>
    </cfRule>
  </conditionalFormatting>
  <conditionalFormatting sqref="B116:C116">
    <cfRule type="cellIs" dxfId="4411" priority="373" stopIfTrue="1" operator="equal">
      <formula>"Towel"</formula>
    </cfRule>
    <cfRule type="cellIs" dxfId="4410" priority="374" stopIfTrue="1" operator="equal">
      <formula>"Napkin Hs"</formula>
    </cfRule>
  </conditionalFormatting>
  <conditionalFormatting sqref="C116">
    <cfRule type="cellIs" dxfId="4409" priority="372" stopIfTrue="1" operator="equal">
      <formula>"Napkin Hs"</formula>
    </cfRule>
  </conditionalFormatting>
  <conditionalFormatting sqref="C116">
    <cfRule type="cellIs" dxfId="4408" priority="369" stopIfTrue="1" operator="equal">
      <formula>"Towel"</formula>
    </cfRule>
    <cfRule type="cellIs" dxfId="4407" priority="370" stopIfTrue="1" operator="equal">
      <formula>"Napkin Hs"</formula>
    </cfRule>
  </conditionalFormatting>
  <conditionalFormatting sqref="C116">
    <cfRule type="cellIs" dxfId="4406" priority="371" stopIfTrue="1" operator="equal">
      <formula>"Towel"</formula>
    </cfRule>
  </conditionalFormatting>
  <conditionalFormatting sqref="B116:C116">
    <cfRule type="cellIs" dxfId="4405" priority="367" stopIfTrue="1" operator="equal">
      <formula>"Towel"</formula>
    </cfRule>
    <cfRule type="cellIs" dxfId="4404" priority="368" stopIfTrue="1" operator="equal">
      <formula>"Napkin Hs"</formula>
    </cfRule>
  </conditionalFormatting>
  <conditionalFormatting sqref="C116">
    <cfRule type="cellIs" dxfId="4403" priority="366" stopIfTrue="1" operator="equal">
      <formula>"Napkin Hs"</formula>
    </cfRule>
  </conditionalFormatting>
  <conditionalFormatting sqref="C116">
    <cfRule type="cellIs" dxfId="4402" priority="363" stopIfTrue="1" operator="equal">
      <formula>"Towel"</formula>
    </cfRule>
    <cfRule type="cellIs" dxfId="4401" priority="364" stopIfTrue="1" operator="equal">
      <formula>"Napkin Hs"</formula>
    </cfRule>
  </conditionalFormatting>
  <conditionalFormatting sqref="C116">
    <cfRule type="cellIs" dxfId="4400" priority="365" stopIfTrue="1" operator="equal">
      <formula>"Towel"</formula>
    </cfRule>
  </conditionalFormatting>
  <conditionalFormatting sqref="B116:C116">
    <cfRule type="cellIs" dxfId="4399" priority="361" stopIfTrue="1" operator="equal">
      <formula>"Towel"</formula>
    </cfRule>
    <cfRule type="cellIs" dxfId="4398" priority="362" stopIfTrue="1" operator="equal">
      <formula>"Napkin Hs"</formula>
    </cfRule>
  </conditionalFormatting>
  <conditionalFormatting sqref="C116">
    <cfRule type="cellIs" dxfId="4397" priority="360" stopIfTrue="1" operator="equal">
      <formula>"Napkin Hs"</formula>
    </cfRule>
  </conditionalFormatting>
  <conditionalFormatting sqref="C116">
    <cfRule type="cellIs" dxfId="4396" priority="357" stopIfTrue="1" operator="equal">
      <formula>"Towel"</formula>
    </cfRule>
    <cfRule type="cellIs" dxfId="4395" priority="358" stopIfTrue="1" operator="equal">
      <formula>"Napkin Hs"</formula>
    </cfRule>
  </conditionalFormatting>
  <conditionalFormatting sqref="C116">
    <cfRule type="cellIs" dxfId="4394" priority="359" stopIfTrue="1" operator="equal">
      <formula>"Towel"</formula>
    </cfRule>
  </conditionalFormatting>
  <conditionalFormatting sqref="B116:C116">
    <cfRule type="cellIs" dxfId="4393" priority="355" stopIfTrue="1" operator="equal">
      <formula>"Towel"</formula>
    </cfRule>
    <cfRule type="cellIs" dxfId="4392" priority="356" stopIfTrue="1" operator="equal">
      <formula>"Napkin Hs"</formula>
    </cfRule>
  </conditionalFormatting>
  <conditionalFormatting sqref="C116">
    <cfRule type="cellIs" dxfId="4391" priority="353" stopIfTrue="1" operator="equal">
      <formula>"Towel"</formula>
    </cfRule>
    <cfRule type="cellIs" dxfId="4390" priority="354" stopIfTrue="1" operator="equal">
      <formula>"Napkin Hs"</formula>
    </cfRule>
  </conditionalFormatting>
  <conditionalFormatting sqref="C116">
    <cfRule type="cellIs" dxfId="4389" priority="351" stopIfTrue="1" operator="equal">
      <formula>"Towel"</formula>
    </cfRule>
    <cfRule type="cellIs" dxfId="4388" priority="352" stopIfTrue="1" operator="equal">
      <formula>"Napkin Hs"</formula>
    </cfRule>
  </conditionalFormatting>
  <conditionalFormatting sqref="C116">
    <cfRule type="cellIs" dxfId="4387" priority="347" stopIfTrue="1" operator="equal">
      <formula>"Towel"</formula>
    </cfRule>
    <cfRule type="cellIs" dxfId="4386" priority="348" stopIfTrue="1" operator="equal">
      <formula>"Napkin Hs"</formula>
    </cfRule>
  </conditionalFormatting>
  <conditionalFormatting sqref="B116:C116">
    <cfRule type="cellIs" dxfId="4385" priority="325" stopIfTrue="1" operator="equal">
      <formula>"Towel"</formula>
    </cfRule>
    <cfRule type="cellIs" dxfId="4384" priority="326" stopIfTrue="1" operator="equal">
      <formula>"Napkin Hs"</formula>
    </cfRule>
  </conditionalFormatting>
  <conditionalFormatting sqref="C116">
    <cfRule type="cellIs" dxfId="4383" priority="324" stopIfTrue="1" operator="equal">
      <formula>"Napkin Hs"</formula>
    </cfRule>
  </conditionalFormatting>
  <conditionalFormatting sqref="C116">
    <cfRule type="cellIs" dxfId="4382" priority="321" stopIfTrue="1" operator="equal">
      <formula>"Towel"</formula>
    </cfRule>
    <cfRule type="cellIs" dxfId="4381" priority="322" stopIfTrue="1" operator="equal">
      <formula>"Napkin Hs"</formula>
    </cfRule>
  </conditionalFormatting>
  <conditionalFormatting sqref="C116">
    <cfRule type="cellIs" dxfId="4380" priority="323" stopIfTrue="1" operator="equal">
      <formula>"Towel"</formula>
    </cfRule>
  </conditionalFormatting>
  <conditionalFormatting sqref="B116:C116">
    <cfRule type="cellIs" dxfId="4379" priority="319" stopIfTrue="1" operator="equal">
      <formula>"Towel"</formula>
    </cfRule>
    <cfRule type="cellIs" dxfId="4378" priority="320" stopIfTrue="1" operator="equal">
      <formula>"Napkin Hs"</formula>
    </cfRule>
  </conditionalFormatting>
  <conditionalFormatting sqref="C116">
    <cfRule type="cellIs" dxfId="4377" priority="318" stopIfTrue="1" operator="equal">
      <formula>"Napkin Hs"</formula>
    </cfRule>
  </conditionalFormatting>
  <conditionalFormatting sqref="C116">
    <cfRule type="cellIs" dxfId="4376" priority="315" stopIfTrue="1" operator="equal">
      <formula>"Towel"</formula>
    </cfRule>
    <cfRule type="cellIs" dxfId="4375" priority="316" stopIfTrue="1" operator="equal">
      <formula>"Napkin Hs"</formula>
    </cfRule>
  </conditionalFormatting>
  <conditionalFormatting sqref="C116">
    <cfRule type="cellIs" dxfId="4374" priority="317" stopIfTrue="1" operator="equal">
      <formula>"Towel"</formula>
    </cfRule>
  </conditionalFormatting>
  <conditionalFormatting sqref="B116:C116">
    <cfRule type="cellIs" dxfId="4373" priority="313" stopIfTrue="1" operator="equal">
      <formula>"Towel"</formula>
    </cfRule>
    <cfRule type="cellIs" dxfId="4372" priority="314" stopIfTrue="1" operator="equal">
      <formula>"Napkin Hs"</formula>
    </cfRule>
  </conditionalFormatting>
  <conditionalFormatting sqref="C116">
    <cfRule type="cellIs" dxfId="4371" priority="312" stopIfTrue="1" operator="equal">
      <formula>"Napkin Hs"</formula>
    </cfRule>
  </conditionalFormatting>
  <conditionalFormatting sqref="C116">
    <cfRule type="cellIs" dxfId="4370" priority="309" stopIfTrue="1" operator="equal">
      <formula>"Towel"</formula>
    </cfRule>
    <cfRule type="cellIs" dxfId="4369" priority="310" stopIfTrue="1" operator="equal">
      <formula>"Napkin Hs"</formula>
    </cfRule>
  </conditionalFormatting>
  <conditionalFormatting sqref="C116">
    <cfRule type="cellIs" dxfId="4368" priority="311" stopIfTrue="1" operator="equal">
      <formula>"Towel"</formula>
    </cfRule>
  </conditionalFormatting>
  <conditionalFormatting sqref="B116:C116">
    <cfRule type="cellIs" dxfId="4367" priority="307" stopIfTrue="1" operator="equal">
      <formula>"Towel"</formula>
    </cfRule>
    <cfRule type="cellIs" dxfId="4366" priority="308" stopIfTrue="1" operator="equal">
      <formula>"Napkin Hs"</formula>
    </cfRule>
  </conditionalFormatting>
  <conditionalFormatting sqref="C116">
    <cfRule type="cellIs" dxfId="4365" priority="306" stopIfTrue="1" operator="equal">
      <formula>"Napkin Hs"</formula>
    </cfRule>
  </conditionalFormatting>
  <conditionalFormatting sqref="C116">
    <cfRule type="cellIs" dxfId="4364" priority="303" stopIfTrue="1" operator="equal">
      <formula>"Towel"</formula>
    </cfRule>
    <cfRule type="cellIs" dxfId="4363" priority="304" stopIfTrue="1" operator="equal">
      <formula>"Napkin Hs"</formula>
    </cfRule>
  </conditionalFormatting>
  <conditionalFormatting sqref="C116">
    <cfRule type="cellIs" dxfId="4362" priority="305" stopIfTrue="1" operator="equal">
      <formula>"Towel"</formula>
    </cfRule>
  </conditionalFormatting>
  <conditionalFormatting sqref="B116:C116">
    <cfRule type="cellIs" dxfId="4361" priority="301" stopIfTrue="1" operator="equal">
      <formula>"Towel"</formula>
    </cfRule>
    <cfRule type="cellIs" dxfId="4360" priority="302" stopIfTrue="1" operator="equal">
      <formula>"Napkin Hs"</formula>
    </cfRule>
  </conditionalFormatting>
  <conditionalFormatting sqref="C116">
    <cfRule type="cellIs" dxfId="4359" priority="300" stopIfTrue="1" operator="equal">
      <formula>"Napkin Hs"</formula>
    </cfRule>
  </conditionalFormatting>
  <conditionalFormatting sqref="C116">
    <cfRule type="cellIs" dxfId="4358" priority="297" stopIfTrue="1" operator="equal">
      <formula>"Towel"</formula>
    </cfRule>
    <cfRule type="cellIs" dxfId="4357" priority="298" stopIfTrue="1" operator="equal">
      <formula>"Napkin Hs"</formula>
    </cfRule>
  </conditionalFormatting>
  <conditionalFormatting sqref="C116">
    <cfRule type="cellIs" dxfId="4356" priority="299" stopIfTrue="1" operator="equal">
      <formula>"Towel"</formula>
    </cfRule>
  </conditionalFormatting>
  <conditionalFormatting sqref="B116:C116">
    <cfRule type="cellIs" dxfId="4355" priority="295" stopIfTrue="1" operator="equal">
      <formula>"Towel"</formula>
    </cfRule>
    <cfRule type="cellIs" dxfId="4354" priority="296" stopIfTrue="1" operator="equal">
      <formula>"Napkin Hs"</formula>
    </cfRule>
  </conditionalFormatting>
  <conditionalFormatting sqref="C116">
    <cfRule type="cellIs" dxfId="4353" priority="294" stopIfTrue="1" operator="equal">
      <formula>"Napkin Hs"</formula>
    </cfRule>
  </conditionalFormatting>
  <conditionalFormatting sqref="C116">
    <cfRule type="cellIs" dxfId="4352" priority="291" stopIfTrue="1" operator="equal">
      <formula>"Towel"</formula>
    </cfRule>
    <cfRule type="cellIs" dxfId="4351" priority="292" stopIfTrue="1" operator="equal">
      <formula>"Napkin Hs"</formula>
    </cfRule>
  </conditionalFormatting>
  <conditionalFormatting sqref="C116">
    <cfRule type="cellIs" dxfId="4350" priority="293" stopIfTrue="1" operator="equal">
      <formula>"Towel"</formula>
    </cfRule>
  </conditionalFormatting>
  <conditionalFormatting sqref="B116:C116">
    <cfRule type="cellIs" dxfId="4349" priority="289" stopIfTrue="1" operator="equal">
      <formula>"Towel"</formula>
    </cfRule>
    <cfRule type="cellIs" dxfId="4348" priority="290" stopIfTrue="1" operator="equal">
      <formula>"Napkin Hs"</formula>
    </cfRule>
  </conditionalFormatting>
  <conditionalFormatting sqref="C116">
    <cfRule type="cellIs" dxfId="4347" priority="288" stopIfTrue="1" operator="equal">
      <formula>"Napkin Hs"</formula>
    </cfRule>
  </conditionalFormatting>
  <conditionalFormatting sqref="C116">
    <cfRule type="cellIs" dxfId="4346" priority="285" stopIfTrue="1" operator="equal">
      <formula>"Towel"</formula>
    </cfRule>
    <cfRule type="cellIs" dxfId="4345" priority="286" stopIfTrue="1" operator="equal">
      <formula>"Napkin Hs"</formula>
    </cfRule>
  </conditionalFormatting>
  <conditionalFormatting sqref="C116">
    <cfRule type="cellIs" dxfId="4344" priority="287" stopIfTrue="1" operator="equal">
      <formula>"Towel"</formula>
    </cfRule>
  </conditionalFormatting>
  <conditionalFormatting sqref="B116:C116">
    <cfRule type="cellIs" dxfId="4343" priority="283" stopIfTrue="1" operator="equal">
      <formula>"Towel"</formula>
    </cfRule>
    <cfRule type="cellIs" dxfId="4342" priority="284" stopIfTrue="1" operator="equal">
      <formula>"Napkin Hs"</formula>
    </cfRule>
  </conditionalFormatting>
  <conditionalFormatting sqref="C116">
    <cfRule type="cellIs" dxfId="4341" priority="282" stopIfTrue="1" operator="equal">
      <formula>"Napkin Hs"</formula>
    </cfRule>
  </conditionalFormatting>
  <conditionalFormatting sqref="C116">
    <cfRule type="cellIs" dxfId="4340" priority="279" stopIfTrue="1" operator="equal">
      <formula>"Towel"</formula>
    </cfRule>
    <cfRule type="cellIs" dxfId="4339" priority="280" stopIfTrue="1" operator="equal">
      <formula>"Napkin Hs"</formula>
    </cfRule>
  </conditionalFormatting>
  <conditionalFormatting sqref="C116">
    <cfRule type="cellIs" dxfId="4338" priority="281" stopIfTrue="1" operator="equal">
      <formula>"Towel"</formula>
    </cfRule>
  </conditionalFormatting>
  <conditionalFormatting sqref="C125">
    <cfRule type="cellIs" dxfId="4337" priority="277" stopIfTrue="1" operator="equal">
      <formula>"Towel"</formula>
    </cfRule>
    <cfRule type="cellIs" dxfId="4336" priority="278" stopIfTrue="1" operator="equal">
      <formula>"Napkin Hs"</formula>
    </cfRule>
  </conditionalFormatting>
  <conditionalFormatting sqref="C125">
    <cfRule type="cellIs" dxfId="4335" priority="275" stopIfTrue="1" operator="equal">
      <formula>"Towel"</formula>
    </cfRule>
    <cfRule type="cellIs" dxfId="4334" priority="276" stopIfTrue="1" operator="equal">
      <formula>"Napkin Hs"</formula>
    </cfRule>
  </conditionalFormatting>
  <conditionalFormatting sqref="C125">
    <cfRule type="cellIs" dxfId="4333" priority="273" stopIfTrue="1" operator="equal">
      <formula>"Towel"</formula>
    </cfRule>
    <cfRule type="cellIs" dxfId="4332" priority="274" stopIfTrue="1" operator="equal">
      <formula>"Napkin Hs"</formula>
    </cfRule>
  </conditionalFormatting>
  <conditionalFormatting sqref="B124:C124">
    <cfRule type="cellIs" dxfId="4331" priority="271" stopIfTrue="1" operator="equal">
      <formula>"Towel"</formula>
    </cfRule>
    <cfRule type="cellIs" dxfId="4330" priority="272" stopIfTrue="1" operator="equal">
      <formula>"Napkin Hs"</formula>
    </cfRule>
  </conditionalFormatting>
  <conditionalFormatting sqref="C124">
    <cfRule type="cellIs" dxfId="4329" priority="269" stopIfTrue="1" operator="equal">
      <formula>"Towel"</formula>
    </cfRule>
    <cfRule type="cellIs" dxfId="4328" priority="270" stopIfTrue="1" operator="equal">
      <formula>"Napkin Hs"</formula>
    </cfRule>
  </conditionalFormatting>
  <conditionalFormatting sqref="C124">
    <cfRule type="cellIs" dxfId="4327" priority="267" stopIfTrue="1" operator="equal">
      <formula>"Towel"</formula>
    </cfRule>
    <cfRule type="cellIs" dxfId="4326" priority="268" stopIfTrue="1" operator="equal">
      <formula>"Napkin Hs"</formula>
    </cfRule>
  </conditionalFormatting>
  <conditionalFormatting sqref="B123:C123">
    <cfRule type="cellIs" dxfId="4325" priority="247" stopIfTrue="1" operator="equal">
      <formula>"Towel"</formula>
    </cfRule>
    <cfRule type="cellIs" dxfId="4324" priority="248" stopIfTrue="1" operator="equal">
      <formula>"Napkin Hs"</formula>
    </cfRule>
  </conditionalFormatting>
  <conditionalFormatting sqref="C123">
    <cfRule type="cellIs" dxfId="4323" priority="245" stopIfTrue="1" operator="equal">
      <formula>"Towel"</formula>
    </cfRule>
    <cfRule type="cellIs" dxfId="4322" priority="246" stopIfTrue="1" operator="equal">
      <formula>"Napkin Hs"</formula>
    </cfRule>
  </conditionalFormatting>
  <conditionalFormatting sqref="C123">
    <cfRule type="cellIs" dxfId="4321" priority="243" stopIfTrue="1" operator="equal">
      <formula>"Towel"</formula>
    </cfRule>
    <cfRule type="cellIs" dxfId="4320" priority="244" stopIfTrue="1" operator="equal">
      <formula>"Napkin Hs"</formula>
    </cfRule>
  </conditionalFormatting>
  <conditionalFormatting sqref="B125">
    <cfRule type="cellIs" dxfId="4319" priority="241" stopIfTrue="1" operator="equal">
      <formula>"Towel"</formula>
    </cfRule>
    <cfRule type="cellIs" dxfId="4318" priority="242" stopIfTrue="1" operator="equal">
      <formula>"Napkin Hs"</formula>
    </cfRule>
  </conditionalFormatting>
  <conditionalFormatting sqref="B128:C128">
    <cfRule type="cellIs" dxfId="4317" priority="239" stopIfTrue="1" operator="equal">
      <formula>"Towel"</formula>
    </cfRule>
    <cfRule type="cellIs" dxfId="4316" priority="240" stopIfTrue="1" operator="equal">
      <formula>"Napkin Hs"</formula>
    </cfRule>
  </conditionalFormatting>
  <conditionalFormatting sqref="C128">
    <cfRule type="cellIs" dxfId="4315" priority="237" stopIfTrue="1" operator="equal">
      <formula>"Towel"</formula>
    </cfRule>
    <cfRule type="cellIs" dxfId="4314" priority="238" stopIfTrue="1" operator="equal">
      <formula>"Napkin Hs"</formula>
    </cfRule>
  </conditionalFormatting>
  <conditionalFormatting sqref="C128">
    <cfRule type="cellIs" dxfId="4313" priority="235" stopIfTrue="1" operator="equal">
      <formula>"Towel"</formula>
    </cfRule>
    <cfRule type="cellIs" dxfId="4312" priority="236" stopIfTrue="1" operator="equal">
      <formula>"Napkin Hs"</formula>
    </cfRule>
  </conditionalFormatting>
  <conditionalFormatting sqref="B127:C127">
    <cfRule type="cellIs" dxfId="4311" priority="227" stopIfTrue="1" operator="equal">
      <formula>"Towel"</formula>
    </cfRule>
    <cfRule type="cellIs" dxfId="4310" priority="228" stopIfTrue="1" operator="equal">
      <formula>"Napkin Hs"</formula>
    </cfRule>
  </conditionalFormatting>
  <conditionalFormatting sqref="C127">
    <cfRule type="cellIs" dxfId="4309" priority="225" stopIfTrue="1" operator="equal">
      <formula>"Towel"</formula>
    </cfRule>
    <cfRule type="cellIs" dxfId="4308" priority="226" stopIfTrue="1" operator="equal">
      <formula>"Napkin Hs"</formula>
    </cfRule>
  </conditionalFormatting>
  <conditionalFormatting sqref="C127">
    <cfRule type="cellIs" dxfId="4307" priority="223" stopIfTrue="1" operator="equal">
      <formula>"Towel"</formula>
    </cfRule>
    <cfRule type="cellIs" dxfId="4306" priority="224" stopIfTrue="1" operator="equal">
      <formula>"Napkin Hs"</formula>
    </cfRule>
  </conditionalFormatting>
  <conditionalFormatting sqref="B133:C133">
    <cfRule type="cellIs" dxfId="4305" priority="221" stopIfTrue="1" operator="equal">
      <formula>"Towel"</formula>
    </cfRule>
    <cfRule type="cellIs" dxfId="4304" priority="222" stopIfTrue="1" operator="equal">
      <formula>"Napkin Hs"</formula>
    </cfRule>
  </conditionalFormatting>
  <conditionalFormatting sqref="C133">
    <cfRule type="cellIs" dxfId="4303" priority="220" stopIfTrue="1" operator="equal">
      <formula>"Napkin Hs"</formula>
    </cfRule>
  </conditionalFormatting>
  <conditionalFormatting sqref="C133">
    <cfRule type="cellIs" dxfId="4302" priority="217" stopIfTrue="1" operator="equal">
      <formula>"Towel"</formula>
    </cfRule>
    <cfRule type="cellIs" dxfId="4301" priority="218" stopIfTrue="1" operator="equal">
      <formula>"Napkin Hs"</formula>
    </cfRule>
  </conditionalFormatting>
  <conditionalFormatting sqref="C133">
    <cfRule type="cellIs" dxfId="4300" priority="219" stopIfTrue="1" operator="equal">
      <formula>"Towel"</formula>
    </cfRule>
  </conditionalFormatting>
  <conditionalFormatting sqref="B136:C136">
    <cfRule type="cellIs" dxfId="4299" priority="215" stopIfTrue="1" operator="equal">
      <formula>"Towel"</formula>
    </cfRule>
    <cfRule type="cellIs" dxfId="4298" priority="216" stopIfTrue="1" operator="equal">
      <formula>"Napkin Hs"</formula>
    </cfRule>
  </conditionalFormatting>
  <conditionalFormatting sqref="C136">
    <cfRule type="cellIs" dxfId="4297" priority="214" stopIfTrue="1" operator="equal">
      <formula>"Napkin Hs"</formula>
    </cfRule>
  </conditionalFormatting>
  <conditionalFormatting sqref="C136">
    <cfRule type="cellIs" dxfId="4296" priority="211" stopIfTrue="1" operator="equal">
      <formula>"Towel"</formula>
    </cfRule>
    <cfRule type="cellIs" dxfId="4295" priority="212" stopIfTrue="1" operator="equal">
      <formula>"Napkin Hs"</formula>
    </cfRule>
  </conditionalFormatting>
  <conditionalFormatting sqref="C136">
    <cfRule type="cellIs" dxfId="4294" priority="213" stopIfTrue="1" operator="equal">
      <formula>"Towel"</formula>
    </cfRule>
  </conditionalFormatting>
  <conditionalFormatting sqref="B131:C131">
    <cfRule type="cellIs" dxfId="4293" priority="197" stopIfTrue="1" operator="equal">
      <formula>"Towel"</formula>
    </cfRule>
    <cfRule type="cellIs" dxfId="4292" priority="198" stopIfTrue="1" operator="equal">
      <formula>"Napkin Hs"</formula>
    </cfRule>
  </conditionalFormatting>
  <conditionalFormatting sqref="C131">
    <cfRule type="cellIs" dxfId="4291" priority="196" stopIfTrue="1" operator="equal">
      <formula>"Napkin Hs"</formula>
    </cfRule>
  </conditionalFormatting>
  <conditionalFormatting sqref="C131">
    <cfRule type="cellIs" dxfId="4290" priority="193" stopIfTrue="1" operator="equal">
      <formula>"Towel"</formula>
    </cfRule>
    <cfRule type="cellIs" dxfId="4289" priority="194" stopIfTrue="1" operator="equal">
      <formula>"Napkin Hs"</formula>
    </cfRule>
  </conditionalFormatting>
  <conditionalFormatting sqref="C131">
    <cfRule type="cellIs" dxfId="4288" priority="195" stopIfTrue="1" operator="equal">
      <formula>"Towel"</formula>
    </cfRule>
  </conditionalFormatting>
  <conditionalFormatting sqref="B131:C131">
    <cfRule type="cellIs" dxfId="4287" priority="191" stopIfTrue="1" operator="equal">
      <formula>"Towel"</formula>
    </cfRule>
    <cfRule type="cellIs" dxfId="4286" priority="192" stopIfTrue="1" operator="equal">
      <formula>"Napkin Hs"</formula>
    </cfRule>
  </conditionalFormatting>
  <conditionalFormatting sqref="C131">
    <cfRule type="cellIs" dxfId="4285" priority="189" stopIfTrue="1" operator="equal">
      <formula>"Towel"</formula>
    </cfRule>
    <cfRule type="cellIs" dxfId="4284" priority="190" stopIfTrue="1" operator="equal">
      <formula>"Napkin Hs"</formula>
    </cfRule>
  </conditionalFormatting>
  <conditionalFormatting sqref="C131">
    <cfRule type="cellIs" dxfId="4283" priority="187" stopIfTrue="1" operator="equal">
      <formula>"Towel"</formula>
    </cfRule>
    <cfRule type="cellIs" dxfId="4282" priority="188" stopIfTrue="1" operator="equal">
      <formula>"Napkin Hs"</formula>
    </cfRule>
  </conditionalFormatting>
  <conditionalFormatting sqref="B132:C132">
    <cfRule type="cellIs" dxfId="4281" priority="185" stopIfTrue="1" operator="equal">
      <formula>"Towel"</formula>
    </cfRule>
    <cfRule type="cellIs" dxfId="4280" priority="186" stopIfTrue="1" operator="equal">
      <formula>"Napkin Hs"</formula>
    </cfRule>
  </conditionalFormatting>
  <conditionalFormatting sqref="C132">
    <cfRule type="cellIs" dxfId="4279" priority="184" stopIfTrue="1" operator="equal">
      <formula>"Napkin Hs"</formula>
    </cfRule>
  </conditionalFormatting>
  <conditionalFormatting sqref="C132">
    <cfRule type="cellIs" dxfId="4278" priority="181" stopIfTrue="1" operator="equal">
      <formula>"Towel"</formula>
    </cfRule>
    <cfRule type="cellIs" dxfId="4277" priority="182" stopIfTrue="1" operator="equal">
      <formula>"Napkin Hs"</formula>
    </cfRule>
  </conditionalFormatting>
  <conditionalFormatting sqref="C132">
    <cfRule type="cellIs" dxfId="4276" priority="183" stopIfTrue="1" operator="equal">
      <formula>"Towel"</formula>
    </cfRule>
  </conditionalFormatting>
  <conditionalFormatting sqref="B132:C132">
    <cfRule type="cellIs" dxfId="4275" priority="179" stopIfTrue="1" operator="equal">
      <formula>"Towel"</formula>
    </cfRule>
    <cfRule type="cellIs" dxfId="4274" priority="180" stopIfTrue="1" operator="equal">
      <formula>"Napkin Hs"</formula>
    </cfRule>
  </conditionalFormatting>
  <conditionalFormatting sqref="C132">
    <cfRule type="cellIs" dxfId="4273" priority="178" stopIfTrue="1" operator="equal">
      <formula>"Napkin Hs"</formula>
    </cfRule>
  </conditionalFormatting>
  <conditionalFormatting sqref="C132">
    <cfRule type="cellIs" dxfId="4272" priority="175" stopIfTrue="1" operator="equal">
      <formula>"Towel"</formula>
    </cfRule>
    <cfRule type="cellIs" dxfId="4271" priority="176" stopIfTrue="1" operator="equal">
      <formula>"Napkin Hs"</formula>
    </cfRule>
  </conditionalFormatting>
  <conditionalFormatting sqref="C132">
    <cfRule type="cellIs" dxfId="4270" priority="177" stopIfTrue="1" operator="equal">
      <formula>"Towel"</formula>
    </cfRule>
  </conditionalFormatting>
  <conditionalFormatting sqref="B132:C132">
    <cfRule type="cellIs" dxfId="4269" priority="173" stopIfTrue="1" operator="equal">
      <formula>"Towel"</formula>
    </cfRule>
    <cfRule type="cellIs" dxfId="4268" priority="174" stopIfTrue="1" operator="equal">
      <formula>"Napkin Hs"</formula>
    </cfRule>
  </conditionalFormatting>
  <conditionalFormatting sqref="C132">
    <cfRule type="cellIs" dxfId="4267" priority="172" stopIfTrue="1" operator="equal">
      <formula>"Napkin Hs"</formula>
    </cfRule>
  </conditionalFormatting>
  <conditionalFormatting sqref="C132">
    <cfRule type="cellIs" dxfId="4266" priority="169" stopIfTrue="1" operator="equal">
      <formula>"Towel"</formula>
    </cfRule>
    <cfRule type="cellIs" dxfId="4265" priority="170" stopIfTrue="1" operator="equal">
      <formula>"Napkin Hs"</formula>
    </cfRule>
  </conditionalFormatting>
  <conditionalFormatting sqref="C132">
    <cfRule type="cellIs" dxfId="4264" priority="171" stopIfTrue="1" operator="equal">
      <formula>"Towel"</formula>
    </cfRule>
  </conditionalFormatting>
  <conditionalFormatting sqref="B132:C132">
    <cfRule type="cellIs" dxfId="4263" priority="167" stopIfTrue="1" operator="equal">
      <formula>"Towel"</formula>
    </cfRule>
    <cfRule type="cellIs" dxfId="4262" priority="168" stopIfTrue="1" operator="equal">
      <formula>"Napkin Hs"</formula>
    </cfRule>
  </conditionalFormatting>
  <conditionalFormatting sqref="C132">
    <cfRule type="cellIs" dxfId="4261" priority="166" stopIfTrue="1" operator="equal">
      <formula>"Napkin Hs"</formula>
    </cfRule>
  </conditionalFormatting>
  <conditionalFormatting sqref="C132">
    <cfRule type="cellIs" dxfId="4260" priority="163" stopIfTrue="1" operator="equal">
      <formula>"Towel"</formula>
    </cfRule>
    <cfRule type="cellIs" dxfId="4259" priority="164" stopIfTrue="1" operator="equal">
      <formula>"Napkin Hs"</formula>
    </cfRule>
  </conditionalFormatting>
  <conditionalFormatting sqref="C132">
    <cfRule type="cellIs" dxfId="4258" priority="165" stopIfTrue="1" operator="equal">
      <formula>"Towel"</formula>
    </cfRule>
  </conditionalFormatting>
  <conditionalFormatting sqref="B132:C132">
    <cfRule type="cellIs" dxfId="4257" priority="161" stopIfTrue="1" operator="equal">
      <formula>"Towel"</formula>
    </cfRule>
    <cfRule type="cellIs" dxfId="4256" priority="162" stopIfTrue="1" operator="equal">
      <formula>"Napkin Hs"</formula>
    </cfRule>
  </conditionalFormatting>
  <conditionalFormatting sqref="C132">
    <cfRule type="cellIs" dxfId="4255" priority="160" stopIfTrue="1" operator="equal">
      <formula>"Napkin Hs"</formula>
    </cfRule>
  </conditionalFormatting>
  <conditionalFormatting sqref="C132">
    <cfRule type="cellIs" dxfId="4254" priority="157" stopIfTrue="1" operator="equal">
      <formula>"Towel"</formula>
    </cfRule>
    <cfRule type="cellIs" dxfId="4253" priority="158" stopIfTrue="1" operator="equal">
      <formula>"Napkin Hs"</formula>
    </cfRule>
  </conditionalFormatting>
  <conditionalFormatting sqref="C132">
    <cfRule type="cellIs" dxfId="4252" priority="159" stopIfTrue="1" operator="equal">
      <formula>"Towel"</formula>
    </cfRule>
  </conditionalFormatting>
  <conditionalFormatting sqref="B132:C132">
    <cfRule type="cellIs" dxfId="4251" priority="155" stopIfTrue="1" operator="equal">
      <formula>"Towel"</formula>
    </cfRule>
    <cfRule type="cellIs" dxfId="4250" priority="156" stopIfTrue="1" operator="equal">
      <formula>"Napkin Hs"</formula>
    </cfRule>
  </conditionalFormatting>
  <conditionalFormatting sqref="C132">
    <cfRule type="cellIs" dxfId="4249" priority="154" stopIfTrue="1" operator="equal">
      <formula>"Napkin Hs"</formula>
    </cfRule>
  </conditionalFormatting>
  <conditionalFormatting sqref="C132">
    <cfRule type="cellIs" dxfId="4248" priority="151" stopIfTrue="1" operator="equal">
      <formula>"Towel"</formula>
    </cfRule>
    <cfRule type="cellIs" dxfId="4247" priority="152" stopIfTrue="1" operator="equal">
      <formula>"Napkin Hs"</formula>
    </cfRule>
  </conditionalFormatting>
  <conditionalFormatting sqref="C132">
    <cfRule type="cellIs" dxfId="4246" priority="153" stopIfTrue="1" operator="equal">
      <formula>"Towel"</formula>
    </cfRule>
  </conditionalFormatting>
  <conditionalFormatting sqref="B132:C132">
    <cfRule type="cellIs" dxfId="4245" priority="149" stopIfTrue="1" operator="equal">
      <formula>"Towel"</formula>
    </cfRule>
    <cfRule type="cellIs" dxfId="4244" priority="150" stopIfTrue="1" operator="equal">
      <formula>"Napkin Hs"</formula>
    </cfRule>
  </conditionalFormatting>
  <conditionalFormatting sqref="C132">
    <cfRule type="cellIs" dxfId="4243" priority="148" stopIfTrue="1" operator="equal">
      <formula>"Napkin Hs"</formula>
    </cfRule>
  </conditionalFormatting>
  <conditionalFormatting sqref="C132">
    <cfRule type="cellIs" dxfId="4242" priority="145" stopIfTrue="1" operator="equal">
      <formula>"Towel"</formula>
    </cfRule>
    <cfRule type="cellIs" dxfId="4241" priority="146" stopIfTrue="1" operator="equal">
      <formula>"Napkin Hs"</formula>
    </cfRule>
  </conditionalFormatting>
  <conditionalFormatting sqref="C132">
    <cfRule type="cellIs" dxfId="4240" priority="147" stopIfTrue="1" operator="equal">
      <formula>"Towel"</formula>
    </cfRule>
  </conditionalFormatting>
  <conditionalFormatting sqref="B132:C132">
    <cfRule type="cellIs" dxfId="4239" priority="143" stopIfTrue="1" operator="equal">
      <formula>"Towel"</formula>
    </cfRule>
    <cfRule type="cellIs" dxfId="4238" priority="144" stopIfTrue="1" operator="equal">
      <formula>"Napkin Hs"</formula>
    </cfRule>
  </conditionalFormatting>
  <conditionalFormatting sqref="C132">
    <cfRule type="cellIs" dxfId="4237" priority="142" stopIfTrue="1" operator="equal">
      <formula>"Napkin Hs"</formula>
    </cfRule>
  </conditionalFormatting>
  <conditionalFormatting sqref="C132">
    <cfRule type="cellIs" dxfId="4236" priority="139" stopIfTrue="1" operator="equal">
      <formula>"Towel"</formula>
    </cfRule>
    <cfRule type="cellIs" dxfId="4235" priority="140" stopIfTrue="1" operator="equal">
      <formula>"Napkin Hs"</formula>
    </cfRule>
  </conditionalFormatting>
  <conditionalFormatting sqref="C132">
    <cfRule type="cellIs" dxfId="4234" priority="141" stopIfTrue="1" operator="equal">
      <formula>"Towel"</formula>
    </cfRule>
  </conditionalFormatting>
  <conditionalFormatting sqref="B137:C137">
    <cfRule type="cellIs" dxfId="4233" priority="137" stopIfTrue="1" operator="equal">
      <formula>"Towel"</formula>
    </cfRule>
    <cfRule type="cellIs" dxfId="4232" priority="138" stopIfTrue="1" operator="equal">
      <formula>"Napkin Hs"</formula>
    </cfRule>
  </conditionalFormatting>
  <conditionalFormatting sqref="C137">
    <cfRule type="cellIs" dxfId="4231" priority="136" stopIfTrue="1" operator="equal">
      <formula>"Napkin Hs"</formula>
    </cfRule>
  </conditionalFormatting>
  <conditionalFormatting sqref="C137">
    <cfRule type="cellIs" dxfId="4230" priority="133" stopIfTrue="1" operator="equal">
      <formula>"Towel"</formula>
    </cfRule>
    <cfRule type="cellIs" dxfId="4229" priority="134" stopIfTrue="1" operator="equal">
      <formula>"Napkin Hs"</formula>
    </cfRule>
  </conditionalFormatting>
  <conditionalFormatting sqref="C137">
    <cfRule type="cellIs" dxfId="4228" priority="135" stopIfTrue="1" operator="equal">
      <formula>"Towel"</formula>
    </cfRule>
  </conditionalFormatting>
  <conditionalFormatting sqref="B137:C137">
    <cfRule type="cellIs" dxfId="4227" priority="131" stopIfTrue="1" operator="equal">
      <formula>"Towel"</formula>
    </cfRule>
    <cfRule type="cellIs" dxfId="4226" priority="132" stopIfTrue="1" operator="equal">
      <formula>"Napkin Hs"</formula>
    </cfRule>
  </conditionalFormatting>
  <conditionalFormatting sqref="C137">
    <cfRule type="cellIs" dxfId="4225" priority="130" stopIfTrue="1" operator="equal">
      <formula>"Napkin Hs"</formula>
    </cfRule>
  </conditionalFormatting>
  <conditionalFormatting sqref="C137">
    <cfRule type="cellIs" dxfId="4224" priority="127" stopIfTrue="1" operator="equal">
      <formula>"Towel"</formula>
    </cfRule>
    <cfRule type="cellIs" dxfId="4223" priority="128" stopIfTrue="1" operator="equal">
      <formula>"Napkin Hs"</formula>
    </cfRule>
  </conditionalFormatting>
  <conditionalFormatting sqref="C137">
    <cfRule type="cellIs" dxfId="4222" priority="129" stopIfTrue="1" operator="equal">
      <formula>"Towel"</formula>
    </cfRule>
  </conditionalFormatting>
  <conditionalFormatting sqref="B139:C139">
    <cfRule type="cellIs" dxfId="4221" priority="125" stopIfTrue="1" operator="equal">
      <formula>"Towel"</formula>
    </cfRule>
    <cfRule type="cellIs" dxfId="4220" priority="126" stopIfTrue="1" operator="equal">
      <formula>"Napkin Hs"</formula>
    </cfRule>
  </conditionalFormatting>
  <conditionalFormatting sqref="C139">
    <cfRule type="cellIs" dxfId="4219" priority="124" stopIfTrue="1" operator="equal">
      <formula>"Napkin Hs"</formula>
    </cfRule>
  </conditionalFormatting>
  <conditionalFormatting sqref="C139">
    <cfRule type="cellIs" dxfId="4218" priority="121" stopIfTrue="1" operator="equal">
      <formula>"Towel"</formula>
    </cfRule>
    <cfRule type="cellIs" dxfId="4217" priority="122" stopIfTrue="1" operator="equal">
      <formula>"Napkin Hs"</formula>
    </cfRule>
  </conditionalFormatting>
  <conditionalFormatting sqref="C139">
    <cfRule type="cellIs" dxfId="4216" priority="123" stopIfTrue="1" operator="equal">
      <formula>"Towel"</formula>
    </cfRule>
  </conditionalFormatting>
  <conditionalFormatting sqref="B136:C136">
    <cfRule type="cellIs" dxfId="4215" priority="107" stopIfTrue="1" operator="equal">
      <formula>"Towel"</formula>
    </cfRule>
    <cfRule type="cellIs" dxfId="4214" priority="108" stopIfTrue="1" operator="equal">
      <formula>"Napkin Hs"</formula>
    </cfRule>
  </conditionalFormatting>
  <conditionalFormatting sqref="C136">
    <cfRule type="cellIs" dxfId="4213" priority="106" stopIfTrue="1" operator="equal">
      <formula>"Napkin Hs"</formula>
    </cfRule>
  </conditionalFormatting>
  <conditionalFormatting sqref="C136">
    <cfRule type="cellIs" dxfId="4212" priority="103" stopIfTrue="1" operator="equal">
      <formula>"Towel"</formula>
    </cfRule>
    <cfRule type="cellIs" dxfId="4211" priority="104" stopIfTrue="1" operator="equal">
      <formula>"Napkin Hs"</formula>
    </cfRule>
  </conditionalFormatting>
  <conditionalFormatting sqref="C136">
    <cfRule type="cellIs" dxfId="4210" priority="105" stopIfTrue="1" operator="equal">
      <formula>"Towel"</formula>
    </cfRule>
  </conditionalFormatting>
  <conditionalFormatting sqref="B136:C136">
    <cfRule type="cellIs" dxfId="4209" priority="101" stopIfTrue="1" operator="equal">
      <formula>"Towel"</formula>
    </cfRule>
    <cfRule type="cellIs" dxfId="4208" priority="102" stopIfTrue="1" operator="equal">
      <formula>"Napkin Hs"</formula>
    </cfRule>
  </conditionalFormatting>
  <conditionalFormatting sqref="C136">
    <cfRule type="cellIs" dxfId="4207" priority="100" stopIfTrue="1" operator="equal">
      <formula>"Napkin Hs"</formula>
    </cfRule>
  </conditionalFormatting>
  <conditionalFormatting sqref="C136">
    <cfRule type="cellIs" dxfId="4206" priority="97" stopIfTrue="1" operator="equal">
      <formula>"Towel"</formula>
    </cfRule>
    <cfRule type="cellIs" dxfId="4205" priority="98" stopIfTrue="1" operator="equal">
      <formula>"Napkin Hs"</formula>
    </cfRule>
  </conditionalFormatting>
  <conditionalFormatting sqref="C136">
    <cfRule type="cellIs" dxfId="4204" priority="99" stopIfTrue="1" operator="equal">
      <formula>"Towel"</formula>
    </cfRule>
  </conditionalFormatting>
  <conditionalFormatting sqref="B136:C136">
    <cfRule type="cellIs" dxfId="4203" priority="95" stopIfTrue="1" operator="equal">
      <formula>"Towel"</formula>
    </cfRule>
    <cfRule type="cellIs" dxfId="4202" priority="96" stopIfTrue="1" operator="equal">
      <formula>"Napkin Hs"</formula>
    </cfRule>
  </conditionalFormatting>
  <conditionalFormatting sqref="C136">
    <cfRule type="cellIs" dxfId="4201" priority="94" stopIfTrue="1" operator="equal">
      <formula>"Napkin Hs"</formula>
    </cfRule>
  </conditionalFormatting>
  <conditionalFormatting sqref="C136">
    <cfRule type="cellIs" dxfId="4200" priority="91" stopIfTrue="1" operator="equal">
      <formula>"Towel"</formula>
    </cfRule>
    <cfRule type="cellIs" dxfId="4199" priority="92" stopIfTrue="1" operator="equal">
      <formula>"Napkin Hs"</formula>
    </cfRule>
  </conditionalFormatting>
  <conditionalFormatting sqref="C136">
    <cfRule type="cellIs" dxfId="4198" priority="93" stopIfTrue="1" operator="equal">
      <formula>"Towel"</formula>
    </cfRule>
  </conditionalFormatting>
  <conditionalFormatting sqref="B136:C136">
    <cfRule type="cellIs" dxfId="4197" priority="89" stopIfTrue="1" operator="equal">
      <formula>"Towel"</formula>
    </cfRule>
    <cfRule type="cellIs" dxfId="4196" priority="90" stopIfTrue="1" operator="equal">
      <formula>"Napkin Hs"</formula>
    </cfRule>
  </conditionalFormatting>
  <conditionalFormatting sqref="C136">
    <cfRule type="cellIs" dxfId="4195" priority="88" stopIfTrue="1" operator="equal">
      <formula>"Napkin Hs"</formula>
    </cfRule>
  </conditionalFormatting>
  <conditionalFormatting sqref="C136">
    <cfRule type="cellIs" dxfId="4194" priority="85" stopIfTrue="1" operator="equal">
      <formula>"Towel"</formula>
    </cfRule>
    <cfRule type="cellIs" dxfId="4193" priority="86" stopIfTrue="1" operator="equal">
      <formula>"Napkin Hs"</formula>
    </cfRule>
  </conditionalFormatting>
  <conditionalFormatting sqref="C136">
    <cfRule type="cellIs" dxfId="4192" priority="87" stopIfTrue="1" operator="equal">
      <formula>"Towel"</formula>
    </cfRule>
  </conditionalFormatting>
  <conditionalFormatting sqref="B136:C136">
    <cfRule type="cellIs" dxfId="4191" priority="83" stopIfTrue="1" operator="equal">
      <formula>"Towel"</formula>
    </cfRule>
    <cfRule type="cellIs" dxfId="4190" priority="84" stopIfTrue="1" operator="equal">
      <formula>"Napkin Hs"</formula>
    </cfRule>
  </conditionalFormatting>
  <conditionalFormatting sqref="C136">
    <cfRule type="cellIs" dxfId="4189" priority="82" stopIfTrue="1" operator="equal">
      <formula>"Napkin Hs"</formula>
    </cfRule>
  </conditionalFormatting>
  <conditionalFormatting sqref="C136">
    <cfRule type="cellIs" dxfId="4188" priority="79" stopIfTrue="1" operator="equal">
      <formula>"Towel"</formula>
    </cfRule>
    <cfRule type="cellIs" dxfId="4187" priority="80" stopIfTrue="1" operator="equal">
      <formula>"Napkin Hs"</formula>
    </cfRule>
  </conditionalFormatting>
  <conditionalFormatting sqref="C136">
    <cfRule type="cellIs" dxfId="4186" priority="81" stopIfTrue="1" operator="equal">
      <formula>"Towel"</formula>
    </cfRule>
  </conditionalFormatting>
  <conditionalFormatting sqref="B136:C136">
    <cfRule type="cellIs" dxfId="4185" priority="77" stopIfTrue="1" operator="equal">
      <formula>"Towel"</formula>
    </cfRule>
    <cfRule type="cellIs" dxfId="4184" priority="78" stopIfTrue="1" operator="equal">
      <formula>"Napkin Hs"</formula>
    </cfRule>
  </conditionalFormatting>
  <conditionalFormatting sqref="C136">
    <cfRule type="cellIs" dxfId="4183" priority="76" stopIfTrue="1" operator="equal">
      <formula>"Napkin Hs"</formula>
    </cfRule>
  </conditionalFormatting>
  <conditionalFormatting sqref="C136">
    <cfRule type="cellIs" dxfId="4182" priority="73" stopIfTrue="1" operator="equal">
      <formula>"Towel"</formula>
    </cfRule>
    <cfRule type="cellIs" dxfId="4181" priority="74" stopIfTrue="1" operator="equal">
      <formula>"Napkin Hs"</formula>
    </cfRule>
  </conditionalFormatting>
  <conditionalFormatting sqref="C136">
    <cfRule type="cellIs" dxfId="4180" priority="75" stopIfTrue="1" operator="equal">
      <formula>"Towel"</formula>
    </cfRule>
  </conditionalFormatting>
  <conditionalFormatting sqref="B136:C136">
    <cfRule type="cellIs" dxfId="4179" priority="71" stopIfTrue="1" operator="equal">
      <formula>"Towel"</formula>
    </cfRule>
    <cfRule type="cellIs" dxfId="4178" priority="72" stopIfTrue="1" operator="equal">
      <formula>"Napkin Hs"</formula>
    </cfRule>
  </conditionalFormatting>
  <conditionalFormatting sqref="C136">
    <cfRule type="cellIs" dxfId="4177" priority="70" stopIfTrue="1" operator="equal">
      <formula>"Napkin Hs"</formula>
    </cfRule>
  </conditionalFormatting>
  <conditionalFormatting sqref="C136">
    <cfRule type="cellIs" dxfId="4176" priority="67" stopIfTrue="1" operator="equal">
      <formula>"Towel"</formula>
    </cfRule>
    <cfRule type="cellIs" dxfId="4175" priority="68" stopIfTrue="1" operator="equal">
      <formula>"Napkin Hs"</formula>
    </cfRule>
  </conditionalFormatting>
  <conditionalFormatting sqref="C136">
    <cfRule type="cellIs" dxfId="4174" priority="69" stopIfTrue="1" operator="equal">
      <formula>"Towel"</formula>
    </cfRule>
  </conditionalFormatting>
  <conditionalFormatting sqref="B136:C136">
    <cfRule type="cellIs" dxfId="4173" priority="65" stopIfTrue="1" operator="equal">
      <formula>"Towel"</formula>
    </cfRule>
    <cfRule type="cellIs" dxfId="4172" priority="66" stopIfTrue="1" operator="equal">
      <formula>"Napkin Hs"</formula>
    </cfRule>
  </conditionalFormatting>
  <conditionalFormatting sqref="C136">
    <cfRule type="cellIs" dxfId="4171" priority="64" stopIfTrue="1" operator="equal">
      <formula>"Napkin Hs"</formula>
    </cfRule>
  </conditionalFormatting>
  <conditionalFormatting sqref="C136">
    <cfRule type="cellIs" dxfId="4170" priority="61" stopIfTrue="1" operator="equal">
      <formula>"Towel"</formula>
    </cfRule>
    <cfRule type="cellIs" dxfId="4169" priority="62" stopIfTrue="1" operator="equal">
      <formula>"Napkin Hs"</formula>
    </cfRule>
  </conditionalFormatting>
  <conditionalFormatting sqref="C136">
    <cfRule type="cellIs" dxfId="4168" priority="63" stopIfTrue="1" operator="equal">
      <formula>"Towel"</formula>
    </cfRule>
  </conditionalFormatting>
  <conditionalFormatting sqref="B135:C135">
    <cfRule type="cellIs" dxfId="4167" priority="59" stopIfTrue="1" operator="equal">
      <formula>"Towel"</formula>
    </cfRule>
    <cfRule type="cellIs" dxfId="4166" priority="60" stopIfTrue="1" operator="equal">
      <formula>"Napkin Hs"</formula>
    </cfRule>
  </conditionalFormatting>
  <conditionalFormatting sqref="C135">
    <cfRule type="cellIs" dxfId="4165" priority="58" stopIfTrue="1" operator="equal">
      <formula>"Napkin Hs"</formula>
    </cfRule>
  </conditionalFormatting>
  <conditionalFormatting sqref="C135">
    <cfRule type="cellIs" dxfId="4164" priority="57" stopIfTrue="1" operator="equal">
      <formula>"Towel"</formula>
    </cfRule>
  </conditionalFormatting>
  <conditionalFormatting sqref="C135">
    <cfRule type="cellIs" dxfId="4163" priority="55" stopIfTrue="1" operator="equal">
      <formula>"Towel"</formula>
    </cfRule>
    <cfRule type="cellIs" dxfId="4162" priority="56" stopIfTrue="1" operator="equal">
      <formula>"Napkin Hs"</formula>
    </cfRule>
  </conditionalFormatting>
  <conditionalFormatting sqref="B135:C135">
    <cfRule type="cellIs" dxfId="4161" priority="53" stopIfTrue="1" operator="equal">
      <formula>"Towel"</formula>
    </cfRule>
    <cfRule type="cellIs" dxfId="4160" priority="54" stopIfTrue="1" operator="equal">
      <formula>"Napkin Hs"</formula>
    </cfRule>
  </conditionalFormatting>
  <conditionalFormatting sqref="C135">
    <cfRule type="cellIs" dxfId="4159" priority="52" stopIfTrue="1" operator="equal">
      <formula>"Napkin Hs"</formula>
    </cfRule>
  </conditionalFormatting>
  <conditionalFormatting sqref="C135">
    <cfRule type="cellIs" dxfId="4158" priority="49" stopIfTrue="1" operator="equal">
      <formula>"Towel"</formula>
    </cfRule>
    <cfRule type="cellIs" dxfId="4157" priority="50" stopIfTrue="1" operator="equal">
      <formula>"Napkin Hs"</formula>
    </cfRule>
  </conditionalFormatting>
  <conditionalFormatting sqref="C135">
    <cfRule type="cellIs" dxfId="4156" priority="51" stopIfTrue="1" operator="equal">
      <formula>"Towel"</formula>
    </cfRule>
  </conditionalFormatting>
  <conditionalFormatting sqref="B135:C135">
    <cfRule type="cellIs" dxfId="4155" priority="47" stopIfTrue="1" operator="equal">
      <formula>"Towel"</formula>
    </cfRule>
    <cfRule type="cellIs" dxfId="4154" priority="48" stopIfTrue="1" operator="equal">
      <formula>"Napkin Hs"</formula>
    </cfRule>
  </conditionalFormatting>
  <conditionalFormatting sqref="C135">
    <cfRule type="cellIs" dxfId="4153" priority="46" stopIfTrue="1" operator="equal">
      <formula>"Napkin Hs"</formula>
    </cfRule>
  </conditionalFormatting>
  <conditionalFormatting sqref="C135">
    <cfRule type="cellIs" dxfId="4152" priority="43" stopIfTrue="1" operator="equal">
      <formula>"Towel"</formula>
    </cfRule>
    <cfRule type="cellIs" dxfId="4151" priority="44" stopIfTrue="1" operator="equal">
      <formula>"Napkin Hs"</formula>
    </cfRule>
  </conditionalFormatting>
  <conditionalFormatting sqref="C135">
    <cfRule type="cellIs" dxfId="4150" priority="45" stopIfTrue="1" operator="equal">
      <formula>"Towel"</formula>
    </cfRule>
  </conditionalFormatting>
  <conditionalFormatting sqref="B135:C135">
    <cfRule type="cellIs" dxfId="4149" priority="41" stopIfTrue="1" operator="equal">
      <formula>"Towel"</formula>
    </cfRule>
    <cfRule type="cellIs" dxfId="4148" priority="42" stopIfTrue="1" operator="equal">
      <formula>"Napkin Hs"</formula>
    </cfRule>
  </conditionalFormatting>
  <conditionalFormatting sqref="C135">
    <cfRule type="cellIs" dxfId="4147" priority="40" stopIfTrue="1" operator="equal">
      <formula>"Napkin Hs"</formula>
    </cfRule>
  </conditionalFormatting>
  <conditionalFormatting sqref="C135">
    <cfRule type="cellIs" dxfId="4146" priority="37" stopIfTrue="1" operator="equal">
      <formula>"Towel"</formula>
    </cfRule>
    <cfRule type="cellIs" dxfId="4145" priority="38" stopIfTrue="1" operator="equal">
      <formula>"Napkin Hs"</formula>
    </cfRule>
  </conditionalFormatting>
  <conditionalFormatting sqref="C135">
    <cfRule type="cellIs" dxfId="4144" priority="39" stopIfTrue="1" operator="equal">
      <formula>"Towel"</formula>
    </cfRule>
  </conditionalFormatting>
  <conditionalFormatting sqref="B135:C135">
    <cfRule type="cellIs" dxfId="4143" priority="35" stopIfTrue="1" operator="equal">
      <formula>"Towel"</formula>
    </cfRule>
    <cfRule type="cellIs" dxfId="4142" priority="36" stopIfTrue="1" operator="equal">
      <formula>"Napkin Hs"</formula>
    </cfRule>
  </conditionalFormatting>
  <conditionalFormatting sqref="C135">
    <cfRule type="cellIs" dxfId="4141" priority="34" stopIfTrue="1" operator="equal">
      <formula>"Napkin Hs"</formula>
    </cfRule>
  </conditionalFormatting>
  <conditionalFormatting sqref="C135">
    <cfRule type="cellIs" dxfId="4140" priority="31" stopIfTrue="1" operator="equal">
      <formula>"Towel"</formula>
    </cfRule>
    <cfRule type="cellIs" dxfId="4139" priority="32" stopIfTrue="1" operator="equal">
      <formula>"Napkin Hs"</formula>
    </cfRule>
  </conditionalFormatting>
  <conditionalFormatting sqref="C135">
    <cfRule type="cellIs" dxfId="4138" priority="33" stopIfTrue="1" operator="equal">
      <formula>"Towel"</formula>
    </cfRule>
  </conditionalFormatting>
  <conditionalFormatting sqref="B135:C135">
    <cfRule type="cellIs" dxfId="4137" priority="29" stopIfTrue="1" operator="equal">
      <formula>"Towel"</formula>
    </cfRule>
    <cfRule type="cellIs" dxfId="4136" priority="30" stopIfTrue="1" operator="equal">
      <formula>"Napkin Hs"</formula>
    </cfRule>
  </conditionalFormatting>
  <conditionalFormatting sqref="C135">
    <cfRule type="cellIs" dxfId="4135" priority="28" stopIfTrue="1" operator="equal">
      <formula>"Napkin Hs"</formula>
    </cfRule>
  </conditionalFormatting>
  <conditionalFormatting sqref="C135">
    <cfRule type="cellIs" dxfId="4134" priority="25" stopIfTrue="1" operator="equal">
      <formula>"Towel"</formula>
    </cfRule>
    <cfRule type="cellIs" dxfId="4133" priority="26" stopIfTrue="1" operator="equal">
      <formula>"Napkin Hs"</formula>
    </cfRule>
  </conditionalFormatting>
  <conditionalFormatting sqref="C135">
    <cfRule type="cellIs" dxfId="4132" priority="27" stopIfTrue="1" operator="equal">
      <formula>"Towel"</formula>
    </cfRule>
  </conditionalFormatting>
  <conditionalFormatting sqref="B135:C135">
    <cfRule type="cellIs" dxfId="4131" priority="23" stopIfTrue="1" operator="equal">
      <formula>"Towel"</formula>
    </cfRule>
    <cfRule type="cellIs" dxfId="4130" priority="24" stopIfTrue="1" operator="equal">
      <formula>"Napkin Hs"</formula>
    </cfRule>
  </conditionalFormatting>
  <conditionalFormatting sqref="C135">
    <cfRule type="cellIs" dxfId="4129" priority="22" stopIfTrue="1" operator="equal">
      <formula>"Napkin Hs"</formula>
    </cfRule>
  </conditionalFormatting>
  <conditionalFormatting sqref="C135">
    <cfRule type="cellIs" dxfId="4128" priority="19" stopIfTrue="1" operator="equal">
      <formula>"Towel"</formula>
    </cfRule>
    <cfRule type="cellIs" dxfId="4127" priority="20" stopIfTrue="1" operator="equal">
      <formula>"Napkin Hs"</formula>
    </cfRule>
  </conditionalFormatting>
  <conditionalFormatting sqref="C135">
    <cfRule type="cellIs" dxfId="4126" priority="21" stopIfTrue="1" operator="equal">
      <formula>"Towel"</formula>
    </cfRule>
  </conditionalFormatting>
  <conditionalFormatting sqref="B135:C135">
    <cfRule type="cellIs" dxfId="4125" priority="17" stopIfTrue="1" operator="equal">
      <formula>"Towel"</formula>
    </cfRule>
    <cfRule type="cellIs" dxfId="4124" priority="18" stopIfTrue="1" operator="equal">
      <formula>"Napkin Hs"</formula>
    </cfRule>
  </conditionalFormatting>
  <conditionalFormatting sqref="C135">
    <cfRule type="cellIs" dxfId="4123" priority="16" stopIfTrue="1" operator="equal">
      <formula>"Napkin Hs"</formula>
    </cfRule>
  </conditionalFormatting>
  <conditionalFormatting sqref="C135">
    <cfRule type="cellIs" dxfId="4122" priority="13" stopIfTrue="1" operator="equal">
      <formula>"Towel"</formula>
    </cfRule>
    <cfRule type="cellIs" dxfId="4121" priority="14" stopIfTrue="1" operator="equal">
      <formula>"Napkin Hs"</formula>
    </cfRule>
  </conditionalFormatting>
  <conditionalFormatting sqref="C135">
    <cfRule type="cellIs" dxfId="4120" priority="15" stopIfTrue="1" operator="equal">
      <formula>"Towel"</formula>
    </cfRule>
  </conditionalFormatting>
  <conditionalFormatting sqref="B135:C135">
    <cfRule type="cellIs" dxfId="4119" priority="11" stopIfTrue="1" operator="equal">
      <formula>"Towel"</formula>
    </cfRule>
    <cfRule type="cellIs" dxfId="4118" priority="12" stopIfTrue="1" operator="equal">
      <formula>"Napkin Hs"</formula>
    </cfRule>
  </conditionalFormatting>
  <conditionalFormatting sqref="C135">
    <cfRule type="cellIs" dxfId="4117" priority="10" stopIfTrue="1" operator="equal">
      <formula>"Napkin Hs"</formula>
    </cfRule>
  </conditionalFormatting>
  <conditionalFormatting sqref="C135">
    <cfRule type="cellIs" dxfId="4116" priority="7" stopIfTrue="1" operator="equal">
      <formula>"Towel"</formula>
    </cfRule>
    <cfRule type="cellIs" dxfId="4115" priority="8" stopIfTrue="1" operator="equal">
      <formula>"Napkin Hs"</formula>
    </cfRule>
  </conditionalFormatting>
  <conditionalFormatting sqref="C135">
    <cfRule type="cellIs" dxfId="4114" priority="9" stopIfTrue="1" operator="equal">
      <formula>"Towel"</formula>
    </cfRule>
  </conditionalFormatting>
  <conditionalFormatting sqref="B135:C135">
    <cfRule type="cellIs" dxfId="4113" priority="5" stopIfTrue="1" operator="equal">
      <formula>"Towel"</formula>
    </cfRule>
    <cfRule type="cellIs" dxfId="4112" priority="6" stopIfTrue="1" operator="equal">
      <formula>"Napkin Hs"</formula>
    </cfRule>
  </conditionalFormatting>
  <conditionalFormatting sqref="C135">
    <cfRule type="cellIs" dxfId="4111" priority="4" stopIfTrue="1" operator="equal">
      <formula>"Napkin Hs"</formula>
    </cfRule>
  </conditionalFormatting>
  <conditionalFormatting sqref="C135">
    <cfRule type="cellIs" dxfId="4110" priority="1" stopIfTrue="1" operator="equal">
      <formula>"Towel"</formula>
    </cfRule>
    <cfRule type="cellIs" dxfId="4109" priority="2" stopIfTrue="1" operator="equal">
      <formula>"Napkin Hs"</formula>
    </cfRule>
  </conditionalFormatting>
  <conditionalFormatting sqref="C135">
    <cfRule type="cellIs" dxfId="4108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8"/>
  <sheetViews>
    <sheetView zoomScale="90" zoomScaleNormal="90" workbookViewId="0">
      <pane xSplit="6" ySplit="6" topLeftCell="W151" activePane="bottomRight" state="frozen"/>
      <selection pane="topRight" activeCell="F1" sqref="F1"/>
      <selection pane="bottomLeft" activeCell="A7" sqref="A7"/>
      <selection pane="bottomRight" activeCell="X163" sqref="X163"/>
    </sheetView>
  </sheetViews>
  <sheetFormatPr defaultColWidth="10.28515625" defaultRowHeight="12"/>
  <cols>
    <col min="1" max="1" width="12.28515625" style="29" customWidth="1"/>
    <col min="2" max="3" width="14.140625" style="29" customWidth="1"/>
    <col min="4" max="4" width="10.28515625" style="29" customWidth="1"/>
    <col min="5" max="5" width="7.5703125" style="29" bestFit="1" customWidth="1"/>
    <col min="6" max="6" width="7" style="58" customWidth="1"/>
    <col min="7" max="9" width="10.28515625" style="29" customWidth="1"/>
    <col min="10" max="11" width="10.28515625" style="87" customWidth="1"/>
    <col min="12" max="13" width="12.7109375" style="59" customWidth="1"/>
    <col min="14" max="15" width="10.28515625" style="29" customWidth="1"/>
    <col min="16" max="16" width="16.85546875" style="29" bestFit="1" customWidth="1"/>
    <col min="17" max="17" width="12.7109375" style="342" customWidth="1"/>
    <col min="18" max="19" width="10.28515625" style="29" customWidth="1"/>
    <col min="20" max="20" width="10.7109375" style="29" customWidth="1"/>
    <col min="21" max="21" width="10.28515625" style="29" customWidth="1"/>
    <col min="22" max="22" width="12.28515625" style="29" customWidth="1"/>
    <col min="23" max="23" width="13" style="29" customWidth="1"/>
    <col min="24" max="24" width="10.28515625" style="93" customWidth="1"/>
    <col min="25" max="25" width="10.140625" style="29" customWidth="1"/>
    <col min="26" max="28" width="10.28515625" style="29" customWidth="1"/>
    <col min="29" max="29" width="12" style="29" customWidth="1"/>
    <col min="30" max="30" width="11.42578125" style="29" bestFit="1" customWidth="1"/>
    <col min="31" max="31" width="47.140625" style="29" customWidth="1"/>
    <col min="32" max="37" width="10.28515625" style="29" customWidth="1"/>
    <col min="38" max="39" width="11.7109375" style="29" customWidth="1"/>
    <col min="40" max="41" width="10.28515625" style="29" customWidth="1"/>
    <col min="42" max="42" width="12.42578125" style="29" customWidth="1"/>
    <col min="43" max="43" width="12.5703125" style="29" customWidth="1"/>
    <col min="44" max="44" width="29.7109375" style="29" bestFit="1" customWidth="1"/>
    <col min="45" max="51" width="10.28515625" style="29"/>
    <col min="52" max="52" width="13.42578125" style="29" customWidth="1"/>
    <col min="53" max="16384" width="10.28515625" style="29"/>
  </cols>
  <sheetData>
    <row r="1" spans="1:58" s="22" customFormat="1" ht="15.75">
      <c r="A1" s="21" t="s">
        <v>403</v>
      </c>
      <c r="G1" s="23"/>
      <c r="H1" s="23"/>
      <c r="I1" s="23"/>
      <c r="J1" s="84"/>
      <c r="K1" s="84"/>
      <c r="L1" s="24"/>
      <c r="M1" s="24"/>
      <c r="O1" s="23"/>
      <c r="P1" s="25"/>
      <c r="Q1" s="23"/>
      <c r="R1" s="25"/>
      <c r="S1" s="25"/>
      <c r="W1" s="25"/>
      <c r="X1" s="605"/>
      <c r="Y1" s="26"/>
      <c r="Z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</row>
    <row r="2" spans="1:58" s="22" customFormat="1">
      <c r="A2" s="94"/>
      <c r="G2" s="23"/>
      <c r="H2" s="23"/>
      <c r="I2" s="23"/>
      <c r="J2" s="84"/>
      <c r="K2" s="84"/>
      <c r="L2" s="24"/>
      <c r="M2" s="24"/>
      <c r="O2" s="23"/>
      <c r="P2" s="25"/>
      <c r="Q2" s="23"/>
      <c r="R2" s="25"/>
      <c r="S2" s="25"/>
      <c r="W2" s="25"/>
      <c r="X2" s="605"/>
      <c r="Y2" s="26"/>
      <c r="Z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</row>
    <row r="3" spans="1:58" ht="24" customHeight="1">
      <c r="A3" s="690" t="s">
        <v>7</v>
      </c>
      <c r="B3" s="690" t="s">
        <v>8</v>
      </c>
      <c r="C3" s="690" t="s">
        <v>210</v>
      </c>
      <c r="D3" s="690" t="s">
        <v>105</v>
      </c>
      <c r="E3" s="690" t="s">
        <v>106</v>
      </c>
      <c r="F3" s="690" t="s">
        <v>107</v>
      </c>
      <c r="G3" s="710" t="s">
        <v>108</v>
      </c>
      <c r="H3" s="711"/>
      <c r="I3" s="711"/>
      <c r="J3" s="711"/>
      <c r="K3" s="712"/>
      <c r="L3" s="716" t="s">
        <v>109</v>
      </c>
      <c r="M3" s="717"/>
      <c r="N3" s="718"/>
      <c r="O3" s="722" t="s">
        <v>110</v>
      </c>
      <c r="P3" s="680" t="s">
        <v>122</v>
      </c>
      <c r="Q3" s="722" t="s">
        <v>111</v>
      </c>
      <c r="R3" s="689" t="s">
        <v>112</v>
      </c>
      <c r="S3" s="689" t="s">
        <v>113</v>
      </c>
      <c r="T3" s="690" t="s">
        <v>167</v>
      </c>
      <c r="U3" s="690" t="s">
        <v>166</v>
      </c>
      <c r="V3" s="690" t="s">
        <v>168</v>
      </c>
      <c r="W3" s="689" t="s">
        <v>157</v>
      </c>
      <c r="X3" s="708" t="s">
        <v>115</v>
      </c>
      <c r="Y3" s="695" t="s">
        <v>293</v>
      </c>
      <c r="Z3" s="689" t="s">
        <v>116</v>
      </c>
      <c r="AA3" s="690" t="s">
        <v>169</v>
      </c>
      <c r="AB3" s="690" t="s">
        <v>180</v>
      </c>
      <c r="AC3" s="690" t="s">
        <v>178</v>
      </c>
      <c r="AD3" s="690" t="s">
        <v>140</v>
      </c>
      <c r="AE3" s="690" t="s">
        <v>141</v>
      </c>
      <c r="AF3" s="701" t="s">
        <v>142</v>
      </c>
      <c r="AG3" s="701"/>
      <c r="AH3" s="701"/>
      <c r="AI3" s="701"/>
      <c r="AJ3" s="701"/>
      <c r="AK3" s="701"/>
      <c r="AL3" s="701"/>
      <c r="AM3" s="702" t="s">
        <v>143</v>
      </c>
      <c r="AN3" s="705" t="s">
        <v>117</v>
      </c>
      <c r="AO3" s="705"/>
      <c r="AP3" s="705"/>
      <c r="AQ3" s="705"/>
      <c r="AR3" s="705"/>
      <c r="AS3" s="706" t="s">
        <v>118</v>
      </c>
      <c r="AT3" s="691" t="s">
        <v>289</v>
      </c>
      <c r="AU3" s="692"/>
      <c r="AV3" s="681" t="s">
        <v>144</v>
      </c>
      <c r="AW3" s="682"/>
      <c r="AX3" s="683" t="s">
        <v>144</v>
      </c>
      <c r="AY3" s="684"/>
      <c r="AZ3" s="685" t="s">
        <v>304</v>
      </c>
      <c r="BA3" s="688" t="s">
        <v>119</v>
      </c>
      <c r="BB3" s="672" t="s">
        <v>120</v>
      </c>
      <c r="BC3" s="672" t="s">
        <v>121</v>
      </c>
      <c r="BD3" s="666" t="s">
        <v>406</v>
      </c>
      <c r="BE3" s="669" t="s">
        <v>407</v>
      </c>
      <c r="BF3" s="672" t="s">
        <v>408</v>
      </c>
    </row>
    <row r="4" spans="1:58" ht="12" customHeight="1">
      <c r="A4" s="699"/>
      <c r="B4" s="699"/>
      <c r="C4" s="699"/>
      <c r="D4" s="699"/>
      <c r="E4" s="699"/>
      <c r="F4" s="699"/>
      <c r="G4" s="713"/>
      <c r="H4" s="714"/>
      <c r="I4" s="714"/>
      <c r="J4" s="714"/>
      <c r="K4" s="715"/>
      <c r="L4" s="719"/>
      <c r="M4" s="720"/>
      <c r="N4" s="721"/>
      <c r="O4" s="723"/>
      <c r="P4" s="677"/>
      <c r="Q4" s="723"/>
      <c r="R4" s="698"/>
      <c r="S4" s="698"/>
      <c r="T4" s="699"/>
      <c r="U4" s="699"/>
      <c r="V4" s="699"/>
      <c r="W4" s="698"/>
      <c r="X4" s="709"/>
      <c r="Y4" s="696"/>
      <c r="Z4" s="698"/>
      <c r="AA4" s="699"/>
      <c r="AB4" s="699"/>
      <c r="AC4" s="699"/>
      <c r="AD4" s="699"/>
      <c r="AE4" s="699"/>
      <c r="AF4" s="674" t="s">
        <v>145</v>
      </c>
      <c r="AG4" s="675"/>
      <c r="AH4" s="676"/>
      <c r="AI4" s="677" t="s">
        <v>277</v>
      </c>
      <c r="AJ4" s="677" t="s">
        <v>14</v>
      </c>
      <c r="AK4" s="677" t="s">
        <v>146</v>
      </c>
      <c r="AL4" s="677" t="s">
        <v>17</v>
      </c>
      <c r="AM4" s="703"/>
      <c r="AN4" s="679" t="s">
        <v>123</v>
      </c>
      <c r="AO4" s="679" t="s">
        <v>14</v>
      </c>
      <c r="AP4" s="679" t="s">
        <v>124</v>
      </c>
      <c r="AQ4" s="679" t="s">
        <v>17</v>
      </c>
      <c r="AR4" s="688" t="s">
        <v>125</v>
      </c>
      <c r="AS4" s="706"/>
      <c r="AT4" s="693"/>
      <c r="AU4" s="694"/>
      <c r="AV4" s="491" t="s">
        <v>6</v>
      </c>
      <c r="AW4" s="491" t="s">
        <v>147</v>
      </c>
      <c r="AX4" s="492" t="s">
        <v>6</v>
      </c>
      <c r="AY4" s="493" t="s">
        <v>147</v>
      </c>
      <c r="AZ4" s="686"/>
      <c r="BA4" s="688"/>
      <c r="BB4" s="672"/>
      <c r="BC4" s="672"/>
      <c r="BD4" s="667"/>
      <c r="BE4" s="670"/>
      <c r="BF4" s="672"/>
    </row>
    <row r="5" spans="1:58" s="32" customFormat="1" ht="48">
      <c r="A5" s="699"/>
      <c r="B5" s="699"/>
      <c r="C5" s="700"/>
      <c r="D5" s="699"/>
      <c r="E5" s="699"/>
      <c r="F5" s="699"/>
      <c r="G5" s="603" t="s">
        <v>126</v>
      </c>
      <c r="H5" s="602" t="s">
        <v>127</v>
      </c>
      <c r="I5" s="30" t="s">
        <v>128</v>
      </c>
      <c r="J5" s="85" t="s">
        <v>129</v>
      </c>
      <c r="K5" s="85" t="s">
        <v>114</v>
      </c>
      <c r="L5" s="31" t="s">
        <v>130</v>
      </c>
      <c r="M5" s="31" t="s">
        <v>131</v>
      </c>
      <c r="N5" s="599" t="s">
        <v>132</v>
      </c>
      <c r="O5" s="723"/>
      <c r="P5" s="678"/>
      <c r="Q5" s="723"/>
      <c r="R5" s="698"/>
      <c r="S5" s="698"/>
      <c r="T5" s="699"/>
      <c r="U5" s="699"/>
      <c r="V5" s="699"/>
      <c r="W5" s="698"/>
      <c r="X5" s="709"/>
      <c r="Y5" s="697"/>
      <c r="Z5" s="698"/>
      <c r="AA5" s="699"/>
      <c r="AB5" s="700"/>
      <c r="AC5" s="699"/>
      <c r="AD5" s="700"/>
      <c r="AE5" s="699"/>
      <c r="AF5" s="440" t="s">
        <v>227</v>
      </c>
      <c r="AG5" s="507" t="s">
        <v>228</v>
      </c>
      <c r="AH5" s="507" t="s">
        <v>229</v>
      </c>
      <c r="AI5" s="678"/>
      <c r="AJ5" s="678"/>
      <c r="AK5" s="678"/>
      <c r="AL5" s="678"/>
      <c r="AM5" s="704"/>
      <c r="AN5" s="680"/>
      <c r="AO5" s="680"/>
      <c r="AP5" s="680"/>
      <c r="AQ5" s="680"/>
      <c r="AR5" s="689"/>
      <c r="AS5" s="707"/>
      <c r="AT5" s="506" t="s">
        <v>290</v>
      </c>
      <c r="AU5" s="506" t="s">
        <v>291</v>
      </c>
      <c r="AV5" s="494" t="s">
        <v>292</v>
      </c>
      <c r="AW5" s="494" t="s">
        <v>292</v>
      </c>
      <c r="AX5" s="492" t="s">
        <v>16</v>
      </c>
      <c r="AY5" s="492" t="s">
        <v>16</v>
      </c>
      <c r="AZ5" s="687"/>
      <c r="BA5" s="689"/>
      <c r="BB5" s="690"/>
      <c r="BC5" s="690"/>
      <c r="BD5" s="668"/>
      <c r="BE5" s="671"/>
      <c r="BF5" s="673"/>
    </row>
    <row r="6" spans="1:58" ht="12.95" customHeight="1">
      <c r="A6" s="40">
        <f>+Report1!A9</f>
        <v>45931</v>
      </c>
      <c r="B6" s="41" t="s">
        <v>416</v>
      </c>
      <c r="C6" s="428">
        <f>(M6*E6*O6*Q6)/100000000</f>
        <v>28.428750000000001</v>
      </c>
      <c r="D6" s="41" t="s">
        <v>297</v>
      </c>
      <c r="E6" s="42">
        <v>12.5</v>
      </c>
      <c r="F6" s="42">
        <v>1</v>
      </c>
      <c r="G6" s="472">
        <v>1350</v>
      </c>
      <c r="H6" s="489">
        <f>+N6</f>
        <v>0.24</v>
      </c>
      <c r="I6" s="45">
        <v>0.88</v>
      </c>
      <c r="J6" s="86">
        <f>E6*G6*(1-H6)*1440/1000000*2.87</f>
        <v>53.003160000000001</v>
      </c>
      <c r="K6" s="86">
        <f>(IF(G6&lt;L6,L6,G6)*(1-IF(H6&lt;N6,H6,N6))*E6*O6*Q6)/100000000</f>
        <v>30.703050000000001</v>
      </c>
      <c r="L6" s="35">
        <v>1250</v>
      </c>
      <c r="M6" s="35">
        <f>+L6-L6*0.24</f>
        <v>950</v>
      </c>
      <c r="N6" s="46">
        <f>1-(M6/L6)</f>
        <v>0.24</v>
      </c>
      <c r="O6" s="47">
        <f>+'Trim Rwd'!H4</f>
        <v>266</v>
      </c>
      <c r="P6" s="48">
        <f>O6*(Q6-R6-S6)</f>
        <v>170772</v>
      </c>
      <c r="Q6" s="47">
        <f>1222-322</f>
        <v>900</v>
      </c>
      <c r="R6" s="397">
        <f>545-322</f>
        <v>223</v>
      </c>
      <c r="S6" s="397">
        <v>35</v>
      </c>
      <c r="T6" s="37">
        <f>E6*M6*O6*Q6/100000000</f>
        <v>28.428750000000001</v>
      </c>
      <c r="U6" s="37">
        <f>E6*M6*O6*(Q6-R6-S6)/100000000</f>
        <v>20.279174999999999</v>
      </c>
      <c r="V6" s="37">
        <f>E6*G6*(1-N6)*O6/100*(R6+S6)/1000000</f>
        <v>8.8015410000000003</v>
      </c>
      <c r="W6" s="37">
        <f>+'1'!K7/1000</f>
        <v>18.686</v>
      </c>
      <c r="X6" s="394">
        <f>SUM(W6:W9)/SUM(K6:K9)</f>
        <v>0.48285259576940398</v>
      </c>
      <c r="Y6" s="37">
        <v>0</v>
      </c>
      <c r="Z6" s="37">
        <f>+'1'!D34/1000</f>
        <v>0.5</v>
      </c>
      <c r="AA6" s="49">
        <f>SUM(U6:U9)-SUM(W6:W9)-SUM(Z6:Z9)-SUM(Y6:Y9)</f>
        <v>8.0641609999999986</v>
      </c>
      <c r="AB6" s="49">
        <f>(SUM(K6:K9)-SUM(W6:W9)-SUM(Y6:Y9)-SUM(Z6:Z9)-SUM(AC6:AC9)-SUM(V6:V9))-AA6</f>
        <v>-0.65196599999999449</v>
      </c>
      <c r="AC6" s="37">
        <f>K6-T6</f>
        <v>2.2743000000000002</v>
      </c>
      <c r="AD6" s="37">
        <f>+AM6+BA6</f>
        <v>0</v>
      </c>
      <c r="AE6" s="230" t="s">
        <v>404</v>
      </c>
      <c r="AF6" s="37">
        <v>0</v>
      </c>
      <c r="AG6" s="37"/>
      <c r="AH6" s="37"/>
      <c r="AI6" s="474"/>
      <c r="AJ6" s="37"/>
      <c r="AK6" s="37"/>
      <c r="AL6" s="37"/>
      <c r="AM6" s="37">
        <f>SUM(AF6:AL6)+AT6+AV6+AX6</f>
        <v>0</v>
      </c>
      <c r="AN6" s="37"/>
      <c r="AO6" s="37"/>
      <c r="AP6" s="37"/>
      <c r="AQ6" s="37"/>
      <c r="AR6" s="37">
        <f>SUM(AN6:AQ6)</f>
        <v>0</v>
      </c>
      <c r="AS6" s="37"/>
      <c r="AT6" s="37"/>
      <c r="AU6" s="37"/>
      <c r="AV6" s="37"/>
      <c r="AW6" s="37"/>
      <c r="AX6" s="37"/>
      <c r="AY6" s="37"/>
      <c r="AZ6" s="37"/>
      <c r="BA6" s="37">
        <f>+AR6+AS6+AU6+AW6+AY6+AZ6</f>
        <v>0</v>
      </c>
      <c r="BB6" s="33">
        <v>0</v>
      </c>
      <c r="BC6" s="51"/>
      <c r="BD6" s="51"/>
      <c r="BE6" s="33"/>
      <c r="BF6" s="51"/>
    </row>
    <row r="7" spans="1:58" ht="12.95" customHeight="1">
      <c r="A7" s="40"/>
      <c r="B7" s="41" t="s">
        <v>416</v>
      </c>
      <c r="C7" s="428">
        <f>(M7*E7*O7*Q7)/100000000</f>
        <v>6.9709859999999999</v>
      </c>
      <c r="D7" s="41" t="s">
        <v>297</v>
      </c>
      <c r="E7" s="42">
        <v>15</v>
      </c>
      <c r="F7" s="42">
        <v>1</v>
      </c>
      <c r="G7" s="472">
        <v>1170</v>
      </c>
      <c r="H7" s="489">
        <f>+N7</f>
        <v>0.24</v>
      </c>
      <c r="I7" s="45">
        <v>0.88</v>
      </c>
      <c r="J7" s="86">
        <f>E7*G7*(1-H7)*1440/1000000*2.87</f>
        <v>55.123286400000005</v>
      </c>
      <c r="K7" s="86">
        <f>(IF(G7&lt;L7,L7,G7)*(1-IF(H7&lt;N7,H7,N7))*E7*O7*Q7)/100000000</f>
        <v>7.9961310000000001</v>
      </c>
      <c r="L7" s="35">
        <v>1020</v>
      </c>
      <c r="M7" s="35">
        <f>+L7-L7*0.24</f>
        <v>775.2</v>
      </c>
      <c r="N7" s="46">
        <f>1-(M7/L7)</f>
        <v>0.24</v>
      </c>
      <c r="O7" s="47">
        <f>+'Trim Rwd'!H5</f>
        <v>275</v>
      </c>
      <c r="P7" s="48">
        <f>O7*(Q7-R7-S7)</f>
        <v>59950</v>
      </c>
      <c r="Q7" s="47">
        <v>218</v>
      </c>
      <c r="R7" s="397">
        <v>0</v>
      </c>
      <c r="S7" s="397">
        <v>0</v>
      </c>
      <c r="T7" s="37">
        <f>E7*M7*O7*Q7/100000000</f>
        <v>6.9709859999999999</v>
      </c>
      <c r="U7" s="37">
        <f>E7*M7*O7*(Q7-R7-S7)/100000000</f>
        <v>6.9709859999999999</v>
      </c>
      <c r="V7" s="37">
        <f>E7*G7*(1-N7)*O7/100*(R7+S7)/1000000</f>
        <v>0</v>
      </c>
      <c r="W7" s="37">
        <f>+'1'!K8/1000</f>
        <v>0</v>
      </c>
      <c r="X7" s="394"/>
      <c r="Y7" s="213"/>
      <c r="Z7" s="37"/>
      <c r="AA7" s="37"/>
      <c r="AB7" s="37"/>
      <c r="AC7" s="37">
        <f>K7-T7</f>
        <v>1.0251450000000002</v>
      </c>
      <c r="AD7" s="37">
        <f>+AM7+BA7</f>
        <v>15</v>
      </c>
      <c r="AE7" s="230" t="s">
        <v>429</v>
      </c>
      <c r="AF7" s="37"/>
      <c r="AG7" s="37">
        <v>15</v>
      </c>
      <c r="AH7" s="37"/>
      <c r="AI7" s="474"/>
      <c r="AJ7" s="37"/>
      <c r="AK7" s="37"/>
      <c r="AL7" s="37"/>
      <c r="AM7" s="37">
        <f>SUM(AF7:AL7)+AT7+AV7+AX7</f>
        <v>15</v>
      </c>
      <c r="AN7" s="87"/>
      <c r="AO7" s="37"/>
      <c r="AP7" s="37"/>
      <c r="AQ7" s="37"/>
      <c r="AR7" s="37">
        <f>SUM(AN7:AQ7)</f>
        <v>0</v>
      </c>
      <c r="AS7" s="37"/>
      <c r="AT7" s="37"/>
      <c r="AU7" s="37"/>
      <c r="AV7" s="37"/>
      <c r="AW7" s="37"/>
      <c r="AX7" s="37"/>
      <c r="AY7" s="37"/>
      <c r="AZ7" s="37"/>
      <c r="BA7" s="37">
        <f>+AR7+AS7+AU7+AW7+AY7+AZ7</f>
        <v>0</v>
      </c>
      <c r="BB7" s="50"/>
      <c r="BC7" s="51">
        <v>9</v>
      </c>
      <c r="BD7" s="51"/>
      <c r="BE7" s="50"/>
      <c r="BF7" s="51"/>
    </row>
    <row r="8" spans="1:58" ht="12.95" customHeight="1">
      <c r="A8" s="40"/>
      <c r="B8" s="41"/>
      <c r="C8" s="428"/>
      <c r="D8" s="41"/>
      <c r="E8" s="42"/>
      <c r="F8" s="42"/>
      <c r="G8" s="43"/>
      <c r="H8" s="44"/>
      <c r="I8" s="45"/>
      <c r="J8" s="86"/>
      <c r="K8" s="86"/>
      <c r="L8" s="35"/>
      <c r="M8" s="35"/>
      <c r="N8" s="46"/>
      <c r="O8" s="47"/>
      <c r="P8" s="48"/>
      <c r="Q8" s="47"/>
      <c r="R8" s="397"/>
      <c r="S8" s="397"/>
      <c r="T8" s="37"/>
      <c r="U8" s="37"/>
      <c r="V8" s="37"/>
      <c r="W8" s="37"/>
      <c r="X8" s="394"/>
      <c r="Y8" s="213"/>
      <c r="Z8" s="37"/>
      <c r="AA8" s="37"/>
      <c r="AB8" s="37"/>
      <c r="AC8" s="37"/>
      <c r="AD8" s="37">
        <f>+AM8+BA8</f>
        <v>20</v>
      </c>
      <c r="AE8" s="230" t="s">
        <v>430</v>
      </c>
      <c r="AF8" s="33"/>
      <c r="AG8" s="33"/>
      <c r="AH8" s="33">
        <v>20</v>
      </c>
      <c r="AJ8" s="37"/>
      <c r="AK8" s="37"/>
      <c r="AL8" s="37"/>
      <c r="AM8" s="37">
        <f>SUM(AF8:AL8)+AT8+AV8+AX8</f>
        <v>20</v>
      </c>
      <c r="AN8" s="37"/>
      <c r="AO8" s="37"/>
      <c r="AP8" s="37"/>
      <c r="AQ8" s="37"/>
      <c r="AR8" s="37">
        <f>SUM(AN8:AQ8)</f>
        <v>0</v>
      </c>
      <c r="AS8" s="37"/>
      <c r="AT8" s="37"/>
      <c r="AU8" s="37"/>
      <c r="AV8" s="37"/>
      <c r="AW8" s="37"/>
      <c r="AX8" s="37"/>
      <c r="AY8" s="37"/>
      <c r="AZ8" s="37"/>
      <c r="BA8" s="37">
        <f>+AR8+AS8+AU8+AW8+AY8+AZ8</f>
        <v>0</v>
      </c>
      <c r="BB8" s="33"/>
      <c r="BC8" s="53"/>
      <c r="BD8" s="53"/>
      <c r="BE8" s="33"/>
      <c r="BF8" s="53"/>
    </row>
    <row r="9" spans="1:58" ht="12.95" customHeight="1">
      <c r="A9" s="40"/>
      <c r="B9" s="41"/>
      <c r="C9" s="428"/>
      <c r="D9" s="41"/>
      <c r="E9" s="42"/>
      <c r="F9" s="42"/>
      <c r="G9" s="43"/>
      <c r="H9" s="44"/>
      <c r="I9" s="45"/>
      <c r="J9" s="86"/>
      <c r="K9" s="86"/>
      <c r="L9" s="35"/>
      <c r="M9" s="35"/>
      <c r="N9" s="46"/>
      <c r="O9" s="47"/>
      <c r="P9" s="48"/>
      <c r="Q9" s="34"/>
      <c r="R9" s="397"/>
      <c r="S9" s="397"/>
      <c r="T9" s="37"/>
      <c r="U9" s="37"/>
      <c r="V9" s="37"/>
      <c r="W9" s="37"/>
      <c r="X9" s="394"/>
      <c r="Y9" s="213"/>
      <c r="Z9" s="37"/>
      <c r="AA9" s="37"/>
      <c r="AB9" s="37"/>
      <c r="AC9" s="37"/>
      <c r="AD9" s="37">
        <f>+AM9+BA9</f>
        <v>223</v>
      </c>
      <c r="AE9" s="233" t="s">
        <v>439</v>
      </c>
      <c r="AF9" s="37"/>
      <c r="AG9" s="37"/>
      <c r="AH9" s="37"/>
      <c r="AI9" s="474"/>
      <c r="AJ9" s="37"/>
      <c r="AK9" s="37"/>
      <c r="AL9" s="37"/>
      <c r="AM9" s="37">
        <f>SUM(AF9:AL9)+AT9+AV9+AX9</f>
        <v>0</v>
      </c>
      <c r="AN9" s="37"/>
      <c r="AO9" s="37"/>
      <c r="AP9" s="37"/>
      <c r="AQ9" s="37"/>
      <c r="AR9" s="37">
        <f>SUM(AN9:AQ9)</f>
        <v>0</v>
      </c>
      <c r="AS9" s="37"/>
      <c r="AT9" s="37"/>
      <c r="AU9" s="37"/>
      <c r="AV9" s="37"/>
      <c r="AW9" s="37">
        <f>545-322</f>
        <v>223</v>
      </c>
      <c r="AX9" s="37"/>
      <c r="AY9" s="37"/>
      <c r="AZ9" s="37"/>
      <c r="BA9" s="37">
        <f>+AR9+AS9+AU9+AW9+AY9+AZ9</f>
        <v>223</v>
      </c>
      <c r="BB9" s="33"/>
      <c r="BC9" s="53"/>
      <c r="BD9" s="53"/>
      <c r="BE9" s="33"/>
      <c r="BF9" s="53"/>
    </row>
    <row r="10" spans="1:58" ht="12.95" customHeight="1">
      <c r="A10" s="40"/>
      <c r="B10" s="41"/>
      <c r="C10" s="428"/>
      <c r="D10" s="41"/>
      <c r="E10" s="42"/>
      <c r="F10" s="42"/>
      <c r="G10" s="472"/>
      <c r="H10" s="44"/>
      <c r="I10" s="45"/>
      <c r="J10" s="86"/>
      <c r="K10" s="86"/>
      <c r="L10" s="35"/>
      <c r="M10" s="35"/>
      <c r="N10" s="46"/>
      <c r="O10" s="47"/>
      <c r="P10" s="48"/>
      <c r="Q10" s="47"/>
      <c r="R10" s="397"/>
      <c r="S10" s="397"/>
      <c r="T10" s="37"/>
      <c r="U10" s="37"/>
      <c r="V10" s="37"/>
      <c r="W10" s="37"/>
      <c r="X10" s="394"/>
      <c r="Y10" s="37"/>
      <c r="Z10" s="37"/>
      <c r="AA10" s="49"/>
      <c r="AB10" s="49"/>
      <c r="AC10" s="37"/>
      <c r="AD10" s="37"/>
      <c r="AE10" s="230"/>
      <c r="AF10" s="37"/>
      <c r="AG10" s="37"/>
      <c r="AH10" s="37"/>
      <c r="AI10" s="474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3"/>
      <c r="BC10" s="51"/>
      <c r="BD10" s="51"/>
      <c r="BE10" s="33"/>
      <c r="BF10" s="51"/>
    </row>
    <row r="11" spans="1:58" ht="12.95" customHeight="1">
      <c r="A11" s="40">
        <v>45932</v>
      </c>
      <c r="B11" s="41" t="s">
        <v>416</v>
      </c>
      <c r="C11" s="428">
        <f>(M11*E11*O11*Q11)/100000000</f>
        <v>47.156669999999991</v>
      </c>
      <c r="D11" s="41" t="s">
        <v>297</v>
      </c>
      <c r="E11" s="42">
        <v>15</v>
      </c>
      <c r="F11" s="42">
        <v>1</v>
      </c>
      <c r="G11" s="472">
        <v>1170</v>
      </c>
      <c r="H11" s="489">
        <f>+N11</f>
        <v>0.24</v>
      </c>
      <c r="I11" s="45">
        <v>0.88</v>
      </c>
      <c r="J11" s="86">
        <f>E11*G11*(1-H11)*1440/1000000*2.87</f>
        <v>55.123286400000005</v>
      </c>
      <c r="K11" s="86">
        <f>(IF(G11&lt;L11,L11,G11)*(1-IF(H11&lt;N11,H11,N11))*E11*O11*Q11)/100000000</f>
        <v>50.250914999999999</v>
      </c>
      <c r="L11" s="35">
        <v>1097.956204379562</v>
      </c>
      <c r="M11" s="35">
        <v>834.44671532846712</v>
      </c>
      <c r="N11" s="46">
        <f>1-(M11/L11)</f>
        <v>0.24</v>
      </c>
      <c r="O11" s="47">
        <f>+'Trim Rwd'!H7</f>
        <v>275</v>
      </c>
      <c r="P11" s="48">
        <f>O11*(Q11-R11-S11)</f>
        <v>363000</v>
      </c>
      <c r="Q11" s="47">
        <v>1370</v>
      </c>
      <c r="R11" s="397">
        <v>0</v>
      </c>
      <c r="S11" s="397">
        <v>50</v>
      </c>
      <c r="T11" s="37">
        <f>E11*M11*O11*Q11/100000000</f>
        <v>47.156669999999991</v>
      </c>
      <c r="U11" s="37">
        <f>E11*M11*O11*(Q11-R11-S11)/100000000</f>
        <v>45.435623649635026</v>
      </c>
      <c r="V11" s="37">
        <f>E11*G11*(1-N11)*O11/100*(R11+S11)/1000000</f>
        <v>1.8339749999999999</v>
      </c>
      <c r="W11" s="37">
        <f>+'2'!K8/1000</f>
        <v>47.850999999999999</v>
      </c>
      <c r="X11" s="394">
        <f>SUM(W11:W14)/SUM(K11:K14)</f>
        <v>0.95144340626518642</v>
      </c>
      <c r="Y11" s="37">
        <v>0</v>
      </c>
      <c r="Z11" s="37">
        <f>+'2'!D34/1000</f>
        <v>0.72</v>
      </c>
      <c r="AA11" s="49">
        <f>SUM(U11:U14)-SUM(W11:W14)-SUM(Z11:Z14)-SUM(Y11:Y14)</f>
        <v>-3.1362944143649694</v>
      </c>
      <c r="AB11" s="49">
        <f>(SUM(K11:K14)-SUM(W11:W14)-SUM(Y11:Y14)-SUM(Z11:Z14)-SUM(AC11:AC14)-SUM(V11:V14))-AA11</f>
        <v>-0.11480837163503343</v>
      </c>
      <c r="AC11" s="37">
        <f>K11-T11</f>
        <v>3.0942450000000079</v>
      </c>
      <c r="AD11" s="37">
        <f>+AM11+BA11</f>
        <v>10</v>
      </c>
      <c r="AE11" s="230" t="s">
        <v>456</v>
      </c>
      <c r="AF11" s="37">
        <v>10</v>
      </c>
      <c r="AG11" s="37"/>
      <c r="AH11" s="37"/>
      <c r="AI11" s="474"/>
      <c r="AJ11" s="37"/>
      <c r="AK11" s="37"/>
      <c r="AL11" s="37"/>
      <c r="AM11" s="37">
        <f>SUM(AF11:AL11)+AT11+AV11+AX11</f>
        <v>10</v>
      </c>
      <c r="AN11" s="37"/>
      <c r="AO11" s="37"/>
      <c r="AP11" s="37"/>
      <c r="AQ11" s="37"/>
      <c r="AR11" s="37">
        <f>SUM(AN11:AQ11)</f>
        <v>0</v>
      </c>
      <c r="AS11" s="37"/>
      <c r="AT11" s="37"/>
      <c r="AU11" s="37"/>
      <c r="AV11" s="37"/>
      <c r="AW11" s="37"/>
      <c r="AX11" s="37"/>
      <c r="AY11" s="37"/>
      <c r="AZ11" s="37"/>
      <c r="BA11" s="37">
        <f>+AR11+AS11+AU11+AW11+AY11+AZ11</f>
        <v>0</v>
      </c>
      <c r="BB11" s="33">
        <v>2</v>
      </c>
      <c r="BC11" s="51"/>
      <c r="BD11" s="51"/>
      <c r="BE11" s="33"/>
      <c r="BF11" s="51"/>
    </row>
    <row r="12" spans="1:58" ht="12.95" customHeight="1">
      <c r="A12" s="40"/>
      <c r="B12" s="41" t="s">
        <v>416</v>
      </c>
      <c r="C12" s="428">
        <f>(M12*E12*O12*Q12)/100000000</f>
        <v>2.4561700800000001</v>
      </c>
      <c r="D12" s="41" t="s">
        <v>297</v>
      </c>
      <c r="E12" s="42">
        <v>14.5</v>
      </c>
      <c r="F12" s="42">
        <v>1</v>
      </c>
      <c r="G12" s="472">
        <v>1180</v>
      </c>
      <c r="H12" s="582">
        <v>0.22</v>
      </c>
      <c r="I12" s="45">
        <v>0.88</v>
      </c>
      <c r="J12" s="86">
        <f>E12*G12*(1-H12)*1440/1000000*2.87</f>
        <v>55.155522240000003</v>
      </c>
      <c r="K12" s="86">
        <f>(IF(G12&lt;L12,L12,G12)*(1-IF(H12&lt;N12,H12,N12))*E12*O12*Q12)/100000000</f>
        <v>2.5877506199999996</v>
      </c>
      <c r="L12" s="35">
        <v>1120</v>
      </c>
      <c r="M12" s="35">
        <v>873.6</v>
      </c>
      <c r="N12" s="46">
        <f>1-(M12/L12)</f>
        <v>0.21999999999999997</v>
      </c>
      <c r="O12" s="47">
        <f>+'Trim Rwd'!H8</f>
        <v>277</v>
      </c>
      <c r="P12" s="48">
        <f>O12*(Q12-R12-S12)</f>
        <v>19113</v>
      </c>
      <c r="Q12" s="47">
        <v>70</v>
      </c>
      <c r="R12" s="397">
        <v>0</v>
      </c>
      <c r="S12" s="397">
        <v>1</v>
      </c>
      <c r="T12" s="37">
        <f>E12*M12*O12*Q12/100000000</f>
        <v>2.4561700800000001</v>
      </c>
      <c r="U12" s="37">
        <f>E12*M12*O12*(Q12-R12-S12)/100000000</f>
        <v>2.4210819360000002</v>
      </c>
      <c r="V12" s="37">
        <f>E12*G12*(1-N12)*O12/100*(R12+S12)/1000000</f>
        <v>3.6967866000000002E-2</v>
      </c>
      <c r="W12" s="37">
        <f>+'2'!K9/1000</f>
        <v>0</v>
      </c>
      <c r="X12" s="394"/>
      <c r="Y12" s="213"/>
      <c r="Z12" s="37"/>
      <c r="AA12" s="37"/>
      <c r="AB12" s="37"/>
      <c r="AC12" s="37">
        <f>K12-T12</f>
        <v>0.13158053999999941</v>
      </c>
      <c r="AD12" s="37">
        <f>+AM12+BA12</f>
        <v>18</v>
      </c>
      <c r="AE12" s="230" t="s">
        <v>462</v>
      </c>
      <c r="AF12" s="37"/>
      <c r="AG12" s="37">
        <v>18</v>
      </c>
      <c r="AH12" s="37"/>
      <c r="AI12" s="474"/>
      <c r="AJ12" s="37"/>
      <c r="AK12" s="37"/>
      <c r="AL12" s="37"/>
      <c r="AM12" s="37">
        <f>SUM(AF12:AL12)+AT12+AV12+AX12</f>
        <v>18</v>
      </c>
      <c r="AN12" s="87"/>
      <c r="AO12" s="37"/>
      <c r="AP12" s="37"/>
      <c r="AQ12" s="37"/>
      <c r="AR12" s="37">
        <f>SUM(AN12:AQ12)</f>
        <v>0</v>
      </c>
      <c r="AS12" s="37"/>
      <c r="AT12" s="37"/>
      <c r="AU12" s="37"/>
      <c r="AV12" s="37"/>
      <c r="AW12" s="37"/>
      <c r="AX12" s="37"/>
      <c r="AY12" s="37"/>
      <c r="AZ12" s="37"/>
      <c r="BA12" s="37">
        <f>+AR12+AS12+AU12+AW12+AY12+AZ12</f>
        <v>0</v>
      </c>
      <c r="BB12" s="50"/>
      <c r="BC12" s="51">
        <v>13</v>
      </c>
      <c r="BD12" s="51"/>
      <c r="BE12" s="50"/>
      <c r="BF12" s="51"/>
    </row>
    <row r="13" spans="1:58" ht="12.95" customHeight="1">
      <c r="A13" s="40"/>
      <c r="B13" s="41" t="s">
        <v>416</v>
      </c>
      <c r="C13" s="428"/>
      <c r="D13" s="41"/>
      <c r="E13" s="42">
        <v>12.5</v>
      </c>
      <c r="F13" s="42"/>
      <c r="G13" s="43"/>
      <c r="H13" s="44"/>
      <c r="I13" s="45"/>
      <c r="J13" s="86"/>
      <c r="K13" s="86"/>
      <c r="L13" s="35"/>
      <c r="M13" s="35"/>
      <c r="N13" s="46"/>
      <c r="O13" s="47"/>
      <c r="P13" s="48"/>
      <c r="Q13" s="47"/>
      <c r="R13" s="397"/>
      <c r="S13" s="397"/>
      <c r="T13" s="37"/>
      <c r="U13" s="37"/>
      <c r="V13" s="37"/>
      <c r="W13" s="37">
        <f>+'2'!K7/1000</f>
        <v>2.4220000000000002</v>
      </c>
      <c r="X13" s="394"/>
      <c r="Y13" s="213"/>
      <c r="Z13" s="37"/>
      <c r="AA13" s="37"/>
      <c r="AB13" s="37"/>
      <c r="AC13" s="37"/>
      <c r="AD13" s="37">
        <f>+AM13+BA13</f>
        <v>23</v>
      </c>
      <c r="AE13" s="230" t="s">
        <v>463</v>
      </c>
      <c r="AF13" s="33"/>
      <c r="AG13" s="33"/>
      <c r="AH13" s="33">
        <v>23</v>
      </c>
      <c r="AJ13" s="37"/>
      <c r="AK13" s="37"/>
      <c r="AL13" s="37"/>
      <c r="AM13" s="37">
        <f>SUM(AF13:AL13)+AT13+AV13+AX13</f>
        <v>23</v>
      </c>
      <c r="AN13" s="37"/>
      <c r="AO13" s="37"/>
      <c r="AP13" s="37"/>
      <c r="AQ13" s="37"/>
      <c r="AR13" s="37">
        <f>SUM(AN13:AQ13)</f>
        <v>0</v>
      </c>
      <c r="AS13" s="37"/>
      <c r="AT13" s="37"/>
      <c r="AU13" s="37"/>
      <c r="AV13" s="37"/>
      <c r="AW13" s="37"/>
      <c r="AX13" s="37"/>
      <c r="AY13" s="37"/>
      <c r="AZ13" s="37"/>
      <c r="BA13" s="37">
        <f>+AR13+AS13+AU13+AW13+AY13+AZ13</f>
        <v>0</v>
      </c>
      <c r="BB13" s="33"/>
      <c r="BC13" s="53"/>
      <c r="BD13" s="53"/>
      <c r="BE13" s="33"/>
      <c r="BF13" s="53"/>
    </row>
    <row r="14" spans="1:58" ht="12.95" customHeight="1">
      <c r="A14" s="40"/>
      <c r="B14" s="41"/>
      <c r="C14" s="428"/>
      <c r="D14" s="41"/>
      <c r="E14" s="42"/>
      <c r="F14" s="42"/>
      <c r="G14" s="43"/>
      <c r="H14" s="44"/>
      <c r="I14" s="45"/>
      <c r="J14" s="86"/>
      <c r="K14" s="86"/>
      <c r="L14" s="35"/>
      <c r="M14" s="35"/>
      <c r="N14" s="46"/>
      <c r="O14" s="47"/>
      <c r="P14" s="48"/>
      <c r="Q14" s="34"/>
      <c r="R14" s="397"/>
      <c r="S14" s="397"/>
      <c r="T14" s="37"/>
      <c r="U14" s="37"/>
      <c r="V14" s="37"/>
      <c r="W14" s="37"/>
      <c r="X14" s="394"/>
      <c r="Y14" s="213"/>
      <c r="Z14" s="37"/>
      <c r="AA14" s="37"/>
      <c r="AB14" s="37"/>
      <c r="AC14" s="37"/>
      <c r="AD14" s="37"/>
      <c r="AE14" s="233"/>
      <c r="AF14" s="37"/>
      <c r="AG14" s="37"/>
      <c r="AH14" s="37"/>
      <c r="AI14" s="474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3"/>
      <c r="BC14" s="53"/>
      <c r="BD14" s="53"/>
      <c r="BE14" s="33"/>
      <c r="BF14" s="53"/>
    </row>
    <row r="15" spans="1:58" ht="12.95" customHeight="1">
      <c r="A15" s="40">
        <v>45933</v>
      </c>
      <c r="B15" s="41" t="s">
        <v>416</v>
      </c>
      <c r="C15" s="428">
        <f>(M15*E15*O15*Q15)/100000000</f>
        <v>34.94716485</v>
      </c>
      <c r="D15" s="41" t="s">
        <v>297</v>
      </c>
      <c r="E15" s="42">
        <v>14.5</v>
      </c>
      <c r="F15" s="42">
        <v>1</v>
      </c>
      <c r="G15" s="472">
        <v>1180</v>
      </c>
      <c r="H15" s="582">
        <v>0.22</v>
      </c>
      <c r="I15" s="45">
        <v>0.88</v>
      </c>
      <c r="J15" s="86">
        <f>E15*G15*(1-H15)*1440/1000000*2.87</f>
        <v>55.155522240000003</v>
      </c>
      <c r="K15" s="86">
        <f>(IF(G15&lt;L15,L15,G15)*(1-IF(H15&lt;N15,H15,N15))*E15*O15*Q15)/100000000</f>
        <v>35.858830019999992</v>
      </c>
      <c r="L15" s="35">
        <v>1150</v>
      </c>
      <c r="M15" s="35">
        <f>+L15-L15*0.22</f>
        <v>897</v>
      </c>
      <c r="N15" s="46">
        <f>1-(M15/L15)</f>
        <v>0.21999999999999997</v>
      </c>
      <c r="O15" s="47">
        <f>+'Trim Rwd'!H11</f>
        <v>277</v>
      </c>
      <c r="P15" s="48">
        <f>O15*(Q15-R15-S15)</f>
        <v>255948</v>
      </c>
      <c r="Q15" s="47">
        <v>970</v>
      </c>
      <c r="R15" s="397">
        <v>0</v>
      </c>
      <c r="S15" s="397">
        <f>30+16</f>
        <v>46</v>
      </c>
      <c r="T15" s="37">
        <f>E15*M15*O15*Q15/100000000</f>
        <v>34.94716485</v>
      </c>
      <c r="U15" s="37">
        <f>E15*M15*O15*(Q15-R15-S15)/100000000</f>
        <v>33.289876620000001</v>
      </c>
      <c r="V15" s="37">
        <f>E15*G15*(1-N15)*O15/100*(R15+S15)/1000000</f>
        <v>1.7005218360000001</v>
      </c>
      <c r="W15" s="37">
        <f>+'3'!K9/1000</f>
        <v>28.385999999999999</v>
      </c>
      <c r="X15" s="394">
        <f>SUM(W15:W18)/SUM(K15:K18)</f>
        <v>0.79954858172156829</v>
      </c>
      <c r="Y15" s="37">
        <v>0</v>
      </c>
      <c r="Z15" s="37">
        <f>+('3'!D7+'3'!D16)/1000</f>
        <v>3</v>
      </c>
      <c r="AA15" s="49">
        <f>SUM(U15:U18)-SUM(W15:W18)-SUM(Z15:Z18)-SUM(Y15:Y18)</f>
        <v>1.903501619999997</v>
      </c>
      <c r="AB15" s="49">
        <f>(SUM(K15:K18)-SUM(W15:W18)-SUM(Y15:Y18)-SUM(Z15:Z18)-SUM(AC15:AC18)-SUM(V15:V18))-AA15</f>
        <v>-4.3233606000000702E-2</v>
      </c>
      <c r="AC15" s="37">
        <f>K15-T15</f>
        <v>0.91166516999999203</v>
      </c>
      <c r="AD15" s="37">
        <f>+AM15+BA15</f>
        <v>30</v>
      </c>
      <c r="AE15" s="230" t="s">
        <v>491</v>
      </c>
      <c r="AF15" s="37">
        <v>30</v>
      </c>
      <c r="AG15" s="37"/>
      <c r="AH15" s="37"/>
      <c r="AI15" s="474"/>
      <c r="AJ15" s="37"/>
      <c r="AK15" s="37"/>
      <c r="AL15" s="37"/>
      <c r="AM15" s="37">
        <f>SUM(AF15:AL15)+AT15+AV15+AX15</f>
        <v>30</v>
      </c>
      <c r="AN15" s="37"/>
      <c r="AO15" s="37"/>
      <c r="AP15" s="37"/>
      <c r="AQ15" s="37"/>
      <c r="AR15" s="37">
        <f>SUM(AN15:AQ15)</f>
        <v>0</v>
      </c>
      <c r="AS15" s="37"/>
      <c r="AT15" s="37"/>
      <c r="AU15" s="37"/>
      <c r="AV15" s="37"/>
      <c r="AW15" s="37"/>
      <c r="AX15" s="37"/>
      <c r="AY15" s="37"/>
      <c r="AZ15" s="37"/>
      <c r="BA15" s="37">
        <f>+AR15+AS15+AU15+AW15+AY15+AZ15</f>
        <v>0</v>
      </c>
      <c r="BB15" s="33">
        <v>6</v>
      </c>
      <c r="BC15" s="51"/>
      <c r="BD15" s="51"/>
      <c r="BE15" s="33"/>
      <c r="BF15" s="51"/>
    </row>
    <row r="16" spans="1:58" ht="12.95" customHeight="1">
      <c r="A16" s="40"/>
      <c r="B16" s="41" t="s">
        <v>416</v>
      </c>
      <c r="C16" s="428">
        <f>(M16*E16*O16*Q16)/100000000</f>
        <v>17.44875</v>
      </c>
      <c r="D16" s="41" t="s">
        <v>297</v>
      </c>
      <c r="E16" s="42">
        <v>12.5</v>
      </c>
      <c r="F16" s="42">
        <v>1</v>
      </c>
      <c r="G16" s="472">
        <v>1350</v>
      </c>
      <c r="H16" s="489">
        <v>0.2</v>
      </c>
      <c r="I16" s="45">
        <v>0.88</v>
      </c>
      <c r="J16" s="86">
        <f>E16*G16*(1-H16)*1440/1000000*2.87</f>
        <v>55.792800000000007</v>
      </c>
      <c r="K16" s="86">
        <f>(IF(G16&lt;L16,L16,G16)*(1-IF(H16&lt;N16,H16,N16))*E16*O16*Q16)/100000000</f>
        <v>17.44875</v>
      </c>
      <c r="L16" s="35">
        <v>1350</v>
      </c>
      <c r="M16" s="35">
        <f>+L16-L16*0.2</f>
        <v>1080</v>
      </c>
      <c r="N16" s="46">
        <f>1-(M16/L16)</f>
        <v>0.19999999999999996</v>
      </c>
      <c r="O16" s="47">
        <f>+'Trim Rwd'!H12</f>
        <v>275</v>
      </c>
      <c r="P16" s="48">
        <f>O16*(Q16-R16-S16)</f>
        <v>111375</v>
      </c>
      <c r="Q16" s="47">
        <v>470</v>
      </c>
      <c r="R16" s="397">
        <v>0</v>
      </c>
      <c r="S16" s="397">
        <f>29+36</f>
        <v>65</v>
      </c>
      <c r="T16" s="37">
        <f>E16*M16*O16*Q16/100000000</f>
        <v>17.44875</v>
      </c>
      <c r="U16" s="37">
        <f>E16*M16*O16*(Q16-R16-S16)/100000000</f>
        <v>15.035625</v>
      </c>
      <c r="V16" s="37">
        <f>E16*G16*(1-N16)*O16/100*(R16+S16)/1000000</f>
        <v>2.413125</v>
      </c>
      <c r="W16" s="37">
        <f>+'3'!K7/1000</f>
        <v>10.464</v>
      </c>
      <c r="X16" s="394"/>
      <c r="Y16" s="213"/>
      <c r="Z16" s="37">
        <f>+'3'!D26/1000</f>
        <v>0.7</v>
      </c>
      <c r="AA16" s="37"/>
      <c r="AB16" s="37"/>
      <c r="AC16" s="37">
        <f>K16-T16</f>
        <v>0</v>
      </c>
      <c r="AD16" s="37">
        <f>+AM16+BA16</f>
        <v>16</v>
      </c>
      <c r="AE16" s="230" t="s">
        <v>493</v>
      </c>
      <c r="AF16" s="37"/>
      <c r="AG16" s="37">
        <v>16</v>
      </c>
      <c r="AH16" s="37"/>
      <c r="AI16" s="474"/>
      <c r="AJ16" s="37"/>
      <c r="AK16" s="37"/>
      <c r="AL16" s="37"/>
      <c r="AM16" s="37">
        <f>SUM(AF16:AL16)+AT16+AV16+AX16</f>
        <v>16</v>
      </c>
      <c r="AN16" s="87"/>
      <c r="AO16" s="37"/>
      <c r="AP16" s="37"/>
      <c r="AQ16" s="37"/>
      <c r="AR16" s="37">
        <f>SUM(AN16:AQ16)</f>
        <v>0</v>
      </c>
      <c r="AS16" s="37"/>
      <c r="AT16" s="37"/>
      <c r="AU16" s="37"/>
      <c r="AV16" s="37"/>
      <c r="AW16" s="37"/>
      <c r="AX16" s="37"/>
      <c r="AY16" s="37"/>
      <c r="AZ16" s="37"/>
      <c r="BA16" s="37">
        <f>+AR16+AS16+AU16+AW16+AY16+AZ16</f>
        <v>0</v>
      </c>
      <c r="BB16" s="50"/>
      <c r="BC16" s="51">
        <v>15</v>
      </c>
      <c r="BD16" s="51"/>
      <c r="BE16" s="50"/>
      <c r="BF16" s="51"/>
    </row>
    <row r="17" spans="1:58" ht="12.95" customHeight="1">
      <c r="A17" s="40"/>
      <c r="B17" s="41" t="s">
        <v>416</v>
      </c>
      <c r="C17" s="428"/>
      <c r="D17" s="41"/>
      <c r="E17" s="42">
        <v>15</v>
      </c>
      <c r="F17" s="42"/>
      <c r="G17" s="43"/>
      <c r="H17" s="44"/>
      <c r="I17" s="45"/>
      <c r="J17" s="86"/>
      <c r="K17" s="86"/>
      <c r="L17" s="35"/>
      <c r="M17" s="35"/>
      <c r="N17" s="46"/>
      <c r="O17" s="47"/>
      <c r="P17" s="48"/>
      <c r="Q17" s="47"/>
      <c r="R17" s="397"/>
      <c r="S17" s="397"/>
      <c r="T17" s="37"/>
      <c r="U17" s="37"/>
      <c r="V17" s="37"/>
      <c r="W17" s="37">
        <f>+'3'!K8/1000</f>
        <v>3.7719999999999998</v>
      </c>
      <c r="X17" s="394"/>
      <c r="Y17" s="213"/>
      <c r="Z17" s="37">
        <f>+'3'!D8/1000</f>
        <v>0.1</v>
      </c>
      <c r="AA17" s="37"/>
      <c r="AB17" s="37"/>
      <c r="AC17" s="37"/>
      <c r="AD17" s="37">
        <f>+AM17+BA17</f>
        <v>29</v>
      </c>
      <c r="AE17" s="230" t="s">
        <v>494</v>
      </c>
      <c r="AF17" s="33"/>
      <c r="AG17" s="33"/>
      <c r="AH17" s="33">
        <v>29</v>
      </c>
      <c r="AJ17" s="37"/>
      <c r="AK17" s="37"/>
      <c r="AL17" s="37"/>
      <c r="AM17" s="37">
        <f>SUM(AF17:AL17)+AT17+AV17+AX17</f>
        <v>29</v>
      </c>
      <c r="AN17" s="37"/>
      <c r="AO17" s="37"/>
      <c r="AP17" s="37"/>
      <c r="AQ17" s="37"/>
      <c r="AR17" s="37">
        <f>SUM(AN17:AQ17)</f>
        <v>0</v>
      </c>
      <c r="AS17" s="37"/>
      <c r="AT17" s="37"/>
      <c r="AU17" s="37"/>
      <c r="AV17" s="37"/>
      <c r="AW17" s="37"/>
      <c r="AX17" s="37"/>
      <c r="AY17" s="37"/>
      <c r="AZ17" s="37"/>
      <c r="BA17" s="37">
        <f>+AR17+AS17+AU17+AW17+AY17+AZ17</f>
        <v>0</v>
      </c>
      <c r="BB17" s="33"/>
      <c r="BC17" s="53"/>
      <c r="BD17" s="53"/>
      <c r="BE17" s="33"/>
      <c r="BF17" s="53"/>
    </row>
    <row r="18" spans="1:58" ht="12.95" customHeight="1">
      <c r="A18" s="40"/>
      <c r="B18" s="41"/>
      <c r="C18" s="428"/>
      <c r="D18" s="41"/>
      <c r="E18" s="42"/>
      <c r="F18" s="42"/>
      <c r="G18" s="43"/>
      <c r="H18" s="44"/>
      <c r="I18" s="45"/>
      <c r="J18" s="86"/>
      <c r="K18" s="86"/>
      <c r="L18" s="35"/>
      <c r="M18" s="35"/>
      <c r="N18" s="46"/>
      <c r="O18" s="47"/>
      <c r="P18" s="48"/>
      <c r="Q18" s="34"/>
      <c r="R18" s="397"/>
      <c r="S18" s="397"/>
      <c r="T18" s="37"/>
      <c r="U18" s="37"/>
      <c r="V18" s="37"/>
      <c r="W18" s="37"/>
      <c r="X18" s="394"/>
      <c r="Y18" s="213"/>
      <c r="Z18" s="37"/>
      <c r="AA18" s="37"/>
      <c r="AB18" s="37"/>
      <c r="AC18" s="37"/>
      <c r="AD18" s="37">
        <f>+AM18+BA18</f>
        <v>36</v>
      </c>
      <c r="AE18" s="233" t="s">
        <v>495</v>
      </c>
      <c r="AF18" s="37"/>
      <c r="AG18" s="37"/>
      <c r="AH18" s="37"/>
      <c r="AI18" s="474"/>
      <c r="AJ18" s="37">
        <v>36</v>
      </c>
      <c r="AK18" s="37"/>
      <c r="AL18" s="37"/>
      <c r="AM18" s="37">
        <f>SUM(AF18:AL18)+AT18+AV18+AX18</f>
        <v>36</v>
      </c>
      <c r="AN18" s="37"/>
      <c r="AO18" s="37"/>
      <c r="AP18" s="37"/>
      <c r="AQ18" s="37"/>
      <c r="AR18" s="37">
        <f>SUM(AN18:AQ18)</f>
        <v>0</v>
      </c>
      <c r="AS18" s="37"/>
      <c r="AT18" s="37"/>
      <c r="AU18" s="37"/>
      <c r="AV18" s="37"/>
      <c r="AW18" s="37"/>
      <c r="AX18" s="37"/>
      <c r="AY18" s="37"/>
      <c r="AZ18" s="37"/>
      <c r="BA18" s="37">
        <f>+AR18+AS18+AU18+AW18+AY18+AZ18</f>
        <v>0</v>
      </c>
      <c r="BB18" s="33"/>
      <c r="BC18" s="53"/>
      <c r="BD18" s="53"/>
      <c r="BE18" s="33"/>
      <c r="BF18" s="53"/>
    </row>
    <row r="19" spans="1:58" ht="12.95" customHeight="1">
      <c r="A19" s="40"/>
      <c r="B19" s="41"/>
      <c r="C19" s="428"/>
      <c r="D19" s="41"/>
      <c r="E19" s="42"/>
      <c r="F19" s="42"/>
      <c r="G19" s="472"/>
      <c r="H19" s="44"/>
      <c r="I19" s="45"/>
      <c r="J19" s="86"/>
      <c r="K19" s="86"/>
      <c r="L19" s="35"/>
      <c r="M19" s="35"/>
      <c r="N19" s="46"/>
      <c r="O19" s="47"/>
      <c r="P19" s="48"/>
      <c r="Q19" s="47"/>
      <c r="R19" s="397"/>
      <c r="S19" s="397"/>
      <c r="T19" s="37"/>
      <c r="U19" s="37"/>
      <c r="V19" s="37"/>
      <c r="W19" s="37"/>
      <c r="X19" s="394"/>
      <c r="Y19" s="37"/>
      <c r="Z19" s="37"/>
      <c r="AA19" s="49"/>
      <c r="AB19" s="49"/>
      <c r="AC19" s="37"/>
      <c r="AD19" s="37"/>
      <c r="AE19" s="230"/>
      <c r="AF19" s="37"/>
      <c r="AG19" s="37"/>
      <c r="AH19" s="37"/>
      <c r="AI19" s="474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3"/>
      <c r="BC19" s="51"/>
      <c r="BD19" s="51"/>
      <c r="BE19" s="33"/>
      <c r="BF19" s="51"/>
    </row>
    <row r="20" spans="1:58" ht="12.95" customHeight="1">
      <c r="A20" s="40">
        <v>45934</v>
      </c>
      <c r="B20" s="41" t="s">
        <v>416</v>
      </c>
      <c r="C20" s="428">
        <f>(M20*E20*O20*Q20)/100000000</f>
        <v>7.9494249999999997</v>
      </c>
      <c r="D20" s="41" t="s">
        <v>297</v>
      </c>
      <c r="E20" s="42">
        <v>12.5</v>
      </c>
      <c r="F20" s="42">
        <v>1</v>
      </c>
      <c r="G20" s="472">
        <v>1350</v>
      </c>
      <c r="H20" s="489">
        <v>0.2</v>
      </c>
      <c r="I20" s="45">
        <v>0.88</v>
      </c>
      <c r="J20" s="86">
        <f>E20*G20*(1-H20)*1440/1000000*2.87</f>
        <v>55.792800000000007</v>
      </c>
      <c r="K20" s="86">
        <f>(IF(G20&lt;L20,L20,G20)*(1-IF(H20&lt;N20,H20,N20))*E20*O20*Q20)/100000000</f>
        <v>7.9494249999999997</v>
      </c>
      <c r="L20" s="35">
        <v>1370</v>
      </c>
      <c r="M20" s="35">
        <f>+L20-L20*0.2</f>
        <v>1096</v>
      </c>
      <c r="N20" s="46">
        <f>1-(M20/L20)</f>
        <v>0.19999999999999996</v>
      </c>
      <c r="O20" s="47">
        <f>+'Trim Rwd'!H15</f>
        <v>275</v>
      </c>
      <c r="P20" s="48">
        <f>O20*(Q20-R20-S20)</f>
        <v>55275</v>
      </c>
      <c r="Q20" s="47">
        <v>211</v>
      </c>
      <c r="R20" s="397">
        <v>0</v>
      </c>
      <c r="S20" s="397">
        <v>10</v>
      </c>
      <c r="T20" s="37">
        <f>E20*M20*O20*Q20/100000000</f>
        <v>7.9494249999999997</v>
      </c>
      <c r="U20" s="37">
        <f>E20*M20*O20*(Q20-R20-S20)/100000000</f>
        <v>7.5726750000000003</v>
      </c>
      <c r="V20" s="37">
        <f>E20*G20*(1-N20)*O20/100*(R20+S20)/1000000</f>
        <v>0.37125000000000002</v>
      </c>
      <c r="W20" s="37">
        <f>+'4'!K7/1000</f>
        <v>12.007999999999999</v>
      </c>
      <c r="X20" s="394">
        <f>SUM(W20:W23)/SUM(K20:K23)</f>
        <v>0.88507614153115599</v>
      </c>
      <c r="Y20" s="37">
        <v>0</v>
      </c>
      <c r="Z20" s="37">
        <v>0</v>
      </c>
      <c r="AA20" s="49">
        <f>SUM(U20:U23)-SUM(W20:W23)-SUM(Z20:Z23)-SUM(Y20:Y23)</f>
        <v>3.8643696599999942</v>
      </c>
      <c r="AB20" s="49">
        <f>(SUM(K20:K23)-SUM(W20:W23)-SUM(Y20:Y23)-SUM(Z20:Z23)-SUM(AC20:AC23)-SUM(V20:V23))-AA20</f>
        <v>3.2395023999999495E-2</v>
      </c>
      <c r="AC20" s="37">
        <f>K20-T20</f>
        <v>0</v>
      </c>
      <c r="AD20" s="37">
        <f>+AM20+BA20</f>
        <v>20</v>
      </c>
      <c r="AE20" s="230" t="s">
        <v>515</v>
      </c>
      <c r="AF20" s="37">
        <v>20</v>
      </c>
      <c r="AG20" s="37"/>
      <c r="AH20" s="37"/>
      <c r="AI20" s="474"/>
      <c r="AJ20" s="37"/>
      <c r="AK20" s="37"/>
      <c r="AL20" s="37"/>
      <c r="AM20" s="37">
        <f>SUM(AF20:AL20)+AT20+AV20+AX20</f>
        <v>20</v>
      </c>
      <c r="AN20" s="37"/>
      <c r="AO20" s="37"/>
      <c r="AP20" s="37"/>
      <c r="AQ20" s="37"/>
      <c r="AR20" s="37">
        <f>SUM(AN20:AQ20)</f>
        <v>0</v>
      </c>
      <c r="AS20" s="37"/>
      <c r="AT20" s="37"/>
      <c r="AU20" s="37"/>
      <c r="AV20" s="37"/>
      <c r="AW20" s="37"/>
      <c r="AX20" s="37"/>
      <c r="AY20" s="37"/>
      <c r="AZ20" s="37"/>
      <c r="BA20" s="37">
        <f>+AR20+AS20+AU20+AW20+AY20+AZ20</f>
        <v>0</v>
      </c>
      <c r="BB20" s="33">
        <v>4</v>
      </c>
      <c r="BC20" s="51"/>
      <c r="BD20" s="51"/>
      <c r="BE20" s="33"/>
      <c r="BF20" s="51"/>
    </row>
    <row r="21" spans="1:58" ht="12.95" customHeight="1">
      <c r="A21" s="40"/>
      <c r="B21" s="41" t="s">
        <v>416</v>
      </c>
      <c r="C21" s="428">
        <f>(M21*E21*O21*Q21)/100000000</f>
        <v>11.167340183999999</v>
      </c>
      <c r="D21" s="41" t="s">
        <v>297</v>
      </c>
      <c r="E21" s="42">
        <v>12</v>
      </c>
      <c r="F21" s="42">
        <v>1</v>
      </c>
      <c r="G21" s="472">
        <v>1350</v>
      </c>
      <c r="H21" s="592">
        <v>0.24</v>
      </c>
      <c r="I21" s="45">
        <v>0.88</v>
      </c>
      <c r="J21" s="86">
        <f>E21*G21*(1-H21)*1440/1000000*2.87</f>
        <v>50.883033599999997</v>
      </c>
      <c r="K21" s="86">
        <f>(IF(G21&lt;L21,L21,G21)*(1-IF(H21&lt;N21,H21,N21))*E21*O21*Q21)/100000000</f>
        <v>11.167340183999999</v>
      </c>
      <c r="L21" s="35">
        <v>1370</v>
      </c>
      <c r="M21" s="35">
        <f>+L21-L21*0.22</f>
        <v>1068.5999999999999</v>
      </c>
      <c r="N21" s="46">
        <f>1-(M21/L21)</f>
        <v>0.22000000000000008</v>
      </c>
      <c r="O21" s="47">
        <f>+'Trim Rwd'!H16</f>
        <v>273</v>
      </c>
      <c r="P21" s="48">
        <f>O21*(Q21-R21-S21)</f>
        <v>84357</v>
      </c>
      <c r="Q21" s="47">
        <v>319</v>
      </c>
      <c r="R21" s="397">
        <v>0</v>
      </c>
      <c r="S21" s="397">
        <v>10</v>
      </c>
      <c r="T21" s="37">
        <f>E21*M21*O21*Q21/100000000</f>
        <v>11.167340183999999</v>
      </c>
      <c r="U21" s="37">
        <f>E21*M21*O21*(Q21-R21-S21)/100000000</f>
        <v>10.817266823999999</v>
      </c>
      <c r="V21" s="37">
        <f>E21*G21*(1-N21)*O21/100*(R21+S21)/1000000</f>
        <v>0.34496280000000001</v>
      </c>
      <c r="W21" s="37">
        <f>+'4'!K10/1000</f>
        <v>11.079000000000001</v>
      </c>
      <c r="X21" s="394"/>
      <c r="Y21" s="213"/>
      <c r="Z21" s="37"/>
      <c r="AA21" s="37"/>
      <c r="AB21" s="37"/>
      <c r="AC21" s="37">
        <f>K21-T21</f>
        <v>0</v>
      </c>
      <c r="AD21" s="37">
        <f>+AM21+BA21</f>
        <v>14</v>
      </c>
      <c r="AE21" s="230" t="s">
        <v>524</v>
      </c>
      <c r="AF21" s="37"/>
      <c r="AG21" s="37">
        <v>14</v>
      </c>
      <c r="AH21" s="37"/>
      <c r="AI21" s="474"/>
      <c r="AJ21" s="37"/>
      <c r="AK21" s="37"/>
      <c r="AL21" s="37"/>
      <c r="AM21" s="37">
        <f>SUM(AF21:AL21)+AT21+AV21+AX21</f>
        <v>14</v>
      </c>
      <c r="AN21" s="87"/>
      <c r="AO21" s="37"/>
      <c r="AP21" s="37"/>
      <c r="AQ21" s="37"/>
      <c r="AR21" s="37">
        <f>SUM(AN21:AQ21)</f>
        <v>0</v>
      </c>
      <c r="AS21" s="37"/>
      <c r="AT21" s="37"/>
      <c r="AU21" s="37"/>
      <c r="AV21" s="37"/>
      <c r="AW21" s="37"/>
      <c r="AX21" s="37"/>
      <c r="AY21" s="37"/>
      <c r="AZ21" s="37"/>
      <c r="BA21" s="37">
        <f>+AR21+AS21+AU21+AW21+AY21+AZ21</f>
        <v>0</v>
      </c>
      <c r="BB21" s="50"/>
      <c r="BC21" s="51">
        <v>11</v>
      </c>
      <c r="BD21" s="51"/>
      <c r="BE21" s="50"/>
      <c r="BF21" s="51"/>
    </row>
    <row r="22" spans="1:58" ht="12.95" customHeight="1">
      <c r="A22" s="40"/>
      <c r="B22" s="41" t="s">
        <v>416</v>
      </c>
      <c r="C22" s="428">
        <f>(M22*E22*O22*Q22)/100000000</f>
        <v>17.718136019999999</v>
      </c>
      <c r="D22" s="41" t="s">
        <v>297</v>
      </c>
      <c r="E22" s="42">
        <v>13.5</v>
      </c>
      <c r="F22" s="42">
        <v>1</v>
      </c>
      <c r="G22" s="472">
        <v>1350</v>
      </c>
      <c r="H22" s="592">
        <v>0.24</v>
      </c>
      <c r="I22" s="45">
        <v>0.88</v>
      </c>
      <c r="J22" s="86">
        <f>E22*G22*(1-H22)*1440/1000000*2.87</f>
        <v>57.243412800000009</v>
      </c>
      <c r="K22" s="86">
        <f>(IF(G22&lt;L22,L22,G22)*(1-IF(H22&lt;N22,H22,N22))*E22*O22*Q22)/100000000</f>
        <v>17.718136019999999</v>
      </c>
      <c r="L22" s="35">
        <v>1370</v>
      </c>
      <c r="M22" s="35">
        <f>+L22-L22*0.22</f>
        <v>1068.5999999999999</v>
      </c>
      <c r="N22" s="46">
        <f>1-(M22/L22)</f>
        <v>0.22000000000000008</v>
      </c>
      <c r="O22" s="47">
        <f>+'Trim Rwd'!H17</f>
        <v>276</v>
      </c>
      <c r="P22" s="48">
        <f>O22*(Q22-R22-S22)</f>
        <v>118956</v>
      </c>
      <c r="Q22" s="47">
        <v>445</v>
      </c>
      <c r="R22" s="397">
        <v>0</v>
      </c>
      <c r="S22" s="397">
        <v>14</v>
      </c>
      <c r="T22" s="37">
        <f>E22*M22*O22*Q22/100000000</f>
        <v>17.718136019999999</v>
      </c>
      <c r="U22" s="37">
        <f>E22*M22*O22*(Q22-R22-S22)/100000000</f>
        <v>17.160711515999999</v>
      </c>
      <c r="V22" s="37">
        <f>E22*G22*(1-N22)*O22/100*(R22+S22)/1000000</f>
        <v>0.5492869199999999</v>
      </c>
      <c r="W22" s="37">
        <f>+'4'!K11/1000</f>
        <v>15.672000000000001</v>
      </c>
      <c r="X22" s="394"/>
      <c r="Y22" s="213"/>
      <c r="Z22" s="37"/>
      <c r="AA22" s="37"/>
      <c r="AB22" s="37"/>
      <c r="AC22" s="37">
        <f>K22-T22</f>
        <v>0</v>
      </c>
      <c r="AD22" s="37">
        <f>+AM22+BA22</f>
        <v>27</v>
      </c>
      <c r="AE22" s="230" t="s">
        <v>525</v>
      </c>
      <c r="AF22" s="33"/>
      <c r="AG22" s="33"/>
      <c r="AH22" s="33">
        <v>27</v>
      </c>
      <c r="AJ22" s="37"/>
      <c r="AK22" s="37"/>
      <c r="AL22" s="37"/>
      <c r="AM22" s="37">
        <f>SUM(AF22:AL22)+AT22+AV22+AX22</f>
        <v>27</v>
      </c>
      <c r="AN22" s="37"/>
      <c r="AO22" s="37"/>
      <c r="AP22" s="37"/>
      <c r="AQ22" s="37"/>
      <c r="AR22" s="37">
        <f>SUM(AN22:AQ22)</f>
        <v>0</v>
      </c>
      <c r="AS22" s="37"/>
      <c r="AT22" s="37"/>
      <c r="AU22" s="37"/>
      <c r="AV22" s="37"/>
      <c r="AW22" s="37"/>
      <c r="AX22" s="37"/>
      <c r="AY22" s="37"/>
      <c r="AZ22" s="37"/>
      <c r="BA22" s="37">
        <f>+AR22+AS22+AU22+AW22+AY22+AZ22</f>
        <v>0</v>
      </c>
      <c r="BB22" s="33"/>
      <c r="BC22" s="53"/>
      <c r="BD22" s="53"/>
      <c r="BE22" s="33"/>
      <c r="BF22" s="53"/>
    </row>
    <row r="23" spans="1:58" ht="12.95" customHeight="1">
      <c r="A23" s="40"/>
      <c r="B23" s="41" t="s">
        <v>523</v>
      </c>
      <c r="C23" s="428">
        <f>(M23*E23*O23*Q23)/100000000</f>
        <v>16.099527599999998</v>
      </c>
      <c r="D23" s="41" t="s">
        <v>297</v>
      </c>
      <c r="E23" s="42">
        <v>12</v>
      </c>
      <c r="F23" s="42">
        <v>1</v>
      </c>
      <c r="G23" s="472">
        <v>1350</v>
      </c>
      <c r="H23" s="489">
        <v>0.24</v>
      </c>
      <c r="I23" s="45">
        <v>0.88</v>
      </c>
      <c r="J23" s="86">
        <f>E23*G23*(1-H23)*1440/1000000*2.87</f>
        <v>50.883033599999997</v>
      </c>
      <c r="K23" s="86">
        <f>(IF(G23&lt;L23,L23,G23)*(1-IF(H23&lt;N23,H23,N23))*E23*O23*Q23)/100000000</f>
        <v>16.099527599999998</v>
      </c>
      <c r="L23" s="35">
        <v>1370</v>
      </c>
      <c r="M23" s="35">
        <f>+L23-L23*0.22</f>
        <v>1068.5999999999999</v>
      </c>
      <c r="N23" s="46">
        <f>1-(M23/L23)</f>
        <v>0.22000000000000008</v>
      </c>
      <c r="O23" s="47">
        <f>+'Trim Rwd'!H18</f>
        <v>270</v>
      </c>
      <c r="P23" s="48">
        <f>O23*(Q23-R23-S23)</f>
        <v>118260</v>
      </c>
      <c r="Q23" s="47">
        <v>465</v>
      </c>
      <c r="R23" s="397">
        <v>0</v>
      </c>
      <c r="S23" s="397">
        <v>27</v>
      </c>
      <c r="T23" s="37">
        <f>E23*M23*O23*Q23/100000000</f>
        <v>16.099527599999998</v>
      </c>
      <c r="U23" s="37">
        <f>E23*M23*O23*(Q23-R23-S23)/100000000</f>
        <v>15.164716319999998</v>
      </c>
      <c r="V23" s="37">
        <f>E23*G23*(1-N23)*O23/100*(R23+S23)/1000000</f>
        <v>0.92116439999999988</v>
      </c>
      <c r="W23" s="37">
        <f>+'4'!K12/1000</f>
        <v>8.0920000000000005</v>
      </c>
      <c r="X23" s="394"/>
      <c r="Y23" s="37"/>
      <c r="Z23" s="37"/>
      <c r="AA23" s="49"/>
      <c r="AB23" s="49"/>
      <c r="AC23" s="37">
        <f>K23-T23</f>
        <v>0</v>
      </c>
      <c r="AD23" s="37"/>
      <c r="AE23" s="230"/>
      <c r="AF23" s="37"/>
      <c r="AG23" s="37"/>
      <c r="AH23" s="37"/>
      <c r="AI23" s="474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3"/>
      <c r="BC23" s="51"/>
      <c r="BD23" s="51"/>
      <c r="BE23" s="50"/>
      <c r="BF23" s="51"/>
    </row>
    <row r="24" spans="1:58" ht="12.95" customHeight="1">
      <c r="A24" s="40"/>
      <c r="B24" s="41"/>
      <c r="C24" s="428"/>
      <c r="D24" s="41"/>
      <c r="E24" s="42"/>
      <c r="F24" s="42"/>
      <c r="G24" s="472"/>
      <c r="H24" s="44"/>
      <c r="I24" s="45"/>
      <c r="J24" s="86"/>
      <c r="K24" s="86"/>
      <c r="L24" s="35"/>
      <c r="M24" s="35"/>
      <c r="N24" s="46"/>
      <c r="O24" s="47"/>
      <c r="P24" s="48"/>
      <c r="Q24" s="47"/>
      <c r="R24" s="397"/>
      <c r="S24" s="397"/>
      <c r="T24" s="37"/>
      <c r="U24" s="37"/>
      <c r="V24" s="37"/>
      <c r="W24" s="37"/>
      <c r="X24" s="394"/>
      <c r="Y24" s="213"/>
      <c r="Z24" s="37"/>
      <c r="AA24" s="37"/>
      <c r="AB24" s="37"/>
      <c r="AC24" s="37"/>
      <c r="AD24" s="37"/>
      <c r="AE24" s="230"/>
      <c r="AF24" s="37"/>
      <c r="AG24" s="37"/>
      <c r="AH24" s="37"/>
      <c r="AI24" s="474"/>
      <c r="AJ24" s="37"/>
      <c r="AK24" s="37"/>
      <c r="AL24" s="37"/>
      <c r="AM24" s="37"/>
      <c r="AN24" s="8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50"/>
      <c r="BC24" s="51"/>
      <c r="BD24" s="53"/>
      <c r="BE24" s="33"/>
      <c r="BF24" s="53"/>
    </row>
    <row r="25" spans="1:58" ht="12.95" customHeight="1">
      <c r="A25" s="40">
        <v>45935</v>
      </c>
      <c r="B25" s="41" t="s">
        <v>523</v>
      </c>
      <c r="C25" s="428">
        <f>(M25*E25*O25*Q25)/100000000</f>
        <v>48.824382695696208</v>
      </c>
      <c r="D25" s="41" t="s">
        <v>297</v>
      </c>
      <c r="E25" s="42">
        <v>12</v>
      </c>
      <c r="F25" s="42">
        <v>1</v>
      </c>
      <c r="G25" s="472">
        <v>1350</v>
      </c>
      <c r="H25" s="489">
        <v>0.24</v>
      </c>
      <c r="I25" s="45">
        <v>0.88</v>
      </c>
      <c r="J25" s="86">
        <f>E25*G25*(1-H25)*1440/1000000*2.87</f>
        <v>50.883033599999997</v>
      </c>
      <c r="K25" s="86">
        <f>(IF(G25&lt;L25,L25,G25)*(1-IF(H25&lt;N25,H25,N25))*E25*O25*Q25)/100000000</f>
        <v>48.824382695696208</v>
      </c>
      <c r="L25" s="35">
        <v>1370</v>
      </c>
      <c r="M25" s="35">
        <f>+L25-L25*0.24</f>
        <v>1041.2</v>
      </c>
      <c r="N25" s="46">
        <f>1-(M25/L25)</f>
        <v>0.24</v>
      </c>
      <c r="O25" s="47">
        <f>+'Trim Rwd'!H20</f>
        <v>273.26582278481015</v>
      </c>
      <c r="P25" s="48">
        <f>O25*(Q25-R25-S25)</f>
        <v>374374.17721518991</v>
      </c>
      <c r="Q25" s="47">
        <v>1430</v>
      </c>
      <c r="R25" s="397">
        <v>0</v>
      </c>
      <c r="S25" s="397">
        <v>60</v>
      </c>
      <c r="T25" s="37">
        <f>E25*M25*O25*Q25/100000000</f>
        <v>48.824382695696208</v>
      </c>
      <c r="U25" s="37">
        <f>E25*M25*O25*(Q25-R25-S25)/100000000</f>
        <v>46.775807197974693</v>
      </c>
      <c r="V25" s="37">
        <f>E25*G25*(1-N25)*O25/100*(R25+S25)/1000000</f>
        <v>2.0186692860759496</v>
      </c>
      <c r="W25" s="37">
        <f>+'5'!K12/1000</f>
        <v>42.722000000000001</v>
      </c>
      <c r="X25" s="394">
        <f>SUM(W25:W28)/SUM(K25:K28)</f>
        <v>0.8686689062107863</v>
      </c>
      <c r="Y25" s="37">
        <v>0</v>
      </c>
      <c r="Z25" s="37">
        <f>+'5'!D34/1000</f>
        <v>0.58699999999999997</v>
      </c>
      <c r="AA25" s="49">
        <f>SUM(U25:U28)-SUM(W25:W28)-SUM(Z25:Z28)-SUM(Y25:Y28)</f>
        <v>3.8234181979746928</v>
      </c>
      <c r="AB25" s="49">
        <f>(SUM(K25:K28)-SUM(W25:W28)-SUM(Y25:Y28)-SUM(Z25:Z28)-SUM(AC25:AC28)-SUM(V25:V28))-AA25</f>
        <v>2.9906211645565506E-2</v>
      </c>
      <c r="AC25" s="37">
        <f>K25-T25</f>
        <v>0</v>
      </c>
      <c r="AD25" s="37">
        <f>+AM25+BA25</f>
        <v>15</v>
      </c>
      <c r="AE25" s="230" t="s">
        <v>526</v>
      </c>
      <c r="AF25" s="37">
        <v>15</v>
      </c>
      <c r="AG25" s="37"/>
      <c r="AH25" s="37"/>
      <c r="AI25" s="474"/>
      <c r="AJ25" s="37"/>
      <c r="AK25" s="37"/>
      <c r="AL25" s="37"/>
      <c r="AM25" s="37">
        <f>SUM(AF25:AL25)+AT25+AV25+AX25</f>
        <v>15</v>
      </c>
      <c r="AN25" s="37"/>
      <c r="AO25" s="37"/>
      <c r="AP25" s="37"/>
      <c r="AQ25" s="37"/>
      <c r="AR25" s="37">
        <f>SUM(AN25:AQ25)</f>
        <v>0</v>
      </c>
      <c r="AS25" s="37"/>
      <c r="AT25" s="37"/>
      <c r="AU25" s="37"/>
      <c r="AV25" s="37"/>
      <c r="AW25" s="37"/>
      <c r="AX25" s="37"/>
      <c r="AY25" s="37"/>
      <c r="AZ25" s="37"/>
      <c r="BA25" s="37">
        <f>+AR25+AS25+AU25+AW25+AY25+AZ25</f>
        <v>0</v>
      </c>
      <c r="BB25" s="33">
        <v>3</v>
      </c>
      <c r="BC25" s="51"/>
      <c r="BD25" s="51"/>
      <c r="BE25" s="33"/>
      <c r="BF25" s="51"/>
    </row>
    <row r="26" spans="1:58" ht="12.95" customHeight="1">
      <c r="A26" s="40"/>
      <c r="B26" s="41" t="s">
        <v>523</v>
      </c>
      <c r="C26" s="428">
        <f>(M26*E26*O26*Q26)/100000000</f>
        <v>0.35661100000000001</v>
      </c>
      <c r="D26" s="41" t="s">
        <v>297</v>
      </c>
      <c r="E26" s="42">
        <v>12.5</v>
      </c>
      <c r="F26" s="42">
        <v>1</v>
      </c>
      <c r="G26" s="472">
        <v>1350</v>
      </c>
      <c r="H26" s="489">
        <v>0.24</v>
      </c>
      <c r="I26" s="45">
        <v>0.88</v>
      </c>
      <c r="J26" s="86">
        <f>E26*G26*(1-H26)*1440/1000000*2.87</f>
        <v>53.003160000000001</v>
      </c>
      <c r="K26" s="86">
        <f>(IF(G26&lt;L26,L26,G26)*(1-IF(H26&lt;N26,H26,N26))*E26*O26*Q26)/100000000</f>
        <v>0.35661100000000001</v>
      </c>
      <c r="L26" s="35">
        <v>1370</v>
      </c>
      <c r="M26" s="35">
        <f>+L26-L26*0.24</f>
        <v>1041.2</v>
      </c>
      <c r="N26" s="46">
        <f>1-(M26/L26)</f>
        <v>0.24</v>
      </c>
      <c r="O26" s="47">
        <f>+'Trim Rwd'!H22</f>
        <v>274</v>
      </c>
      <c r="P26" s="48">
        <f>O26*(Q26-R26-S26)</f>
        <v>2740</v>
      </c>
      <c r="Q26" s="47">
        <v>10</v>
      </c>
      <c r="R26" s="397">
        <v>0</v>
      </c>
      <c r="S26" s="397">
        <v>0</v>
      </c>
      <c r="T26" s="37">
        <f>E26*M26*O26*Q26/100000000</f>
        <v>0.35661100000000001</v>
      </c>
      <c r="U26" s="37">
        <f>E26*M26*O26*(Q26-R26-S26)/100000000</f>
        <v>0.35661100000000001</v>
      </c>
      <c r="V26" s="37">
        <f>E26*G26*(1-N26)*O26/100*(R26+S26)/1000000</f>
        <v>0</v>
      </c>
      <c r="W26" s="37">
        <f>+'5'!K13/1000</f>
        <v>0</v>
      </c>
      <c r="X26" s="394"/>
      <c r="Y26" s="213"/>
      <c r="Z26" s="37"/>
      <c r="AA26" s="37"/>
      <c r="AB26" s="37"/>
      <c r="AC26" s="37">
        <f>K26-T26</f>
        <v>0</v>
      </c>
      <c r="AD26" s="37">
        <f>+AM26+BA26</f>
        <v>16</v>
      </c>
      <c r="AE26" s="230" t="s">
        <v>462</v>
      </c>
      <c r="AF26" s="37"/>
      <c r="AG26" s="37">
        <v>16</v>
      </c>
      <c r="AH26" s="37"/>
      <c r="AI26" s="474"/>
      <c r="AJ26" s="37"/>
      <c r="AK26" s="37"/>
      <c r="AL26" s="37"/>
      <c r="AM26" s="37">
        <f>SUM(AF26:AL26)+AT26+AV26+AX26</f>
        <v>16</v>
      </c>
      <c r="AN26" s="87"/>
      <c r="AO26" s="37"/>
      <c r="AP26" s="37"/>
      <c r="AQ26" s="37"/>
      <c r="AR26" s="37">
        <f>SUM(AN26:AQ26)</f>
        <v>0</v>
      </c>
      <c r="AS26" s="37"/>
      <c r="AT26" s="37"/>
      <c r="AU26" s="37"/>
      <c r="AV26" s="37"/>
      <c r="AW26" s="37"/>
      <c r="AX26" s="37"/>
      <c r="AY26" s="37"/>
      <c r="AZ26" s="37"/>
      <c r="BA26" s="37">
        <f>+AR26+AS26+AU26+AW26+AY26+AZ26</f>
        <v>0</v>
      </c>
      <c r="BB26" s="50"/>
      <c r="BC26" s="51">
        <v>13</v>
      </c>
      <c r="BD26" s="51"/>
      <c r="BE26" s="50"/>
      <c r="BF26" s="51"/>
    </row>
    <row r="27" spans="1:58" ht="12.95" customHeight="1">
      <c r="A27" s="40"/>
      <c r="B27" s="41"/>
      <c r="C27" s="428"/>
      <c r="D27" s="41"/>
      <c r="E27" s="42"/>
      <c r="F27" s="42"/>
      <c r="G27" s="472"/>
      <c r="H27" s="44"/>
      <c r="I27" s="45"/>
      <c r="J27" s="86"/>
      <c r="K27" s="86"/>
      <c r="L27" s="35"/>
      <c r="M27" s="35"/>
      <c r="N27" s="46"/>
      <c r="O27" s="47"/>
      <c r="P27" s="48"/>
      <c r="Q27" s="47"/>
      <c r="R27" s="397"/>
      <c r="S27" s="397"/>
      <c r="T27" s="37"/>
      <c r="U27" s="37"/>
      <c r="V27" s="37"/>
      <c r="W27" s="37"/>
      <c r="X27" s="394"/>
      <c r="Y27" s="213"/>
      <c r="Z27" s="37"/>
      <c r="AA27" s="37"/>
      <c r="AB27" s="37"/>
      <c r="AC27" s="37"/>
      <c r="AD27" s="37">
        <f>+AM27+BA27</f>
        <v>29</v>
      </c>
      <c r="AE27" s="230" t="s">
        <v>527</v>
      </c>
      <c r="AF27" s="33"/>
      <c r="AG27" s="33"/>
      <c r="AH27" s="33">
        <v>29</v>
      </c>
      <c r="AJ27" s="37"/>
      <c r="AK27" s="37"/>
      <c r="AL27" s="37"/>
      <c r="AM27" s="37">
        <f>SUM(AF27:AL27)+AT27+AV27+AX27</f>
        <v>29</v>
      </c>
      <c r="AN27" s="37"/>
      <c r="AO27" s="37"/>
      <c r="AP27" s="37"/>
      <c r="AQ27" s="37"/>
      <c r="AR27" s="37">
        <f>SUM(AN27:AQ27)</f>
        <v>0</v>
      </c>
      <c r="AS27" s="37"/>
      <c r="AT27" s="37"/>
      <c r="AU27" s="37"/>
      <c r="AV27" s="37"/>
      <c r="AW27" s="37"/>
      <c r="AX27" s="37"/>
      <c r="AY27" s="37"/>
      <c r="AZ27" s="37"/>
      <c r="BA27" s="37">
        <f>+AR27+AS27+AU27+AW27+AY27+AZ27</f>
        <v>0</v>
      </c>
      <c r="BB27" s="33"/>
      <c r="BC27" s="53"/>
      <c r="BD27" s="53"/>
      <c r="BE27" s="33"/>
      <c r="BF27" s="53"/>
    </row>
    <row r="28" spans="1:58" ht="12.95" customHeight="1">
      <c r="A28" s="40"/>
      <c r="B28" s="41"/>
      <c r="C28" s="428"/>
      <c r="D28" s="41"/>
      <c r="E28" s="42"/>
      <c r="F28" s="42"/>
      <c r="G28" s="472"/>
      <c r="H28" s="44"/>
      <c r="I28" s="45"/>
      <c r="J28" s="86"/>
      <c r="K28" s="86"/>
      <c r="L28" s="35"/>
      <c r="M28" s="35"/>
      <c r="N28" s="46"/>
      <c r="O28" s="47"/>
      <c r="P28" s="48"/>
      <c r="Q28" s="47"/>
      <c r="R28" s="397"/>
      <c r="S28" s="397"/>
      <c r="T28" s="37"/>
      <c r="U28" s="37"/>
      <c r="V28" s="37"/>
      <c r="W28" s="37"/>
      <c r="X28" s="394"/>
      <c r="Y28" s="213"/>
      <c r="Z28" s="37"/>
      <c r="AA28" s="37"/>
      <c r="AB28" s="37"/>
      <c r="AC28" s="37"/>
      <c r="AD28" s="37"/>
      <c r="AE28" s="230"/>
      <c r="AF28" s="37"/>
      <c r="AG28" s="37"/>
      <c r="AH28" s="37"/>
      <c r="AI28" s="474"/>
      <c r="AJ28" s="37"/>
      <c r="AK28" s="37"/>
      <c r="AL28" s="37"/>
      <c r="AM28" s="37"/>
      <c r="AN28" s="8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50"/>
      <c r="BC28" s="51"/>
      <c r="BD28" s="53"/>
      <c r="BE28" s="33"/>
      <c r="BF28" s="53"/>
    </row>
    <row r="29" spans="1:58" ht="12.95" customHeight="1">
      <c r="A29" s="40">
        <v>45936</v>
      </c>
      <c r="B29" s="41" t="s">
        <v>523</v>
      </c>
      <c r="C29" s="428">
        <f>(M29*E29*O29*Q29)/100000000</f>
        <v>51.369833142857132</v>
      </c>
      <c r="D29" s="41" t="s">
        <v>297</v>
      </c>
      <c r="E29" s="42">
        <v>12.5</v>
      </c>
      <c r="F29" s="42">
        <v>1</v>
      </c>
      <c r="G29" s="472">
        <v>1350</v>
      </c>
      <c r="H29" s="489">
        <v>0.24</v>
      </c>
      <c r="I29" s="45">
        <v>0.88</v>
      </c>
      <c r="J29" s="86">
        <f>E29*G29*(1-H29)*1440/1000000*2.87</f>
        <v>53.003160000000001</v>
      </c>
      <c r="K29" s="86">
        <f>(IF(G29&lt;L29,L29,G29)*(1-IF(H29&lt;N29,H29,N29))*E29*O29*Q29)/100000000</f>
        <v>51.369833142857132</v>
      </c>
      <c r="L29" s="35">
        <v>1370</v>
      </c>
      <c r="M29" s="35">
        <f>+L29-L29*0.24</f>
        <v>1041.2</v>
      </c>
      <c r="N29" s="46">
        <f>1-(M29/L29)</f>
        <v>0.24</v>
      </c>
      <c r="O29" s="47">
        <f>+'Trim Rwd'!H24</f>
        <v>274.09523809523807</v>
      </c>
      <c r="P29" s="48">
        <f>O29*(Q29-R29-S29)</f>
        <v>368658.09523809521</v>
      </c>
      <c r="Q29" s="47">
        <v>1440</v>
      </c>
      <c r="R29" s="397">
        <v>0</v>
      </c>
      <c r="S29" s="397">
        <v>95</v>
      </c>
      <c r="T29" s="37">
        <f>E29*M29*O29*Q29/100000000</f>
        <v>51.369833142857132</v>
      </c>
      <c r="U29" s="37">
        <f>E29*M29*O29*(Q29-R29-S29)/100000000</f>
        <v>47.980851095238087</v>
      </c>
      <c r="V29" s="37">
        <f>E29*G29*(1-N29)*O29/100*(R29+S29)/1000000</f>
        <v>3.3395078571428569</v>
      </c>
      <c r="W29" s="37">
        <f>+'6'!K34/1000</f>
        <v>44.848999999999997</v>
      </c>
      <c r="X29" s="394">
        <f>SUM(W29:W32)/SUM(K29:K32)</f>
        <v>0.87306104100585646</v>
      </c>
      <c r="Y29" s="37">
        <v>0</v>
      </c>
      <c r="Z29" s="37">
        <v>0</v>
      </c>
      <c r="AA29" s="49">
        <f>SUM(U29:U32)-SUM(W29:W32)-SUM(Z29:Z32)-SUM(Y29:Y32)</f>
        <v>3.1318510952380905</v>
      </c>
      <c r="AB29" s="49">
        <f>(SUM(K29:K32)-SUM(W29:W32)-SUM(Y29:Y32)-SUM(Z29:Z32)-SUM(AC29:AC32)-SUM(V29:V32))-AA29</f>
        <v>4.9474190476188173E-2</v>
      </c>
      <c r="AC29" s="37">
        <f>K29-T29</f>
        <v>0</v>
      </c>
      <c r="AD29" s="37">
        <f>+AM29+BA29</f>
        <v>40</v>
      </c>
      <c r="AE29" s="230" t="s">
        <v>526</v>
      </c>
      <c r="AF29" s="37">
        <v>40</v>
      </c>
      <c r="AG29" s="37"/>
      <c r="AH29" s="37"/>
      <c r="AI29" s="474"/>
      <c r="AJ29" s="37"/>
      <c r="AK29" s="37"/>
      <c r="AL29" s="37"/>
      <c r="AM29" s="37">
        <f>SUM(AF29:AL29)+AT29+AV29+AX29</f>
        <v>40</v>
      </c>
      <c r="AN29" s="37"/>
      <c r="AO29" s="37"/>
      <c r="AP29" s="37"/>
      <c r="AQ29" s="37"/>
      <c r="AR29" s="37">
        <f>SUM(AN29:AQ29)</f>
        <v>0</v>
      </c>
      <c r="AS29" s="37"/>
      <c r="AT29" s="37"/>
      <c r="AU29" s="37"/>
      <c r="AV29" s="37"/>
      <c r="AW29" s="37"/>
      <c r="AX29" s="37"/>
      <c r="AY29" s="37"/>
      <c r="AZ29" s="37"/>
      <c r="BA29" s="37">
        <f>+AR29+AS29+AU29+AW29+AY29+AZ29</f>
        <v>0</v>
      </c>
      <c r="BB29" s="33">
        <v>3</v>
      </c>
      <c r="BC29" s="51"/>
      <c r="BD29" s="51"/>
      <c r="BE29" s="33"/>
      <c r="BF29" s="51"/>
    </row>
    <row r="30" spans="1:58" ht="12.95" customHeight="1">
      <c r="A30" s="40"/>
      <c r="B30" s="41"/>
      <c r="C30" s="428"/>
      <c r="D30" s="41"/>
      <c r="E30" s="42"/>
      <c r="F30" s="42"/>
      <c r="G30" s="472"/>
      <c r="H30" s="44"/>
      <c r="I30" s="45"/>
      <c r="J30" s="86"/>
      <c r="K30" s="86"/>
      <c r="L30" s="35"/>
      <c r="M30" s="35"/>
      <c r="N30" s="46"/>
      <c r="O30" s="47"/>
      <c r="P30" s="48"/>
      <c r="Q30" s="47"/>
      <c r="R30" s="397"/>
      <c r="S30" s="397"/>
      <c r="T30" s="37"/>
      <c r="U30" s="37"/>
      <c r="V30" s="37"/>
      <c r="W30" s="37"/>
      <c r="X30" s="394"/>
      <c r="Y30" s="213"/>
      <c r="Z30" s="37"/>
      <c r="AA30" s="37"/>
      <c r="AB30" s="37"/>
      <c r="AC30" s="37"/>
      <c r="AD30" s="37">
        <f>+AM30+BA30</f>
        <v>23</v>
      </c>
      <c r="AE30" s="230" t="s">
        <v>493</v>
      </c>
      <c r="AF30" s="37"/>
      <c r="AG30" s="37">
        <v>23</v>
      </c>
      <c r="AH30" s="37"/>
      <c r="AI30" s="474"/>
      <c r="AJ30" s="37"/>
      <c r="AK30" s="37"/>
      <c r="AL30" s="37"/>
      <c r="AM30" s="37">
        <f>SUM(AF30:AL30)+AT30+AV30+AX30</f>
        <v>23</v>
      </c>
      <c r="AN30" s="87"/>
      <c r="AO30" s="37"/>
      <c r="AP30" s="37"/>
      <c r="AQ30" s="37"/>
      <c r="AR30" s="37">
        <f>SUM(AN30:AQ30)</f>
        <v>0</v>
      </c>
      <c r="AS30" s="37"/>
      <c r="AT30" s="37"/>
      <c r="AU30" s="37"/>
      <c r="AV30" s="37"/>
      <c r="AW30" s="37"/>
      <c r="AX30" s="37"/>
      <c r="AY30" s="37"/>
      <c r="AZ30" s="37"/>
      <c r="BA30" s="37">
        <f>+AR30+AS30+AU30+AW30+AY30+AZ30</f>
        <v>0</v>
      </c>
      <c r="BB30" s="50"/>
      <c r="BC30" s="51">
        <v>15</v>
      </c>
      <c r="BD30" s="51"/>
      <c r="BE30" s="50"/>
      <c r="BF30" s="51"/>
    </row>
    <row r="31" spans="1:58" ht="12.95" customHeight="1">
      <c r="A31" s="40"/>
      <c r="B31" s="41"/>
      <c r="C31" s="428"/>
      <c r="D31" s="41"/>
      <c r="E31" s="42"/>
      <c r="F31" s="42"/>
      <c r="G31" s="472"/>
      <c r="H31" s="44"/>
      <c r="I31" s="45"/>
      <c r="J31" s="86"/>
      <c r="K31" s="86"/>
      <c r="L31" s="35"/>
      <c r="M31" s="35"/>
      <c r="N31" s="46"/>
      <c r="O31" s="47"/>
      <c r="P31" s="48"/>
      <c r="Q31" s="47"/>
      <c r="R31" s="397"/>
      <c r="S31" s="397"/>
      <c r="T31" s="37"/>
      <c r="U31" s="37"/>
      <c r="V31" s="37"/>
      <c r="W31" s="37"/>
      <c r="X31" s="394"/>
      <c r="Y31" s="213"/>
      <c r="Z31" s="37"/>
      <c r="AA31" s="37"/>
      <c r="AB31" s="37"/>
      <c r="AC31" s="37"/>
      <c r="AD31" s="37">
        <f>+AM31+BA31</f>
        <v>32</v>
      </c>
      <c r="AE31" s="230" t="s">
        <v>527</v>
      </c>
      <c r="AF31" s="33"/>
      <c r="AG31" s="33"/>
      <c r="AH31" s="33">
        <v>32</v>
      </c>
      <c r="AJ31" s="37"/>
      <c r="AK31" s="37"/>
      <c r="AL31" s="37"/>
      <c r="AM31" s="37">
        <f>SUM(AF31:AL31)+AT31+AV31+AX31</f>
        <v>32</v>
      </c>
      <c r="AN31" s="37"/>
      <c r="AO31" s="37"/>
      <c r="AP31" s="37"/>
      <c r="AQ31" s="37"/>
      <c r="AR31" s="37">
        <f>SUM(AN31:AQ31)</f>
        <v>0</v>
      </c>
      <c r="AS31" s="37"/>
      <c r="AT31" s="37"/>
      <c r="AU31" s="37"/>
      <c r="AV31" s="37"/>
      <c r="AW31" s="37"/>
      <c r="AX31" s="37"/>
      <c r="AY31" s="37"/>
      <c r="AZ31" s="37"/>
      <c r="BA31" s="37">
        <f>+AR31+AS31+AU31+AW31+AY31+AZ31</f>
        <v>0</v>
      </c>
      <c r="BB31" s="33"/>
      <c r="BC31" s="53"/>
      <c r="BD31" s="53"/>
      <c r="BE31" s="33"/>
      <c r="BF31" s="53"/>
    </row>
    <row r="32" spans="1:58" ht="12.95" customHeight="1">
      <c r="A32" s="40"/>
      <c r="B32" s="41"/>
      <c r="C32" s="428"/>
      <c r="D32" s="41"/>
      <c r="E32" s="42"/>
      <c r="F32" s="42"/>
      <c r="G32" s="472"/>
      <c r="H32" s="44"/>
      <c r="I32" s="45"/>
      <c r="J32" s="86"/>
      <c r="K32" s="86"/>
      <c r="L32" s="35"/>
      <c r="M32" s="35"/>
      <c r="N32" s="46"/>
      <c r="O32" s="47"/>
      <c r="P32" s="48"/>
      <c r="Q32" s="47"/>
      <c r="R32" s="397"/>
      <c r="S32" s="397"/>
      <c r="T32" s="37"/>
      <c r="U32" s="37"/>
      <c r="V32" s="37"/>
      <c r="W32" s="37"/>
      <c r="X32" s="394"/>
      <c r="Y32" s="213"/>
      <c r="Z32" s="37"/>
      <c r="AA32" s="37"/>
      <c r="AB32" s="37"/>
      <c r="AC32" s="37"/>
      <c r="AD32" s="37"/>
      <c r="AE32" s="230"/>
      <c r="AF32" s="33"/>
      <c r="AG32" s="33"/>
      <c r="AH32" s="33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3"/>
      <c r="BC32" s="53"/>
      <c r="BD32" s="51"/>
      <c r="BE32" s="51"/>
      <c r="BF32" s="51"/>
    </row>
    <row r="33" spans="1:58" ht="12.95" customHeight="1">
      <c r="A33" s="40">
        <v>45937</v>
      </c>
      <c r="B33" s="41" t="s">
        <v>523</v>
      </c>
      <c r="C33" s="428">
        <f>(M33*E33*O33*Q33)/100000000</f>
        <v>11.411552</v>
      </c>
      <c r="D33" s="41" t="s">
        <v>297</v>
      </c>
      <c r="E33" s="42">
        <v>12.5</v>
      </c>
      <c r="F33" s="42">
        <v>1</v>
      </c>
      <c r="G33" s="472">
        <v>1350</v>
      </c>
      <c r="H33" s="489">
        <v>0.24</v>
      </c>
      <c r="I33" s="45">
        <v>0.88</v>
      </c>
      <c r="J33" s="86">
        <f>E33*G33*(1-H33)*1440/1000000*2.87</f>
        <v>53.003160000000001</v>
      </c>
      <c r="K33" s="86">
        <f>(IF(G33&lt;L33,L33,G33)*(1-IF(H33&lt;N33,H33,N33))*E33*O33*Q33)/100000000</f>
        <v>11.411552</v>
      </c>
      <c r="L33" s="35">
        <v>1370</v>
      </c>
      <c r="M33" s="35">
        <f>+L33-L33*0.24</f>
        <v>1041.2</v>
      </c>
      <c r="N33" s="46">
        <f>1-(M33/L33)</f>
        <v>0.24</v>
      </c>
      <c r="O33" s="47">
        <f>+'Trim Rwd'!H27</f>
        <v>274</v>
      </c>
      <c r="P33" s="48">
        <f>O33*(Q33-R33-S33)</f>
        <v>81378</v>
      </c>
      <c r="Q33" s="47">
        <v>320</v>
      </c>
      <c r="R33" s="397">
        <v>0</v>
      </c>
      <c r="S33" s="397">
        <v>23</v>
      </c>
      <c r="T33" s="37">
        <f>E33*M33*O33*Q33/100000000</f>
        <v>11.411552</v>
      </c>
      <c r="U33" s="37">
        <f>E33*M33*O33*(Q33-R33-S33)/100000000</f>
        <v>10.591346700000001</v>
      </c>
      <c r="V33" s="37">
        <f>E33*G33*(1-N33)*O33/100*(R33+S33)/1000000</f>
        <v>0.80823149999999999</v>
      </c>
      <c r="W33" s="37">
        <f>+'7'!K8/1000</f>
        <v>15.393000000000001</v>
      </c>
      <c r="X33" s="394">
        <f>SUM(W33:W36)/SUM(K33:K36)</f>
        <v>0.87556478294184226</v>
      </c>
      <c r="Y33" s="37">
        <v>0</v>
      </c>
      <c r="Z33" s="37">
        <v>0</v>
      </c>
      <c r="AA33" s="49">
        <f>SUM(U33:U36)-SUM(W33:W36)-SUM(Z33:Z36)-SUM(Y33:Y36)</f>
        <v>3.3520081865454472</v>
      </c>
      <c r="AB33" s="49">
        <f>(SUM(K33:K36)-SUM(W33:W36)-SUM(Y33:Y36)-SUM(Z33:Z36)-SUM(AC33:AC36)-SUM(V33:V36))-AA33</f>
        <v>4.2551397090917931E-2</v>
      </c>
      <c r="AC33" s="37">
        <f>K33-T33</f>
        <v>0</v>
      </c>
      <c r="AD33" s="37">
        <f>+AM33+BA33</f>
        <v>30</v>
      </c>
      <c r="AE33" s="230" t="s">
        <v>491</v>
      </c>
      <c r="AF33" s="37">
        <v>30</v>
      </c>
      <c r="AG33" s="37"/>
      <c r="AH33" s="37"/>
      <c r="AI33" s="474"/>
      <c r="AJ33" s="37"/>
      <c r="AK33" s="37"/>
      <c r="AL33" s="37"/>
      <c r="AM33" s="37">
        <f>SUM(AF33:AL33)+AT33+AV33+AX33</f>
        <v>30</v>
      </c>
      <c r="AN33" s="37"/>
      <c r="AO33" s="37"/>
      <c r="AP33" s="37"/>
      <c r="AQ33" s="37"/>
      <c r="AR33" s="37">
        <f>SUM(AN33:AQ33)</f>
        <v>0</v>
      </c>
      <c r="AS33" s="37"/>
      <c r="AT33" s="37"/>
      <c r="AU33" s="37"/>
      <c r="AV33" s="37"/>
      <c r="AW33" s="37"/>
      <c r="AX33" s="37"/>
      <c r="AY33" s="37"/>
      <c r="AZ33" s="37"/>
      <c r="BA33" s="37">
        <f>+AR33+AS33+AU33+AW33+AY33+AZ33</f>
        <v>0</v>
      </c>
      <c r="BB33" s="33">
        <v>6</v>
      </c>
      <c r="BC33" s="51"/>
      <c r="BD33" s="51"/>
      <c r="BE33" s="33"/>
      <c r="BF33" s="51"/>
    </row>
    <row r="34" spans="1:58" ht="12.95" customHeight="1">
      <c r="A34" s="40"/>
      <c r="B34" s="41" t="s">
        <v>523</v>
      </c>
      <c r="C34" s="428">
        <f>(M34*E34*O34*Q34)/100000000</f>
        <v>21.057380247272729</v>
      </c>
      <c r="D34" s="41" t="s">
        <v>297</v>
      </c>
      <c r="E34" s="42">
        <v>12</v>
      </c>
      <c r="F34" s="42">
        <v>1</v>
      </c>
      <c r="G34" s="472">
        <v>1350</v>
      </c>
      <c r="H34" s="489">
        <v>0.24</v>
      </c>
      <c r="I34" s="45">
        <v>0.88</v>
      </c>
      <c r="J34" s="86">
        <f>E34*G34*(1-H34)*1440/1000000*2.87</f>
        <v>50.883033599999997</v>
      </c>
      <c r="K34" s="86">
        <f>(IF(G34&lt;L34,L34,G34)*(1-IF(H34&lt;N34,H34,N34))*E34*O34*Q34)/100000000</f>
        <v>21.057380247272729</v>
      </c>
      <c r="L34" s="35">
        <v>1370</v>
      </c>
      <c r="M34" s="35">
        <f>+L34-L34*0.24</f>
        <v>1041.2</v>
      </c>
      <c r="N34" s="46">
        <f>1-(M34/L34)</f>
        <v>0.24</v>
      </c>
      <c r="O34" s="47">
        <f>+'Trim Rwd'!H28</f>
        <v>267.5151515151515</v>
      </c>
      <c r="P34" s="48">
        <f>O34*(Q34-R34-S34)</f>
        <v>160509.09090909091</v>
      </c>
      <c r="Q34" s="47">
        <f>40+60+10+520</f>
        <v>630</v>
      </c>
      <c r="R34" s="397">
        <v>0</v>
      </c>
      <c r="S34" s="397">
        <v>30</v>
      </c>
      <c r="T34" s="37">
        <f>E34*M34*O34*Q34/100000000</f>
        <v>21.057380247272729</v>
      </c>
      <c r="U34" s="37">
        <f>E34*M34*O34*(Q34-R34-S34)/100000000</f>
        <v>20.054647854545454</v>
      </c>
      <c r="V34" s="37">
        <f>E34*G34*(1-N34)*O34/100*(R34+S34)/1000000</f>
        <v>0.98809396363636359</v>
      </c>
      <c r="W34" s="37">
        <f>+'7'!K12/1000</f>
        <v>18.489999999999998</v>
      </c>
      <c r="X34" s="394"/>
      <c r="Y34" s="213"/>
      <c r="Z34" s="37"/>
      <c r="AA34" s="37"/>
      <c r="AB34" s="37"/>
      <c r="AC34" s="37">
        <f>K34-T34</f>
        <v>0</v>
      </c>
      <c r="AD34" s="37">
        <f>+AM34+BA34</f>
        <v>23</v>
      </c>
      <c r="AE34" s="230" t="s">
        <v>556</v>
      </c>
      <c r="AF34" s="37"/>
      <c r="AG34" s="37">
        <v>23</v>
      </c>
      <c r="AH34" s="37"/>
      <c r="AI34" s="474"/>
      <c r="AJ34" s="37"/>
      <c r="AK34" s="37"/>
      <c r="AL34" s="37"/>
      <c r="AM34" s="37">
        <f>SUM(AF34:AL34)+AT34+AV34+AX34</f>
        <v>23</v>
      </c>
      <c r="AN34" s="87"/>
      <c r="AO34" s="37"/>
      <c r="AP34" s="37"/>
      <c r="AQ34" s="37"/>
      <c r="AR34" s="37">
        <f>SUM(AN34:AQ34)</f>
        <v>0</v>
      </c>
      <c r="AS34" s="37"/>
      <c r="AT34" s="37"/>
      <c r="AU34" s="37"/>
      <c r="AV34" s="37"/>
      <c r="AW34" s="37"/>
      <c r="AX34" s="37"/>
      <c r="AY34" s="37"/>
      <c r="AZ34" s="37"/>
      <c r="BA34" s="37">
        <f>+AR34+AS34+AU34+AW34+AY34+AZ34</f>
        <v>0</v>
      </c>
      <c r="BB34" s="50"/>
      <c r="BC34" s="51">
        <v>18</v>
      </c>
      <c r="BD34" s="51"/>
      <c r="BE34" s="50"/>
      <c r="BF34" s="51"/>
    </row>
    <row r="35" spans="1:58" ht="12.95" customHeight="1">
      <c r="A35" s="40"/>
      <c r="B35" s="41" t="s">
        <v>523</v>
      </c>
      <c r="C35" s="428">
        <f>(M35*E35*O35*Q35)/100000000</f>
        <v>12.241596639999999</v>
      </c>
      <c r="D35" s="41" t="s">
        <v>297</v>
      </c>
      <c r="E35" s="42">
        <v>13</v>
      </c>
      <c r="F35" s="42">
        <v>1</v>
      </c>
      <c r="G35" s="472">
        <v>1350</v>
      </c>
      <c r="H35" s="489">
        <v>0.24</v>
      </c>
      <c r="I35" s="45">
        <v>0.88</v>
      </c>
      <c r="J35" s="86">
        <f>E35*G35*(1-H35)*1440/1000000*2.87</f>
        <v>55.123286400000005</v>
      </c>
      <c r="K35" s="86">
        <f>(IF(G35&lt;L35,L35,G35)*(1-IF(H35&lt;N35,H35,N35))*E35*O35*Q35)/100000000</f>
        <v>12.241596639999999</v>
      </c>
      <c r="L35" s="35">
        <v>1370</v>
      </c>
      <c r="M35" s="35">
        <f>+L35-L35*0.24</f>
        <v>1041.2</v>
      </c>
      <c r="N35" s="46">
        <f>1-(M35/L35)</f>
        <v>0.24</v>
      </c>
      <c r="O35" s="47">
        <f>+'Trim Rwd'!H30</f>
        <v>266</v>
      </c>
      <c r="P35" s="48">
        <f>O35*(Q35-R35-S35)</f>
        <v>84322</v>
      </c>
      <c r="Q35" s="47">
        <f>10+330</f>
        <v>340</v>
      </c>
      <c r="R35" s="397">
        <v>0</v>
      </c>
      <c r="S35" s="397">
        <v>23</v>
      </c>
      <c r="T35" s="37">
        <f>E35*M35*O35*Q35/100000000</f>
        <v>12.241596639999999</v>
      </c>
      <c r="U35" s="37">
        <f>E35*M35*O35*(Q35-R35-S35)/100000000</f>
        <v>11.413488632</v>
      </c>
      <c r="V35" s="37">
        <f>E35*G35*(1-N35)*O35/100*(R35+S35)/1000000</f>
        <v>0.81601884000000013</v>
      </c>
      <c r="W35" s="37">
        <f>+'7'!K9/1000</f>
        <v>10.212</v>
      </c>
      <c r="X35" s="394"/>
      <c r="Y35" s="213"/>
      <c r="Z35" s="37"/>
      <c r="AA35" s="37"/>
      <c r="AB35" s="37"/>
      <c r="AC35" s="37">
        <f>K35-T35</f>
        <v>0</v>
      </c>
      <c r="AD35" s="37">
        <f>+AM35+BA35</f>
        <v>30</v>
      </c>
      <c r="AE35" s="230" t="s">
        <v>494</v>
      </c>
      <c r="AF35" s="33"/>
      <c r="AG35" s="33"/>
      <c r="AH35" s="33">
        <v>30</v>
      </c>
      <c r="AJ35" s="37"/>
      <c r="AK35" s="37"/>
      <c r="AL35" s="37"/>
      <c r="AM35" s="37">
        <f>SUM(AF35:AL35)+AT35+AV35+AX35</f>
        <v>30</v>
      </c>
      <c r="AN35" s="37"/>
      <c r="AO35" s="37"/>
      <c r="AP35" s="37"/>
      <c r="AQ35" s="37"/>
      <c r="AR35" s="37">
        <f>SUM(AN35:AQ35)</f>
        <v>0</v>
      </c>
      <c r="AS35" s="37"/>
      <c r="AT35" s="37"/>
      <c r="AU35" s="37"/>
      <c r="AV35" s="37"/>
      <c r="AW35" s="37"/>
      <c r="AX35" s="37"/>
      <c r="AY35" s="37"/>
      <c r="AZ35" s="37"/>
      <c r="BA35" s="37">
        <f>+AR35+AS35+AU35+AW35+AY35+AZ35</f>
        <v>0</v>
      </c>
      <c r="BB35" s="33"/>
      <c r="BC35" s="53"/>
      <c r="BD35" s="53"/>
      <c r="BE35" s="33"/>
      <c r="BF35" s="53"/>
    </row>
    <row r="36" spans="1:58" ht="12.95" customHeight="1">
      <c r="A36" s="40"/>
      <c r="B36" s="41" t="s">
        <v>416</v>
      </c>
      <c r="C36" s="428">
        <f>(M36*E36*O36*Q36)/100000000</f>
        <v>5.6512500000000001</v>
      </c>
      <c r="D36" s="41" t="s">
        <v>297</v>
      </c>
      <c r="E36" s="42">
        <v>12.5</v>
      </c>
      <c r="F36" s="42">
        <v>1</v>
      </c>
      <c r="G36" s="472">
        <v>1350</v>
      </c>
      <c r="H36" s="489">
        <v>0.2</v>
      </c>
      <c r="I36" s="45">
        <v>0.88</v>
      </c>
      <c r="J36" s="86">
        <f>E36*G36*(1-H36)*1440/1000000*2.87</f>
        <v>55.792800000000007</v>
      </c>
      <c r="K36" s="86">
        <f>(IF(G36&lt;L36,L36,G36)*(1-IF(H36&lt;N36,H36,N36))*E36*O36*Q36)/100000000</f>
        <v>5.6512500000000001</v>
      </c>
      <c r="L36" s="35">
        <v>1370</v>
      </c>
      <c r="M36" s="35">
        <f>+L36-L36*0.2</f>
        <v>1096</v>
      </c>
      <c r="N36" s="46">
        <f>1-(M36/L36)</f>
        <v>0.19999999999999996</v>
      </c>
      <c r="O36" s="47">
        <f>+'Trim Rwd'!H31</f>
        <v>275</v>
      </c>
      <c r="P36" s="48">
        <f>O36*(Q36-R36-S36)</f>
        <v>39325</v>
      </c>
      <c r="Q36" s="47">
        <f>30+120</f>
        <v>150</v>
      </c>
      <c r="R36" s="397">
        <v>0</v>
      </c>
      <c r="S36" s="397">
        <v>7</v>
      </c>
      <c r="T36" s="37">
        <f>E36*M36*O36*Q36/100000000</f>
        <v>5.6512500000000001</v>
      </c>
      <c r="U36" s="37">
        <f>E36*M36*O36*(Q36-R36-S36)/100000000</f>
        <v>5.3875250000000001</v>
      </c>
      <c r="V36" s="37">
        <f>E36*G36*(1-N36)*O36/100*(R36+S36)/1000000</f>
        <v>0.25987500000000002</v>
      </c>
      <c r="W36" s="37">
        <f>+'7'!K10/1000</f>
        <v>0</v>
      </c>
      <c r="X36" s="394"/>
      <c r="Y36" s="213"/>
      <c r="Z36" s="37"/>
      <c r="AA36" s="37"/>
      <c r="AB36" s="37"/>
      <c r="AC36" s="37">
        <f>K36-T36</f>
        <v>0</v>
      </c>
      <c r="AD36" s="37"/>
      <c r="AE36" s="230"/>
      <c r="AF36" s="37"/>
      <c r="AG36" s="37"/>
      <c r="AH36" s="37"/>
      <c r="AI36" s="474"/>
      <c r="AJ36" s="37"/>
      <c r="AK36" s="37"/>
      <c r="AL36" s="37"/>
      <c r="AM36" s="37"/>
      <c r="AN36" s="8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50"/>
      <c r="BC36" s="51"/>
      <c r="BD36" s="53"/>
      <c r="BE36" s="33"/>
      <c r="BF36" s="53"/>
    </row>
    <row r="37" spans="1:58" ht="12.95" customHeight="1">
      <c r="A37" s="40"/>
      <c r="B37" s="41"/>
      <c r="C37" s="428"/>
      <c r="D37" s="41"/>
      <c r="E37" s="42"/>
      <c r="F37" s="42"/>
      <c r="G37" s="472"/>
      <c r="H37" s="44"/>
      <c r="I37" s="45"/>
      <c r="J37" s="86"/>
      <c r="K37" s="86"/>
      <c r="L37" s="35"/>
      <c r="M37" s="35"/>
      <c r="N37" s="46"/>
      <c r="O37" s="47"/>
      <c r="P37" s="48"/>
      <c r="Q37" s="47"/>
      <c r="R37" s="397"/>
      <c r="S37" s="397"/>
      <c r="T37" s="37"/>
      <c r="U37" s="37"/>
      <c r="V37" s="37"/>
      <c r="W37" s="37"/>
      <c r="X37" s="394"/>
      <c r="Y37" s="213"/>
      <c r="Z37" s="37"/>
      <c r="AA37" s="49"/>
      <c r="AB37" s="49"/>
      <c r="AC37" s="37"/>
      <c r="AD37" s="37"/>
      <c r="AE37" s="230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50"/>
      <c r="BC37" s="51"/>
      <c r="BD37" s="51"/>
      <c r="BE37" s="51"/>
      <c r="BF37" s="51"/>
    </row>
    <row r="38" spans="1:58" ht="12.95" customHeight="1">
      <c r="A38" s="40">
        <v>45938</v>
      </c>
      <c r="B38" s="41" t="s">
        <v>416</v>
      </c>
      <c r="C38" s="428">
        <f>(M38*E38*O38*Q38)/100000000</f>
        <v>54.887347285714284</v>
      </c>
      <c r="D38" s="41" t="s">
        <v>297</v>
      </c>
      <c r="E38" s="42">
        <v>12.5</v>
      </c>
      <c r="F38" s="42">
        <v>1</v>
      </c>
      <c r="G38" s="472">
        <v>1350</v>
      </c>
      <c r="H38" s="489">
        <v>0.2</v>
      </c>
      <c r="I38" s="45">
        <v>0.88</v>
      </c>
      <c r="J38" s="86">
        <f>E38*G38*(1-H38)*1440/1000000*2.87</f>
        <v>55.792800000000007</v>
      </c>
      <c r="K38" s="86">
        <f>(IF(G38&lt;L38,L38,G38)*(1-IF(H38&lt;N38,H38,N38))*E38*O38*Q38)/100000000</f>
        <v>54.887347285714284</v>
      </c>
      <c r="L38" s="35">
        <f>+(L34*480+L35*480+L36*480)/1440</f>
        <v>1370</v>
      </c>
      <c r="M38" s="35">
        <v>1109.7</v>
      </c>
      <c r="N38" s="46">
        <f>1-(M38/L38)</f>
        <v>0.18999999999999995</v>
      </c>
      <c r="O38" s="47">
        <f>+'Trim Rwd'!H33</f>
        <v>274.78571428571428</v>
      </c>
      <c r="P38" s="48">
        <f>O38*(Q38-R38-S38)</f>
        <v>378105.14285714284</v>
      </c>
      <c r="Q38" s="47">
        <v>1440</v>
      </c>
      <c r="R38" s="397">
        <v>0</v>
      </c>
      <c r="S38" s="397">
        <v>64</v>
      </c>
      <c r="T38" s="37">
        <f>E38*M38*O38*Q38/100000000</f>
        <v>54.887347285714284</v>
      </c>
      <c r="U38" s="37">
        <f>E38*M38*O38*(Q38-R38-S38)/100000000</f>
        <v>52.447909628571423</v>
      </c>
      <c r="V38" s="37">
        <f>E38*G38*(1-N38)*O38/100*(R38+S38)/1000000</f>
        <v>2.403825428571428</v>
      </c>
      <c r="W38" s="37">
        <f>+'8'!K34/1000</f>
        <v>47.835000000000001</v>
      </c>
      <c r="X38" s="394">
        <f>SUM(W38:W41)/SUM(K38:K41)</f>
        <v>0.87151233144856644</v>
      </c>
      <c r="Y38" s="37">
        <v>0</v>
      </c>
      <c r="Z38" s="37">
        <v>0</v>
      </c>
      <c r="AA38" s="49">
        <f>SUM(U38:U41)-SUM(W38:W41)-SUM(Z38:Z41)-SUM(Y38:Y41)</f>
        <v>4.6129096285714226</v>
      </c>
      <c r="AB38" s="49">
        <f>(SUM(K38:K41)-SUM(W38:W41)-SUM(Y38:Y41)-SUM(Z38:Z41)-SUM(AC38:AC41)-SUM(V38:V41))-AA38</f>
        <v>3.5612228571432425E-2</v>
      </c>
      <c r="AC38" s="37">
        <f>K38-T38</f>
        <v>0</v>
      </c>
      <c r="AD38" s="37">
        <f>+AM38+BA38</f>
        <v>20</v>
      </c>
      <c r="AE38" s="230" t="s">
        <v>515</v>
      </c>
      <c r="AF38" s="37">
        <v>20</v>
      </c>
      <c r="AG38" s="37"/>
      <c r="AH38" s="37"/>
      <c r="AI38" s="474"/>
      <c r="AJ38" s="37"/>
      <c r="AK38" s="37"/>
      <c r="AL38" s="37"/>
      <c r="AM38" s="37">
        <f>SUM(AF38:AL38)+AT38+AV38+AX38</f>
        <v>20</v>
      </c>
      <c r="AN38" s="37"/>
      <c r="AO38" s="37"/>
      <c r="AP38" s="37"/>
      <c r="AQ38" s="37"/>
      <c r="AR38" s="37">
        <f>SUM(AN38:AQ38)</f>
        <v>0</v>
      </c>
      <c r="AS38" s="37"/>
      <c r="AT38" s="37"/>
      <c r="AU38" s="37"/>
      <c r="AV38" s="37"/>
      <c r="AW38" s="37"/>
      <c r="AX38" s="37"/>
      <c r="AY38" s="37"/>
      <c r="AZ38" s="37"/>
      <c r="BA38" s="37">
        <f>+AR38+AS38+AU38+AW38+AY38+AZ38</f>
        <v>0</v>
      </c>
      <c r="BB38" s="33">
        <v>4</v>
      </c>
      <c r="BC38" s="51"/>
      <c r="BD38" s="51"/>
      <c r="BE38" s="33"/>
      <c r="BF38" s="51"/>
    </row>
    <row r="39" spans="1:58" ht="12.95" customHeight="1">
      <c r="A39" s="40"/>
      <c r="B39" s="41"/>
      <c r="C39" s="428"/>
      <c r="D39" s="41"/>
      <c r="E39" s="42"/>
      <c r="F39" s="42"/>
      <c r="G39" s="472"/>
      <c r="H39" s="44"/>
      <c r="I39" s="45"/>
      <c r="J39" s="86"/>
      <c r="K39" s="86"/>
      <c r="L39" s="35"/>
      <c r="M39" s="35"/>
      <c r="N39" s="46"/>
      <c r="O39" s="47"/>
      <c r="P39" s="48"/>
      <c r="Q39" s="47"/>
      <c r="R39" s="397"/>
      <c r="S39" s="397"/>
      <c r="T39" s="37"/>
      <c r="U39" s="37"/>
      <c r="V39" s="37"/>
      <c r="W39" s="37"/>
      <c r="X39" s="394"/>
      <c r="Y39" s="213"/>
      <c r="Z39" s="37"/>
      <c r="AA39" s="37"/>
      <c r="AB39" s="37"/>
      <c r="AC39" s="37"/>
      <c r="AD39" s="37">
        <f>+AM39+BA39</f>
        <v>17</v>
      </c>
      <c r="AE39" s="230" t="s">
        <v>569</v>
      </c>
      <c r="AF39" s="37"/>
      <c r="AG39" s="37">
        <v>17</v>
      </c>
      <c r="AH39" s="37"/>
      <c r="AI39" s="474"/>
      <c r="AJ39" s="37"/>
      <c r="AK39" s="37"/>
      <c r="AL39" s="37"/>
      <c r="AM39" s="37">
        <f>SUM(AF39:AL39)+AT39+AV39+AX39</f>
        <v>17</v>
      </c>
      <c r="AN39" s="87"/>
      <c r="AO39" s="37"/>
      <c r="AP39" s="37"/>
      <c r="AQ39" s="37"/>
      <c r="AR39" s="37">
        <f>SUM(AN39:AQ39)</f>
        <v>0</v>
      </c>
      <c r="AS39" s="37"/>
      <c r="AT39" s="37"/>
      <c r="AU39" s="37"/>
      <c r="AV39" s="37"/>
      <c r="AW39" s="37"/>
      <c r="AX39" s="37"/>
      <c r="AY39" s="37"/>
      <c r="AZ39" s="37"/>
      <c r="BA39" s="37">
        <f>+AR39+AS39+AU39+AW39+AY39+AZ39</f>
        <v>0</v>
      </c>
      <c r="BB39" s="50"/>
      <c r="BC39" s="51">
        <v>14</v>
      </c>
      <c r="BD39" s="51"/>
      <c r="BE39" s="50"/>
      <c r="BF39" s="51"/>
    </row>
    <row r="40" spans="1:58" ht="12.95" customHeight="1">
      <c r="A40" s="40"/>
      <c r="B40" s="41"/>
      <c r="C40" s="428"/>
      <c r="D40" s="41"/>
      <c r="E40" s="42"/>
      <c r="F40" s="42"/>
      <c r="G40" s="472"/>
      <c r="H40" s="44"/>
      <c r="I40" s="45"/>
      <c r="J40" s="86"/>
      <c r="K40" s="86"/>
      <c r="L40" s="35"/>
      <c r="M40" s="35"/>
      <c r="N40" s="46"/>
      <c r="O40" s="47"/>
      <c r="P40" s="48"/>
      <c r="Q40" s="47"/>
      <c r="R40" s="397"/>
      <c r="S40" s="397"/>
      <c r="T40" s="37"/>
      <c r="U40" s="37"/>
      <c r="V40" s="37"/>
      <c r="W40" s="37"/>
      <c r="X40" s="394"/>
      <c r="Y40" s="213"/>
      <c r="Z40" s="37"/>
      <c r="AA40" s="37"/>
      <c r="AB40" s="37"/>
      <c r="AC40" s="37"/>
      <c r="AD40" s="37">
        <f>+AM40+BA40</f>
        <v>27</v>
      </c>
      <c r="AE40" s="230" t="s">
        <v>570</v>
      </c>
      <c r="AF40" s="33"/>
      <c r="AG40" s="33"/>
      <c r="AH40" s="33">
        <v>27</v>
      </c>
      <c r="AJ40" s="37"/>
      <c r="AK40" s="37"/>
      <c r="AL40" s="37"/>
      <c r="AM40" s="37">
        <f>SUM(AF40:AL40)+AT40+AV40+AX40</f>
        <v>27</v>
      </c>
      <c r="AN40" s="37"/>
      <c r="AO40" s="37"/>
      <c r="AP40" s="37"/>
      <c r="AQ40" s="37"/>
      <c r="AR40" s="37">
        <f>SUM(AN40:AQ40)</f>
        <v>0</v>
      </c>
      <c r="AS40" s="37"/>
      <c r="AT40" s="37"/>
      <c r="AU40" s="37"/>
      <c r="AV40" s="37"/>
      <c r="AW40" s="37"/>
      <c r="AX40" s="37"/>
      <c r="AY40" s="37"/>
      <c r="AZ40" s="37"/>
      <c r="BA40" s="37">
        <f>+AR40+AS40+AU40+AW40+AY40+AZ40</f>
        <v>0</v>
      </c>
      <c r="BB40" s="33"/>
      <c r="BC40" s="53"/>
      <c r="BD40" s="53"/>
      <c r="BE40" s="33"/>
      <c r="BF40" s="53"/>
    </row>
    <row r="41" spans="1:58" ht="12.95" customHeight="1">
      <c r="A41" s="40"/>
      <c r="B41" s="41"/>
      <c r="C41" s="428"/>
      <c r="D41" s="41"/>
      <c r="E41" s="42"/>
      <c r="F41" s="42"/>
      <c r="G41" s="472"/>
      <c r="H41" s="44"/>
      <c r="I41" s="45"/>
      <c r="J41" s="86"/>
      <c r="K41" s="86"/>
      <c r="L41" s="35"/>
      <c r="M41" s="35"/>
      <c r="N41" s="46"/>
      <c r="O41" s="47"/>
      <c r="P41" s="48"/>
      <c r="Q41" s="47"/>
      <c r="R41" s="397"/>
      <c r="S41" s="397"/>
      <c r="T41" s="37"/>
      <c r="U41" s="37"/>
      <c r="V41" s="37"/>
      <c r="W41" s="37"/>
      <c r="X41" s="394"/>
      <c r="Y41" s="213"/>
      <c r="Z41" s="37"/>
      <c r="AA41" s="37"/>
      <c r="AB41" s="37"/>
      <c r="AC41" s="37"/>
      <c r="AD41" s="37"/>
      <c r="AE41" s="230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50"/>
      <c r="BC41" s="51"/>
      <c r="BD41" s="51"/>
      <c r="BE41" s="51"/>
      <c r="BF41" s="51"/>
    </row>
    <row r="42" spans="1:58" ht="12.95" customHeight="1">
      <c r="A42" s="40">
        <v>45939</v>
      </c>
      <c r="B42" s="41" t="s">
        <v>416</v>
      </c>
      <c r="C42" s="428">
        <f>(M42*E42*O42*Q42)/100000000</f>
        <v>56.943809999999992</v>
      </c>
      <c r="D42" s="41" t="s">
        <v>297</v>
      </c>
      <c r="E42" s="42">
        <v>12.5</v>
      </c>
      <c r="F42" s="42">
        <v>1</v>
      </c>
      <c r="G42" s="472">
        <v>1350</v>
      </c>
      <c r="H42" s="489">
        <v>0.2</v>
      </c>
      <c r="I42" s="45">
        <v>0.88</v>
      </c>
      <c r="J42" s="86">
        <f>E42*G42*(1-H42)*1440/1000000*2.87</f>
        <v>55.792800000000007</v>
      </c>
      <c r="K42" s="86">
        <f>(IF(G42&lt;L42,L42,G42)*(1-IF(H42&lt;N42,H42,N42))*E42*O42*Q42)/100000000</f>
        <v>56.943809999999992</v>
      </c>
      <c r="L42" s="35">
        <v>1383.3333333333333</v>
      </c>
      <c r="M42" s="35">
        <v>1120.5</v>
      </c>
      <c r="N42" s="46">
        <f>1-(M42/L42)</f>
        <v>0.18999999999999995</v>
      </c>
      <c r="O42" s="47">
        <f>+'Trim Rwd'!H36</f>
        <v>282.33333333333331</v>
      </c>
      <c r="P42" s="48">
        <f>O42*(Q42-R42-S42)</f>
        <v>385385</v>
      </c>
      <c r="Q42" s="47">
        <v>1440</v>
      </c>
      <c r="R42" s="397">
        <v>0</v>
      </c>
      <c r="S42" s="397">
        <v>75</v>
      </c>
      <c r="T42" s="37">
        <f>E42*M42*O42*Q42/100000000</f>
        <v>56.943809999999992</v>
      </c>
      <c r="U42" s="37">
        <f>E42*M42*O42*(Q42-R42-S42)/100000000</f>
        <v>53.977986562499993</v>
      </c>
      <c r="V42" s="37">
        <f>E42*G42*(1-N42)*O42/100*(R42+S42)/1000000</f>
        <v>2.8943578124999996</v>
      </c>
      <c r="W42" s="37">
        <f>+'9'!K34/1000</f>
        <v>56.942999999999998</v>
      </c>
      <c r="X42" s="394">
        <f>SUM(W42:W45)/SUM(K42:K45)</f>
        <v>0.99998577545127387</v>
      </c>
      <c r="Y42" s="37">
        <v>0</v>
      </c>
      <c r="Z42" s="37">
        <v>0</v>
      </c>
      <c r="AA42" s="49">
        <f>SUM(U42:U45)-SUM(W42:W45)-SUM(Z42:Z45)-SUM(Y42:Y45)</f>
        <v>-2.965013437500005</v>
      </c>
      <c r="AB42" s="49">
        <f>(SUM(K42:K45)-SUM(W42:W45)-SUM(Y42:Y45)-SUM(Z42:Z45)-SUM(AC42:AC45)-SUM(V42:V45))-AA42</f>
        <v>7.1465624999999644E-2</v>
      </c>
      <c r="AC42" s="37">
        <f>K42-T42</f>
        <v>0</v>
      </c>
      <c r="AD42" s="37">
        <f>+AM42+BA42</f>
        <v>25</v>
      </c>
      <c r="AE42" s="230" t="s">
        <v>586</v>
      </c>
      <c r="AF42" s="37">
        <v>25</v>
      </c>
      <c r="AG42" s="37"/>
      <c r="AH42" s="37"/>
      <c r="AI42" s="474"/>
      <c r="AJ42" s="37"/>
      <c r="AK42" s="37"/>
      <c r="AL42" s="37"/>
      <c r="AM42" s="37">
        <f>SUM(AF42:AL42)+AT42+AV42+AX42</f>
        <v>25</v>
      </c>
      <c r="AN42" s="37"/>
      <c r="AO42" s="37"/>
      <c r="AP42" s="37"/>
      <c r="AQ42" s="37"/>
      <c r="AR42" s="37">
        <f>SUM(AN42:AQ42)</f>
        <v>0</v>
      </c>
      <c r="AS42" s="37"/>
      <c r="AT42" s="37"/>
      <c r="AU42" s="37"/>
      <c r="AV42" s="37"/>
      <c r="AW42" s="37"/>
      <c r="AX42" s="37"/>
      <c r="AY42" s="37"/>
      <c r="AZ42" s="37"/>
      <c r="BA42" s="37">
        <f>+AR42+AS42+AU42+AW42+AY42+AZ42</f>
        <v>0</v>
      </c>
      <c r="BB42" s="33">
        <v>5</v>
      </c>
      <c r="BC42" s="51"/>
      <c r="BD42" s="51"/>
      <c r="BE42" s="33"/>
      <c r="BF42" s="51"/>
    </row>
    <row r="43" spans="1:58" ht="12.95" customHeight="1">
      <c r="A43" s="40"/>
      <c r="B43" s="41"/>
      <c r="C43" s="428"/>
      <c r="D43" s="41"/>
      <c r="E43" s="42"/>
      <c r="F43" s="42"/>
      <c r="G43" s="472"/>
      <c r="H43" s="44"/>
      <c r="I43" s="45"/>
      <c r="J43" s="86"/>
      <c r="K43" s="86"/>
      <c r="L43" s="35"/>
      <c r="M43" s="35"/>
      <c r="N43" s="46"/>
      <c r="O43" s="47"/>
      <c r="P43" s="48"/>
      <c r="Q43" s="47"/>
      <c r="R43" s="397"/>
      <c r="S43" s="397"/>
      <c r="T43" s="37"/>
      <c r="U43" s="37"/>
      <c r="V43" s="37"/>
      <c r="W43" s="37"/>
      <c r="X43" s="394"/>
      <c r="Y43" s="213"/>
      <c r="Z43" s="37"/>
      <c r="AA43" s="37"/>
      <c r="AB43" s="37"/>
      <c r="AC43" s="37"/>
      <c r="AD43" s="37">
        <f>+AM43+BA43</f>
        <v>18</v>
      </c>
      <c r="AE43" s="230" t="s">
        <v>587</v>
      </c>
      <c r="AF43" s="37"/>
      <c r="AG43" s="37">
        <v>18</v>
      </c>
      <c r="AH43" s="37"/>
      <c r="AI43" s="474"/>
      <c r="AJ43" s="37"/>
      <c r="AK43" s="37"/>
      <c r="AL43" s="37"/>
      <c r="AM43" s="37">
        <f>SUM(AF43:AL43)+AT43+AV43+AX43</f>
        <v>18</v>
      </c>
      <c r="AN43" s="87"/>
      <c r="AO43" s="37"/>
      <c r="AP43" s="37"/>
      <c r="AQ43" s="37"/>
      <c r="AR43" s="37">
        <f>SUM(AN43:AQ43)</f>
        <v>0</v>
      </c>
      <c r="AS43" s="37"/>
      <c r="AT43" s="37"/>
      <c r="AU43" s="37"/>
      <c r="AV43" s="37"/>
      <c r="AW43" s="37"/>
      <c r="AX43" s="37"/>
      <c r="AY43" s="37"/>
      <c r="AZ43" s="37"/>
      <c r="BA43" s="37">
        <f>+AR43+AS43+AU43+AW43+AY43+AZ43</f>
        <v>0</v>
      </c>
      <c r="BB43" s="50"/>
      <c r="BC43" s="51">
        <v>17</v>
      </c>
      <c r="BD43" s="51"/>
      <c r="BE43" s="50"/>
      <c r="BF43" s="51"/>
    </row>
    <row r="44" spans="1:58" ht="12.95" customHeight="1">
      <c r="A44" s="40"/>
      <c r="B44" s="41"/>
      <c r="C44" s="428"/>
      <c r="D44" s="41"/>
      <c r="E44" s="42"/>
      <c r="F44" s="42"/>
      <c r="G44" s="472"/>
      <c r="H44" s="44"/>
      <c r="I44" s="45"/>
      <c r="J44" s="86"/>
      <c r="K44" s="86"/>
      <c r="L44" s="35"/>
      <c r="M44" s="35"/>
      <c r="N44" s="46"/>
      <c r="O44" s="47"/>
      <c r="P44" s="48"/>
      <c r="Q44" s="47"/>
      <c r="R44" s="397"/>
      <c r="S44" s="397"/>
      <c r="T44" s="37"/>
      <c r="U44" s="37"/>
      <c r="V44" s="37"/>
      <c r="W44" s="37"/>
      <c r="X44" s="394"/>
      <c r="Y44" s="213"/>
      <c r="Z44" s="37"/>
      <c r="AA44" s="37"/>
      <c r="AB44" s="37"/>
      <c r="AC44" s="37"/>
      <c r="AD44" s="37">
        <f>+AM44+BA44</f>
        <v>32</v>
      </c>
      <c r="AE44" s="230" t="s">
        <v>588</v>
      </c>
      <c r="AF44" s="33"/>
      <c r="AG44" s="33"/>
      <c r="AH44" s="33">
        <v>32</v>
      </c>
      <c r="AJ44" s="37"/>
      <c r="AK44" s="37"/>
      <c r="AL44" s="37"/>
      <c r="AM44" s="37">
        <f>SUM(AF44:AL44)+AT44+AV44+AX44</f>
        <v>32</v>
      </c>
      <c r="AN44" s="37"/>
      <c r="AO44" s="37"/>
      <c r="AP44" s="37"/>
      <c r="AQ44" s="37"/>
      <c r="AR44" s="37">
        <f>SUM(AN44:AQ44)</f>
        <v>0</v>
      </c>
      <c r="AS44" s="37"/>
      <c r="AT44" s="37"/>
      <c r="AU44" s="37"/>
      <c r="AV44" s="37"/>
      <c r="AW44" s="37"/>
      <c r="AX44" s="37"/>
      <c r="AY44" s="37"/>
      <c r="AZ44" s="37"/>
      <c r="BA44" s="37">
        <f>+AR44+AS44+AU44+AW44+AY44+AZ44</f>
        <v>0</v>
      </c>
      <c r="BB44" s="33"/>
      <c r="BC44" s="53"/>
      <c r="BD44" s="53"/>
      <c r="BE44" s="33"/>
      <c r="BF44" s="53"/>
    </row>
    <row r="45" spans="1:58" ht="12.95" customHeight="1">
      <c r="A45" s="40"/>
      <c r="B45" s="41"/>
      <c r="C45" s="428"/>
      <c r="D45" s="41"/>
      <c r="E45" s="42"/>
      <c r="F45" s="42"/>
      <c r="G45" s="472"/>
      <c r="H45" s="44"/>
      <c r="I45" s="45"/>
      <c r="J45" s="86"/>
      <c r="K45" s="86"/>
      <c r="L45" s="35"/>
      <c r="M45" s="35"/>
      <c r="N45" s="46"/>
      <c r="O45" s="47"/>
      <c r="P45" s="48"/>
      <c r="Q45" s="47"/>
      <c r="R45" s="397"/>
      <c r="S45" s="397"/>
      <c r="T45" s="37"/>
      <c r="U45" s="37"/>
      <c r="V45" s="37"/>
      <c r="W45" s="37"/>
      <c r="X45" s="394"/>
      <c r="Y45" s="213"/>
      <c r="Z45" s="37"/>
      <c r="AA45" s="37"/>
      <c r="AB45" s="37"/>
      <c r="AC45" s="37"/>
      <c r="AD45" s="37"/>
      <c r="AE45" s="230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3"/>
      <c r="BC45" s="51"/>
      <c r="BD45" s="51"/>
      <c r="BE45" s="50"/>
      <c r="BF45" s="51"/>
    </row>
    <row r="46" spans="1:58" ht="12.95" customHeight="1">
      <c r="A46" s="40">
        <v>45940</v>
      </c>
      <c r="B46" s="41" t="s">
        <v>416</v>
      </c>
      <c r="C46" s="428">
        <f>(M46*E46*O46*Q46)/100000000</f>
        <v>55.765416666666667</v>
      </c>
      <c r="D46" s="41" t="s">
        <v>297</v>
      </c>
      <c r="E46" s="42">
        <v>12.5</v>
      </c>
      <c r="F46" s="42">
        <v>1</v>
      </c>
      <c r="G46" s="472">
        <v>1350</v>
      </c>
      <c r="H46" s="489">
        <v>0.2</v>
      </c>
      <c r="I46" s="45">
        <v>0.88</v>
      </c>
      <c r="J46" s="86">
        <f>E46*G46*(1-H46)*1440/1000000*2.87</f>
        <v>55.792800000000007</v>
      </c>
      <c r="K46" s="86">
        <f>(IF(G46&lt;L46,L46,G46)*(1-IF(H46&lt;N46,H46,N46))*E46*O46*Q46)/100000000</f>
        <v>55.765416666666667</v>
      </c>
      <c r="L46" s="35">
        <v>1397.5694444444443</v>
      </c>
      <c r="M46" s="35">
        <v>1118.0555555555557</v>
      </c>
      <c r="N46" s="46">
        <f>1-(M46/L46)</f>
        <v>0.19999999999999984</v>
      </c>
      <c r="O46" s="47">
        <f>+'Trim Rwd'!H39</f>
        <v>277.09523809523807</v>
      </c>
      <c r="P46" s="48">
        <f>O46*(Q46-R46-S46)</f>
        <v>383776.90476190473</v>
      </c>
      <c r="Q46" s="47">
        <v>1440</v>
      </c>
      <c r="R46" s="397">
        <v>0</v>
      </c>
      <c r="S46" s="397">
        <v>55</v>
      </c>
      <c r="T46" s="37">
        <f>E46*M46*O46*Q46/100000000</f>
        <v>55.765416666666667</v>
      </c>
      <c r="U46" s="37">
        <f>E46*M46*O46*(Q46-R46-S46)/100000000</f>
        <v>53.63548755787037</v>
      </c>
      <c r="V46" s="37">
        <f>E46*G46*(1-N46)*O46/100*(R46+S46)/1000000</f>
        <v>2.0574321428571429</v>
      </c>
      <c r="W46" s="37">
        <f>+'10'!K34/1000</f>
        <v>40.125</v>
      </c>
      <c r="X46" s="394">
        <f>SUM(W46:W49)/SUM(K46:K49)</f>
        <v>0.71953196799091435</v>
      </c>
      <c r="Y46" s="37">
        <v>0</v>
      </c>
      <c r="Z46" s="37">
        <v>0</v>
      </c>
      <c r="AA46" s="49">
        <f>SUM(U46:U49)-SUM(W46:W49)-SUM(Z46:Z49)-SUM(Y46:Y49)</f>
        <v>13.51048755787037</v>
      </c>
      <c r="AB46" s="49">
        <f>(SUM(K46:K49)-SUM(W46:W49)-SUM(Y46:Y49)-SUM(Z46:Z49)-SUM(AC46:AC49)-SUM(V46:V49))-AA46</f>
        <v>7.2496965939153668E-2</v>
      </c>
      <c r="AC46" s="37">
        <f>K46-T46</f>
        <v>0</v>
      </c>
      <c r="AD46" s="37">
        <f>+AM46+BA46</f>
        <v>10</v>
      </c>
      <c r="AE46" s="230" t="s">
        <v>456</v>
      </c>
      <c r="AF46" s="37">
        <v>10</v>
      </c>
      <c r="AG46" s="37"/>
      <c r="AH46" s="37"/>
      <c r="AI46" s="474"/>
      <c r="AJ46" s="37"/>
      <c r="AK46" s="37"/>
      <c r="AL46" s="37"/>
      <c r="AM46" s="37">
        <f>SUM(AF46:AL46)+AT46+AV46+AX46</f>
        <v>10</v>
      </c>
      <c r="AN46" s="37"/>
      <c r="AO46" s="37"/>
      <c r="AP46" s="37"/>
      <c r="AQ46" s="37"/>
      <c r="AR46" s="37">
        <f>SUM(AN46:AQ46)</f>
        <v>0</v>
      </c>
      <c r="AS46" s="37"/>
      <c r="AT46" s="37"/>
      <c r="AU46" s="37"/>
      <c r="AV46" s="37"/>
      <c r="AW46" s="37"/>
      <c r="AX46" s="37"/>
      <c r="AY46" s="37"/>
      <c r="AZ46" s="37"/>
      <c r="BA46" s="37">
        <f>+AR46+AS46+AU46+AW46+AY46+AZ46</f>
        <v>0</v>
      </c>
      <c r="BB46" s="33">
        <v>2</v>
      </c>
      <c r="BC46" s="51"/>
      <c r="BD46" s="51"/>
      <c r="BE46" s="33"/>
      <c r="BF46" s="51"/>
    </row>
    <row r="47" spans="1:58" ht="12.95" customHeight="1">
      <c r="A47" s="40"/>
      <c r="B47" s="41"/>
      <c r="C47" s="428"/>
      <c r="D47" s="41"/>
      <c r="E47" s="42"/>
      <c r="F47" s="42"/>
      <c r="G47" s="472"/>
      <c r="H47" s="44"/>
      <c r="I47" s="45"/>
      <c r="J47" s="86"/>
      <c r="K47" s="86"/>
      <c r="L47" s="35"/>
      <c r="M47" s="35"/>
      <c r="N47" s="46"/>
      <c r="O47" s="47"/>
      <c r="P47" s="48"/>
      <c r="Q47" s="47"/>
      <c r="R47" s="397"/>
      <c r="S47" s="397"/>
      <c r="T47" s="37"/>
      <c r="U47" s="37"/>
      <c r="V47" s="37"/>
      <c r="W47" s="37"/>
      <c r="X47" s="394"/>
      <c r="Y47" s="213"/>
      <c r="Z47" s="37"/>
      <c r="AA47" s="37"/>
      <c r="AB47" s="37"/>
      <c r="AC47" s="37"/>
      <c r="AD47" s="37">
        <f>+AM47+BA47</f>
        <v>15</v>
      </c>
      <c r="AE47" s="230" t="s">
        <v>601</v>
      </c>
      <c r="AF47" s="37"/>
      <c r="AG47" s="37">
        <v>15</v>
      </c>
      <c r="AH47" s="37"/>
      <c r="AI47" s="474"/>
      <c r="AJ47" s="37"/>
      <c r="AK47" s="37"/>
      <c r="AL47" s="37"/>
      <c r="AM47" s="37">
        <f>SUM(AF47:AL47)+AT47+AV47+AX47</f>
        <v>15</v>
      </c>
      <c r="AN47" s="87"/>
      <c r="AO47" s="37"/>
      <c r="AP47" s="37"/>
      <c r="AQ47" s="37"/>
      <c r="AR47" s="37">
        <f>SUM(AN47:AQ47)</f>
        <v>0</v>
      </c>
      <c r="AS47" s="37"/>
      <c r="AT47" s="37"/>
      <c r="AU47" s="37"/>
      <c r="AV47" s="37"/>
      <c r="AW47" s="37"/>
      <c r="AX47" s="37"/>
      <c r="AY47" s="37"/>
      <c r="AZ47" s="37"/>
      <c r="BA47" s="37">
        <f>+AR47+AS47+AU47+AW47+AY47+AZ47</f>
        <v>0</v>
      </c>
      <c r="BB47" s="50"/>
      <c r="BC47" s="51">
        <v>8</v>
      </c>
      <c r="BD47" s="51"/>
      <c r="BE47" s="50"/>
      <c r="BF47" s="51"/>
    </row>
    <row r="48" spans="1:58" ht="12.95" customHeight="1">
      <c r="A48" s="40"/>
      <c r="B48" s="41"/>
      <c r="C48" s="428"/>
      <c r="D48" s="41"/>
      <c r="E48" s="42"/>
      <c r="F48" s="42"/>
      <c r="G48" s="472"/>
      <c r="H48" s="44"/>
      <c r="I48" s="45"/>
      <c r="J48" s="86"/>
      <c r="K48" s="86"/>
      <c r="L48" s="35"/>
      <c r="M48" s="35"/>
      <c r="N48" s="46"/>
      <c r="O48" s="47"/>
      <c r="P48" s="48"/>
      <c r="Q48" s="47"/>
      <c r="R48" s="397"/>
      <c r="S48" s="397"/>
      <c r="T48" s="37"/>
      <c r="U48" s="37"/>
      <c r="V48" s="37"/>
      <c r="W48" s="37"/>
      <c r="X48" s="394"/>
      <c r="Y48" s="213"/>
      <c r="Z48" s="37"/>
      <c r="AA48" s="37"/>
      <c r="AB48" s="37"/>
      <c r="AC48" s="37"/>
      <c r="AD48" s="37">
        <f>+AM48+BA48</f>
        <v>30</v>
      </c>
      <c r="AE48" s="230" t="s">
        <v>527</v>
      </c>
      <c r="AF48" s="33"/>
      <c r="AG48" s="33"/>
      <c r="AH48" s="33">
        <v>30</v>
      </c>
      <c r="AJ48" s="37"/>
      <c r="AK48" s="37"/>
      <c r="AL48" s="37"/>
      <c r="AM48" s="37">
        <f>SUM(AF48:AL48)+AT48+AV48+AX48</f>
        <v>30</v>
      </c>
      <c r="AN48" s="37"/>
      <c r="AO48" s="37"/>
      <c r="AP48" s="37"/>
      <c r="AQ48" s="37"/>
      <c r="AR48" s="37">
        <f>SUM(AN48:AQ48)</f>
        <v>0</v>
      </c>
      <c r="AS48" s="37"/>
      <c r="AT48" s="37"/>
      <c r="AU48" s="37"/>
      <c r="AV48" s="37"/>
      <c r="AW48" s="37"/>
      <c r="AX48" s="37"/>
      <c r="AY48" s="37"/>
      <c r="AZ48" s="37"/>
      <c r="BA48" s="37">
        <f>+AR48+AS48+AU48+AW48+AY48+AZ48</f>
        <v>0</v>
      </c>
      <c r="BB48" s="33"/>
      <c r="BC48" s="53"/>
      <c r="BD48" s="53"/>
      <c r="BE48" s="33"/>
      <c r="BF48" s="53"/>
    </row>
    <row r="49" spans="1:58" ht="12.95" customHeight="1">
      <c r="A49" s="40"/>
      <c r="B49" s="41"/>
      <c r="C49" s="428"/>
      <c r="D49" s="41"/>
      <c r="E49" s="42"/>
      <c r="F49" s="42"/>
      <c r="G49" s="472"/>
      <c r="H49" s="44"/>
      <c r="I49" s="45"/>
      <c r="J49" s="86"/>
      <c r="K49" s="86"/>
      <c r="L49" s="35"/>
      <c r="M49" s="35"/>
      <c r="N49" s="46"/>
      <c r="O49" s="47"/>
      <c r="P49" s="48"/>
      <c r="Q49" s="47"/>
      <c r="R49" s="397"/>
      <c r="S49" s="397"/>
      <c r="T49" s="37"/>
      <c r="U49" s="37"/>
      <c r="V49" s="37"/>
      <c r="W49" s="37"/>
      <c r="X49" s="394"/>
      <c r="Y49" s="213"/>
      <c r="Z49" s="37"/>
      <c r="AA49" s="37"/>
      <c r="AB49" s="37"/>
      <c r="AC49" s="37"/>
      <c r="AD49" s="37"/>
      <c r="AE49" s="230"/>
      <c r="AF49" s="37"/>
      <c r="AG49" s="37"/>
      <c r="AH49" s="37"/>
      <c r="AI49" s="474"/>
      <c r="AJ49" s="37"/>
      <c r="AK49" s="37"/>
      <c r="AL49" s="37"/>
      <c r="AM49" s="37"/>
      <c r="AN49" s="8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50"/>
      <c r="BC49" s="51"/>
      <c r="BD49" s="53"/>
      <c r="BE49" s="33"/>
      <c r="BF49" s="53"/>
    </row>
    <row r="50" spans="1:58" ht="12.95" customHeight="1">
      <c r="A50" s="40">
        <v>45941</v>
      </c>
      <c r="B50" s="41" t="s">
        <v>416</v>
      </c>
      <c r="C50" s="428">
        <f>(M50*E50*O50*Q50)/100000000</f>
        <v>43.721562499999997</v>
      </c>
      <c r="D50" s="41" t="s">
        <v>297</v>
      </c>
      <c r="E50" s="42">
        <v>12.5</v>
      </c>
      <c r="F50" s="42">
        <v>1</v>
      </c>
      <c r="G50" s="472">
        <v>1350</v>
      </c>
      <c r="H50" s="489">
        <v>0.2</v>
      </c>
      <c r="I50" s="45">
        <v>0.88</v>
      </c>
      <c r="J50" s="86">
        <f>E50*G50*(1-H50)*1440/1000000*2.87</f>
        <v>55.792800000000007</v>
      </c>
      <c r="K50" s="86">
        <f>(IF(G50&lt;L50,L50,G50)*(1-IF(H50&lt;N50,H50,N50))*E50*O50*Q50)/100000000</f>
        <v>44.274999999999999</v>
      </c>
      <c r="L50" s="35">
        <v>1400</v>
      </c>
      <c r="M50" s="35">
        <f>+L50-L50*0.21</f>
        <v>1106</v>
      </c>
      <c r="N50" s="46">
        <f>1-(M50/L50)</f>
        <v>0.20999999999999996</v>
      </c>
      <c r="O50" s="47">
        <f>+'Trim Rwd'!H42</f>
        <v>275</v>
      </c>
      <c r="P50" s="48">
        <f>O50*(Q50-R50-S50)</f>
        <v>309100</v>
      </c>
      <c r="Q50" s="47">
        <v>1150</v>
      </c>
      <c r="R50" s="397">
        <v>0</v>
      </c>
      <c r="S50" s="397">
        <v>26</v>
      </c>
      <c r="T50" s="37">
        <f>E50*M50*O50*Q50/100000000</f>
        <v>43.721562499999997</v>
      </c>
      <c r="U50" s="37">
        <f>E50*M50*O50*(Q50-R50-S50)/100000000</f>
        <v>42.733074999999999</v>
      </c>
      <c r="V50" s="37">
        <f>E50*G50*(1-N50)*O50/100*(R50+S50)/1000000</f>
        <v>0.95318437499999997</v>
      </c>
      <c r="W50" s="37">
        <f>+'11'!K13/1000</f>
        <v>50.204999999999998</v>
      </c>
      <c r="X50" s="394">
        <f>SUM(W50:W53)/SUM(K50:K53)</f>
        <v>0.97475648960176264</v>
      </c>
      <c r="Y50" s="37">
        <v>0</v>
      </c>
      <c r="Z50" s="37">
        <v>0</v>
      </c>
      <c r="AA50" s="49">
        <f>SUM(U50:U53)-SUM(W50:W53)-SUM(Z50:Z53)-SUM(Y50:Y53)</f>
        <v>-0.48605828000000173</v>
      </c>
      <c r="AB50" s="49">
        <f>(SUM(K50:K53)-SUM(W50:W53)-SUM(Y50:Y53)-SUM(Z50:Z53)-SUM(AC50:AC53)-SUM(V50:V53))-AA50</f>
        <v>4.676559700000027E-2</v>
      </c>
      <c r="AC50" s="37">
        <f>K50-T50</f>
        <v>0.55343750000000114</v>
      </c>
      <c r="AD50" s="37">
        <f>+AM50+BA50</f>
        <v>0</v>
      </c>
      <c r="AE50" s="230" t="s">
        <v>404</v>
      </c>
      <c r="AF50" s="37">
        <v>0</v>
      </c>
      <c r="AG50" s="37"/>
      <c r="AH50" s="37"/>
      <c r="AI50" s="474"/>
      <c r="AJ50" s="37"/>
      <c r="AK50" s="37"/>
      <c r="AL50" s="37"/>
      <c r="AM50" s="37">
        <f>SUM(AF50:AL50)+AT50+AV50+AX50</f>
        <v>0</v>
      </c>
      <c r="AN50" s="37"/>
      <c r="AO50" s="37"/>
      <c r="AP50" s="37"/>
      <c r="AQ50" s="37"/>
      <c r="AR50" s="37">
        <f>SUM(AN50:AQ50)</f>
        <v>0</v>
      </c>
      <c r="AS50" s="37"/>
      <c r="AT50" s="37"/>
      <c r="AU50" s="37"/>
      <c r="AV50" s="37"/>
      <c r="AW50" s="37"/>
      <c r="AX50" s="37"/>
      <c r="AY50" s="37"/>
      <c r="AZ50" s="37"/>
      <c r="BA50" s="37">
        <f>+AR50+AS50+AU50+AW50+AY50+AZ50</f>
        <v>0</v>
      </c>
      <c r="BB50" s="33">
        <v>4</v>
      </c>
      <c r="BC50" s="51"/>
      <c r="BD50" s="51"/>
      <c r="BE50" s="33"/>
      <c r="BF50" s="51"/>
    </row>
    <row r="51" spans="1:58" ht="12.95" customHeight="1">
      <c r="A51" s="40"/>
      <c r="B51" s="41" t="s">
        <v>416</v>
      </c>
      <c r="C51" s="428">
        <f>(M51*E51*O51*Q51)/100000000</f>
        <v>10.670004799999999</v>
      </c>
      <c r="D51" s="41" t="s">
        <v>297</v>
      </c>
      <c r="E51" s="42">
        <v>14</v>
      </c>
      <c r="F51" s="42">
        <v>1</v>
      </c>
      <c r="G51" s="472">
        <v>1255</v>
      </c>
      <c r="H51" s="489">
        <v>0.24</v>
      </c>
      <c r="I51" s="45">
        <v>0.88</v>
      </c>
      <c r="J51" s="86">
        <f>E51*G51*(1-H51)*1440/1000000*2.87</f>
        <v>55.186104960000009</v>
      </c>
      <c r="K51" s="86">
        <f>(IF(G51&lt;L51,L51,G51)*(1-IF(H51&lt;N51,H51,N51))*E51*O51*Q51)/100000000</f>
        <v>10.670004799999999</v>
      </c>
      <c r="L51" s="35">
        <v>1300</v>
      </c>
      <c r="M51" s="35">
        <f>+L51-L51*0.24</f>
        <v>988</v>
      </c>
      <c r="N51" s="46">
        <f>1-(M51/L51)</f>
        <v>0.24</v>
      </c>
      <c r="O51" s="47">
        <f>+'Trim Rwd'!H43</f>
        <v>266</v>
      </c>
      <c r="P51" s="48">
        <f>O51*(Q51-R51-S51)</f>
        <v>74746</v>
      </c>
      <c r="Q51" s="47">
        <v>290</v>
      </c>
      <c r="R51" s="397">
        <v>0</v>
      </c>
      <c r="S51" s="397">
        <v>9</v>
      </c>
      <c r="T51" s="37">
        <f>E51*M51*O51*Q51/100000000</f>
        <v>10.670004799999999</v>
      </c>
      <c r="U51" s="37">
        <f>E51*M51*O51*(Q51-R51-S51)/100000000</f>
        <v>10.33886672</v>
      </c>
      <c r="V51" s="37">
        <f>E51*G51*(1-N51)*O51/100*(R51+S51)/1000000</f>
        <v>0.319675608</v>
      </c>
      <c r="W51" s="37">
        <f>+'11'!K14/1000</f>
        <v>3.3530000000000002</v>
      </c>
      <c r="X51" s="394"/>
      <c r="Y51" s="213"/>
      <c r="Z51" s="37"/>
      <c r="AA51" s="37"/>
      <c r="AB51" s="37"/>
      <c r="AC51" s="37">
        <f>K51-T51</f>
        <v>0</v>
      </c>
      <c r="AD51" s="37">
        <f>+AM51+BA51</f>
        <v>9</v>
      </c>
      <c r="AE51" s="230" t="s">
        <v>396</v>
      </c>
      <c r="AF51" s="37"/>
      <c r="AG51" s="37">
        <v>9</v>
      </c>
      <c r="AH51" s="37"/>
      <c r="AI51" s="474"/>
      <c r="AJ51" s="37"/>
      <c r="AK51" s="37"/>
      <c r="AL51" s="37"/>
      <c r="AM51" s="37">
        <f>SUM(AF51:AL51)+AT51+AV51+AX51</f>
        <v>9</v>
      </c>
      <c r="AN51" s="87"/>
      <c r="AO51" s="37"/>
      <c r="AP51" s="37"/>
      <c r="AQ51" s="37"/>
      <c r="AR51" s="37">
        <f>SUM(AN51:AQ51)</f>
        <v>0</v>
      </c>
      <c r="AS51" s="37"/>
      <c r="AT51" s="37"/>
      <c r="AU51" s="37"/>
      <c r="AV51" s="37"/>
      <c r="AW51" s="37"/>
      <c r="AX51" s="37"/>
      <c r="AY51" s="37"/>
      <c r="AZ51" s="37"/>
      <c r="BA51" s="37">
        <f>+AR51+AS51+AU51+AW51+AY51+AZ51</f>
        <v>0</v>
      </c>
      <c r="BB51" s="50"/>
      <c r="BC51" s="51">
        <v>25</v>
      </c>
      <c r="BD51" s="51"/>
      <c r="BE51" s="50"/>
      <c r="BF51" s="51"/>
    </row>
    <row r="52" spans="1:58" ht="12.95" customHeight="1">
      <c r="A52" s="40"/>
      <c r="B52" s="41"/>
      <c r="C52" s="428"/>
      <c r="D52" s="41"/>
      <c r="E52" s="42"/>
      <c r="F52" s="42"/>
      <c r="G52" s="472"/>
      <c r="H52" s="44"/>
      <c r="I52" s="45"/>
      <c r="J52" s="86"/>
      <c r="K52" s="86"/>
      <c r="L52" s="35"/>
      <c r="M52" s="35"/>
      <c r="N52" s="46"/>
      <c r="O52" s="47"/>
      <c r="P52" s="48"/>
      <c r="Q52" s="47"/>
      <c r="R52" s="397"/>
      <c r="S52" s="397"/>
      <c r="T52" s="37"/>
      <c r="U52" s="37"/>
      <c r="V52" s="37"/>
      <c r="W52" s="37"/>
      <c r="X52" s="394"/>
      <c r="Y52" s="213"/>
      <c r="Z52" s="37"/>
      <c r="AA52" s="37"/>
      <c r="AB52" s="37"/>
      <c r="AC52" s="37"/>
      <c r="AD52" s="37">
        <f>+AM52+BA52</f>
        <v>26</v>
      </c>
      <c r="AE52" s="230" t="s">
        <v>618</v>
      </c>
      <c r="AF52" s="33"/>
      <c r="AG52" s="33"/>
      <c r="AH52" s="33">
        <v>26</v>
      </c>
      <c r="AJ52" s="37"/>
      <c r="AK52" s="37"/>
      <c r="AL52" s="37"/>
      <c r="AM52" s="37">
        <f>SUM(AF52:AL52)+AT52+AV52+AX52</f>
        <v>26</v>
      </c>
      <c r="AN52" s="37"/>
      <c r="AO52" s="37"/>
      <c r="AP52" s="37"/>
      <c r="AQ52" s="37"/>
      <c r="AR52" s="37">
        <f>SUM(AN52:AQ52)</f>
        <v>0</v>
      </c>
      <c r="AS52" s="37"/>
      <c r="AT52" s="37"/>
      <c r="AU52" s="37"/>
      <c r="AV52" s="37"/>
      <c r="AW52" s="37"/>
      <c r="AX52" s="37"/>
      <c r="AY52" s="37"/>
      <c r="AZ52" s="37"/>
      <c r="BA52" s="37">
        <f>+AR52+AS52+AU52+AW52+AY52+AZ52</f>
        <v>0</v>
      </c>
      <c r="BB52" s="33"/>
      <c r="BC52" s="53"/>
      <c r="BD52" s="53"/>
      <c r="BE52" s="33"/>
      <c r="BF52" s="53"/>
    </row>
    <row r="53" spans="1:58" ht="12.95" customHeight="1">
      <c r="A53" s="40"/>
      <c r="B53" s="41"/>
      <c r="C53" s="428"/>
      <c r="D53" s="41"/>
      <c r="E53" s="42"/>
      <c r="F53" s="42"/>
      <c r="G53" s="472"/>
      <c r="H53" s="44"/>
      <c r="I53" s="45"/>
      <c r="J53" s="86"/>
      <c r="K53" s="86"/>
      <c r="L53" s="35"/>
      <c r="M53" s="35"/>
      <c r="N53" s="46"/>
      <c r="O53" s="47"/>
      <c r="P53" s="48"/>
      <c r="Q53" s="47"/>
      <c r="R53" s="397"/>
      <c r="S53" s="397"/>
      <c r="T53" s="37"/>
      <c r="U53" s="37"/>
      <c r="V53" s="37"/>
      <c r="W53" s="37"/>
      <c r="X53" s="394"/>
      <c r="Y53" s="213"/>
      <c r="Z53" s="37"/>
      <c r="AA53" s="37"/>
      <c r="AB53" s="37"/>
      <c r="AC53" s="37"/>
      <c r="AD53" s="37"/>
      <c r="AE53" s="230"/>
      <c r="AF53" s="37"/>
      <c r="AG53" s="37"/>
      <c r="AH53" s="37"/>
      <c r="AI53" s="474"/>
      <c r="AJ53" s="37"/>
      <c r="AK53" s="37"/>
      <c r="AL53" s="37"/>
      <c r="AM53" s="37"/>
      <c r="AN53" s="8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50"/>
      <c r="BC53" s="51"/>
      <c r="BD53" s="53"/>
      <c r="BE53" s="33"/>
      <c r="BF53" s="53"/>
    </row>
    <row r="54" spans="1:58" ht="12.95" customHeight="1">
      <c r="A54" s="40">
        <v>45942</v>
      </c>
      <c r="B54" s="41" t="s">
        <v>416</v>
      </c>
      <c r="C54" s="428">
        <f>(M54*E54*O54*Q54)/100000000</f>
        <v>17.660697599999999</v>
      </c>
      <c r="D54" s="41" t="s">
        <v>297</v>
      </c>
      <c r="E54" s="42">
        <v>14</v>
      </c>
      <c r="F54" s="42">
        <v>1</v>
      </c>
      <c r="G54" s="472">
        <v>1255</v>
      </c>
      <c r="H54" s="489">
        <v>0.24</v>
      </c>
      <c r="I54" s="45">
        <v>0.88</v>
      </c>
      <c r="J54" s="86">
        <f>E54*G54*(1-H54)*1440/1000000*2.87</f>
        <v>55.186104960000009</v>
      </c>
      <c r="K54" s="86">
        <f>(IF(G54&lt;L54,L54,G54)*(1-IF(H54&lt;N54,H54,N54))*E54*O54*Q54)/100000000</f>
        <v>17.660697599999999</v>
      </c>
      <c r="L54" s="35">
        <v>1300</v>
      </c>
      <c r="M54" s="35">
        <f>+L54-L54*0.24</f>
        <v>988</v>
      </c>
      <c r="N54" s="46">
        <f>1-(M54/L54)</f>
        <v>0.24</v>
      </c>
      <c r="O54" s="47">
        <f>+'Trim Rwd'!H45</f>
        <v>266</v>
      </c>
      <c r="P54" s="48">
        <f>O54*(Q54-R54-S54)</f>
        <v>123690</v>
      </c>
      <c r="Q54" s="47">
        <v>480</v>
      </c>
      <c r="R54" s="397">
        <v>0</v>
      </c>
      <c r="S54" s="397">
        <v>15</v>
      </c>
      <c r="T54" s="37">
        <f>E54*M54*O54*Q54/100000000</f>
        <v>17.660697599999999</v>
      </c>
      <c r="U54" s="37">
        <f>E54*M54*O54*(Q54-R54-S54)/100000000</f>
        <v>17.108800800000001</v>
      </c>
      <c r="V54" s="37">
        <f>E54*G54*(1-N54)*O54/100*(R54+S54)/1000000</f>
        <v>0.53279268000000002</v>
      </c>
      <c r="W54" s="37">
        <f>+'12'!K14/1000</f>
        <v>23.04</v>
      </c>
      <c r="X54" s="394">
        <f>SUM(W54:W57)/SUM(K54:K57)</f>
        <v>0.91862460150190139</v>
      </c>
      <c r="Y54" s="37">
        <v>0</v>
      </c>
      <c r="Z54" s="37">
        <v>0</v>
      </c>
      <c r="AA54" s="49">
        <f>SUM(U54:U57)-SUM(W54:W57)-SUM(Z54:Z57)-SUM(Y54:Y57)</f>
        <v>1.3124287999999993</v>
      </c>
      <c r="AB54" s="49">
        <f>(SUM(K54:K57)-SUM(W54:W57)-SUM(Y54:Y57)-SUM(Z54:Z57)-SUM(AC54:AC57)-SUM(V54:V57))-AA54</f>
        <v>6.1580519999995253E-2</v>
      </c>
      <c r="AC54" s="37">
        <f>K54-T54</f>
        <v>0</v>
      </c>
      <c r="AD54" s="37">
        <f>+AM54+BA54</f>
        <v>15</v>
      </c>
      <c r="AE54" s="230" t="s">
        <v>526</v>
      </c>
      <c r="AF54" s="37">
        <v>15</v>
      </c>
      <c r="AG54" s="37"/>
      <c r="AH54" s="37"/>
      <c r="AI54" s="474"/>
      <c r="AJ54" s="37"/>
      <c r="AK54" s="37"/>
      <c r="AL54" s="37"/>
      <c r="AM54" s="37">
        <f>SUM(AF54:AL54)+AT54+AV54+AX54</f>
        <v>15</v>
      </c>
      <c r="AN54" s="37"/>
      <c r="AO54" s="37"/>
      <c r="AP54" s="37"/>
      <c r="AQ54" s="37"/>
      <c r="AR54" s="37">
        <f>SUM(AN54:AQ54)</f>
        <v>0</v>
      </c>
      <c r="AS54" s="37"/>
      <c r="AT54" s="37"/>
      <c r="AU54" s="37"/>
      <c r="AV54" s="37"/>
      <c r="AW54" s="37"/>
      <c r="AX54" s="37"/>
      <c r="AY54" s="37"/>
      <c r="AZ54" s="37"/>
      <c r="BA54" s="37">
        <f>+AR54+AS54+AU54+AW54+AY54+AZ54</f>
        <v>0</v>
      </c>
      <c r="BB54" s="33">
        <v>3</v>
      </c>
      <c r="BC54" s="51"/>
      <c r="BD54" s="51"/>
      <c r="BE54" s="33"/>
      <c r="BF54" s="51"/>
    </row>
    <row r="55" spans="1:58" ht="12.95" customHeight="1">
      <c r="A55" s="40"/>
      <c r="B55" s="41" t="s">
        <v>416</v>
      </c>
      <c r="C55" s="428">
        <f>(M55*E55*O55*Q55)/100000000</f>
        <v>22.087727999999998</v>
      </c>
      <c r="D55" s="41" t="s">
        <v>297</v>
      </c>
      <c r="E55" s="42">
        <v>15</v>
      </c>
      <c r="F55" s="42">
        <v>1</v>
      </c>
      <c r="G55" s="472">
        <v>1255</v>
      </c>
      <c r="H55" s="489">
        <v>0.24</v>
      </c>
      <c r="I55" s="45">
        <v>0.88</v>
      </c>
      <c r="J55" s="86">
        <f>E55*G55*(1-H55)*1440/1000000*2.87</f>
        <v>59.127969600000007</v>
      </c>
      <c r="K55" s="86">
        <f>(IF(G55&lt;L55,L55,G55)*(1-IF(H55&lt;N55,H55,N55))*E55*O55*Q55)/100000000</f>
        <v>22.087727999999998</v>
      </c>
      <c r="L55" s="35">
        <v>1300</v>
      </c>
      <c r="M55" s="35">
        <f>+L55-L55*0.24</f>
        <v>988</v>
      </c>
      <c r="N55" s="46">
        <f>1-(M55/L55)</f>
        <v>0.24</v>
      </c>
      <c r="O55" s="47">
        <f>+'Trim Rwd'!H47</f>
        <v>276</v>
      </c>
      <c r="P55" s="48">
        <f>O55*(Q55-R55-S55)</f>
        <v>140760</v>
      </c>
      <c r="Q55" s="47">
        <f>480+60</f>
        <v>540</v>
      </c>
      <c r="R55" s="397">
        <v>0</v>
      </c>
      <c r="S55" s="397">
        <v>30</v>
      </c>
      <c r="T55" s="37">
        <f>E55*M55*O55*Q55/100000000</f>
        <v>22.087727999999998</v>
      </c>
      <c r="U55" s="37">
        <f>E55*M55*O55*(Q55-R55-S55)/100000000</f>
        <v>20.860631999999999</v>
      </c>
      <c r="V55" s="37">
        <f>E55*G55*(1-N55)*O55/100*(R55+S55)/1000000</f>
        <v>1.1846196</v>
      </c>
      <c r="W55" s="37">
        <f>+'12'!K15/1000</f>
        <v>20.471</v>
      </c>
      <c r="X55" s="394"/>
      <c r="Y55" s="213"/>
      <c r="Z55" s="37"/>
      <c r="AA55" s="37"/>
      <c r="AB55" s="37"/>
      <c r="AC55" s="37">
        <f>K55-T55</f>
        <v>0</v>
      </c>
      <c r="AD55" s="37">
        <f>+AM55+BA55</f>
        <v>8</v>
      </c>
      <c r="AE55" s="230" t="s">
        <v>599</v>
      </c>
      <c r="AF55" s="37"/>
      <c r="AG55" s="37">
        <v>8</v>
      </c>
      <c r="AH55" s="37"/>
      <c r="AI55" s="474"/>
      <c r="AJ55" s="37"/>
      <c r="AK55" s="37"/>
      <c r="AL55" s="37"/>
      <c r="AM55" s="37">
        <f>SUM(AF55:AL55)+AT55+AV55+AX55</f>
        <v>8</v>
      </c>
      <c r="AN55" s="87"/>
      <c r="AO55" s="37"/>
      <c r="AP55" s="37"/>
      <c r="AQ55" s="37"/>
      <c r="AR55" s="37">
        <f>SUM(AN55:AQ55)</f>
        <v>0</v>
      </c>
      <c r="AS55" s="37"/>
      <c r="AT55" s="37"/>
      <c r="AU55" s="37"/>
      <c r="AV55" s="37"/>
      <c r="AW55" s="37"/>
      <c r="AX55" s="37"/>
      <c r="AY55" s="37"/>
      <c r="AZ55" s="37"/>
      <c r="BA55" s="37">
        <f>+AR55+AS55+AU55+AW55+AY55+AZ55</f>
        <v>0</v>
      </c>
      <c r="BB55" s="50"/>
      <c r="BC55" s="51">
        <v>2</v>
      </c>
      <c r="BD55" s="51"/>
      <c r="BE55" s="50"/>
      <c r="BF55" s="51"/>
    </row>
    <row r="56" spans="1:58" ht="12.95" customHeight="1">
      <c r="A56" s="40"/>
      <c r="B56" s="41" t="s">
        <v>416</v>
      </c>
      <c r="C56" s="428">
        <f>(M56*E56*O56*Q56)/100000000</f>
        <v>15.41736</v>
      </c>
      <c r="D56" s="41" t="s">
        <v>297</v>
      </c>
      <c r="E56" s="42">
        <v>12.5</v>
      </c>
      <c r="F56" s="42">
        <v>1</v>
      </c>
      <c r="G56" s="472">
        <v>1400</v>
      </c>
      <c r="H56" s="489">
        <v>0.23</v>
      </c>
      <c r="I56" s="45">
        <v>0.88</v>
      </c>
      <c r="J56" s="86">
        <f>E56*G56*(1-H56)*1440/1000000*2.87</f>
        <v>55.689480000000003</v>
      </c>
      <c r="K56" s="86">
        <f>(IF(G56&lt;L56,L56,G56)*(1-IF(H56&lt;N56,H56,N56))*E56*O56*Q56)/100000000</f>
        <v>15.62022</v>
      </c>
      <c r="L56" s="35">
        <v>1400</v>
      </c>
      <c r="M56" s="35">
        <f>+L56-L56*0.24</f>
        <v>1064</v>
      </c>
      <c r="N56" s="46">
        <f>1-(M56/L56)</f>
        <v>0.24</v>
      </c>
      <c r="O56" s="47">
        <f>+'Trim Rwd'!H48</f>
        <v>276</v>
      </c>
      <c r="P56" s="48">
        <f>O56*(Q56-R56-S56)</f>
        <v>106812</v>
      </c>
      <c r="Q56" s="47">
        <v>420</v>
      </c>
      <c r="R56" s="397">
        <v>0</v>
      </c>
      <c r="S56" s="397">
        <v>33</v>
      </c>
      <c r="T56" s="37">
        <f>E56*M56*O56*Q56/100000000</f>
        <v>15.41736</v>
      </c>
      <c r="U56" s="37">
        <f>E56*M56*O56*(Q56-R56-S56)/100000000</f>
        <v>14.205996000000001</v>
      </c>
      <c r="V56" s="37">
        <f>E56*G56*(1-N56)*O56/100*(R56+S56)/1000000</f>
        <v>1.2113640000000001</v>
      </c>
      <c r="W56" s="37">
        <f>+'12'!K13/1000</f>
        <v>7.3520000000000003</v>
      </c>
      <c r="X56" s="394"/>
      <c r="Y56" s="213"/>
      <c r="Z56" s="37"/>
      <c r="AA56" s="37"/>
      <c r="AB56" s="37"/>
      <c r="AC56" s="37">
        <f>K56-T56</f>
        <v>0.20285999999999937</v>
      </c>
      <c r="AD56" s="37">
        <f>+AM56+BA56</f>
        <v>30</v>
      </c>
      <c r="AE56" s="230" t="s">
        <v>494</v>
      </c>
      <c r="AF56" s="33"/>
      <c r="AG56" s="33"/>
      <c r="AH56" s="33">
        <v>30</v>
      </c>
      <c r="AJ56" s="37"/>
      <c r="AK56" s="37"/>
      <c r="AL56" s="37"/>
      <c r="AM56" s="37">
        <f>SUM(AF56:AL56)+AT56+AV56+AX56</f>
        <v>30</v>
      </c>
      <c r="AN56" s="37"/>
      <c r="AO56" s="37"/>
      <c r="AP56" s="37"/>
      <c r="AQ56" s="37"/>
      <c r="AR56" s="37">
        <f>SUM(AN56:AQ56)</f>
        <v>0</v>
      </c>
      <c r="AS56" s="37"/>
      <c r="AT56" s="37"/>
      <c r="AU56" s="37"/>
      <c r="AV56" s="37"/>
      <c r="AW56" s="37"/>
      <c r="AX56" s="37"/>
      <c r="AY56" s="37"/>
      <c r="AZ56" s="37"/>
      <c r="BA56" s="37">
        <f>+AR56+AS56+AU56+AW56+AY56+AZ56</f>
        <v>0</v>
      </c>
      <c r="BB56" s="33"/>
      <c r="BC56" s="53"/>
      <c r="BD56" s="53"/>
      <c r="BE56" s="33"/>
      <c r="BF56" s="53"/>
    </row>
    <row r="57" spans="1:58" ht="12.95" customHeight="1">
      <c r="A57" s="40"/>
      <c r="B57" s="41"/>
      <c r="C57" s="428"/>
      <c r="D57" s="41"/>
      <c r="E57" s="42"/>
      <c r="F57" s="42"/>
      <c r="G57" s="472"/>
      <c r="H57" s="542"/>
      <c r="I57" s="45"/>
      <c r="J57" s="86"/>
      <c r="K57" s="86"/>
      <c r="L57" s="35"/>
      <c r="M57" s="35"/>
      <c r="N57" s="46"/>
      <c r="O57" s="47"/>
      <c r="P57" s="48"/>
      <c r="Q57" s="47"/>
      <c r="R57" s="397"/>
      <c r="S57" s="397"/>
      <c r="T57" s="37"/>
      <c r="U57" s="37"/>
      <c r="V57" s="37"/>
      <c r="W57" s="37"/>
      <c r="X57" s="394"/>
      <c r="Y57" s="213"/>
      <c r="Z57" s="37"/>
      <c r="AA57" s="37"/>
      <c r="AB57" s="37"/>
      <c r="AC57" s="37"/>
      <c r="AD57" s="37">
        <f>+AM57+BA57</f>
        <v>25</v>
      </c>
      <c r="AE57" s="230" t="s">
        <v>607</v>
      </c>
      <c r="AF57" s="37"/>
      <c r="AG57" s="37"/>
      <c r="AH57" s="37"/>
      <c r="AI57" s="474"/>
      <c r="AJ57" s="37">
        <v>25</v>
      </c>
      <c r="AK57" s="37"/>
      <c r="AL57" s="37"/>
      <c r="AM57" s="37">
        <f>SUM(AF57:AL57)+AT57+AV57+AX57</f>
        <v>25</v>
      </c>
      <c r="AN57" s="37"/>
      <c r="AO57" s="37"/>
      <c r="AP57" s="37"/>
      <c r="AQ57" s="37"/>
      <c r="AR57" s="37">
        <f>SUM(AN57:AQ57)</f>
        <v>0</v>
      </c>
      <c r="AS57" s="37"/>
      <c r="AT57" s="37"/>
      <c r="AU57" s="37"/>
      <c r="AV57" s="37"/>
      <c r="AW57" s="37"/>
      <c r="AX57" s="37"/>
      <c r="AY57" s="37"/>
      <c r="AZ57" s="37"/>
      <c r="BA57" s="37">
        <f>+AR57+AS57+AU57+AW57+AY57+AZ57</f>
        <v>0</v>
      </c>
      <c r="BB57" s="33"/>
      <c r="BC57" s="53"/>
      <c r="BD57" s="53"/>
      <c r="BE57" s="33"/>
      <c r="BF57" s="53"/>
    </row>
    <row r="58" spans="1:58" ht="12.95" customHeight="1">
      <c r="A58" s="40"/>
      <c r="B58" s="41"/>
      <c r="C58" s="428"/>
      <c r="D58" s="41"/>
      <c r="E58" s="42"/>
      <c r="F58" s="42"/>
      <c r="G58" s="43"/>
      <c r="H58" s="542"/>
      <c r="I58" s="45"/>
      <c r="J58" s="86"/>
      <c r="K58" s="86"/>
      <c r="L58" s="35"/>
      <c r="M58" s="35"/>
      <c r="N58" s="46"/>
      <c r="O58" s="47"/>
      <c r="P58" s="48"/>
      <c r="Q58" s="47"/>
      <c r="R58" s="397"/>
      <c r="S58" s="397"/>
      <c r="T58" s="37"/>
      <c r="U58" s="37"/>
      <c r="V58" s="37"/>
      <c r="W58" s="37"/>
      <c r="X58" s="394"/>
      <c r="Y58" s="213"/>
      <c r="Z58" s="37"/>
      <c r="AA58" s="37"/>
      <c r="AB58" s="37"/>
      <c r="AC58" s="37"/>
      <c r="AD58" s="37"/>
      <c r="AE58" s="233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3"/>
      <c r="BC58" s="51"/>
      <c r="BD58" s="51"/>
      <c r="BE58" s="51"/>
      <c r="BF58" s="51"/>
    </row>
    <row r="59" spans="1:58" ht="12.95" customHeight="1">
      <c r="A59" s="40">
        <v>45943</v>
      </c>
      <c r="B59" s="41" t="s">
        <v>416</v>
      </c>
      <c r="C59" s="428">
        <f>(M59*E59*O59*Q59)/100000000</f>
        <v>30.765656727272724</v>
      </c>
      <c r="D59" s="41" t="s">
        <v>297</v>
      </c>
      <c r="E59" s="42">
        <v>12.5</v>
      </c>
      <c r="F59" s="42">
        <v>1</v>
      </c>
      <c r="G59" s="472">
        <v>1400</v>
      </c>
      <c r="H59" s="489">
        <v>0.23</v>
      </c>
      <c r="I59" s="45">
        <v>0.88</v>
      </c>
      <c r="J59" s="86">
        <f>E59*G59*(1-H59)*1440/1000000*2.87</f>
        <v>55.689480000000003</v>
      </c>
      <c r="K59" s="86">
        <f>(IF(G59&lt;L59,L59,G59)*(1-IF(H59&lt;N59,H59,N59))*E59*O59*Q59)/100000000</f>
        <v>31.170468</v>
      </c>
      <c r="L59" s="35">
        <v>1400</v>
      </c>
      <c r="M59" s="35">
        <f>+L59-L59*0.24</f>
        <v>1064</v>
      </c>
      <c r="N59" s="46">
        <f>1-(M59/L59)</f>
        <v>0.24</v>
      </c>
      <c r="O59" s="47">
        <f>+'Trim Rwd'!H50</f>
        <v>275.38181818181818</v>
      </c>
      <c r="P59" s="48">
        <f>O59*(Q59-R59-S59)</f>
        <v>224436.18181818182</v>
      </c>
      <c r="Q59" s="47">
        <v>840</v>
      </c>
      <c r="R59" s="397">
        <v>0</v>
      </c>
      <c r="S59" s="397">
        <v>25</v>
      </c>
      <c r="T59" s="37">
        <f>E59*M59*O59*Q59/100000000</f>
        <v>30.765656727272724</v>
      </c>
      <c r="U59" s="37">
        <f>E59*M59*O59*(Q59-R59-S59)/100000000</f>
        <v>29.85001218181818</v>
      </c>
      <c r="V59" s="37">
        <f>E59*G59*(1-N59)*O59/100*(R59+S59)/1000000</f>
        <v>0.91564454545454543</v>
      </c>
      <c r="W59" s="37">
        <f>+'13'!K13/1000</f>
        <v>34.926000000000002</v>
      </c>
      <c r="X59" s="394">
        <f>SUM(W59:W62)/SUM(K59:K62)</f>
        <v>0.88299529872078708</v>
      </c>
      <c r="Y59" s="37">
        <v>0</v>
      </c>
      <c r="Z59" s="37">
        <f>+'13'!D34/1000</f>
        <v>0.66</v>
      </c>
      <c r="AA59" s="49">
        <f>SUM(U59:U62)-SUM(W59:W62)-SUM(Z59:Z62)-SUM(Y59:Y62)</f>
        <v>3.2356547418181769</v>
      </c>
      <c r="AB59" s="49">
        <f>(SUM(K59:K62)-SUM(W59:W62)-SUM(Y59:Y62)-SUM(Z59:Z62)-SUM(AC59:AC62)-SUM(V59:V62))-AA59</f>
        <v>2.5472159999964106E-3</v>
      </c>
      <c r="AC59" s="37">
        <f>K59-T59</f>
        <v>0.40481127272727591</v>
      </c>
      <c r="AD59" s="37">
        <f>+AM59+BA59</f>
        <v>5</v>
      </c>
      <c r="AE59" s="230" t="s">
        <v>522</v>
      </c>
      <c r="AF59" s="37">
        <v>5</v>
      </c>
      <c r="AG59" s="37"/>
      <c r="AH59" s="37"/>
      <c r="AI59" s="474"/>
      <c r="AJ59" s="37"/>
      <c r="AK59" s="37"/>
      <c r="AL59" s="37"/>
      <c r="AM59" s="37">
        <f>SUM(AF59:AL59)+AT59+AV59+AX59</f>
        <v>5</v>
      </c>
      <c r="AN59" s="37"/>
      <c r="AO59" s="37"/>
      <c r="AP59" s="37"/>
      <c r="AQ59" s="37"/>
      <c r="AR59" s="37">
        <f>SUM(AN59:AQ59)</f>
        <v>0</v>
      </c>
      <c r="AS59" s="37"/>
      <c r="AT59" s="37"/>
      <c r="AU59" s="37"/>
      <c r="AV59" s="37"/>
      <c r="AW59" s="37"/>
      <c r="AX59" s="37"/>
      <c r="AY59" s="37"/>
      <c r="AZ59" s="37"/>
      <c r="BA59" s="37">
        <f>+AR59+AS59+AU59+AW59+AY59+AZ59</f>
        <v>0</v>
      </c>
      <c r="BB59" s="33">
        <v>1</v>
      </c>
      <c r="BC59" s="51"/>
      <c r="BD59" s="51"/>
      <c r="BE59" s="33"/>
      <c r="BF59" s="51"/>
    </row>
    <row r="60" spans="1:58" ht="12.95" customHeight="1">
      <c r="A60" s="40"/>
      <c r="B60" s="41" t="s">
        <v>416</v>
      </c>
      <c r="C60" s="428">
        <f>(M60*E60*O60*Q60)/100000000</f>
        <v>14.8006656</v>
      </c>
      <c r="D60" s="41" t="s">
        <v>297</v>
      </c>
      <c r="E60" s="42">
        <v>12</v>
      </c>
      <c r="F60" s="42">
        <v>1</v>
      </c>
      <c r="G60" s="472">
        <v>1400</v>
      </c>
      <c r="H60" s="489">
        <v>0.2</v>
      </c>
      <c r="I60" s="45">
        <v>0.88</v>
      </c>
      <c r="J60" s="86">
        <f>E60*G60*(1-H60)*1440/1000000*2.87</f>
        <v>55.544832</v>
      </c>
      <c r="K60" s="86">
        <f>(IF(G60&lt;L60,L60,G60)*(1-IF(H60&lt;N60,H60,N60))*E60*O60*Q60)/100000000</f>
        <v>15.579648000000001</v>
      </c>
      <c r="L60" s="35">
        <v>1400</v>
      </c>
      <c r="M60" s="35">
        <f>+L60-L60*0.24</f>
        <v>1064</v>
      </c>
      <c r="N60" s="46">
        <f>1-(M60/L60)</f>
        <v>0.24</v>
      </c>
      <c r="O60" s="47">
        <f>+'Trim Rwd'!H52</f>
        <v>276</v>
      </c>
      <c r="P60" s="48">
        <f>O60*(Q60-R60-S60)</f>
        <v>114540</v>
      </c>
      <c r="Q60" s="47">
        <v>420</v>
      </c>
      <c r="R60" s="397">
        <v>0</v>
      </c>
      <c r="S60" s="397">
        <v>5</v>
      </c>
      <c r="T60" s="37">
        <f>E60*M60*O60*Q60/100000000</f>
        <v>14.8006656</v>
      </c>
      <c r="U60" s="37">
        <f>E60*M60*O60*(Q60-R60-S60)/100000000</f>
        <v>14.6244672</v>
      </c>
      <c r="V60" s="37">
        <f>E60*G60*(1-N60)*O60/100*(R60+S60)/1000000</f>
        <v>0.17619840000000001</v>
      </c>
      <c r="W60" s="37">
        <f>+'13'!K10/1000</f>
        <v>12.202</v>
      </c>
      <c r="X60" s="394"/>
      <c r="Y60" s="213"/>
      <c r="Z60" s="37"/>
      <c r="AA60" s="37"/>
      <c r="AB60" s="37"/>
      <c r="AC60" s="37">
        <f>K60-T60</f>
        <v>0.7789824000000003</v>
      </c>
      <c r="AD60" s="37">
        <f>+AM60+BA60</f>
        <v>5</v>
      </c>
      <c r="AE60" s="230" t="s">
        <v>513</v>
      </c>
      <c r="AF60" s="37"/>
      <c r="AG60" s="37">
        <v>5</v>
      </c>
      <c r="AH60" s="37"/>
      <c r="AI60" s="474"/>
      <c r="AJ60" s="37"/>
      <c r="AK60" s="37"/>
      <c r="AL60" s="37"/>
      <c r="AM60" s="37">
        <f>SUM(AF60:AL60)+AT60+AV60+AX60</f>
        <v>5</v>
      </c>
      <c r="AN60" s="87"/>
      <c r="AO60" s="37"/>
      <c r="AP60" s="37"/>
      <c r="AQ60" s="37"/>
      <c r="AR60" s="37">
        <f>SUM(AN60:AQ60)</f>
        <v>0</v>
      </c>
      <c r="AS60" s="37"/>
      <c r="AT60" s="37"/>
      <c r="AU60" s="37"/>
      <c r="AV60" s="37"/>
      <c r="AW60" s="37"/>
      <c r="AX60" s="37"/>
      <c r="AY60" s="37"/>
      <c r="AZ60" s="37"/>
      <c r="BA60" s="37">
        <f>+AR60+AS60+AU60+AW60+AY60+AZ60</f>
        <v>0</v>
      </c>
      <c r="BB60" s="50"/>
      <c r="BC60" s="51">
        <v>1</v>
      </c>
      <c r="BD60" s="51"/>
      <c r="BE60" s="50"/>
      <c r="BF60" s="51"/>
    </row>
    <row r="61" spans="1:58" ht="12.95" customHeight="1">
      <c r="A61" s="40"/>
      <c r="B61" s="41" t="s">
        <v>416</v>
      </c>
      <c r="C61" s="428">
        <f>(M61*E61*O61*Q61)/100000000</f>
        <v>6.6227615999999996</v>
      </c>
      <c r="D61" s="41" t="s">
        <v>297</v>
      </c>
      <c r="E61" s="42">
        <v>14</v>
      </c>
      <c r="F61" s="42">
        <v>1</v>
      </c>
      <c r="G61" s="472">
        <v>1255</v>
      </c>
      <c r="H61" s="489">
        <v>0.24</v>
      </c>
      <c r="I61" s="45">
        <v>0.88</v>
      </c>
      <c r="J61" s="86">
        <f>E61*G61*(1-H61)*1440/1000000*2.87</f>
        <v>55.186104960000009</v>
      </c>
      <c r="K61" s="86">
        <f>(IF(G61&lt;L61,L61,G61)*(1-IF(H61&lt;N61,H61,N61))*E61*O61*Q61)/100000000</f>
        <v>6.6227615999999996</v>
      </c>
      <c r="L61" s="35">
        <v>1300</v>
      </c>
      <c r="M61" s="35">
        <f>+L61-L61*0.24</f>
        <v>988</v>
      </c>
      <c r="N61" s="46">
        <f>1-(M61/L61)</f>
        <v>0.24</v>
      </c>
      <c r="O61" s="47">
        <f>+'Trim Rwd'!H53</f>
        <v>266</v>
      </c>
      <c r="P61" s="48">
        <f>O61*(Q61-R61-S61)</f>
        <v>47348</v>
      </c>
      <c r="Q61" s="47">
        <v>180</v>
      </c>
      <c r="R61" s="397">
        <v>0</v>
      </c>
      <c r="S61" s="397">
        <v>2</v>
      </c>
      <c r="T61" s="37">
        <f>E61*M61*O61*Q61/100000000</f>
        <v>6.6227615999999996</v>
      </c>
      <c r="U61" s="37">
        <f>E61*M61*O61*(Q61-R61-S61)/100000000</f>
        <v>6.5491753599999996</v>
      </c>
      <c r="V61" s="37">
        <f>E61*G61*(1-N61)*O61/100*(R61+S61)/1000000</f>
        <v>7.1039024000000006E-2</v>
      </c>
      <c r="W61" s="37">
        <f>+'13'!K14/1000</f>
        <v>0</v>
      </c>
      <c r="X61" s="394"/>
      <c r="Y61" s="213"/>
      <c r="Z61" s="37"/>
      <c r="AA61" s="37"/>
      <c r="AB61" s="37"/>
      <c r="AC61" s="37">
        <f>K61-T61</f>
        <v>0</v>
      </c>
      <c r="AD61" s="37">
        <f>+AM61+BA61</f>
        <v>22</v>
      </c>
      <c r="AE61" s="230" t="s">
        <v>639</v>
      </c>
      <c r="AF61" s="33"/>
      <c r="AG61" s="33"/>
      <c r="AH61" s="33">
        <v>22</v>
      </c>
      <c r="AJ61" s="37"/>
      <c r="AK61" s="37"/>
      <c r="AL61" s="37"/>
      <c r="AM61" s="37">
        <f>SUM(AF61:AL61)+AT61+AV61+AX61</f>
        <v>22</v>
      </c>
      <c r="AN61" s="37"/>
      <c r="AO61" s="37"/>
      <c r="AP61" s="37"/>
      <c r="AQ61" s="37"/>
      <c r="AR61" s="37">
        <f>SUM(AN61:AQ61)</f>
        <v>0</v>
      </c>
      <c r="AS61" s="37"/>
      <c r="AT61" s="37"/>
      <c r="AU61" s="37"/>
      <c r="AV61" s="37"/>
      <c r="AW61" s="37"/>
      <c r="AX61" s="37"/>
      <c r="AY61" s="37"/>
      <c r="AZ61" s="37"/>
      <c r="BA61" s="37">
        <f>+AR61+AS61+AU61+AW61+AY61+AZ61</f>
        <v>0</v>
      </c>
      <c r="BB61" s="33"/>
      <c r="BC61" s="53"/>
      <c r="BD61" s="53"/>
      <c r="BE61" s="33"/>
      <c r="BF61" s="53"/>
    </row>
    <row r="62" spans="1:58" ht="12.95" customHeight="1">
      <c r="A62" s="40"/>
      <c r="B62" s="41"/>
      <c r="C62" s="428"/>
      <c r="D62" s="41"/>
      <c r="E62" s="42"/>
      <c r="F62" s="42"/>
      <c r="G62" s="472"/>
      <c r="H62" s="44"/>
      <c r="I62" s="45"/>
      <c r="J62" s="86"/>
      <c r="K62" s="86"/>
      <c r="L62" s="35"/>
      <c r="M62" s="35"/>
      <c r="N62" s="46"/>
      <c r="O62" s="47"/>
      <c r="P62" s="48"/>
      <c r="Q62" s="47"/>
      <c r="R62" s="397"/>
      <c r="S62" s="397"/>
      <c r="T62" s="37"/>
      <c r="U62" s="37"/>
      <c r="V62" s="37"/>
      <c r="W62" s="37"/>
      <c r="X62" s="394"/>
      <c r="Y62" s="213"/>
      <c r="Z62" s="37"/>
      <c r="AA62" s="37"/>
      <c r="AB62" s="37"/>
      <c r="AC62" s="37"/>
      <c r="AD62" s="37"/>
      <c r="AE62" s="230"/>
      <c r="AF62" s="37"/>
      <c r="AG62" s="37"/>
      <c r="AH62" s="37"/>
      <c r="AI62" s="474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3"/>
      <c r="BC62" s="53"/>
      <c r="BD62" s="53"/>
      <c r="BE62" s="33"/>
      <c r="BF62" s="53"/>
    </row>
    <row r="63" spans="1:58" ht="12.95" customHeight="1">
      <c r="A63" s="40">
        <v>45944</v>
      </c>
      <c r="B63" s="41" t="s">
        <v>416</v>
      </c>
      <c r="C63" s="428">
        <f>(M63*E63*O63*Q63)/100000000</f>
        <v>18.2125944</v>
      </c>
      <c r="D63" s="41" t="s">
        <v>297</v>
      </c>
      <c r="E63" s="42">
        <v>14</v>
      </c>
      <c r="F63" s="42">
        <v>1</v>
      </c>
      <c r="G63" s="472">
        <v>1255</v>
      </c>
      <c r="H63" s="489">
        <v>0.24</v>
      </c>
      <c r="I63" s="45">
        <v>0.88</v>
      </c>
      <c r="J63" s="86">
        <f>E63*G63*(1-H63)*1440/1000000*2.87</f>
        <v>55.186104960000009</v>
      </c>
      <c r="K63" s="86">
        <f>(IF(G63&lt;L63,L63,G63)*(1-IF(H63&lt;N63,H63,N63))*E63*O63*Q63)/100000000</f>
        <v>18.2125944</v>
      </c>
      <c r="L63" s="35">
        <v>1300</v>
      </c>
      <c r="M63" s="35">
        <f>+L63-L63*0.24</f>
        <v>988</v>
      </c>
      <c r="N63" s="46">
        <f>1-(M63/L63)</f>
        <v>0.24</v>
      </c>
      <c r="O63" s="47">
        <f>+'Trim Rwd'!H55</f>
        <v>266</v>
      </c>
      <c r="P63" s="48">
        <f>O63*(Q63-R63-S63)</f>
        <v>129542</v>
      </c>
      <c r="Q63" s="47">
        <v>495</v>
      </c>
      <c r="R63" s="397">
        <v>0</v>
      </c>
      <c r="S63" s="397">
        <v>8</v>
      </c>
      <c r="T63" s="37">
        <f>E63*M63*O63*Q63/100000000</f>
        <v>18.2125944</v>
      </c>
      <c r="U63" s="37">
        <f>E63*M63*O63*(Q63-R63-S63)/100000000</f>
        <v>17.91824944</v>
      </c>
      <c r="V63" s="37">
        <f>E63*G63*(1-N63)*O63/100*(R63+S63)/1000000</f>
        <v>0.28415609600000002</v>
      </c>
      <c r="W63" s="37">
        <f>+'14'!K14/1000</f>
        <v>27.901</v>
      </c>
      <c r="X63" s="394">
        <f>SUM(W63:W66)/SUM(K63:K66)</f>
        <v>0.78521739195970297</v>
      </c>
      <c r="Y63" s="37">
        <v>0</v>
      </c>
      <c r="Z63" s="37">
        <f>+'14'!D34/1000</f>
        <v>1.22</v>
      </c>
      <c r="AA63" s="49">
        <f>SUM(U63:U66)-SUM(W63:W66)-SUM(Z63:Z66)-SUM(Y63:Y66)</f>
        <v>9.6652323566666691</v>
      </c>
      <c r="AB63" s="49">
        <f>(SUM(K63:K66)-SUM(W63:W66)-SUM(Y63:Y66)-SUM(Z63:Z66)-SUM(AC63:AC66)-SUM(V63:V66))-AA63</f>
        <v>2.3063997333332864E-2</v>
      </c>
      <c r="AC63" s="37">
        <f>K63-T63</f>
        <v>0</v>
      </c>
      <c r="AD63" s="37">
        <f>+AM63+BA63</f>
        <v>0</v>
      </c>
      <c r="AE63" s="230" t="s">
        <v>404</v>
      </c>
      <c r="AF63" s="37">
        <v>0</v>
      </c>
      <c r="AG63" s="37"/>
      <c r="AH63" s="37"/>
      <c r="AI63" s="474"/>
      <c r="AJ63" s="37"/>
      <c r="AK63" s="37"/>
      <c r="AL63" s="37"/>
      <c r="AM63" s="37">
        <f>SUM(AF63:AL63)+AT63+AV63+AX63</f>
        <v>0</v>
      </c>
      <c r="AN63" s="37"/>
      <c r="AO63" s="37"/>
      <c r="AP63" s="37"/>
      <c r="AQ63" s="37"/>
      <c r="AR63" s="37">
        <f>SUM(AN63:AQ63)</f>
        <v>0</v>
      </c>
      <c r="AS63" s="37"/>
      <c r="AT63" s="37"/>
      <c r="AU63" s="37"/>
      <c r="AV63" s="37"/>
      <c r="AW63" s="37"/>
      <c r="AX63" s="37"/>
      <c r="AY63" s="37"/>
      <c r="AZ63" s="37"/>
      <c r="BA63" s="37">
        <f>+AR63+AS63+AU63+AW63+AY63+AZ63</f>
        <v>0</v>
      </c>
      <c r="BB63" s="33">
        <v>0</v>
      </c>
      <c r="BC63" s="51"/>
      <c r="BD63" s="51"/>
      <c r="BE63" s="33"/>
      <c r="BF63" s="51"/>
    </row>
    <row r="64" spans="1:58" ht="12.95" customHeight="1">
      <c r="A64" s="40"/>
      <c r="B64" s="41" t="s">
        <v>416</v>
      </c>
      <c r="C64" s="428">
        <f>(M64*E64*O64*Q64)/100000000</f>
        <v>35.59161375</v>
      </c>
      <c r="D64" s="41" t="s">
        <v>297</v>
      </c>
      <c r="E64" s="42">
        <v>15</v>
      </c>
      <c r="F64" s="42">
        <v>1</v>
      </c>
      <c r="G64" s="472">
        <v>1160</v>
      </c>
      <c r="H64" s="489">
        <f>+N64</f>
        <v>0.23000000000000009</v>
      </c>
      <c r="I64" s="45">
        <v>0.88</v>
      </c>
      <c r="J64" s="86">
        <f>E64*G64*(1-H64)*1440/1000000*2.87</f>
        <v>55.371254399999984</v>
      </c>
      <c r="K64" s="86">
        <f>(IF(G64&lt;L64,L64,G64)*(1-IF(H64&lt;N64,H64,N64))*E64*O64*Q64)/100000000</f>
        <v>35.59161375</v>
      </c>
      <c r="L64" s="35">
        <v>1201.0582010582011</v>
      </c>
      <c r="M64" s="35">
        <v>924.81481481481478</v>
      </c>
      <c r="N64" s="46">
        <f>1-(M64/L64)</f>
        <v>0.23000000000000009</v>
      </c>
      <c r="O64" s="47">
        <f>+'Trim Rwd'!H56</f>
        <v>271.5</v>
      </c>
      <c r="P64" s="48">
        <f>O64*(Q64-R64-S64)</f>
        <v>253852.5</v>
      </c>
      <c r="Q64" s="47">
        <v>945</v>
      </c>
      <c r="R64" s="397">
        <v>0</v>
      </c>
      <c r="S64" s="397">
        <v>10</v>
      </c>
      <c r="T64" s="37">
        <f>E64*M64*O64*Q64/100000000</f>
        <v>35.59161375</v>
      </c>
      <c r="U64" s="37">
        <f>E64*M64*O64*(Q64-R64-S64)/100000000</f>
        <v>35.214982916666671</v>
      </c>
      <c r="V64" s="37">
        <f>E64*G64*(1-N64)*O64/100*(R64+S64)/1000000</f>
        <v>0.36375569999999996</v>
      </c>
      <c r="W64" s="37">
        <f>+'14'!K15/1000</f>
        <v>13.813000000000001</v>
      </c>
      <c r="X64" s="394"/>
      <c r="Y64" s="213"/>
      <c r="Z64" s="37"/>
      <c r="AA64" s="37"/>
      <c r="AB64" s="37"/>
      <c r="AC64" s="37">
        <f>K64-T64</f>
        <v>0</v>
      </c>
      <c r="AD64" s="37">
        <f>+AM64+BA64</f>
        <v>0</v>
      </c>
      <c r="AE64" s="230" t="s">
        <v>426</v>
      </c>
      <c r="AF64" s="37"/>
      <c r="AG64" s="37">
        <v>0</v>
      </c>
      <c r="AH64" s="37"/>
      <c r="AI64" s="474"/>
      <c r="AJ64" s="37"/>
      <c r="AK64" s="37"/>
      <c r="AL64" s="37"/>
      <c r="AM64" s="37">
        <f>SUM(AF64:AL64)+AT64+AV64+AX64</f>
        <v>0</v>
      </c>
      <c r="AN64" s="87"/>
      <c r="AO64" s="37"/>
      <c r="AP64" s="37"/>
      <c r="AQ64" s="37"/>
      <c r="AR64" s="37">
        <f>SUM(AN64:AQ64)</f>
        <v>0</v>
      </c>
      <c r="AS64" s="37"/>
      <c r="AT64" s="37"/>
      <c r="AU64" s="37"/>
      <c r="AV64" s="37"/>
      <c r="AW64" s="37"/>
      <c r="AX64" s="37"/>
      <c r="AY64" s="37"/>
      <c r="AZ64" s="37"/>
      <c r="BA64" s="37">
        <f>+AR64+AS64+AU64+AW64+AY64+AZ64</f>
        <v>0</v>
      </c>
      <c r="BB64" s="50"/>
      <c r="BC64" s="51">
        <v>0</v>
      </c>
      <c r="BD64" s="51"/>
      <c r="BE64" s="50"/>
      <c r="BF64" s="51"/>
    </row>
    <row r="65" spans="1:58" ht="12.95" customHeight="1">
      <c r="A65" s="40"/>
      <c r="B65" s="41" t="s">
        <v>416</v>
      </c>
      <c r="C65" s="428"/>
      <c r="D65" s="41"/>
      <c r="E65" s="42">
        <v>12.5</v>
      </c>
      <c r="F65" s="42"/>
      <c r="G65" s="472"/>
      <c r="H65" s="44"/>
      <c r="I65" s="45"/>
      <c r="J65" s="86"/>
      <c r="K65" s="86"/>
      <c r="L65" s="35"/>
      <c r="M65" s="35"/>
      <c r="N65" s="46"/>
      <c r="O65" s="47"/>
      <c r="P65" s="48"/>
      <c r="Q65" s="47"/>
      <c r="R65" s="397"/>
      <c r="S65" s="397"/>
      <c r="T65" s="37"/>
      <c r="U65" s="37"/>
      <c r="V65" s="37"/>
      <c r="W65" s="37">
        <f>+'14'!K13/1000</f>
        <v>0.53400000000000003</v>
      </c>
      <c r="X65" s="394"/>
      <c r="Y65" s="213"/>
      <c r="Z65" s="37"/>
      <c r="AA65" s="37"/>
      <c r="AB65" s="37"/>
      <c r="AC65" s="37"/>
      <c r="AD65" s="37">
        <f>+AM65+BA65</f>
        <v>18</v>
      </c>
      <c r="AE65" s="230" t="s">
        <v>494</v>
      </c>
      <c r="AF65" s="33"/>
      <c r="AG65" s="33"/>
      <c r="AH65" s="33">
        <v>18</v>
      </c>
      <c r="AJ65" s="37"/>
      <c r="AK65" s="37"/>
      <c r="AL65" s="37"/>
      <c r="AM65" s="37">
        <f>SUM(AF65:AL65)+AT65+AV65+AX65</f>
        <v>18</v>
      </c>
      <c r="AN65" s="37"/>
      <c r="AO65" s="37"/>
      <c r="AP65" s="37"/>
      <c r="AQ65" s="37"/>
      <c r="AR65" s="37">
        <f>SUM(AN65:AQ65)</f>
        <v>0</v>
      </c>
      <c r="AS65" s="37"/>
      <c r="AT65" s="37"/>
      <c r="AU65" s="37"/>
      <c r="AV65" s="37"/>
      <c r="AW65" s="37"/>
      <c r="AX65" s="37"/>
      <c r="AY65" s="37"/>
      <c r="AZ65" s="37"/>
      <c r="BA65" s="37">
        <f>+AR65+AS65+AU65+AW65+AY65+AZ65</f>
        <v>0</v>
      </c>
      <c r="BB65" s="33"/>
      <c r="BC65" s="53"/>
      <c r="BD65" s="53"/>
      <c r="BE65" s="33"/>
      <c r="BF65" s="53"/>
    </row>
    <row r="66" spans="1:58" ht="12.95" customHeight="1">
      <c r="A66" s="40"/>
      <c r="B66" s="41"/>
      <c r="C66" s="428"/>
      <c r="D66" s="41"/>
      <c r="E66" s="42"/>
      <c r="F66" s="42"/>
      <c r="G66" s="472"/>
      <c r="H66" s="44"/>
      <c r="I66" s="45"/>
      <c r="J66" s="86"/>
      <c r="K66" s="86"/>
      <c r="L66" s="35"/>
      <c r="M66" s="35"/>
      <c r="N66" s="46"/>
      <c r="O66" s="47"/>
      <c r="P66" s="48"/>
      <c r="Q66" s="47"/>
      <c r="R66" s="397"/>
      <c r="S66" s="397"/>
      <c r="T66" s="37"/>
      <c r="U66" s="37"/>
      <c r="V66" s="37"/>
      <c r="W66" s="37"/>
      <c r="X66" s="394"/>
      <c r="Y66" s="213"/>
      <c r="Z66" s="37"/>
      <c r="AA66" s="37"/>
      <c r="AB66" s="37"/>
      <c r="AC66" s="37"/>
      <c r="AD66" s="37"/>
      <c r="AE66" s="230"/>
      <c r="AF66" s="37"/>
      <c r="AG66" s="37"/>
      <c r="AH66" s="37"/>
      <c r="AI66" s="474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3"/>
      <c r="BC66" s="53"/>
      <c r="BD66" s="53"/>
      <c r="BE66" s="33"/>
      <c r="BF66" s="53"/>
    </row>
    <row r="67" spans="1:58" ht="12.95" customHeight="1">
      <c r="A67" s="40">
        <v>45945</v>
      </c>
      <c r="B67" s="41" t="s">
        <v>416</v>
      </c>
      <c r="C67" s="428">
        <f>(M67*E67*O67*Q67)/100000000</f>
        <v>14.618483100000001</v>
      </c>
      <c r="D67" s="41" t="s">
        <v>297</v>
      </c>
      <c r="E67" s="42">
        <v>15</v>
      </c>
      <c r="F67" s="42">
        <v>1</v>
      </c>
      <c r="G67" s="472">
        <v>1140</v>
      </c>
      <c r="H67" s="489">
        <f>+N67</f>
        <v>0.21999999999999997</v>
      </c>
      <c r="I67" s="45">
        <v>0.88</v>
      </c>
      <c r="J67" s="86">
        <f>E67*G67*(1-H67)*1440/1000000*2.87</f>
        <v>55.123286400000005</v>
      </c>
      <c r="K67" s="86">
        <f>(IF(G67&lt;L67,L67,G67)*(1-IF(H67&lt;N67,H67,N67))*E67*O67*Q67)/100000000</f>
        <v>14.618483100000001</v>
      </c>
      <c r="L67" s="35">
        <v>1180</v>
      </c>
      <c r="M67" s="35">
        <f>+L67-L67*0.22</f>
        <v>920.4</v>
      </c>
      <c r="N67" s="46">
        <f>1-(M67/L67)</f>
        <v>0.21999999999999997</v>
      </c>
      <c r="O67" s="47">
        <f>+'Trim Rwd'!H59</f>
        <v>271.5</v>
      </c>
      <c r="P67" s="48">
        <f>O67*(Q67-R67-S67)</f>
        <v>104527.5</v>
      </c>
      <c r="Q67" s="47">
        <v>390</v>
      </c>
      <c r="R67" s="397">
        <v>0</v>
      </c>
      <c r="S67" s="397">
        <v>5</v>
      </c>
      <c r="T67" s="37">
        <f>E67*M67*O67*Q67/100000000</f>
        <v>14.618483100000001</v>
      </c>
      <c r="U67" s="37">
        <f>E67*M67*O67*(Q67-R67-S67)/100000000</f>
        <v>14.43106665</v>
      </c>
      <c r="V67" s="37">
        <f>E67*G67*(1-N67)*O67/100*(R67+S67)/1000000</f>
        <v>0.18106334999999998</v>
      </c>
      <c r="W67" s="37">
        <f>+'15'!K15/1000</f>
        <v>20.725999999999999</v>
      </c>
      <c r="X67" s="394">
        <f>SUM(W67:W70)/SUM(K67:K70)</f>
        <v>0.87302044167031745</v>
      </c>
      <c r="Y67" s="37">
        <v>0</v>
      </c>
      <c r="Z67" s="37">
        <f>+'15'!D7/1000</f>
        <v>1.83</v>
      </c>
      <c r="AA67" s="49">
        <f>SUM(U67:U70)-SUM(W67:W70)-SUM(Z67:Z70)-SUM(Y67:Y70)</f>
        <v>4.1042123624999922</v>
      </c>
      <c r="AB67" s="49">
        <f>(SUM(K67:K70)-SUM(W67:W70)-SUM(Y67:Y70)-SUM(Z67:Z70)-SUM(AC67:AC70)-SUM(V67:V70))-AA67</f>
        <v>2.8539567500008189E-2</v>
      </c>
      <c r="AC67" s="37">
        <f>K67-T67</f>
        <v>0</v>
      </c>
      <c r="AD67" s="37">
        <f>+AM67+BA67</f>
        <v>0</v>
      </c>
      <c r="AE67" s="230" t="s">
        <v>404</v>
      </c>
      <c r="AF67" s="37">
        <v>0</v>
      </c>
      <c r="AG67" s="37"/>
      <c r="AH67" s="37"/>
      <c r="AI67" s="474"/>
      <c r="AJ67" s="37"/>
      <c r="AK67" s="37"/>
      <c r="AL67" s="37"/>
      <c r="AM67" s="37">
        <f>SUM(AF67:AL67)+AT67+AV67+AX67</f>
        <v>0</v>
      </c>
      <c r="AN67" s="37"/>
      <c r="AO67" s="37"/>
      <c r="AP67" s="37"/>
      <c r="AQ67" s="37"/>
      <c r="AR67" s="37">
        <f>SUM(AN67:AQ67)</f>
        <v>0</v>
      </c>
      <c r="AS67" s="37"/>
      <c r="AT67" s="37"/>
      <c r="AU67" s="37"/>
      <c r="AV67" s="37"/>
      <c r="AW67" s="37"/>
      <c r="AX67" s="37"/>
      <c r="AY67" s="37"/>
      <c r="AZ67" s="37"/>
      <c r="BA67" s="37">
        <f>+AR67+AS67+AU67+AW67+AY67+AZ67</f>
        <v>0</v>
      </c>
      <c r="BB67" s="33">
        <v>0</v>
      </c>
      <c r="BC67" s="51"/>
      <c r="BD67" s="51"/>
      <c r="BE67" s="33"/>
      <c r="BF67" s="51"/>
    </row>
    <row r="68" spans="1:58" ht="12.95" customHeight="1">
      <c r="A68" s="40"/>
      <c r="B68" s="41" t="s">
        <v>416</v>
      </c>
      <c r="C68" s="428">
        <f>(M68*E68*O68*Q68)/100000000</f>
        <v>32.596078900000002</v>
      </c>
      <c r="D68" s="41" t="s">
        <v>297</v>
      </c>
      <c r="E68" s="42">
        <v>14</v>
      </c>
      <c r="F68" s="42">
        <v>1</v>
      </c>
      <c r="G68" s="472">
        <v>1240</v>
      </c>
      <c r="H68" s="489">
        <f>+N68</f>
        <v>0.23000000000000009</v>
      </c>
      <c r="I68" s="45">
        <v>0.88</v>
      </c>
      <c r="J68" s="86">
        <f>E68*G68*(1-H68)*1440/1000000*2.87</f>
        <v>55.243964159999997</v>
      </c>
      <c r="K68" s="86">
        <f>(IF(G68&lt;L68,L68,G68)*(1-IF(H68&lt;N68,H68,N68))*E68*O68*Q68)/100000000</f>
        <v>32.596078900000002</v>
      </c>
      <c r="L68" s="35">
        <v>1291.7613636363637</v>
      </c>
      <c r="M68" s="35">
        <v>994.65625</v>
      </c>
      <c r="N68" s="46">
        <f>1-(M68/L68)</f>
        <v>0.23000000000000009</v>
      </c>
      <c r="O68" s="47">
        <f>+'Trim Rwd'!H60</f>
        <v>266</v>
      </c>
      <c r="P68" s="48">
        <f>O68*(Q68-R68-S68)</f>
        <v>231420</v>
      </c>
      <c r="Q68" s="47">
        <v>880</v>
      </c>
      <c r="R68" s="397">
        <v>0</v>
      </c>
      <c r="S68" s="397">
        <v>10</v>
      </c>
      <c r="T68" s="37">
        <f>E68*M68*O68*Q68/100000000</f>
        <v>32.596078900000002</v>
      </c>
      <c r="U68" s="37">
        <f>E68*M68*O68*(Q68-R68-S68)/100000000</f>
        <v>32.225668912499998</v>
      </c>
      <c r="V68" s="37">
        <f>E68*G68*(1-N68)*O68/100*(R68+S68)/1000000</f>
        <v>0.35556752000000003</v>
      </c>
      <c r="W68" s="37">
        <f>+'15'!K14/1000</f>
        <v>26.379000000000001</v>
      </c>
      <c r="X68" s="394"/>
      <c r="Y68" s="213"/>
      <c r="Z68" s="37">
        <f>+'15'!D17/1000</f>
        <v>0.28000000000000003</v>
      </c>
      <c r="AA68" s="37"/>
      <c r="AB68" s="37"/>
      <c r="AC68" s="37">
        <f>K68-T68</f>
        <v>0</v>
      </c>
      <c r="AD68" s="37">
        <f>+AM68+BA68</f>
        <v>0</v>
      </c>
      <c r="AE68" s="230" t="s">
        <v>426</v>
      </c>
      <c r="AF68" s="37"/>
      <c r="AG68" s="37">
        <v>0</v>
      </c>
      <c r="AH68" s="37"/>
      <c r="AI68" s="474"/>
      <c r="AJ68" s="37"/>
      <c r="AK68" s="37"/>
      <c r="AL68" s="37"/>
      <c r="AM68" s="37">
        <f>SUM(AF68:AL68)+AT68+AV68+AX68</f>
        <v>0</v>
      </c>
      <c r="AN68" s="87"/>
      <c r="AO68" s="37"/>
      <c r="AP68" s="37"/>
      <c r="AQ68" s="37"/>
      <c r="AR68" s="37">
        <f>SUM(AN68:AQ68)</f>
        <v>0</v>
      </c>
      <c r="AS68" s="37"/>
      <c r="AT68" s="37"/>
      <c r="AU68" s="37"/>
      <c r="AV68" s="37"/>
      <c r="AW68" s="37"/>
      <c r="AX68" s="37"/>
      <c r="AY68" s="37"/>
      <c r="AZ68" s="37"/>
      <c r="BA68" s="37">
        <f>+AR68+AS68+AU68+AW68+AY68+AZ68</f>
        <v>0</v>
      </c>
      <c r="BB68" s="50"/>
      <c r="BC68" s="51">
        <v>0</v>
      </c>
      <c r="BD68" s="51"/>
      <c r="BE68" s="50"/>
      <c r="BF68" s="51"/>
    </row>
    <row r="69" spans="1:58" ht="12.95" customHeight="1">
      <c r="A69" s="40"/>
      <c r="B69" s="41" t="s">
        <v>416</v>
      </c>
      <c r="C69" s="428">
        <f>(M69*E69*O69*Q69)/100000000</f>
        <v>6.7417920000000002</v>
      </c>
      <c r="D69" s="41" t="s">
        <v>297</v>
      </c>
      <c r="E69" s="42">
        <v>17</v>
      </c>
      <c r="F69" s="42">
        <v>1</v>
      </c>
      <c r="G69" s="472">
        <v>980</v>
      </c>
      <c r="H69" s="489">
        <f>+N69</f>
        <v>0.19999999999999996</v>
      </c>
      <c r="I69" s="45">
        <v>0.88</v>
      </c>
      <c r="J69" s="86">
        <f>E69*G69*(1-H69)*1440/1000000*2.87</f>
        <v>55.081958399999998</v>
      </c>
      <c r="K69" s="86">
        <f>(IF(G69&lt;L69,L69,G69)*(1-IF(H69&lt;N69,H69,N69))*E69*O69*Q69)/100000000</f>
        <v>6.7417920000000002</v>
      </c>
      <c r="L69" s="35">
        <v>1080</v>
      </c>
      <c r="M69" s="35">
        <f>+L69-L69*0.2</f>
        <v>864</v>
      </c>
      <c r="N69" s="46">
        <f>1-(M69/L69)</f>
        <v>0.19999999999999996</v>
      </c>
      <c r="O69" s="47">
        <f>+'Trim Rwd'!H61</f>
        <v>270</v>
      </c>
      <c r="P69" s="48">
        <f>O69*(Q69-R69-S69)</f>
        <v>45360</v>
      </c>
      <c r="Q69" s="47">
        <v>170</v>
      </c>
      <c r="R69" s="397">
        <v>0</v>
      </c>
      <c r="S69" s="397">
        <v>2</v>
      </c>
      <c r="T69" s="37">
        <f>E69*M69*O69*Q69/100000000</f>
        <v>6.7417920000000002</v>
      </c>
      <c r="U69" s="37">
        <f>E69*M69*O69*(Q69-R69-S69)/100000000</f>
        <v>6.6624768000000003</v>
      </c>
      <c r="V69" s="37">
        <f>E69*G69*(1-N69)*O69/100*(R69+S69)/1000000</f>
        <v>7.1971199999999999E-2</v>
      </c>
      <c r="W69" s="37">
        <f>+'15'!K16/1000</f>
        <v>0</v>
      </c>
      <c r="X69" s="394"/>
      <c r="Y69" s="213"/>
      <c r="Z69" s="37"/>
      <c r="AA69" s="37"/>
      <c r="AB69" s="37"/>
      <c r="AC69" s="37">
        <f>K69-T69</f>
        <v>0</v>
      </c>
      <c r="AD69" s="37">
        <f>+AM69+BA69</f>
        <v>17</v>
      </c>
      <c r="AE69" s="230" t="s">
        <v>667</v>
      </c>
      <c r="AF69" s="33"/>
      <c r="AG69" s="33"/>
      <c r="AH69" s="33">
        <v>17</v>
      </c>
      <c r="AJ69" s="37"/>
      <c r="AK69" s="37"/>
      <c r="AL69" s="37"/>
      <c r="AM69" s="37">
        <f>SUM(AF69:AL69)+AT69+AV69+AX69</f>
        <v>17</v>
      </c>
      <c r="AN69" s="37"/>
      <c r="AO69" s="37"/>
      <c r="AP69" s="37"/>
      <c r="AQ69" s="37"/>
      <c r="AR69" s="37">
        <f>SUM(AN69:AQ69)</f>
        <v>0</v>
      </c>
      <c r="AS69" s="37"/>
      <c r="AT69" s="37"/>
      <c r="AU69" s="37"/>
      <c r="AV69" s="37"/>
      <c r="AW69" s="37"/>
      <c r="AX69" s="37"/>
      <c r="AY69" s="37"/>
      <c r="AZ69" s="37"/>
      <c r="BA69" s="37">
        <f>+AR69+AS69+AU69+AW69+AY69+AZ69</f>
        <v>0</v>
      </c>
      <c r="BB69" s="33"/>
      <c r="BC69" s="53"/>
      <c r="BD69" s="53"/>
      <c r="BE69" s="33"/>
      <c r="BF69" s="53"/>
    </row>
    <row r="70" spans="1:58" ht="12.95" customHeight="1">
      <c r="A70" s="40"/>
      <c r="B70" s="41"/>
      <c r="C70" s="428"/>
      <c r="D70" s="41"/>
      <c r="E70" s="42"/>
      <c r="F70" s="42"/>
      <c r="G70" s="472"/>
      <c r="H70" s="44"/>
      <c r="I70" s="45"/>
      <c r="J70" s="86"/>
      <c r="K70" s="86"/>
      <c r="L70" s="35"/>
      <c r="M70" s="35"/>
      <c r="N70" s="46"/>
      <c r="O70" s="47"/>
      <c r="P70" s="48"/>
      <c r="Q70" s="47"/>
      <c r="R70" s="397"/>
      <c r="S70" s="397"/>
      <c r="T70" s="37"/>
      <c r="U70" s="37"/>
      <c r="V70" s="37"/>
      <c r="W70" s="37"/>
      <c r="X70" s="394"/>
      <c r="Y70" s="213"/>
      <c r="Z70" s="37"/>
      <c r="AA70" s="37"/>
      <c r="AB70" s="37"/>
      <c r="AC70" s="37"/>
      <c r="AD70" s="37"/>
      <c r="AE70" s="230"/>
      <c r="AF70" s="37"/>
      <c r="AG70" s="37"/>
      <c r="AH70" s="37"/>
      <c r="AI70" s="474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3"/>
      <c r="BC70" s="53"/>
      <c r="BD70" s="53"/>
      <c r="BE70" s="33"/>
      <c r="BF70" s="53"/>
    </row>
    <row r="71" spans="1:58" ht="12.95" customHeight="1">
      <c r="A71" s="40">
        <v>45946</v>
      </c>
      <c r="B71" s="41" t="s">
        <v>416</v>
      </c>
      <c r="C71" s="428">
        <f>(M71*E71*O71*Q71)/100000000</f>
        <v>19.233936</v>
      </c>
      <c r="D71" s="41" t="s">
        <v>297</v>
      </c>
      <c r="E71" s="42">
        <v>17</v>
      </c>
      <c r="F71" s="42">
        <v>1</v>
      </c>
      <c r="G71" s="472">
        <v>980</v>
      </c>
      <c r="H71" s="489">
        <f>+N71</f>
        <v>0.19999999999999996</v>
      </c>
      <c r="I71" s="45">
        <v>0.88</v>
      </c>
      <c r="J71" s="86">
        <f>E71*G71*(1-H71)*1440/1000000*2.87</f>
        <v>55.081958399999998</v>
      </c>
      <c r="K71" s="86">
        <f>(IF(G71&lt;L71,L71,G71)*(1-IF(H71&lt;N71,H71,N71))*E71*O71*Q71)/100000000</f>
        <v>19.233936</v>
      </c>
      <c r="L71" s="35">
        <v>1080</v>
      </c>
      <c r="M71" s="35">
        <f>+L71-L71*0.2</f>
        <v>864</v>
      </c>
      <c r="N71" s="46">
        <f>1-(M71/L71)</f>
        <v>0.19999999999999996</v>
      </c>
      <c r="O71" s="47">
        <f>+'Trim Rwd'!H63</f>
        <v>270</v>
      </c>
      <c r="P71" s="48">
        <f>O71*(Q71-R71-S71)</f>
        <v>119340</v>
      </c>
      <c r="Q71" s="47">
        <v>485</v>
      </c>
      <c r="R71" s="397">
        <v>0</v>
      </c>
      <c r="S71" s="397">
        <v>43</v>
      </c>
      <c r="T71" s="37">
        <f>E71*M71*O71*Q71/100000000</f>
        <v>19.233936</v>
      </c>
      <c r="U71" s="37">
        <f>E71*M71*O71*(Q71-R71-S71)/100000000</f>
        <v>17.5286592</v>
      </c>
      <c r="V71" s="37">
        <f>E71*G71*(1-N71)*O71/100*(R71+S71)/1000000</f>
        <v>1.5473808</v>
      </c>
      <c r="W71" s="37">
        <f>+'16'!K16/1000</f>
        <v>22.277999999999999</v>
      </c>
      <c r="X71" s="394">
        <f>SUM(W71:W74)/SUM(K71:K74)</f>
        <v>0.95223504770126577</v>
      </c>
      <c r="Y71" s="37">
        <v>0</v>
      </c>
      <c r="Z71" s="37">
        <f>+'16'!D16/1000</f>
        <v>0.28399999999999997</v>
      </c>
      <c r="AA71" s="49">
        <f>SUM(U71:U74)-SUM(W71:W74)-SUM(Z71:Z74)-SUM(Y71:Y74)</f>
        <v>-3.8187490617801041</v>
      </c>
      <c r="AB71" s="49">
        <f>(SUM(K71:K74)-SUM(W71:W74)-SUM(Y71:Y74)-SUM(Z71:Z74)-SUM(AC71:AC74)-SUM(V71:V74))-AA71</f>
        <v>0.16877026178010457</v>
      </c>
      <c r="AC71" s="37">
        <f>K71-T71</f>
        <v>0</v>
      </c>
      <c r="AD71" s="37">
        <f>+AM71+BA71</f>
        <v>45</v>
      </c>
      <c r="AE71" s="230" t="s">
        <v>688</v>
      </c>
      <c r="AF71" s="37">
        <v>45</v>
      </c>
      <c r="AG71" s="37"/>
      <c r="AH71" s="37"/>
      <c r="AI71" s="474"/>
      <c r="AJ71" s="37"/>
      <c r="AK71" s="37"/>
      <c r="AL71" s="37"/>
      <c r="AM71" s="37">
        <f>SUM(AF71:AL71)+AT71+AV71+AX71</f>
        <v>45</v>
      </c>
      <c r="AN71" s="37"/>
      <c r="AO71" s="37"/>
      <c r="AP71" s="37"/>
      <c r="AQ71" s="37"/>
      <c r="AR71" s="37">
        <f>SUM(AN71:AQ71)</f>
        <v>0</v>
      </c>
      <c r="AS71" s="37"/>
      <c r="AT71" s="37"/>
      <c r="AU71" s="37"/>
      <c r="AV71" s="37"/>
      <c r="AW71" s="37"/>
      <c r="AX71" s="37"/>
      <c r="AY71" s="37"/>
      <c r="AZ71" s="37"/>
      <c r="BA71" s="37">
        <f>+AR71+AS71+AU71+AW71+AY71+AZ71</f>
        <v>0</v>
      </c>
      <c r="BB71" s="33">
        <v>9</v>
      </c>
      <c r="BC71" s="51"/>
      <c r="BD71" s="51"/>
      <c r="BE71" s="33"/>
      <c r="BF71" s="51"/>
    </row>
    <row r="72" spans="1:58" ht="12.95" customHeight="1">
      <c r="A72" s="40"/>
      <c r="B72" s="41" t="s">
        <v>523</v>
      </c>
      <c r="C72" s="428">
        <f>(M72*E72*O72*Q72)/100000000</f>
        <v>35.283065999999998</v>
      </c>
      <c r="D72" s="41" t="s">
        <v>297</v>
      </c>
      <c r="E72" s="42">
        <v>13</v>
      </c>
      <c r="F72" s="42">
        <v>1</v>
      </c>
      <c r="G72" s="472">
        <v>1350</v>
      </c>
      <c r="H72" s="489">
        <f>+N72</f>
        <v>0.24999999999999989</v>
      </c>
      <c r="I72" s="45">
        <v>0.88</v>
      </c>
      <c r="J72" s="86">
        <f>E72*G72*(1-H72)*1440/1000000*2.87</f>
        <v>54.397980000000011</v>
      </c>
      <c r="K72" s="86">
        <f>(IF(G72&lt;L72,L72,G72)*(1-IF(H72&lt;N72,H72,N72))*E72*O72*Q72)/100000000</f>
        <v>35.283065999999998</v>
      </c>
      <c r="L72" s="35">
        <v>1353.3193717277486</v>
      </c>
      <c r="M72" s="35">
        <v>1014.9895287958116</v>
      </c>
      <c r="N72" s="46">
        <f>1-(M72/L72)</f>
        <v>0.24999999999999989</v>
      </c>
      <c r="O72" s="47">
        <f>+'Trim Rwd'!H64</f>
        <v>280</v>
      </c>
      <c r="P72" s="48">
        <f>O72*(Q72-R72-S72)</f>
        <v>233800</v>
      </c>
      <c r="Q72" s="47">
        <v>955</v>
      </c>
      <c r="R72" s="397">
        <v>0</v>
      </c>
      <c r="S72" s="397">
        <v>120</v>
      </c>
      <c r="T72" s="37">
        <f>E72*M72*O72*Q72/100000000</f>
        <v>35.283065999999998</v>
      </c>
      <c r="U72" s="37">
        <f>E72*M72*O72*(Q72-R72-S72)/100000000</f>
        <v>30.849591738219896</v>
      </c>
      <c r="V72" s="37">
        <f>E72*G72*(1-N72)*O72/100*(R72+S72)/1000000</f>
        <v>4.422600000000001</v>
      </c>
      <c r="W72" s="37">
        <f>+'16'!K9/1000</f>
        <v>21.423999999999999</v>
      </c>
      <c r="X72" s="394"/>
      <c r="Y72" s="213"/>
      <c r="Z72" s="37">
        <v>0</v>
      </c>
      <c r="AA72" s="37"/>
      <c r="AB72" s="37"/>
      <c r="AC72" s="37">
        <f>K72-T72</f>
        <v>0</v>
      </c>
      <c r="AD72" s="37">
        <f>+AM72+BA72</f>
        <v>5</v>
      </c>
      <c r="AE72" s="230" t="s">
        <v>513</v>
      </c>
      <c r="AF72" s="37"/>
      <c r="AG72" s="37">
        <v>5</v>
      </c>
      <c r="AH72" s="37"/>
      <c r="AI72" s="474"/>
      <c r="AJ72" s="37"/>
      <c r="AK72" s="37"/>
      <c r="AL72" s="37"/>
      <c r="AM72" s="37">
        <f>SUM(AF72:AL72)+AT72+AV72+AX72</f>
        <v>5</v>
      </c>
      <c r="AN72" s="87"/>
      <c r="AO72" s="37"/>
      <c r="AP72" s="37"/>
      <c r="AQ72" s="37"/>
      <c r="AR72" s="37">
        <f>SUM(AN72:AQ72)</f>
        <v>0</v>
      </c>
      <c r="AS72" s="37"/>
      <c r="AT72" s="37"/>
      <c r="AU72" s="37"/>
      <c r="AV72" s="37"/>
      <c r="AW72" s="37"/>
      <c r="AX72" s="37"/>
      <c r="AY72" s="37"/>
      <c r="AZ72" s="37"/>
      <c r="BA72" s="37">
        <f>+AR72+AS72+AU72+AW72+AY72+AZ72</f>
        <v>0</v>
      </c>
      <c r="BB72" s="50"/>
      <c r="BC72" s="51">
        <v>1</v>
      </c>
      <c r="BD72" s="51"/>
      <c r="BE72" s="50"/>
      <c r="BF72" s="51"/>
    </row>
    <row r="73" spans="1:58" ht="12.95" customHeight="1">
      <c r="A73" s="40"/>
      <c r="B73" s="41" t="s">
        <v>416</v>
      </c>
      <c r="C73" s="428"/>
      <c r="D73" s="41"/>
      <c r="E73" s="42">
        <v>14</v>
      </c>
      <c r="F73" s="42"/>
      <c r="G73" s="472"/>
      <c r="H73" s="542"/>
      <c r="I73" s="45"/>
      <c r="J73" s="86"/>
      <c r="K73" s="86"/>
      <c r="L73" s="35"/>
      <c r="M73" s="35"/>
      <c r="N73" s="46"/>
      <c r="O73" s="47"/>
      <c r="P73" s="48"/>
      <c r="Q73" s="47"/>
      <c r="R73" s="397"/>
      <c r="S73" s="397"/>
      <c r="T73" s="37"/>
      <c r="U73" s="37"/>
      <c r="V73" s="37"/>
      <c r="W73" s="37">
        <f>+'16'!K14/1000</f>
        <v>8.2110000000000003</v>
      </c>
      <c r="X73" s="394"/>
      <c r="Y73" s="213"/>
      <c r="Z73" s="37"/>
      <c r="AA73" s="37"/>
      <c r="AB73" s="37"/>
      <c r="AC73" s="37"/>
      <c r="AD73" s="37">
        <f>+AM73+BA73</f>
        <v>23</v>
      </c>
      <c r="AE73" s="230" t="s">
        <v>689</v>
      </c>
      <c r="AF73" s="33"/>
      <c r="AG73" s="33"/>
      <c r="AH73" s="33">
        <v>23</v>
      </c>
      <c r="AJ73" s="37"/>
      <c r="AK73" s="37"/>
      <c r="AL73" s="37"/>
      <c r="AM73" s="37">
        <f>SUM(AF73:AL73)+AT73+AV73+AX73</f>
        <v>23</v>
      </c>
      <c r="AN73" s="37"/>
      <c r="AO73" s="37"/>
      <c r="AP73" s="37"/>
      <c r="AQ73" s="37"/>
      <c r="AR73" s="37">
        <f>SUM(AN73:AQ73)</f>
        <v>0</v>
      </c>
      <c r="AS73" s="37"/>
      <c r="AT73" s="37"/>
      <c r="AU73" s="37"/>
      <c r="AV73" s="37"/>
      <c r="AW73" s="37"/>
      <c r="AX73" s="37"/>
      <c r="AY73" s="37"/>
      <c r="AZ73" s="37"/>
      <c r="BA73" s="37">
        <f>+AR73+AS73+AU73+AW73+AY73+AZ73</f>
        <v>0</v>
      </c>
      <c r="BB73" s="33"/>
      <c r="BC73" s="53"/>
      <c r="BD73" s="53"/>
      <c r="BE73" s="33"/>
      <c r="BF73" s="53"/>
    </row>
    <row r="74" spans="1:58" ht="12.95" customHeight="1">
      <c r="A74" s="40"/>
      <c r="B74" s="41"/>
      <c r="C74" s="428"/>
      <c r="D74" s="41"/>
      <c r="E74" s="42"/>
      <c r="F74" s="42"/>
      <c r="G74" s="43"/>
      <c r="H74" s="542"/>
      <c r="I74" s="45"/>
      <c r="J74" s="86"/>
      <c r="K74" s="86"/>
      <c r="L74" s="35"/>
      <c r="M74" s="35"/>
      <c r="N74" s="46"/>
      <c r="O74" s="47"/>
      <c r="P74" s="48"/>
      <c r="Q74" s="47"/>
      <c r="R74" s="397"/>
      <c r="S74" s="397"/>
      <c r="T74" s="37"/>
      <c r="U74" s="37"/>
      <c r="V74" s="37"/>
      <c r="W74" s="37"/>
      <c r="X74" s="394"/>
      <c r="Y74" s="213"/>
      <c r="Z74" s="37"/>
      <c r="AA74" s="49"/>
      <c r="AB74" s="49"/>
      <c r="AC74" s="37"/>
      <c r="AD74" s="37">
        <f>+AM74+BA74</f>
        <v>40</v>
      </c>
      <c r="AE74" s="233" t="s">
        <v>679</v>
      </c>
      <c r="AF74" s="37"/>
      <c r="AG74" s="37"/>
      <c r="AH74" s="37"/>
      <c r="AI74" s="37"/>
      <c r="AJ74" s="37">
        <v>40</v>
      </c>
      <c r="AK74" s="37"/>
      <c r="AL74" s="37"/>
      <c r="AM74" s="37">
        <f>SUM(AF74:AL74)+AT74+AV74+AX74</f>
        <v>40</v>
      </c>
      <c r="AN74" s="37"/>
      <c r="AO74" s="37"/>
      <c r="AP74" s="37"/>
      <c r="AQ74" s="37"/>
      <c r="AR74" s="37">
        <f>SUM(AN74:AQ74)</f>
        <v>0</v>
      </c>
      <c r="AS74" s="37"/>
      <c r="AT74" s="37"/>
      <c r="AU74" s="37"/>
      <c r="AV74" s="37"/>
      <c r="AW74" s="37"/>
      <c r="AX74" s="37"/>
      <c r="AY74" s="37"/>
      <c r="AZ74" s="37"/>
      <c r="BA74" s="37">
        <f>+AR74+AS74+AU74+AW74+AY74+AZ74</f>
        <v>0</v>
      </c>
      <c r="BB74" s="33"/>
      <c r="BC74" s="53"/>
      <c r="BD74" s="53"/>
      <c r="BE74" s="33"/>
      <c r="BF74" s="53"/>
    </row>
    <row r="75" spans="1:58" ht="12.95" customHeight="1">
      <c r="A75" s="40"/>
      <c r="B75" s="41"/>
      <c r="C75" s="428"/>
      <c r="D75" s="41"/>
      <c r="E75" s="42"/>
      <c r="F75" s="42"/>
      <c r="G75" s="472"/>
      <c r="H75" s="542"/>
      <c r="I75" s="45"/>
      <c r="J75" s="86"/>
      <c r="K75" s="86"/>
      <c r="L75" s="35"/>
      <c r="M75" s="35"/>
      <c r="N75" s="46"/>
      <c r="O75" s="47"/>
      <c r="P75" s="48"/>
      <c r="Q75" s="47"/>
      <c r="R75" s="397"/>
      <c r="S75" s="397"/>
      <c r="T75" s="37"/>
      <c r="U75" s="37"/>
      <c r="V75" s="37"/>
      <c r="W75" s="37"/>
      <c r="X75" s="394"/>
      <c r="Y75" s="37"/>
      <c r="Z75" s="37"/>
      <c r="AA75" s="49"/>
      <c r="AB75" s="49"/>
      <c r="AC75" s="37"/>
      <c r="AD75" s="37">
        <f>+AM75+BA75</f>
        <v>50</v>
      </c>
      <c r="AE75" s="230" t="s">
        <v>692</v>
      </c>
      <c r="AF75" s="37"/>
      <c r="AG75" s="37"/>
      <c r="AH75" s="37"/>
      <c r="AI75" s="474"/>
      <c r="AJ75" s="37"/>
      <c r="AK75" s="37">
        <v>50</v>
      </c>
      <c r="AL75" s="37"/>
      <c r="AM75" s="37">
        <f>SUM(AF75:AL75)+AT75+AV75+AX75</f>
        <v>50</v>
      </c>
      <c r="AN75" s="37"/>
      <c r="AO75" s="37"/>
      <c r="AP75" s="37"/>
      <c r="AQ75" s="37"/>
      <c r="AR75" s="37">
        <f>SUM(AN75:AQ75)</f>
        <v>0</v>
      </c>
      <c r="AS75" s="37"/>
      <c r="AT75" s="37"/>
      <c r="AU75" s="37"/>
      <c r="AV75" s="37"/>
      <c r="AW75" s="37"/>
      <c r="AX75" s="37"/>
      <c r="AY75" s="37"/>
      <c r="AZ75" s="37"/>
      <c r="BA75" s="37">
        <f>+AR75+AS75+AU75+AW75+AY75+AZ75</f>
        <v>0</v>
      </c>
      <c r="BB75" s="33"/>
      <c r="BC75" s="53"/>
      <c r="BD75" s="53"/>
      <c r="BE75" s="33"/>
      <c r="BF75" s="53"/>
    </row>
    <row r="76" spans="1:58" ht="12.95" customHeight="1">
      <c r="A76" s="40"/>
      <c r="B76" s="41"/>
      <c r="C76" s="428"/>
      <c r="D76" s="41"/>
      <c r="E76" s="42"/>
      <c r="F76" s="42"/>
      <c r="G76" s="472"/>
      <c r="H76" s="542"/>
      <c r="I76" s="45"/>
      <c r="J76" s="86"/>
      <c r="K76" s="86"/>
      <c r="L76" s="35"/>
      <c r="M76" s="35"/>
      <c r="N76" s="46"/>
      <c r="O76" s="47"/>
      <c r="P76" s="48"/>
      <c r="Q76" s="47"/>
      <c r="R76" s="397"/>
      <c r="S76" s="397"/>
      <c r="T76" s="37"/>
      <c r="U76" s="37"/>
      <c r="V76" s="37"/>
      <c r="W76" s="37"/>
      <c r="X76" s="394"/>
      <c r="Y76" s="213"/>
      <c r="Z76" s="37"/>
      <c r="AA76" s="37"/>
      <c r="AB76" s="37"/>
      <c r="AC76" s="37"/>
      <c r="AD76" s="37"/>
      <c r="AE76" s="230"/>
      <c r="AF76" s="37"/>
      <c r="AG76" s="37"/>
      <c r="AH76" s="37"/>
      <c r="AI76" s="474"/>
      <c r="AJ76" s="37"/>
      <c r="AK76" s="37"/>
      <c r="AL76" s="37"/>
      <c r="AM76" s="37"/>
      <c r="AN76" s="8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50"/>
      <c r="BC76" s="51"/>
      <c r="BD76" s="51"/>
      <c r="BE76" s="51"/>
      <c r="BF76" s="51"/>
    </row>
    <row r="77" spans="1:58" ht="12.95" customHeight="1">
      <c r="A77" s="40">
        <v>45947</v>
      </c>
      <c r="B77" s="41" t="s">
        <v>523</v>
      </c>
      <c r="C77" s="428">
        <f>(M77*E77*O77*Q77)/100000000</f>
        <v>37.592100000000002</v>
      </c>
      <c r="D77" s="41" t="s">
        <v>297</v>
      </c>
      <c r="E77" s="42">
        <v>13</v>
      </c>
      <c r="F77" s="42">
        <v>1</v>
      </c>
      <c r="G77" s="472">
        <v>1350</v>
      </c>
      <c r="H77" s="489">
        <f>+N77</f>
        <v>0.25</v>
      </c>
      <c r="I77" s="45">
        <v>0.88</v>
      </c>
      <c r="J77" s="86">
        <f>E77*G77*(1-H77)*1440/1000000*2.87</f>
        <v>54.397980000000004</v>
      </c>
      <c r="K77" s="86">
        <f>(IF(G77&lt;L77,L77,G77)*(1-IF(H77&lt;N77,H77,N77))*E77*O77*Q77)/100000000</f>
        <v>37.592100000000002</v>
      </c>
      <c r="L77" s="35">
        <v>1350</v>
      </c>
      <c r="M77" s="35">
        <v>1012.5</v>
      </c>
      <c r="N77" s="46">
        <f>1-(M77/L77)</f>
        <v>0.25</v>
      </c>
      <c r="O77" s="47">
        <f>+'Trim Rwd'!H67</f>
        <v>280</v>
      </c>
      <c r="P77" s="48">
        <f>O77*(Q77-R77-S77)</f>
        <v>274400</v>
      </c>
      <c r="Q77" s="47">
        <f>960+60</f>
        <v>1020</v>
      </c>
      <c r="R77" s="397">
        <v>0</v>
      </c>
      <c r="S77" s="397">
        <v>40</v>
      </c>
      <c r="T77" s="37">
        <f>E77*M77*O77*Q77/100000000</f>
        <v>37.592100000000002</v>
      </c>
      <c r="U77" s="37">
        <f>E77*M77*O77*(Q77-R77-S77)/100000000</f>
        <v>36.117899999999999</v>
      </c>
      <c r="V77" s="37">
        <f>E77*G77*(1-N77)*O77/100*(R77+S77)/1000000</f>
        <v>1.4742</v>
      </c>
      <c r="W77" s="37">
        <f>+'17'!K9/1000</f>
        <v>39.991999999999997</v>
      </c>
      <c r="X77" s="394">
        <f>SUM(W77:W80)/SUM(K77:K80)</f>
        <v>0.89401389437451462</v>
      </c>
      <c r="Y77" s="37">
        <v>0</v>
      </c>
      <c r="Z77" s="37">
        <f>+'16'!D22/1000</f>
        <v>0</v>
      </c>
      <c r="AA77" s="49">
        <f>SUM(U77:U80)-SUM(W77:W80)-SUM(Z77:Z80)-SUM(Y77:Y80)</f>
        <v>3.8335399999999993</v>
      </c>
      <c r="AB77" s="49">
        <f>(SUM(K77:K80)-SUM(W77:W80)-SUM(Y77:Y80)-SUM(Z77:Z80)-SUM(AC77:AC80)-SUM(V77:V80))-AA77</f>
        <v>4.4408920985006262E-15</v>
      </c>
      <c r="AC77" s="37">
        <f>K77-T77</f>
        <v>0</v>
      </c>
      <c r="AD77" s="37">
        <f>+AM77+BA77</f>
        <v>15</v>
      </c>
      <c r="AE77" s="230" t="s">
        <v>526</v>
      </c>
      <c r="AF77" s="37">
        <v>15</v>
      </c>
      <c r="AG77" s="37"/>
      <c r="AH77" s="37"/>
      <c r="AI77" s="474"/>
      <c r="AJ77" s="37"/>
      <c r="AK77" s="37"/>
      <c r="AL77" s="37"/>
      <c r="AM77" s="37">
        <f>SUM(AF77:AL77)+AT77+AV77+AX77</f>
        <v>15</v>
      </c>
      <c r="AN77" s="37"/>
      <c r="AO77" s="37"/>
      <c r="AP77" s="37"/>
      <c r="AQ77" s="37"/>
      <c r="AR77" s="37">
        <f>SUM(AN77:AQ77)</f>
        <v>0</v>
      </c>
      <c r="AS77" s="37"/>
      <c r="AT77" s="37"/>
      <c r="AU77" s="37"/>
      <c r="AV77" s="37"/>
      <c r="AW77" s="37"/>
      <c r="AX77" s="37"/>
      <c r="AY77" s="37"/>
      <c r="AZ77" s="37"/>
      <c r="BA77" s="37">
        <f>+AR77+AS77+AU77+AW77+AY77+AZ77</f>
        <v>0</v>
      </c>
      <c r="BB77" s="33">
        <v>3</v>
      </c>
      <c r="BC77" s="51"/>
      <c r="BD77" s="51"/>
      <c r="BE77" s="33"/>
      <c r="BF77" s="51"/>
    </row>
    <row r="78" spans="1:58" ht="12.95" customHeight="1">
      <c r="A78" s="40"/>
      <c r="B78" s="41" t="s">
        <v>523</v>
      </c>
      <c r="C78" s="428">
        <f>(M78*E78*O78*Q78)/100000000</f>
        <v>14.817600000000001</v>
      </c>
      <c r="D78" s="41" t="s">
        <v>297</v>
      </c>
      <c r="E78" s="42">
        <v>12</v>
      </c>
      <c r="F78" s="42">
        <v>1</v>
      </c>
      <c r="G78" s="472">
        <v>1400</v>
      </c>
      <c r="H78" s="489">
        <f>+N78</f>
        <v>0.25</v>
      </c>
      <c r="I78" s="45">
        <v>0.88</v>
      </c>
      <c r="J78" s="86">
        <f>E78*G78*(1-H78)*1440/1000000*2.87</f>
        <v>52.073279999999997</v>
      </c>
      <c r="K78" s="86">
        <f>(IF(G78&lt;L78,L78,G78)*(1-IF(H78&lt;N78,H78,N78))*E78*O78*Q78)/100000000</f>
        <v>14.817600000000001</v>
      </c>
      <c r="L78" s="35">
        <v>1400</v>
      </c>
      <c r="M78" s="35">
        <v>1050</v>
      </c>
      <c r="N78" s="46">
        <f>1-(M78/L78)</f>
        <v>0.25</v>
      </c>
      <c r="O78" s="47">
        <f>+'Trim Rwd'!H68</f>
        <v>280</v>
      </c>
      <c r="P78" s="48">
        <f>O78*(Q78-R78-S78)</f>
        <v>115640</v>
      </c>
      <c r="Q78" s="47">
        <v>420</v>
      </c>
      <c r="R78" s="397">
        <v>0</v>
      </c>
      <c r="S78" s="397">
        <v>7</v>
      </c>
      <c r="T78" s="37">
        <f>E78*M78*O78*Q78/100000000</f>
        <v>14.817600000000001</v>
      </c>
      <c r="U78" s="37">
        <f>E78*M78*O78*(Q78-R78-S78)/100000000</f>
        <v>14.570639999999999</v>
      </c>
      <c r="V78" s="37">
        <f>E78*G78*(1-N78)*O78/100*(R78+S78)/1000000</f>
        <v>0.24696000000000001</v>
      </c>
      <c r="W78" s="37">
        <f>+'17'!K12/1000</f>
        <v>6.8630000000000004</v>
      </c>
      <c r="X78" s="394"/>
      <c r="Y78" s="213"/>
      <c r="Z78" s="37"/>
      <c r="AA78" s="37"/>
      <c r="AB78" s="37"/>
      <c r="AC78" s="37">
        <f>K78-T78</f>
        <v>0</v>
      </c>
      <c r="AD78" s="37">
        <f>+AM78+BA78</f>
        <v>0</v>
      </c>
      <c r="AE78" s="230" t="s">
        <v>426</v>
      </c>
      <c r="AF78" s="37"/>
      <c r="AG78" s="37">
        <v>0</v>
      </c>
      <c r="AH78" s="37"/>
      <c r="AI78" s="474"/>
      <c r="AJ78" s="37"/>
      <c r="AK78" s="37"/>
      <c r="AL78" s="37"/>
      <c r="AM78" s="37">
        <f>SUM(AF78:AL78)+AT78+AV78+AX78</f>
        <v>0</v>
      </c>
      <c r="AN78" s="87"/>
      <c r="AO78" s="37"/>
      <c r="AP78" s="37"/>
      <c r="AQ78" s="37"/>
      <c r="AR78" s="37">
        <f>SUM(AN78:AQ78)</f>
        <v>0</v>
      </c>
      <c r="AS78" s="37"/>
      <c r="AT78" s="37"/>
      <c r="AU78" s="37"/>
      <c r="AV78" s="37"/>
      <c r="AW78" s="37"/>
      <c r="AX78" s="37"/>
      <c r="AY78" s="37"/>
      <c r="AZ78" s="37"/>
      <c r="BA78" s="37">
        <f>+AR78+AS78+AU78+AW78+AY78+AZ78</f>
        <v>0</v>
      </c>
      <c r="BB78" s="50"/>
      <c r="BC78" s="51">
        <v>0</v>
      </c>
      <c r="BD78" s="51"/>
      <c r="BE78" s="50"/>
      <c r="BF78" s="51"/>
    </row>
    <row r="79" spans="1:58" ht="12.95" customHeight="1">
      <c r="A79" s="40"/>
      <c r="B79" s="41"/>
      <c r="C79" s="428"/>
      <c r="D79" s="41"/>
      <c r="E79" s="42"/>
      <c r="F79" s="42"/>
      <c r="G79" s="472"/>
      <c r="H79" s="542"/>
      <c r="I79" s="45"/>
      <c r="J79" s="86"/>
      <c r="K79" s="86"/>
      <c r="L79" s="35"/>
      <c r="M79" s="35"/>
      <c r="N79" s="46"/>
      <c r="O79" s="47"/>
      <c r="P79" s="48"/>
      <c r="Q79" s="47"/>
      <c r="R79" s="397"/>
      <c r="S79" s="397"/>
      <c r="T79" s="37"/>
      <c r="U79" s="37"/>
      <c r="V79" s="37"/>
      <c r="W79" s="37"/>
      <c r="X79" s="394"/>
      <c r="Y79" s="213"/>
      <c r="Z79" s="37"/>
      <c r="AA79" s="37"/>
      <c r="AB79" s="37"/>
      <c r="AC79" s="37"/>
      <c r="AD79" s="37">
        <f>+AM79+BA79</f>
        <v>32</v>
      </c>
      <c r="AE79" s="230" t="s">
        <v>527</v>
      </c>
      <c r="AF79" s="33"/>
      <c r="AG79" s="33"/>
      <c r="AH79" s="33">
        <v>32</v>
      </c>
      <c r="AJ79" s="37"/>
      <c r="AK79" s="37"/>
      <c r="AL79" s="37"/>
      <c r="AM79" s="37">
        <f>SUM(AF79:AL79)+AT79+AV79+AX79</f>
        <v>32</v>
      </c>
      <c r="AN79" s="37"/>
      <c r="AO79" s="37"/>
      <c r="AP79" s="37"/>
      <c r="AQ79" s="37"/>
      <c r="AR79" s="37">
        <f>SUM(AN79:AQ79)</f>
        <v>0</v>
      </c>
      <c r="AS79" s="37"/>
      <c r="AT79" s="37"/>
      <c r="AU79" s="37"/>
      <c r="AV79" s="37"/>
      <c r="AW79" s="37"/>
      <c r="AX79" s="37"/>
      <c r="AY79" s="37"/>
      <c r="AZ79" s="37"/>
      <c r="BA79" s="37">
        <f>+AR79+AS79+AU79+AW79+AY79+AZ79</f>
        <v>0</v>
      </c>
      <c r="BB79" s="33"/>
      <c r="BC79" s="53"/>
      <c r="BD79" s="53"/>
      <c r="BE79" s="33"/>
      <c r="BF79" s="53"/>
    </row>
    <row r="80" spans="1:58" ht="12.75" customHeight="1">
      <c r="A80" s="40"/>
      <c r="B80" s="41"/>
      <c r="C80" s="428"/>
      <c r="D80" s="41"/>
      <c r="E80" s="42"/>
      <c r="F80" s="42"/>
      <c r="G80" s="43"/>
      <c r="H80" s="542"/>
      <c r="I80" s="45"/>
      <c r="J80" s="86"/>
      <c r="K80" s="86"/>
      <c r="L80" s="35"/>
      <c r="M80" s="35"/>
      <c r="N80" s="46"/>
      <c r="O80" s="47"/>
      <c r="P80" s="48"/>
      <c r="Q80" s="47"/>
      <c r="R80" s="397"/>
      <c r="S80" s="397"/>
      <c r="T80" s="37"/>
      <c r="U80" s="37"/>
      <c r="V80" s="37"/>
      <c r="W80" s="37"/>
      <c r="X80" s="394"/>
      <c r="Y80" s="213"/>
      <c r="Z80" s="37"/>
      <c r="AA80" s="49"/>
      <c r="AB80" s="49"/>
      <c r="AC80" s="37"/>
      <c r="AD80" s="37"/>
      <c r="AE80" s="233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3"/>
      <c r="BC80" s="53"/>
      <c r="BD80" s="53"/>
      <c r="BE80" s="33"/>
      <c r="BF80" s="53"/>
    </row>
    <row r="81" spans="1:58" ht="12.95" customHeight="1">
      <c r="A81" s="40">
        <v>45948</v>
      </c>
      <c r="B81" s="41" t="s">
        <v>523</v>
      </c>
      <c r="C81" s="428">
        <f>(M81*E81*O81*Q81)/100000000</f>
        <v>50.803199999999997</v>
      </c>
      <c r="D81" s="41" t="s">
        <v>297</v>
      </c>
      <c r="E81" s="42">
        <v>12</v>
      </c>
      <c r="F81" s="42">
        <v>1</v>
      </c>
      <c r="G81" s="472">
        <v>1400</v>
      </c>
      <c r="H81" s="489">
        <f>+N81</f>
        <v>0.25</v>
      </c>
      <c r="I81" s="45">
        <v>0.88</v>
      </c>
      <c r="J81" s="86">
        <f>E81*G81*(1-H81)*1440/1000000*2.87</f>
        <v>52.073279999999997</v>
      </c>
      <c r="K81" s="86">
        <f>(IF(G81&lt;L81,L81,G81)*(1-IF(H81&lt;N81,H81,N81))*E81*O81*Q81)/100000000</f>
        <v>50.803199999999997</v>
      </c>
      <c r="L81" s="35">
        <v>1400</v>
      </c>
      <c r="M81" s="35">
        <v>1050</v>
      </c>
      <c r="N81" s="46">
        <f>1-(M81/L81)</f>
        <v>0.25</v>
      </c>
      <c r="O81" s="47">
        <f>+'Trim Rwd'!H70</f>
        <v>280</v>
      </c>
      <c r="P81" s="48">
        <f>O81*(Q81-R81-S81)</f>
        <v>384440</v>
      </c>
      <c r="Q81" s="47">
        <v>1440</v>
      </c>
      <c r="R81" s="397">
        <v>0</v>
      </c>
      <c r="S81" s="397">
        <f>35+4+28</f>
        <v>67</v>
      </c>
      <c r="T81" s="37">
        <f>E81*M81*O81*Q81/100000000</f>
        <v>50.803199999999997</v>
      </c>
      <c r="U81" s="37">
        <f>E81*M81*O81*(Q81-R81-S81)/100000000</f>
        <v>48.439439999999998</v>
      </c>
      <c r="V81" s="37">
        <f>E81*G81*(1-N81)*O81/100*(R81+S81)/1000000</f>
        <v>2.3637600000000001</v>
      </c>
      <c r="W81" s="37">
        <f>+'18'!K34/1000</f>
        <v>44.656999999999996</v>
      </c>
      <c r="X81" s="394">
        <f>SUM(W81:W84)/SUM(K81:K84)</f>
        <v>0.87901943184681275</v>
      </c>
      <c r="Y81" s="37">
        <v>0</v>
      </c>
      <c r="Z81" s="37">
        <f>+'18'!D34/1000</f>
        <v>0.25</v>
      </c>
      <c r="AA81" s="49">
        <f>SUM(U81:U84)-SUM(W81:W84)-SUM(Z81:Z84)-SUM(Y81:Y84)</f>
        <v>3.5324400000000011</v>
      </c>
      <c r="AB81" s="49">
        <f>(SUM(K81:K84)-SUM(W81:W84)-SUM(Y81:Y84)-SUM(Z81:Z84)-SUM(AC81:AC84)-SUM(V81:V84))-AA81</f>
        <v>0</v>
      </c>
      <c r="AC81" s="37">
        <f>K81-T81</f>
        <v>0</v>
      </c>
      <c r="AD81" s="37">
        <f>+AM81+BA81</f>
        <v>35</v>
      </c>
      <c r="AE81" s="230" t="s">
        <v>687</v>
      </c>
      <c r="AF81" s="37">
        <v>35</v>
      </c>
      <c r="AG81" s="37"/>
      <c r="AH81" s="37"/>
      <c r="AI81" s="474"/>
      <c r="AJ81" s="37"/>
      <c r="AK81" s="37"/>
      <c r="AL81" s="37"/>
      <c r="AM81" s="37">
        <f>SUM(AF81:AL81)+AT81+AV81+AX81</f>
        <v>35</v>
      </c>
      <c r="AN81" s="37"/>
      <c r="AO81" s="37"/>
      <c r="AP81" s="37"/>
      <c r="AQ81" s="37"/>
      <c r="AR81" s="37">
        <f>SUM(AN81:AQ81)</f>
        <v>0</v>
      </c>
      <c r="AS81" s="37"/>
      <c r="AT81" s="37"/>
      <c r="AU81" s="37"/>
      <c r="AV81" s="37"/>
      <c r="AW81" s="37"/>
      <c r="AX81" s="37"/>
      <c r="AY81" s="37"/>
      <c r="AZ81" s="37"/>
      <c r="BA81" s="37">
        <f>+AR81+AS81+AU81+AW81+AY81+AZ81</f>
        <v>0</v>
      </c>
      <c r="BB81" s="33">
        <v>7</v>
      </c>
      <c r="BC81" s="51"/>
      <c r="BD81" s="51"/>
      <c r="BE81" s="33"/>
      <c r="BF81" s="51"/>
    </row>
    <row r="82" spans="1:58" ht="12.95" customHeight="1">
      <c r="A82" s="40"/>
      <c r="B82" s="41"/>
      <c r="C82" s="428"/>
      <c r="D82" s="41"/>
      <c r="E82" s="42"/>
      <c r="F82" s="42"/>
      <c r="G82" s="472"/>
      <c r="H82" s="542"/>
      <c r="I82" s="45"/>
      <c r="J82" s="86"/>
      <c r="K82" s="86"/>
      <c r="L82" s="35"/>
      <c r="M82" s="35"/>
      <c r="N82" s="46"/>
      <c r="O82" s="47"/>
      <c r="P82" s="48"/>
      <c r="Q82" s="47"/>
      <c r="R82" s="397"/>
      <c r="S82" s="397"/>
      <c r="T82" s="37"/>
      <c r="U82" s="37"/>
      <c r="V82" s="37"/>
      <c r="W82" s="37"/>
      <c r="X82" s="394"/>
      <c r="Y82" s="213"/>
      <c r="Z82" s="37"/>
      <c r="AA82" s="37"/>
      <c r="AB82" s="37"/>
      <c r="AC82" s="37"/>
      <c r="AD82" s="37">
        <f>+AM82+BA82</f>
        <v>4</v>
      </c>
      <c r="AE82" s="230" t="s">
        <v>513</v>
      </c>
      <c r="AF82" s="37"/>
      <c r="AG82" s="37">
        <v>4</v>
      </c>
      <c r="AH82" s="37"/>
      <c r="AI82" s="474"/>
      <c r="AJ82" s="37"/>
      <c r="AK82" s="37"/>
      <c r="AL82" s="37"/>
      <c r="AM82" s="37">
        <f>SUM(AF82:AL82)+AT82+AV82+AX82</f>
        <v>4</v>
      </c>
      <c r="AN82" s="87"/>
      <c r="AO82" s="37"/>
      <c r="AP82" s="37"/>
      <c r="AQ82" s="37"/>
      <c r="AR82" s="37">
        <f>SUM(AN82:AQ82)</f>
        <v>0</v>
      </c>
      <c r="AS82" s="37"/>
      <c r="AT82" s="37"/>
      <c r="AU82" s="37"/>
      <c r="AV82" s="37"/>
      <c r="AW82" s="37"/>
      <c r="AX82" s="37"/>
      <c r="AY82" s="37"/>
      <c r="AZ82" s="37"/>
      <c r="BA82" s="37">
        <f>+AR82+AS82+AU82+AW82+AY82+AZ82</f>
        <v>0</v>
      </c>
      <c r="BB82" s="50"/>
      <c r="BC82" s="51">
        <v>1</v>
      </c>
      <c r="BD82" s="51"/>
      <c r="BE82" s="50"/>
      <c r="BF82" s="51"/>
    </row>
    <row r="83" spans="1:58" ht="12.95" customHeight="1">
      <c r="A83" s="40"/>
      <c r="B83" s="41"/>
      <c r="C83" s="428"/>
      <c r="D83" s="41"/>
      <c r="E83" s="42"/>
      <c r="F83" s="42"/>
      <c r="G83" s="472"/>
      <c r="H83" s="542"/>
      <c r="I83" s="45"/>
      <c r="J83" s="86"/>
      <c r="K83" s="86"/>
      <c r="L83" s="35"/>
      <c r="M83" s="35"/>
      <c r="N83" s="46"/>
      <c r="O83" s="47"/>
      <c r="P83" s="48"/>
      <c r="Q83" s="47"/>
      <c r="R83" s="397"/>
      <c r="S83" s="397"/>
      <c r="T83" s="37"/>
      <c r="U83" s="37"/>
      <c r="V83" s="37"/>
      <c r="W83" s="37"/>
      <c r="X83" s="394"/>
      <c r="Y83" s="213"/>
      <c r="Z83" s="37"/>
      <c r="AA83" s="37"/>
      <c r="AB83" s="37"/>
      <c r="AC83" s="37"/>
      <c r="AD83" s="37">
        <f>+AM83+BA83</f>
        <v>28</v>
      </c>
      <c r="AE83" s="230" t="s">
        <v>618</v>
      </c>
      <c r="AF83" s="33"/>
      <c r="AG83" s="33"/>
      <c r="AH83" s="33">
        <v>28</v>
      </c>
      <c r="AJ83" s="37"/>
      <c r="AK83" s="37"/>
      <c r="AL83" s="37"/>
      <c r="AM83" s="37">
        <f>SUM(AF83:AL83)+AT83+AV83+AX83</f>
        <v>28</v>
      </c>
      <c r="AN83" s="37"/>
      <c r="AO83" s="37"/>
      <c r="AP83" s="37"/>
      <c r="AQ83" s="37"/>
      <c r="AR83" s="37">
        <f>SUM(AN83:AQ83)</f>
        <v>0</v>
      </c>
      <c r="AS83" s="37"/>
      <c r="AT83" s="37"/>
      <c r="AU83" s="37"/>
      <c r="AV83" s="37"/>
      <c r="AW83" s="37"/>
      <c r="AX83" s="37"/>
      <c r="AY83" s="37"/>
      <c r="AZ83" s="37"/>
      <c r="BA83" s="37">
        <f>+AR83+AS83+AU83+AW83+AY83+AZ83</f>
        <v>0</v>
      </c>
      <c r="BB83" s="33"/>
      <c r="BC83" s="53"/>
      <c r="BD83" s="53"/>
      <c r="BE83" s="33"/>
      <c r="BF83" s="53"/>
    </row>
    <row r="84" spans="1:58" ht="12.95" customHeight="1">
      <c r="A84" s="40"/>
      <c r="B84" s="41"/>
      <c r="C84" s="428"/>
      <c r="D84" s="41"/>
      <c r="E84" s="42"/>
      <c r="F84" s="42"/>
      <c r="G84" s="43"/>
      <c r="H84" s="542"/>
      <c r="I84" s="45"/>
      <c r="J84" s="86"/>
      <c r="K84" s="86"/>
      <c r="L84" s="35"/>
      <c r="M84" s="35"/>
      <c r="N84" s="46"/>
      <c r="O84" s="47"/>
      <c r="P84" s="48"/>
      <c r="Q84" s="47"/>
      <c r="R84" s="397"/>
      <c r="S84" s="397"/>
      <c r="T84" s="37"/>
      <c r="U84" s="37"/>
      <c r="V84" s="37"/>
      <c r="W84" s="37"/>
      <c r="X84" s="394"/>
      <c r="Y84" s="213"/>
      <c r="Z84" s="37"/>
      <c r="AA84" s="49"/>
      <c r="AB84" s="49"/>
      <c r="AC84" s="37"/>
      <c r="AD84" s="37"/>
      <c r="AE84" s="233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3"/>
      <c r="BC84" s="53"/>
      <c r="BD84" s="53"/>
      <c r="BE84" s="33"/>
      <c r="BF84" s="53"/>
    </row>
    <row r="85" spans="1:58" ht="12.95" customHeight="1">
      <c r="A85" s="40">
        <v>45949</v>
      </c>
      <c r="B85" s="41" t="s">
        <v>523</v>
      </c>
      <c r="C85" s="428">
        <f>(M85*E85*O85*Q85)/100000000</f>
        <v>50.71752</v>
      </c>
      <c r="D85" s="41" t="s">
        <v>297</v>
      </c>
      <c r="E85" s="42">
        <v>12</v>
      </c>
      <c r="F85" s="42">
        <v>1</v>
      </c>
      <c r="G85" s="472">
        <v>1400</v>
      </c>
      <c r="H85" s="489">
        <f>+N85</f>
        <v>0.25</v>
      </c>
      <c r="I85" s="45">
        <v>0.88</v>
      </c>
      <c r="J85" s="86">
        <f>E85*G85*(1-H85)*1440/1000000*2.87</f>
        <v>52.073279999999997</v>
      </c>
      <c r="K85" s="86">
        <f>(IF(G85&lt;L85,L85,G85)*(1-IF(H85&lt;N85,H85,N85))*E85*O85*Q85)/100000000</f>
        <v>50.803199999999997</v>
      </c>
      <c r="L85" s="35">
        <v>1397.6388888888889</v>
      </c>
      <c r="M85" s="35">
        <v>1048.2291666666667</v>
      </c>
      <c r="N85" s="46">
        <f>1-(M85/L85)</f>
        <v>0.25</v>
      </c>
      <c r="O85" s="47">
        <f>+'Trim Rwd'!H73</f>
        <v>280</v>
      </c>
      <c r="P85" s="48">
        <f>O85*(Q85-R85-S85)</f>
        <v>386400</v>
      </c>
      <c r="Q85" s="47">
        <v>1440</v>
      </c>
      <c r="R85" s="397">
        <v>0</v>
      </c>
      <c r="S85" s="397">
        <v>60</v>
      </c>
      <c r="T85" s="37">
        <f>E85*M85*O85*Q85/100000000</f>
        <v>50.71752</v>
      </c>
      <c r="U85" s="37">
        <f>E85*M85*O85*(Q85-R85-S85)/100000000</f>
        <v>48.604289999999999</v>
      </c>
      <c r="V85" s="37">
        <f>E85*G85*(1-N85)*O85/100*(R85+S85)/1000000</f>
        <v>2.1168</v>
      </c>
      <c r="W85" s="37">
        <f>+'19'!K34/1000</f>
        <v>46.783999999999999</v>
      </c>
      <c r="X85" s="394">
        <f>SUM(W85:W88)/SUM(K85:K88)</f>
        <v>0.9208868732678257</v>
      </c>
      <c r="Y85" s="37">
        <v>0</v>
      </c>
      <c r="Z85" s="37">
        <v>0</v>
      </c>
      <c r="AA85" s="49">
        <f>SUM(U85:U88)-SUM(W85:W88)-SUM(Z85:Z88)-SUM(Y85:Y88)</f>
        <v>1.82029</v>
      </c>
      <c r="AB85" s="49">
        <f>(SUM(K85:K88)-SUM(W85:W88)-SUM(Y85:Y88)-SUM(Z85:Z88)-SUM(AC85:AC88)-SUM(V85:V88))-AA85</f>
        <v>-3.5699999999985188E-3</v>
      </c>
      <c r="AC85" s="37">
        <f>K85-T85</f>
        <v>8.5679999999996426E-2</v>
      </c>
      <c r="AD85" s="37">
        <f>+AM85+BA85</f>
        <v>35</v>
      </c>
      <c r="AE85" s="230" t="s">
        <v>687</v>
      </c>
      <c r="AF85" s="37">
        <v>35</v>
      </c>
      <c r="AG85" s="37"/>
      <c r="AH85" s="37"/>
      <c r="AI85" s="474"/>
      <c r="AJ85" s="37"/>
      <c r="AK85" s="37"/>
      <c r="AL85" s="37"/>
      <c r="AM85" s="37">
        <f>SUM(AF85:AL85)+AT85+AV85+AX85</f>
        <v>35</v>
      </c>
      <c r="AN85" s="37"/>
      <c r="AO85" s="37"/>
      <c r="AP85" s="37"/>
      <c r="AQ85" s="37"/>
      <c r="AR85" s="37">
        <f>SUM(AN85:AQ85)</f>
        <v>0</v>
      </c>
      <c r="AS85" s="37"/>
      <c r="AT85" s="37"/>
      <c r="AU85" s="37"/>
      <c r="AV85" s="37"/>
      <c r="AW85" s="37"/>
      <c r="AX85" s="37"/>
      <c r="AY85" s="37"/>
      <c r="AZ85" s="37"/>
      <c r="BA85" s="37">
        <f>+AR85+AS85+AU85+AW85+AY85+AZ85</f>
        <v>0</v>
      </c>
      <c r="BB85" s="33">
        <v>7</v>
      </c>
      <c r="BC85" s="51"/>
      <c r="BD85" s="51"/>
      <c r="BE85" s="33"/>
      <c r="BF85" s="51"/>
    </row>
    <row r="86" spans="1:58" ht="12.95" customHeight="1">
      <c r="A86" s="40"/>
      <c r="B86" s="41"/>
      <c r="C86" s="428"/>
      <c r="D86" s="41"/>
      <c r="E86" s="42"/>
      <c r="F86" s="42"/>
      <c r="G86" s="472"/>
      <c r="H86" s="542"/>
      <c r="I86" s="45"/>
      <c r="J86" s="86"/>
      <c r="K86" s="86"/>
      <c r="L86" s="35"/>
      <c r="M86" s="35"/>
      <c r="N86" s="46"/>
      <c r="O86" s="47"/>
      <c r="P86" s="48"/>
      <c r="Q86" s="47"/>
      <c r="R86" s="397"/>
      <c r="S86" s="397"/>
      <c r="T86" s="37"/>
      <c r="U86" s="37"/>
      <c r="V86" s="37"/>
      <c r="W86" s="37"/>
      <c r="X86" s="394"/>
      <c r="Y86" s="213"/>
      <c r="Z86" s="37"/>
      <c r="AA86" s="37"/>
      <c r="AB86" s="37"/>
      <c r="AC86" s="37"/>
      <c r="AD86" s="37">
        <f>+AM86+BA86</f>
        <v>0</v>
      </c>
      <c r="AE86" s="230" t="s">
        <v>426</v>
      </c>
      <c r="AF86" s="37"/>
      <c r="AG86" s="37">
        <v>0</v>
      </c>
      <c r="AH86" s="37"/>
      <c r="AI86" s="474"/>
      <c r="AJ86" s="37"/>
      <c r="AK86" s="37"/>
      <c r="AL86" s="37"/>
      <c r="AM86" s="37">
        <f>SUM(AF86:AL86)+AT86+AV86+AX86</f>
        <v>0</v>
      </c>
      <c r="AN86" s="87"/>
      <c r="AO86" s="37"/>
      <c r="AP86" s="37"/>
      <c r="AQ86" s="37"/>
      <c r="AR86" s="37">
        <f>SUM(AN86:AQ86)</f>
        <v>0</v>
      </c>
      <c r="AS86" s="37"/>
      <c r="AT86" s="37"/>
      <c r="AU86" s="37"/>
      <c r="AV86" s="37"/>
      <c r="AW86" s="37"/>
      <c r="AX86" s="37"/>
      <c r="AY86" s="37"/>
      <c r="AZ86" s="37"/>
      <c r="BA86" s="37">
        <f>+AR86+AS86+AU86+AW86+AY86+AZ86</f>
        <v>0</v>
      </c>
      <c r="BB86" s="50"/>
      <c r="BC86" s="51">
        <v>0</v>
      </c>
      <c r="BD86" s="51"/>
      <c r="BE86" s="50"/>
      <c r="BF86" s="51"/>
    </row>
    <row r="87" spans="1:58" ht="12.95" customHeight="1">
      <c r="A87" s="40"/>
      <c r="B87" s="41"/>
      <c r="C87" s="428"/>
      <c r="D87" s="41"/>
      <c r="E87" s="42"/>
      <c r="F87" s="42"/>
      <c r="G87" s="472"/>
      <c r="H87" s="542"/>
      <c r="I87" s="45"/>
      <c r="J87" s="86"/>
      <c r="K87" s="86"/>
      <c r="L87" s="35"/>
      <c r="M87" s="35"/>
      <c r="N87" s="46"/>
      <c r="O87" s="47"/>
      <c r="P87" s="48"/>
      <c r="Q87" s="47"/>
      <c r="R87" s="397"/>
      <c r="S87" s="397"/>
      <c r="T87" s="37"/>
      <c r="U87" s="37"/>
      <c r="V87" s="37"/>
      <c r="W87" s="37"/>
      <c r="X87" s="394"/>
      <c r="Y87" s="213"/>
      <c r="Z87" s="37"/>
      <c r="AA87" s="37"/>
      <c r="AB87" s="37"/>
      <c r="AC87" s="37"/>
      <c r="AD87" s="37">
        <f>+AM87+BA87</f>
        <v>25</v>
      </c>
      <c r="AE87" s="230" t="s">
        <v>527</v>
      </c>
      <c r="AF87" s="33"/>
      <c r="AG87" s="33"/>
      <c r="AH87" s="33">
        <v>25</v>
      </c>
      <c r="AJ87" s="37"/>
      <c r="AK87" s="37"/>
      <c r="AL87" s="37"/>
      <c r="AM87" s="37">
        <f>SUM(AF87:AL87)+AT87+AV87+AX87</f>
        <v>25</v>
      </c>
      <c r="AN87" s="37"/>
      <c r="AO87" s="37"/>
      <c r="AP87" s="37"/>
      <c r="AQ87" s="37"/>
      <c r="AR87" s="37">
        <f>SUM(AN87:AQ87)</f>
        <v>0</v>
      </c>
      <c r="AS87" s="37"/>
      <c r="AT87" s="37"/>
      <c r="AU87" s="37"/>
      <c r="AV87" s="37"/>
      <c r="AW87" s="37"/>
      <c r="AX87" s="37"/>
      <c r="AY87" s="37"/>
      <c r="AZ87" s="37"/>
      <c r="BA87" s="37">
        <f>+AR87+AS87+AU87+AW87+AY87+AZ87</f>
        <v>0</v>
      </c>
      <c r="BB87" s="33"/>
      <c r="BC87" s="53"/>
      <c r="BD87" s="53"/>
      <c r="BE87" s="33"/>
      <c r="BF87" s="53"/>
    </row>
    <row r="88" spans="1:58" ht="12.95" customHeight="1">
      <c r="A88" s="40"/>
      <c r="B88" s="41"/>
      <c r="C88" s="428"/>
      <c r="D88" s="41"/>
      <c r="E88" s="42"/>
      <c r="F88" s="42"/>
      <c r="G88" s="43"/>
      <c r="H88" s="542"/>
      <c r="I88" s="45"/>
      <c r="J88" s="86"/>
      <c r="K88" s="86"/>
      <c r="L88" s="35"/>
      <c r="M88" s="35"/>
      <c r="N88" s="46"/>
      <c r="O88" s="47"/>
      <c r="P88" s="48"/>
      <c r="Q88" s="47"/>
      <c r="R88" s="397"/>
      <c r="S88" s="397"/>
      <c r="T88" s="37"/>
      <c r="U88" s="37"/>
      <c r="V88" s="37"/>
      <c r="W88" s="37"/>
      <c r="X88" s="394"/>
      <c r="Y88" s="213"/>
      <c r="Z88" s="37"/>
      <c r="AA88" s="49"/>
      <c r="AB88" s="49"/>
      <c r="AC88" s="37"/>
      <c r="AD88" s="37"/>
      <c r="AE88" s="233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3"/>
      <c r="BC88" s="53"/>
      <c r="BD88" s="53"/>
      <c r="BE88" s="33"/>
      <c r="BF88" s="53"/>
    </row>
    <row r="89" spans="1:58" ht="12.95" customHeight="1">
      <c r="A89" s="40">
        <v>45950</v>
      </c>
      <c r="B89" s="41" t="s">
        <v>523</v>
      </c>
      <c r="C89" s="428">
        <f>(M89*E89*O89*Q89)/100000000</f>
        <v>49.795200000000001</v>
      </c>
      <c r="D89" s="41" t="s">
        <v>297</v>
      </c>
      <c r="E89" s="42">
        <v>12</v>
      </c>
      <c r="F89" s="42">
        <v>1</v>
      </c>
      <c r="G89" s="472">
        <v>1400</v>
      </c>
      <c r="H89" s="489">
        <f>+N89</f>
        <v>0.25</v>
      </c>
      <c r="I89" s="45">
        <v>0.88</v>
      </c>
      <c r="J89" s="86">
        <f>E89*G89*(1-H89)*1440/1000000*2.87</f>
        <v>52.073279999999997</v>
      </c>
      <c r="K89" s="86">
        <f>(IF(G89&lt;L89,L89,G89)*(1-IF(H89&lt;N89,H89,N89))*E89*O89*Q89)/100000000</f>
        <v>49.795200000000001</v>
      </c>
      <c r="L89" s="35">
        <v>1400</v>
      </c>
      <c r="M89" s="35">
        <v>1050</v>
      </c>
      <c r="N89" s="46">
        <f>1-(M89/L89)</f>
        <v>0.25</v>
      </c>
      <c r="O89" s="47">
        <f>+'Trim Rwd'!H76</f>
        <v>274.44444444444446</v>
      </c>
      <c r="P89" s="48">
        <f>O89*(Q89-R89-S89)</f>
        <v>386417.77777777781</v>
      </c>
      <c r="Q89" s="47">
        <v>1440</v>
      </c>
      <c r="R89" s="397">
        <v>0</v>
      </c>
      <c r="S89" s="397">
        <v>32</v>
      </c>
      <c r="T89" s="37">
        <f>E89*M89*O89*Q89/100000000</f>
        <v>49.795200000000001</v>
      </c>
      <c r="U89" s="37">
        <f>E89*M89*O89*(Q89-R89-S89)/100000000</f>
        <v>48.688639999999999</v>
      </c>
      <c r="V89" s="37">
        <f>E89*G89*(1-N89)*O89/100*(R89+S89)/1000000</f>
        <v>1.10656</v>
      </c>
      <c r="W89" s="37">
        <f>+'20'!K34/1000</f>
        <v>50.112000000000002</v>
      </c>
      <c r="X89" s="394">
        <f>SUM(W89:W92)/SUM(K89:K92)</f>
        <v>1.006362058993638</v>
      </c>
      <c r="Y89" s="37">
        <v>0</v>
      </c>
      <c r="Z89" s="37">
        <v>0</v>
      </c>
      <c r="AA89" s="49">
        <f>SUM(U89:U92)-SUM(W89:W92)-SUM(Z89:Z92)-SUM(Y89:Y92)</f>
        <v>-1.4233600000000024</v>
      </c>
      <c r="AB89" s="49">
        <f>(SUM(K89:K92)-SUM(W89:W92)-SUM(Y89:Y92)-SUM(Z89:Z92)-SUM(AC89:AC92)-SUM(V89:V92))-AA89</f>
        <v>1.7763568394002505E-15</v>
      </c>
      <c r="AC89" s="37">
        <f>K89-T89</f>
        <v>0</v>
      </c>
      <c r="AD89" s="37">
        <f>+AM89+BA89</f>
        <v>5</v>
      </c>
      <c r="AE89" s="230" t="s">
        <v>522</v>
      </c>
      <c r="AF89" s="37">
        <v>5</v>
      </c>
      <c r="AG89" s="37"/>
      <c r="AH89" s="37"/>
      <c r="AI89" s="474"/>
      <c r="AJ89" s="37"/>
      <c r="AK89" s="37"/>
      <c r="AL89" s="37"/>
      <c r="AM89" s="37">
        <f>SUM(AF89:AL89)+AT89+AV89+AX89</f>
        <v>5</v>
      </c>
      <c r="AN89" s="37"/>
      <c r="AO89" s="37"/>
      <c r="AP89" s="37"/>
      <c r="AQ89" s="37"/>
      <c r="AR89" s="37">
        <f>SUM(AN89:AQ89)</f>
        <v>0</v>
      </c>
      <c r="AS89" s="37"/>
      <c r="AT89" s="37"/>
      <c r="AU89" s="37"/>
      <c r="AV89" s="37"/>
      <c r="AW89" s="37"/>
      <c r="AX89" s="37"/>
      <c r="AY89" s="37"/>
      <c r="AZ89" s="37"/>
      <c r="BA89" s="37">
        <f>+AR89+AS89+AU89+AW89+AY89+AZ89</f>
        <v>0</v>
      </c>
      <c r="BB89" s="33">
        <v>1</v>
      </c>
      <c r="BC89" s="51"/>
      <c r="BD89" s="51"/>
      <c r="BE89" s="33"/>
      <c r="BF89" s="51"/>
    </row>
    <row r="90" spans="1:58" ht="12.95" customHeight="1">
      <c r="A90" s="40"/>
      <c r="B90" s="41"/>
      <c r="C90" s="428"/>
      <c r="D90" s="41"/>
      <c r="E90" s="42"/>
      <c r="F90" s="42"/>
      <c r="G90" s="472"/>
      <c r="H90" s="542"/>
      <c r="I90" s="45"/>
      <c r="J90" s="86"/>
      <c r="K90" s="86"/>
      <c r="L90" s="35"/>
      <c r="M90" s="35"/>
      <c r="N90" s="46"/>
      <c r="O90" s="47"/>
      <c r="P90" s="48"/>
      <c r="Q90" s="47"/>
      <c r="R90" s="397"/>
      <c r="S90" s="397"/>
      <c r="T90" s="37"/>
      <c r="U90" s="37"/>
      <c r="V90" s="37"/>
      <c r="W90" s="37"/>
      <c r="X90" s="394"/>
      <c r="Y90" s="213"/>
      <c r="Z90" s="37"/>
      <c r="AA90" s="37"/>
      <c r="AB90" s="37"/>
      <c r="AC90" s="37"/>
      <c r="AD90" s="37">
        <f>+AM90+BA90</f>
        <v>0</v>
      </c>
      <c r="AE90" s="230" t="s">
        <v>426</v>
      </c>
      <c r="AF90" s="37"/>
      <c r="AG90" s="37">
        <v>0</v>
      </c>
      <c r="AH90" s="37"/>
      <c r="AI90" s="474"/>
      <c r="AJ90" s="37"/>
      <c r="AK90" s="37"/>
      <c r="AL90" s="37"/>
      <c r="AM90" s="37">
        <f>SUM(AF90:AL90)+AT90+AV90+AX90</f>
        <v>0</v>
      </c>
      <c r="AN90" s="87"/>
      <c r="AO90" s="37"/>
      <c r="AP90" s="37"/>
      <c r="AQ90" s="37"/>
      <c r="AR90" s="37">
        <f>SUM(AN90:AQ90)</f>
        <v>0</v>
      </c>
      <c r="AS90" s="37"/>
      <c r="AT90" s="37"/>
      <c r="AU90" s="37"/>
      <c r="AV90" s="37"/>
      <c r="AW90" s="37"/>
      <c r="AX90" s="37"/>
      <c r="AY90" s="37"/>
      <c r="AZ90" s="37"/>
      <c r="BA90" s="37">
        <f>+AR90+AS90+AU90+AW90+AY90+AZ90</f>
        <v>0</v>
      </c>
      <c r="BB90" s="50"/>
      <c r="BC90" s="51">
        <v>0</v>
      </c>
      <c r="BD90" s="51"/>
      <c r="BE90" s="50"/>
      <c r="BF90" s="51"/>
    </row>
    <row r="91" spans="1:58" ht="12.95" customHeight="1">
      <c r="A91" s="40"/>
      <c r="B91" s="41"/>
      <c r="C91" s="428"/>
      <c r="D91" s="41"/>
      <c r="E91" s="42"/>
      <c r="F91" s="42"/>
      <c r="G91" s="472"/>
      <c r="H91" s="542"/>
      <c r="I91" s="45"/>
      <c r="J91" s="86"/>
      <c r="K91" s="86"/>
      <c r="L91" s="35"/>
      <c r="M91" s="35"/>
      <c r="N91" s="46"/>
      <c r="O91" s="47"/>
      <c r="P91" s="48"/>
      <c r="Q91" s="47"/>
      <c r="R91" s="397"/>
      <c r="S91" s="397"/>
      <c r="T91" s="37"/>
      <c r="U91" s="37"/>
      <c r="V91" s="37"/>
      <c r="W91" s="37"/>
      <c r="X91" s="394"/>
      <c r="Y91" s="213"/>
      <c r="Z91" s="37"/>
      <c r="AA91" s="37"/>
      <c r="AB91" s="37"/>
      <c r="AC91" s="37"/>
      <c r="AD91" s="37">
        <f>+AM91+BA91</f>
        <v>27</v>
      </c>
      <c r="AE91" s="230" t="s">
        <v>744</v>
      </c>
      <c r="AF91" s="33"/>
      <c r="AG91" s="33"/>
      <c r="AH91" s="33">
        <v>27</v>
      </c>
      <c r="AJ91" s="37"/>
      <c r="AK91" s="37"/>
      <c r="AL91" s="37"/>
      <c r="AM91" s="37">
        <f>SUM(AF91:AL91)+AT91+AV91+AX91</f>
        <v>27</v>
      </c>
      <c r="AN91" s="37"/>
      <c r="AO91" s="37"/>
      <c r="AP91" s="37"/>
      <c r="AQ91" s="37"/>
      <c r="AR91" s="37">
        <f>SUM(AN91:AQ91)</f>
        <v>0</v>
      </c>
      <c r="AS91" s="37"/>
      <c r="AT91" s="37"/>
      <c r="AU91" s="37"/>
      <c r="AV91" s="37"/>
      <c r="AW91" s="37"/>
      <c r="AX91" s="37"/>
      <c r="AY91" s="37"/>
      <c r="AZ91" s="37"/>
      <c r="BA91" s="37">
        <f>+AR91+AS91+AU91+AW91+AY91+AZ91</f>
        <v>0</v>
      </c>
      <c r="BB91" s="33"/>
      <c r="BC91" s="53"/>
      <c r="BD91" s="53"/>
      <c r="BE91" s="33"/>
      <c r="BF91" s="53"/>
    </row>
    <row r="92" spans="1:58" ht="12.95" customHeight="1">
      <c r="A92" s="40"/>
      <c r="B92" s="41"/>
      <c r="C92" s="428"/>
      <c r="D92" s="41"/>
      <c r="E92" s="42"/>
      <c r="F92" s="42"/>
      <c r="G92" s="43"/>
      <c r="H92" s="542"/>
      <c r="I92" s="45"/>
      <c r="J92" s="86"/>
      <c r="K92" s="86"/>
      <c r="L92" s="35"/>
      <c r="M92" s="35"/>
      <c r="N92" s="46"/>
      <c r="O92" s="47"/>
      <c r="P92" s="48"/>
      <c r="Q92" s="47"/>
      <c r="R92" s="397"/>
      <c r="S92" s="397"/>
      <c r="T92" s="37"/>
      <c r="U92" s="37"/>
      <c r="V92" s="37"/>
      <c r="W92" s="37"/>
      <c r="X92" s="394"/>
      <c r="Y92" s="213"/>
      <c r="Z92" s="37"/>
      <c r="AA92" s="49"/>
      <c r="AB92" s="49"/>
      <c r="AC92" s="37"/>
      <c r="AD92" s="37"/>
      <c r="AE92" s="230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3"/>
      <c r="BC92" s="51"/>
      <c r="BD92" s="51"/>
      <c r="BE92" s="51"/>
      <c r="BF92" s="51"/>
    </row>
    <row r="93" spans="1:58" ht="12.95" customHeight="1">
      <c r="A93" s="40">
        <v>45951</v>
      </c>
      <c r="B93" s="41" t="s">
        <v>523</v>
      </c>
      <c r="C93" s="428">
        <f>(M93*E93*O93*Q93)/100000000</f>
        <v>26.125173975903618</v>
      </c>
      <c r="D93" s="41" t="s">
        <v>297</v>
      </c>
      <c r="E93" s="42">
        <v>12</v>
      </c>
      <c r="F93" s="42">
        <v>1</v>
      </c>
      <c r="G93" s="472">
        <v>1400</v>
      </c>
      <c r="H93" s="489">
        <f>+N93</f>
        <v>0.24</v>
      </c>
      <c r="I93" s="45">
        <v>0.88</v>
      </c>
      <c r="J93" s="86">
        <f>E93*G93*(1-H93)*1440/1000000*2.87</f>
        <v>52.767590399999996</v>
      </c>
      <c r="K93" s="86">
        <f>(IF(G93&lt;L93,L93,G93)*(1-IF(H93&lt;N93,H93,N93))*E93*O93*Q93)/100000000</f>
        <v>26.125173975903618</v>
      </c>
      <c r="L93" s="35">
        <v>1400</v>
      </c>
      <c r="M93" s="35">
        <v>1064</v>
      </c>
      <c r="N93" s="46">
        <f>1-(M93/L93)</f>
        <v>0.24</v>
      </c>
      <c r="O93" s="47">
        <f>+'Trim Rwd'!H79</f>
        <v>276.50602409638554</v>
      </c>
      <c r="P93" s="48">
        <f>O93*(Q93-R93-S93)</f>
        <v>198254.81927710844</v>
      </c>
      <c r="Q93" s="47">
        <v>740</v>
      </c>
      <c r="R93" s="397">
        <v>0</v>
      </c>
      <c r="S93" s="397">
        <v>23</v>
      </c>
      <c r="T93" s="37">
        <f>E93*M93*O93*Q93/100000000</f>
        <v>26.125173975903618</v>
      </c>
      <c r="U93" s="37">
        <f>E93*M93*O93*(Q93-R93-S93)/100000000</f>
        <v>25.313175325301202</v>
      </c>
      <c r="V93" s="37">
        <f>E93*G93*(1-N93)*O93/100*(R93+S93)/1000000</f>
        <v>0.81199865060240961</v>
      </c>
      <c r="W93" s="37">
        <f>+'21'!K12/1000</f>
        <v>28.648</v>
      </c>
      <c r="X93" s="394">
        <f>SUM(W93:W96)/SUM(K93:K96)</f>
        <v>0.81316847105021561</v>
      </c>
      <c r="Y93" s="37">
        <v>0</v>
      </c>
      <c r="Z93" s="37">
        <f>+'21'!D16/1000</f>
        <v>0.502</v>
      </c>
      <c r="AA93" s="49">
        <f>SUM(U93:U96)-SUM(W93:W96)-SUM(Z93:Z96)-SUM(Y93:Y96)</f>
        <v>5.595585655301198</v>
      </c>
      <c r="AB93" s="49">
        <f>(SUM(K93:K96)-SUM(W93:W96)-SUM(Y93:Y96)-SUM(Z93:Z96)-SUM(AC93:AC96)-SUM(V93:V96))-AA93</f>
        <v>-4.2727334230678871E-2</v>
      </c>
      <c r="AC93" s="37">
        <f>K93-T93</f>
        <v>0</v>
      </c>
      <c r="AD93" s="37">
        <f>+AM93+BA93</f>
        <v>20</v>
      </c>
      <c r="AE93" s="230" t="s">
        <v>515</v>
      </c>
      <c r="AF93" s="37">
        <v>20</v>
      </c>
      <c r="AG93" s="37"/>
      <c r="AH93" s="37"/>
      <c r="AI93" s="474"/>
      <c r="AJ93" s="37"/>
      <c r="AK93" s="37"/>
      <c r="AL93" s="37"/>
      <c r="AM93" s="37">
        <f>SUM(AF93:AL93)+AT93+AV93+AX93</f>
        <v>20</v>
      </c>
      <c r="AN93" s="37"/>
      <c r="AO93" s="37"/>
      <c r="AP93" s="37"/>
      <c r="AQ93" s="37"/>
      <c r="AR93" s="37">
        <f>SUM(AN93:AQ93)</f>
        <v>0</v>
      </c>
      <c r="AS93" s="37"/>
      <c r="AT93" s="37"/>
      <c r="AU93" s="37"/>
      <c r="AV93" s="37"/>
      <c r="AW93" s="37"/>
      <c r="AX93" s="37"/>
      <c r="AY93" s="37"/>
      <c r="AZ93" s="37"/>
      <c r="BA93" s="37">
        <f>+AR93+AS93+AU93+AW93+AY93+AZ93</f>
        <v>0</v>
      </c>
      <c r="BB93" s="33">
        <v>4</v>
      </c>
      <c r="BC93" s="51"/>
      <c r="BD93" s="51"/>
      <c r="BE93" s="33"/>
      <c r="BF93" s="51"/>
    </row>
    <row r="94" spans="1:58" ht="12.95" customHeight="1">
      <c r="A94" s="40"/>
      <c r="B94" s="41" t="s">
        <v>416</v>
      </c>
      <c r="C94" s="428">
        <f>(M94*E94*O94*Q94)/100000000</f>
        <v>24.627603000000001</v>
      </c>
      <c r="D94" s="41" t="s">
        <v>297</v>
      </c>
      <c r="E94" s="42">
        <v>12.5</v>
      </c>
      <c r="F94" s="42">
        <v>1</v>
      </c>
      <c r="G94" s="604">
        <v>1390</v>
      </c>
      <c r="H94" s="489">
        <f>+N94</f>
        <v>0.23316598138930955</v>
      </c>
      <c r="I94" s="45">
        <v>0.88</v>
      </c>
      <c r="J94" s="86">
        <f>E94*G94*(1-H94)*1440/1000000*2.87</f>
        <v>55.064357107985295</v>
      </c>
      <c r="K94" s="86">
        <f>(IF(G94&lt;L94,L94,G94)*(1-IF(H94&lt;N94,H94,N94))*E94*O94*Q94)/100000000</f>
        <v>25.928000128760015</v>
      </c>
      <c r="L94" s="35">
        <v>1320.2857142857142</v>
      </c>
      <c r="M94" s="35">
        <v>1012.44</v>
      </c>
      <c r="N94" s="46">
        <f>1-(M94/L94)</f>
        <v>0.23316598138930955</v>
      </c>
      <c r="O94" s="47">
        <f>+'Trim Rwd'!H81</f>
        <v>278</v>
      </c>
      <c r="P94" s="48">
        <f>O94*(Q94-R94-S94)</f>
        <v>188206</v>
      </c>
      <c r="Q94" s="47">
        <v>700</v>
      </c>
      <c r="R94" s="397">
        <v>0</v>
      </c>
      <c r="S94" s="397">
        <v>23</v>
      </c>
      <c r="T94" s="37">
        <f>E94*M94*O94*Q94/100000000</f>
        <v>24.627603000000001</v>
      </c>
      <c r="U94" s="37">
        <f>E94*M94*O94*(Q94-R94-S94)/100000000</f>
        <v>23.818410329999999</v>
      </c>
      <c r="V94" s="37">
        <f>E94*G94*(1-N94)*O94/100*(R94+S94)/1000000</f>
        <v>0.85192000423068615</v>
      </c>
      <c r="W94" s="37">
        <f>+'21'!K13/1000</f>
        <v>13.68</v>
      </c>
      <c r="X94" s="394"/>
      <c r="Y94" s="213"/>
      <c r="Z94" s="37">
        <f>+'21'!D25/1000</f>
        <v>0.70599999999999996</v>
      </c>
      <c r="AA94" s="37"/>
      <c r="AB94" s="37"/>
      <c r="AC94" s="37">
        <f>K94-T94</f>
        <v>1.3003971287600145</v>
      </c>
      <c r="AD94" s="37">
        <f>+AM94+BA94</f>
        <v>1</v>
      </c>
      <c r="AE94" s="230" t="s">
        <v>513</v>
      </c>
      <c r="AF94" s="37"/>
      <c r="AG94" s="37">
        <v>1</v>
      </c>
      <c r="AH94" s="37"/>
      <c r="AI94" s="474"/>
      <c r="AJ94" s="37"/>
      <c r="AK94" s="37"/>
      <c r="AL94" s="37"/>
      <c r="AM94" s="37">
        <f>SUM(AF94:AL94)+AT94+AV94+AX94</f>
        <v>1</v>
      </c>
      <c r="AN94" s="87"/>
      <c r="AO94" s="37"/>
      <c r="AP94" s="37"/>
      <c r="AQ94" s="37"/>
      <c r="AR94" s="37">
        <f>SUM(AN94:AQ94)</f>
        <v>0</v>
      </c>
      <c r="AS94" s="37"/>
      <c r="AT94" s="37"/>
      <c r="AU94" s="37"/>
      <c r="AV94" s="37"/>
      <c r="AW94" s="37"/>
      <c r="AX94" s="37"/>
      <c r="AY94" s="37"/>
      <c r="AZ94" s="37"/>
      <c r="BA94" s="37">
        <f>+AR94+AS94+AU94+AW94+AY94+AZ94</f>
        <v>0</v>
      </c>
      <c r="BB94" s="50"/>
      <c r="BC94" s="51">
        <v>1</v>
      </c>
      <c r="BD94" s="51"/>
      <c r="BE94" s="50"/>
      <c r="BF94" s="51"/>
    </row>
    <row r="95" spans="1:58" ht="12.95" customHeight="1">
      <c r="A95" s="40"/>
      <c r="B95" s="41"/>
      <c r="C95" s="428"/>
      <c r="D95" s="41"/>
      <c r="E95" s="42"/>
      <c r="F95" s="42"/>
      <c r="G95" s="472"/>
      <c r="H95" s="542"/>
      <c r="I95" s="45"/>
      <c r="J95" s="86"/>
      <c r="K95" s="86"/>
      <c r="L95" s="35"/>
      <c r="M95" s="35"/>
      <c r="N95" s="46"/>
      <c r="O95" s="47"/>
      <c r="P95" s="48"/>
      <c r="Q95" s="47"/>
      <c r="R95" s="397"/>
      <c r="S95" s="397"/>
      <c r="T95" s="37"/>
      <c r="U95" s="37"/>
      <c r="V95" s="37"/>
      <c r="W95" s="37"/>
      <c r="X95" s="394"/>
      <c r="Y95" s="213"/>
      <c r="Z95" s="37"/>
      <c r="AA95" s="37"/>
      <c r="AB95" s="37"/>
      <c r="AC95" s="37"/>
      <c r="AD95" s="37">
        <f>+AM95+BA95</f>
        <v>25</v>
      </c>
      <c r="AE95" s="230" t="s">
        <v>527</v>
      </c>
      <c r="AF95" s="33"/>
      <c r="AG95" s="33"/>
      <c r="AH95" s="33">
        <v>25</v>
      </c>
      <c r="AJ95" s="37"/>
      <c r="AK95" s="37"/>
      <c r="AL95" s="37"/>
      <c r="AM95" s="37">
        <f>SUM(AF95:AL95)+AT95+AV95+AX95</f>
        <v>25</v>
      </c>
      <c r="AN95" s="37"/>
      <c r="AO95" s="37"/>
      <c r="AP95" s="37"/>
      <c r="AQ95" s="37"/>
      <c r="AR95" s="37">
        <f>SUM(AN95:AQ95)</f>
        <v>0</v>
      </c>
      <c r="AS95" s="37"/>
      <c r="AT95" s="37"/>
      <c r="AU95" s="37"/>
      <c r="AV95" s="37"/>
      <c r="AW95" s="37"/>
      <c r="AX95" s="37"/>
      <c r="AY95" s="37"/>
      <c r="AZ95" s="37"/>
      <c r="BA95" s="37">
        <f>+AR95+AS95+AU95+AW95+AY95+AZ95</f>
        <v>0</v>
      </c>
      <c r="BB95" s="33"/>
      <c r="BC95" s="53"/>
      <c r="BD95" s="53"/>
      <c r="BE95" s="33"/>
      <c r="BF95" s="53"/>
    </row>
    <row r="96" spans="1:58" ht="12.95" customHeight="1">
      <c r="A96" s="40"/>
      <c r="B96" s="41"/>
      <c r="C96" s="428"/>
      <c r="D96" s="41"/>
      <c r="E96" s="42"/>
      <c r="F96" s="42"/>
      <c r="G96" s="43"/>
      <c r="H96" s="542"/>
      <c r="I96" s="45"/>
      <c r="J96" s="86"/>
      <c r="K96" s="86"/>
      <c r="L96" s="35"/>
      <c r="M96" s="35"/>
      <c r="N96" s="46"/>
      <c r="O96" s="47"/>
      <c r="P96" s="48"/>
      <c r="Q96" s="47"/>
      <c r="R96" s="397"/>
      <c r="S96" s="397"/>
      <c r="T96" s="37"/>
      <c r="U96" s="37"/>
      <c r="V96" s="37"/>
      <c r="W96" s="37"/>
      <c r="X96" s="394"/>
      <c r="Y96" s="213"/>
      <c r="Z96" s="37"/>
      <c r="AA96" s="49"/>
      <c r="AB96" s="49"/>
      <c r="AC96" s="37"/>
      <c r="AD96" s="37"/>
      <c r="AE96" s="233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3"/>
      <c r="BC96" s="53"/>
      <c r="BD96" s="53"/>
      <c r="BE96" s="33"/>
      <c r="BF96" s="53"/>
    </row>
    <row r="97" spans="1:58" ht="12.95" customHeight="1">
      <c r="A97" s="40">
        <v>45952</v>
      </c>
      <c r="B97" s="41" t="s">
        <v>416</v>
      </c>
      <c r="C97" s="428">
        <f>(M97*E97*O97*Q97)/100000000</f>
        <v>15.140853000000002</v>
      </c>
      <c r="D97" s="41" t="s">
        <v>297</v>
      </c>
      <c r="E97" s="42">
        <v>12.5</v>
      </c>
      <c r="F97" s="42">
        <v>1</v>
      </c>
      <c r="G97" s="604">
        <v>1365</v>
      </c>
      <c r="H97" s="489">
        <f>+N97</f>
        <v>0.21999999999999997</v>
      </c>
      <c r="I97" s="45">
        <v>0.88</v>
      </c>
      <c r="J97" s="86">
        <f>E97*G97*(1-H97)*1440/1000000*2.87</f>
        <v>55.002402000000004</v>
      </c>
      <c r="K97" s="86">
        <f>(IF(G97&lt;L97,L97,G97)*(1-IF(H97&lt;N97,H97,N97))*E97*O97*Q97)/100000000</f>
        <v>15.539296500000001</v>
      </c>
      <c r="L97" s="35">
        <v>1330</v>
      </c>
      <c r="M97" s="35">
        <v>1037.4000000000001</v>
      </c>
      <c r="N97" s="46">
        <f>1-(M97/L97)</f>
        <v>0.21999999999999997</v>
      </c>
      <c r="O97" s="47">
        <f>+'Trim Rwd'!H83</f>
        <v>278</v>
      </c>
      <c r="P97" s="48">
        <f>O97*(Q97-R97-S97)</f>
        <v>115370</v>
      </c>
      <c r="Q97" s="47">
        <v>420</v>
      </c>
      <c r="R97" s="397">
        <v>0</v>
      </c>
      <c r="S97" s="397">
        <v>5</v>
      </c>
      <c r="T97" s="37">
        <f>E97*M97*O97*Q97/100000000</f>
        <v>15.140853000000002</v>
      </c>
      <c r="U97" s="37">
        <f>E97*M97*O97*(Q97-R97-S97)/100000000</f>
        <v>14.960604750000002</v>
      </c>
      <c r="V97" s="37">
        <f>E97*G97*(1-N97)*O97/100*(R97+S97)/1000000</f>
        <v>0.18499162499999999</v>
      </c>
      <c r="W97" s="37">
        <f>+'22'!K7/1000</f>
        <v>22.745999999999999</v>
      </c>
      <c r="X97" s="394">
        <f>SUM(W97:W100)/SUM(K97:K100)</f>
        <v>0.95092447955510229</v>
      </c>
      <c r="Y97" s="37">
        <v>0</v>
      </c>
      <c r="Z97" s="37">
        <f>+'21'!D20/1000</f>
        <v>0</v>
      </c>
      <c r="AA97" s="49">
        <f>SUM(U97:U100)-SUM(W97:W100)-SUM(Z97:Z100)-SUM(Y97:Y100)</f>
        <v>1.3762342054054102</v>
      </c>
      <c r="AB97" s="49">
        <f>(SUM(K97:K100)-SUM(W97:W100)-SUM(Y97:Y100)-SUM(Z97:Z100)-SUM(AC97:AC100)-SUM(V97:V100))-AA97</f>
        <v>4.2576869594601163E-2</v>
      </c>
      <c r="AC97" s="37">
        <f>K97-T97</f>
        <v>0.39844349999999906</v>
      </c>
      <c r="AD97" s="37">
        <f>+AM97+BA97</f>
        <v>0</v>
      </c>
      <c r="AE97" s="230" t="s">
        <v>404</v>
      </c>
      <c r="AF97" s="37">
        <v>0</v>
      </c>
      <c r="AG97" s="37"/>
      <c r="AH97" s="37"/>
      <c r="AI97" s="474"/>
      <c r="AJ97" s="37"/>
      <c r="AK97" s="37"/>
      <c r="AL97" s="37"/>
      <c r="AM97" s="37">
        <f>SUM(AF97:AL97)+AT97+AV97+AX97</f>
        <v>0</v>
      </c>
      <c r="AN97" s="37"/>
      <c r="AO97" s="37"/>
      <c r="AP97" s="37"/>
      <c r="AQ97" s="37"/>
      <c r="AR97" s="37">
        <f>SUM(AN97:AQ97)</f>
        <v>0</v>
      </c>
      <c r="AS97" s="37"/>
      <c r="AT97" s="37"/>
      <c r="AU97" s="37"/>
      <c r="AV97" s="37"/>
      <c r="AW97" s="37"/>
      <c r="AX97" s="37"/>
      <c r="AY97" s="37"/>
      <c r="AZ97" s="37"/>
      <c r="BA97" s="37">
        <f>+AR97+AS97+AU97+AW97+AY97+AZ97</f>
        <v>0</v>
      </c>
      <c r="BB97" s="33">
        <v>0</v>
      </c>
      <c r="BC97" s="51"/>
      <c r="BD97" s="51"/>
      <c r="BE97" s="33"/>
      <c r="BF97" s="51"/>
    </row>
    <row r="98" spans="1:58" ht="12.95" customHeight="1">
      <c r="A98" s="40"/>
      <c r="B98" s="41" t="s">
        <v>416</v>
      </c>
      <c r="C98" s="428">
        <f t="shared" ref="C98:C99" si="0">(M98*E98*O98*Q98)/100000000</f>
        <v>29.420380520000005</v>
      </c>
      <c r="D98" s="41" t="s">
        <v>297</v>
      </c>
      <c r="E98" s="42">
        <v>14.5</v>
      </c>
      <c r="F98" s="42">
        <v>1</v>
      </c>
      <c r="G98" s="472">
        <v>1220</v>
      </c>
      <c r="H98" s="489">
        <f t="shared" ref="H98:H99" si="1">+N98</f>
        <v>0.24</v>
      </c>
      <c r="I98" s="45">
        <v>0.88</v>
      </c>
      <c r="J98" s="86">
        <f>E98*G98*(1-H98)*1440/1000000*2.87</f>
        <v>55.563016320000003</v>
      </c>
      <c r="K98" s="86">
        <f>(IF(G98&lt;L98,L98,G98)*(1-IF(H98&lt;N98,H98,N98))*E98*O98*Q98)/100000000</f>
        <v>29.420380520000005</v>
      </c>
      <c r="L98" s="35">
        <v>1302.4324324324325</v>
      </c>
      <c r="M98" s="35">
        <v>989.84864864864869</v>
      </c>
      <c r="N98" s="46">
        <f t="shared" ref="N98:N99" si="2">1-(M98/L98)</f>
        <v>0.24</v>
      </c>
      <c r="O98" s="47">
        <f>+'Trim Rwd'!H84</f>
        <v>277</v>
      </c>
      <c r="P98" s="48">
        <f t="shared" ref="P98:P99" si="3">O98*(Q98-R98-S98)</f>
        <v>200825</v>
      </c>
      <c r="Q98" s="47">
        <v>740</v>
      </c>
      <c r="R98" s="397">
        <v>0</v>
      </c>
      <c r="S98" s="397">
        <v>15</v>
      </c>
      <c r="T98" s="37">
        <f t="shared" ref="T98:T99" si="4">E98*M98*O98*Q98/100000000</f>
        <v>29.420380520000005</v>
      </c>
      <c r="U98" s="37">
        <f t="shared" ref="U98:U99" si="5">E98*M98*O98*(Q98-R98-S98)/100000000</f>
        <v>28.824021455405408</v>
      </c>
      <c r="V98" s="37">
        <f>E98*G98*(1-N98)*O98/100*(R98+S98)/1000000</f>
        <v>0.55861481999999996</v>
      </c>
      <c r="W98" s="37">
        <f>+'22'!K17/1000</f>
        <v>27.228999999999999</v>
      </c>
      <c r="X98" s="394"/>
      <c r="Y98" s="213"/>
      <c r="Z98" s="37"/>
      <c r="AA98" s="37"/>
      <c r="AB98" s="37"/>
      <c r="AC98" s="37">
        <f t="shared" ref="AC98:AC99" si="6">K98-T98</f>
        <v>0</v>
      </c>
      <c r="AD98" s="37">
        <f>+AM98+BA98</f>
        <v>1</v>
      </c>
      <c r="AE98" s="230" t="s">
        <v>513</v>
      </c>
      <c r="AF98" s="37"/>
      <c r="AG98" s="37">
        <v>1</v>
      </c>
      <c r="AH98" s="37"/>
      <c r="AI98" s="474"/>
      <c r="AJ98" s="37"/>
      <c r="AK98" s="37"/>
      <c r="AL98" s="37"/>
      <c r="AM98" s="37">
        <f>SUM(AF98:AL98)+AT98+AV98+AX98</f>
        <v>1</v>
      </c>
      <c r="AN98" s="87"/>
      <c r="AO98" s="37"/>
      <c r="AP98" s="37"/>
      <c r="AQ98" s="37"/>
      <c r="AR98" s="37">
        <f>SUM(AN98:AQ98)</f>
        <v>0</v>
      </c>
      <c r="AS98" s="37"/>
      <c r="AT98" s="37"/>
      <c r="AU98" s="37"/>
      <c r="AV98" s="37"/>
      <c r="AW98" s="37"/>
      <c r="AX98" s="37"/>
      <c r="AY98" s="37"/>
      <c r="AZ98" s="37"/>
      <c r="BA98" s="37">
        <f>+AR98+AS98+AU98+AW98+AY98+AZ98</f>
        <v>0</v>
      </c>
      <c r="BB98" s="50"/>
      <c r="BC98" s="51">
        <v>1</v>
      </c>
      <c r="BD98" s="51"/>
      <c r="BE98" s="50"/>
      <c r="BF98" s="51"/>
    </row>
    <row r="99" spans="1:58" ht="12.95" customHeight="1">
      <c r="A99" s="40"/>
      <c r="B99" s="41" t="s">
        <v>416</v>
      </c>
      <c r="C99" s="428">
        <f t="shared" si="0"/>
        <v>11.0468736</v>
      </c>
      <c r="D99" s="41" t="s">
        <v>297</v>
      </c>
      <c r="E99" s="42">
        <v>18</v>
      </c>
      <c r="F99" s="42">
        <v>1</v>
      </c>
      <c r="G99" s="472">
        <v>980</v>
      </c>
      <c r="H99" s="489">
        <f t="shared" si="1"/>
        <v>0.24</v>
      </c>
      <c r="I99" s="45">
        <v>0.88</v>
      </c>
      <c r="J99" s="86">
        <f t="shared" ref="J99" si="7">E99*G99*(1-H99)*1440/1000000*2.87</f>
        <v>55.405969920000004</v>
      </c>
      <c r="K99" s="86">
        <f t="shared" ref="K99" si="8">(IF(G99&lt;L99,L99,G99)*(1-IF(H99&lt;N99,H99,N99))*E99*O99*Q99)/100000000</f>
        <v>11.0468736</v>
      </c>
      <c r="L99" s="35">
        <v>1030</v>
      </c>
      <c r="M99" s="35">
        <v>782.8</v>
      </c>
      <c r="N99" s="46">
        <f t="shared" si="2"/>
        <v>0.24</v>
      </c>
      <c r="O99" s="47">
        <f>+'Trim Rwd'!H85</f>
        <v>280</v>
      </c>
      <c r="P99" s="48">
        <f t="shared" si="3"/>
        <v>77000</v>
      </c>
      <c r="Q99" s="47">
        <v>280</v>
      </c>
      <c r="R99" s="397">
        <v>0</v>
      </c>
      <c r="S99" s="397">
        <v>5</v>
      </c>
      <c r="T99" s="37">
        <f t="shared" si="4"/>
        <v>11.0468736</v>
      </c>
      <c r="U99" s="37">
        <f t="shared" si="5"/>
        <v>10.849608</v>
      </c>
      <c r="V99" s="37">
        <f t="shared" ref="V99" si="9">E99*G99*(1-N99)*O99/100*(R99+S99)/1000000</f>
        <v>0.18768959999999998</v>
      </c>
      <c r="W99" s="37">
        <f>+'22'!K18/1000</f>
        <v>3.2829999999999999</v>
      </c>
      <c r="X99" s="394"/>
      <c r="Y99" s="213"/>
      <c r="Z99" s="37"/>
      <c r="AA99" s="37"/>
      <c r="AB99" s="37"/>
      <c r="AC99" s="37">
        <f t="shared" si="6"/>
        <v>0</v>
      </c>
      <c r="AD99" s="37">
        <f>+AM99+BA99</f>
        <v>24</v>
      </c>
      <c r="AE99" s="230" t="s">
        <v>527</v>
      </c>
      <c r="AF99" s="33"/>
      <c r="AG99" s="33"/>
      <c r="AH99" s="33">
        <v>24</v>
      </c>
      <c r="AJ99" s="37"/>
      <c r="AK99" s="37"/>
      <c r="AL99" s="37"/>
      <c r="AM99" s="37">
        <f>SUM(AF99:AL99)+AT99+AV99+AX99</f>
        <v>24</v>
      </c>
      <c r="AN99" s="37"/>
      <c r="AO99" s="37"/>
      <c r="AP99" s="37"/>
      <c r="AQ99" s="37"/>
      <c r="AR99" s="37">
        <f>SUM(AN99:AQ99)</f>
        <v>0</v>
      </c>
      <c r="AS99" s="37"/>
      <c r="AT99" s="37"/>
      <c r="AU99" s="37"/>
      <c r="AV99" s="37"/>
      <c r="AW99" s="37"/>
      <c r="AX99" s="37"/>
      <c r="AY99" s="37"/>
      <c r="AZ99" s="37"/>
      <c r="BA99" s="37">
        <f>+AR99+AS99+AU99+AW99+AY99+AZ99</f>
        <v>0</v>
      </c>
      <c r="BB99" s="33"/>
      <c r="BC99" s="53"/>
      <c r="BD99" s="53"/>
      <c r="BE99" s="33"/>
      <c r="BF99" s="53"/>
    </row>
    <row r="100" spans="1:58" ht="12.95" customHeight="1">
      <c r="A100" s="40"/>
      <c r="B100" s="41"/>
      <c r="C100" s="428"/>
      <c r="D100" s="41"/>
      <c r="E100" s="42"/>
      <c r="F100" s="42"/>
      <c r="G100" s="472"/>
      <c r="H100" s="542"/>
      <c r="I100" s="45"/>
      <c r="J100" s="86"/>
      <c r="K100" s="86"/>
      <c r="L100" s="35"/>
      <c r="M100" s="35"/>
      <c r="N100" s="46"/>
      <c r="O100" s="47"/>
      <c r="P100" s="48"/>
      <c r="Q100" s="47"/>
      <c r="R100" s="397"/>
      <c r="S100" s="397"/>
      <c r="T100" s="37"/>
      <c r="U100" s="37"/>
      <c r="V100" s="37"/>
      <c r="W100" s="37"/>
      <c r="X100" s="394"/>
      <c r="Y100" s="213"/>
      <c r="Z100" s="37"/>
      <c r="AA100" s="49"/>
      <c r="AB100" s="49"/>
      <c r="AC100" s="37"/>
      <c r="AD100" s="37"/>
      <c r="AE100" s="230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3"/>
      <c r="BC100" s="51"/>
      <c r="BD100" s="51"/>
      <c r="BE100" s="51"/>
      <c r="BF100" s="51"/>
    </row>
    <row r="101" spans="1:58" ht="12.95" customHeight="1">
      <c r="A101" s="40">
        <v>45953</v>
      </c>
      <c r="B101" s="41" t="s">
        <v>416</v>
      </c>
      <c r="C101" s="428">
        <f t="shared" ref="C101:C102" si="10">(M101*E101*O101*Q101)/100000000</f>
        <v>4.2609369600000004</v>
      </c>
      <c r="D101" s="41" t="s">
        <v>297</v>
      </c>
      <c r="E101" s="42">
        <v>18</v>
      </c>
      <c r="F101" s="42">
        <v>1</v>
      </c>
      <c r="G101" s="472">
        <v>980</v>
      </c>
      <c r="H101" s="489">
        <f t="shared" ref="H101:H102" si="11">+N101</f>
        <v>0.24</v>
      </c>
      <c r="I101" s="45">
        <v>0.88</v>
      </c>
      <c r="J101" s="86">
        <f t="shared" ref="J101" si="12">E101*G101*(1-H101)*1440/1000000*2.87</f>
        <v>55.405969920000004</v>
      </c>
      <c r="K101" s="86">
        <f t="shared" ref="K101" si="13">(IF(G101&lt;L101,L101,G101)*(1-IF(H101&lt;N101,H101,N101))*E101*O101*Q101)/100000000</f>
        <v>4.2609369600000004</v>
      </c>
      <c r="L101" s="35">
        <v>1030</v>
      </c>
      <c r="M101" s="35">
        <f>+L101-L101*0.24</f>
        <v>782.8</v>
      </c>
      <c r="N101" s="46">
        <f t="shared" ref="N101:N102" si="14">1-(M101/L101)</f>
        <v>0.24</v>
      </c>
      <c r="O101" s="47">
        <f>+'Trim Rwd'!H87</f>
        <v>280</v>
      </c>
      <c r="P101" s="48">
        <f t="shared" ref="P101:P102" si="15">O101*(Q101-R101-S101)</f>
        <v>28840</v>
      </c>
      <c r="Q101" s="47">
        <f>280-172</f>
        <v>108</v>
      </c>
      <c r="R101" s="397">
        <v>0</v>
      </c>
      <c r="S101" s="397">
        <f>5+172-172</f>
        <v>5</v>
      </c>
      <c r="T101" s="37">
        <f t="shared" ref="T101:T102" si="16">E101*M101*O101*Q101/100000000</f>
        <v>4.2609369600000004</v>
      </c>
      <c r="U101" s="37">
        <f t="shared" ref="U101:U102" si="17">E101*M101*O101*(Q101-R101-S101)/100000000</f>
        <v>4.0636713599999998</v>
      </c>
      <c r="V101" s="37">
        <f t="shared" ref="V101" si="18">E101*G101*(1-N101)*O101/100*(R101+S101)/1000000</f>
        <v>0.18768959999999998</v>
      </c>
      <c r="W101" s="37">
        <f>+'23'!K18/1000</f>
        <v>26.914000000000001</v>
      </c>
      <c r="X101" s="394">
        <f>SUM(W101:W104)/SUM(K101:K104)</f>
        <v>0.76272745024648581</v>
      </c>
      <c r="Y101" s="37">
        <v>0</v>
      </c>
      <c r="Z101" s="37">
        <f>+('23'!D7+'23'!D16+'23'!D25)/1000</f>
        <v>3.8759999999999999</v>
      </c>
      <c r="AA101" s="49">
        <f>SUM(U101:U104)-SUM(W101:W104)-SUM(Z101:Z104)-SUM(Y101:Y104)</f>
        <v>5.4067705600000018</v>
      </c>
      <c r="AB101" s="49">
        <f>(SUM(K101:K104)-SUM(W101:W104)-SUM(Y101:Y104)-SUM(Z101:Z104)-SUM(AC101:AC104)-SUM(V101:V104))-AA101</f>
        <v>6.8436479999993693E-2</v>
      </c>
      <c r="AC101" s="37">
        <f>K101-T101</f>
        <v>0</v>
      </c>
      <c r="AD101" s="37">
        <f>+AM101+BA101</f>
        <v>5</v>
      </c>
      <c r="AE101" s="230" t="s">
        <v>522</v>
      </c>
      <c r="AF101" s="37">
        <v>5</v>
      </c>
      <c r="AG101" s="37"/>
      <c r="AH101" s="37"/>
      <c r="AI101" s="474"/>
      <c r="AJ101" s="37"/>
      <c r="AK101" s="37"/>
      <c r="AL101" s="37"/>
      <c r="AM101" s="37">
        <f>SUM(AF101:AL101)+AT101+AV101+AX101</f>
        <v>5</v>
      </c>
      <c r="AN101" s="37"/>
      <c r="AO101" s="37"/>
      <c r="AP101" s="37"/>
      <c r="AQ101" s="37"/>
      <c r="AR101" s="37">
        <f>SUM(AN101:AQ101)</f>
        <v>0</v>
      </c>
      <c r="AS101" s="37"/>
      <c r="AT101" s="37"/>
      <c r="AU101" s="37"/>
      <c r="AV101" s="37"/>
      <c r="AW101" s="37"/>
      <c r="AX101" s="37"/>
      <c r="AY101" s="37"/>
      <c r="AZ101" s="37"/>
      <c r="BA101" s="37">
        <f>+AR101+AS101+AU101+AW101+AY101+AZ101</f>
        <v>0</v>
      </c>
      <c r="BB101" s="33">
        <v>1</v>
      </c>
      <c r="BC101" s="51"/>
      <c r="BD101" s="51"/>
      <c r="BE101" s="33"/>
      <c r="BF101" s="51"/>
    </row>
    <row r="102" spans="1:58" ht="12.95" customHeight="1">
      <c r="A102" s="40"/>
      <c r="B102" s="41" t="s">
        <v>416</v>
      </c>
      <c r="C102" s="428">
        <f t="shared" si="10"/>
        <v>29.683471999999998</v>
      </c>
      <c r="D102" s="41" t="s">
        <v>297</v>
      </c>
      <c r="E102" s="42">
        <v>14.5</v>
      </c>
      <c r="F102" s="42">
        <v>1</v>
      </c>
      <c r="G102" s="472">
        <v>1220</v>
      </c>
      <c r="H102" s="489">
        <f t="shared" si="11"/>
        <v>0.24</v>
      </c>
      <c r="I102" s="45">
        <v>0.88</v>
      </c>
      <c r="J102" s="86">
        <f>E102*G102*(1-H102)*1440/1000000*2.87</f>
        <v>55.563016320000003</v>
      </c>
      <c r="K102" s="86">
        <f>(IF(G102&lt;L102,L102,G102)*(1-IF(H102&lt;N102,H102,N102))*E102*O102*Q102)/100000000</f>
        <v>29.683471999999998</v>
      </c>
      <c r="L102" s="35">
        <v>1300</v>
      </c>
      <c r="M102" s="35">
        <f>+L102-L102*0.24</f>
        <v>988</v>
      </c>
      <c r="N102" s="46">
        <f t="shared" si="14"/>
        <v>0.24</v>
      </c>
      <c r="O102" s="47">
        <f>+'Trim Rwd'!H89</f>
        <v>280</v>
      </c>
      <c r="P102" s="48">
        <f t="shared" si="15"/>
        <v>199920</v>
      </c>
      <c r="Q102" s="47">
        <v>740</v>
      </c>
      <c r="R102" s="397">
        <v>0</v>
      </c>
      <c r="S102" s="397">
        <v>26</v>
      </c>
      <c r="T102" s="37">
        <f t="shared" si="16"/>
        <v>29.683471999999998</v>
      </c>
      <c r="U102" s="37">
        <f t="shared" si="17"/>
        <v>28.640539199999999</v>
      </c>
      <c r="V102" s="37">
        <f>E102*G102*(1-N102)*O102/100*(R102+S102)/1000000</f>
        <v>0.9787523199999999</v>
      </c>
      <c r="W102" s="37">
        <f>+'23'!K17/1000</f>
        <v>6.2919999999999998</v>
      </c>
      <c r="X102" s="394"/>
      <c r="Y102" s="213"/>
      <c r="Z102" s="213">
        <f>+'23'!D26/1000</f>
        <v>0.54</v>
      </c>
      <c r="AA102" s="37"/>
      <c r="AB102" s="37"/>
      <c r="AC102" s="37">
        <f t="shared" ref="AC102:AC103" si="19">K102-T102</f>
        <v>0</v>
      </c>
      <c r="AD102" s="37">
        <f>+AM102+BA102</f>
        <v>4</v>
      </c>
      <c r="AE102" s="230" t="s">
        <v>599</v>
      </c>
      <c r="AF102" s="37"/>
      <c r="AG102" s="37">
        <v>4</v>
      </c>
      <c r="AH102" s="37"/>
      <c r="AI102" s="474"/>
      <c r="AJ102" s="37"/>
      <c r="AK102" s="37"/>
      <c r="AL102" s="37"/>
      <c r="AM102" s="37">
        <f>SUM(AF102:AL102)+AT102+AV102+AX102</f>
        <v>4</v>
      </c>
      <c r="AN102" s="87"/>
      <c r="AO102" s="37"/>
      <c r="AP102" s="37"/>
      <c r="AQ102" s="37"/>
      <c r="AR102" s="37">
        <f>SUM(AN102:AQ102)</f>
        <v>0</v>
      </c>
      <c r="AS102" s="37"/>
      <c r="AT102" s="37"/>
      <c r="AU102" s="37"/>
      <c r="AV102" s="37"/>
      <c r="AW102" s="37"/>
      <c r="AX102" s="37"/>
      <c r="AY102" s="37"/>
      <c r="AZ102" s="37"/>
      <c r="BA102" s="37">
        <f>+AR102+AS102+AU102+AW102+AY102+AZ102</f>
        <v>0</v>
      </c>
      <c r="BB102" s="50"/>
      <c r="BC102" s="51">
        <v>2</v>
      </c>
      <c r="BD102" s="51"/>
      <c r="BE102" s="50"/>
      <c r="BF102" s="51"/>
    </row>
    <row r="103" spans="1:58" ht="12.95" customHeight="1">
      <c r="A103" s="40"/>
      <c r="B103" s="41" t="s">
        <v>416</v>
      </c>
      <c r="C103" s="428">
        <f>(M103*E103*O103*Q103)/100000000</f>
        <v>15.0822</v>
      </c>
      <c r="D103" s="41" t="s">
        <v>297</v>
      </c>
      <c r="E103" s="42">
        <v>12.5</v>
      </c>
      <c r="F103" s="42">
        <v>1</v>
      </c>
      <c r="G103" s="604">
        <v>1400</v>
      </c>
      <c r="H103" s="489">
        <f>+N103</f>
        <v>0.24</v>
      </c>
      <c r="I103" s="45">
        <v>0.88</v>
      </c>
      <c r="J103" s="86">
        <f>E103*G103*(1-H103)*1440/1000000*2.87</f>
        <v>54.966240000000006</v>
      </c>
      <c r="K103" s="86">
        <f>(IF(G103&lt;L103,L103,G103)*(1-IF(H103&lt;N103,H103,N103))*E103*O103*Q103)/100000000</f>
        <v>15.6408</v>
      </c>
      <c r="L103" s="35">
        <v>1350</v>
      </c>
      <c r="M103" s="35">
        <f>+L103-L103*0.24</f>
        <v>1026</v>
      </c>
      <c r="N103" s="46">
        <f>1-(M103/L103)</f>
        <v>0.24</v>
      </c>
      <c r="O103" s="47">
        <f>+'Trim Rwd'!H90</f>
        <v>280</v>
      </c>
      <c r="P103" s="48">
        <f>O103*(Q103-R103-S103)</f>
        <v>116480</v>
      </c>
      <c r="Q103" s="47">
        <v>420</v>
      </c>
      <c r="R103" s="397">
        <v>0</v>
      </c>
      <c r="S103" s="397">
        <v>4</v>
      </c>
      <c r="T103" s="37">
        <f>E103*M103*O103*Q103/100000000</f>
        <v>15.0822</v>
      </c>
      <c r="U103" s="37">
        <f>E103*M103*O103*(Q103-R103-S103)/100000000</f>
        <v>14.938560000000001</v>
      </c>
      <c r="V103" s="37">
        <f>E103*G103*(1-N103)*O103/100*(R103+S103)/1000000</f>
        <v>0.14896000000000001</v>
      </c>
      <c r="W103" s="37">
        <f>+'23'!K13/1000</f>
        <v>4.6139999999999999</v>
      </c>
      <c r="X103" s="394"/>
      <c r="Y103" s="213"/>
      <c r="Z103" s="37"/>
      <c r="AA103" s="37"/>
      <c r="AB103" s="37"/>
      <c r="AC103" s="37">
        <f t="shared" si="19"/>
        <v>0.55860000000000021</v>
      </c>
      <c r="AD103" s="37">
        <f>+AM103+BA103</f>
        <v>26</v>
      </c>
      <c r="AE103" s="230" t="s">
        <v>570</v>
      </c>
      <c r="AF103" s="33"/>
      <c r="AG103" s="33"/>
      <c r="AH103" s="33">
        <v>26</v>
      </c>
      <c r="AJ103" s="37"/>
      <c r="AK103" s="37"/>
      <c r="AL103" s="37"/>
      <c r="AM103" s="37">
        <f>SUM(AF103:AL103)+AT103+AV103+AX103</f>
        <v>26</v>
      </c>
      <c r="AN103" s="37"/>
      <c r="AO103" s="37"/>
      <c r="AP103" s="37"/>
      <c r="AQ103" s="37"/>
      <c r="AR103" s="37">
        <f>SUM(AN103:AQ103)</f>
        <v>0</v>
      </c>
      <c r="AS103" s="37"/>
      <c r="AT103" s="37"/>
      <c r="AU103" s="37"/>
      <c r="AV103" s="37"/>
      <c r="AW103" s="37"/>
      <c r="AX103" s="37"/>
      <c r="AY103" s="37"/>
      <c r="AZ103" s="37"/>
      <c r="BA103" s="37">
        <f>+AR103+AS103+AU103+AW103+AY103+AZ103</f>
        <v>0</v>
      </c>
      <c r="BB103" s="33"/>
      <c r="BC103" s="53"/>
      <c r="BD103" s="53"/>
      <c r="BE103" s="33"/>
      <c r="BF103" s="53"/>
    </row>
    <row r="104" spans="1:58" ht="12.95" customHeight="1">
      <c r="A104" s="40"/>
      <c r="B104" s="41"/>
      <c r="C104" s="428"/>
      <c r="D104" s="41"/>
      <c r="E104" s="42"/>
      <c r="F104" s="42"/>
      <c r="G104" s="472"/>
      <c r="H104" s="542"/>
      <c r="I104" s="45"/>
      <c r="J104" s="86"/>
      <c r="K104" s="86"/>
      <c r="L104" s="35"/>
      <c r="M104" s="35"/>
      <c r="N104" s="46"/>
      <c r="O104" s="47"/>
      <c r="P104" s="48"/>
      <c r="Q104" s="47"/>
      <c r="R104" s="397"/>
      <c r="S104" s="397"/>
      <c r="T104" s="37"/>
      <c r="U104" s="37"/>
      <c r="V104" s="37"/>
      <c r="W104" s="37"/>
      <c r="X104" s="394"/>
      <c r="Y104" s="213"/>
      <c r="Z104" s="37"/>
      <c r="AA104" s="49"/>
      <c r="AB104" s="49"/>
      <c r="AC104" s="37"/>
      <c r="AD104" s="37">
        <f>+AM104+BA104</f>
        <v>0</v>
      </c>
      <c r="AE104" s="233" t="s">
        <v>840</v>
      </c>
      <c r="AF104" s="37"/>
      <c r="AG104" s="37"/>
      <c r="AH104" s="37"/>
      <c r="AI104" s="37"/>
      <c r="AJ104" s="37"/>
      <c r="AK104" s="37"/>
      <c r="AL104" s="37"/>
      <c r="AM104" s="37">
        <f>SUM(AF104:AL104)+AT104+AV104+AX104</f>
        <v>0</v>
      </c>
      <c r="AN104" s="37"/>
      <c r="AO104" s="37"/>
      <c r="AP104" s="37"/>
      <c r="AQ104" s="37"/>
      <c r="AR104" s="37">
        <f>SUM(AN104:AQ104)</f>
        <v>0</v>
      </c>
      <c r="AS104" s="37"/>
      <c r="AT104" s="37"/>
      <c r="AU104" s="37"/>
      <c r="AV104" s="37">
        <f>172-172</f>
        <v>0</v>
      </c>
      <c r="AW104" s="37"/>
      <c r="AX104" s="37"/>
      <c r="AY104" s="37"/>
      <c r="AZ104" s="37"/>
      <c r="BA104" s="37">
        <f>+AR104+AS104+AU104+AW104+AY104+AZ104</f>
        <v>0</v>
      </c>
      <c r="BB104" s="33"/>
      <c r="BC104" s="53"/>
      <c r="BD104" s="53"/>
      <c r="BE104" s="33"/>
      <c r="BF104" s="53"/>
    </row>
    <row r="105" spans="1:58" ht="12.95" customHeight="1">
      <c r="A105" s="40"/>
      <c r="B105" s="41"/>
      <c r="C105" s="428"/>
      <c r="D105" s="41"/>
      <c r="E105" s="42"/>
      <c r="F105" s="42"/>
      <c r="G105" s="472"/>
      <c r="H105" s="542"/>
      <c r="I105" s="45"/>
      <c r="J105" s="86"/>
      <c r="K105" s="86"/>
      <c r="L105" s="35"/>
      <c r="M105" s="35"/>
      <c r="N105" s="46"/>
      <c r="O105" s="47"/>
      <c r="P105" s="48"/>
      <c r="Q105" s="47"/>
      <c r="R105" s="397"/>
      <c r="S105" s="397"/>
      <c r="T105" s="37"/>
      <c r="U105" s="37"/>
      <c r="V105" s="37"/>
      <c r="W105" s="37"/>
      <c r="X105" s="394"/>
      <c r="Y105" s="213"/>
      <c r="Z105" s="37"/>
      <c r="AA105" s="49"/>
      <c r="AB105" s="49"/>
      <c r="AC105" s="37"/>
      <c r="AD105" s="37"/>
      <c r="AE105" s="230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3"/>
      <c r="BC105" s="51"/>
      <c r="BD105" s="51"/>
      <c r="BE105" s="51"/>
      <c r="BF105" s="51"/>
    </row>
    <row r="106" spans="1:58" ht="12.95" customHeight="1">
      <c r="A106" s="40">
        <v>45954</v>
      </c>
      <c r="B106" s="41" t="s">
        <v>416</v>
      </c>
      <c r="C106" s="428">
        <f>(M106*E106*O106*Q106)/100000000</f>
        <v>32.874389999999998</v>
      </c>
      <c r="D106" s="41" t="s">
        <v>297</v>
      </c>
      <c r="E106" s="42">
        <v>12.5</v>
      </c>
      <c r="F106" s="42">
        <v>1</v>
      </c>
      <c r="G106" s="604">
        <v>1400</v>
      </c>
      <c r="H106" s="489">
        <f>+N106</f>
        <v>0.23694171082513249</v>
      </c>
      <c r="I106" s="45">
        <v>0.88</v>
      </c>
      <c r="J106" s="86">
        <f>E106*G106*(1-H106)*1440/1000000*2.87</f>
        <v>55.187427706283124</v>
      </c>
      <c r="K106" s="86">
        <f>(IF(G106&lt;L106,L106,G106)*(1-IF(H106&lt;N106,H106,N106))*E106*O106*Q106)/100000000</f>
        <v>34.840383043149124</v>
      </c>
      <c r="L106" s="35">
        <v>1321</v>
      </c>
      <c r="M106" s="35">
        <v>1008</v>
      </c>
      <c r="N106" s="46">
        <f>1-(M106/L106)</f>
        <v>0.23694171082513249</v>
      </c>
      <c r="O106" s="47">
        <f>+'Trim Rwd'!H92</f>
        <v>277.85714285714283</v>
      </c>
      <c r="P106" s="48">
        <f>O106*(Q106-R106-S106)</f>
        <v>255350.71428571426</v>
      </c>
      <c r="Q106" s="47">
        <v>939</v>
      </c>
      <c r="R106" s="397">
        <v>0</v>
      </c>
      <c r="S106" s="397">
        <v>20</v>
      </c>
      <c r="T106" s="37">
        <f>E106*M106*O106*Q106/100000000</f>
        <v>32.874389999999998</v>
      </c>
      <c r="U106" s="37">
        <f>E106*M106*O106*(Q106-R106-S106)/100000000</f>
        <v>32.174189999999996</v>
      </c>
      <c r="V106" s="37">
        <f>E106*G106*(1-N106)*O106/100*(R106+S106)/1000000</f>
        <v>0.74207418622255861</v>
      </c>
      <c r="W106" s="37">
        <f>+'24'!K13/1000</f>
        <v>25.765999999999998</v>
      </c>
      <c r="X106" s="394">
        <f>SUM(W106:W109)/SUM(K106:K109)</f>
        <v>0.77639116918864315</v>
      </c>
      <c r="Y106" s="37">
        <v>0</v>
      </c>
      <c r="Z106" s="37">
        <f>+'24'!D16/1000</f>
        <v>0.49</v>
      </c>
      <c r="AA106" s="49">
        <f>SUM(U106:U109)-SUM(W106:W109)-SUM(Z106:Z109)-SUM(Y106:Y109)</f>
        <v>7.305375599999997</v>
      </c>
      <c r="AB106" s="49">
        <f>(SUM(K106:K109)-SUM(W106:W109)-SUM(Y106:Y109)-SUM(Z106:Z109)-SUM(AC106:AC109)-SUM(V106:V109))-AA106</f>
        <v>8.1360969235158009E-3</v>
      </c>
      <c r="AC106" s="37">
        <f>K106-T106</f>
        <v>1.9659930431491262</v>
      </c>
      <c r="AD106" s="37">
        <f>+AM106+BA106</f>
        <v>0</v>
      </c>
      <c r="AE106" s="230" t="s">
        <v>404</v>
      </c>
      <c r="AF106" s="37">
        <v>0</v>
      </c>
      <c r="AG106" s="37"/>
      <c r="AH106" s="37"/>
      <c r="AI106" s="474"/>
      <c r="AJ106" s="37"/>
      <c r="AK106" s="37"/>
      <c r="AL106" s="37"/>
      <c r="AM106" s="37">
        <f>SUM(AF106:AL106)+AT106+AV106+AX106</f>
        <v>0</v>
      </c>
      <c r="AN106" s="37"/>
      <c r="AO106" s="37"/>
      <c r="AP106" s="37"/>
      <c r="AQ106" s="37"/>
      <c r="AR106" s="37">
        <f>SUM(AN106:AQ106)</f>
        <v>0</v>
      </c>
      <c r="AS106" s="37"/>
      <c r="AT106" s="37"/>
      <c r="AU106" s="37"/>
      <c r="AV106" s="37"/>
      <c r="AW106" s="37"/>
      <c r="AX106" s="37"/>
      <c r="AY106" s="37"/>
      <c r="AZ106" s="37"/>
      <c r="BA106" s="37">
        <f>+AR106+AS106+AU106+AW106+AY106+AZ106</f>
        <v>0</v>
      </c>
      <c r="BB106" s="33">
        <v>0</v>
      </c>
      <c r="BC106" s="51"/>
      <c r="BD106" s="51"/>
      <c r="BE106" s="33"/>
      <c r="BF106" s="51"/>
    </row>
    <row r="107" spans="1:58" ht="12.95" customHeight="1">
      <c r="A107" s="40"/>
      <c r="B107" s="41" t="s">
        <v>416</v>
      </c>
      <c r="C107" s="428">
        <f t="shared" ref="C107:C108" si="20">(M107*E107*O107*Q107)/100000000</f>
        <v>3.217536</v>
      </c>
      <c r="D107" s="41" t="s">
        <v>297</v>
      </c>
      <c r="E107" s="42">
        <v>18</v>
      </c>
      <c r="F107" s="42">
        <v>1</v>
      </c>
      <c r="G107" s="472">
        <v>930</v>
      </c>
      <c r="H107" s="489">
        <f t="shared" ref="H107:H108" si="21">+N107</f>
        <v>0.19999999999999996</v>
      </c>
      <c r="I107" s="45">
        <v>0.88</v>
      </c>
      <c r="J107" s="86">
        <f t="shared" ref="J107" si="22">E107*G107*(1-H107)*1440/1000000*2.87</f>
        <v>55.346457600000001</v>
      </c>
      <c r="K107" s="86">
        <f t="shared" ref="K107" si="23">(IF(G107&lt;L107,L107,G107)*(1-IF(H107&lt;N107,H107,N107))*E107*O107*Q107)/100000000</f>
        <v>3.217536</v>
      </c>
      <c r="L107" s="35">
        <v>1050</v>
      </c>
      <c r="M107" s="35">
        <v>840</v>
      </c>
      <c r="N107" s="46">
        <f t="shared" ref="N107:N108" si="24">1-(M107/L107)</f>
        <v>0.19999999999999996</v>
      </c>
      <c r="O107" s="47">
        <f>+'Trim Rwd'!H94</f>
        <v>280</v>
      </c>
      <c r="P107" s="48">
        <f t="shared" ref="P107:P108" si="25">O107*(Q107-R107-S107)</f>
        <v>20720</v>
      </c>
      <c r="Q107" s="47">
        <v>76</v>
      </c>
      <c r="R107" s="397">
        <v>0</v>
      </c>
      <c r="S107" s="397">
        <v>2</v>
      </c>
      <c r="T107" s="37">
        <f t="shared" ref="T107:T108" si="26">E107*M107*O107*Q107/100000000</f>
        <v>3.217536</v>
      </c>
      <c r="U107" s="37">
        <f t="shared" ref="U107:U108" si="27">E107*M107*O107*(Q107-R107-S107)/100000000</f>
        <v>3.1328640000000001</v>
      </c>
      <c r="V107" s="37">
        <f t="shared" ref="V107" si="28">E107*G107*(1-N107)*O107/100*(R107+S107)/1000000</f>
        <v>7.4995199999999998E-2</v>
      </c>
      <c r="W107" s="37">
        <f>+'24'!K18/1000</f>
        <v>3.2050000000000001</v>
      </c>
      <c r="X107" s="394"/>
      <c r="Y107" s="213"/>
      <c r="Z107" s="37">
        <v>0</v>
      </c>
      <c r="AA107" s="37"/>
      <c r="AB107" s="37"/>
      <c r="AC107" s="37">
        <f t="shared" ref="AC107:AC109" si="29">K107-T107</f>
        <v>0</v>
      </c>
      <c r="AD107" s="37">
        <f>+AM107+BA107</f>
        <v>2</v>
      </c>
      <c r="AE107" s="230" t="s">
        <v>513</v>
      </c>
      <c r="AF107" s="37"/>
      <c r="AG107" s="37">
        <v>2</v>
      </c>
      <c r="AH107" s="37"/>
      <c r="AI107" s="474"/>
      <c r="AJ107" s="37"/>
      <c r="AK107" s="37"/>
      <c r="AL107" s="37"/>
      <c r="AM107" s="37">
        <f>SUM(AF107:AL107)+AT107+AV107+AX107</f>
        <v>2</v>
      </c>
      <c r="AN107" s="87"/>
      <c r="AO107" s="37"/>
      <c r="AP107" s="37"/>
      <c r="AQ107" s="37"/>
      <c r="AR107" s="37">
        <f>SUM(AN107:AQ107)</f>
        <v>0</v>
      </c>
      <c r="AS107" s="37"/>
      <c r="AT107" s="37"/>
      <c r="AU107" s="37"/>
      <c r="AV107" s="37"/>
      <c r="AW107" s="37"/>
      <c r="AX107" s="37"/>
      <c r="AY107" s="37"/>
      <c r="AZ107" s="37"/>
      <c r="BA107" s="37">
        <f>+AR107+AS107+AU107+AW107+AY107+AZ107</f>
        <v>0</v>
      </c>
      <c r="BB107" s="50"/>
      <c r="BC107" s="51">
        <v>1</v>
      </c>
      <c r="BD107" s="51"/>
      <c r="BE107" s="50"/>
      <c r="BF107" s="51"/>
    </row>
    <row r="108" spans="1:58" ht="12.95" customHeight="1">
      <c r="A108" s="40"/>
      <c r="B108" s="41" t="s">
        <v>416</v>
      </c>
      <c r="C108" s="428">
        <f t="shared" si="20"/>
        <v>3.335696</v>
      </c>
      <c r="D108" s="41" t="s">
        <v>297</v>
      </c>
      <c r="E108" s="42">
        <v>14.5</v>
      </c>
      <c r="F108" s="42">
        <v>1</v>
      </c>
      <c r="G108" s="472">
        <v>1150</v>
      </c>
      <c r="H108" s="489">
        <f t="shared" si="21"/>
        <v>0.19999999999999996</v>
      </c>
      <c r="I108" s="45">
        <v>0.88</v>
      </c>
      <c r="J108" s="86">
        <f>E108*G108*(1-H108)*1440/1000000*2.87</f>
        <v>55.131551999999999</v>
      </c>
      <c r="K108" s="86">
        <f>(IF(G108&lt;L108,L108,G108)*(1-IF(H108&lt;N108,H108,N108))*E108*O108*Q108)/100000000</f>
        <v>3.335696</v>
      </c>
      <c r="L108" s="35">
        <v>1300</v>
      </c>
      <c r="M108" s="35">
        <v>1040</v>
      </c>
      <c r="N108" s="46">
        <f t="shared" si="24"/>
        <v>0.19999999999999996</v>
      </c>
      <c r="O108" s="47">
        <f>+'Trim Rwd'!H95</f>
        <v>280</v>
      </c>
      <c r="P108" s="48">
        <f t="shared" si="25"/>
        <v>21560</v>
      </c>
      <c r="Q108" s="47">
        <v>79</v>
      </c>
      <c r="R108" s="397">
        <v>0</v>
      </c>
      <c r="S108" s="397">
        <v>2</v>
      </c>
      <c r="T108" s="37">
        <f t="shared" si="26"/>
        <v>3.335696</v>
      </c>
      <c r="U108" s="37">
        <f t="shared" si="27"/>
        <v>3.2512479999999999</v>
      </c>
      <c r="V108" s="37">
        <f>E108*G108*(1-N108)*O108/100*(R108+S108)/1000000</f>
        <v>7.4704000000000007E-2</v>
      </c>
      <c r="W108" s="37">
        <f>+'24'!K17/1000</f>
        <v>3.6309999999999998</v>
      </c>
      <c r="X108" s="394"/>
      <c r="Y108" s="213"/>
      <c r="Z108" s="37">
        <v>0</v>
      </c>
      <c r="AA108" s="37"/>
      <c r="AB108" s="37"/>
      <c r="AC108" s="37">
        <f t="shared" si="29"/>
        <v>0</v>
      </c>
      <c r="AD108" s="37">
        <f>+AM108+BA108</f>
        <v>32</v>
      </c>
      <c r="AE108" s="230" t="s">
        <v>525</v>
      </c>
      <c r="AF108" s="33"/>
      <c r="AG108" s="33"/>
      <c r="AH108" s="33">
        <v>32</v>
      </c>
      <c r="AJ108" s="37"/>
      <c r="AK108" s="37"/>
      <c r="AL108" s="37"/>
      <c r="AM108" s="37">
        <f>SUM(AF108:AL108)+AT108+AV108+AX108</f>
        <v>32</v>
      </c>
      <c r="AN108" s="37"/>
      <c r="AO108" s="37"/>
      <c r="AP108" s="37"/>
      <c r="AQ108" s="37"/>
      <c r="AR108" s="37">
        <f>SUM(AN108:AQ108)</f>
        <v>0</v>
      </c>
      <c r="AS108" s="37"/>
      <c r="AT108" s="37"/>
      <c r="AU108" s="37"/>
      <c r="AV108" s="37"/>
      <c r="AW108" s="37"/>
      <c r="AX108" s="37"/>
      <c r="AY108" s="37"/>
      <c r="AZ108" s="37"/>
      <c r="BA108" s="37">
        <f>+AR108+AS108+AU108+AW108+AY108+AZ108</f>
        <v>0</v>
      </c>
      <c r="BB108" s="33"/>
      <c r="BC108" s="53"/>
      <c r="BD108" s="53"/>
      <c r="BE108" s="33"/>
      <c r="BF108" s="53"/>
    </row>
    <row r="109" spans="1:58" ht="12.95" customHeight="1">
      <c r="A109" s="40"/>
      <c r="B109" s="41" t="s">
        <v>416</v>
      </c>
      <c r="C109" s="428">
        <f>(M109*E109*O109*Q109)/100000000</f>
        <v>13.737099600000001</v>
      </c>
      <c r="D109" s="41" t="s">
        <v>297</v>
      </c>
      <c r="E109" s="42">
        <v>15</v>
      </c>
      <c r="F109" s="42">
        <v>1</v>
      </c>
      <c r="G109" s="472">
        <v>1150</v>
      </c>
      <c r="H109" s="489">
        <f>+N109</f>
        <v>0.2247191011235955</v>
      </c>
      <c r="I109" s="45">
        <v>0.88</v>
      </c>
      <c r="J109" s="86">
        <f>E109*G109*(1-H109)*1440/1000000*2.87</f>
        <v>55.270395505617984</v>
      </c>
      <c r="K109" s="86">
        <f>(IF(G109&lt;L109,L109,G109)*(1-IF(H109&lt;N109,H109,N109))*E109*O109*Q109)/100000000</f>
        <v>13.737099600000001</v>
      </c>
      <c r="L109" s="35">
        <v>1246</v>
      </c>
      <c r="M109" s="35">
        <v>966</v>
      </c>
      <c r="N109" s="46">
        <f>1-(M109/L109)</f>
        <v>0.2247191011235955</v>
      </c>
      <c r="O109" s="47">
        <f>+'Trim Rwd'!H96</f>
        <v>274</v>
      </c>
      <c r="P109" s="48">
        <f>O109*(Q109-R109-S109)</f>
        <v>92064</v>
      </c>
      <c r="Q109" s="47">
        <v>346</v>
      </c>
      <c r="R109" s="397">
        <v>0</v>
      </c>
      <c r="S109" s="397">
        <v>10</v>
      </c>
      <c r="T109" s="37">
        <f>E109*M109*O109*Q109/100000000</f>
        <v>13.737099600000001</v>
      </c>
      <c r="U109" s="37">
        <f>E109*M109*O109*(Q109-R109-S109)/100000000</f>
        <v>13.3400736</v>
      </c>
      <c r="V109" s="37">
        <f>E109*G109*(1-N109)*O109/100*(R109+S109)/1000000</f>
        <v>0.36643651685393253</v>
      </c>
      <c r="W109" s="37">
        <f>+'24'!K15/1000</f>
        <v>10.201000000000001</v>
      </c>
      <c r="X109" s="394"/>
      <c r="Y109" s="213"/>
      <c r="Z109" s="37">
        <f>+('24'!D19+'24'!D26)/1000</f>
        <v>1.3</v>
      </c>
      <c r="AA109" s="49"/>
      <c r="AB109" s="49"/>
      <c r="AC109" s="37">
        <f t="shared" si="29"/>
        <v>0</v>
      </c>
      <c r="AD109" s="37"/>
      <c r="AE109" s="230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3"/>
      <c r="BC109" s="51"/>
      <c r="BD109" s="51"/>
      <c r="BE109" s="51"/>
      <c r="BF109" s="51"/>
    </row>
    <row r="110" spans="1:58" ht="12.95" customHeight="1">
      <c r="A110" s="40"/>
      <c r="B110" s="41"/>
      <c r="C110" s="428"/>
      <c r="D110" s="41"/>
      <c r="E110" s="42"/>
      <c r="F110" s="42"/>
      <c r="G110" s="43"/>
      <c r="H110" s="542"/>
      <c r="I110" s="45"/>
      <c r="J110" s="86"/>
      <c r="K110" s="86"/>
      <c r="L110" s="35"/>
      <c r="M110" s="35"/>
      <c r="N110" s="46"/>
      <c r="O110" s="47"/>
      <c r="P110" s="48"/>
      <c r="Q110" s="47"/>
      <c r="R110" s="397"/>
      <c r="S110" s="397"/>
      <c r="T110" s="37"/>
      <c r="U110" s="37"/>
      <c r="V110" s="37"/>
      <c r="W110" s="37"/>
      <c r="X110" s="394"/>
      <c r="Y110" s="213"/>
      <c r="Z110" s="37"/>
      <c r="AA110" s="49"/>
      <c r="AB110" s="49"/>
      <c r="AC110" s="37"/>
      <c r="AD110" s="37"/>
      <c r="AE110" s="230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3"/>
      <c r="BC110" s="51"/>
      <c r="BD110" s="51"/>
      <c r="BE110" s="51"/>
      <c r="BF110" s="51"/>
    </row>
    <row r="111" spans="1:58" ht="12.95" customHeight="1">
      <c r="A111" s="40">
        <v>45955</v>
      </c>
      <c r="B111" s="41" t="s">
        <v>416</v>
      </c>
      <c r="C111" s="428">
        <f>(M111*E111*O111*Q111)/100000000</f>
        <v>51.793392000000011</v>
      </c>
      <c r="D111" s="41" t="s">
        <v>297</v>
      </c>
      <c r="E111" s="42">
        <v>12.5</v>
      </c>
      <c r="F111" s="42">
        <v>1</v>
      </c>
      <c r="G111" s="604">
        <v>1400</v>
      </c>
      <c r="H111" s="489">
        <f>+N111</f>
        <v>0.23999999999999988</v>
      </c>
      <c r="I111" s="45">
        <v>0.88</v>
      </c>
      <c r="J111" s="86">
        <f>E111*G111*(1-H111)*1440/1000000*2.87</f>
        <v>54.966240000000013</v>
      </c>
      <c r="K111" s="86">
        <f>(IF(G111&lt;L111,L111,G111)*(1-IF(H111&lt;N111,H111,N111))*E111*O111*Q111)/100000000</f>
        <v>52.041207272727291</v>
      </c>
      <c r="L111" s="35">
        <v>1393.3333333333333</v>
      </c>
      <c r="M111" s="35">
        <v>1058.9333333333334</v>
      </c>
      <c r="N111" s="46">
        <f>1-(M111/L111)</f>
        <v>0.23999999999999988</v>
      </c>
      <c r="O111" s="47">
        <f>+'Trim Rwd'!H98</f>
        <v>271.72727272727275</v>
      </c>
      <c r="P111" s="48">
        <f>O111*(Q111-R111-S111)</f>
        <v>379331.27272727276</v>
      </c>
      <c r="Q111" s="47">
        <v>1440</v>
      </c>
      <c r="R111" s="397">
        <v>0</v>
      </c>
      <c r="S111" s="397">
        <v>44</v>
      </c>
      <c r="T111" s="37">
        <f>E111*M111*O111*Q111/100000000</f>
        <v>51.793392000000011</v>
      </c>
      <c r="U111" s="37">
        <f>E111*M111*O111*(Q111-R111-S111)/100000000</f>
        <v>50.210816133333338</v>
      </c>
      <c r="V111" s="37">
        <f>E111*G111*(1-N111)*O111/100*(R111+S111)/1000000</f>
        <v>1.5901480000000003</v>
      </c>
      <c r="W111" s="37">
        <f>+'25'!K34/1000</f>
        <v>46.290999999999997</v>
      </c>
      <c r="X111" s="394">
        <f>SUM(W111:W114)/SUM(K111:K114)</f>
        <v>0.88950665109299365</v>
      </c>
      <c r="Y111" s="37">
        <v>0</v>
      </c>
      <c r="Z111" s="37">
        <f>+'25'!D34/1000</f>
        <v>0.6</v>
      </c>
      <c r="AA111" s="49">
        <f>SUM(U111:U114)-SUM(W111:W114)-SUM(Z111:Z114)-SUM(Y111:Y114)</f>
        <v>3.3198161333333416</v>
      </c>
      <c r="AB111" s="49">
        <f>(SUM(K111:K114)-SUM(W111:W114)-SUM(Y111:Y114)-SUM(Z111:Z114)-SUM(AC111:AC114)-SUM(V111:V114))-AA111</f>
        <v>-7.572133333326736E-3</v>
      </c>
      <c r="AC111" s="37">
        <f>K111-T111</f>
        <v>0.24781527272727999</v>
      </c>
      <c r="AD111" s="37">
        <f>+AM111+BA111</f>
        <v>0</v>
      </c>
      <c r="AE111" s="230" t="s">
        <v>404</v>
      </c>
      <c r="AF111" s="37">
        <v>0</v>
      </c>
      <c r="AG111" s="37"/>
      <c r="AH111" s="37"/>
      <c r="AI111" s="474"/>
      <c r="AJ111" s="37"/>
      <c r="AK111" s="37"/>
      <c r="AL111" s="37"/>
      <c r="AM111" s="37">
        <f>SUM(AF111:AL111)+AT111+AV111+AX111</f>
        <v>0</v>
      </c>
      <c r="AN111" s="37"/>
      <c r="AO111" s="37"/>
      <c r="AP111" s="37"/>
      <c r="AQ111" s="37"/>
      <c r="AR111" s="37">
        <f>SUM(AN111:AQ111)</f>
        <v>0</v>
      </c>
      <c r="AS111" s="37"/>
      <c r="AT111" s="37"/>
      <c r="AU111" s="37"/>
      <c r="AV111" s="37"/>
      <c r="AW111" s="37"/>
      <c r="AX111" s="37"/>
      <c r="AY111" s="37"/>
      <c r="AZ111" s="37"/>
      <c r="BA111" s="37">
        <f>+AR111+AS111+AU111+AW111+AY111+AZ111</f>
        <v>0</v>
      </c>
      <c r="BB111" s="33">
        <v>0</v>
      </c>
      <c r="BC111" s="51"/>
      <c r="BD111" s="51"/>
      <c r="BE111" s="33"/>
      <c r="BF111" s="51"/>
    </row>
    <row r="112" spans="1:58" ht="12.95" customHeight="1">
      <c r="A112" s="40"/>
      <c r="B112" s="41"/>
      <c r="C112" s="428"/>
      <c r="D112" s="41"/>
      <c r="E112" s="42"/>
      <c r="F112" s="42"/>
      <c r="G112" s="472"/>
      <c r="H112" s="542"/>
      <c r="I112" s="45"/>
      <c r="J112" s="86"/>
      <c r="K112" s="86"/>
      <c r="L112" s="35"/>
      <c r="M112" s="35"/>
      <c r="N112" s="46"/>
      <c r="O112" s="47"/>
      <c r="P112" s="48"/>
      <c r="Q112" s="47"/>
      <c r="R112" s="397"/>
      <c r="S112" s="397"/>
      <c r="T112" s="37"/>
      <c r="U112" s="37"/>
      <c r="V112" s="37"/>
      <c r="W112" s="37"/>
      <c r="X112" s="394"/>
      <c r="Y112" s="213"/>
      <c r="Z112" s="37"/>
      <c r="AA112" s="37"/>
      <c r="AB112" s="37"/>
      <c r="AC112" s="37"/>
      <c r="AD112" s="37">
        <f>+AM112+BA112</f>
        <v>15</v>
      </c>
      <c r="AE112" s="230" t="s">
        <v>490</v>
      </c>
      <c r="AF112" s="37"/>
      <c r="AG112" s="37">
        <v>15</v>
      </c>
      <c r="AH112" s="37"/>
      <c r="AI112" s="474"/>
      <c r="AJ112" s="37"/>
      <c r="AK112" s="37"/>
      <c r="AL112" s="37"/>
      <c r="AM112" s="37">
        <f>SUM(AF112:AL112)+AT112+AV112+AX112</f>
        <v>15</v>
      </c>
      <c r="AN112" s="87"/>
      <c r="AO112" s="37"/>
      <c r="AP112" s="37"/>
      <c r="AQ112" s="37"/>
      <c r="AR112" s="37">
        <f>SUM(AN112:AQ112)</f>
        <v>0</v>
      </c>
      <c r="AS112" s="37"/>
      <c r="AT112" s="37"/>
      <c r="AU112" s="37"/>
      <c r="AV112" s="37"/>
      <c r="AW112" s="37"/>
      <c r="AX112" s="37"/>
      <c r="AY112" s="37"/>
      <c r="AZ112" s="37"/>
      <c r="BA112" s="37">
        <f>+AR112+AS112+AU112+AW112+AY112+AZ112</f>
        <v>0</v>
      </c>
      <c r="BB112" s="50"/>
      <c r="BC112" s="51">
        <v>3</v>
      </c>
      <c r="BD112" s="51"/>
      <c r="BE112" s="50"/>
      <c r="BF112" s="51"/>
    </row>
    <row r="113" spans="1:58" ht="12.95" customHeight="1">
      <c r="A113" s="40"/>
      <c r="B113" s="41"/>
      <c r="C113" s="428"/>
      <c r="D113" s="41"/>
      <c r="E113" s="42"/>
      <c r="F113" s="42"/>
      <c r="G113" s="472"/>
      <c r="H113" s="542"/>
      <c r="I113" s="45"/>
      <c r="J113" s="86"/>
      <c r="K113" s="86"/>
      <c r="L113" s="35"/>
      <c r="M113" s="35"/>
      <c r="N113" s="46"/>
      <c r="O113" s="47"/>
      <c r="P113" s="48"/>
      <c r="Q113" s="47"/>
      <c r="R113" s="397"/>
      <c r="S113" s="397"/>
      <c r="T113" s="37"/>
      <c r="U113" s="37"/>
      <c r="V113" s="37"/>
      <c r="W113" s="37"/>
      <c r="X113" s="394"/>
      <c r="Y113" s="213"/>
      <c r="Z113" s="37"/>
      <c r="AA113" s="37"/>
      <c r="AB113" s="37"/>
      <c r="AC113" s="37"/>
      <c r="AD113" s="37">
        <f>+AM113+BA113</f>
        <v>29</v>
      </c>
      <c r="AE113" s="230" t="s">
        <v>570</v>
      </c>
      <c r="AF113" s="33"/>
      <c r="AG113" s="33"/>
      <c r="AH113" s="33">
        <v>29</v>
      </c>
      <c r="AJ113" s="37"/>
      <c r="AK113" s="37"/>
      <c r="AL113" s="37"/>
      <c r="AM113" s="37">
        <f>SUM(AF113:AL113)+AT113+AV113+AX113</f>
        <v>29</v>
      </c>
      <c r="AN113" s="37"/>
      <c r="AO113" s="37"/>
      <c r="AP113" s="37"/>
      <c r="AQ113" s="37"/>
      <c r="AR113" s="37">
        <f>SUM(AN113:AQ113)</f>
        <v>0</v>
      </c>
      <c r="AS113" s="37"/>
      <c r="AT113" s="37"/>
      <c r="AU113" s="37"/>
      <c r="AV113" s="37"/>
      <c r="AW113" s="37"/>
      <c r="AX113" s="37"/>
      <c r="AY113" s="37"/>
      <c r="AZ113" s="37"/>
      <c r="BA113" s="37">
        <f>+AR113+AS113+AU113+AW113+AY113+AZ113</f>
        <v>0</v>
      </c>
      <c r="BB113" s="33"/>
      <c r="BC113" s="53"/>
      <c r="BD113" s="53"/>
      <c r="BE113" s="33"/>
      <c r="BF113" s="53"/>
    </row>
    <row r="114" spans="1:58" ht="12.95" customHeight="1">
      <c r="A114" s="40"/>
      <c r="B114" s="41"/>
      <c r="C114" s="428"/>
      <c r="D114" s="41"/>
      <c r="E114" s="42"/>
      <c r="F114" s="42"/>
      <c r="G114" s="472"/>
      <c r="H114" s="542"/>
      <c r="I114" s="45"/>
      <c r="J114" s="86"/>
      <c r="K114" s="86"/>
      <c r="L114" s="35"/>
      <c r="M114" s="35"/>
      <c r="N114" s="46"/>
      <c r="O114" s="47"/>
      <c r="P114" s="48"/>
      <c r="Q114" s="47"/>
      <c r="R114" s="397"/>
      <c r="S114" s="397"/>
      <c r="T114" s="37"/>
      <c r="U114" s="37"/>
      <c r="V114" s="37"/>
      <c r="W114" s="37"/>
      <c r="X114" s="394"/>
      <c r="Y114" s="213"/>
      <c r="Z114" s="37"/>
      <c r="AA114" s="49"/>
      <c r="AB114" s="49"/>
      <c r="AC114" s="37"/>
      <c r="AD114" s="37"/>
      <c r="AE114" s="230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3"/>
      <c r="BC114" s="51"/>
      <c r="BD114" s="51"/>
      <c r="BE114" s="51"/>
      <c r="BF114" s="51"/>
    </row>
    <row r="115" spans="1:58" ht="12.95" customHeight="1">
      <c r="A115" s="40">
        <v>45956</v>
      </c>
      <c r="B115" s="41" t="s">
        <v>416</v>
      </c>
      <c r="C115" s="428">
        <f>(M115*E115*O115*Q115)/100000000</f>
        <v>52.443063749999993</v>
      </c>
      <c r="D115" s="41" t="s">
        <v>297</v>
      </c>
      <c r="E115" s="42">
        <v>12.5</v>
      </c>
      <c r="F115" s="42">
        <v>1</v>
      </c>
      <c r="G115" s="604">
        <v>1400</v>
      </c>
      <c r="H115" s="489">
        <f>+N115</f>
        <v>0.2400000000000001</v>
      </c>
      <c r="I115" s="45">
        <v>0.88</v>
      </c>
      <c r="J115" s="86">
        <f>E115*G115*(1-H115)*1440/1000000*2.87</f>
        <v>54.966239999999992</v>
      </c>
      <c r="K115" s="86">
        <f>(IF(G115&lt;L115,L115,G115)*(1-IF(H115&lt;N115,H115,N115))*E115*O115*Q115)/100000000</f>
        <v>52.667999999999992</v>
      </c>
      <c r="L115" s="35">
        <v>1394.0208333333333</v>
      </c>
      <c r="M115" s="35">
        <v>1059.4558333333332</v>
      </c>
      <c r="N115" s="46">
        <f>1-(M115/L115)</f>
        <v>0.2400000000000001</v>
      </c>
      <c r="O115" s="47">
        <f>+'Trim Rwd'!H101</f>
        <v>275</v>
      </c>
      <c r="P115" s="48">
        <f>O115*(Q115-R115-S115)</f>
        <v>382800</v>
      </c>
      <c r="Q115" s="47">
        <v>1440</v>
      </c>
      <c r="R115" s="397">
        <v>0</v>
      </c>
      <c r="S115" s="397">
        <v>48</v>
      </c>
      <c r="T115" s="37">
        <f>E115*M115*O115*Q115/100000000</f>
        <v>52.443063749999993</v>
      </c>
      <c r="U115" s="37">
        <f>E115*M115*O115*(Q115-R115-S115)/100000000</f>
        <v>50.694961624999991</v>
      </c>
      <c r="V115" s="37">
        <f>E115*G115*(1-N115)*O115/100*(R115+S115)/1000000</f>
        <v>1.7555999999999996</v>
      </c>
      <c r="W115" s="37">
        <f>+'26'!K34/1000</f>
        <v>42.771000000000001</v>
      </c>
      <c r="X115" s="394">
        <f>SUM(W115:W118)/SUM(K115:K118)</f>
        <v>0.81208703577124641</v>
      </c>
      <c r="Y115" s="37">
        <v>0</v>
      </c>
      <c r="Z115" s="37">
        <f>+'26'!D34/1000</f>
        <v>2.5</v>
      </c>
      <c r="AA115" s="49">
        <f>SUM(U115:U118)-SUM(W115:W118)-SUM(Z115:Z118)-SUM(Y115:Y118)</f>
        <v>5.4239616249999898</v>
      </c>
      <c r="AB115" s="49">
        <f>(SUM(K115:K118)-SUM(W115:W118)-SUM(Y115:Y118)-SUM(Z115:Z118)-SUM(AC115:AC118)-SUM(V115:V118))-AA115</f>
        <v>-7.4978749999967675E-3</v>
      </c>
      <c r="AC115" s="37">
        <f>K115-T115</f>
        <v>0.22493624999999895</v>
      </c>
      <c r="AD115" s="37">
        <f>+AM115+BA115</f>
        <v>20</v>
      </c>
      <c r="AE115" s="230" t="s">
        <v>515</v>
      </c>
      <c r="AF115" s="37">
        <v>20</v>
      </c>
      <c r="AG115" s="37"/>
      <c r="AH115" s="37"/>
      <c r="AI115" s="474"/>
      <c r="AJ115" s="37"/>
      <c r="AK115" s="37"/>
      <c r="AL115" s="37"/>
      <c r="AM115" s="37">
        <f>SUM(AF115:AL115)+AT115+AV115+AX115</f>
        <v>20</v>
      </c>
      <c r="AN115" s="37"/>
      <c r="AO115" s="37"/>
      <c r="AP115" s="37"/>
      <c r="AQ115" s="37"/>
      <c r="AR115" s="37">
        <f>SUM(AN115:AQ115)</f>
        <v>0</v>
      </c>
      <c r="AS115" s="37"/>
      <c r="AT115" s="37"/>
      <c r="AU115" s="37"/>
      <c r="AV115" s="37"/>
      <c r="AW115" s="37"/>
      <c r="AX115" s="37"/>
      <c r="AY115" s="37"/>
      <c r="AZ115" s="37"/>
      <c r="BA115" s="37">
        <f>+AR115+AS115+AU115+AW115+AY115+AZ115</f>
        <v>0</v>
      </c>
      <c r="BB115" s="33">
        <v>4</v>
      </c>
      <c r="BC115" s="51"/>
      <c r="BD115" s="51"/>
      <c r="BE115" s="33"/>
      <c r="BF115" s="51"/>
    </row>
    <row r="116" spans="1:58" ht="12.95" customHeight="1">
      <c r="A116" s="40"/>
      <c r="B116" s="41"/>
      <c r="C116" s="428"/>
      <c r="D116" s="41"/>
      <c r="E116" s="42"/>
      <c r="F116" s="42"/>
      <c r="G116" s="472"/>
      <c r="H116" s="542"/>
      <c r="I116" s="45"/>
      <c r="J116" s="86"/>
      <c r="K116" s="86"/>
      <c r="L116" s="35"/>
      <c r="M116" s="35"/>
      <c r="N116" s="46"/>
      <c r="O116" s="47"/>
      <c r="P116" s="48"/>
      <c r="Q116" s="47"/>
      <c r="R116" s="397"/>
      <c r="S116" s="397"/>
      <c r="T116" s="37"/>
      <c r="U116" s="37"/>
      <c r="V116" s="37"/>
      <c r="W116" s="37"/>
      <c r="X116" s="394"/>
      <c r="Y116" s="213"/>
      <c r="Z116" s="37"/>
      <c r="AA116" s="37"/>
      <c r="AB116" s="37"/>
      <c r="AC116" s="37"/>
      <c r="AD116" s="37">
        <f>+AM116+BA116</f>
        <v>0</v>
      </c>
      <c r="AE116" s="230" t="s">
        <v>426</v>
      </c>
      <c r="AF116" s="37"/>
      <c r="AG116" s="37">
        <v>0</v>
      </c>
      <c r="AH116" s="37"/>
      <c r="AI116" s="474"/>
      <c r="AJ116" s="37"/>
      <c r="AK116" s="37"/>
      <c r="AL116" s="37"/>
      <c r="AM116" s="37">
        <f>SUM(AF116:AL116)+AT116+AV116+AX116</f>
        <v>0</v>
      </c>
      <c r="AN116" s="87"/>
      <c r="AO116" s="37"/>
      <c r="AP116" s="37"/>
      <c r="AQ116" s="37"/>
      <c r="AR116" s="37">
        <f>SUM(AN116:AQ116)</f>
        <v>0</v>
      </c>
      <c r="AS116" s="37"/>
      <c r="AT116" s="37"/>
      <c r="AU116" s="37"/>
      <c r="AV116" s="37"/>
      <c r="AW116" s="37"/>
      <c r="AX116" s="37"/>
      <c r="AY116" s="37"/>
      <c r="AZ116" s="37"/>
      <c r="BA116" s="37">
        <f>+AR116+AS116+AU116+AW116+AY116+AZ116</f>
        <v>0</v>
      </c>
      <c r="BB116" s="50"/>
      <c r="BC116" s="51">
        <v>0</v>
      </c>
      <c r="BD116" s="51"/>
      <c r="BE116" s="50"/>
      <c r="BF116" s="51"/>
    </row>
    <row r="117" spans="1:58" ht="12.95" customHeight="1">
      <c r="A117" s="40"/>
      <c r="B117" s="41"/>
      <c r="C117" s="428"/>
      <c r="D117" s="41"/>
      <c r="E117" s="42"/>
      <c r="F117" s="42"/>
      <c r="G117" s="472"/>
      <c r="H117" s="542"/>
      <c r="I117" s="45"/>
      <c r="J117" s="86"/>
      <c r="K117" s="86"/>
      <c r="L117" s="35"/>
      <c r="M117" s="35"/>
      <c r="N117" s="46"/>
      <c r="O117" s="47"/>
      <c r="P117" s="48"/>
      <c r="Q117" s="47"/>
      <c r="R117" s="397"/>
      <c r="S117" s="397"/>
      <c r="T117" s="37"/>
      <c r="U117" s="37"/>
      <c r="V117" s="37"/>
      <c r="W117" s="37"/>
      <c r="X117" s="394"/>
      <c r="Y117" s="213"/>
      <c r="Z117" s="37"/>
      <c r="AA117" s="37"/>
      <c r="AB117" s="37"/>
      <c r="AC117" s="37"/>
      <c r="AD117" s="37">
        <f>+AM117+BA117</f>
        <v>28</v>
      </c>
      <c r="AE117" s="230" t="s">
        <v>527</v>
      </c>
      <c r="AF117" s="33"/>
      <c r="AG117" s="33"/>
      <c r="AH117" s="33">
        <v>28</v>
      </c>
      <c r="AJ117" s="37"/>
      <c r="AK117" s="37"/>
      <c r="AL117" s="37"/>
      <c r="AM117" s="37">
        <f>SUM(AF117:AL117)+AT117+AV117+AX117</f>
        <v>28</v>
      </c>
      <c r="AN117" s="37"/>
      <c r="AO117" s="37"/>
      <c r="AP117" s="37"/>
      <c r="AQ117" s="37"/>
      <c r="AR117" s="37">
        <f>SUM(AN117:AQ117)</f>
        <v>0</v>
      </c>
      <c r="AS117" s="37"/>
      <c r="AT117" s="37"/>
      <c r="AU117" s="37"/>
      <c r="AV117" s="37"/>
      <c r="AW117" s="37"/>
      <c r="AX117" s="37"/>
      <c r="AY117" s="37"/>
      <c r="AZ117" s="37"/>
      <c r="BA117" s="37">
        <f>+AR117+AS117+AU117+AW117+AY117+AZ117</f>
        <v>0</v>
      </c>
      <c r="BB117" s="33"/>
      <c r="BC117" s="53"/>
      <c r="BD117" s="53"/>
      <c r="BE117" s="33"/>
      <c r="BF117" s="53"/>
    </row>
    <row r="118" spans="1:58" ht="12.95" customHeight="1">
      <c r="A118" s="40"/>
      <c r="B118" s="41"/>
      <c r="C118" s="428"/>
      <c r="D118" s="41"/>
      <c r="E118" s="42"/>
      <c r="F118" s="42"/>
      <c r="G118" s="43"/>
      <c r="H118" s="542"/>
      <c r="I118" s="45"/>
      <c r="J118" s="86"/>
      <c r="K118" s="86"/>
      <c r="L118" s="35"/>
      <c r="M118" s="35"/>
      <c r="N118" s="46"/>
      <c r="O118" s="47"/>
      <c r="P118" s="48"/>
      <c r="Q118" s="47"/>
      <c r="R118" s="397"/>
      <c r="S118" s="397"/>
      <c r="T118" s="37"/>
      <c r="U118" s="37"/>
      <c r="V118" s="37"/>
      <c r="W118" s="37"/>
      <c r="X118" s="394"/>
      <c r="Y118" s="213"/>
      <c r="Z118" s="37"/>
      <c r="AA118" s="37"/>
      <c r="AB118" s="37"/>
      <c r="AC118" s="37"/>
      <c r="AD118" s="37"/>
      <c r="AE118" s="230"/>
      <c r="AF118" s="33"/>
      <c r="AG118" s="33"/>
      <c r="AH118" s="33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3"/>
      <c r="BC118" s="53"/>
      <c r="BD118" s="53"/>
      <c r="BE118" s="33"/>
      <c r="BF118" s="53"/>
    </row>
    <row r="119" spans="1:58" ht="12.95" customHeight="1">
      <c r="A119" s="40">
        <v>45957</v>
      </c>
      <c r="B119" s="41" t="s">
        <v>416</v>
      </c>
      <c r="C119" s="428">
        <f>(M119*E119*O119*Q119)/100000000</f>
        <v>18.878186249999999</v>
      </c>
      <c r="D119" s="41" t="s">
        <v>297</v>
      </c>
      <c r="E119" s="42">
        <v>12.5</v>
      </c>
      <c r="F119" s="42">
        <v>1</v>
      </c>
      <c r="G119" s="604">
        <v>1400</v>
      </c>
      <c r="H119" s="489">
        <f>+N119</f>
        <v>0.24</v>
      </c>
      <c r="I119" s="45">
        <v>0.88</v>
      </c>
      <c r="J119" s="86">
        <f>E119*G119*(1-H119)*1440/1000000*2.87</f>
        <v>54.966240000000006</v>
      </c>
      <c r="K119" s="86">
        <f>(IF(G119&lt;L119,L119,G119)*(1-IF(H119&lt;N119,H119,N119))*E119*O119*Q119)/100000000</f>
        <v>18.94585</v>
      </c>
      <c r="L119" s="35">
        <v>1395</v>
      </c>
      <c r="M119" s="35">
        <f>+L119-L119*0.24</f>
        <v>1060.2</v>
      </c>
      <c r="N119" s="46">
        <f>1-(M119/L119)</f>
        <v>0.24</v>
      </c>
      <c r="O119" s="47">
        <f>+'Trim Rwd'!H103</f>
        <v>275</v>
      </c>
      <c r="P119" s="48">
        <f>O119*(Q119-R119-S119)</f>
        <v>136950</v>
      </c>
      <c r="Q119" s="47">
        <v>518</v>
      </c>
      <c r="R119" s="397">
        <v>0</v>
      </c>
      <c r="S119" s="397">
        <v>20</v>
      </c>
      <c r="T119" s="37">
        <f>E119*M119*O119*Q119/100000000</f>
        <v>18.878186249999999</v>
      </c>
      <c r="U119" s="37">
        <f>E119*M119*O119*(Q119-R119-S119)/100000000</f>
        <v>18.14929875</v>
      </c>
      <c r="V119" s="37">
        <f>E119*G119*(1-N119)*O119/100*(R119+S119)/1000000</f>
        <v>0.73150000000000004</v>
      </c>
      <c r="W119" s="37">
        <f>+'27'!K13/1000</f>
        <v>16.288</v>
      </c>
      <c r="X119" s="394">
        <f>SUM(W119:W122)/SUM(K119:K122)</f>
        <v>0.73505445590878105</v>
      </c>
      <c r="Y119" s="213">
        <v>0</v>
      </c>
      <c r="Z119" s="37">
        <f>+'27'!D7/1000</f>
        <v>1</v>
      </c>
      <c r="AA119" s="49">
        <f>SUM(U119:U122)-SUM(W119:W122)-SUM(Z119:Z122)-SUM(Y119:Y122)</f>
        <v>10.63365555</v>
      </c>
      <c r="AB119" s="49">
        <f>(SUM(K119:K122)-SUM(W119:W122)-SUM(Y119:Y122)-SUM(Z119:Z122)-SUM(AC119:AC122)-SUM(V119:V122))-AA119</f>
        <v>-2.6125000000050136E-3</v>
      </c>
      <c r="AC119" s="37">
        <f>K119-T119</f>
        <v>6.7663750000001244E-2</v>
      </c>
      <c r="AD119" s="37">
        <f>+AM119+BA119</f>
        <v>20</v>
      </c>
      <c r="AE119" s="230" t="s">
        <v>515</v>
      </c>
      <c r="AF119" s="37">
        <v>20</v>
      </c>
      <c r="AG119" s="37"/>
      <c r="AH119" s="37"/>
      <c r="AI119" s="37"/>
      <c r="AJ119" s="37"/>
      <c r="AK119" s="37"/>
      <c r="AL119" s="37"/>
      <c r="AM119" s="37">
        <f>SUM(AF119:AL119)+AT119+AV119+AX119</f>
        <v>20</v>
      </c>
      <c r="AN119" s="37"/>
      <c r="AO119" s="37"/>
      <c r="AP119" s="37"/>
      <c r="AQ119" s="37"/>
      <c r="AR119" s="37">
        <f>SUM(AN119:AQ119)</f>
        <v>0</v>
      </c>
      <c r="AS119" s="37"/>
      <c r="AT119" s="37"/>
      <c r="AU119" s="37"/>
      <c r="AV119" s="37"/>
      <c r="AW119" s="37"/>
      <c r="AX119" s="37"/>
      <c r="AY119" s="37"/>
      <c r="AZ119" s="37"/>
      <c r="BA119" s="37">
        <f>+AR119+AS119+AU119+AW119+AY119+AZ119</f>
        <v>0</v>
      </c>
      <c r="BB119" s="33">
        <v>4</v>
      </c>
      <c r="BC119" s="51"/>
      <c r="BD119" s="51"/>
      <c r="BE119" s="51"/>
      <c r="BF119" s="51"/>
    </row>
    <row r="120" spans="1:58" ht="12.95" customHeight="1">
      <c r="A120" s="40"/>
      <c r="B120" s="41" t="s">
        <v>523</v>
      </c>
      <c r="C120" s="428">
        <f>(M120*E120*O120*Q120)/100000000</f>
        <v>32.961868799999998</v>
      </c>
      <c r="D120" s="41" t="s">
        <v>297</v>
      </c>
      <c r="E120" s="42">
        <v>12</v>
      </c>
      <c r="F120" s="42">
        <v>1</v>
      </c>
      <c r="G120" s="472">
        <v>1400</v>
      </c>
      <c r="H120" s="542">
        <f>+N120</f>
        <v>0.24</v>
      </c>
      <c r="I120" s="45">
        <v>0.88</v>
      </c>
      <c r="J120" s="86">
        <f>E120*G120*(1-H120)*1440/1000000*2.87</f>
        <v>52.767590399999996</v>
      </c>
      <c r="K120" s="86">
        <f>(IF(G120&lt;L120,L120,G120)*(1-IF(H120&lt;N120,H120,N120))*E120*O120*Q120)/100000000</f>
        <v>32.961868799999998</v>
      </c>
      <c r="L120" s="35">
        <v>1400</v>
      </c>
      <c r="M120" s="35">
        <f>+L120-L120*0.24</f>
        <v>1064</v>
      </c>
      <c r="N120" s="46">
        <f>1-(M120/L120)</f>
        <v>0.24</v>
      </c>
      <c r="O120" s="47">
        <f>+'Trim Rwd'!H104</f>
        <v>280</v>
      </c>
      <c r="P120" s="48">
        <f>O120*(Q120-R120-S120)</f>
        <v>249760</v>
      </c>
      <c r="Q120" s="47">
        <v>922</v>
      </c>
      <c r="R120" s="397">
        <v>0</v>
      </c>
      <c r="S120" s="397">
        <v>30</v>
      </c>
      <c r="T120" s="37">
        <f>E120*M120*O120*Q120/100000000</f>
        <v>32.961868799999998</v>
      </c>
      <c r="U120" s="37">
        <f>E120*M120*O120*(Q120-R120-S120)/100000000</f>
        <v>31.889356800000002</v>
      </c>
      <c r="V120" s="37">
        <f>E120*G120*(1-N120)*O120/100*(R120+S120)/1000000</f>
        <v>1.0725119999999999</v>
      </c>
      <c r="W120" s="37">
        <f>+'27'!K12/1000</f>
        <v>21.867000000000001</v>
      </c>
      <c r="X120" s="394"/>
      <c r="Y120" s="213"/>
      <c r="Z120" s="37">
        <f>+'27'!D25/1000</f>
        <v>0.25</v>
      </c>
      <c r="AA120" s="49"/>
      <c r="AB120" s="49"/>
      <c r="AC120" s="37">
        <f>K120-T120</f>
        <v>0</v>
      </c>
      <c r="AD120" s="37">
        <f>+AM120+BA120</f>
        <v>0</v>
      </c>
      <c r="AE120" s="230" t="s">
        <v>426</v>
      </c>
      <c r="AF120" s="37"/>
      <c r="AG120" s="37">
        <v>0</v>
      </c>
      <c r="AH120" s="37"/>
      <c r="AI120" s="37"/>
      <c r="AJ120" s="37"/>
      <c r="AK120" s="37"/>
      <c r="AL120" s="37"/>
      <c r="AM120" s="37">
        <f>SUM(AF120:AL120)+AT120+AV120+AX120</f>
        <v>0</v>
      </c>
      <c r="AN120" s="37"/>
      <c r="AO120" s="37"/>
      <c r="AP120" s="37"/>
      <c r="AQ120" s="37"/>
      <c r="AR120" s="37">
        <f>SUM(AN120:AQ120)</f>
        <v>0</v>
      </c>
      <c r="AS120" s="37"/>
      <c r="AT120" s="37"/>
      <c r="AU120" s="37"/>
      <c r="AV120" s="37"/>
      <c r="AW120" s="37"/>
      <c r="AX120" s="37"/>
      <c r="AY120" s="37"/>
      <c r="AZ120" s="37"/>
      <c r="BA120" s="37">
        <f>+AR120+AS120+AU120+AW120+AY120+AZ120</f>
        <v>0</v>
      </c>
      <c r="BB120" s="33"/>
      <c r="BC120" s="51">
        <v>0</v>
      </c>
      <c r="BD120" s="51"/>
      <c r="BE120" s="51"/>
      <c r="BF120" s="51"/>
    </row>
    <row r="121" spans="1:58" ht="12.95" customHeight="1">
      <c r="A121" s="40"/>
      <c r="B121" s="41"/>
      <c r="C121" s="428"/>
      <c r="D121" s="41"/>
      <c r="E121" s="42"/>
      <c r="F121" s="42"/>
      <c r="G121" s="472"/>
      <c r="H121" s="542"/>
      <c r="I121" s="45"/>
      <c r="J121" s="86"/>
      <c r="K121" s="86"/>
      <c r="L121" s="35"/>
      <c r="M121" s="35"/>
      <c r="N121" s="46"/>
      <c r="O121" s="47"/>
      <c r="P121" s="48"/>
      <c r="Q121" s="47"/>
      <c r="R121" s="397"/>
      <c r="S121" s="397"/>
      <c r="T121" s="37"/>
      <c r="U121" s="37"/>
      <c r="V121" s="37"/>
      <c r="W121" s="37"/>
      <c r="X121" s="394"/>
      <c r="Y121" s="213"/>
      <c r="Z121" s="37"/>
      <c r="AA121" s="37"/>
      <c r="AB121" s="37"/>
      <c r="AC121" s="37"/>
      <c r="AD121" s="37">
        <f>+AM121+BA121</f>
        <v>30</v>
      </c>
      <c r="AE121" s="230" t="s">
        <v>570</v>
      </c>
      <c r="AF121" s="37"/>
      <c r="AG121" s="37"/>
      <c r="AH121" s="37">
        <v>30</v>
      </c>
      <c r="AI121" s="37"/>
      <c r="AJ121" s="37"/>
      <c r="AK121" s="37"/>
      <c r="AL121" s="37"/>
      <c r="AM121" s="37">
        <f>SUM(AF121:AL121)+AT121+AV121+AX121</f>
        <v>30</v>
      </c>
      <c r="AN121" s="37"/>
      <c r="AO121" s="37"/>
      <c r="AP121" s="37"/>
      <c r="AQ121" s="37"/>
      <c r="AR121" s="37">
        <f>SUM(AN121:AQ121)</f>
        <v>0</v>
      </c>
      <c r="AS121" s="37"/>
      <c r="AT121" s="37"/>
      <c r="AU121" s="37"/>
      <c r="AV121" s="37"/>
      <c r="AW121" s="37"/>
      <c r="AX121" s="37"/>
      <c r="AY121" s="37"/>
      <c r="AZ121" s="37"/>
      <c r="BA121" s="37">
        <f>+AR121+AS121+AU121+AW121+AY121+AZ121</f>
        <v>0</v>
      </c>
      <c r="BB121" s="33"/>
      <c r="BC121" s="51"/>
      <c r="BD121" s="51"/>
      <c r="BE121" s="51"/>
      <c r="BF121" s="51"/>
    </row>
    <row r="122" spans="1:58" ht="12.95" customHeight="1">
      <c r="A122" s="40"/>
      <c r="B122" s="41"/>
      <c r="C122" s="428"/>
      <c r="D122" s="41"/>
      <c r="E122" s="42"/>
      <c r="F122" s="42"/>
      <c r="G122" s="472"/>
      <c r="H122" s="542"/>
      <c r="I122" s="45"/>
      <c r="J122" s="86"/>
      <c r="K122" s="86"/>
      <c r="L122" s="35"/>
      <c r="M122" s="35"/>
      <c r="N122" s="46"/>
      <c r="O122" s="47"/>
      <c r="P122" s="48"/>
      <c r="Q122" s="47"/>
      <c r="R122" s="397"/>
      <c r="S122" s="397"/>
      <c r="T122" s="37"/>
      <c r="U122" s="37"/>
      <c r="V122" s="37"/>
      <c r="W122" s="37"/>
      <c r="X122" s="394"/>
      <c r="Y122" s="37"/>
      <c r="Z122" s="37"/>
      <c r="AA122" s="49"/>
      <c r="AB122" s="49"/>
      <c r="AC122" s="37"/>
      <c r="AD122" s="37"/>
      <c r="AE122" s="230"/>
      <c r="AF122" s="37"/>
      <c r="AG122" s="37"/>
      <c r="AH122" s="37"/>
      <c r="AI122" s="474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3"/>
      <c r="BC122" s="51"/>
      <c r="BD122" s="51"/>
      <c r="BE122" s="51"/>
      <c r="BF122" s="51"/>
    </row>
    <row r="123" spans="1:58" ht="12.95" customHeight="1">
      <c r="A123" s="40">
        <v>45958</v>
      </c>
      <c r="B123" s="41" t="s">
        <v>523</v>
      </c>
      <c r="C123" s="428">
        <f>(M123*E123*O123*Q123)/100000000</f>
        <v>42.454621440000004</v>
      </c>
      <c r="D123" s="41" t="s">
        <v>297</v>
      </c>
      <c r="E123" s="42">
        <v>12</v>
      </c>
      <c r="F123" s="42">
        <v>1</v>
      </c>
      <c r="G123" s="472">
        <v>1400</v>
      </c>
      <c r="H123" s="489">
        <f t="shared" ref="H123:H124" si="30">+N123</f>
        <v>0.24</v>
      </c>
      <c r="I123" s="45">
        <v>0.88</v>
      </c>
      <c r="J123" s="86">
        <f>E123*G123*(1-H123)*1440/1000000*2.87</f>
        <v>52.767590399999996</v>
      </c>
      <c r="K123" s="86">
        <f>(IF(G123&lt;L123,L123,G123)*(1-IF(H123&lt;N123,H123,N123))*E123*O123*Q123)/100000000</f>
        <v>42.454621440000004</v>
      </c>
      <c r="L123" s="35">
        <v>1400</v>
      </c>
      <c r="M123" s="35">
        <f t="shared" ref="M123:M124" si="31">+L123-L123*0.24</f>
        <v>1064</v>
      </c>
      <c r="N123" s="46">
        <f>1-(M123/L123)</f>
        <v>0.24</v>
      </c>
      <c r="O123" s="47">
        <f>+'Trim Rwd'!H106</f>
        <v>274.8</v>
      </c>
      <c r="P123" s="48">
        <f>O123*(Q123-R123-S123)</f>
        <v>318768</v>
      </c>
      <c r="Q123" s="47">
        <v>1210</v>
      </c>
      <c r="R123" s="397">
        <v>0</v>
      </c>
      <c r="S123" s="397">
        <v>50</v>
      </c>
      <c r="T123" s="37">
        <f>E123*M123*O123*Q123/100000000</f>
        <v>42.454621440000004</v>
      </c>
      <c r="U123" s="37">
        <f>E123*M123*O123*(Q123-R123-S123)/100000000</f>
        <v>40.700298240000002</v>
      </c>
      <c r="V123" s="37">
        <f>E123*G123*(1-N123)*O123/100*(R123+S123)/1000000</f>
        <v>1.7543232000000004</v>
      </c>
      <c r="W123" s="37">
        <f>+'28'!K12/1000</f>
        <v>37.71</v>
      </c>
      <c r="X123" s="394">
        <f>SUM(W123:W126)/SUM(K123:K126)</f>
        <v>0.79284083043622589</v>
      </c>
      <c r="Y123" s="213">
        <v>0</v>
      </c>
      <c r="Z123" s="37">
        <f>+'28'!D25/1000</f>
        <v>0.26</v>
      </c>
      <c r="AA123" s="49">
        <f>SUM(U123:U126)-SUM(W123:W126)-SUM(Z123:Z126)-SUM(Y123:Y126)</f>
        <v>7.5342622400000057</v>
      </c>
      <c r="AB123" s="49">
        <f>(SUM(K123:K126)-SUM(W123:W126)-SUM(Y123:Y126)-SUM(Z123:Z126)-SUM(AC123:AC126)-SUM(V123:V126))-AA123</f>
        <v>-5.5327999999992272E-3</v>
      </c>
      <c r="AC123" s="37">
        <f>K123-T123</f>
        <v>0</v>
      </c>
      <c r="AD123" s="37">
        <f>+AM123+BA123</f>
        <v>25</v>
      </c>
      <c r="AE123" s="230" t="s">
        <v>586</v>
      </c>
      <c r="AF123" s="37">
        <v>25</v>
      </c>
      <c r="AG123" s="37"/>
      <c r="AH123" s="37"/>
      <c r="AI123" s="37"/>
      <c r="AJ123" s="37"/>
      <c r="AK123" s="37"/>
      <c r="AL123" s="37"/>
      <c r="AM123" s="37">
        <f>SUM(AF123:AL123)+AT123+AV123+AX123</f>
        <v>25</v>
      </c>
      <c r="AN123" s="37"/>
      <c r="AO123" s="37"/>
      <c r="AP123" s="37"/>
      <c r="AQ123" s="37"/>
      <c r="AR123" s="37">
        <f>SUM(AN123:AQ123)</f>
        <v>0</v>
      </c>
      <c r="AS123" s="37"/>
      <c r="AT123" s="37"/>
      <c r="AU123" s="37"/>
      <c r="AV123" s="37"/>
      <c r="AW123" s="37"/>
      <c r="AX123" s="37"/>
      <c r="AY123" s="37"/>
      <c r="AZ123" s="37"/>
      <c r="BA123" s="37">
        <f>+AR123+AS123+AU123+AW123+AY123+AZ123</f>
        <v>0</v>
      </c>
      <c r="BB123" s="33">
        <v>5</v>
      </c>
      <c r="BC123" s="51"/>
      <c r="BD123" s="51"/>
      <c r="BE123" s="51"/>
      <c r="BF123" s="51"/>
    </row>
    <row r="124" spans="1:58" ht="12.95" customHeight="1">
      <c r="A124" s="40"/>
      <c r="B124" s="41" t="s">
        <v>523</v>
      </c>
      <c r="C124" s="428">
        <f>(M124*E124*O124*Q124)/100000000</f>
        <v>8.335163200000002</v>
      </c>
      <c r="D124" s="41" t="s">
        <v>297</v>
      </c>
      <c r="E124" s="42">
        <v>13</v>
      </c>
      <c r="F124" s="42">
        <v>1</v>
      </c>
      <c r="G124" s="472">
        <v>1350</v>
      </c>
      <c r="H124" s="489">
        <f t="shared" si="30"/>
        <v>0.24</v>
      </c>
      <c r="I124" s="45">
        <v>0.88</v>
      </c>
      <c r="J124" s="86">
        <f>E124*G124*(1-H124)*1440/1000000*2.87</f>
        <v>55.123286400000005</v>
      </c>
      <c r="K124" s="86">
        <f>(IF(G124&lt;L124,L124,G124)*(1-IF(H124&lt;N124,H124,N124))*E124*O124*Q124)/100000000</f>
        <v>8.5896720000000002</v>
      </c>
      <c r="L124" s="35">
        <v>1310</v>
      </c>
      <c r="M124" s="35">
        <f t="shared" si="31"/>
        <v>995.6</v>
      </c>
      <c r="N124" s="46">
        <f>1-(M124/L124)</f>
        <v>0.24</v>
      </c>
      <c r="O124" s="47">
        <f>+'Trim Rwd'!H109</f>
        <v>280</v>
      </c>
      <c r="P124" s="48">
        <f>O124*(Q124-R124-S124)</f>
        <v>63000</v>
      </c>
      <c r="Q124" s="47">
        <v>230</v>
      </c>
      <c r="R124" s="397">
        <v>0</v>
      </c>
      <c r="S124" s="397">
        <v>5</v>
      </c>
      <c r="T124" s="37">
        <f>E124*M124*O124*Q124/100000000</f>
        <v>8.335163200000002</v>
      </c>
      <c r="U124" s="37">
        <f>E124*M124*O124*(Q124-R124-S124)/100000000</f>
        <v>8.153964000000002</v>
      </c>
      <c r="V124" s="37">
        <f>E124*G124*(1-N124)*O124/100*(R124+S124)/1000000</f>
        <v>0.18673200000000001</v>
      </c>
      <c r="W124" s="37">
        <f>+'28'!K9/1000</f>
        <v>2.1640000000000001</v>
      </c>
      <c r="X124" s="394"/>
      <c r="Y124" s="213"/>
      <c r="Z124" s="37">
        <v>0</v>
      </c>
      <c r="AA124" s="49"/>
      <c r="AB124" s="49"/>
      <c r="AC124" s="37">
        <f>K124-T124</f>
        <v>0.2545087999999982</v>
      </c>
      <c r="AD124" s="37">
        <f>+AM124+BA124</f>
        <v>0</v>
      </c>
      <c r="AE124" s="230" t="s">
        <v>426</v>
      </c>
      <c r="AF124" s="37"/>
      <c r="AG124" s="37">
        <v>0</v>
      </c>
      <c r="AH124" s="37"/>
      <c r="AI124" s="37"/>
      <c r="AJ124" s="37"/>
      <c r="AK124" s="37"/>
      <c r="AL124" s="37"/>
      <c r="AM124" s="37">
        <f>SUM(AF124:AL124)+AT124+AV124+AX124</f>
        <v>0</v>
      </c>
      <c r="AN124" s="37"/>
      <c r="AO124" s="37"/>
      <c r="AP124" s="37"/>
      <c r="AQ124" s="37"/>
      <c r="AR124" s="37">
        <f>SUM(AN124:AQ124)</f>
        <v>0</v>
      </c>
      <c r="AS124" s="37"/>
      <c r="AT124" s="37"/>
      <c r="AU124" s="37"/>
      <c r="AV124" s="37"/>
      <c r="AW124" s="37"/>
      <c r="AX124" s="37"/>
      <c r="AY124" s="37"/>
      <c r="AZ124" s="37"/>
      <c r="BA124" s="37">
        <f>+AR124+AS124+AU124+AW124+AY124+AZ124</f>
        <v>0</v>
      </c>
      <c r="BB124" s="33"/>
      <c r="BC124" s="51">
        <v>0</v>
      </c>
      <c r="BD124" s="51"/>
      <c r="BE124" s="51"/>
      <c r="BF124" s="51"/>
    </row>
    <row r="125" spans="1:58" ht="12.95" customHeight="1">
      <c r="A125" s="40"/>
      <c r="B125" s="41" t="s">
        <v>416</v>
      </c>
      <c r="C125" s="428"/>
      <c r="D125" s="41"/>
      <c r="E125" s="42">
        <v>12.5</v>
      </c>
      <c r="F125" s="42"/>
      <c r="G125" s="472"/>
      <c r="H125" s="542"/>
      <c r="I125" s="45"/>
      <c r="J125" s="86"/>
      <c r="K125" s="86"/>
      <c r="L125" s="35"/>
      <c r="M125" s="35"/>
      <c r="N125" s="46"/>
      <c r="O125" s="47"/>
      <c r="P125" s="48"/>
      <c r="Q125" s="47"/>
      <c r="R125" s="397"/>
      <c r="S125" s="397"/>
      <c r="T125" s="37"/>
      <c r="U125" s="37"/>
      <c r="V125" s="37"/>
      <c r="W125" s="37">
        <f>+'28'!K13/1000</f>
        <v>0.59599999999999997</v>
      </c>
      <c r="X125" s="394"/>
      <c r="Y125" s="213"/>
      <c r="Z125" s="37">
        <f>+'28'!D27/1000</f>
        <v>0.59</v>
      </c>
      <c r="AA125" s="37"/>
      <c r="AB125" s="37"/>
      <c r="AC125" s="37"/>
      <c r="AD125" s="37">
        <f>+AM125+BA125</f>
        <v>30</v>
      </c>
      <c r="AE125" s="230" t="s">
        <v>618</v>
      </c>
      <c r="AF125" s="37"/>
      <c r="AG125" s="37"/>
      <c r="AH125" s="37">
        <v>30</v>
      </c>
      <c r="AI125" s="37"/>
      <c r="AJ125" s="37"/>
      <c r="AK125" s="37"/>
      <c r="AL125" s="37"/>
      <c r="AM125" s="37">
        <f>SUM(AF125:AL125)+AT125+AV125+AX125</f>
        <v>30</v>
      </c>
      <c r="AN125" s="37"/>
      <c r="AO125" s="37"/>
      <c r="AP125" s="37"/>
      <c r="AQ125" s="37"/>
      <c r="AR125" s="37">
        <f>SUM(AN125:AQ125)</f>
        <v>0</v>
      </c>
      <c r="AS125" s="37"/>
      <c r="AT125" s="37"/>
      <c r="AU125" s="37"/>
      <c r="AV125" s="37"/>
      <c r="AW125" s="37"/>
      <c r="AX125" s="37"/>
      <c r="AY125" s="37"/>
      <c r="AZ125" s="37"/>
      <c r="BA125" s="37">
        <f>+AR125+AS125+AU125+AW125+AY125+AZ125</f>
        <v>0</v>
      </c>
      <c r="BB125" s="33"/>
      <c r="BC125" s="51"/>
      <c r="BD125" s="51"/>
      <c r="BE125" s="51"/>
      <c r="BF125" s="51"/>
    </row>
    <row r="126" spans="1:58" ht="12.95" customHeight="1">
      <c r="A126" s="40"/>
      <c r="B126" s="41"/>
      <c r="C126" s="428"/>
      <c r="D126" s="41"/>
      <c r="E126" s="42"/>
      <c r="F126" s="42"/>
      <c r="G126" s="43"/>
      <c r="H126" s="542"/>
      <c r="I126" s="45"/>
      <c r="J126" s="86"/>
      <c r="K126" s="86"/>
      <c r="L126" s="35"/>
      <c r="M126" s="35"/>
      <c r="N126" s="46"/>
      <c r="O126" s="47"/>
      <c r="P126" s="48"/>
      <c r="Q126" s="47"/>
      <c r="R126" s="397"/>
      <c r="S126" s="397"/>
      <c r="T126" s="37"/>
      <c r="U126" s="37"/>
      <c r="V126" s="37"/>
      <c r="W126" s="37"/>
      <c r="X126" s="394"/>
      <c r="Y126" s="213"/>
      <c r="Z126" s="37"/>
      <c r="AA126" s="49"/>
      <c r="AB126" s="49"/>
      <c r="AC126" s="37"/>
      <c r="AD126" s="37"/>
      <c r="AE126" s="230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3"/>
      <c r="BC126" s="51"/>
      <c r="BD126" s="51"/>
      <c r="BE126" s="51"/>
      <c r="BF126" s="51"/>
    </row>
    <row r="127" spans="1:58" ht="12.95" customHeight="1">
      <c r="A127" s="40">
        <v>45959</v>
      </c>
      <c r="B127" s="41" t="s">
        <v>523</v>
      </c>
      <c r="C127" s="428">
        <f>(M127*E127*O127*Q127)/100000000</f>
        <v>17.395123200000004</v>
      </c>
      <c r="D127" s="41" t="s">
        <v>297</v>
      </c>
      <c r="E127" s="42">
        <v>13</v>
      </c>
      <c r="F127" s="42">
        <v>1</v>
      </c>
      <c r="G127" s="472">
        <v>1350</v>
      </c>
      <c r="H127" s="489">
        <f t="shared" ref="H127:H128" si="32">+N127</f>
        <v>0.24</v>
      </c>
      <c r="I127" s="45">
        <v>0.88</v>
      </c>
      <c r="J127" s="86">
        <f>E127*G127*(1-H127)*1440/1000000*2.87</f>
        <v>55.123286400000005</v>
      </c>
      <c r="K127" s="86">
        <f>(IF(G127&lt;L127,L127,G127)*(1-IF(H127&lt;N127,H127,N127))*E127*O127*Q127)/100000000</f>
        <v>17.926272000000001</v>
      </c>
      <c r="L127" s="35">
        <v>1310</v>
      </c>
      <c r="M127" s="35">
        <f>+L127-L127*0.24</f>
        <v>995.6</v>
      </c>
      <c r="N127" s="46">
        <f>1-(M127/L127)</f>
        <v>0.24</v>
      </c>
      <c r="O127" s="47">
        <f>+'Trim Rwd'!H111</f>
        <v>280</v>
      </c>
      <c r="P127" s="48">
        <f>O127*(Q127-R127-S127)</f>
        <v>130200</v>
      </c>
      <c r="Q127" s="47">
        <v>480</v>
      </c>
      <c r="R127" s="397">
        <v>0</v>
      </c>
      <c r="S127" s="397">
        <v>15</v>
      </c>
      <c r="T127" s="37">
        <f>E127*M127*O127*Q127/100000000</f>
        <v>17.395123200000004</v>
      </c>
      <c r="U127" s="37">
        <f>E127*M127*O127*(Q127-R127-S127)/100000000</f>
        <v>16.851525600000002</v>
      </c>
      <c r="V127" s="37">
        <f>E127*G127*(1-N127)*O127/100*(R127+S127)/1000000</f>
        <v>0.56019600000000003</v>
      </c>
      <c r="W127" s="37">
        <f>+'29'!K9/1000</f>
        <v>21.527000000000001</v>
      </c>
      <c r="X127" s="394">
        <f>SUM(W127:W130)/SUM(K127:K130)</f>
        <v>0.82674455884845854</v>
      </c>
      <c r="Y127" s="213">
        <v>0</v>
      </c>
      <c r="Z127" s="37">
        <f>+'29'!D7/1000</f>
        <v>0.26</v>
      </c>
      <c r="AA127" s="49">
        <f>SUM(U127:U130)-SUM(W127:W130)-SUM(Z127:Z130)-SUM(Y127:Y130)</f>
        <v>6.2464312000000044</v>
      </c>
      <c r="AB127" s="49">
        <f>(SUM(K127:K130)-SUM(W127:W130)-SUM(Y127:Y130)-SUM(Z127:Z130)-SUM(AC127:AC130)-SUM(V127:V130))-AA127</f>
        <v>-1.6598400000001234E-2</v>
      </c>
      <c r="AC127" s="37">
        <f>K127-T127</f>
        <v>0.53114879999999687</v>
      </c>
      <c r="AD127" s="37">
        <f>+AM127+BA127</f>
        <v>15</v>
      </c>
      <c r="AE127" s="230" t="s">
        <v>526</v>
      </c>
      <c r="AF127" s="37">
        <v>15</v>
      </c>
      <c r="AG127" s="37"/>
      <c r="AH127" s="37"/>
      <c r="AI127" s="37"/>
      <c r="AJ127" s="37"/>
      <c r="AK127" s="37"/>
      <c r="AL127" s="37"/>
      <c r="AM127" s="37">
        <f>SUM(AF127:AL127)+AT127+AV127+AX127</f>
        <v>15</v>
      </c>
      <c r="AN127" s="37"/>
      <c r="AO127" s="37"/>
      <c r="AP127" s="37"/>
      <c r="AQ127" s="37"/>
      <c r="AR127" s="37">
        <f>SUM(AN127:AQ127)</f>
        <v>0</v>
      </c>
      <c r="AS127" s="37"/>
      <c r="AT127" s="37"/>
      <c r="AU127" s="37"/>
      <c r="AV127" s="37"/>
      <c r="AW127" s="37"/>
      <c r="AX127" s="37"/>
      <c r="AY127" s="37"/>
      <c r="AZ127" s="37"/>
      <c r="BA127" s="37">
        <f>+AR127+AS127+AU127+AW127+AY127+AZ127</f>
        <v>0</v>
      </c>
      <c r="BB127" s="33">
        <v>3</v>
      </c>
      <c r="BC127" s="51"/>
      <c r="BD127" s="51"/>
      <c r="BE127" s="51"/>
      <c r="BF127" s="51"/>
    </row>
    <row r="128" spans="1:58" ht="12.95" customHeight="1">
      <c r="A128" s="40"/>
      <c r="B128" s="41" t="s">
        <v>523</v>
      </c>
      <c r="C128" s="428">
        <f>(M128*E128*O128*Q128)/100000000</f>
        <v>34.174464</v>
      </c>
      <c r="D128" s="41" t="s">
        <v>297</v>
      </c>
      <c r="E128" s="42">
        <v>12</v>
      </c>
      <c r="F128" s="42">
        <v>1</v>
      </c>
      <c r="G128" s="472">
        <v>1400</v>
      </c>
      <c r="H128" s="489">
        <f t="shared" si="32"/>
        <v>0.24</v>
      </c>
      <c r="I128" s="45">
        <v>0.88</v>
      </c>
      <c r="J128" s="86">
        <f>E128*G128*(1-H128)*1440/1000000*2.87</f>
        <v>52.767590399999996</v>
      </c>
      <c r="K128" s="86">
        <f>(IF(G128&lt;L128,L128,G128)*(1-IF(H128&lt;N128,H128,N128))*E128*O128*Q128)/100000000</f>
        <v>34.174464</v>
      </c>
      <c r="L128" s="35">
        <v>1400</v>
      </c>
      <c r="M128" s="35">
        <f>+L128-L128*0.24</f>
        <v>1064</v>
      </c>
      <c r="N128" s="46">
        <f>1-(M128/L128)</f>
        <v>0.24</v>
      </c>
      <c r="O128" s="47">
        <f>+'Trim Rwd'!H112</f>
        <v>278.8095238095238</v>
      </c>
      <c r="P128" s="48">
        <f>O128*(Q128-R128-S128)</f>
        <v>260408.09523809524</v>
      </c>
      <c r="Q128" s="47">
        <v>960</v>
      </c>
      <c r="R128" s="397">
        <v>0</v>
      </c>
      <c r="S128" s="397">
        <v>26</v>
      </c>
      <c r="T128" s="37">
        <f>E128*M128*O128*Q128/100000000</f>
        <v>34.174464</v>
      </c>
      <c r="U128" s="37">
        <f>E128*M128*O128*(Q128-R128-S128)/100000000</f>
        <v>33.248905600000001</v>
      </c>
      <c r="V128" s="37">
        <f>E128*G128*(1-N128)*O128/100*(R128+S128)/1000000</f>
        <v>0.9255584</v>
      </c>
      <c r="W128" s="37">
        <f>+'29'!K12/1000</f>
        <v>21.547000000000001</v>
      </c>
      <c r="X128" s="394"/>
      <c r="Y128" s="213"/>
      <c r="Z128" s="37">
        <f>+'29'!D16/1000</f>
        <v>0.52</v>
      </c>
      <c r="AA128" s="49"/>
      <c r="AB128" s="49"/>
      <c r="AC128" s="37">
        <f>K128-T128</f>
        <v>0</v>
      </c>
      <c r="AD128" s="37">
        <f>+AM128+BA128</f>
        <v>0</v>
      </c>
      <c r="AE128" s="230" t="s">
        <v>426</v>
      </c>
      <c r="AF128" s="37"/>
      <c r="AG128" s="37">
        <v>0</v>
      </c>
      <c r="AH128" s="37"/>
      <c r="AI128" s="37"/>
      <c r="AJ128" s="37"/>
      <c r="AK128" s="37"/>
      <c r="AL128" s="37"/>
      <c r="AM128" s="37">
        <f>SUM(AF128:AL128)+AT128+AV128+AX128</f>
        <v>0</v>
      </c>
      <c r="AN128" s="37"/>
      <c r="AO128" s="37"/>
      <c r="AP128" s="37"/>
      <c r="AQ128" s="37"/>
      <c r="AR128" s="37">
        <f>SUM(AN128:AQ128)</f>
        <v>0</v>
      </c>
      <c r="AS128" s="37"/>
      <c r="AT128" s="37"/>
      <c r="AU128" s="37"/>
      <c r="AV128" s="37"/>
      <c r="AW128" s="37"/>
      <c r="AX128" s="37"/>
      <c r="AY128" s="37"/>
      <c r="AZ128" s="37"/>
      <c r="BA128" s="37">
        <f>+AR128+AS128+AU128+AW128+AY128+AZ128</f>
        <v>0</v>
      </c>
      <c r="BB128" s="33"/>
      <c r="BC128" s="51">
        <v>0</v>
      </c>
      <c r="BD128" s="51"/>
      <c r="BE128" s="51"/>
      <c r="BF128" s="51"/>
    </row>
    <row r="129" spans="1:58" ht="12.95" customHeight="1">
      <c r="A129" s="40"/>
      <c r="B129" s="41"/>
      <c r="C129" s="428"/>
      <c r="D129" s="41"/>
      <c r="E129" s="42"/>
      <c r="F129" s="42"/>
      <c r="G129" s="43"/>
      <c r="H129" s="542"/>
      <c r="I129" s="45"/>
      <c r="J129" s="86"/>
      <c r="K129" s="86"/>
      <c r="L129" s="35"/>
      <c r="M129" s="35"/>
      <c r="N129" s="46"/>
      <c r="O129" s="47"/>
      <c r="P129" s="48"/>
      <c r="Q129" s="47"/>
      <c r="R129" s="397"/>
      <c r="S129" s="397"/>
      <c r="T129" s="37"/>
      <c r="U129" s="37"/>
      <c r="V129" s="37"/>
      <c r="W129" s="37"/>
      <c r="X129" s="394"/>
      <c r="Y129" s="213"/>
      <c r="Z129" s="37"/>
      <c r="AA129" s="37"/>
      <c r="AB129" s="37"/>
      <c r="AC129" s="37"/>
      <c r="AD129" s="37">
        <f>+AM129+BA129</f>
        <v>26</v>
      </c>
      <c r="AE129" s="230" t="s">
        <v>527</v>
      </c>
      <c r="AF129" s="37"/>
      <c r="AG129" s="37"/>
      <c r="AH129" s="37">
        <v>26</v>
      </c>
      <c r="AI129" s="37"/>
      <c r="AJ129" s="37"/>
      <c r="AK129" s="37"/>
      <c r="AL129" s="37"/>
      <c r="AM129" s="37">
        <f>SUM(AF129:AL129)+AT129+AV129+AX129</f>
        <v>26</v>
      </c>
      <c r="AN129" s="37"/>
      <c r="AO129" s="37"/>
      <c r="AP129" s="37"/>
      <c r="AQ129" s="37"/>
      <c r="AR129" s="37">
        <f>SUM(AN129:AQ129)</f>
        <v>0</v>
      </c>
      <c r="AS129" s="37"/>
      <c r="AT129" s="37"/>
      <c r="AU129" s="37"/>
      <c r="AV129" s="37"/>
      <c r="AW129" s="37"/>
      <c r="AX129" s="37"/>
      <c r="AY129" s="37"/>
      <c r="AZ129" s="37"/>
      <c r="BA129" s="37">
        <f>+AR129+AS129+AU129+AW129+AY129+AZ129</f>
        <v>0</v>
      </c>
      <c r="BB129" s="33"/>
      <c r="BC129" s="51"/>
      <c r="BD129" s="51"/>
      <c r="BE129" s="51"/>
      <c r="BF129" s="51"/>
    </row>
    <row r="130" spans="1:58" ht="12.95" customHeight="1">
      <c r="A130" s="40"/>
      <c r="B130" s="41"/>
      <c r="C130" s="428"/>
      <c r="D130" s="41"/>
      <c r="E130" s="42"/>
      <c r="F130" s="42"/>
      <c r="G130" s="43"/>
      <c r="H130" s="542"/>
      <c r="I130" s="45"/>
      <c r="J130" s="86"/>
      <c r="K130" s="86"/>
      <c r="L130" s="35"/>
      <c r="M130" s="35"/>
      <c r="N130" s="46"/>
      <c r="O130" s="47"/>
      <c r="P130" s="48"/>
      <c r="Q130" s="47"/>
      <c r="R130" s="397"/>
      <c r="S130" s="397"/>
      <c r="T130" s="37"/>
      <c r="U130" s="37"/>
      <c r="V130" s="37"/>
      <c r="W130" s="37"/>
      <c r="X130" s="394"/>
      <c r="Y130" s="213"/>
      <c r="Z130" s="37"/>
      <c r="AA130" s="49"/>
      <c r="AB130" s="49"/>
      <c r="AC130" s="37"/>
      <c r="AD130" s="37"/>
      <c r="AE130" s="230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3"/>
      <c r="BC130" s="51"/>
      <c r="BD130" s="51"/>
      <c r="BE130" s="51"/>
      <c r="BF130" s="51"/>
    </row>
    <row r="131" spans="1:58" ht="12.95" customHeight="1">
      <c r="A131" s="40">
        <v>45960</v>
      </c>
      <c r="B131" s="41" t="s">
        <v>523</v>
      </c>
      <c r="C131" s="428">
        <f>(M131*E131*O131*Q131)/100000000</f>
        <v>36.465407999999996</v>
      </c>
      <c r="D131" s="41" t="s">
        <v>297</v>
      </c>
      <c r="E131" s="42">
        <v>12</v>
      </c>
      <c r="F131" s="42">
        <v>1</v>
      </c>
      <c r="G131" s="472">
        <v>1400</v>
      </c>
      <c r="H131" s="489">
        <f t="shared" ref="H131" si="33">+N131</f>
        <v>0.24</v>
      </c>
      <c r="I131" s="45">
        <v>0.88</v>
      </c>
      <c r="J131" s="86">
        <f>E131*G131*(1-H131)*1440/1000000*2.87</f>
        <v>52.767590399999996</v>
      </c>
      <c r="K131" s="86">
        <f>(IF(G131&lt;L131,L131,G131)*(1-IF(H131&lt;N131,H131,N131))*E131*O131*Q131)/100000000</f>
        <v>36.465407999999996</v>
      </c>
      <c r="L131" s="35">
        <v>1400</v>
      </c>
      <c r="M131" s="35">
        <f>+L131-L131*0.24</f>
        <v>1064</v>
      </c>
      <c r="N131" s="46">
        <f>1-(M131/L131)</f>
        <v>0.24</v>
      </c>
      <c r="O131" s="47">
        <f>+'Trim Rwd'!H115</f>
        <v>280</v>
      </c>
      <c r="P131" s="48">
        <f>O131*(Q131-R131-S131)</f>
        <v>277200</v>
      </c>
      <c r="Q131" s="47">
        <v>1020</v>
      </c>
      <c r="R131" s="397">
        <v>0</v>
      </c>
      <c r="S131" s="397">
        <v>30</v>
      </c>
      <c r="T131" s="37">
        <f>E131*M131*O131*Q131/100000000</f>
        <v>36.465407999999996</v>
      </c>
      <c r="U131" s="37">
        <f>E131*M131*O131*(Q131-R131-S131)/100000000</f>
        <v>35.392896</v>
      </c>
      <c r="V131" s="37">
        <f>E131*G131*(1-N131)*O131/100*(R131+S131)/1000000</f>
        <v>1.0725119999999999</v>
      </c>
      <c r="W131" s="37">
        <f>+'30'!K12/1000</f>
        <v>33.145000000000003</v>
      </c>
      <c r="X131" s="394">
        <f>SUM(W131:W134)/SUM(K131:K134)</f>
        <v>0.74764744878637046</v>
      </c>
      <c r="Y131" s="213">
        <f>+SUM(RBP!$AG$3:$AG$4)</f>
        <v>14.206</v>
      </c>
      <c r="Z131" s="37">
        <f>+'30'!D34/1000</f>
        <v>0.98299999999999998</v>
      </c>
      <c r="AA131" s="49">
        <f>SUM(U131:U134)-SUM(W131:W134)-SUM(Z131:Z134)-SUM(Y131:Y134)</f>
        <v>-4.3758680000000041</v>
      </c>
      <c r="AB131" s="49">
        <f>(SUM(K131:K134)-SUM(W131:W134)-SUM(Y131:Y134)-SUM(Z131:Z134)-SUM(AC131:AC134)-SUM(V131:V134))-AA131</f>
        <v>-1.8191250000000991E-2</v>
      </c>
      <c r="AC131" s="37">
        <f>K131-T131</f>
        <v>0</v>
      </c>
      <c r="AD131" s="37">
        <f>+AM131+BA131</f>
        <v>30</v>
      </c>
      <c r="AE131" s="230" t="s">
        <v>491</v>
      </c>
      <c r="AF131" s="37">
        <v>30</v>
      </c>
      <c r="AG131" s="37"/>
      <c r="AH131" s="37"/>
      <c r="AI131" s="37"/>
      <c r="AJ131" s="37"/>
      <c r="AK131" s="37"/>
      <c r="AL131" s="37"/>
      <c r="AM131" s="37">
        <f>SUM(AF131:AL131)+AT131+AV131+AX131</f>
        <v>30</v>
      </c>
      <c r="AN131" s="37"/>
      <c r="AO131" s="37"/>
      <c r="AP131" s="37"/>
      <c r="AQ131" s="37"/>
      <c r="AR131" s="37">
        <f>SUM(AN131:AQ131)</f>
        <v>0</v>
      </c>
      <c r="AS131" s="37"/>
      <c r="AT131" s="37"/>
      <c r="AU131" s="37"/>
      <c r="AV131" s="37"/>
      <c r="AW131" s="37"/>
      <c r="AX131" s="37"/>
      <c r="AY131" s="37"/>
      <c r="AZ131" s="37"/>
      <c r="BA131" s="37">
        <f>+AR131+AS131+AU131+AW131+AY131+AZ131</f>
        <v>0</v>
      </c>
      <c r="BB131" s="33">
        <v>6</v>
      </c>
      <c r="BC131" s="51"/>
      <c r="BD131" s="51"/>
      <c r="BE131" s="51"/>
      <c r="BF131" s="51"/>
    </row>
    <row r="132" spans="1:58" ht="12.95" customHeight="1">
      <c r="A132" s="40"/>
      <c r="B132" s="41" t="s">
        <v>416</v>
      </c>
      <c r="C132" s="428">
        <f>(M132*E132*O132*Q132)/100000000</f>
        <v>15.393840000000001</v>
      </c>
      <c r="D132" s="41" t="s">
        <v>297</v>
      </c>
      <c r="E132" s="42">
        <v>12.5</v>
      </c>
      <c r="F132" s="42">
        <v>1</v>
      </c>
      <c r="G132" s="604">
        <v>1385</v>
      </c>
      <c r="H132" s="489">
        <f>+N132</f>
        <v>0.22999999999999998</v>
      </c>
      <c r="I132" s="45">
        <v>0.88</v>
      </c>
      <c r="J132" s="86">
        <f>E132*G132*(1-H132)*1440/1000000*2.87</f>
        <v>55.092807000000008</v>
      </c>
      <c r="K132" s="86">
        <f>(IF(G132&lt;L132,L132,G132)*(1-IF(H132&lt;N132,H132,N132))*E132*O132*Q132)/100000000</f>
        <v>15.676815</v>
      </c>
      <c r="L132" s="35">
        <v>1360</v>
      </c>
      <c r="M132" s="35">
        <f>+L132-L132*0.23</f>
        <v>1047.2</v>
      </c>
      <c r="N132" s="46">
        <f>1-(M132/L132)</f>
        <v>0.22999999999999998</v>
      </c>
      <c r="O132" s="47">
        <f>+'Trim Rwd'!H116</f>
        <v>280</v>
      </c>
      <c r="P132" s="48">
        <f>O132*(Q132-R132-S132)</f>
        <v>110040</v>
      </c>
      <c r="Q132" s="47">
        <v>420</v>
      </c>
      <c r="R132" s="397">
        <v>0</v>
      </c>
      <c r="S132" s="397">
        <v>27</v>
      </c>
      <c r="T132" s="37">
        <f>E132*M132*O132*Q132/100000000</f>
        <v>15.393840000000001</v>
      </c>
      <c r="U132" s="37">
        <f>E132*M132*O132*(Q132-R132-S132)/100000000</f>
        <v>14.404235999999999</v>
      </c>
      <c r="V132" s="37">
        <f>E132*G132*(1-N132)*O132/100*(R132+S132)/1000000</f>
        <v>1.00779525</v>
      </c>
      <c r="W132" s="37">
        <f>+'30'!K13/1000</f>
        <v>5.8390000000000004</v>
      </c>
      <c r="X132" s="394"/>
      <c r="Y132" s="213"/>
      <c r="Z132" s="37"/>
      <c r="AA132" s="49"/>
      <c r="AB132" s="49"/>
      <c r="AC132" s="37">
        <f>K132-T132</f>
        <v>0.28297499999999864</v>
      </c>
      <c r="AD132" s="37">
        <f>+AM132+BA132</f>
        <v>0</v>
      </c>
      <c r="AE132" s="230" t="s">
        <v>426</v>
      </c>
      <c r="AF132" s="37"/>
      <c r="AG132" s="37">
        <v>0</v>
      </c>
      <c r="AH132" s="37"/>
      <c r="AI132" s="37"/>
      <c r="AJ132" s="37"/>
      <c r="AK132" s="37"/>
      <c r="AL132" s="37"/>
      <c r="AM132" s="37">
        <f>SUM(AF132:AL132)+AT132+AV132+AX132</f>
        <v>0</v>
      </c>
      <c r="AN132" s="37"/>
      <c r="AO132" s="37"/>
      <c r="AP132" s="37"/>
      <c r="AQ132" s="37"/>
      <c r="AR132" s="37">
        <f>SUM(AN132:AQ132)</f>
        <v>0</v>
      </c>
      <c r="AS132" s="37"/>
      <c r="AT132" s="37"/>
      <c r="AU132" s="37"/>
      <c r="AV132" s="37"/>
      <c r="AW132" s="37"/>
      <c r="AX132" s="37"/>
      <c r="AY132" s="37"/>
      <c r="AZ132" s="37"/>
      <c r="BA132" s="37">
        <f>+AR132+AS132+AU132+AW132+AY132+AZ132</f>
        <v>0</v>
      </c>
      <c r="BB132" s="33"/>
      <c r="BC132" s="51">
        <v>0</v>
      </c>
      <c r="BD132" s="51"/>
      <c r="BE132" s="51"/>
      <c r="BF132" s="51"/>
    </row>
    <row r="133" spans="1:58" ht="12.95" customHeight="1">
      <c r="A133" s="40"/>
      <c r="B133" s="41"/>
      <c r="C133" s="428"/>
      <c r="D133" s="41"/>
      <c r="E133" s="42"/>
      <c r="F133" s="42"/>
      <c r="G133" s="43"/>
      <c r="H133" s="542"/>
      <c r="I133" s="45"/>
      <c r="J133" s="86"/>
      <c r="K133" s="86"/>
      <c r="L133" s="35"/>
      <c r="M133" s="35"/>
      <c r="N133" s="46"/>
      <c r="O133" s="47"/>
      <c r="P133" s="48"/>
      <c r="Q133" s="47"/>
      <c r="R133" s="397"/>
      <c r="S133" s="397"/>
      <c r="T133" s="37"/>
      <c r="U133" s="37"/>
      <c r="V133" s="37"/>
      <c r="W133" s="37"/>
      <c r="X133" s="394"/>
      <c r="Y133" s="213"/>
      <c r="Z133" s="37"/>
      <c r="AA133" s="37"/>
      <c r="AB133" s="37"/>
      <c r="AC133" s="37"/>
      <c r="AD133" s="37">
        <f>+AM133+BA133</f>
        <v>27</v>
      </c>
      <c r="AE133" s="230" t="s">
        <v>463</v>
      </c>
      <c r="AF133" s="37"/>
      <c r="AG133" s="37"/>
      <c r="AH133" s="37">
        <v>27</v>
      </c>
      <c r="AI133" s="37"/>
      <c r="AJ133" s="37"/>
      <c r="AK133" s="37"/>
      <c r="AL133" s="37"/>
      <c r="AM133" s="37">
        <f>SUM(AF133:AL133)+AT133+AV133+AX133</f>
        <v>27</v>
      </c>
      <c r="AN133" s="37"/>
      <c r="AO133" s="37"/>
      <c r="AP133" s="37"/>
      <c r="AQ133" s="37"/>
      <c r="AR133" s="37">
        <f>SUM(AN133:AQ133)</f>
        <v>0</v>
      </c>
      <c r="AS133" s="37"/>
      <c r="AT133" s="37"/>
      <c r="AU133" s="37"/>
      <c r="AV133" s="37"/>
      <c r="AW133" s="37"/>
      <c r="AX133" s="37"/>
      <c r="AY133" s="37"/>
      <c r="AZ133" s="37"/>
      <c r="BA133" s="37">
        <f>+AR133+AS133+AU133+AW133+AY133+AZ133</f>
        <v>0</v>
      </c>
      <c r="BB133" s="33"/>
      <c r="BC133" s="51"/>
      <c r="BD133" s="51"/>
      <c r="BE133" s="51"/>
      <c r="BF133" s="51"/>
    </row>
    <row r="134" spans="1:58" ht="12.95" customHeight="1">
      <c r="A134" s="40"/>
      <c r="B134" s="41"/>
      <c r="C134" s="428"/>
      <c r="D134" s="41"/>
      <c r="E134" s="42"/>
      <c r="F134" s="42"/>
      <c r="G134" s="43"/>
      <c r="H134" s="542"/>
      <c r="I134" s="45"/>
      <c r="J134" s="86"/>
      <c r="K134" s="86"/>
      <c r="L134" s="35"/>
      <c r="M134" s="35"/>
      <c r="N134" s="46"/>
      <c r="O134" s="47"/>
      <c r="P134" s="48"/>
      <c r="Q134" s="47"/>
      <c r="R134" s="397"/>
      <c r="S134" s="397"/>
      <c r="T134" s="37"/>
      <c r="U134" s="37"/>
      <c r="V134" s="37"/>
      <c r="W134" s="37"/>
      <c r="X134" s="394"/>
      <c r="Y134" s="213"/>
      <c r="Z134" s="37"/>
      <c r="AA134" s="49"/>
      <c r="AB134" s="49"/>
      <c r="AC134" s="37"/>
      <c r="AD134" s="37"/>
      <c r="AE134" s="230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3"/>
      <c r="BC134" s="51"/>
      <c r="BD134" s="51"/>
      <c r="BE134" s="51"/>
      <c r="BF134" s="51"/>
    </row>
    <row r="135" spans="1:58" ht="12.95" customHeight="1">
      <c r="A135" s="40">
        <v>45961</v>
      </c>
      <c r="B135" s="41" t="s">
        <v>416</v>
      </c>
      <c r="C135" s="428">
        <f>(M135*E135*O135*Q135)/100000000</f>
        <v>41.783279999999998</v>
      </c>
      <c r="D135" s="41" t="s">
        <v>297</v>
      </c>
      <c r="E135" s="42">
        <v>12.5</v>
      </c>
      <c r="F135" s="42">
        <v>1</v>
      </c>
      <c r="G135" s="604">
        <v>1385</v>
      </c>
      <c r="H135" s="489">
        <f>+N135</f>
        <v>0.22999999999999998</v>
      </c>
      <c r="I135" s="45">
        <v>0.88</v>
      </c>
      <c r="J135" s="86">
        <f>E135*G135*(1-H135)*1440/1000000*2.87</f>
        <v>55.092807000000008</v>
      </c>
      <c r="K135" s="86">
        <f>(IF(G135&lt;L135,L135,G135)*(1-IF(H135&lt;N135,H135,N135))*E135*O135*Q135)/100000000</f>
        <v>42.551355000000001</v>
      </c>
      <c r="L135" s="35">
        <v>1360</v>
      </c>
      <c r="M135" s="35">
        <f>+L135-L135*0.23</f>
        <v>1047.2</v>
      </c>
      <c r="N135" s="46">
        <f>1-(M135/L135)</f>
        <v>0.22999999999999998</v>
      </c>
      <c r="O135" s="47">
        <f>+'Trim Rwd'!H118</f>
        <v>280</v>
      </c>
      <c r="P135" s="48">
        <f>O135*(Q135-R135-S135)</f>
        <v>311920</v>
      </c>
      <c r="Q135" s="47">
        <v>1140</v>
      </c>
      <c r="R135" s="397">
        <v>0</v>
      </c>
      <c r="S135" s="397">
        <v>26</v>
      </c>
      <c r="T135" s="37">
        <f>E135*M135*O135*Q135/100000000</f>
        <v>41.783279999999998</v>
      </c>
      <c r="U135" s="37">
        <f>E135*M135*O135*(Q135-R135-S135)/100000000</f>
        <v>40.830328000000002</v>
      </c>
      <c r="V135" s="37">
        <f>E135*G135*(1-N135)*O135/100*(R135+S135)/1000000</f>
        <v>0.97046949999999998</v>
      </c>
      <c r="W135" s="37">
        <f>+'31'!K7/1000</f>
        <v>42.015999999999998</v>
      </c>
      <c r="X135" s="394">
        <f>SUM(W135:W138)/SUM(K135:K138)</f>
        <v>0.84111558774454287</v>
      </c>
      <c r="Y135" s="213">
        <f>+SUM(RBP!$AG$3:$AG$4)</f>
        <v>14.206</v>
      </c>
      <c r="Z135" s="37">
        <f>+'31'!D34/1000</f>
        <v>0.66</v>
      </c>
      <c r="AA135" s="49">
        <f>SUM(U135:U138)-SUM(W135:W138)-SUM(Z135:Z138)-SUM(Y135:Y138)</f>
        <v>-8.4214665999999951</v>
      </c>
      <c r="AB135" s="49">
        <f>(SUM(K135:K138)-SUM(W135:W138)-SUM(Y135:Y138)-SUM(Z135:Z138)-SUM(AC135:AC138)-SUM(V135:V138))-AA135</f>
        <v>-1.1991980000006564E-2</v>
      </c>
      <c r="AC135" s="37">
        <f>K135-T135</f>
        <v>0.76807500000000317</v>
      </c>
      <c r="AD135" s="37">
        <f>+AM135+BA135</f>
        <v>10</v>
      </c>
      <c r="AE135" s="230" t="s">
        <v>456</v>
      </c>
      <c r="AF135" s="37">
        <v>10</v>
      </c>
      <c r="AG135" s="37"/>
      <c r="AH135" s="37"/>
      <c r="AI135" s="37"/>
      <c r="AJ135" s="37"/>
      <c r="AK135" s="37"/>
      <c r="AL135" s="37"/>
      <c r="AM135" s="37">
        <f>SUM(AF135:AL135)+AT135+AV135+AX135</f>
        <v>10</v>
      </c>
      <c r="AN135" s="37"/>
      <c r="AO135" s="37"/>
      <c r="AP135" s="37"/>
      <c r="AQ135" s="37"/>
      <c r="AR135" s="37">
        <f>SUM(AN135:AQ135)</f>
        <v>0</v>
      </c>
      <c r="AS135" s="37"/>
      <c r="AT135" s="37"/>
      <c r="AU135" s="37"/>
      <c r="AV135" s="37"/>
      <c r="AW135" s="37"/>
      <c r="AX135" s="37"/>
      <c r="AY135" s="37"/>
      <c r="AZ135" s="37"/>
      <c r="BA135" s="37">
        <f>+AR135+AS135+AU135+AW135+AY135+AZ135</f>
        <v>0</v>
      </c>
      <c r="BB135" s="33">
        <v>2</v>
      </c>
      <c r="BC135" s="51"/>
      <c r="BD135" s="51"/>
      <c r="BE135" s="51"/>
      <c r="BF135" s="51"/>
    </row>
    <row r="136" spans="1:58" ht="12.95" customHeight="1">
      <c r="A136" s="40"/>
      <c r="B136" s="41" t="s">
        <v>416</v>
      </c>
      <c r="C136" s="428">
        <f>(M136*E136*O136*Q136)/100000000</f>
        <v>11.189178</v>
      </c>
      <c r="D136" s="41" t="s">
        <v>297</v>
      </c>
      <c r="E136" s="42">
        <v>13</v>
      </c>
      <c r="F136" s="42">
        <v>1</v>
      </c>
      <c r="G136" s="604">
        <v>1330</v>
      </c>
      <c r="H136" s="489">
        <f>+N136</f>
        <v>0.22999999999999998</v>
      </c>
      <c r="I136" s="45">
        <v>0.88</v>
      </c>
      <c r="J136" s="86">
        <f>E136*G136*(1-H136)*1440/1000000*2.87</f>
        <v>55.021206239999998</v>
      </c>
      <c r="K136" s="86">
        <f>(IF(G136&lt;L136,L136,G136)*(1-IF(H136&lt;N136,H136,N136))*E136*O136*Q136)/100000000</f>
        <v>11.189178</v>
      </c>
      <c r="L136" s="35">
        <v>1350</v>
      </c>
      <c r="M136" s="35">
        <f>+L136-L136*0.23</f>
        <v>1039.5</v>
      </c>
      <c r="N136" s="46">
        <f>1-(M136/L136)</f>
        <v>0.22999999999999998</v>
      </c>
      <c r="O136" s="47">
        <f>+'Trim Rwd'!H119</f>
        <v>276</v>
      </c>
      <c r="P136" s="48">
        <f>O136*(Q136-R136-S136)</f>
        <v>80040</v>
      </c>
      <c r="Q136" s="47">
        <v>300</v>
      </c>
      <c r="R136" s="397">
        <v>0</v>
      </c>
      <c r="S136" s="397">
        <v>10</v>
      </c>
      <c r="T136" s="37">
        <f>E136*M136*O136*Q136/100000000</f>
        <v>11.189178</v>
      </c>
      <c r="U136" s="37">
        <f>E136*M136*O136*(Q136-R136-S136)/100000000</f>
        <v>10.816205399999999</v>
      </c>
      <c r="V136" s="37">
        <f>E136*G136*(1-N136)*O136/100*(R136+S136)/1000000</f>
        <v>0.36744708000000009</v>
      </c>
      <c r="W136" s="37">
        <f>+'31'!K19/1000</f>
        <v>3.1859999999999999</v>
      </c>
      <c r="X136" s="394"/>
      <c r="Y136" s="213"/>
      <c r="Z136" s="37"/>
      <c r="AA136" s="49"/>
      <c r="AB136" s="49"/>
      <c r="AC136" s="37">
        <f>K136-T136</f>
        <v>0</v>
      </c>
      <c r="AD136" s="37">
        <f>+AM136+BA136</f>
        <v>0</v>
      </c>
      <c r="AE136" s="230" t="s">
        <v>426</v>
      </c>
      <c r="AF136" s="37"/>
      <c r="AG136" s="37">
        <v>0</v>
      </c>
      <c r="AH136" s="37"/>
      <c r="AI136" s="37"/>
      <c r="AJ136" s="37"/>
      <c r="AK136" s="37"/>
      <c r="AL136" s="37"/>
      <c r="AM136" s="37">
        <f>SUM(AF136:AL136)+AT136+AV136+AX136</f>
        <v>0</v>
      </c>
      <c r="AN136" s="37"/>
      <c r="AO136" s="37"/>
      <c r="AP136" s="37"/>
      <c r="AQ136" s="37"/>
      <c r="AR136" s="37">
        <f>SUM(AN136:AQ136)</f>
        <v>0</v>
      </c>
      <c r="AS136" s="37"/>
      <c r="AT136" s="37"/>
      <c r="AU136" s="37"/>
      <c r="AV136" s="37"/>
      <c r="AW136" s="37"/>
      <c r="AX136" s="37"/>
      <c r="AY136" s="37"/>
      <c r="AZ136" s="37"/>
      <c r="BA136" s="37">
        <f>+AR136+AS136+AU136+AW136+AY136+AZ136</f>
        <v>0</v>
      </c>
      <c r="BB136" s="33"/>
      <c r="BC136" s="51">
        <v>0</v>
      </c>
      <c r="BD136" s="51"/>
      <c r="BE136" s="51"/>
      <c r="BF136" s="51"/>
    </row>
    <row r="137" spans="1:58" ht="12.95" customHeight="1">
      <c r="A137" s="40"/>
      <c r="B137" s="41"/>
      <c r="C137" s="428"/>
      <c r="D137" s="41"/>
      <c r="E137" s="42"/>
      <c r="F137" s="42"/>
      <c r="G137" s="43"/>
      <c r="H137" s="542"/>
      <c r="I137" s="45"/>
      <c r="J137" s="86"/>
      <c r="K137" s="86"/>
      <c r="L137" s="35"/>
      <c r="M137" s="35"/>
      <c r="N137" s="46"/>
      <c r="O137" s="47"/>
      <c r="P137" s="48"/>
      <c r="Q137" s="47"/>
      <c r="R137" s="397"/>
      <c r="S137" s="397"/>
      <c r="T137" s="37"/>
      <c r="U137" s="37"/>
      <c r="V137" s="37"/>
      <c r="W137" s="37"/>
      <c r="X137" s="394"/>
      <c r="Y137" s="213"/>
      <c r="Z137" s="37"/>
      <c r="AA137" s="37"/>
      <c r="AB137" s="37"/>
      <c r="AC137" s="37"/>
      <c r="AD137" s="37">
        <f>+AM137+BA137</f>
        <v>26</v>
      </c>
      <c r="AE137" s="230" t="s">
        <v>618</v>
      </c>
      <c r="AF137" s="37"/>
      <c r="AG137" s="37"/>
      <c r="AH137" s="37">
        <v>26</v>
      </c>
      <c r="AI137" s="37"/>
      <c r="AJ137" s="37"/>
      <c r="AK137" s="37"/>
      <c r="AL137" s="37"/>
      <c r="AM137" s="37">
        <f>SUM(AF137:AL137)+AT137+AV137+AX137</f>
        <v>26</v>
      </c>
      <c r="AN137" s="37"/>
      <c r="AO137" s="37"/>
      <c r="AP137" s="37"/>
      <c r="AQ137" s="37"/>
      <c r="AR137" s="37">
        <f>SUM(AN137:AQ137)</f>
        <v>0</v>
      </c>
      <c r="AS137" s="37"/>
      <c r="AT137" s="37"/>
      <c r="AU137" s="37"/>
      <c r="AV137" s="37"/>
      <c r="AW137" s="37"/>
      <c r="AX137" s="37"/>
      <c r="AY137" s="37"/>
      <c r="AZ137" s="37"/>
      <c r="BA137" s="37">
        <f>+AR137+AS137+AU137+AW137+AY137+AZ137</f>
        <v>0</v>
      </c>
      <c r="BB137" s="33"/>
      <c r="BC137" s="51"/>
      <c r="BD137" s="51"/>
      <c r="BE137" s="51"/>
      <c r="BF137" s="51"/>
    </row>
    <row r="138" spans="1:58" ht="12.95" customHeight="1">
      <c r="A138" s="40"/>
      <c r="B138" s="41"/>
      <c r="C138" s="428"/>
      <c r="D138" s="41"/>
      <c r="E138" s="42"/>
      <c r="F138" s="42"/>
      <c r="G138" s="43"/>
      <c r="H138" s="542"/>
      <c r="I138" s="45"/>
      <c r="J138" s="86"/>
      <c r="K138" s="86"/>
      <c r="L138" s="35"/>
      <c r="M138" s="35"/>
      <c r="N138" s="46"/>
      <c r="O138" s="47"/>
      <c r="P138" s="48"/>
      <c r="Q138" s="47"/>
      <c r="R138" s="397"/>
      <c r="S138" s="397"/>
      <c r="T138" s="37"/>
      <c r="U138" s="37"/>
      <c r="V138" s="37"/>
      <c r="W138" s="37"/>
      <c r="X138" s="394"/>
      <c r="Y138" s="213"/>
      <c r="Z138" s="37"/>
      <c r="AA138" s="49"/>
      <c r="AB138" s="49"/>
      <c r="AC138" s="37"/>
      <c r="AD138" s="37"/>
      <c r="AE138" s="230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3"/>
      <c r="BC138" s="51"/>
      <c r="BD138" s="51"/>
      <c r="BE138" s="51"/>
      <c r="BF138" s="51"/>
    </row>
    <row r="139" spans="1:58" ht="12.95" customHeight="1">
      <c r="A139" s="40"/>
      <c r="B139" s="41"/>
      <c r="C139" s="428"/>
      <c r="D139" s="41"/>
      <c r="E139" s="42"/>
      <c r="F139" s="42"/>
      <c r="G139" s="472"/>
      <c r="H139" s="542"/>
      <c r="I139" s="45"/>
      <c r="J139" s="86"/>
      <c r="K139" s="86"/>
      <c r="L139" s="35"/>
      <c r="M139" s="35"/>
      <c r="N139" s="46"/>
      <c r="O139" s="47"/>
      <c r="P139" s="48"/>
      <c r="Q139" s="47"/>
      <c r="R139" s="397"/>
      <c r="S139" s="397"/>
      <c r="T139" s="37"/>
      <c r="U139" s="37"/>
      <c r="V139" s="37"/>
      <c r="W139" s="37"/>
      <c r="X139" s="394"/>
      <c r="Y139" s="37"/>
      <c r="Z139" s="37"/>
      <c r="AA139" s="49"/>
      <c r="AB139" s="49"/>
      <c r="AC139" s="37"/>
      <c r="AD139" s="37"/>
      <c r="AE139" s="230"/>
      <c r="AF139" s="37"/>
      <c r="AG139" s="37"/>
      <c r="AH139" s="37"/>
      <c r="AI139" s="474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3"/>
      <c r="BC139" s="51"/>
      <c r="BD139" s="51"/>
      <c r="BE139" s="51"/>
      <c r="BF139" s="51"/>
    </row>
    <row r="140" spans="1:58" ht="12.95" customHeight="1">
      <c r="A140" s="40"/>
      <c r="B140" s="508"/>
      <c r="C140" s="428"/>
      <c r="D140" s="41"/>
      <c r="E140" s="246"/>
      <c r="F140" s="42"/>
      <c r="G140" s="43"/>
      <c r="H140" s="542"/>
      <c r="I140" s="45"/>
      <c r="J140" s="86"/>
      <c r="K140" s="86"/>
      <c r="L140" s="35"/>
      <c r="M140" s="35"/>
      <c r="N140" s="46"/>
      <c r="O140" s="47"/>
      <c r="P140" s="48"/>
      <c r="Q140" s="341"/>
      <c r="R140" s="50"/>
      <c r="S140" s="50"/>
      <c r="T140" s="37"/>
      <c r="U140" s="37"/>
      <c r="V140" s="37"/>
      <c r="W140" s="33"/>
      <c r="X140" s="394"/>
      <c r="Y140" s="38"/>
      <c r="Z140" s="33"/>
      <c r="AA140" s="49"/>
      <c r="AB140" s="49"/>
      <c r="AC140" s="37"/>
      <c r="AD140" s="37"/>
      <c r="AE140" s="20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3"/>
      <c r="BC140" s="51"/>
      <c r="BD140" s="51"/>
      <c r="BE140" s="50"/>
      <c r="BF140" s="51"/>
    </row>
    <row r="141" spans="1:58" ht="12.95" customHeight="1">
      <c r="A141" s="40"/>
      <c r="B141" s="508"/>
      <c r="C141" s="428"/>
      <c r="D141" s="41"/>
      <c r="E141" s="246"/>
      <c r="F141" s="42"/>
      <c r="G141" s="43"/>
      <c r="H141" s="44"/>
      <c r="I141" s="45"/>
      <c r="J141" s="86"/>
      <c r="K141" s="86"/>
      <c r="L141" s="35"/>
      <c r="M141" s="35"/>
      <c r="N141" s="46"/>
      <c r="O141" s="47"/>
      <c r="P141" s="48"/>
      <c r="Q141" s="341"/>
      <c r="R141" s="50"/>
      <c r="S141" s="50"/>
      <c r="T141" s="37"/>
      <c r="U141" s="37"/>
      <c r="V141" s="37"/>
      <c r="W141" s="33"/>
      <c r="X141" s="394"/>
      <c r="Y141" s="38"/>
      <c r="Z141" s="33"/>
      <c r="AA141" s="49"/>
      <c r="AB141" s="49"/>
      <c r="AC141" s="37"/>
      <c r="AD141" s="37"/>
      <c r="AE141" s="20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3"/>
      <c r="BC141" s="51"/>
      <c r="BD141" s="51"/>
      <c r="BE141" s="51"/>
      <c r="BF141" s="51"/>
    </row>
    <row r="142" spans="1:58" ht="12.95" customHeight="1">
      <c r="A142" s="40"/>
      <c r="B142" s="508"/>
      <c r="C142" s="428"/>
      <c r="D142" s="41"/>
      <c r="E142" s="246"/>
      <c r="F142" s="42"/>
      <c r="G142" s="43"/>
      <c r="H142" s="44"/>
      <c r="I142" s="45"/>
      <c r="J142" s="86"/>
      <c r="K142" s="86"/>
      <c r="L142" s="35"/>
      <c r="M142" s="35"/>
      <c r="N142" s="46"/>
      <c r="O142" s="47"/>
      <c r="P142" s="48"/>
      <c r="Q142" s="341"/>
      <c r="R142" s="50"/>
      <c r="S142" s="50"/>
      <c r="T142" s="37"/>
      <c r="U142" s="37"/>
      <c r="V142" s="37"/>
      <c r="W142" s="33"/>
      <c r="X142" s="394"/>
      <c r="Y142" s="38"/>
      <c r="Z142" s="33"/>
      <c r="AA142" s="49"/>
      <c r="AB142" s="49"/>
      <c r="AC142" s="37"/>
      <c r="AD142" s="37"/>
      <c r="AE142" s="20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3"/>
      <c r="BC142" s="51"/>
      <c r="BD142" s="51"/>
      <c r="BE142" s="51"/>
      <c r="BF142" s="51"/>
    </row>
    <row r="143" spans="1:58" ht="12.95" customHeight="1">
      <c r="A143" s="40"/>
      <c r="B143" s="508"/>
      <c r="C143" s="428"/>
      <c r="D143" s="41"/>
      <c r="E143" s="246"/>
      <c r="F143" s="42"/>
      <c r="G143" s="43"/>
      <c r="H143" s="44"/>
      <c r="I143" s="45"/>
      <c r="J143" s="86"/>
      <c r="K143" s="86"/>
      <c r="L143" s="35"/>
      <c r="M143" s="35"/>
      <c r="N143" s="46"/>
      <c r="O143" s="47"/>
      <c r="P143" s="48"/>
      <c r="Q143" s="341"/>
      <c r="R143" s="50"/>
      <c r="S143" s="50"/>
      <c r="T143" s="37"/>
      <c r="U143" s="37"/>
      <c r="V143" s="37"/>
      <c r="W143" s="33"/>
      <c r="X143" s="394"/>
      <c r="Y143" s="38"/>
      <c r="Z143" s="33"/>
      <c r="AA143" s="49"/>
      <c r="AB143" s="49"/>
      <c r="AC143" s="37"/>
      <c r="AD143" s="37"/>
      <c r="AE143" s="20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3"/>
      <c r="BC143" s="51"/>
      <c r="BD143" s="51"/>
      <c r="BE143" s="51"/>
      <c r="BF143" s="51"/>
    </row>
    <row r="144" spans="1:58" ht="12.95" customHeight="1">
      <c r="A144" s="40"/>
      <c r="B144" s="508"/>
      <c r="C144" s="428"/>
      <c r="D144" s="41"/>
      <c r="E144" s="246"/>
      <c r="F144" s="42"/>
      <c r="G144" s="43"/>
      <c r="H144" s="44"/>
      <c r="I144" s="45"/>
      <c r="J144" s="86"/>
      <c r="K144" s="86"/>
      <c r="L144" s="35"/>
      <c r="M144" s="35"/>
      <c r="N144" s="46"/>
      <c r="O144" s="47"/>
      <c r="P144" s="48"/>
      <c r="Q144" s="341"/>
      <c r="R144" s="50"/>
      <c r="S144" s="50"/>
      <c r="T144" s="37"/>
      <c r="U144" s="37"/>
      <c r="V144" s="37"/>
      <c r="W144" s="33"/>
      <c r="X144" s="394"/>
      <c r="Y144" s="38"/>
      <c r="Z144" s="33"/>
      <c r="AA144" s="49"/>
      <c r="AB144" s="49"/>
      <c r="AC144" s="37"/>
      <c r="AD144" s="37"/>
      <c r="AE144" s="20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3"/>
      <c r="BC144" s="51"/>
      <c r="BD144" s="53"/>
      <c r="BE144" s="33"/>
      <c r="BF144" s="53"/>
    </row>
    <row r="145" spans="1:58" ht="12.95" customHeight="1">
      <c r="A145" s="40"/>
      <c r="B145" s="508"/>
      <c r="C145" s="428"/>
      <c r="D145" s="41"/>
      <c r="E145" s="246"/>
      <c r="F145" s="42"/>
      <c r="G145" s="43"/>
      <c r="H145" s="44"/>
      <c r="I145" s="45"/>
      <c r="J145" s="86"/>
      <c r="K145" s="86"/>
      <c r="L145" s="35"/>
      <c r="M145" s="35"/>
      <c r="N145" s="46"/>
      <c r="O145" s="47"/>
      <c r="P145" s="48"/>
      <c r="Q145" s="341"/>
      <c r="R145" s="50"/>
      <c r="S145" s="50"/>
      <c r="T145" s="37"/>
      <c r="U145" s="37"/>
      <c r="V145" s="37"/>
      <c r="W145" s="33"/>
      <c r="X145" s="394"/>
      <c r="Y145" s="38"/>
      <c r="Z145" s="33"/>
      <c r="AA145" s="49"/>
      <c r="AB145" s="49"/>
      <c r="AC145" s="37"/>
      <c r="AD145" s="37"/>
      <c r="AE145" s="20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3"/>
      <c r="BC145" s="51"/>
      <c r="BD145" s="53"/>
      <c r="BE145" s="33"/>
      <c r="BF145" s="53"/>
    </row>
    <row r="146" spans="1:58" ht="12.95" customHeight="1">
      <c r="A146" s="40"/>
      <c r="B146" s="508"/>
      <c r="C146" s="428"/>
      <c r="D146" s="41"/>
      <c r="E146" s="42"/>
      <c r="F146" s="42"/>
      <c r="G146" s="43"/>
      <c r="H146" s="44"/>
      <c r="I146" s="45"/>
      <c r="J146" s="86"/>
      <c r="K146" s="86"/>
      <c r="L146" s="35"/>
      <c r="M146" s="35"/>
      <c r="N146" s="46"/>
      <c r="O146" s="47"/>
      <c r="P146" s="48"/>
      <c r="Q146" s="34"/>
      <c r="R146" s="397"/>
      <c r="S146" s="397"/>
      <c r="T146" s="37"/>
      <c r="U146" s="37"/>
      <c r="V146" s="37"/>
      <c r="W146" s="37"/>
      <c r="X146" s="394"/>
      <c r="Y146" s="38"/>
      <c r="Z146" s="37"/>
      <c r="AA146" s="49"/>
      <c r="AB146" s="49"/>
      <c r="AC146" s="37"/>
      <c r="AD146" s="37"/>
      <c r="AE146" s="20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3"/>
      <c r="BC146" s="51"/>
      <c r="BD146" s="51"/>
      <c r="BE146" s="51"/>
      <c r="BF146" s="51"/>
    </row>
    <row r="147" spans="1:58" ht="12.95" customHeight="1">
      <c r="A147" s="40"/>
      <c r="B147" s="508"/>
      <c r="C147" s="428"/>
      <c r="D147" s="41"/>
      <c r="E147" s="246"/>
      <c r="F147" s="42"/>
      <c r="G147" s="43"/>
      <c r="H147" s="44"/>
      <c r="I147" s="45"/>
      <c r="J147" s="86"/>
      <c r="K147" s="86"/>
      <c r="L147" s="35"/>
      <c r="M147" s="35"/>
      <c r="N147" s="46"/>
      <c r="O147" s="47"/>
      <c r="P147" s="48"/>
      <c r="Q147" s="341"/>
      <c r="R147" s="50"/>
      <c r="S147" s="50"/>
      <c r="T147" s="37"/>
      <c r="U147" s="37"/>
      <c r="V147" s="37"/>
      <c r="W147" s="33"/>
      <c r="X147" s="394"/>
      <c r="Y147" s="38"/>
      <c r="Z147" s="33"/>
      <c r="AA147" s="49"/>
      <c r="AB147" s="49"/>
      <c r="AC147" s="37"/>
      <c r="AD147" s="37"/>
      <c r="AE147" s="20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3"/>
      <c r="BC147" s="51"/>
      <c r="BD147" s="51"/>
      <c r="BE147" s="51"/>
      <c r="BF147" s="51"/>
    </row>
    <row r="148" spans="1:58" ht="12.95" customHeight="1">
      <c r="A148" s="40"/>
      <c r="B148" s="508"/>
      <c r="C148" s="428"/>
      <c r="D148" s="41"/>
      <c r="E148" s="246"/>
      <c r="F148" s="42"/>
      <c r="G148" s="43"/>
      <c r="H148" s="44"/>
      <c r="I148" s="45"/>
      <c r="J148" s="86"/>
      <c r="K148" s="86"/>
      <c r="L148" s="35"/>
      <c r="M148" s="35"/>
      <c r="N148" s="46"/>
      <c r="O148" s="47"/>
      <c r="P148" s="48"/>
      <c r="Q148" s="341"/>
      <c r="R148" s="50"/>
      <c r="S148" s="50"/>
      <c r="T148" s="37"/>
      <c r="U148" s="37"/>
      <c r="V148" s="37"/>
      <c r="W148" s="33"/>
      <c r="X148" s="394"/>
      <c r="Y148" s="38"/>
      <c r="Z148" s="33"/>
      <c r="AA148" s="49"/>
      <c r="AB148" s="49"/>
      <c r="AC148" s="37"/>
      <c r="AD148" s="37"/>
      <c r="AE148" s="20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3"/>
      <c r="BC148" s="51"/>
      <c r="BD148" s="51"/>
      <c r="BE148" s="51"/>
      <c r="BF148" s="51"/>
    </row>
    <row r="149" spans="1:58" ht="12.95" customHeight="1">
      <c r="A149" s="40"/>
      <c r="B149" s="508"/>
      <c r="C149" s="428"/>
      <c r="D149" s="41"/>
      <c r="E149" s="246"/>
      <c r="F149" s="42"/>
      <c r="G149" s="43"/>
      <c r="H149" s="44"/>
      <c r="I149" s="45"/>
      <c r="J149" s="86"/>
      <c r="K149" s="86"/>
      <c r="L149" s="35"/>
      <c r="M149" s="35"/>
      <c r="N149" s="46"/>
      <c r="O149" s="47"/>
      <c r="P149" s="48"/>
      <c r="Q149" s="341"/>
      <c r="R149" s="50"/>
      <c r="S149" s="50"/>
      <c r="T149" s="37"/>
      <c r="U149" s="37"/>
      <c r="V149" s="37"/>
      <c r="W149" s="33"/>
      <c r="X149" s="394"/>
      <c r="Y149" s="38"/>
      <c r="Z149" s="33"/>
      <c r="AA149" s="49"/>
      <c r="AB149" s="49"/>
      <c r="AC149" s="37"/>
      <c r="AD149" s="37"/>
      <c r="AE149" s="20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3"/>
      <c r="BC149" s="51"/>
      <c r="BD149" s="53"/>
      <c r="BE149" s="33"/>
      <c r="BF149" s="53"/>
    </row>
    <row r="150" spans="1:58" ht="12.95" customHeight="1">
      <c r="A150" s="40"/>
      <c r="B150" s="508"/>
      <c r="C150" s="428"/>
      <c r="D150" s="41"/>
      <c r="E150" s="42"/>
      <c r="F150" s="42"/>
      <c r="G150" s="43"/>
      <c r="H150" s="44"/>
      <c r="I150" s="45"/>
      <c r="J150" s="86"/>
      <c r="K150" s="86"/>
      <c r="L150" s="35"/>
      <c r="M150" s="35"/>
      <c r="N150" s="46"/>
      <c r="O150" s="47"/>
      <c r="P150" s="48"/>
      <c r="Q150" s="34"/>
      <c r="R150" s="397"/>
      <c r="S150" s="397"/>
      <c r="T150" s="37"/>
      <c r="U150" s="37"/>
      <c r="V150" s="37"/>
      <c r="W150" s="37"/>
      <c r="X150" s="394"/>
      <c r="Y150" s="38"/>
      <c r="Z150" s="37"/>
      <c r="AA150" s="49"/>
      <c r="AB150" s="49"/>
      <c r="AC150" s="37"/>
      <c r="AD150" s="37"/>
      <c r="AE150" s="20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3"/>
      <c r="BC150" s="51"/>
      <c r="BD150" s="51"/>
      <c r="BE150" s="51"/>
      <c r="BF150" s="51"/>
    </row>
    <row r="151" spans="1:58" ht="12.95" customHeight="1">
      <c r="A151" s="40"/>
      <c r="B151" s="508"/>
      <c r="C151" s="428"/>
      <c r="D151" s="41"/>
      <c r="E151" s="42"/>
      <c r="F151" s="42"/>
      <c r="G151" s="43"/>
      <c r="H151" s="44"/>
      <c r="I151" s="45"/>
      <c r="J151" s="86"/>
      <c r="K151" s="86"/>
      <c r="L151" s="35"/>
      <c r="M151" s="35"/>
      <c r="N151" s="46"/>
      <c r="O151" s="47"/>
      <c r="P151" s="48"/>
      <c r="Q151" s="34"/>
      <c r="R151" s="397"/>
      <c r="S151" s="397"/>
      <c r="T151" s="37"/>
      <c r="U151" s="37"/>
      <c r="V151" s="37"/>
      <c r="W151" s="37"/>
      <c r="X151" s="394"/>
      <c r="Y151" s="38"/>
      <c r="Z151" s="37"/>
      <c r="AA151" s="49"/>
      <c r="AB151" s="49"/>
      <c r="AC151" s="37"/>
      <c r="AD151" s="37"/>
      <c r="AE151" s="20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3"/>
      <c r="BC151" s="51"/>
      <c r="BD151" s="51"/>
      <c r="BE151" s="51"/>
      <c r="BF151" s="51"/>
    </row>
    <row r="152" spans="1:58" ht="12.75">
      <c r="A152" s="40"/>
      <c r="B152" s="41"/>
      <c r="C152" s="428"/>
      <c r="D152" s="41"/>
      <c r="E152" s="42"/>
      <c r="F152" s="42"/>
      <c r="G152" s="54"/>
      <c r="H152" s="55"/>
      <c r="I152" s="45"/>
      <c r="J152" s="86"/>
      <c r="K152" s="86"/>
      <c r="L152" s="35"/>
      <c r="M152" s="35"/>
      <c r="N152" s="46"/>
      <c r="O152" s="47"/>
      <c r="P152" s="48"/>
      <c r="Q152" s="341"/>
      <c r="R152" s="50"/>
      <c r="S152" s="50"/>
      <c r="T152" s="37"/>
      <c r="U152" s="37"/>
      <c r="V152" s="37"/>
      <c r="W152" s="33"/>
      <c r="X152" s="394"/>
      <c r="Y152" s="38"/>
      <c r="Z152" s="33"/>
      <c r="AA152" s="49"/>
      <c r="AB152" s="49"/>
      <c r="AC152" s="37"/>
      <c r="AD152" s="37"/>
      <c r="AE152" s="20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3"/>
      <c r="BC152" s="51"/>
      <c r="BD152" s="51"/>
      <c r="BE152" s="51"/>
      <c r="BF152" s="51"/>
    </row>
    <row r="153" spans="1:58" s="27" customFormat="1" ht="12.95" customHeight="1">
      <c r="A153" s="40"/>
      <c r="B153" s="41"/>
      <c r="C153" s="428"/>
      <c r="D153" s="41"/>
      <c r="E153" s="42"/>
      <c r="F153" s="42"/>
      <c r="G153" s="54"/>
      <c r="H153" s="55"/>
      <c r="I153" s="45"/>
      <c r="J153" s="86"/>
      <c r="K153" s="86"/>
      <c r="L153" s="35"/>
      <c r="M153" s="35"/>
      <c r="N153" s="46"/>
      <c r="O153" s="47"/>
      <c r="P153" s="48"/>
      <c r="Q153" s="341"/>
      <c r="R153" s="50"/>
      <c r="S153" s="50"/>
      <c r="T153" s="37"/>
      <c r="U153" s="37"/>
      <c r="V153" s="37"/>
      <c r="W153" s="33"/>
      <c r="X153" s="394"/>
      <c r="Y153" s="38"/>
      <c r="Z153" s="33"/>
      <c r="AA153" s="49">
        <f>U153-W153-Z153</f>
        <v>0</v>
      </c>
      <c r="AB153" s="49"/>
      <c r="AC153" s="37">
        <f>K153-T153</f>
        <v>0</v>
      </c>
      <c r="AD153" s="37"/>
      <c r="AE153" s="56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3"/>
      <c r="BC153" s="51"/>
      <c r="BD153" s="53"/>
      <c r="BE153" s="33"/>
      <c r="BF153" s="53"/>
    </row>
    <row r="154" spans="1:58" s="27" customFormat="1" ht="12.95" customHeight="1">
      <c r="A154" s="29"/>
      <c r="B154" s="29"/>
      <c r="C154" s="29"/>
      <c r="D154" s="29"/>
      <c r="E154" s="29"/>
      <c r="F154" s="58"/>
      <c r="G154" s="29"/>
      <c r="H154" s="29"/>
      <c r="I154" s="29"/>
      <c r="J154" s="87"/>
      <c r="K154" s="87"/>
      <c r="L154" s="59"/>
      <c r="M154" s="59"/>
      <c r="N154" s="29"/>
      <c r="O154" s="29"/>
      <c r="P154" s="29"/>
      <c r="Q154" s="342"/>
      <c r="R154" s="398"/>
      <c r="S154" s="398"/>
      <c r="T154" s="29"/>
      <c r="U154" s="29"/>
      <c r="V154" s="29"/>
      <c r="W154" s="29"/>
      <c r="X154" s="93"/>
      <c r="Y154" s="29"/>
      <c r="Z154" s="29"/>
      <c r="AA154" s="247">
        <f>U154-W154-Z154</f>
        <v>0</v>
      </c>
      <c r="AB154" s="247"/>
      <c r="AC154" s="248">
        <f>K154-T154</f>
        <v>0</v>
      </c>
      <c r="AD154" s="37"/>
      <c r="AE154" s="29"/>
      <c r="AF154" s="52"/>
      <c r="AG154" s="52"/>
      <c r="AH154" s="52"/>
      <c r="AI154" s="52"/>
      <c r="AJ154" s="52"/>
      <c r="AK154" s="52"/>
      <c r="AL154" s="52"/>
      <c r="AM154" s="37"/>
      <c r="AN154" s="52"/>
      <c r="AO154" s="52"/>
      <c r="AP154" s="52"/>
      <c r="AQ154" s="52"/>
      <c r="AR154" s="37"/>
      <c r="AS154" s="52"/>
      <c r="AT154" s="52"/>
      <c r="AU154" s="52"/>
      <c r="AV154" s="52"/>
      <c r="AW154" s="52"/>
      <c r="AX154" s="52"/>
      <c r="AY154" s="52"/>
      <c r="AZ154" s="52"/>
      <c r="BA154" s="37"/>
      <c r="BB154" s="67"/>
      <c r="BC154" s="67"/>
      <c r="BD154" s="53"/>
      <c r="BE154" s="33"/>
      <c r="BF154" s="53"/>
    </row>
    <row r="155" spans="1:58" ht="12.95" customHeight="1">
      <c r="A155" s="60"/>
      <c r="B155" s="61"/>
      <c r="C155" s="429">
        <f>SUM(C6:C153)</f>
        <v>1608.4215236853831</v>
      </c>
      <c r="D155" s="61"/>
      <c r="E155" s="62"/>
      <c r="F155" s="62"/>
      <c r="G155" s="63"/>
      <c r="H155" s="63"/>
      <c r="I155" s="64">
        <v>0.85</v>
      </c>
      <c r="J155" s="86"/>
      <c r="K155" s="88">
        <f>SUM(K6:K153)</f>
        <v>1624.484787112747</v>
      </c>
      <c r="L155" s="66"/>
      <c r="M155" s="66"/>
      <c r="N155" s="67"/>
      <c r="O155" s="68">
        <f>P155/(Q155-R155-S155)</f>
        <v>275.67714382075604</v>
      </c>
      <c r="P155" s="65">
        <f>SUM(P6:P153)</f>
        <v>11637159.272105575</v>
      </c>
      <c r="Q155" s="343">
        <f>SUM(Q6:Q154)</f>
        <v>44146</v>
      </c>
      <c r="R155" s="65">
        <f t="shared" ref="R155:W155" si="34">SUM(R6:R153)</f>
        <v>223</v>
      </c>
      <c r="S155" s="65">
        <f t="shared" si="34"/>
        <v>1710</v>
      </c>
      <c r="T155" s="65">
        <f t="shared" si="34"/>
        <v>1608.4215236853831</v>
      </c>
      <c r="U155" s="65">
        <f t="shared" si="34"/>
        <v>1538.9417881825802</v>
      </c>
      <c r="V155" s="368">
        <f t="shared" si="34"/>
        <v>69.621719504147876</v>
      </c>
      <c r="W155" s="475">
        <f t="shared" si="34"/>
        <v>1387.3799999999999</v>
      </c>
      <c r="X155" s="476">
        <f>W155/K155</f>
        <v>0.85404308554088604</v>
      </c>
      <c r="Y155" s="369">
        <f>SUM(Y6:Y153)</f>
        <v>28.411999999999999</v>
      </c>
      <c r="Z155" s="475">
        <f>SUM(Z6:Z153)</f>
        <v>25.168000000000003</v>
      </c>
      <c r="AA155" s="65">
        <f>SUM(AA6:AA153)</f>
        <v>97.98178818257972</v>
      </c>
      <c r="AB155" s="65">
        <f>SUM(AB6:AB153)</f>
        <v>-0.14198400134423128</v>
      </c>
      <c r="AC155" s="65">
        <f>SUM(AC6:AC153)</f>
        <v>16.06326342736369</v>
      </c>
      <c r="AD155" s="37">
        <f>SUM(AD6:AD154)</f>
        <v>1933</v>
      </c>
      <c r="AE155" s="69"/>
      <c r="AF155" s="65">
        <f t="shared" ref="AF155:BA155" si="35">SUM(AF6:AF154)</f>
        <v>500</v>
      </c>
      <c r="AG155" s="65">
        <f t="shared" si="35"/>
        <v>229</v>
      </c>
      <c r="AH155" s="65">
        <f t="shared" si="35"/>
        <v>830</v>
      </c>
      <c r="AI155" s="65">
        <f t="shared" si="35"/>
        <v>0</v>
      </c>
      <c r="AJ155" s="65">
        <f t="shared" si="35"/>
        <v>101</v>
      </c>
      <c r="AK155" s="65">
        <f t="shared" si="35"/>
        <v>50</v>
      </c>
      <c r="AL155" s="65">
        <f t="shared" si="35"/>
        <v>0</v>
      </c>
      <c r="AM155" s="65">
        <f t="shared" si="35"/>
        <v>1710</v>
      </c>
      <c r="AN155" s="52">
        <f t="shared" si="35"/>
        <v>0</v>
      </c>
      <c r="AO155" s="52">
        <f t="shared" si="35"/>
        <v>0</v>
      </c>
      <c r="AP155" s="52">
        <f t="shared" si="35"/>
        <v>0</v>
      </c>
      <c r="AQ155" s="52">
        <f t="shared" si="35"/>
        <v>0</v>
      </c>
      <c r="AR155" s="65">
        <f t="shared" si="35"/>
        <v>0</v>
      </c>
      <c r="AS155" s="65">
        <f t="shared" si="35"/>
        <v>0</v>
      </c>
      <c r="AT155" s="65">
        <f t="shared" si="35"/>
        <v>0</v>
      </c>
      <c r="AU155" s="65">
        <f t="shared" si="35"/>
        <v>0</v>
      </c>
      <c r="AV155" s="65">
        <f t="shared" si="35"/>
        <v>0</v>
      </c>
      <c r="AW155" s="65">
        <f t="shared" si="35"/>
        <v>223</v>
      </c>
      <c r="AX155" s="65">
        <f t="shared" si="35"/>
        <v>0</v>
      </c>
      <c r="AY155" s="65">
        <f t="shared" si="35"/>
        <v>0</v>
      </c>
      <c r="AZ155" s="65">
        <f t="shared" si="35"/>
        <v>0</v>
      </c>
      <c r="BA155" s="65">
        <f t="shared" si="35"/>
        <v>223</v>
      </c>
      <c r="BB155" s="52">
        <f>SUM(BB6:BB154)</f>
        <v>99</v>
      </c>
      <c r="BC155" s="52">
        <f>SUM(BC6:BC154)</f>
        <v>171</v>
      </c>
      <c r="BD155" s="52">
        <f>SUM(BD6:BD154)</f>
        <v>0</v>
      </c>
      <c r="BE155" s="52">
        <f>SUM(BE6:BE154)</f>
        <v>0</v>
      </c>
      <c r="BF155" s="52">
        <f>SUM(BF6:BF154)</f>
        <v>0</v>
      </c>
    </row>
    <row r="156" spans="1:58">
      <c r="A156" s="60"/>
      <c r="B156" s="61"/>
      <c r="C156" s="61"/>
      <c r="D156" s="61"/>
      <c r="E156" s="62"/>
      <c r="F156" s="62"/>
      <c r="G156" s="63"/>
      <c r="H156" s="63"/>
      <c r="I156" s="63"/>
      <c r="J156" s="89"/>
      <c r="K156" s="89"/>
      <c r="L156" s="66"/>
      <c r="M156" s="66"/>
      <c r="N156" s="67"/>
      <c r="O156" s="724"/>
      <c r="P156" s="725"/>
      <c r="Q156" s="63">
        <f>31*1440-Q155</f>
        <v>494</v>
      </c>
      <c r="R156" s="70">
        <f>R155/Q155</f>
        <v>5.0514202872287408E-3</v>
      </c>
      <c r="S156" s="70">
        <f>S155/Q155</f>
        <v>3.8735106238390792E-2</v>
      </c>
      <c r="T156" s="354"/>
      <c r="U156" s="354"/>
      <c r="V156" s="356">
        <f>V155/K155</f>
        <v>4.2857723295697321E-2</v>
      </c>
      <c r="W156" s="372" t="s">
        <v>182</v>
      </c>
      <c r="X156" s="477">
        <v>0.85</v>
      </c>
      <c r="Y156" s="370">
        <f>Y155/K155</f>
        <v>1.7489852921613154E-2</v>
      </c>
      <c r="Z156" s="71">
        <f>Z155/K155</f>
        <v>1.5492912091058705E-2</v>
      </c>
      <c r="AA156" s="71">
        <f>AA155/K155</f>
        <v>6.031560834541648E-2</v>
      </c>
      <c r="AB156" s="71">
        <f>AB155/K155</f>
        <v>-8.7402481371699609E-5</v>
      </c>
      <c r="AC156" s="478">
        <f>AC155/K155</f>
        <v>9.888220286699936E-3</v>
      </c>
      <c r="AD156" s="357"/>
      <c r="AE156" s="39"/>
      <c r="AF156" s="71">
        <f>AF155/$AD$155*$V$156</f>
        <v>1.1085805301525432E-2</v>
      </c>
      <c r="AG156" s="71">
        <f>AG155/$AD$155*$V$156</f>
        <v>5.0772988280986479E-3</v>
      </c>
      <c r="AH156" s="71">
        <f>AH155/$AD$155*$V$156</f>
        <v>1.8402436800532218E-2</v>
      </c>
      <c r="AI156" s="71">
        <f>AI155/$AD$155*$V$156</f>
        <v>0</v>
      </c>
      <c r="AJ156" s="71">
        <f t="shared" ref="AJ156:BA156" si="36">AJ155/$AD$155*$V$156</f>
        <v>2.2393326709081373E-3</v>
      </c>
      <c r="AK156" s="71">
        <f t="shared" si="36"/>
        <v>1.1085805301525432E-3</v>
      </c>
      <c r="AL156" s="71">
        <f t="shared" si="36"/>
        <v>0</v>
      </c>
      <c r="AM156" s="71">
        <f t="shared" si="36"/>
        <v>3.7913454131216981E-2</v>
      </c>
      <c r="AN156" s="71">
        <f t="shared" si="36"/>
        <v>0</v>
      </c>
      <c r="AO156" s="71">
        <f t="shared" si="36"/>
        <v>0</v>
      </c>
      <c r="AP156" s="71">
        <f t="shared" si="36"/>
        <v>0</v>
      </c>
      <c r="AQ156" s="71">
        <f t="shared" si="36"/>
        <v>0</v>
      </c>
      <c r="AR156" s="71">
        <f t="shared" si="36"/>
        <v>0</v>
      </c>
      <c r="AS156" s="71">
        <f t="shared" si="36"/>
        <v>0</v>
      </c>
      <c r="AT156" s="71">
        <f t="shared" si="36"/>
        <v>0</v>
      </c>
      <c r="AU156" s="71">
        <f t="shared" si="36"/>
        <v>0</v>
      </c>
      <c r="AV156" s="71">
        <f t="shared" si="36"/>
        <v>0</v>
      </c>
      <c r="AW156" s="71">
        <f t="shared" si="36"/>
        <v>4.9442691644803428E-3</v>
      </c>
      <c r="AX156" s="71">
        <f t="shared" si="36"/>
        <v>0</v>
      </c>
      <c r="AY156" s="71">
        <f t="shared" si="36"/>
        <v>0</v>
      </c>
      <c r="AZ156" s="71">
        <f t="shared" si="36"/>
        <v>0</v>
      </c>
      <c r="BA156" s="71">
        <f t="shared" si="36"/>
        <v>4.9442691644803428E-3</v>
      </c>
      <c r="BB156" s="34" t="s">
        <v>181</v>
      </c>
      <c r="BC156" s="34" t="s">
        <v>181</v>
      </c>
      <c r="BD156" s="34" t="s">
        <v>409</v>
      </c>
      <c r="BE156" s="34" t="s">
        <v>409</v>
      </c>
      <c r="BF156" s="34" t="s">
        <v>409</v>
      </c>
    </row>
    <row r="157" spans="1:58">
      <c r="A157" s="60"/>
      <c r="B157" s="61"/>
      <c r="C157" s="61"/>
      <c r="D157" s="61"/>
      <c r="E157" s="62"/>
      <c r="F157" s="62"/>
      <c r="G157" s="34"/>
      <c r="H157" s="34"/>
      <c r="I157" s="34"/>
      <c r="J157" s="86"/>
      <c r="K157" s="86"/>
      <c r="L157" s="35"/>
      <c r="M157" s="35"/>
      <c r="N157" s="33"/>
      <c r="O157" s="36"/>
      <c r="P157" s="28"/>
      <c r="Q157" s="34"/>
      <c r="R157" s="37">
        <f>R155-(BA155)</f>
        <v>0</v>
      </c>
      <c r="S157" s="37">
        <f>+S155-AM155</f>
        <v>0</v>
      </c>
      <c r="T157" s="33"/>
      <c r="U157" s="33"/>
      <c r="V157" s="33"/>
      <c r="W157" s="371">
        <f>+W155-'31'!M34/1000</f>
        <v>0</v>
      </c>
      <c r="X157" s="606"/>
      <c r="Y157" s="72"/>
      <c r="Z157" s="37">
        <f>+Z155-'31'!J56/1000</f>
        <v>0</v>
      </c>
      <c r="AA157" s="33"/>
      <c r="AB157" s="33"/>
      <c r="AC157" s="33"/>
      <c r="AD157" s="33"/>
      <c r="AE157" s="39"/>
      <c r="AF157" s="344"/>
      <c r="AG157" s="344"/>
      <c r="AH157" s="344"/>
      <c r="AI157" s="344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612">
        <v>0</v>
      </c>
      <c r="AU157" s="612">
        <v>0</v>
      </c>
      <c r="AV157" s="612">
        <v>172</v>
      </c>
      <c r="AW157" s="612">
        <v>545</v>
      </c>
      <c r="AX157" s="612">
        <v>0</v>
      </c>
      <c r="AY157" s="612">
        <v>0</v>
      </c>
      <c r="AZ157" s="612">
        <v>0</v>
      </c>
      <c r="BA157" s="81"/>
      <c r="BB157" s="479">
        <f>BB155/($Q$155/1440)/2</f>
        <v>1.61464232320029</v>
      </c>
      <c r="BC157" s="479">
        <f>BC155/($Q$155/1440)/2</f>
        <v>2.7889276491641373</v>
      </c>
      <c r="BD157" s="479">
        <f>BD155/($Q$155/1440)</f>
        <v>0</v>
      </c>
      <c r="BE157" s="479">
        <f>BE155/($Q$155/1440)</f>
        <v>0</v>
      </c>
      <c r="BF157" s="479">
        <f>BF155/($Q$155/1440)</f>
        <v>0</v>
      </c>
    </row>
    <row r="158" spans="1:58">
      <c r="A158" s="73"/>
      <c r="B158" s="74"/>
      <c r="C158" s="74"/>
      <c r="D158" s="74"/>
      <c r="E158" s="75"/>
      <c r="F158" s="75"/>
      <c r="G158" s="76"/>
      <c r="H158" s="76"/>
      <c r="I158" s="76"/>
      <c r="J158" s="90"/>
      <c r="K158" s="90"/>
      <c r="O158" s="77"/>
      <c r="P158" s="78"/>
      <c r="Q158" s="76"/>
      <c r="R158" s="57"/>
      <c r="S158" s="57"/>
      <c r="U158" s="79"/>
      <c r="V158" s="79"/>
      <c r="W158" s="80" t="s">
        <v>133</v>
      </c>
      <c r="X158" s="607">
        <f>W155/U155</f>
        <v>0.90151558080597194</v>
      </c>
      <c r="Y158" s="480"/>
      <c r="Z158" s="57"/>
      <c r="AD158" s="87"/>
      <c r="AE158" s="82"/>
      <c r="AF158" s="83"/>
      <c r="AG158" s="83"/>
      <c r="AH158" s="83"/>
      <c r="AI158" s="83"/>
      <c r="AJ158" s="83"/>
      <c r="AK158" s="83"/>
      <c r="AL158" s="83"/>
      <c r="AM158" s="83"/>
      <c r="AN158" s="81"/>
      <c r="AO158" s="81"/>
      <c r="AP158" s="81"/>
      <c r="AQ158" s="81"/>
      <c r="AR158" s="81"/>
      <c r="AS158" s="83"/>
      <c r="AT158" s="83"/>
      <c r="AU158" s="83"/>
      <c r="AV158" s="612">
        <f>0.5%*1440*31</f>
        <v>223.20000000000002</v>
      </c>
      <c r="AW158" s="612">
        <f>+AV157+AW157-AV158</f>
        <v>493.79999999999995</v>
      </c>
      <c r="AX158" s="83"/>
      <c r="AY158" s="83"/>
      <c r="AZ158" s="83"/>
      <c r="BA158" s="81"/>
      <c r="BB158" s="27"/>
      <c r="BC158" s="81"/>
      <c r="BD158" s="81"/>
      <c r="BE158" s="27"/>
      <c r="BF158" s="81"/>
    </row>
    <row r="159" spans="1:58">
      <c r="A159" s="73"/>
      <c r="B159" s="74"/>
      <c r="C159" s="74"/>
      <c r="D159" s="74"/>
      <c r="E159" s="75"/>
      <c r="F159" s="75"/>
      <c r="G159" s="76"/>
      <c r="H159" s="76"/>
      <c r="I159" s="76"/>
      <c r="J159" s="90"/>
      <c r="K159" s="90"/>
      <c r="O159" s="77"/>
      <c r="P159" s="78"/>
      <c r="Q159" s="76"/>
      <c r="R159" s="57"/>
      <c r="S159" s="57"/>
      <c r="U159" s="79"/>
      <c r="V159" s="79"/>
      <c r="W159" s="80"/>
      <c r="X159" s="608"/>
      <c r="Y159" s="81"/>
      <c r="Z159" s="57"/>
      <c r="AA159" s="93"/>
      <c r="AB159" s="93"/>
      <c r="AD159" s="87"/>
      <c r="AE159" s="82"/>
      <c r="AF159" s="83"/>
      <c r="AG159" s="83"/>
      <c r="AH159" s="83"/>
      <c r="AI159" s="83"/>
      <c r="AJ159" s="83"/>
      <c r="AK159" s="83"/>
      <c r="AL159" s="83"/>
      <c r="AM159" s="83"/>
      <c r="AN159" s="83"/>
      <c r="AO159" s="81"/>
      <c r="AP159" s="81"/>
      <c r="AQ159" s="81"/>
      <c r="AR159" s="83"/>
      <c r="AS159" s="81"/>
      <c r="AT159" s="81"/>
      <c r="AU159" s="81"/>
      <c r="AV159" s="81"/>
      <c r="AW159" s="81"/>
      <c r="AX159" s="81"/>
      <c r="AY159" s="81"/>
      <c r="AZ159" s="81"/>
      <c r="BA159" s="81"/>
      <c r="BB159" s="27"/>
      <c r="BC159" s="81"/>
      <c r="BD159" s="81"/>
      <c r="BE159" s="27"/>
      <c r="BF159" s="81"/>
    </row>
    <row r="160" spans="1:58">
      <c r="A160" s="73"/>
      <c r="B160" s="74"/>
      <c r="C160" s="74"/>
      <c r="D160" s="74"/>
      <c r="E160" s="75"/>
      <c r="F160" s="75"/>
      <c r="G160" s="76"/>
      <c r="H160" s="76"/>
      <c r="I160" s="76"/>
      <c r="J160" s="90"/>
      <c r="K160" s="90"/>
      <c r="O160" s="77"/>
      <c r="P160" s="78"/>
      <c r="Q160" s="76"/>
      <c r="R160" s="355"/>
      <c r="S160" s="57"/>
      <c r="U160" s="79"/>
      <c r="V160" s="79"/>
      <c r="W160" s="80" t="s">
        <v>156</v>
      </c>
      <c r="X160" s="609">
        <f>+W155+Y155</f>
        <v>1415.7919999999999</v>
      </c>
      <c r="Y160" s="81"/>
      <c r="Z160" s="57"/>
      <c r="AD160" s="87"/>
      <c r="AE160" s="82"/>
      <c r="AF160" s="87"/>
      <c r="AG160" s="87"/>
      <c r="AH160" s="87"/>
      <c r="AI160" s="87"/>
      <c r="AJ160" s="81"/>
      <c r="AK160" s="81"/>
      <c r="AL160" s="81"/>
      <c r="AM160" s="83"/>
      <c r="AN160" s="81"/>
      <c r="AO160" s="81"/>
      <c r="AP160" s="81"/>
      <c r="AQ160" s="81"/>
      <c r="AR160" s="83"/>
      <c r="AS160" s="81"/>
      <c r="AT160" s="81"/>
      <c r="AU160" s="81"/>
      <c r="AV160" s="81"/>
      <c r="AW160" s="81"/>
      <c r="AX160" s="81"/>
      <c r="AY160" s="81"/>
      <c r="AZ160" s="81"/>
      <c r="BA160" s="81"/>
      <c r="BB160" s="27"/>
      <c r="BC160" s="81"/>
      <c r="BD160" s="81"/>
      <c r="BE160" s="27"/>
      <c r="BF160" s="81"/>
    </row>
    <row r="161" spans="1:58">
      <c r="A161" s="73"/>
      <c r="C161" s="74" t="s">
        <v>294</v>
      </c>
      <c r="D161" s="74"/>
      <c r="E161" s="75"/>
      <c r="F161" s="75"/>
      <c r="G161" s="76"/>
      <c r="H161" s="76"/>
      <c r="I161" s="76"/>
      <c r="J161" s="90"/>
      <c r="K161" s="90"/>
      <c r="O161" s="77"/>
      <c r="P161" s="78"/>
      <c r="Q161" s="76"/>
      <c r="R161" s="355"/>
      <c r="S161" s="57"/>
      <c r="U161" s="79"/>
      <c r="V161" s="366"/>
      <c r="W161" s="367"/>
      <c r="X161" s="610"/>
      <c r="Y161" s="367"/>
      <c r="Z161" s="360"/>
      <c r="AD161" s="353"/>
      <c r="AE161" s="82"/>
      <c r="AF161" s="353"/>
      <c r="AG161" s="353"/>
      <c r="AH161" s="353"/>
      <c r="AI161" s="353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27"/>
      <c r="BC161" s="81"/>
      <c r="BD161" s="81"/>
      <c r="BE161" s="27"/>
      <c r="BF161" s="81"/>
    </row>
    <row r="162" spans="1:58">
      <c r="A162" s="73"/>
      <c r="B162" s="74"/>
      <c r="C162" s="74" t="s">
        <v>295</v>
      </c>
      <c r="D162" s="74"/>
      <c r="E162" s="75"/>
      <c r="F162" s="75"/>
      <c r="G162" s="76"/>
      <c r="H162" s="76"/>
      <c r="I162" s="76"/>
      <c r="J162" s="90"/>
      <c r="K162" s="90"/>
      <c r="O162" s="77"/>
      <c r="P162" s="78"/>
      <c r="Q162" s="76"/>
      <c r="R162" s="355"/>
      <c r="S162" s="57"/>
      <c r="V162" s="358"/>
      <c r="W162" s="359" t="s">
        <v>303</v>
      </c>
      <c r="X162" s="364"/>
      <c r="Y162" s="358"/>
      <c r="Z162" s="360"/>
      <c r="AE162" s="82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27"/>
      <c r="BE162" s="27"/>
    </row>
    <row r="163" spans="1:58">
      <c r="A163" s="73"/>
      <c r="B163" s="74"/>
      <c r="C163" s="74"/>
      <c r="D163" s="74"/>
      <c r="E163" s="75"/>
      <c r="F163" s="75"/>
      <c r="G163" s="76"/>
      <c r="H163" s="76"/>
      <c r="I163" s="76"/>
      <c r="J163" s="90"/>
      <c r="K163" s="90"/>
      <c r="O163" s="77"/>
      <c r="P163" s="78"/>
      <c r="Q163" s="76"/>
      <c r="R163" s="355"/>
      <c r="S163" s="57"/>
      <c r="V163" s="358"/>
      <c r="W163" s="361" t="s">
        <v>293</v>
      </c>
      <c r="X163" s="365">
        <f>Y156</f>
        <v>1.7489852921613154E-2</v>
      </c>
      <c r="Y163" s="362"/>
      <c r="Z163" s="360"/>
      <c r="AE163" s="82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27"/>
      <c r="BE163" s="27"/>
    </row>
    <row r="164" spans="1:58">
      <c r="R164" s="93"/>
      <c r="V164" s="358"/>
      <c r="W164" s="361" t="s">
        <v>161</v>
      </c>
      <c r="X164" s="364">
        <f>Z156</f>
        <v>1.5492912091058705E-2</v>
      </c>
      <c r="Y164" s="363"/>
      <c r="Z164" s="358"/>
    </row>
    <row r="165" spans="1:58">
      <c r="R165" s="93"/>
      <c r="V165" s="358"/>
      <c r="W165" s="361" t="s">
        <v>162</v>
      </c>
      <c r="X165" s="364">
        <f>AC156</f>
        <v>9.888220286699936E-3</v>
      </c>
      <c r="Y165" s="364"/>
      <c r="Z165" s="358"/>
    </row>
    <row r="166" spans="1:58">
      <c r="R166" s="93"/>
      <c r="V166" s="358"/>
      <c r="W166" s="361" t="s">
        <v>163</v>
      </c>
      <c r="X166" s="364">
        <f>AA156</f>
        <v>6.031560834541648E-2</v>
      </c>
      <c r="Y166" s="363"/>
      <c r="Z166" s="358"/>
    </row>
    <row r="167" spans="1:58">
      <c r="V167" s="358"/>
      <c r="W167" s="361" t="s">
        <v>179</v>
      </c>
      <c r="X167" s="364">
        <f>AB156</f>
        <v>-8.7402481371699609E-5</v>
      </c>
      <c r="Y167" s="363" t="s">
        <v>177</v>
      </c>
      <c r="Z167" s="358"/>
    </row>
    <row r="168" spans="1:58">
      <c r="V168" s="358"/>
      <c r="W168" s="361" t="s">
        <v>230</v>
      </c>
      <c r="X168" s="364">
        <f>AF156</f>
        <v>1.1085805301525432E-2</v>
      </c>
      <c r="Y168" s="363"/>
      <c r="Z168" s="358"/>
    </row>
    <row r="169" spans="1:58">
      <c r="V169" s="358"/>
      <c r="W169" s="361" t="s">
        <v>231</v>
      </c>
      <c r="X169" s="364">
        <f>+AG156</f>
        <v>5.0772988280986479E-3</v>
      </c>
      <c r="Y169" s="363"/>
      <c r="Z169" s="358"/>
    </row>
    <row r="170" spans="1:58">
      <c r="V170" s="358"/>
      <c r="W170" s="361" t="s">
        <v>232</v>
      </c>
      <c r="X170" s="364">
        <f>+AH156</f>
        <v>1.8402436800532218E-2</v>
      </c>
      <c r="Y170" s="363"/>
      <c r="Z170" s="358"/>
    </row>
    <row r="171" spans="1:58">
      <c r="V171" s="358"/>
      <c r="W171" s="361" t="s">
        <v>233</v>
      </c>
      <c r="X171" s="364">
        <f>+AI156</f>
        <v>0</v>
      </c>
      <c r="Y171" s="363"/>
      <c r="Z171" s="358"/>
    </row>
    <row r="172" spans="1:58">
      <c r="V172" s="358"/>
      <c r="W172" s="361" t="s">
        <v>170</v>
      </c>
      <c r="X172" s="364">
        <f>+AJ156</f>
        <v>2.2393326709081373E-3</v>
      </c>
      <c r="Y172" s="363"/>
      <c r="Z172" s="358"/>
    </row>
    <row r="173" spans="1:58">
      <c r="V173" s="358"/>
      <c r="W173" s="361" t="s">
        <v>172</v>
      </c>
      <c r="X173" s="364">
        <f>+AK156</f>
        <v>1.1085805301525432E-3</v>
      </c>
      <c r="Y173" s="363"/>
      <c r="Z173" s="358"/>
    </row>
    <row r="174" spans="1:58">
      <c r="V174" s="358"/>
      <c r="W174" s="361" t="s">
        <v>171</v>
      </c>
      <c r="X174" s="364">
        <f>+AL156</f>
        <v>0</v>
      </c>
      <c r="Y174" s="363"/>
      <c r="Z174" s="358"/>
    </row>
    <row r="175" spans="1:58">
      <c r="V175" s="358"/>
      <c r="W175" s="361" t="s">
        <v>164</v>
      </c>
      <c r="X175" s="364">
        <f>+AN156</f>
        <v>0</v>
      </c>
      <c r="Y175" s="363"/>
      <c r="Z175" s="358"/>
    </row>
    <row r="176" spans="1:58">
      <c r="V176" s="358"/>
      <c r="W176" s="361" t="s">
        <v>174</v>
      </c>
      <c r="X176" s="364">
        <f>+AO156</f>
        <v>0</v>
      </c>
      <c r="Y176" s="363"/>
      <c r="Z176" s="358"/>
    </row>
    <row r="177" spans="22:26" s="29" customFormat="1">
      <c r="V177" s="358"/>
      <c r="W177" s="361" t="s">
        <v>165</v>
      </c>
      <c r="X177" s="364">
        <f>+AP156</f>
        <v>0</v>
      </c>
      <c r="Y177" s="363"/>
      <c r="Z177" s="358"/>
    </row>
    <row r="178" spans="22:26" s="29" customFormat="1">
      <c r="V178" s="358"/>
      <c r="W178" s="361" t="s">
        <v>173</v>
      </c>
      <c r="X178" s="364">
        <f>+AQ156</f>
        <v>0</v>
      </c>
      <c r="Y178" s="363"/>
      <c r="Z178" s="358"/>
    </row>
    <row r="179" spans="22:26" s="29" customFormat="1">
      <c r="V179" s="358"/>
      <c r="W179" s="361" t="s">
        <v>176</v>
      </c>
      <c r="X179" s="364">
        <f>+AS156</f>
        <v>0</v>
      </c>
      <c r="Y179" s="363"/>
      <c r="Z179" s="358"/>
    </row>
    <row r="180" spans="22:26" s="29" customFormat="1">
      <c r="V180" s="358"/>
      <c r="W180" s="361" t="s">
        <v>296</v>
      </c>
      <c r="X180" s="364">
        <f>+AT156</f>
        <v>0</v>
      </c>
      <c r="Y180" s="363"/>
      <c r="Z180" s="358"/>
    </row>
    <row r="181" spans="22:26" s="29" customFormat="1">
      <c r="V181" s="358"/>
      <c r="W181" s="361" t="s">
        <v>272</v>
      </c>
      <c r="X181" s="364">
        <f>+AU156</f>
        <v>0</v>
      </c>
      <c r="Y181" s="363"/>
      <c r="Z181" s="358"/>
    </row>
    <row r="182" spans="22:26" s="29" customFormat="1">
      <c r="V182" s="358"/>
      <c r="W182" s="361" t="s">
        <v>305</v>
      </c>
      <c r="X182" s="364">
        <f>+AW156</f>
        <v>4.9442691644803428E-3</v>
      </c>
      <c r="Y182" s="363"/>
      <c r="Z182" s="358"/>
    </row>
    <row r="183" spans="22:26" s="29" customFormat="1">
      <c r="V183" s="358"/>
      <c r="W183" s="361" t="s">
        <v>306</v>
      </c>
      <c r="X183" s="364">
        <f>+AV156</f>
        <v>0</v>
      </c>
      <c r="Y183" s="363"/>
      <c r="Z183" s="358"/>
    </row>
    <row r="184" spans="22:26" s="29" customFormat="1">
      <c r="V184" s="358"/>
      <c r="W184" s="358" t="s">
        <v>175</v>
      </c>
      <c r="X184" s="364">
        <f>+AX156+AY156</f>
        <v>0</v>
      </c>
      <c r="Y184" s="364"/>
      <c r="Z184" s="358"/>
    </row>
    <row r="185" spans="22:26" s="29" customFormat="1">
      <c r="V185" s="358"/>
      <c r="W185" s="358" t="s">
        <v>304</v>
      </c>
      <c r="X185" s="364">
        <f>+AZ156</f>
        <v>0</v>
      </c>
      <c r="Y185" s="358"/>
      <c r="Z185" s="358"/>
    </row>
    <row r="186" spans="22:26" s="29" customFormat="1">
      <c r="V186" s="358"/>
      <c r="W186" s="358"/>
      <c r="X186" s="495">
        <f>SUM(X163:X185)</f>
        <v>0.14595691445911391</v>
      </c>
      <c r="Y186" s="358"/>
      <c r="Z186" s="358"/>
    </row>
    <row r="188" spans="22:26" s="29" customFormat="1">
      <c r="X188" s="93">
        <f>+X186+X155</f>
        <v>1</v>
      </c>
    </row>
  </sheetData>
  <mergeCells count="50">
    <mergeCell ref="O156:P156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  <mergeCell ref="AM3:AM5"/>
    <mergeCell ref="AN3:AR3"/>
    <mergeCell ref="AS3:AS5"/>
    <mergeCell ref="AF4:AH4"/>
    <mergeCell ref="AI4:AI5"/>
    <mergeCell ref="AJ4:AJ5"/>
    <mergeCell ref="AK4:AK5"/>
    <mergeCell ref="AQ4:AQ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T3:T5"/>
    <mergeCell ref="U3:U5"/>
  </mergeCells>
  <conditionalFormatting sqref="C150:C154 B150:B156 C156">
    <cfRule type="cellIs" dxfId="4107" priority="10481" stopIfTrue="1" operator="equal">
      <formula>"Towel"</formula>
    </cfRule>
    <cfRule type="cellIs" dxfId="4106" priority="10482" stopIfTrue="1" operator="equal">
      <formula>"Napkin Hs"</formula>
    </cfRule>
  </conditionalFormatting>
  <conditionalFormatting sqref="C150:C153">
    <cfRule type="cellIs" dxfId="4105" priority="10480" stopIfTrue="1" operator="equal">
      <formula>"Napkin Hs"</formula>
    </cfRule>
  </conditionalFormatting>
  <conditionalFormatting sqref="C150:C153">
    <cfRule type="cellIs" dxfId="4104" priority="10479" stopIfTrue="1" operator="equal">
      <formula>"Towel"</formula>
    </cfRule>
  </conditionalFormatting>
  <conditionalFormatting sqref="C150:C153">
    <cfRule type="cellIs" dxfId="4103" priority="10167" stopIfTrue="1" operator="equal">
      <formula>"Towel"</formula>
    </cfRule>
    <cfRule type="cellIs" dxfId="4102" priority="10168" stopIfTrue="1" operator="equal">
      <formula>"Napkin Hs"</formula>
    </cfRule>
  </conditionalFormatting>
  <conditionalFormatting sqref="B110:C110 B143:C149">
    <cfRule type="cellIs" dxfId="4101" priority="6647" stopIfTrue="1" operator="equal">
      <formula>"Towel"</formula>
    </cfRule>
    <cfRule type="cellIs" dxfId="4100" priority="6648" stopIfTrue="1" operator="equal">
      <formula>"Napkin Hs"</formula>
    </cfRule>
  </conditionalFormatting>
  <conditionalFormatting sqref="B121:C121">
    <cfRule type="cellIs" dxfId="4099" priority="6595" stopIfTrue="1" operator="equal">
      <formula>"Towel"</formula>
    </cfRule>
    <cfRule type="cellIs" dxfId="4098" priority="6596" stopIfTrue="1" operator="equal">
      <formula>"Napkin Hs"</formula>
    </cfRule>
  </conditionalFormatting>
  <conditionalFormatting sqref="C110 C143:C149">
    <cfRule type="cellIs" dxfId="4097" priority="6646" stopIfTrue="1" operator="equal">
      <formula>"Napkin Hs"</formula>
    </cfRule>
  </conditionalFormatting>
  <conditionalFormatting sqref="C110 C143:C149">
    <cfRule type="cellIs" dxfId="4096" priority="6645" stopIfTrue="1" operator="equal">
      <formula>"Towel"</formula>
    </cfRule>
  </conditionalFormatting>
  <conditionalFormatting sqref="C110">
    <cfRule type="cellIs" dxfId="4095" priority="6597" stopIfTrue="1" operator="equal">
      <formula>"Towel"</formula>
    </cfRule>
    <cfRule type="cellIs" dxfId="4094" priority="6598" stopIfTrue="1" operator="equal">
      <formula>"Napkin Hs"</formula>
    </cfRule>
  </conditionalFormatting>
  <conditionalFormatting sqref="C121">
    <cfRule type="cellIs" dxfId="4093" priority="6593" stopIfTrue="1" operator="equal">
      <formula>"Towel"</formula>
    </cfRule>
    <cfRule type="cellIs" dxfId="4092" priority="6594" stopIfTrue="1" operator="equal">
      <formula>"Napkin Hs"</formula>
    </cfRule>
  </conditionalFormatting>
  <conditionalFormatting sqref="C121">
    <cfRule type="cellIs" dxfId="4091" priority="6591" stopIfTrue="1" operator="equal">
      <formula>"Towel"</formula>
    </cfRule>
    <cfRule type="cellIs" dxfId="4090" priority="6592" stopIfTrue="1" operator="equal">
      <formula>"Napkin Hs"</formula>
    </cfRule>
  </conditionalFormatting>
  <conditionalFormatting sqref="C143:C149">
    <cfRule type="cellIs" dxfId="4089" priority="6587" stopIfTrue="1" operator="equal">
      <formula>"Towel"</formula>
    </cfRule>
    <cfRule type="cellIs" dxfId="4088" priority="6588" stopIfTrue="1" operator="equal">
      <formula>"Napkin Hs"</formula>
    </cfRule>
  </conditionalFormatting>
  <conditionalFormatting sqref="B120:C120">
    <cfRule type="cellIs" dxfId="4087" priority="6437" stopIfTrue="1" operator="equal">
      <formula>"Towel"</formula>
    </cfRule>
    <cfRule type="cellIs" dxfId="4086" priority="6438" stopIfTrue="1" operator="equal">
      <formula>"Napkin Hs"</formula>
    </cfRule>
  </conditionalFormatting>
  <conditionalFormatting sqref="C120">
    <cfRule type="cellIs" dxfId="4085" priority="6435" stopIfTrue="1" operator="equal">
      <formula>"Towel"</formula>
    </cfRule>
    <cfRule type="cellIs" dxfId="4084" priority="6436" stopIfTrue="1" operator="equal">
      <formula>"Napkin Hs"</formula>
    </cfRule>
  </conditionalFormatting>
  <conditionalFormatting sqref="C120">
    <cfRule type="cellIs" dxfId="4083" priority="6433" stopIfTrue="1" operator="equal">
      <formula>"Towel"</formula>
    </cfRule>
    <cfRule type="cellIs" dxfId="4082" priority="6434" stopIfTrue="1" operator="equal">
      <formula>"Napkin Hs"</formula>
    </cfRule>
  </conditionalFormatting>
  <conditionalFormatting sqref="C119">
    <cfRule type="cellIs" dxfId="4081" priority="6407" stopIfTrue="1" operator="equal">
      <formula>"Towel"</formula>
    </cfRule>
    <cfRule type="cellIs" dxfId="4080" priority="6408" stopIfTrue="1" operator="equal">
      <formula>"Napkin Hs"</formula>
    </cfRule>
  </conditionalFormatting>
  <conditionalFormatting sqref="C119">
    <cfRule type="cellIs" dxfId="4079" priority="6403" stopIfTrue="1" operator="equal">
      <formula>"Towel"</formula>
    </cfRule>
    <cfRule type="cellIs" dxfId="4078" priority="6404" stopIfTrue="1" operator="equal">
      <formula>"Napkin Hs"</formula>
    </cfRule>
  </conditionalFormatting>
  <conditionalFormatting sqref="B119:C119">
    <cfRule type="cellIs" dxfId="4077" priority="6405" stopIfTrue="1" operator="equal">
      <formula>"Towel"</formula>
    </cfRule>
    <cfRule type="cellIs" dxfId="4076" priority="6406" stopIfTrue="1" operator="equal">
      <formula>"Napkin Hs"</formula>
    </cfRule>
  </conditionalFormatting>
  <conditionalFormatting sqref="B122:C122">
    <cfRule type="cellIs" dxfId="4075" priority="6377" stopIfTrue="1" operator="equal">
      <formula>"Towel"</formula>
    </cfRule>
    <cfRule type="cellIs" dxfId="4074" priority="6378" stopIfTrue="1" operator="equal">
      <formula>"Napkin Hs"</formula>
    </cfRule>
  </conditionalFormatting>
  <conditionalFormatting sqref="C122">
    <cfRule type="cellIs" dxfId="4073" priority="6376" stopIfTrue="1" operator="equal">
      <formula>"Napkin Hs"</formula>
    </cfRule>
  </conditionalFormatting>
  <conditionalFormatting sqref="C122">
    <cfRule type="cellIs" dxfId="4072" priority="6373" stopIfTrue="1" operator="equal">
      <formula>"Towel"</formula>
    </cfRule>
    <cfRule type="cellIs" dxfId="4071" priority="6374" stopIfTrue="1" operator="equal">
      <formula>"Napkin Hs"</formula>
    </cfRule>
  </conditionalFormatting>
  <conditionalFormatting sqref="C122">
    <cfRule type="cellIs" dxfId="4070" priority="6375" stopIfTrue="1" operator="equal">
      <formula>"Towel"</formula>
    </cfRule>
  </conditionalFormatting>
  <conditionalFormatting sqref="B58:C58">
    <cfRule type="cellIs" dxfId="4069" priority="4591" stopIfTrue="1" operator="equal">
      <formula>"Towel"</formula>
    </cfRule>
    <cfRule type="cellIs" dxfId="4068" priority="4592" stopIfTrue="1" operator="equal">
      <formula>"Napkin Hs"</formula>
    </cfRule>
  </conditionalFormatting>
  <conditionalFormatting sqref="B41:C41">
    <cfRule type="cellIs" dxfId="4067" priority="4587" stopIfTrue="1" operator="equal">
      <formula>"Towel"</formula>
    </cfRule>
    <cfRule type="cellIs" dxfId="4066" priority="4588" stopIfTrue="1" operator="equal">
      <formula>"Napkin Hs"</formula>
    </cfRule>
  </conditionalFormatting>
  <conditionalFormatting sqref="B66:C66">
    <cfRule type="cellIs" dxfId="4065" priority="4577" stopIfTrue="1" operator="equal">
      <formula>"Towel"</formula>
    </cfRule>
    <cfRule type="cellIs" dxfId="4064" priority="4578" stopIfTrue="1" operator="equal">
      <formula>"Napkin Hs"</formula>
    </cfRule>
  </conditionalFormatting>
  <conditionalFormatting sqref="B70:C70">
    <cfRule type="cellIs" dxfId="4063" priority="4573" stopIfTrue="1" operator="equal">
      <formula>"Towel"</formula>
    </cfRule>
    <cfRule type="cellIs" dxfId="4062" priority="4574" stopIfTrue="1" operator="equal">
      <formula>"Napkin Hs"</formula>
    </cfRule>
  </conditionalFormatting>
  <conditionalFormatting sqref="B74:C74">
    <cfRule type="cellIs" dxfId="4061" priority="4567" stopIfTrue="1" operator="equal">
      <formula>"Towel"</formula>
    </cfRule>
    <cfRule type="cellIs" dxfId="4060" priority="4568" stopIfTrue="1" operator="equal">
      <formula>"Napkin Hs"</formula>
    </cfRule>
  </conditionalFormatting>
  <conditionalFormatting sqref="C58">
    <cfRule type="cellIs" dxfId="4059" priority="4590" stopIfTrue="1" operator="equal">
      <formula>"Napkin Hs"</formula>
    </cfRule>
  </conditionalFormatting>
  <conditionalFormatting sqref="C58">
    <cfRule type="cellIs" dxfId="4058" priority="4589" stopIfTrue="1" operator="equal">
      <formula>"Towel"</formula>
    </cfRule>
  </conditionalFormatting>
  <conditionalFormatting sqref="C41">
    <cfRule type="cellIs" dxfId="4057" priority="4585" stopIfTrue="1" operator="equal">
      <formula>"Towel"</formula>
    </cfRule>
    <cfRule type="cellIs" dxfId="4056" priority="4586" stopIfTrue="1" operator="equal">
      <formula>"Napkin Hs"</formula>
    </cfRule>
  </conditionalFormatting>
  <conditionalFormatting sqref="C41">
    <cfRule type="cellIs" dxfId="4055" priority="4583" stopIfTrue="1" operator="equal">
      <formula>"Towel"</formula>
    </cfRule>
    <cfRule type="cellIs" dxfId="4054" priority="4584" stopIfTrue="1" operator="equal">
      <formula>"Napkin Hs"</formula>
    </cfRule>
  </conditionalFormatting>
  <conditionalFormatting sqref="C58">
    <cfRule type="cellIs" dxfId="4053" priority="4581" stopIfTrue="1" operator="equal">
      <formula>"Towel"</formula>
    </cfRule>
    <cfRule type="cellIs" dxfId="4052" priority="4582" stopIfTrue="1" operator="equal">
      <formula>"Napkin Hs"</formula>
    </cfRule>
  </conditionalFormatting>
  <conditionalFormatting sqref="C66">
    <cfRule type="cellIs" dxfId="4051" priority="4579" stopIfTrue="1" operator="equal">
      <formula>"Towel"</formula>
    </cfRule>
    <cfRule type="cellIs" dxfId="4050" priority="4580" stopIfTrue="1" operator="equal">
      <formula>"Napkin Hs"</formula>
    </cfRule>
  </conditionalFormatting>
  <conditionalFormatting sqref="C66">
    <cfRule type="cellIs" dxfId="4049" priority="4575" stopIfTrue="1" operator="equal">
      <formula>"Towel"</formula>
    </cfRule>
    <cfRule type="cellIs" dxfId="4048" priority="4576" stopIfTrue="1" operator="equal">
      <formula>"Napkin Hs"</formula>
    </cfRule>
  </conditionalFormatting>
  <conditionalFormatting sqref="C70">
    <cfRule type="cellIs" dxfId="4047" priority="4569" stopIfTrue="1" operator="equal">
      <formula>"Towel"</formula>
    </cfRule>
    <cfRule type="cellIs" dxfId="4046" priority="4570" stopIfTrue="1" operator="equal">
      <formula>"Napkin Hs"</formula>
    </cfRule>
  </conditionalFormatting>
  <conditionalFormatting sqref="C70">
    <cfRule type="cellIs" dxfId="4045" priority="4571" stopIfTrue="1" operator="equal">
      <formula>"Towel"</formula>
    </cfRule>
    <cfRule type="cellIs" dxfId="4044" priority="4572" stopIfTrue="1" operator="equal">
      <formula>"Napkin Hs"</formula>
    </cfRule>
  </conditionalFormatting>
  <conditionalFormatting sqref="C74">
    <cfRule type="cellIs" dxfId="4043" priority="4563" stopIfTrue="1" operator="equal">
      <formula>"Towel"</formula>
    </cfRule>
    <cfRule type="cellIs" dxfId="4042" priority="4564" stopIfTrue="1" operator="equal">
      <formula>"Napkin Hs"</formula>
    </cfRule>
  </conditionalFormatting>
  <conditionalFormatting sqref="C74">
    <cfRule type="cellIs" dxfId="4041" priority="4565" stopIfTrue="1" operator="equal">
      <formula>"Towel"</formula>
    </cfRule>
    <cfRule type="cellIs" dxfId="4040" priority="4566" stopIfTrue="1" operator="equal">
      <formula>"Napkin Hs"</formula>
    </cfRule>
  </conditionalFormatting>
  <conditionalFormatting sqref="B31:C32">
    <cfRule type="cellIs" dxfId="4039" priority="4559" stopIfTrue="1" operator="equal">
      <formula>"Towel"</formula>
    </cfRule>
    <cfRule type="cellIs" dxfId="4038" priority="4560" stopIfTrue="1" operator="equal">
      <formula>"Napkin Hs"</formula>
    </cfRule>
  </conditionalFormatting>
  <conditionalFormatting sqref="C31:C32">
    <cfRule type="cellIs" dxfId="4037" priority="4558" stopIfTrue="1" operator="equal">
      <formula>"Napkin Hs"</formula>
    </cfRule>
  </conditionalFormatting>
  <conditionalFormatting sqref="C31:C32">
    <cfRule type="cellIs" dxfId="4036" priority="4555" stopIfTrue="1" operator="equal">
      <formula>"Towel"</formula>
    </cfRule>
    <cfRule type="cellIs" dxfId="4035" priority="4556" stopIfTrue="1" operator="equal">
      <formula>"Napkin Hs"</formula>
    </cfRule>
  </conditionalFormatting>
  <conditionalFormatting sqref="C31:C32">
    <cfRule type="cellIs" dxfId="4034" priority="4557" stopIfTrue="1" operator="equal">
      <formula>"Towel"</formula>
    </cfRule>
  </conditionalFormatting>
  <conditionalFormatting sqref="B37:C37">
    <cfRule type="cellIs" dxfId="4033" priority="4553" stopIfTrue="1" operator="equal">
      <formula>"Towel"</formula>
    </cfRule>
    <cfRule type="cellIs" dxfId="4032" priority="4554" stopIfTrue="1" operator="equal">
      <formula>"Napkin Hs"</formula>
    </cfRule>
  </conditionalFormatting>
  <conditionalFormatting sqref="C37">
    <cfRule type="cellIs" dxfId="4031" priority="4551" stopIfTrue="1" operator="equal">
      <formula>"Towel"</formula>
    </cfRule>
    <cfRule type="cellIs" dxfId="4030" priority="4552" stopIfTrue="1" operator="equal">
      <formula>"Napkin Hs"</formula>
    </cfRule>
  </conditionalFormatting>
  <conditionalFormatting sqref="C37">
    <cfRule type="cellIs" dxfId="4029" priority="4549" stopIfTrue="1" operator="equal">
      <formula>"Towel"</formula>
    </cfRule>
    <cfRule type="cellIs" dxfId="4028" priority="4550" stopIfTrue="1" operator="equal">
      <formula>"Napkin Hs"</formula>
    </cfRule>
  </conditionalFormatting>
  <conditionalFormatting sqref="B39:C40">
    <cfRule type="cellIs" dxfId="4027" priority="4547" stopIfTrue="1" operator="equal">
      <formula>"Towel"</formula>
    </cfRule>
    <cfRule type="cellIs" dxfId="4026" priority="4548" stopIfTrue="1" operator="equal">
      <formula>"Napkin Hs"</formula>
    </cfRule>
  </conditionalFormatting>
  <conditionalFormatting sqref="C39:C40">
    <cfRule type="cellIs" dxfId="4025" priority="4546" stopIfTrue="1" operator="equal">
      <formula>"Napkin Hs"</formula>
    </cfRule>
  </conditionalFormatting>
  <conditionalFormatting sqref="C39:C40">
    <cfRule type="cellIs" dxfId="4024" priority="4543" stopIfTrue="1" operator="equal">
      <formula>"Towel"</formula>
    </cfRule>
    <cfRule type="cellIs" dxfId="4023" priority="4544" stopIfTrue="1" operator="equal">
      <formula>"Napkin Hs"</formula>
    </cfRule>
  </conditionalFormatting>
  <conditionalFormatting sqref="C39:C40">
    <cfRule type="cellIs" dxfId="4022" priority="4545" stopIfTrue="1" operator="equal">
      <formula>"Towel"</formula>
    </cfRule>
  </conditionalFormatting>
  <conditionalFormatting sqref="B45:C45">
    <cfRule type="cellIs" dxfId="4021" priority="4541" stopIfTrue="1" operator="equal">
      <formula>"Towel"</formula>
    </cfRule>
    <cfRule type="cellIs" dxfId="4020" priority="4542" stopIfTrue="1" operator="equal">
      <formula>"Napkin Hs"</formula>
    </cfRule>
  </conditionalFormatting>
  <conditionalFormatting sqref="C45">
    <cfRule type="cellIs" dxfId="4019" priority="4537" stopIfTrue="1" operator="equal">
      <formula>"Towel"</formula>
    </cfRule>
    <cfRule type="cellIs" dxfId="4018" priority="4538" stopIfTrue="1" operator="equal">
      <formula>"Napkin Hs"</formula>
    </cfRule>
  </conditionalFormatting>
  <conditionalFormatting sqref="C45">
    <cfRule type="cellIs" dxfId="4017" priority="4539" stopIfTrue="1" operator="equal">
      <formula>"Towel"</formula>
    </cfRule>
    <cfRule type="cellIs" dxfId="4016" priority="4540" stopIfTrue="1" operator="equal">
      <formula>"Napkin Hs"</formula>
    </cfRule>
  </conditionalFormatting>
  <conditionalFormatting sqref="B42:C44">
    <cfRule type="cellIs" dxfId="4015" priority="4535" stopIfTrue="1" operator="equal">
      <formula>"Towel"</formula>
    </cfRule>
    <cfRule type="cellIs" dxfId="4014" priority="4536" stopIfTrue="1" operator="equal">
      <formula>"Napkin Hs"</formula>
    </cfRule>
  </conditionalFormatting>
  <conditionalFormatting sqref="C42:C44">
    <cfRule type="cellIs" dxfId="4013" priority="4534" stopIfTrue="1" operator="equal">
      <formula>"Napkin Hs"</formula>
    </cfRule>
  </conditionalFormatting>
  <conditionalFormatting sqref="C42:C44">
    <cfRule type="cellIs" dxfId="4012" priority="4531" stopIfTrue="1" operator="equal">
      <formula>"Towel"</formula>
    </cfRule>
    <cfRule type="cellIs" dxfId="4011" priority="4532" stopIfTrue="1" operator="equal">
      <formula>"Napkin Hs"</formula>
    </cfRule>
  </conditionalFormatting>
  <conditionalFormatting sqref="C42:C44">
    <cfRule type="cellIs" dxfId="4010" priority="4533" stopIfTrue="1" operator="equal">
      <formula>"Towel"</formula>
    </cfRule>
  </conditionalFormatting>
  <conditionalFormatting sqref="C65">
    <cfRule type="cellIs" dxfId="4009" priority="4529" stopIfTrue="1" operator="equal">
      <formula>"Towel"</formula>
    </cfRule>
    <cfRule type="cellIs" dxfId="4008" priority="4530" stopIfTrue="1" operator="equal">
      <formula>"Napkin Hs"</formula>
    </cfRule>
  </conditionalFormatting>
  <conditionalFormatting sqref="C65">
    <cfRule type="cellIs" dxfId="4007" priority="4528" stopIfTrue="1" operator="equal">
      <formula>"Napkin Hs"</formula>
    </cfRule>
  </conditionalFormatting>
  <conditionalFormatting sqref="C65">
    <cfRule type="cellIs" dxfId="4006" priority="4525" stopIfTrue="1" operator="equal">
      <formula>"Towel"</formula>
    </cfRule>
    <cfRule type="cellIs" dxfId="4005" priority="4526" stopIfTrue="1" operator="equal">
      <formula>"Napkin Hs"</formula>
    </cfRule>
  </conditionalFormatting>
  <conditionalFormatting sqref="C65">
    <cfRule type="cellIs" dxfId="4004" priority="4527" stopIfTrue="1" operator="equal">
      <formula>"Towel"</formula>
    </cfRule>
  </conditionalFormatting>
  <conditionalFormatting sqref="B68:C68">
    <cfRule type="cellIs" dxfId="4003" priority="4523" stopIfTrue="1" operator="equal">
      <formula>"Towel"</formula>
    </cfRule>
    <cfRule type="cellIs" dxfId="4002" priority="4524" stopIfTrue="1" operator="equal">
      <formula>"Napkin Hs"</formula>
    </cfRule>
  </conditionalFormatting>
  <conditionalFormatting sqref="C68">
    <cfRule type="cellIs" dxfId="4001" priority="4522" stopIfTrue="1" operator="equal">
      <formula>"Napkin Hs"</formula>
    </cfRule>
  </conditionalFormatting>
  <conditionalFormatting sqref="C68">
    <cfRule type="cellIs" dxfId="4000" priority="4519" stopIfTrue="1" operator="equal">
      <formula>"Towel"</formula>
    </cfRule>
    <cfRule type="cellIs" dxfId="3999" priority="4520" stopIfTrue="1" operator="equal">
      <formula>"Napkin Hs"</formula>
    </cfRule>
  </conditionalFormatting>
  <conditionalFormatting sqref="C68">
    <cfRule type="cellIs" dxfId="3998" priority="4521" stopIfTrue="1" operator="equal">
      <formula>"Towel"</formula>
    </cfRule>
  </conditionalFormatting>
  <conditionalFormatting sqref="B75:C76">
    <cfRule type="cellIs" dxfId="3997" priority="4517" stopIfTrue="1" operator="equal">
      <formula>"Towel"</formula>
    </cfRule>
    <cfRule type="cellIs" dxfId="3996" priority="4518" stopIfTrue="1" operator="equal">
      <formula>"Napkin Hs"</formula>
    </cfRule>
  </conditionalFormatting>
  <conditionalFormatting sqref="C75:C76">
    <cfRule type="cellIs" dxfId="3995" priority="4516" stopIfTrue="1" operator="equal">
      <formula>"Napkin Hs"</formula>
    </cfRule>
  </conditionalFormatting>
  <conditionalFormatting sqref="C75:C76">
    <cfRule type="cellIs" dxfId="3994" priority="4513" stopIfTrue="1" operator="equal">
      <formula>"Towel"</formula>
    </cfRule>
    <cfRule type="cellIs" dxfId="3993" priority="4514" stopIfTrue="1" operator="equal">
      <formula>"Napkin Hs"</formula>
    </cfRule>
  </conditionalFormatting>
  <conditionalFormatting sqref="C75:C76">
    <cfRule type="cellIs" dxfId="3992" priority="4515" stopIfTrue="1" operator="equal">
      <formula>"Towel"</formula>
    </cfRule>
  </conditionalFormatting>
  <conditionalFormatting sqref="B18:C18">
    <cfRule type="cellIs" dxfId="3991" priority="4499" stopIfTrue="1" operator="equal">
      <formula>"Towel"</formula>
    </cfRule>
    <cfRule type="cellIs" dxfId="3990" priority="4500" stopIfTrue="1" operator="equal">
      <formula>"Napkin Hs"</formula>
    </cfRule>
  </conditionalFormatting>
  <conditionalFormatting sqref="C18">
    <cfRule type="cellIs" dxfId="3989" priority="4498" stopIfTrue="1" operator="equal">
      <formula>"Napkin Hs"</formula>
    </cfRule>
  </conditionalFormatting>
  <conditionalFormatting sqref="C18">
    <cfRule type="cellIs" dxfId="3988" priority="4495" stopIfTrue="1" operator="equal">
      <formula>"Towel"</formula>
    </cfRule>
    <cfRule type="cellIs" dxfId="3987" priority="4496" stopIfTrue="1" operator="equal">
      <formula>"Napkin Hs"</formula>
    </cfRule>
  </conditionalFormatting>
  <conditionalFormatting sqref="C18">
    <cfRule type="cellIs" dxfId="3986" priority="4497" stopIfTrue="1" operator="equal">
      <formula>"Towel"</formula>
    </cfRule>
  </conditionalFormatting>
  <conditionalFormatting sqref="B19:C19">
    <cfRule type="cellIs" dxfId="3985" priority="4493" stopIfTrue="1" operator="equal">
      <formula>"Towel"</formula>
    </cfRule>
    <cfRule type="cellIs" dxfId="3984" priority="4494" stopIfTrue="1" operator="equal">
      <formula>"Napkin Hs"</formula>
    </cfRule>
  </conditionalFormatting>
  <conditionalFormatting sqref="C19">
    <cfRule type="cellIs" dxfId="3983" priority="4492" stopIfTrue="1" operator="equal">
      <formula>"Napkin Hs"</formula>
    </cfRule>
  </conditionalFormatting>
  <conditionalFormatting sqref="C19">
    <cfRule type="cellIs" dxfId="3982" priority="4489" stopIfTrue="1" operator="equal">
      <formula>"Towel"</formula>
    </cfRule>
    <cfRule type="cellIs" dxfId="3981" priority="4490" stopIfTrue="1" operator="equal">
      <formula>"Napkin Hs"</formula>
    </cfRule>
  </conditionalFormatting>
  <conditionalFormatting sqref="C19">
    <cfRule type="cellIs" dxfId="3980" priority="4491" stopIfTrue="1" operator="equal">
      <formula>"Towel"</formula>
    </cfRule>
  </conditionalFormatting>
  <conditionalFormatting sqref="B24:C24">
    <cfRule type="cellIs" dxfId="3979" priority="4487" stopIfTrue="1" operator="equal">
      <formula>"Towel"</formula>
    </cfRule>
    <cfRule type="cellIs" dxfId="3978" priority="4488" stopIfTrue="1" operator="equal">
      <formula>"Napkin Hs"</formula>
    </cfRule>
  </conditionalFormatting>
  <conditionalFormatting sqref="C24">
    <cfRule type="cellIs" dxfId="3977" priority="4486" stopIfTrue="1" operator="equal">
      <formula>"Napkin Hs"</formula>
    </cfRule>
  </conditionalFormatting>
  <conditionalFormatting sqref="C24">
    <cfRule type="cellIs" dxfId="3976" priority="4483" stopIfTrue="1" operator="equal">
      <formula>"Towel"</formula>
    </cfRule>
    <cfRule type="cellIs" dxfId="3975" priority="4484" stopIfTrue="1" operator="equal">
      <formula>"Napkin Hs"</formula>
    </cfRule>
  </conditionalFormatting>
  <conditionalFormatting sqref="C24">
    <cfRule type="cellIs" dxfId="3974" priority="4485" stopIfTrue="1" operator="equal">
      <formula>"Towel"</formula>
    </cfRule>
  </conditionalFormatting>
  <conditionalFormatting sqref="B30:C30">
    <cfRule type="cellIs" dxfId="3973" priority="4481" stopIfTrue="1" operator="equal">
      <formula>"Towel"</formula>
    </cfRule>
    <cfRule type="cellIs" dxfId="3972" priority="4482" stopIfTrue="1" operator="equal">
      <formula>"Napkin Hs"</formula>
    </cfRule>
  </conditionalFormatting>
  <conditionalFormatting sqref="C30">
    <cfRule type="cellIs" dxfId="3971" priority="4480" stopIfTrue="1" operator="equal">
      <formula>"Napkin Hs"</formula>
    </cfRule>
  </conditionalFormatting>
  <conditionalFormatting sqref="C30">
    <cfRule type="cellIs" dxfId="3970" priority="4477" stopIfTrue="1" operator="equal">
      <formula>"Towel"</formula>
    </cfRule>
    <cfRule type="cellIs" dxfId="3969" priority="4478" stopIfTrue="1" operator="equal">
      <formula>"Napkin Hs"</formula>
    </cfRule>
  </conditionalFormatting>
  <conditionalFormatting sqref="C30">
    <cfRule type="cellIs" dxfId="3968" priority="4479" stopIfTrue="1" operator="equal">
      <formula>"Towel"</formula>
    </cfRule>
  </conditionalFormatting>
  <conditionalFormatting sqref="B28:C28">
    <cfRule type="cellIs" dxfId="3967" priority="4475" stopIfTrue="1" operator="equal">
      <formula>"Towel"</formula>
    </cfRule>
    <cfRule type="cellIs" dxfId="3966" priority="4476" stopIfTrue="1" operator="equal">
      <formula>"Napkin Hs"</formula>
    </cfRule>
  </conditionalFormatting>
  <conditionalFormatting sqref="C28">
    <cfRule type="cellIs" dxfId="3965" priority="4474" stopIfTrue="1" operator="equal">
      <formula>"Napkin Hs"</formula>
    </cfRule>
  </conditionalFormatting>
  <conditionalFormatting sqref="C28">
    <cfRule type="cellIs" dxfId="3964" priority="4471" stopIfTrue="1" operator="equal">
      <formula>"Towel"</formula>
    </cfRule>
    <cfRule type="cellIs" dxfId="3963" priority="4472" stopIfTrue="1" operator="equal">
      <formula>"Napkin Hs"</formula>
    </cfRule>
  </conditionalFormatting>
  <conditionalFormatting sqref="C28">
    <cfRule type="cellIs" dxfId="3962" priority="4473" stopIfTrue="1" operator="equal">
      <formula>"Towel"</formula>
    </cfRule>
  </conditionalFormatting>
  <conditionalFormatting sqref="C13">
    <cfRule type="cellIs" dxfId="3961" priority="4445" stopIfTrue="1" operator="equal">
      <formula>"Towel"</formula>
    </cfRule>
    <cfRule type="cellIs" dxfId="3960" priority="4446" stopIfTrue="1" operator="equal">
      <formula>"Napkin Hs"</formula>
    </cfRule>
  </conditionalFormatting>
  <conditionalFormatting sqref="C13">
    <cfRule type="cellIs" dxfId="3959" priority="4443" stopIfTrue="1" operator="equal">
      <formula>"Towel"</formula>
    </cfRule>
    <cfRule type="cellIs" dxfId="3958" priority="4444" stopIfTrue="1" operator="equal">
      <formula>"Napkin Hs"</formula>
    </cfRule>
  </conditionalFormatting>
  <conditionalFormatting sqref="C13">
    <cfRule type="cellIs" dxfId="3957" priority="4441" stopIfTrue="1" operator="equal">
      <formula>"Towel"</formula>
    </cfRule>
    <cfRule type="cellIs" dxfId="3956" priority="4442" stopIfTrue="1" operator="equal">
      <formula>"Napkin Hs"</formula>
    </cfRule>
  </conditionalFormatting>
  <conditionalFormatting sqref="B12:C12 B13">
    <cfRule type="cellIs" dxfId="3955" priority="4439" stopIfTrue="1" operator="equal">
      <formula>"Towel"</formula>
    </cfRule>
    <cfRule type="cellIs" dxfId="3954" priority="4440" stopIfTrue="1" operator="equal">
      <formula>"Napkin Hs"</formula>
    </cfRule>
  </conditionalFormatting>
  <conditionalFormatting sqref="C12">
    <cfRule type="cellIs" dxfId="3953" priority="4438" stopIfTrue="1" operator="equal">
      <formula>"Napkin Hs"</formula>
    </cfRule>
  </conditionalFormatting>
  <conditionalFormatting sqref="C12">
    <cfRule type="cellIs" dxfId="3952" priority="4435" stopIfTrue="1" operator="equal">
      <formula>"Towel"</formula>
    </cfRule>
    <cfRule type="cellIs" dxfId="3951" priority="4436" stopIfTrue="1" operator="equal">
      <formula>"Napkin Hs"</formula>
    </cfRule>
  </conditionalFormatting>
  <conditionalFormatting sqref="C12">
    <cfRule type="cellIs" dxfId="3950" priority="4437" stopIfTrue="1" operator="equal">
      <formula>"Towel"</formula>
    </cfRule>
  </conditionalFormatting>
  <conditionalFormatting sqref="B14:C14">
    <cfRule type="cellIs" dxfId="3949" priority="4433" stopIfTrue="1" operator="equal">
      <formula>"Towel"</formula>
    </cfRule>
    <cfRule type="cellIs" dxfId="3948" priority="4434" stopIfTrue="1" operator="equal">
      <formula>"Napkin Hs"</formula>
    </cfRule>
  </conditionalFormatting>
  <conditionalFormatting sqref="C14">
    <cfRule type="cellIs" dxfId="3947" priority="4432" stopIfTrue="1" operator="equal">
      <formula>"Napkin Hs"</formula>
    </cfRule>
  </conditionalFormatting>
  <conditionalFormatting sqref="C14">
    <cfRule type="cellIs" dxfId="3946" priority="4429" stopIfTrue="1" operator="equal">
      <formula>"Towel"</formula>
    </cfRule>
    <cfRule type="cellIs" dxfId="3945" priority="4430" stopIfTrue="1" operator="equal">
      <formula>"Napkin Hs"</formula>
    </cfRule>
  </conditionalFormatting>
  <conditionalFormatting sqref="C14">
    <cfRule type="cellIs" dxfId="3944" priority="4431" stopIfTrue="1" operator="equal">
      <formula>"Towel"</formula>
    </cfRule>
  </conditionalFormatting>
  <conditionalFormatting sqref="B14:C14">
    <cfRule type="cellIs" dxfId="3943" priority="4427" stopIfTrue="1" operator="equal">
      <formula>"Towel"</formula>
    </cfRule>
    <cfRule type="cellIs" dxfId="3942" priority="4428" stopIfTrue="1" operator="equal">
      <formula>"Napkin Hs"</formula>
    </cfRule>
  </conditionalFormatting>
  <conditionalFormatting sqref="C14">
    <cfRule type="cellIs" dxfId="3941" priority="4426" stopIfTrue="1" operator="equal">
      <formula>"Napkin Hs"</formula>
    </cfRule>
  </conditionalFormatting>
  <conditionalFormatting sqref="C14">
    <cfRule type="cellIs" dxfId="3940" priority="4423" stopIfTrue="1" operator="equal">
      <formula>"Towel"</formula>
    </cfRule>
    <cfRule type="cellIs" dxfId="3939" priority="4424" stopIfTrue="1" operator="equal">
      <formula>"Napkin Hs"</formula>
    </cfRule>
  </conditionalFormatting>
  <conditionalFormatting sqref="C14">
    <cfRule type="cellIs" dxfId="3938" priority="4425" stopIfTrue="1" operator="equal">
      <formula>"Towel"</formula>
    </cfRule>
  </conditionalFormatting>
  <conditionalFormatting sqref="C13">
    <cfRule type="cellIs" dxfId="3937" priority="4421" stopIfTrue="1" operator="equal">
      <formula>"Towel"</formula>
    </cfRule>
    <cfRule type="cellIs" dxfId="3936" priority="4422" stopIfTrue="1" operator="equal">
      <formula>"Napkin Hs"</formula>
    </cfRule>
  </conditionalFormatting>
  <conditionalFormatting sqref="C13">
    <cfRule type="cellIs" dxfId="3935" priority="4420" stopIfTrue="1" operator="equal">
      <formula>"Napkin Hs"</formula>
    </cfRule>
  </conditionalFormatting>
  <conditionalFormatting sqref="C13">
    <cfRule type="cellIs" dxfId="3934" priority="4417" stopIfTrue="1" operator="equal">
      <formula>"Towel"</formula>
    </cfRule>
    <cfRule type="cellIs" dxfId="3933" priority="4418" stopIfTrue="1" operator="equal">
      <formula>"Napkin Hs"</formula>
    </cfRule>
  </conditionalFormatting>
  <conditionalFormatting sqref="C13">
    <cfRule type="cellIs" dxfId="3932" priority="4419" stopIfTrue="1" operator="equal">
      <formula>"Towel"</formula>
    </cfRule>
  </conditionalFormatting>
  <conditionalFormatting sqref="B12:C12 B13">
    <cfRule type="cellIs" dxfId="3931" priority="4415" stopIfTrue="1" operator="equal">
      <formula>"Towel"</formula>
    </cfRule>
    <cfRule type="cellIs" dxfId="3930" priority="4416" stopIfTrue="1" operator="equal">
      <formula>"Napkin Hs"</formula>
    </cfRule>
  </conditionalFormatting>
  <conditionalFormatting sqref="C12">
    <cfRule type="cellIs" dxfId="3929" priority="4414" stopIfTrue="1" operator="equal">
      <formula>"Napkin Hs"</formula>
    </cfRule>
  </conditionalFormatting>
  <conditionalFormatting sqref="C12">
    <cfRule type="cellIs" dxfId="3928" priority="4411" stopIfTrue="1" operator="equal">
      <formula>"Towel"</formula>
    </cfRule>
    <cfRule type="cellIs" dxfId="3927" priority="4412" stopIfTrue="1" operator="equal">
      <formula>"Napkin Hs"</formula>
    </cfRule>
  </conditionalFormatting>
  <conditionalFormatting sqref="C12">
    <cfRule type="cellIs" dxfId="3926" priority="4413" stopIfTrue="1" operator="equal">
      <formula>"Towel"</formula>
    </cfRule>
  </conditionalFormatting>
  <conditionalFormatting sqref="B12:C12 B13">
    <cfRule type="cellIs" dxfId="3925" priority="4409" stopIfTrue="1" operator="equal">
      <formula>"Towel"</formula>
    </cfRule>
    <cfRule type="cellIs" dxfId="3924" priority="4410" stopIfTrue="1" operator="equal">
      <formula>"Napkin Hs"</formula>
    </cfRule>
  </conditionalFormatting>
  <conditionalFormatting sqref="C12">
    <cfRule type="cellIs" dxfId="3923" priority="4408" stopIfTrue="1" operator="equal">
      <formula>"Napkin Hs"</formula>
    </cfRule>
  </conditionalFormatting>
  <conditionalFormatting sqref="C12">
    <cfRule type="cellIs" dxfId="3922" priority="4405" stopIfTrue="1" operator="equal">
      <formula>"Towel"</formula>
    </cfRule>
    <cfRule type="cellIs" dxfId="3921" priority="4406" stopIfTrue="1" operator="equal">
      <formula>"Napkin Hs"</formula>
    </cfRule>
  </conditionalFormatting>
  <conditionalFormatting sqref="C12">
    <cfRule type="cellIs" dxfId="3920" priority="4407" stopIfTrue="1" operator="equal">
      <formula>"Towel"</formula>
    </cfRule>
  </conditionalFormatting>
  <conditionalFormatting sqref="B11:C11">
    <cfRule type="cellIs" dxfId="3919" priority="4403" stopIfTrue="1" operator="equal">
      <formula>"Towel"</formula>
    </cfRule>
    <cfRule type="cellIs" dxfId="3918" priority="4404" stopIfTrue="1" operator="equal">
      <formula>"Napkin Hs"</formula>
    </cfRule>
  </conditionalFormatting>
  <conditionalFormatting sqref="C11">
    <cfRule type="cellIs" dxfId="3917" priority="4402" stopIfTrue="1" operator="equal">
      <formula>"Napkin Hs"</formula>
    </cfRule>
  </conditionalFormatting>
  <conditionalFormatting sqref="C11">
    <cfRule type="cellIs" dxfId="3916" priority="4399" stopIfTrue="1" operator="equal">
      <formula>"Towel"</formula>
    </cfRule>
    <cfRule type="cellIs" dxfId="3915" priority="4400" stopIfTrue="1" operator="equal">
      <formula>"Napkin Hs"</formula>
    </cfRule>
  </conditionalFormatting>
  <conditionalFormatting sqref="C11">
    <cfRule type="cellIs" dxfId="3914" priority="4401" stopIfTrue="1" operator="equal">
      <formula>"Towel"</formula>
    </cfRule>
  </conditionalFormatting>
  <conditionalFormatting sqref="B11:C11">
    <cfRule type="cellIs" dxfId="3913" priority="4397" stopIfTrue="1" operator="equal">
      <formula>"Towel"</formula>
    </cfRule>
    <cfRule type="cellIs" dxfId="3912" priority="4398" stopIfTrue="1" operator="equal">
      <formula>"Napkin Hs"</formula>
    </cfRule>
  </conditionalFormatting>
  <conditionalFormatting sqref="C11">
    <cfRule type="cellIs" dxfId="3911" priority="4396" stopIfTrue="1" operator="equal">
      <formula>"Napkin Hs"</formula>
    </cfRule>
  </conditionalFormatting>
  <conditionalFormatting sqref="C11">
    <cfRule type="cellIs" dxfId="3910" priority="4393" stopIfTrue="1" operator="equal">
      <formula>"Towel"</formula>
    </cfRule>
    <cfRule type="cellIs" dxfId="3909" priority="4394" stopIfTrue="1" operator="equal">
      <formula>"Napkin Hs"</formula>
    </cfRule>
  </conditionalFormatting>
  <conditionalFormatting sqref="C11">
    <cfRule type="cellIs" dxfId="3908" priority="4395" stopIfTrue="1" operator="equal">
      <formula>"Towel"</formula>
    </cfRule>
  </conditionalFormatting>
  <conditionalFormatting sqref="B11:C11">
    <cfRule type="cellIs" dxfId="3907" priority="4391" stopIfTrue="1" operator="equal">
      <formula>"Towel"</formula>
    </cfRule>
    <cfRule type="cellIs" dxfId="3906" priority="4392" stopIfTrue="1" operator="equal">
      <formula>"Napkin Hs"</formula>
    </cfRule>
  </conditionalFormatting>
  <conditionalFormatting sqref="C11">
    <cfRule type="cellIs" dxfId="3905" priority="4390" stopIfTrue="1" operator="equal">
      <formula>"Napkin Hs"</formula>
    </cfRule>
  </conditionalFormatting>
  <conditionalFormatting sqref="C11">
    <cfRule type="cellIs" dxfId="3904" priority="4387" stopIfTrue="1" operator="equal">
      <formula>"Towel"</formula>
    </cfRule>
    <cfRule type="cellIs" dxfId="3903" priority="4388" stopIfTrue="1" operator="equal">
      <formula>"Napkin Hs"</formula>
    </cfRule>
  </conditionalFormatting>
  <conditionalFormatting sqref="C11">
    <cfRule type="cellIs" dxfId="3902" priority="4389" stopIfTrue="1" operator="equal">
      <formula>"Towel"</formula>
    </cfRule>
  </conditionalFormatting>
  <conditionalFormatting sqref="B18:C19">
    <cfRule type="cellIs" dxfId="3901" priority="4385" stopIfTrue="1" operator="equal">
      <formula>"Towel"</formula>
    </cfRule>
    <cfRule type="cellIs" dxfId="3900" priority="4386" stopIfTrue="1" operator="equal">
      <formula>"Napkin Hs"</formula>
    </cfRule>
  </conditionalFormatting>
  <conditionalFormatting sqref="C18:C19">
    <cfRule type="cellIs" dxfId="3899" priority="4384" stopIfTrue="1" operator="equal">
      <formula>"Napkin Hs"</formula>
    </cfRule>
  </conditionalFormatting>
  <conditionalFormatting sqref="C18:C19">
    <cfRule type="cellIs" dxfId="3898" priority="4381" stopIfTrue="1" operator="equal">
      <formula>"Towel"</formula>
    </cfRule>
    <cfRule type="cellIs" dxfId="3897" priority="4382" stopIfTrue="1" operator="equal">
      <formula>"Napkin Hs"</formula>
    </cfRule>
  </conditionalFormatting>
  <conditionalFormatting sqref="C18:C19">
    <cfRule type="cellIs" dxfId="3896" priority="4383" stopIfTrue="1" operator="equal">
      <formula>"Towel"</formula>
    </cfRule>
  </conditionalFormatting>
  <conditionalFormatting sqref="B18:C18">
    <cfRule type="cellIs" dxfId="3895" priority="4379" stopIfTrue="1" operator="equal">
      <formula>"Towel"</formula>
    </cfRule>
    <cfRule type="cellIs" dxfId="3894" priority="4380" stopIfTrue="1" operator="equal">
      <formula>"Napkin Hs"</formula>
    </cfRule>
  </conditionalFormatting>
  <conditionalFormatting sqref="C18">
    <cfRule type="cellIs" dxfId="3893" priority="4378" stopIfTrue="1" operator="equal">
      <formula>"Napkin Hs"</formula>
    </cfRule>
  </conditionalFormatting>
  <conditionalFormatting sqref="C18">
    <cfRule type="cellIs" dxfId="3892" priority="4375" stopIfTrue="1" operator="equal">
      <formula>"Towel"</formula>
    </cfRule>
    <cfRule type="cellIs" dxfId="3891" priority="4376" stopIfTrue="1" operator="equal">
      <formula>"Napkin Hs"</formula>
    </cfRule>
  </conditionalFormatting>
  <conditionalFormatting sqref="C18">
    <cfRule type="cellIs" dxfId="3890" priority="4377" stopIfTrue="1" operator="equal">
      <formula>"Towel"</formula>
    </cfRule>
  </conditionalFormatting>
  <conditionalFormatting sqref="B19:C19">
    <cfRule type="cellIs" dxfId="3889" priority="4373" stopIfTrue="1" operator="equal">
      <formula>"Towel"</formula>
    </cfRule>
    <cfRule type="cellIs" dxfId="3888" priority="4374" stopIfTrue="1" operator="equal">
      <formula>"Napkin Hs"</formula>
    </cfRule>
  </conditionalFormatting>
  <conditionalFormatting sqref="C19">
    <cfRule type="cellIs" dxfId="3887" priority="4372" stopIfTrue="1" operator="equal">
      <formula>"Napkin Hs"</formula>
    </cfRule>
  </conditionalFormatting>
  <conditionalFormatting sqref="C19">
    <cfRule type="cellIs" dxfId="3886" priority="4369" stopIfTrue="1" operator="equal">
      <formula>"Towel"</formula>
    </cfRule>
    <cfRule type="cellIs" dxfId="3885" priority="4370" stopIfTrue="1" operator="equal">
      <formula>"Napkin Hs"</formula>
    </cfRule>
  </conditionalFormatting>
  <conditionalFormatting sqref="C19">
    <cfRule type="cellIs" dxfId="3884" priority="4371" stopIfTrue="1" operator="equal">
      <formula>"Towel"</formula>
    </cfRule>
  </conditionalFormatting>
  <conditionalFormatting sqref="B15:C15">
    <cfRule type="cellIs" dxfId="3883" priority="4367" stopIfTrue="1" operator="equal">
      <formula>"Towel"</formula>
    </cfRule>
    <cfRule type="cellIs" dxfId="3882" priority="4368" stopIfTrue="1" operator="equal">
      <formula>"Napkin Hs"</formula>
    </cfRule>
  </conditionalFormatting>
  <conditionalFormatting sqref="C15">
    <cfRule type="cellIs" dxfId="3881" priority="4366" stopIfTrue="1" operator="equal">
      <formula>"Napkin Hs"</formula>
    </cfRule>
  </conditionalFormatting>
  <conditionalFormatting sqref="C15">
    <cfRule type="cellIs" dxfId="3880" priority="4363" stopIfTrue="1" operator="equal">
      <formula>"Towel"</formula>
    </cfRule>
    <cfRule type="cellIs" dxfId="3879" priority="4364" stopIfTrue="1" operator="equal">
      <formula>"Napkin Hs"</formula>
    </cfRule>
  </conditionalFormatting>
  <conditionalFormatting sqref="C15">
    <cfRule type="cellIs" dxfId="3878" priority="4365" stopIfTrue="1" operator="equal">
      <formula>"Towel"</formula>
    </cfRule>
  </conditionalFormatting>
  <conditionalFormatting sqref="B15:C15">
    <cfRule type="cellIs" dxfId="3877" priority="4361" stopIfTrue="1" operator="equal">
      <formula>"Towel"</formula>
    </cfRule>
    <cfRule type="cellIs" dxfId="3876" priority="4362" stopIfTrue="1" operator="equal">
      <formula>"Napkin Hs"</formula>
    </cfRule>
  </conditionalFormatting>
  <conditionalFormatting sqref="C15">
    <cfRule type="cellIs" dxfId="3875" priority="4360" stopIfTrue="1" operator="equal">
      <formula>"Napkin Hs"</formula>
    </cfRule>
  </conditionalFormatting>
  <conditionalFormatting sqref="C15">
    <cfRule type="cellIs" dxfId="3874" priority="4357" stopIfTrue="1" operator="equal">
      <formula>"Towel"</formula>
    </cfRule>
    <cfRule type="cellIs" dxfId="3873" priority="4358" stopIfTrue="1" operator="equal">
      <formula>"Napkin Hs"</formula>
    </cfRule>
  </conditionalFormatting>
  <conditionalFormatting sqref="C15">
    <cfRule type="cellIs" dxfId="3872" priority="4359" stopIfTrue="1" operator="equal">
      <formula>"Towel"</formula>
    </cfRule>
  </conditionalFormatting>
  <conditionalFormatting sqref="B15:C15">
    <cfRule type="cellIs" dxfId="3871" priority="4355" stopIfTrue="1" operator="equal">
      <formula>"Towel"</formula>
    </cfRule>
    <cfRule type="cellIs" dxfId="3870" priority="4356" stopIfTrue="1" operator="equal">
      <formula>"Napkin Hs"</formula>
    </cfRule>
  </conditionalFormatting>
  <conditionalFormatting sqref="C15">
    <cfRule type="cellIs" dxfId="3869" priority="4354" stopIfTrue="1" operator="equal">
      <formula>"Napkin Hs"</formula>
    </cfRule>
  </conditionalFormatting>
  <conditionalFormatting sqref="C15">
    <cfRule type="cellIs" dxfId="3868" priority="4351" stopIfTrue="1" operator="equal">
      <formula>"Towel"</formula>
    </cfRule>
    <cfRule type="cellIs" dxfId="3867" priority="4352" stopIfTrue="1" operator="equal">
      <formula>"Napkin Hs"</formula>
    </cfRule>
  </conditionalFormatting>
  <conditionalFormatting sqref="C15">
    <cfRule type="cellIs" dxfId="3866" priority="4353" stopIfTrue="1" operator="equal">
      <formula>"Towel"</formula>
    </cfRule>
  </conditionalFormatting>
  <conditionalFormatting sqref="B15:C15">
    <cfRule type="cellIs" dxfId="3865" priority="4349" stopIfTrue="1" operator="equal">
      <formula>"Towel"</formula>
    </cfRule>
    <cfRule type="cellIs" dxfId="3864" priority="4350" stopIfTrue="1" operator="equal">
      <formula>"Napkin Hs"</formula>
    </cfRule>
  </conditionalFormatting>
  <conditionalFormatting sqref="C15">
    <cfRule type="cellIs" dxfId="3863" priority="4348" stopIfTrue="1" operator="equal">
      <formula>"Napkin Hs"</formula>
    </cfRule>
  </conditionalFormatting>
  <conditionalFormatting sqref="C15">
    <cfRule type="cellIs" dxfId="3862" priority="4345" stopIfTrue="1" operator="equal">
      <formula>"Towel"</formula>
    </cfRule>
    <cfRule type="cellIs" dxfId="3861" priority="4346" stopIfTrue="1" operator="equal">
      <formula>"Napkin Hs"</formula>
    </cfRule>
  </conditionalFormatting>
  <conditionalFormatting sqref="C15">
    <cfRule type="cellIs" dxfId="3860" priority="4347" stopIfTrue="1" operator="equal">
      <formula>"Towel"</formula>
    </cfRule>
  </conditionalFormatting>
  <conditionalFormatting sqref="B15:C15">
    <cfRule type="cellIs" dxfId="3859" priority="4343" stopIfTrue="1" operator="equal">
      <formula>"Towel"</formula>
    </cfRule>
    <cfRule type="cellIs" dxfId="3858" priority="4344" stopIfTrue="1" operator="equal">
      <formula>"Napkin Hs"</formula>
    </cfRule>
  </conditionalFormatting>
  <conditionalFormatting sqref="C15">
    <cfRule type="cellIs" dxfId="3857" priority="4342" stopIfTrue="1" operator="equal">
      <formula>"Napkin Hs"</formula>
    </cfRule>
  </conditionalFormatting>
  <conditionalFormatting sqref="C15">
    <cfRule type="cellIs" dxfId="3856" priority="4339" stopIfTrue="1" operator="equal">
      <formula>"Towel"</formula>
    </cfRule>
    <cfRule type="cellIs" dxfId="3855" priority="4340" stopIfTrue="1" operator="equal">
      <formula>"Napkin Hs"</formula>
    </cfRule>
  </conditionalFormatting>
  <conditionalFormatting sqref="C15">
    <cfRule type="cellIs" dxfId="3854" priority="4341" stopIfTrue="1" operator="equal">
      <formula>"Towel"</formula>
    </cfRule>
  </conditionalFormatting>
  <conditionalFormatting sqref="B16:C16">
    <cfRule type="cellIs" dxfId="3853" priority="4337" stopIfTrue="1" operator="equal">
      <formula>"Towel"</formula>
    </cfRule>
    <cfRule type="cellIs" dxfId="3852" priority="4338" stopIfTrue="1" operator="equal">
      <formula>"Napkin Hs"</formula>
    </cfRule>
  </conditionalFormatting>
  <conditionalFormatting sqref="C16">
    <cfRule type="cellIs" dxfId="3851" priority="4336" stopIfTrue="1" operator="equal">
      <formula>"Napkin Hs"</formula>
    </cfRule>
  </conditionalFormatting>
  <conditionalFormatting sqref="C16">
    <cfRule type="cellIs" dxfId="3850" priority="4333" stopIfTrue="1" operator="equal">
      <formula>"Towel"</formula>
    </cfRule>
    <cfRule type="cellIs" dxfId="3849" priority="4334" stopIfTrue="1" operator="equal">
      <formula>"Napkin Hs"</formula>
    </cfRule>
  </conditionalFormatting>
  <conditionalFormatting sqref="C16">
    <cfRule type="cellIs" dxfId="3848" priority="4335" stopIfTrue="1" operator="equal">
      <formula>"Towel"</formula>
    </cfRule>
  </conditionalFormatting>
  <conditionalFormatting sqref="B16:C16">
    <cfRule type="cellIs" dxfId="3847" priority="4331" stopIfTrue="1" operator="equal">
      <formula>"Towel"</formula>
    </cfRule>
    <cfRule type="cellIs" dxfId="3846" priority="4332" stopIfTrue="1" operator="equal">
      <formula>"Napkin Hs"</formula>
    </cfRule>
  </conditionalFormatting>
  <conditionalFormatting sqref="C16">
    <cfRule type="cellIs" dxfId="3845" priority="4330" stopIfTrue="1" operator="equal">
      <formula>"Napkin Hs"</formula>
    </cfRule>
  </conditionalFormatting>
  <conditionalFormatting sqref="C16">
    <cfRule type="cellIs" dxfId="3844" priority="4327" stopIfTrue="1" operator="equal">
      <formula>"Towel"</formula>
    </cfRule>
    <cfRule type="cellIs" dxfId="3843" priority="4328" stopIfTrue="1" operator="equal">
      <formula>"Napkin Hs"</formula>
    </cfRule>
  </conditionalFormatting>
  <conditionalFormatting sqref="C16">
    <cfRule type="cellIs" dxfId="3842" priority="4329" stopIfTrue="1" operator="equal">
      <formula>"Towel"</formula>
    </cfRule>
  </conditionalFormatting>
  <conditionalFormatting sqref="B16:C16">
    <cfRule type="cellIs" dxfId="3841" priority="4325" stopIfTrue="1" operator="equal">
      <formula>"Towel"</formula>
    </cfRule>
    <cfRule type="cellIs" dxfId="3840" priority="4326" stopIfTrue="1" operator="equal">
      <formula>"Napkin Hs"</formula>
    </cfRule>
  </conditionalFormatting>
  <conditionalFormatting sqref="C16">
    <cfRule type="cellIs" dxfId="3839" priority="4324" stopIfTrue="1" operator="equal">
      <formula>"Napkin Hs"</formula>
    </cfRule>
  </conditionalFormatting>
  <conditionalFormatting sqref="C16">
    <cfRule type="cellIs" dxfId="3838" priority="4321" stopIfTrue="1" operator="equal">
      <formula>"Towel"</formula>
    </cfRule>
    <cfRule type="cellIs" dxfId="3837" priority="4322" stopIfTrue="1" operator="equal">
      <formula>"Napkin Hs"</formula>
    </cfRule>
  </conditionalFormatting>
  <conditionalFormatting sqref="C16">
    <cfRule type="cellIs" dxfId="3836" priority="4323" stopIfTrue="1" operator="equal">
      <formula>"Towel"</formula>
    </cfRule>
  </conditionalFormatting>
  <conditionalFormatting sqref="B16:C16">
    <cfRule type="cellIs" dxfId="3835" priority="4319" stopIfTrue="1" operator="equal">
      <formula>"Towel"</formula>
    </cfRule>
    <cfRule type="cellIs" dxfId="3834" priority="4320" stopIfTrue="1" operator="equal">
      <formula>"Napkin Hs"</formula>
    </cfRule>
  </conditionalFormatting>
  <conditionalFormatting sqref="C16">
    <cfRule type="cellIs" dxfId="3833" priority="4318" stopIfTrue="1" operator="equal">
      <formula>"Napkin Hs"</formula>
    </cfRule>
  </conditionalFormatting>
  <conditionalFormatting sqref="C16">
    <cfRule type="cellIs" dxfId="3832" priority="4315" stopIfTrue="1" operator="equal">
      <formula>"Towel"</formula>
    </cfRule>
    <cfRule type="cellIs" dxfId="3831" priority="4316" stopIfTrue="1" operator="equal">
      <formula>"Napkin Hs"</formula>
    </cfRule>
  </conditionalFormatting>
  <conditionalFormatting sqref="C16">
    <cfRule type="cellIs" dxfId="3830" priority="4317" stopIfTrue="1" operator="equal">
      <formula>"Towel"</formula>
    </cfRule>
  </conditionalFormatting>
  <conditionalFormatting sqref="B16:C16">
    <cfRule type="cellIs" dxfId="3829" priority="4313" stopIfTrue="1" operator="equal">
      <formula>"Towel"</formula>
    </cfRule>
    <cfRule type="cellIs" dxfId="3828" priority="4314" stopIfTrue="1" operator="equal">
      <formula>"Napkin Hs"</formula>
    </cfRule>
  </conditionalFormatting>
  <conditionalFormatting sqref="C16">
    <cfRule type="cellIs" dxfId="3827" priority="4312" stopIfTrue="1" operator="equal">
      <formula>"Napkin Hs"</formula>
    </cfRule>
  </conditionalFormatting>
  <conditionalFormatting sqref="C16">
    <cfRule type="cellIs" dxfId="3826" priority="4309" stopIfTrue="1" operator="equal">
      <formula>"Towel"</formula>
    </cfRule>
    <cfRule type="cellIs" dxfId="3825" priority="4310" stopIfTrue="1" operator="equal">
      <formula>"Napkin Hs"</formula>
    </cfRule>
  </conditionalFormatting>
  <conditionalFormatting sqref="C16">
    <cfRule type="cellIs" dxfId="3824" priority="4311" stopIfTrue="1" operator="equal">
      <formula>"Towel"</formula>
    </cfRule>
  </conditionalFormatting>
  <conditionalFormatting sqref="C17">
    <cfRule type="cellIs" dxfId="3823" priority="4307" stopIfTrue="1" operator="equal">
      <formula>"Towel"</formula>
    </cfRule>
    <cfRule type="cellIs" dxfId="3822" priority="4308" stopIfTrue="1" operator="equal">
      <formula>"Napkin Hs"</formula>
    </cfRule>
  </conditionalFormatting>
  <conditionalFormatting sqref="C17">
    <cfRule type="cellIs" dxfId="3821" priority="4306" stopIfTrue="1" operator="equal">
      <formula>"Napkin Hs"</formula>
    </cfRule>
  </conditionalFormatting>
  <conditionalFormatting sqref="C17">
    <cfRule type="cellIs" dxfId="3820" priority="4305" stopIfTrue="1" operator="equal">
      <formula>"Towel"</formula>
    </cfRule>
  </conditionalFormatting>
  <conditionalFormatting sqref="C17">
    <cfRule type="cellIs" dxfId="3819" priority="4303" stopIfTrue="1" operator="equal">
      <formula>"Towel"</formula>
    </cfRule>
    <cfRule type="cellIs" dxfId="3818" priority="4304" stopIfTrue="1" operator="equal">
      <formula>"Napkin Hs"</formula>
    </cfRule>
  </conditionalFormatting>
  <conditionalFormatting sqref="C17">
    <cfRule type="cellIs" dxfId="3817" priority="4301" stopIfTrue="1" operator="equal">
      <formula>"Towel"</formula>
    </cfRule>
    <cfRule type="cellIs" dxfId="3816" priority="4302" stopIfTrue="1" operator="equal">
      <formula>"Napkin Hs"</formula>
    </cfRule>
  </conditionalFormatting>
  <conditionalFormatting sqref="C17">
    <cfRule type="cellIs" dxfId="3815" priority="4299" stopIfTrue="1" operator="equal">
      <formula>"Towel"</formula>
    </cfRule>
    <cfRule type="cellIs" dxfId="3814" priority="4300" stopIfTrue="1" operator="equal">
      <formula>"Napkin Hs"</formula>
    </cfRule>
  </conditionalFormatting>
  <conditionalFormatting sqref="C17">
    <cfRule type="cellIs" dxfId="3813" priority="4297" stopIfTrue="1" operator="equal">
      <formula>"Towel"</formula>
    </cfRule>
    <cfRule type="cellIs" dxfId="3812" priority="4298" stopIfTrue="1" operator="equal">
      <formula>"Napkin Hs"</formula>
    </cfRule>
  </conditionalFormatting>
  <conditionalFormatting sqref="C17">
    <cfRule type="cellIs" dxfId="3811" priority="4295" stopIfTrue="1" operator="equal">
      <formula>"Towel"</formula>
    </cfRule>
    <cfRule type="cellIs" dxfId="3810" priority="4296" stopIfTrue="1" operator="equal">
      <formula>"Napkin Hs"</formula>
    </cfRule>
  </conditionalFormatting>
  <conditionalFormatting sqref="C17">
    <cfRule type="cellIs" dxfId="3809" priority="4294" stopIfTrue="1" operator="equal">
      <formula>"Napkin Hs"</formula>
    </cfRule>
  </conditionalFormatting>
  <conditionalFormatting sqref="C17">
    <cfRule type="cellIs" dxfId="3808" priority="4291" stopIfTrue="1" operator="equal">
      <formula>"Towel"</formula>
    </cfRule>
    <cfRule type="cellIs" dxfId="3807" priority="4292" stopIfTrue="1" operator="equal">
      <formula>"Napkin Hs"</formula>
    </cfRule>
  </conditionalFormatting>
  <conditionalFormatting sqref="C17">
    <cfRule type="cellIs" dxfId="3806" priority="4293" stopIfTrue="1" operator="equal">
      <formula>"Towel"</formula>
    </cfRule>
  </conditionalFormatting>
  <conditionalFormatting sqref="B17">
    <cfRule type="cellIs" dxfId="3805" priority="4289" stopIfTrue="1" operator="equal">
      <formula>"Towel"</formula>
    </cfRule>
    <cfRule type="cellIs" dxfId="3804" priority="4290" stopIfTrue="1" operator="equal">
      <formula>"Napkin Hs"</formula>
    </cfRule>
  </conditionalFormatting>
  <conditionalFormatting sqref="B17">
    <cfRule type="cellIs" dxfId="3803" priority="4287" stopIfTrue="1" operator="equal">
      <formula>"Towel"</formula>
    </cfRule>
    <cfRule type="cellIs" dxfId="3802" priority="4288" stopIfTrue="1" operator="equal">
      <formula>"Napkin Hs"</formula>
    </cfRule>
  </conditionalFormatting>
  <conditionalFormatting sqref="B17">
    <cfRule type="cellIs" dxfId="3801" priority="4285" stopIfTrue="1" operator="equal">
      <formula>"Towel"</formula>
    </cfRule>
    <cfRule type="cellIs" dxfId="3800" priority="4286" stopIfTrue="1" operator="equal">
      <formula>"Napkin Hs"</formula>
    </cfRule>
  </conditionalFormatting>
  <conditionalFormatting sqref="B17">
    <cfRule type="cellIs" dxfId="3799" priority="4283" stopIfTrue="1" operator="equal">
      <formula>"Towel"</formula>
    </cfRule>
    <cfRule type="cellIs" dxfId="3798" priority="4284" stopIfTrue="1" operator="equal">
      <formula>"Napkin Hs"</formula>
    </cfRule>
  </conditionalFormatting>
  <conditionalFormatting sqref="B17">
    <cfRule type="cellIs" dxfId="3797" priority="4281" stopIfTrue="1" operator="equal">
      <formula>"Towel"</formula>
    </cfRule>
    <cfRule type="cellIs" dxfId="3796" priority="4282" stopIfTrue="1" operator="equal">
      <formula>"Napkin Hs"</formula>
    </cfRule>
  </conditionalFormatting>
  <conditionalFormatting sqref="B21:C21">
    <cfRule type="cellIs" dxfId="3795" priority="4279" stopIfTrue="1" operator="equal">
      <formula>"Towel"</formula>
    </cfRule>
    <cfRule type="cellIs" dxfId="3794" priority="4280" stopIfTrue="1" operator="equal">
      <formula>"Napkin Hs"</formula>
    </cfRule>
  </conditionalFormatting>
  <conditionalFormatting sqref="C21">
    <cfRule type="cellIs" dxfId="3793" priority="4278" stopIfTrue="1" operator="equal">
      <formula>"Napkin Hs"</formula>
    </cfRule>
  </conditionalFormatting>
  <conditionalFormatting sqref="C21">
    <cfRule type="cellIs" dxfId="3792" priority="4275" stopIfTrue="1" operator="equal">
      <formula>"Towel"</formula>
    </cfRule>
    <cfRule type="cellIs" dxfId="3791" priority="4276" stopIfTrue="1" operator="equal">
      <formula>"Napkin Hs"</formula>
    </cfRule>
  </conditionalFormatting>
  <conditionalFormatting sqref="C21">
    <cfRule type="cellIs" dxfId="3790" priority="4277" stopIfTrue="1" operator="equal">
      <formula>"Towel"</formula>
    </cfRule>
  </conditionalFormatting>
  <conditionalFormatting sqref="B21:C21">
    <cfRule type="cellIs" dxfId="3789" priority="4273" stopIfTrue="1" operator="equal">
      <formula>"Towel"</formula>
    </cfRule>
    <cfRule type="cellIs" dxfId="3788" priority="4274" stopIfTrue="1" operator="equal">
      <formula>"Napkin Hs"</formula>
    </cfRule>
  </conditionalFormatting>
  <conditionalFormatting sqref="C21">
    <cfRule type="cellIs" dxfId="3787" priority="4272" stopIfTrue="1" operator="equal">
      <formula>"Napkin Hs"</formula>
    </cfRule>
  </conditionalFormatting>
  <conditionalFormatting sqref="C21">
    <cfRule type="cellIs" dxfId="3786" priority="4269" stopIfTrue="1" operator="equal">
      <formula>"Towel"</formula>
    </cfRule>
    <cfRule type="cellIs" dxfId="3785" priority="4270" stopIfTrue="1" operator="equal">
      <formula>"Napkin Hs"</formula>
    </cfRule>
  </conditionalFormatting>
  <conditionalFormatting sqref="C21">
    <cfRule type="cellIs" dxfId="3784" priority="4271" stopIfTrue="1" operator="equal">
      <formula>"Towel"</formula>
    </cfRule>
  </conditionalFormatting>
  <conditionalFormatting sqref="B21:C21">
    <cfRule type="cellIs" dxfId="3783" priority="4267" stopIfTrue="1" operator="equal">
      <formula>"Towel"</formula>
    </cfRule>
    <cfRule type="cellIs" dxfId="3782" priority="4268" stopIfTrue="1" operator="equal">
      <formula>"Napkin Hs"</formula>
    </cfRule>
  </conditionalFormatting>
  <conditionalFormatting sqref="C21">
    <cfRule type="cellIs" dxfId="3781" priority="4266" stopIfTrue="1" operator="equal">
      <formula>"Napkin Hs"</formula>
    </cfRule>
  </conditionalFormatting>
  <conditionalFormatting sqref="C21">
    <cfRule type="cellIs" dxfId="3780" priority="4263" stopIfTrue="1" operator="equal">
      <formula>"Towel"</formula>
    </cfRule>
    <cfRule type="cellIs" dxfId="3779" priority="4264" stopIfTrue="1" operator="equal">
      <formula>"Napkin Hs"</formula>
    </cfRule>
  </conditionalFormatting>
  <conditionalFormatting sqref="C21">
    <cfRule type="cellIs" dxfId="3778" priority="4265" stopIfTrue="1" operator="equal">
      <formula>"Towel"</formula>
    </cfRule>
  </conditionalFormatting>
  <conditionalFormatting sqref="B21:C21">
    <cfRule type="cellIs" dxfId="3777" priority="4261" stopIfTrue="1" operator="equal">
      <formula>"Towel"</formula>
    </cfRule>
    <cfRule type="cellIs" dxfId="3776" priority="4262" stopIfTrue="1" operator="equal">
      <formula>"Napkin Hs"</formula>
    </cfRule>
  </conditionalFormatting>
  <conditionalFormatting sqref="C21">
    <cfRule type="cellIs" dxfId="3775" priority="4260" stopIfTrue="1" operator="equal">
      <formula>"Napkin Hs"</formula>
    </cfRule>
  </conditionalFormatting>
  <conditionalFormatting sqref="C21">
    <cfRule type="cellIs" dxfId="3774" priority="4257" stopIfTrue="1" operator="equal">
      <formula>"Towel"</formula>
    </cfRule>
    <cfRule type="cellIs" dxfId="3773" priority="4258" stopIfTrue="1" operator="equal">
      <formula>"Napkin Hs"</formula>
    </cfRule>
  </conditionalFormatting>
  <conditionalFormatting sqref="C21">
    <cfRule type="cellIs" dxfId="3772" priority="4259" stopIfTrue="1" operator="equal">
      <formula>"Towel"</formula>
    </cfRule>
  </conditionalFormatting>
  <conditionalFormatting sqref="B21:C21">
    <cfRule type="cellIs" dxfId="3771" priority="4255" stopIfTrue="1" operator="equal">
      <formula>"Towel"</formula>
    </cfRule>
    <cfRule type="cellIs" dxfId="3770" priority="4256" stopIfTrue="1" operator="equal">
      <formula>"Napkin Hs"</formula>
    </cfRule>
  </conditionalFormatting>
  <conditionalFormatting sqref="C21">
    <cfRule type="cellIs" dxfId="3769" priority="4254" stopIfTrue="1" operator="equal">
      <formula>"Napkin Hs"</formula>
    </cfRule>
  </conditionalFormatting>
  <conditionalFormatting sqref="C21">
    <cfRule type="cellIs" dxfId="3768" priority="4251" stopIfTrue="1" operator="equal">
      <formula>"Towel"</formula>
    </cfRule>
    <cfRule type="cellIs" dxfId="3767" priority="4252" stopIfTrue="1" operator="equal">
      <formula>"Napkin Hs"</formula>
    </cfRule>
  </conditionalFormatting>
  <conditionalFormatting sqref="C21">
    <cfRule type="cellIs" dxfId="3766" priority="4253" stopIfTrue="1" operator="equal">
      <formula>"Towel"</formula>
    </cfRule>
  </conditionalFormatting>
  <conditionalFormatting sqref="B20:C20">
    <cfRule type="cellIs" dxfId="3765" priority="4249" stopIfTrue="1" operator="equal">
      <formula>"Towel"</formula>
    </cfRule>
    <cfRule type="cellIs" dxfId="3764" priority="4250" stopIfTrue="1" operator="equal">
      <formula>"Napkin Hs"</formula>
    </cfRule>
  </conditionalFormatting>
  <conditionalFormatting sqref="C20">
    <cfRule type="cellIs" dxfId="3763" priority="4248" stopIfTrue="1" operator="equal">
      <formula>"Napkin Hs"</formula>
    </cfRule>
  </conditionalFormatting>
  <conditionalFormatting sqref="C20">
    <cfRule type="cellIs" dxfId="3762" priority="4245" stopIfTrue="1" operator="equal">
      <formula>"Towel"</formula>
    </cfRule>
    <cfRule type="cellIs" dxfId="3761" priority="4246" stopIfTrue="1" operator="equal">
      <formula>"Napkin Hs"</formula>
    </cfRule>
  </conditionalFormatting>
  <conditionalFormatting sqref="C20">
    <cfRule type="cellIs" dxfId="3760" priority="4247" stopIfTrue="1" operator="equal">
      <formula>"Towel"</formula>
    </cfRule>
  </conditionalFormatting>
  <conditionalFormatting sqref="B20:C20">
    <cfRule type="cellIs" dxfId="3759" priority="4243" stopIfTrue="1" operator="equal">
      <formula>"Towel"</formula>
    </cfRule>
    <cfRule type="cellIs" dxfId="3758" priority="4244" stopIfTrue="1" operator="equal">
      <formula>"Napkin Hs"</formula>
    </cfRule>
  </conditionalFormatting>
  <conditionalFormatting sqref="C20">
    <cfRule type="cellIs" dxfId="3757" priority="4242" stopIfTrue="1" operator="equal">
      <formula>"Napkin Hs"</formula>
    </cfRule>
  </conditionalFormatting>
  <conditionalFormatting sqref="C20">
    <cfRule type="cellIs" dxfId="3756" priority="4239" stopIfTrue="1" operator="equal">
      <formula>"Towel"</formula>
    </cfRule>
    <cfRule type="cellIs" dxfId="3755" priority="4240" stopIfTrue="1" operator="equal">
      <formula>"Napkin Hs"</formula>
    </cfRule>
  </conditionalFormatting>
  <conditionalFormatting sqref="C20">
    <cfRule type="cellIs" dxfId="3754" priority="4241" stopIfTrue="1" operator="equal">
      <formula>"Towel"</formula>
    </cfRule>
  </conditionalFormatting>
  <conditionalFormatting sqref="B20:C20">
    <cfRule type="cellIs" dxfId="3753" priority="4237" stopIfTrue="1" operator="equal">
      <formula>"Towel"</formula>
    </cfRule>
    <cfRule type="cellIs" dxfId="3752" priority="4238" stopIfTrue="1" operator="equal">
      <formula>"Napkin Hs"</formula>
    </cfRule>
  </conditionalFormatting>
  <conditionalFormatting sqref="C20">
    <cfRule type="cellIs" dxfId="3751" priority="4236" stopIfTrue="1" operator="equal">
      <formula>"Napkin Hs"</formula>
    </cfRule>
  </conditionalFormatting>
  <conditionalFormatting sqref="C20">
    <cfRule type="cellIs" dxfId="3750" priority="4233" stopIfTrue="1" operator="equal">
      <formula>"Towel"</formula>
    </cfRule>
    <cfRule type="cellIs" dxfId="3749" priority="4234" stopIfTrue="1" operator="equal">
      <formula>"Napkin Hs"</formula>
    </cfRule>
  </conditionalFormatting>
  <conditionalFormatting sqref="C20">
    <cfRule type="cellIs" dxfId="3748" priority="4235" stopIfTrue="1" operator="equal">
      <formula>"Towel"</formula>
    </cfRule>
  </conditionalFormatting>
  <conditionalFormatting sqref="B20:C20">
    <cfRule type="cellIs" dxfId="3747" priority="4231" stopIfTrue="1" operator="equal">
      <formula>"Towel"</formula>
    </cfRule>
    <cfRule type="cellIs" dxfId="3746" priority="4232" stopIfTrue="1" operator="equal">
      <formula>"Napkin Hs"</formula>
    </cfRule>
  </conditionalFormatting>
  <conditionalFormatting sqref="C20">
    <cfRule type="cellIs" dxfId="3745" priority="4230" stopIfTrue="1" operator="equal">
      <formula>"Napkin Hs"</formula>
    </cfRule>
  </conditionalFormatting>
  <conditionalFormatting sqref="C20">
    <cfRule type="cellIs" dxfId="3744" priority="4227" stopIfTrue="1" operator="equal">
      <formula>"Towel"</formula>
    </cfRule>
    <cfRule type="cellIs" dxfId="3743" priority="4228" stopIfTrue="1" operator="equal">
      <formula>"Napkin Hs"</formula>
    </cfRule>
  </conditionalFormatting>
  <conditionalFormatting sqref="C20">
    <cfRule type="cellIs" dxfId="3742" priority="4229" stopIfTrue="1" operator="equal">
      <formula>"Towel"</formula>
    </cfRule>
  </conditionalFormatting>
  <conditionalFormatting sqref="B20:C20">
    <cfRule type="cellIs" dxfId="3741" priority="4225" stopIfTrue="1" operator="equal">
      <formula>"Towel"</formula>
    </cfRule>
    <cfRule type="cellIs" dxfId="3740" priority="4226" stopIfTrue="1" operator="equal">
      <formula>"Napkin Hs"</formula>
    </cfRule>
  </conditionalFormatting>
  <conditionalFormatting sqref="C20">
    <cfRule type="cellIs" dxfId="3739" priority="4224" stopIfTrue="1" operator="equal">
      <formula>"Napkin Hs"</formula>
    </cfRule>
  </conditionalFormatting>
  <conditionalFormatting sqref="C20">
    <cfRule type="cellIs" dxfId="3738" priority="4221" stopIfTrue="1" operator="equal">
      <formula>"Towel"</formula>
    </cfRule>
    <cfRule type="cellIs" dxfId="3737" priority="4222" stopIfTrue="1" operator="equal">
      <formula>"Napkin Hs"</formula>
    </cfRule>
  </conditionalFormatting>
  <conditionalFormatting sqref="C20">
    <cfRule type="cellIs" dxfId="3736" priority="4223" stopIfTrue="1" operator="equal">
      <formula>"Towel"</formula>
    </cfRule>
  </conditionalFormatting>
  <conditionalFormatting sqref="B22:C22">
    <cfRule type="cellIs" dxfId="3735" priority="4219" stopIfTrue="1" operator="equal">
      <formula>"Towel"</formula>
    </cfRule>
    <cfRule type="cellIs" dxfId="3734" priority="4220" stopIfTrue="1" operator="equal">
      <formula>"Napkin Hs"</formula>
    </cfRule>
  </conditionalFormatting>
  <conditionalFormatting sqref="C22">
    <cfRule type="cellIs" dxfId="3733" priority="4218" stopIfTrue="1" operator="equal">
      <formula>"Napkin Hs"</formula>
    </cfRule>
  </conditionalFormatting>
  <conditionalFormatting sqref="C22">
    <cfRule type="cellIs" dxfId="3732" priority="4215" stopIfTrue="1" operator="equal">
      <formula>"Towel"</formula>
    </cfRule>
    <cfRule type="cellIs" dxfId="3731" priority="4216" stopIfTrue="1" operator="equal">
      <formula>"Napkin Hs"</formula>
    </cfRule>
  </conditionalFormatting>
  <conditionalFormatting sqref="C22">
    <cfRule type="cellIs" dxfId="3730" priority="4217" stopIfTrue="1" operator="equal">
      <formula>"Towel"</formula>
    </cfRule>
  </conditionalFormatting>
  <conditionalFormatting sqref="B22:C22">
    <cfRule type="cellIs" dxfId="3729" priority="4213" stopIfTrue="1" operator="equal">
      <formula>"Towel"</formula>
    </cfRule>
    <cfRule type="cellIs" dxfId="3728" priority="4214" stopIfTrue="1" operator="equal">
      <formula>"Napkin Hs"</formula>
    </cfRule>
  </conditionalFormatting>
  <conditionalFormatting sqref="C22">
    <cfRule type="cellIs" dxfId="3727" priority="4212" stopIfTrue="1" operator="equal">
      <formula>"Napkin Hs"</formula>
    </cfRule>
  </conditionalFormatting>
  <conditionalFormatting sqref="C22">
    <cfRule type="cellIs" dxfId="3726" priority="4209" stopIfTrue="1" operator="equal">
      <formula>"Towel"</formula>
    </cfRule>
    <cfRule type="cellIs" dxfId="3725" priority="4210" stopIfTrue="1" operator="equal">
      <formula>"Napkin Hs"</formula>
    </cfRule>
  </conditionalFormatting>
  <conditionalFormatting sqref="C22">
    <cfRule type="cellIs" dxfId="3724" priority="4211" stopIfTrue="1" operator="equal">
      <formula>"Towel"</formula>
    </cfRule>
  </conditionalFormatting>
  <conditionalFormatting sqref="B22:C22">
    <cfRule type="cellIs" dxfId="3723" priority="4207" stopIfTrue="1" operator="equal">
      <formula>"Towel"</formula>
    </cfRule>
    <cfRule type="cellIs" dxfId="3722" priority="4208" stopIfTrue="1" operator="equal">
      <formula>"Napkin Hs"</formula>
    </cfRule>
  </conditionalFormatting>
  <conditionalFormatting sqref="C22">
    <cfRule type="cellIs" dxfId="3721" priority="4206" stopIfTrue="1" operator="equal">
      <formula>"Napkin Hs"</formula>
    </cfRule>
  </conditionalFormatting>
  <conditionalFormatting sqref="C22">
    <cfRule type="cellIs" dxfId="3720" priority="4203" stopIfTrue="1" operator="equal">
      <formula>"Towel"</formula>
    </cfRule>
    <cfRule type="cellIs" dxfId="3719" priority="4204" stopIfTrue="1" operator="equal">
      <formula>"Napkin Hs"</formula>
    </cfRule>
  </conditionalFormatting>
  <conditionalFormatting sqref="C22">
    <cfRule type="cellIs" dxfId="3718" priority="4205" stopIfTrue="1" operator="equal">
      <formula>"Towel"</formula>
    </cfRule>
  </conditionalFormatting>
  <conditionalFormatting sqref="B22:C22">
    <cfRule type="cellIs" dxfId="3717" priority="4201" stopIfTrue="1" operator="equal">
      <formula>"Towel"</formula>
    </cfRule>
    <cfRule type="cellIs" dxfId="3716" priority="4202" stopIfTrue="1" operator="equal">
      <formula>"Napkin Hs"</formula>
    </cfRule>
  </conditionalFormatting>
  <conditionalFormatting sqref="C22">
    <cfRule type="cellIs" dxfId="3715" priority="4200" stopIfTrue="1" operator="equal">
      <formula>"Napkin Hs"</formula>
    </cfRule>
  </conditionalFormatting>
  <conditionalFormatting sqref="C22">
    <cfRule type="cellIs" dxfId="3714" priority="4197" stopIfTrue="1" operator="equal">
      <formula>"Towel"</formula>
    </cfRule>
    <cfRule type="cellIs" dxfId="3713" priority="4198" stopIfTrue="1" operator="equal">
      <formula>"Napkin Hs"</formula>
    </cfRule>
  </conditionalFormatting>
  <conditionalFormatting sqref="C22">
    <cfRule type="cellIs" dxfId="3712" priority="4199" stopIfTrue="1" operator="equal">
      <formula>"Towel"</formula>
    </cfRule>
  </conditionalFormatting>
  <conditionalFormatting sqref="B22:C22">
    <cfRule type="cellIs" dxfId="3711" priority="4195" stopIfTrue="1" operator="equal">
      <formula>"Towel"</formula>
    </cfRule>
    <cfRule type="cellIs" dxfId="3710" priority="4196" stopIfTrue="1" operator="equal">
      <formula>"Napkin Hs"</formula>
    </cfRule>
  </conditionalFormatting>
  <conditionalFormatting sqref="C22">
    <cfRule type="cellIs" dxfId="3709" priority="4194" stopIfTrue="1" operator="equal">
      <formula>"Napkin Hs"</formula>
    </cfRule>
  </conditionalFormatting>
  <conditionalFormatting sqref="C22">
    <cfRule type="cellIs" dxfId="3708" priority="4191" stopIfTrue="1" operator="equal">
      <formula>"Towel"</formula>
    </cfRule>
    <cfRule type="cellIs" dxfId="3707" priority="4192" stopIfTrue="1" operator="equal">
      <formula>"Napkin Hs"</formula>
    </cfRule>
  </conditionalFormatting>
  <conditionalFormatting sqref="C22">
    <cfRule type="cellIs" dxfId="3706" priority="4193" stopIfTrue="1" operator="equal">
      <formula>"Towel"</formula>
    </cfRule>
  </conditionalFormatting>
  <conditionalFormatting sqref="B23:C23">
    <cfRule type="cellIs" dxfId="3705" priority="4189" stopIfTrue="1" operator="equal">
      <formula>"Towel"</formula>
    </cfRule>
    <cfRule type="cellIs" dxfId="3704" priority="4190" stopIfTrue="1" operator="equal">
      <formula>"Napkin Hs"</formula>
    </cfRule>
  </conditionalFormatting>
  <conditionalFormatting sqref="C23">
    <cfRule type="cellIs" dxfId="3703" priority="4188" stopIfTrue="1" operator="equal">
      <formula>"Napkin Hs"</formula>
    </cfRule>
  </conditionalFormatting>
  <conditionalFormatting sqref="C23">
    <cfRule type="cellIs" dxfId="3702" priority="4185" stopIfTrue="1" operator="equal">
      <formula>"Towel"</formula>
    </cfRule>
    <cfRule type="cellIs" dxfId="3701" priority="4186" stopIfTrue="1" operator="equal">
      <formula>"Napkin Hs"</formula>
    </cfRule>
  </conditionalFormatting>
  <conditionalFormatting sqref="C23">
    <cfRule type="cellIs" dxfId="3700" priority="4187" stopIfTrue="1" operator="equal">
      <formula>"Towel"</formula>
    </cfRule>
  </conditionalFormatting>
  <conditionalFormatting sqref="B23:C23">
    <cfRule type="cellIs" dxfId="3699" priority="4183" stopIfTrue="1" operator="equal">
      <formula>"Towel"</formula>
    </cfRule>
    <cfRule type="cellIs" dxfId="3698" priority="4184" stopIfTrue="1" operator="equal">
      <formula>"Napkin Hs"</formula>
    </cfRule>
  </conditionalFormatting>
  <conditionalFormatting sqref="C23">
    <cfRule type="cellIs" dxfId="3697" priority="4182" stopIfTrue="1" operator="equal">
      <formula>"Napkin Hs"</formula>
    </cfRule>
  </conditionalFormatting>
  <conditionalFormatting sqref="C23">
    <cfRule type="cellIs" dxfId="3696" priority="4179" stopIfTrue="1" operator="equal">
      <formula>"Towel"</formula>
    </cfRule>
    <cfRule type="cellIs" dxfId="3695" priority="4180" stopIfTrue="1" operator="equal">
      <formula>"Napkin Hs"</formula>
    </cfRule>
  </conditionalFormatting>
  <conditionalFormatting sqref="C23">
    <cfRule type="cellIs" dxfId="3694" priority="4181" stopIfTrue="1" operator="equal">
      <formula>"Towel"</formula>
    </cfRule>
  </conditionalFormatting>
  <conditionalFormatting sqref="B23:C23">
    <cfRule type="cellIs" dxfId="3693" priority="4177" stopIfTrue="1" operator="equal">
      <formula>"Towel"</formula>
    </cfRule>
    <cfRule type="cellIs" dxfId="3692" priority="4178" stopIfTrue="1" operator="equal">
      <formula>"Napkin Hs"</formula>
    </cfRule>
  </conditionalFormatting>
  <conditionalFormatting sqref="C23">
    <cfRule type="cellIs" dxfId="3691" priority="4176" stopIfTrue="1" operator="equal">
      <formula>"Napkin Hs"</formula>
    </cfRule>
  </conditionalFormatting>
  <conditionalFormatting sqref="C23">
    <cfRule type="cellIs" dxfId="3690" priority="4173" stopIfTrue="1" operator="equal">
      <formula>"Towel"</formula>
    </cfRule>
    <cfRule type="cellIs" dxfId="3689" priority="4174" stopIfTrue="1" operator="equal">
      <formula>"Napkin Hs"</formula>
    </cfRule>
  </conditionalFormatting>
  <conditionalFormatting sqref="C23">
    <cfRule type="cellIs" dxfId="3688" priority="4175" stopIfTrue="1" operator="equal">
      <formula>"Towel"</formula>
    </cfRule>
  </conditionalFormatting>
  <conditionalFormatting sqref="B23:C23">
    <cfRule type="cellIs" dxfId="3687" priority="4171" stopIfTrue="1" operator="equal">
      <formula>"Towel"</formula>
    </cfRule>
    <cfRule type="cellIs" dxfId="3686" priority="4172" stopIfTrue="1" operator="equal">
      <formula>"Napkin Hs"</formula>
    </cfRule>
  </conditionalFormatting>
  <conditionalFormatting sqref="C23">
    <cfRule type="cellIs" dxfId="3685" priority="4170" stopIfTrue="1" operator="equal">
      <formula>"Napkin Hs"</formula>
    </cfRule>
  </conditionalFormatting>
  <conditionalFormatting sqref="C23">
    <cfRule type="cellIs" dxfId="3684" priority="4167" stopIfTrue="1" operator="equal">
      <formula>"Towel"</formula>
    </cfRule>
    <cfRule type="cellIs" dxfId="3683" priority="4168" stopIfTrue="1" operator="equal">
      <formula>"Napkin Hs"</formula>
    </cfRule>
  </conditionalFormatting>
  <conditionalFormatting sqref="C23">
    <cfRule type="cellIs" dxfId="3682" priority="4169" stopIfTrue="1" operator="equal">
      <formula>"Towel"</formula>
    </cfRule>
  </conditionalFormatting>
  <conditionalFormatting sqref="B23:C23">
    <cfRule type="cellIs" dxfId="3681" priority="4165" stopIfTrue="1" operator="equal">
      <formula>"Towel"</formula>
    </cfRule>
    <cfRule type="cellIs" dxfId="3680" priority="4166" stopIfTrue="1" operator="equal">
      <formula>"Napkin Hs"</formula>
    </cfRule>
  </conditionalFormatting>
  <conditionalFormatting sqref="C23">
    <cfRule type="cellIs" dxfId="3679" priority="4164" stopIfTrue="1" operator="equal">
      <formula>"Napkin Hs"</formula>
    </cfRule>
  </conditionalFormatting>
  <conditionalFormatting sqref="C23">
    <cfRule type="cellIs" dxfId="3678" priority="4161" stopIfTrue="1" operator="equal">
      <formula>"Towel"</formula>
    </cfRule>
    <cfRule type="cellIs" dxfId="3677" priority="4162" stopIfTrue="1" operator="equal">
      <formula>"Napkin Hs"</formula>
    </cfRule>
  </conditionalFormatting>
  <conditionalFormatting sqref="C23">
    <cfRule type="cellIs" dxfId="3676" priority="4163" stopIfTrue="1" operator="equal">
      <formula>"Towel"</formula>
    </cfRule>
  </conditionalFormatting>
  <conditionalFormatting sqref="B27:C27">
    <cfRule type="cellIs" dxfId="3675" priority="4159" stopIfTrue="1" operator="equal">
      <formula>"Towel"</formula>
    </cfRule>
    <cfRule type="cellIs" dxfId="3674" priority="4160" stopIfTrue="1" operator="equal">
      <formula>"Napkin Hs"</formula>
    </cfRule>
  </conditionalFormatting>
  <conditionalFormatting sqref="C27">
    <cfRule type="cellIs" dxfId="3673" priority="4158" stopIfTrue="1" operator="equal">
      <formula>"Napkin Hs"</formula>
    </cfRule>
  </conditionalFormatting>
  <conditionalFormatting sqref="C27">
    <cfRule type="cellIs" dxfId="3672" priority="4155" stopIfTrue="1" operator="equal">
      <formula>"Towel"</formula>
    </cfRule>
    <cfRule type="cellIs" dxfId="3671" priority="4156" stopIfTrue="1" operator="equal">
      <formula>"Napkin Hs"</formula>
    </cfRule>
  </conditionalFormatting>
  <conditionalFormatting sqref="C27">
    <cfRule type="cellIs" dxfId="3670" priority="4157" stopIfTrue="1" operator="equal">
      <formula>"Towel"</formula>
    </cfRule>
  </conditionalFormatting>
  <conditionalFormatting sqref="B27:C27">
    <cfRule type="cellIs" dxfId="3669" priority="4153" stopIfTrue="1" operator="equal">
      <formula>"Towel"</formula>
    </cfRule>
    <cfRule type="cellIs" dxfId="3668" priority="4154" stopIfTrue="1" operator="equal">
      <formula>"Napkin Hs"</formula>
    </cfRule>
  </conditionalFormatting>
  <conditionalFormatting sqref="C27">
    <cfRule type="cellIs" dxfId="3667" priority="4152" stopIfTrue="1" operator="equal">
      <formula>"Napkin Hs"</formula>
    </cfRule>
  </conditionalFormatting>
  <conditionalFormatting sqref="C27">
    <cfRule type="cellIs" dxfId="3666" priority="4149" stopIfTrue="1" operator="equal">
      <formula>"Towel"</formula>
    </cfRule>
    <cfRule type="cellIs" dxfId="3665" priority="4150" stopIfTrue="1" operator="equal">
      <formula>"Napkin Hs"</formula>
    </cfRule>
  </conditionalFormatting>
  <conditionalFormatting sqref="C27">
    <cfRule type="cellIs" dxfId="3664" priority="4151" stopIfTrue="1" operator="equal">
      <formula>"Towel"</formula>
    </cfRule>
  </conditionalFormatting>
  <conditionalFormatting sqref="B27:C27">
    <cfRule type="cellIs" dxfId="3663" priority="4147" stopIfTrue="1" operator="equal">
      <formula>"Towel"</formula>
    </cfRule>
    <cfRule type="cellIs" dxfId="3662" priority="4148" stopIfTrue="1" operator="equal">
      <formula>"Napkin Hs"</formula>
    </cfRule>
  </conditionalFormatting>
  <conditionalFormatting sqref="C27">
    <cfRule type="cellIs" dxfId="3661" priority="4146" stopIfTrue="1" operator="equal">
      <formula>"Napkin Hs"</formula>
    </cfRule>
  </conditionalFormatting>
  <conditionalFormatting sqref="C27">
    <cfRule type="cellIs" dxfId="3660" priority="4143" stopIfTrue="1" operator="equal">
      <formula>"Towel"</formula>
    </cfRule>
    <cfRule type="cellIs" dxfId="3659" priority="4144" stopIfTrue="1" operator="equal">
      <formula>"Napkin Hs"</formula>
    </cfRule>
  </conditionalFormatting>
  <conditionalFormatting sqref="C27">
    <cfRule type="cellIs" dxfId="3658" priority="4145" stopIfTrue="1" operator="equal">
      <formula>"Towel"</formula>
    </cfRule>
  </conditionalFormatting>
  <conditionalFormatting sqref="B27:C27">
    <cfRule type="cellIs" dxfId="3657" priority="4141" stopIfTrue="1" operator="equal">
      <formula>"Towel"</formula>
    </cfRule>
    <cfRule type="cellIs" dxfId="3656" priority="4142" stopIfTrue="1" operator="equal">
      <formula>"Napkin Hs"</formula>
    </cfRule>
  </conditionalFormatting>
  <conditionalFormatting sqref="C27">
    <cfRule type="cellIs" dxfId="3655" priority="4140" stopIfTrue="1" operator="equal">
      <formula>"Napkin Hs"</formula>
    </cfRule>
  </conditionalFormatting>
  <conditionalFormatting sqref="C27">
    <cfRule type="cellIs" dxfId="3654" priority="4137" stopIfTrue="1" operator="equal">
      <formula>"Towel"</formula>
    </cfRule>
    <cfRule type="cellIs" dxfId="3653" priority="4138" stopIfTrue="1" operator="equal">
      <formula>"Napkin Hs"</formula>
    </cfRule>
  </conditionalFormatting>
  <conditionalFormatting sqref="C27">
    <cfRule type="cellIs" dxfId="3652" priority="4139" stopIfTrue="1" operator="equal">
      <formula>"Towel"</formula>
    </cfRule>
  </conditionalFormatting>
  <conditionalFormatting sqref="B27:C27">
    <cfRule type="cellIs" dxfId="3651" priority="4135" stopIfTrue="1" operator="equal">
      <formula>"Towel"</formula>
    </cfRule>
    <cfRule type="cellIs" dxfId="3650" priority="4136" stopIfTrue="1" operator="equal">
      <formula>"Napkin Hs"</formula>
    </cfRule>
  </conditionalFormatting>
  <conditionalFormatting sqref="C27">
    <cfRule type="cellIs" dxfId="3649" priority="4134" stopIfTrue="1" operator="equal">
      <formula>"Napkin Hs"</formula>
    </cfRule>
  </conditionalFormatting>
  <conditionalFormatting sqref="C27">
    <cfRule type="cellIs" dxfId="3648" priority="4131" stopIfTrue="1" operator="equal">
      <formula>"Towel"</formula>
    </cfRule>
    <cfRule type="cellIs" dxfId="3647" priority="4132" stopIfTrue="1" operator="equal">
      <formula>"Napkin Hs"</formula>
    </cfRule>
  </conditionalFormatting>
  <conditionalFormatting sqref="C27">
    <cfRule type="cellIs" dxfId="3646" priority="4133" stopIfTrue="1" operator="equal">
      <formula>"Towel"</formula>
    </cfRule>
  </conditionalFormatting>
  <conditionalFormatting sqref="B25:C26">
    <cfRule type="cellIs" dxfId="3645" priority="4129" stopIfTrue="1" operator="equal">
      <formula>"Towel"</formula>
    </cfRule>
    <cfRule type="cellIs" dxfId="3644" priority="4130" stopIfTrue="1" operator="equal">
      <formula>"Napkin Hs"</formula>
    </cfRule>
  </conditionalFormatting>
  <conditionalFormatting sqref="C25:C26">
    <cfRule type="cellIs" dxfId="3643" priority="4128" stopIfTrue="1" operator="equal">
      <formula>"Napkin Hs"</formula>
    </cfRule>
  </conditionalFormatting>
  <conditionalFormatting sqref="C25:C26">
    <cfRule type="cellIs" dxfId="3642" priority="4125" stopIfTrue="1" operator="equal">
      <formula>"Towel"</formula>
    </cfRule>
    <cfRule type="cellIs" dxfId="3641" priority="4126" stopIfTrue="1" operator="equal">
      <formula>"Napkin Hs"</formula>
    </cfRule>
  </conditionalFormatting>
  <conditionalFormatting sqref="C25:C26">
    <cfRule type="cellIs" dxfId="3640" priority="4127" stopIfTrue="1" operator="equal">
      <formula>"Towel"</formula>
    </cfRule>
  </conditionalFormatting>
  <conditionalFormatting sqref="B25:C26">
    <cfRule type="cellIs" dxfId="3639" priority="4123" stopIfTrue="1" operator="equal">
      <formula>"Towel"</formula>
    </cfRule>
    <cfRule type="cellIs" dxfId="3638" priority="4124" stopIfTrue="1" operator="equal">
      <formula>"Napkin Hs"</formula>
    </cfRule>
  </conditionalFormatting>
  <conditionalFormatting sqref="C25:C26">
    <cfRule type="cellIs" dxfId="3637" priority="4122" stopIfTrue="1" operator="equal">
      <formula>"Napkin Hs"</formula>
    </cfRule>
  </conditionalFormatting>
  <conditionalFormatting sqref="C25:C26">
    <cfRule type="cellIs" dxfId="3636" priority="4119" stopIfTrue="1" operator="equal">
      <formula>"Towel"</formula>
    </cfRule>
    <cfRule type="cellIs" dxfId="3635" priority="4120" stopIfTrue="1" operator="equal">
      <formula>"Napkin Hs"</formula>
    </cfRule>
  </conditionalFormatting>
  <conditionalFormatting sqref="C25:C26">
    <cfRule type="cellIs" dxfId="3634" priority="4121" stopIfTrue="1" operator="equal">
      <formula>"Towel"</formula>
    </cfRule>
  </conditionalFormatting>
  <conditionalFormatting sqref="B25:C26">
    <cfRule type="cellIs" dxfId="3633" priority="4117" stopIfTrue="1" operator="equal">
      <formula>"Towel"</formula>
    </cfRule>
    <cfRule type="cellIs" dxfId="3632" priority="4118" stopIfTrue="1" operator="equal">
      <formula>"Napkin Hs"</formula>
    </cfRule>
  </conditionalFormatting>
  <conditionalFormatting sqref="C25:C26">
    <cfRule type="cellIs" dxfId="3631" priority="4116" stopIfTrue="1" operator="equal">
      <formula>"Napkin Hs"</formula>
    </cfRule>
  </conditionalFormatting>
  <conditionalFormatting sqref="C25:C26">
    <cfRule type="cellIs" dxfId="3630" priority="4113" stopIfTrue="1" operator="equal">
      <formula>"Towel"</formula>
    </cfRule>
    <cfRule type="cellIs" dxfId="3629" priority="4114" stopIfTrue="1" operator="equal">
      <formula>"Napkin Hs"</formula>
    </cfRule>
  </conditionalFormatting>
  <conditionalFormatting sqref="C25:C26">
    <cfRule type="cellIs" dxfId="3628" priority="4115" stopIfTrue="1" operator="equal">
      <formula>"Towel"</formula>
    </cfRule>
  </conditionalFormatting>
  <conditionalFormatting sqref="B25:C26">
    <cfRule type="cellIs" dxfId="3627" priority="4111" stopIfTrue="1" operator="equal">
      <formula>"Towel"</formula>
    </cfRule>
    <cfRule type="cellIs" dxfId="3626" priority="4112" stopIfTrue="1" operator="equal">
      <formula>"Napkin Hs"</formula>
    </cfRule>
  </conditionalFormatting>
  <conditionalFormatting sqref="C25:C26">
    <cfRule type="cellIs" dxfId="3625" priority="4110" stopIfTrue="1" operator="equal">
      <formula>"Napkin Hs"</formula>
    </cfRule>
  </conditionalFormatting>
  <conditionalFormatting sqref="C25:C26">
    <cfRule type="cellIs" dxfId="3624" priority="4107" stopIfTrue="1" operator="equal">
      <formula>"Towel"</formula>
    </cfRule>
    <cfRule type="cellIs" dxfId="3623" priority="4108" stopIfTrue="1" operator="equal">
      <formula>"Napkin Hs"</formula>
    </cfRule>
  </conditionalFormatting>
  <conditionalFormatting sqref="C25:C26">
    <cfRule type="cellIs" dxfId="3622" priority="4109" stopIfTrue="1" operator="equal">
      <formula>"Towel"</formula>
    </cfRule>
  </conditionalFormatting>
  <conditionalFormatting sqref="B25:C26">
    <cfRule type="cellIs" dxfId="3621" priority="4105" stopIfTrue="1" operator="equal">
      <formula>"Towel"</formula>
    </cfRule>
    <cfRule type="cellIs" dxfId="3620" priority="4106" stopIfTrue="1" operator="equal">
      <formula>"Napkin Hs"</formula>
    </cfRule>
  </conditionalFormatting>
  <conditionalFormatting sqref="C25:C26">
    <cfRule type="cellIs" dxfId="3619" priority="4104" stopIfTrue="1" operator="equal">
      <formula>"Napkin Hs"</formula>
    </cfRule>
  </conditionalFormatting>
  <conditionalFormatting sqref="C25:C26">
    <cfRule type="cellIs" dxfId="3618" priority="4101" stopIfTrue="1" operator="equal">
      <formula>"Towel"</formula>
    </cfRule>
    <cfRule type="cellIs" dxfId="3617" priority="4102" stopIfTrue="1" operator="equal">
      <formula>"Napkin Hs"</formula>
    </cfRule>
  </conditionalFormatting>
  <conditionalFormatting sqref="C25:C26">
    <cfRule type="cellIs" dxfId="3616" priority="4103" stopIfTrue="1" operator="equal">
      <formula>"Towel"</formula>
    </cfRule>
  </conditionalFormatting>
  <conditionalFormatting sqref="B32:C32">
    <cfRule type="cellIs" dxfId="3615" priority="4099" stopIfTrue="1" operator="equal">
      <formula>"Towel"</formula>
    </cfRule>
    <cfRule type="cellIs" dxfId="3614" priority="4100" stopIfTrue="1" operator="equal">
      <formula>"Napkin Hs"</formula>
    </cfRule>
  </conditionalFormatting>
  <conditionalFormatting sqref="C32">
    <cfRule type="cellIs" dxfId="3613" priority="4098" stopIfTrue="1" operator="equal">
      <formula>"Napkin Hs"</formula>
    </cfRule>
  </conditionalFormatting>
  <conditionalFormatting sqref="C32">
    <cfRule type="cellIs" dxfId="3612" priority="4095" stopIfTrue="1" operator="equal">
      <formula>"Towel"</formula>
    </cfRule>
    <cfRule type="cellIs" dxfId="3611" priority="4096" stopIfTrue="1" operator="equal">
      <formula>"Napkin Hs"</formula>
    </cfRule>
  </conditionalFormatting>
  <conditionalFormatting sqref="C32">
    <cfRule type="cellIs" dxfId="3610" priority="4097" stopIfTrue="1" operator="equal">
      <formula>"Towel"</formula>
    </cfRule>
  </conditionalFormatting>
  <conditionalFormatting sqref="B31:C31">
    <cfRule type="cellIs" dxfId="3609" priority="4093" stopIfTrue="1" operator="equal">
      <formula>"Towel"</formula>
    </cfRule>
    <cfRule type="cellIs" dxfId="3608" priority="4094" stopIfTrue="1" operator="equal">
      <formula>"Napkin Hs"</formula>
    </cfRule>
  </conditionalFormatting>
  <conditionalFormatting sqref="C31">
    <cfRule type="cellIs" dxfId="3607" priority="4092" stopIfTrue="1" operator="equal">
      <formula>"Napkin Hs"</formula>
    </cfRule>
  </conditionalFormatting>
  <conditionalFormatting sqref="C31">
    <cfRule type="cellIs" dxfId="3606" priority="4089" stopIfTrue="1" operator="equal">
      <formula>"Towel"</formula>
    </cfRule>
    <cfRule type="cellIs" dxfId="3605" priority="4090" stopIfTrue="1" operator="equal">
      <formula>"Napkin Hs"</formula>
    </cfRule>
  </conditionalFormatting>
  <conditionalFormatting sqref="C31">
    <cfRule type="cellIs" dxfId="3604" priority="4091" stopIfTrue="1" operator="equal">
      <formula>"Towel"</formula>
    </cfRule>
  </conditionalFormatting>
  <conditionalFormatting sqref="B31:C31">
    <cfRule type="cellIs" dxfId="3603" priority="4087" stopIfTrue="1" operator="equal">
      <formula>"Towel"</formula>
    </cfRule>
    <cfRule type="cellIs" dxfId="3602" priority="4088" stopIfTrue="1" operator="equal">
      <formula>"Napkin Hs"</formula>
    </cfRule>
  </conditionalFormatting>
  <conditionalFormatting sqref="C31">
    <cfRule type="cellIs" dxfId="3601" priority="4086" stopIfTrue="1" operator="equal">
      <formula>"Napkin Hs"</formula>
    </cfRule>
  </conditionalFormatting>
  <conditionalFormatting sqref="C31">
    <cfRule type="cellIs" dxfId="3600" priority="4083" stopIfTrue="1" operator="equal">
      <formula>"Towel"</formula>
    </cfRule>
    <cfRule type="cellIs" dxfId="3599" priority="4084" stopIfTrue="1" operator="equal">
      <formula>"Napkin Hs"</formula>
    </cfRule>
  </conditionalFormatting>
  <conditionalFormatting sqref="C31">
    <cfRule type="cellIs" dxfId="3598" priority="4085" stopIfTrue="1" operator="equal">
      <formula>"Towel"</formula>
    </cfRule>
  </conditionalFormatting>
  <conditionalFormatting sqref="B31:C31">
    <cfRule type="cellIs" dxfId="3597" priority="4081" stopIfTrue="1" operator="equal">
      <formula>"Towel"</formula>
    </cfRule>
    <cfRule type="cellIs" dxfId="3596" priority="4082" stopIfTrue="1" operator="equal">
      <formula>"Napkin Hs"</formula>
    </cfRule>
  </conditionalFormatting>
  <conditionalFormatting sqref="C31">
    <cfRule type="cellIs" dxfId="3595" priority="4080" stopIfTrue="1" operator="equal">
      <formula>"Napkin Hs"</formula>
    </cfRule>
  </conditionalFormatting>
  <conditionalFormatting sqref="C31">
    <cfRule type="cellIs" dxfId="3594" priority="4077" stopIfTrue="1" operator="equal">
      <formula>"Towel"</formula>
    </cfRule>
    <cfRule type="cellIs" dxfId="3593" priority="4078" stopIfTrue="1" operator="equal">
      <formula>"Napkin Hs"</formula>
    </cfRule>
  </conditionalFormatting>
  <conditionalFormatting sqref="C31">
    <cfRule type="cellIs" dxfId="3592" priority="4079" stopIfTrue="1" operator="equal">
      <formula>"Towel"</formula>
    </cfRule>
  </conditionalFormatting>
  <conditionalFormatting sqref="B31:C31">
    <cfRule type="cellIs" dxfId="3591" priority="4075" stopIfTrue="1" operator="equal">
      <formula>"Towel"</formula>
    </cfRule>
    <cfRule type="cellIs" dxfId="3590" priority="4076" stopIfTrue="1" operator="equal">
      <formula>"Napkin Hs"</formula>
    </cfRule>
  </conditionalFormatting>
  <conditionalFormatting sqref="C31">
    <cfRule type="cellIs" dxfId="3589" priority="4074" stopIfTrue="1" operator="equal">
      <formula>"Napkin Hs"</formula>
    </cfRule>
  </conditionalFormatting>
  <conditionalFormatting sqref="C31">
    <cfRule type="cellIs" dxfId="3588" priority="4071" stopIfTrue="1" operator="equal">
      <formula>"Towel"</formula>
    </cfRule>
    <cfRule type="cellIs" dxfId="3587" priority="4072" stopIfTrue="1" operator="equal">
      <formula>"Napkin Hs"</formula>
    </cfRule>
  </conditionalFormatting>
  <conditionalFormatting sqref="C31">
    <cfRule type="cellIs" dxfId="3586" priority="4073" stopIfTrue="1" operator="equal">
      <formula>"Towel"</formula>
    </cfRule>
  </conditionalFormatting>
  <conditionalFormatting sqref="B31:C31">
    <cfRule type="cellIs" dxfId="3585" priority="4069" stopIfTrue="1" operator="equal">
      <formula>"Towel"</formula>
    </cfRule>
    <cfRule type="cellIs" dxfId="3584" priority="4070" stopIfTrue="1" operator="equal">
      <formula>"Napkin Hs"</formula>
    </cfRule>
  </conditionalFormatting>
  <conditionalFormatting sqref="C31">
    <cfRule type="cellIs" dxfId="3583" priority="4068" stopIfTrue="1" operator="equal">
      <formula>"Napkin Hs"</formula>
    </cfRule>
  </conditionalFormatting>
  <conditionalFormatting sqref="C31">
    <cfRule type="cellIs" dxfId="3582" priority="4065" stopIfTrue="1" operator="equal">
      <formula>"Towel"</formula>
    </cfRule>
    <cfRule type="cellIs" dxfId="3581" priority="4066" stopIfTrue="1" operator="equal">
      <formula>"Napkin Hs"</formula>
    </cfRule>
  </conditionalFormatting>
  <conditionalFormatting sqref="C31">
    <cfRule type="cellIs" dxfId="3580" priority="4067" stopIfTrue="1" operator="equal">
      <formula>"Towel"</formula>
    </cfRule>
  </conditionalFormatting>
  <conditionalFormatting sqref="B30:C30">
    <cfRule type="cellIs" dxfId="3579" priority="4063" stopIfTrue="1" operator="equal">
      <formula>"Towel"</formula>
    </cfRule>
    <cfRule type="cellIs" dxfId="3578" priority="4064" stopIfTrue="1" operator="equal">
      <formula>"Napkin Hs"</formula>
    </cfRule>
  </conditionalFormatting>
  <conditionalFormatting sqref="C30">
    <cfRule type="cellIs" dxfId="3577" priority="4062" stopIfTrue="1" operator="equal">
      <formula>"Napkin Hs"</formula>
    </cfRule>
  </conditionalFormatting>
  <conditionalFormatting sqref="C30">
    <cfRule type="cellIs" dxfId="3576" priority="4059" stopIfTrue="1" operator="equal">
      <formula>"Towel"</formula>
    </cfRule>
    <cfRule type="cellIs" dxfId="3575" priority="4060" stopIfTrue="1" operator="equal">
      <formula>"Napkin Hs"</formula>
    </cfRule>
  </conditionalFormatting>
  <conditionalFormatting sqref="C30">
    <cfRule type="cellIs" dxfId="3574" priority="4061" stopIfTrue="1" operator="equal">
      <formula>"Towel"</formula>
    </cfRule>
  </conditionalFormatting>
  <conditionalFormatting sqref="B30:C30">
    <cfRule type="cellIs" dxfId="3573" priority="4057" stopIfTrue="1" operator="equal">
      <formula>"Towel"</formula>
    </cfRule>
    <cfRule type="cellIs" dxfId="3572" priority="4058" stopIfTrue="1" operator="equal">
      <formula>"Napkin Hs"</formula>
    </cfRule>
  </conditionalFormatting>
  <conditionalFormatting sqref="C30">
    <cfRule type="cellIs" dxfId="3571" priority="4056" stopIfTrue="1" operator="equal">
      <formula>"Napkin Hs"</formula>
    </cfRule>
  </conditionalFormatting>
  <conditionalFormatting sqref="C30">
    <cfRule type="cellIs" dxfId="3570" priority="4053" stopIfTrue="1" operator="equal">
      <formula>"Towel"</formula>
    </cfRule>
    <cfRule type="cellIs" dxfId="3569" priority="4054" stopIfTrue="1" operator="equal">
      <formula>"Napkin Hs"</formula>
    </cfRule>
  </conditionalFormatting>
  <conditionalFormatting sqref="C30">
    <cfRule type="cellIs" dxfId="3568" priority="4055" stopIfTrue="1" operator="equal">
      <formula>"Towel"</formula>
    </cfRule>
  </conditionalFormatting>
  <conditionalFormatting sqref="B30:C30">
    <cfRule type="cellIs" dxfId="3567" priority="4051" stopIfTrue="1" operator="equal">
      <formula>"Towel"</formula>
    </cfRule>
    <cfRule type="cellIs" dxfId="3566" priority="4052" stopIfTrue="1" operator="equal">
      <formula>"Napkin Hs"</formula>
    </cfRule>
  </conditionalFormatting>
  <conditionalFormatting sqref="C30">
    <cfRule type="cellIs" dxfId="3565" priority="4050" stopIfTrue="1" operator="equal">
      <formula>"Napkin Hs"</formula>
    </cfRule>
  </conditionalFormatting>
  <conditionalFormatting sqref="C30">
    <cfRule type="cellIs" dxfId="3564" priority="4047" stopIfTrue="1" operator="equal">
      <formula>"Towel"</formula>
    </cfRule>
    <cfRule type="cellIs" dxfId="3563" priority="4048" stopIfTrue="1" operator="equal">
      <formula>"Napkin Hs"</formula>
    </cfRule>
  </conditionalFormatting>
  <conditionalFormatting sqref="C30">
    <cfRule type="cellIs" dxfId="3562" priority="4049" stopIfTrue="1" operator="equal">
      <formula>"Towel"</formula>
    </cfRule>
  </conditionalFormatting>
  <conditionalFormatting sqref="B30:C30">
    <cfRule type="cellIs" dxfId="3561" priority="4045" stopIfTrue="1" operator="equal">
      <formula>"Towel"</formula>
    </cfRule>
    <cfRule type="cellIs" dxfId="3560" priority="4046" stopIfTrue="1" operator="equal">
      <formula>"Napkin Hs"</formula>
    </cfRule>
  </conditionalFormatting>
  <conditionalFormatting sqref="C30">
    <cfRule type="cellIs" dxfId="3559" priority="4044" stopIfTrue="1" operator="equal">
      <formula>"Napkin Hs"</formula>
    </cfRule>
  </conditionalFormatting>
  <conditionalFormatting sqref="C30">
    <cfRule type="cellIs" dxfId="3558" priority="4041" stopIfTrue="1" operator="equal">
      <formula>"Towel"</formula>
    </cfRule>
    <cfRule type="cellIs" dxfId="3557" priority="4042" stopIfTrue="1" operator="equal">
      <formula>"Napkin Hs"</formula>
    </cfRule>
  </conditionalFormatting>
  <conditionalFormatting sqref="C30">
    <cfRule type="cellIs" dxfId="3556" priority="4043" stopIfTrue="1" operator="equal">
      <formula>"Towel"</formula>
    </cfRule>
  </conditionalFormatting>
  <conditionalFormatting sqref="B30:C30">
    <cfRule type="cellIs" dxfId="3555" priority="4039" stopIfTrue="1" operator="equal">
      <formula>"Towel"</formula>
    </cfRule>
    <cfRule type="cellIs" dxfId="3554" priority="4040" stopIfTrue="1" operator="equal">
      <formula>"Napkin Hs"</formula>
    </cfRule>
  </conditionalFormatting>
  <conditionalFormatting sqref="C30">
    <cfRule type="cellIs" dxfId="3553" priority="4038" stopIfTrue="1" operator="equal">
      <formula>"Napkin Hs"</formula>
    </cfRule>
  </conditionalFormatting>
  <conditionalFormatting sqref="C30">
    <cfRule type="cellIs" dxfId="3552" priority="4035" stopIfTrue="1" operator="equal">
      <formula>"Towel"</formula>
    </cfRule>
    <cfRule type="cellIs" dxfId="3551" priority="4036" stopIfTrue="1" operator="equal">
      <formula>"Napkin Hs"</formula>
    </cfRule>
  </conditionalFormatting>
  <conditionalFormatting sqref="C30">
    <cfRule type="cellIs" dxfId="3550" priority="4037" stopIfTrue="1" operator="equal">
      <formula>"Towel"</formula>
    </cfRule>
  </conditionalFormatting>
  <conditionalFormatting sqref="B29:C29">
    <cfRule type="cellIs" dxfId="3549" priority="4033" stopIfTrue="1" operator="equal">
      <formula>"Towel"</formula>
    </cfRule>
    <cfRule type="cellIs" dxfId="3548" priority="4034" stopIfTrue="1" operator="equal">
      <formula>"Napkin Hs"</formula>
    </cfRule>
  </conditionalFormatting>
  <conditionalFormatting sqref="C29">
    <cfRule type="cellIs" dxfId="3547" priority="4032" stopIfTrue="1" operator="equal">
      <formula>"Napkin Hs"</formula>
    </cfRule>
  </conditionalFormatting>
  <conditionalFormatting sqref="C29">
    <cfRule type="cellIs" dxfId="3546" priority="4029" stopIfTrue="1" operator="equal">
      <formula>"Towel"</formula>
    </cfRule>
    <cfRule type="cellIs" dxfId="3545" priority="4030" stopIfTrue="1" operator="equal">
      <formula>"Napkin Hs"</formula>
    </cfRule>
  </conditionalFormatting>
  <conditionalFormatting sqref="C29">
    <cfRule type="cellIs" dxfId="3544" priority="4031" stopIfTrue="1" operator="equal">
      <formula>"Towel"</formula>
    </cfRule>
  </conditionalFormatting>
  <conditionalFormatting sqref="B29:C29">
    <cfRule type="cellIs" dxfId="3543" priority="4027" stopIfTrue="1" operator="equal">
      <formula>"Towel"</formula>
    </cfRule>
    <cfRule type="cellIs" dxfId="3542" priority="4028" stopIfTrue="1" operator="equal">
      <formula>"Napkin Hs"</formula>
    </cfRule>
  </conditionalFormatting>
  <conditionalFormatting sqref="C29">
    <cfRule type="cellIs" dxfId="3541" priority="4026" stopIfTrue="1" operator="equal">
      <formula>"Napkin Hs"</formula>
    </cfRule>
  </conditionalFormatting>
  <conditionalFormatting sqref="C29">
    <cfRule type="cellIs" dxfId="3540" priority="4023" stopIfTrue="1" operator="equal">
      <formula>"Towel"</formula>
    </cfRule>
    <cfRule type="cellIs" dxfId="3539" priority="4024" stopIfTrue="1" operator="equal">
      <formula>"Napkin Hs"</formula>
    </cfRule>
  </conditionalFormatting>
  <conditionalFormatting sqref="C29">
    <cfRule type="cellIs" dxfId="3538" priority="4025" stopIfTrue="1" operator="equal">
      <formula>"Towel"</formula>
    </cfRule>
  </conditionalFormatting>
  <conditionalFormatting sqref="B29:C29">
    <cfRule type="cellIs" dxfId="3537" priority="4021" stopIfTrue="1" operator="equal">
      <formula>"Towel"</formula>
    </cfRule>
    <cfRule type="cellIs" dxfId="3536" priority="4022" stopIfTrue="1" operator="equal">
      <formula>"Napkin Hs"</formula>
    </cfRule>
  </conditionalFormatting>
  <conditionalFormatting sqref="C29">
    <cfRule type="cellIs" dxfId="3535" priority="4020" stopIfTrue="1" operator="equal">
      <formula>"Napkin Hs"</formula>
    </cfRule>
  </conditionalFormatting>
  <conditionalFormatting sqref="C29">
    <cfRule type="cellIs" dxfId="3534" priority="4017" stopIfTrue="1" operator="equal">
      <formula>"Towel"</formula>
    </cfRule>
    <cfRule type="cellIs" dxfId="3533" priority="4018" stopIfTrue="1" operator="equal">
      <formula>"Napkin Hs"</formula>
    </cfRule>
  </conditionalFormatting>
  <conditionalFormatting sqref="C29">
    <cfRule type="cellIs" dxfId="3532" priority="4019" stopIfTrue="1" operator="equal">
      <formula>"Towel"</formula>
    </cfRule>
  </conditionalFormatting>
  <conditionalFormatting sqref="B29:C29">
    <cfRule type="cellIs" dxfId="3531" priority="4015" stopIfTrue="1" operator="equal">
      <formula>"Towel"</formula>
    </cfRule>
    <cfRule type="cellIs" dxfId="3530" priority="4016" stopIfTrue="1" operator="equal">
      <formula>"Napkin Hs"</formula>
    </cfRule>
  </conditionalFormatting>
  <conditionalFormatting sqref="C29">
    <cfRule type="cellIs" dxfId="3529" priority="4014" stopIfTrue="1" operator="equal">
      <formula>"Napkin Hs"</formula>
    </cfRule>
  </conditionalFormatting>
  <conditionalFormatting sqref="C29">
    <cfRule type="cellIs" dxfId="3528" priority="4011" stopIfTrue="1" operator="equal">
      <formula>"Towel"</formula>
    </cfRule>
    <cfRule type="cellIs" dxfId="3527" priority="4012" stopIfTrue="1" operator="equal">
      <formula>"Napkin Hs"</formula>
    </cfRule>
  </conditionalFormatting>
  <conditionalFormatting sqref="C29">
    <cfRule type="cellIs" dxfId="3526" priority="4013" stopIfTrue="1" operator="equal">
      <formula>"Towel"</formula>
    </cfRule>
  </conditionalFormatting>
  <conditionalFormatting sqref="B29:C29">
    <cfRule type="cellIs" dxfId="3525" priority="4009" stopIfTrue="1" operator="equal">
      <formula>"Towel"</formula>
    </cfRule>
    <cfRule type="cellIs" dxfId="3524" priority="4010" stopIfTrue="1" operator="equal">
      <formula>"Napkin Hs"</formula>
    </cfRule>
  </conditionalFormatting>
  <conditionalFormatting sqref="C29">
    <cfRule type="cellIs" dxfId="3523" priority="4008" stopIfTrue="1" operator="equal">
      <formula>"Napkin Hs"</formula>
    </cfRule>
  </conditionalFormatting>
  <conditionalFormatting sqref="C29">
    <cfRule type="cellIs" dxfId="3522" priority="4005" stopIfTrue="1" operator="equal">
      <formula>"Towel"</formula>
    </cfRule>
    <cfRule type="cellIs" dxfId="3521" priority="4006" stopIfTrue="1" operator="equal">
      <formula>"Napkin Hs"</formula>
    </cfRule>
  </conditionalFormatting>
  <conditionalFormatting sqref="C29">
    <cfRule type="cellIs" dxfId="3520" priority="4007" stopIfTrue="1" operator="equal">
      <formula>"Towel"</formula>
    </cfRule>
  </conditionalFormatting>
  <conditionalFormatting sqref="B29:C29">
    <cfRule type="cellIs" dxfId="3519" priority="4003" stopIfTrue="1" operator="equal">
      <formula>"Towel"</formula>
    </cfRule>
    <cfRule type="cellIs" dxfId="3518" priority="4004" stopIfTrue="1" operator="equal">
      <formula>"Napkin Hs"</formula>
    </cfRule>
  </conditionalFormatting>
  <conditionalFormatting sqref="C29">
    <cfRule type="cellIs" dxfId="3517" priority="4002" stopIfTrue="1" operator="equal">
      <formula>"Napkin Hs"</formula>
    </cfRule>
  </conditionalFormatting>
  <conditionalFormatting sqref="C29">
    <cfRule type="cellIs" dxfId="3516" priority="3999" stopIfTrue="1" operator="equal">
      <formula>"Towel"</formula>
    </cfRule>
    <cfRule type="cellIs" dxfId="3515" priority="4000" stopIfTrue="1" operator="equal">
      <formula>"Napkin Hs"</formula>
    </cfRule>
  </conditionalFormatting>
  <conditionalFormatting sqref="C29">
    <cfRule type="cellIs" dxfId="3514" priority="4001" stopIfTrue="1" operator="equal">
      <formula>"Towel"</formula>
    </cfRule>
  </conditionalFormatting>
  <conditionalFormatting sqref="B33:C33">
    <cfRule type="cellIs" dxfId="3513" priority="3997" stopIfTrue="1" operator="equal">
      <formula>"Towel"</formula>
    </cfRule>
    <cfRule type="cellIs" dxfId="3512" priority="3998" stopIfTrue="1" operator="equal">
      <formula>"Napkin Hs"</formula>
    </cfRule>
  </conditionalFormatting>
  <conditionalFormatting sqref="C33">
    <cfRule type="cellIs" dxfId="3511" priority="3996" stopIfTrue="1" operator="equal">
      <formula>"Napkin Hs"</formula>
    </cfRule>
  </conditionalFormatting>
  <conditionalFormatting sqref="C33">
    <cfRule type="cellIs" dxfId="3510" priority="3993" stopIfTrue="1" operator="equal">
      <formula>"Towel"</formula>
    </cfRule>
    <cfRule type="cellIs" dxfId="3509" priority="3994" stopIfTrue="1" operator="equal">
      <formula>"Napkin Hs"</formula>
    </cfRule>
  </conditionalFormatting>
  <conditionalFormatting sqref="C33">
    <cfRule type="cellIs" dxfId="3508" priority="3995" stopIfTrue="1" operator="equal">
      <formula>"Towel"</formula>
    </cfRule>
  </conditionalFormatting>
  <conditionalFormatting sqref="B33:C33">
    <cfRule type="cellIs" dxfId="3507" priority="3991" stopIfTrue="1" operator="equal">
      <formula>"Towel"</formula>
    </cfRule>
    <cfRule type="cellIs" dxfId="3506" priority="3992" stopIfTrue="1" operator="equal">
      <formula>"Napkin Hs"</formula>
    </cfRule>
  </conditionalFormatting>
  <conditionalFormatting sqref="C33">
    <cfRule type="cellIs" dxfId="3505" priority="3990" stopIfTrue="1" operator="equal">
      <formula>"Napkin Hs"</formula>
    </cfRule>
  </conditionalFormatting>
  <conditionalFormatting sqref="C33">
    <cfRule type="cellIs" dxfId="3504" priority="3987" stopIfTrue="1" operator="equal">
      <formula>"Towel"</formula>
    </cfRule>
    <cfRule type="cellIs" dxfId="3503" priority="3988" stopIfTrue="1" operator="equal">
      <formula>"Napkin Hs"</formula>
    </cfRule>
  </conditionalFormatting>
  <conditionalFormatting sqref="C33">
    <cfRule type="cellIs" dxfId="3502" priority="3989" stopIfTrue="1" operator="equal">
      <formula>"Towel"</formula>
    </cfRule>
  </conditionalFormatting>
  <conditionalFormatting sqref="B33:C33">
    <cfRule type="cellIs" dxfId="3501" priority="3985" stopIfTrue="1" operator="equal">
      <formula>"Towel"</formula>
    </cfRule>
    <cfRule type="cellIs" dxfId="3500" priority="3986" stopIfTrue="1" operator="equal">
      <formula>"Napkin Hs"</formula>
    </cfRule>
  </conditionalFormatting>
  <conditionalFormatting sqref="C33">
    <cfRule type="cellIs" dxfId="3499" priority="3984" stopIfTrue="1" operator="equal">
      <formula>"Napkin Hs"</formula>
    </cfRule>
  </conditionalFormatting>
  <conditionalFormatting sqref="C33">
    <cfRule type="cellIs" dxfId="3498" priority="3981" stopIfTrue="1" operator="equal">
      <formula>"Towel"</formula>
    </cfRule>
    <cfRule type="cellIs" dxfId="3497" priority="3982" stopIfTrue="1" operator="equal">
      <formula>"Napkin Hs"</formula>
    </cfRule>
  </conditionalFormatting>
  <conditionalFormatting sqref="C33">
    <cfRule type="cellIs" dxfId="3496" priority="3983" stopIfTrue="1" operator="equal">
      <formula>"Towel"</formula>
    </cfRule>
  </conditionalFormatting>
  <conditionalFormatting sqref="B33:C33">
    <cfRule type="cellIs" dxfId="3495" priority="3979" stopIfTrue="1" operator="equal">
      <formula>"Towel"</formula>
    </cfRule>
    <cfRule type="cellIs" dxfId="3494" priority="3980" stopIfTrue="1" operator="equal">
      <formula>"Napkin Hs"</formula>
    </cfRule>
  </conditionalFormatting>
  <conditionalFormatting sqref="C33">
    <cfRule type="cellIs" dxfId="3493" priority="3978" stopIfTrue="1" operator="equal">
      <formula>"Napkin Hs"</formula>
    </cfRule>
  </conditionalFormatting>
  <conditionalFormatting sqref="C33">
    <cfRule type="cellIs" dxfId="3492" priority="3975" stopIfTrue="1" operator="equal">
      <formula>"Towel"</formula>
    </cfRule>
    <cfRule type="cellIs" dxfId="3491" priority="3976" stopIfTrue="1" operator="equal">
      <formula>"Napkin Hs"</formula>
    </cfRule>
  </conditionalFormatting>
  <conditionalFormatting sqref="C33">
    <cfRule type="cellIs" dxfId="3490" priority="3977" stopIfTrue="1" operator="equal">
      <formula>"Towel"</formula>
    </cfRule>
  </conditionalFormatting>
  <conditionalFormatting sqref="B33:C33">
    <cfRule type="cellIs" dxfId="3489" priority="3973" stopIfTrue="1" operator="equal">
      <formula>"Towel"</formula>
    </cfRule>
    <cfRule type="cellIs" dxfId="3488" priority="3974" stopIfTrue="1" operator="equal">
      <formula>"Napkin Hs"</formula>
    </cfRule>
  </conditionalFormatting>
  <conditionalFormatting sqref="C33">
    <cfRule type="cellIs" dxfId="3487" priority="3972" stopIfTrue="1" operator="equal">
      <formula>"Napkin Hs"</formula>
    </cfRule>
  </conditionalFormatting>
  <conditionalFormatting sqref="C33">
    <cfRule type="cellIs" dxfId="3486" priority="3969" stopIfTrue="1" operator="equal">
      <formula>"Towel"</formula>
    </cfRule>
    <cfRule type="cellIs" dxfId="3485" priority="3970" stopIfTrue="1" operator="equal">
      <formula>"Napkin Hs"</formula>
    </cfRule>
  </conditionalFormatting>
  <conditionalFormatting sqref="C33">
    <cfRule type="cellIs" dxfId="3484" priority="3971" stopIfTrue="1" operator="equal">
      <formula>"Towel"</formula>
    </cfRule>
  </conditionalFormatting>
  <conditionalFormatting sqref="B33:C33">
    <cfRule type="cellIs" dxfId="3483" priority="3967" stopIfTrue="1" operator="equal">
      <formula>"Towel"</formula>
    </cfRule>
    <cfRule type="cellIs" dxfId="3482" priority="3968" stopIfTrue="1" operator="equal">
      <formula>"Napkin Hs"</formula>
    </cfRule>
  </conditionalFormatting>
  <conditionalFormatting sqref="C33">
    <cfRule type="cellIs" dxfId="3481" priority="3966" stopIfTrue="1" operator="equal">
      <formula>"Napkin Hs"</formula>
    </cfRule>
  </conditionalFormatting>
  <conditionalFormatting sqref="C33">
    <cfRule type="cellIs" dxfId="3480" priority="3963" stopIfTrue="1" operator="equal">
      <formula>"Towel"</formula>
    </cfRule>
    <cfRule type="cellIs" dxfId="3479" priority="3964" stopIfTrue="1" operator="equal">
      <formula>"Napkin Hs"</formula>
    </cfRule>
  </conditionalFormatting>
  <conditionalFormatting sqref="C33">
    <cfRule type="cellIs" dxfId="3478" priority="3965" stopIfTrue="1" operator="equal">
      <formula>"Towel"</formula>
    </cfRule>
  </conditionalFormatting>
  <conditionalFormatting sqref="B34:C35">
    <cfRule type="cellIs" dxfId="3477" priority="3961" stopIfTrue="1" operator="equal">
      <formula>"Towel"</formula>
    </cfRule>
    <cfRule type="cellIs" dxfId="3476" priority="3962" stopIfTrue="1" operator="equal">
      <formula>"Napkin Hs"</formula>
    </cfRule>
  </conditionalFormatting>
  <conditionalFormatting sqref="C34:C35">
    <cfRule type="cellIs" dxfId="3475" priority="3960" stopIfTrue="1" operator="equal">
      <formula>"Napkin Hs"</formula>
    </cfRule>
  </conditionalFormatting>
  <conditionalFormatting sqref="C34:C35">
    <cfRule type="cellIs" dxfId="3474" priority="3957" stopIfTrue="1" operator="equal">
      <formula>"Towel"</formula>
    </cfRule>
    <cfRule type="cellIs" dxfId="3473" priority="3958" stopIfTrue="1" operator="equal">
      <formula>"Napkin Hs"</formula>
    </cfRule>
  </conditionalFormatting>
  <conditionalFormatting sqref="C34:C35">
    <cfRule type="cellIs" dxfId="3472" priority="3959" stopIfTrue="1" operator="equal">
      <formula>"Towel"</formula>
    </cfRule>
  </conditionalFormatting>
  <conditionalFormatting sqref="B34:C35">
    <cfRule type="cellIs" dxfId="3471" priority="3955" stopIfTrue="1" operator="equal">
      <formula>"Towel"</formula>
    </cfRule>
    <cfRule type="cellIs" dxfId="3470" priority="3956" stopIfTrue="1" operator="equal">
      <formula>"Napkin Hs"</formula>
    </cfRule>
  </conditionalFormatting>
  <conditionalFormatting sqref="C34:C35">
    <cfRule type="cellIs" dxfId="3469" priority="3954" stopIfTrue="1" operator="equal">
      <formula>"Napkin Hs"</formula>
    </cfRule>
  </conditionalFormatting>
  <conditionalFormatting sqref="C34:C35">
    <cfRule type="cellIs" dxfId="3468" priority="3951" stopIfTrue="1" operator="equal">
      <formula>"Towel"</formula>
    </cfRule>
    <cfRule type="cellIs" dxfId="3467" priority="3952" stopIfTrue="1" operator="equal">
      <formula>"Napkin Hs"</formula>
    </cfRule>
  </conditionalFormatting>
  <conditionalFormatting sqref="C34:C35">
    <cfRule type="cellIs" dxfId="3466" priority="3953" stopIfTrue="1" operator="equal">
      <formula>"Towel"</formula>
    </cfRule>
  </conditionalFormatting>
  <conditionalFormatting sqref="B34:C35">
    <cfRule type="cellIs" dxfId="3465" priority="3949" stopIfTrue="1" operator="equal">
      <formula>"Towel"</formula>
    </cfRule>
    <cfRule type="cellIs" dxfId="3464" priority="3950" stopIfTrue="1" operator="equal">
      <formula>"Napkin Hs"</formula>
    </cfRule>
  </conditionalFormatting>
  <conditionalFormatting sqref="C34:C35">
    <cfRule type="cellIs" dxfId="3463" priority="3948" stopIfTrue="1" operator="equal">
      <formula>"Napkin Hs"</formula>
    </cfRule>
  </conditionalFormatting>
  <conditionalFormatting sqref="C34:C35">
    <cfRule type="cellIs" dxfId="3462" priority="3945" stopIfTrue="1" operator="equal">
      <formula>"Towel"</formula>
    </cfRule>
    <cfRule type="cellIs" dxfId="3461" priority="3946" stopIfTrue="1" operator="equal">
      <formula>"Napkin Hs"</formula>
    </cfRule>
  </conditionalFormatting>
  <conditionalFormatting sqref="C34:C35">
    <cfRule type="cellIs" dxfId="3460" priority="3947" stopIfTrue="1" operator="equal">
      <formula>"Towel"</formula>
    </cfRule>
  </conditionalFormatting>
  <conditionalFormatting sqref="B34:C35">
    <cfRule type="cellIs" dxfId="3459" priority="3943" stopIfTrue="1" operator="equal">
      <formula>"Towel"</formula>
    </cfRule>
    <cfRule type="cellIs" dxfId="3458" priority="3944" stopIfTrue="1" operator="equal">
      <formula>"Napkin Hs"</formula>
    </cfRule>
  </conditionalFormatting>
  <conditionalFormatting sqref="C34:C35">
    <cfRule type="cellIs" dxfId="3457" priority="3942" stopIfTrue="1" operator="equal">
      <formula>"Napkin Hs"</formula>
    </cfRule>
  </conditionalFormatting>
  <conditionalFormatting sqref="C34:C35">
    <cfRule type="cellIs" dxfId="3456" priority="3939" stopIfTrue="1" operator="equal">
      <formula>"Towel"</formula>
    </cfRule>
    <cfRule type="cellIs" dxfId="3455" priority="3940" stopIfTrue="1" operator="equal">
      <formula>"Napkin Hs"</formula>
    </cfRule>
  </conditionalFormatting>
  <conditionalFormatting sqref="C34:C35">
    <cfRule type="cellIs" dxfId="3454" priority="3941" stopIfTrue="1" operator="equal">
      <formula>"Towel"</formula>
    </cfRule>
  </conditionalFormatting>
  <conditionalFormatting sqref="B34:C35">
    <cfRule type="cellIs" dxfId="3453" priority="3937" stopIfTrue="1" operator="equal">
      <formula>"Towel"</formula>
    </cfRule>
    <cfRule type="cellIs" dxfId="3452" priority="3938" stopIfTrue="1" operator="equal">
      <formula>"Napkin Hs"</formula>
    </cfRule>
  </conditionalFormatting>
  <conditionalFormatting sqref="C34:C35">
    <cfRule type="cellIs" dxfId="3451" priority="3936" stopIfTrue="1" operator="equal">
      <formula>"Napkin Hs"</formula>
    </cfRule>
  </conditionalFormatting>
  <conditionalFormatting sqref="C34:C35">
    <cfRule type="cellIs" dxfId="3450" priority="3933" stopIfTrue="1" operator="equal">
      <formula>"Towel"</formula>
    </cfRule>
    <cfRule type="cellIs" dxfId="3449" priority="3934" stopIfTrue="1" operator="equal">
      <formula>"Napkin Hs"</formula>
    </cfRule>
  </conditionalFormatting>
  <conditionalFormatting sqref="C34:C35">
    <cfRule type="cellIs" dxfId="3448" priority="3935" stopIfTrue="1" operator="equal">
      <formula>"Towel"</formula>
    </cfRule>
  </conditionalFormatting>
  <conditionalFormatting sqref="B34:C35">
    <cfRule type="cellIs" dxfId="3447" priority="3931" stopIfTrue="1" operator="equal">
      <formula>"Towel"</formula>
    </cfRule>
    <cfRule type="cellIs" dxfId="3446" priority="3932" stopIfTrue="1" operator="equal">
      <formula>"Napkin Hs"</formula>
    </cfRule>
  </conditionalFormatting>
  <conditionalFormatting sqref="C34:C35">
    <cfRule type="cellIs" dxfId="3445" priority="3930" stopIfTrue="1" operator="equal">
      <formula>"Napkin Hs"</formula>
    </cfRule>
  </conditionalFormatting>
  <conditionalFormatting sqref="C34:C35">
    <cfRule type="cellIs" dxfId="3444" priority="3927" stopIfTrue="1" operator="equal">
      <formula>"Towel"</formula>
    </cfRule>
    <cfRule type="cellIs" dxfId="3443" priority="3928" stopIfTrue="1" operator="equal">
      <formula>"Napkin Hs"</formula>
    </cfRule>
  </conditionalFormatting>
  <conditionalFormatting sqref="C34:C35">
    <cfRule type="cellIs" dxfId="3442" priority="3929" stopIfTrue="1" operator="equal">
      <formula>"Towel"</formula>
    </cfRule>
  </conditionalFormatting>
  <conditionalFormatting sqref="B36:C36">
    <cfRule type="cellIs" dxfId="3441" priority="3925" stopIfTrue="1" operator="equal">
      <formula>"Towel"</formula>
    </cfRule>
    <cfRule type="cellIs" dxfId="3440" priority="3926" stopIfTrue="1" operator="equal">
      <formula>"Napkin Hs"</formula>
    </cfRule>
  </conditionalFormatting>
  <conditionalFormatting sqref="C36">
    <cfRule type="cellIs" dxfId="3439" priority="3924" stopIfTrue="1" operator="equal">
      <formula>"Napkin Hs"</formula>
    </cfRule>
  </conditionalFormatting>
  <conditionalFormatting sqref="C36">
    <cfRule type="cellIs" dxfId="3438" priority="3921" stopIfTrue="1" operator="equal">
      <formula>"Towel"</formula>
    </cfRule>
    <cfRule type="cellIs" dxfId="3437" priority="3922" stopIfTrue="1" operator="equal">
      <formula>"Napkin Hs"</formula>
    </cfRule>
  </conditionalFormatting>
  <conditionalFormatting sqref="C36">
    <cfRule type="cellIs" dxfId="3436" priority="3923" stopIfTrue="1" operator="equal">
      <formula>"Towel"</formula>
    </cfRule>
  </conditionalFormatting>
  <conditionalFormatting sqref="B36:C36">
    <cfRule type="cellIs" dxfId="3435" priority="3919" stopIfTrue="1" operator="equal">
      <formula>"Towel"</formula>
    </cfRule>
    <cfRule type="cellIs" dxfId="3434" priority="3920" stopIfTrue="1" operator="equal">
      <formula>"Napkin Hs"</formula>
    </cfRule>
  </conditionalFormatting>
  <conditionalFormatting sqref="C36">
    <cfRule type="cellIs" dxfId="3433" priority="3918" stopIfTrue="1" operator="equal">
      <formula>"Napkin Hs"</formula>
    </cfRule>
  </conditionalFormatting>
  <conditionalFormatting sqref="C36">
    <cfRule type="cellIs" dxfId="3432" priority="3915" stopIfTrue="1" operator="equal">
      <formula>"Towel"</formula>
    </cfRule>
    <cfRule type="cellIs" dxfId="3431" priority="3916" stopIfTrue="1" operator="equal">
      <formula>"Napkin Hs"</formula>
    </cfRule>
  </conditionalFormatting>
  <conditionalFormatting sqref="C36">
    <cfRule type="cellIs" dxfId="3430" priority="3917" stopIfTrue="1" operator="equal">
      <formula>"Towel"</formula>
    </cfRule>
  </conditionalFormatting>
  <conditionalFormatting sqref="B36:C36">
    <cfRule type="cellIs" dxfId="3429" priority="3913" stopIfTrue="1" operator="equal">
      <formula>"Towel"</formula>
    </cfRule>
    <cfRule type="cellIs" dxfId="3428" priority="3914" stopIfTrue="1" operator="equal">
      <formula>"Napkin Hs"</formula>
    </cfRule>
  </conditionalFormatting>
  <conditionalFormatting sqref="C36">
    <cfRule type="cellIs" dxfId="3427" priority="3912" stopIfTrue="1" operator="equal">
      <formula>"Napkin Hs"</formula>
    </cfRule>
  </conditionalFormatting>
  <conditionalFormatting sqref="C36">
    <cfRule type="cellIs" dxfId="3426" priority="3909" stopIfTrue="1" operator="equal">
      <formula>"Towel"</formula>
    </cfRule>
    <cfRule type="cellIs" dxfId="3425" priority="3910" stopIfTrue="1" operator="equal">
      <formula>"Napkin Hs"</formula>
    </cfRule>
  </conditionalFormatting>
  <conditionalFormatting sqref="C36">
    <cfRule type="cellIs" dxfId="3424" priority="3911" stopIfTrue="1" operator="equal">
      <formula>"Towel"</formula>
    </cfRule>
  </conditionalFormatting>
  <conditionalFormatting sqref="B42:C42">
    <cfRule type="cellIs" dxfId="3423" priority="3907" stopIfTrue="1" operator="equal">
      <formula>"Towel"</formula>
    </cfRule>
    <cfRule type="cellIs" dxfId="3422" priority="3908" stopIfTrue="1" operator="equal">
      <formula>"Napkin Hs"</formula>
    </cfRule>
  </conditionalFormatting>
  <conditionalFormatting sqref="C42">
    <cfRule type="cellIs" dxfId="3421" priority="3905" stopIfTrue="1" operator="equal">
      <formula>"Towel"</formula>
    </cfRule>
    <cfRule type="cellIs" dxfId="3420" priority="3906" stopIfTrue="1" operator="equal">
      <formula>"Napkin Hs"</formula>
    </cfRule>
  </conditionalFormatting>
  <conditionalFormatting sqref="C42">
    <cfRule type="cellIs" dxfId="3419" priority="3903" stopIfTrue="1" operator="equal">
      <formula>"Towel"</formula>
    </cfRule>
    <cfRule type="cellIs" dxfId="3418" priority="3904" stopIfTrue="1" operator="equal">
      <formula>"Napkin Hs"</formula>
    </cfRule>
  </conditionalFormatting>
  <conditionalFormatting sqref="B43:C43">
    <cfRule type="cellIs" dxfId="3417" priority="3901" stopIfTrue="1" operator="equal">
      <formula>"Towel"</formula>
    </cfRule>
    <cfRule type="cellIs" dxfId="3416" priority="3902" stopIfTrue="1" operator="equal">
      <formula>"Napkin Hs"</formula>
    </cfRule>
  </conditionalFormatting>
  <conditionalFormatting sqref="C43">
    <cfRule type="cellIs" dxfId="3415" priority="3900" stopIfTrue="1" operator="equal">
      <formula>"Napkin Hs"</formula>
    </cfRule>
  </conditionalFormatting>
  <conditionalFormatting sqref="C43">
    <cfRule type="cellIs" dxfId="3414" priority="3897" stopIfTrue="1" operator="equal">
      <formula>"Towel"</formula>
    </cfRule>
    <cfRule type="cellIs" dxfId="3413" priority="3898" stopIfTrue="1" operator="equal">
      <formula>"Napkin Hs"</formula>
    </cfRule>
  </conditionalFormatting>
  <conditionalFormatting sqref="C43">
    <cfRule type="cellIs" dxfId="3412" priority="3899" stopIfTrue="1" operator="equal">
      <formula>"Towel"</formula>
    </cfRule>
  </conditionalFormatting>
  <conditionalFormatting sqref="B39:C40">
    <cfRule type="cellIs" dxfId="3411" priority="3895" stopIfTrue="1" operator="equal">
      <formula>"Towel"</formula>
    </cfRule>
    <cfRule type="cellIs" dxfId="3410" priority="3896" stopIfTrue="1" operator="equal">
      <formula>"Napkin Hs"</formula>
    </cfRule>
  </conditionalFormatting>
  <conditionalFormatting sqref="C39:C40">
    <cfRule type="cellIs" dxfId="3409" priority="3894" stopIfTrue="1" operator="equal">
      <formula>"Napkin Hs"</formula>
    </cfRule>
  </conditionalFormatting>
  <conditionalFormatting sqref="C39:C40">
    <cfRule type="cellIs" dxfId="3408" priority="3891" stopIfTrue="1" operator="equal">
      <formula>"Towel"</formula>
    </cfRule>
    <cfRule type="cellIs" dxfId="3407" priority="3892" stopIfTrue="1" operator="equal">
      <formula>"Napkin Hs"</formula>
    </cfRule>
  </conditionalFormatting>
  <conditionalFormatting sqref="C39:C40">
    <cfRule type="cellIs" dxfId="3406" priority="3893" stopIfTrue="1" operator="equal">
      <formula>"Towel"</formula>
    </cfRule>
  </conditionalFormatting>
  <conditionalFormatting sqref="B39:C40">
    <cfRule type="cellIs" dxfId="3405" priority="3889" stopIfTrue="1" operator="equal">
      <formula>"Towel"</formula>
    </cfRule>
    <cfRule type="cellIs" dxfId="3404" priority="3890" stopIfTrue="1" operator="equal">
      <formula>"Napkin Hs"</formula>
    </cfRule>
  </conditionalFormatting>
  <conditionalFormatting sqref="C39:C40">
    <cfRule type="cellIs" dxfId="3403" priority="3888" stopIfTrue="1" operator="equal">
      <formula>"Napkin Hs"</formula>
    </cfRule>
  </conditionalFormatting>
  <conditionalFormatting sqref="C39:C40">
    <cfRule type="cellIs" dxfId="3402" priority="3885" stopIfTrue="1" operator="equal">
      <formula>"Towel"</formula>
    </cfRule>
    <cfRule type="cellIs" dxfId="3401" priority="3886" stopIfTrue="1" operator="equal">
      <formula>"Napkin Hs"</formula>
    </cfRule>
  </conditionalFormatting>
  <conditionalFormatting sqref="C39:C40">
    <cfRule type="cellIs" dxfId="3400" priority="3887" stopIfTrue="1" operator="equal">
      <formula>"Towel"</formula>
    </cfRule>
  </conditionalFormatting>
  <conditionalFormatting sqref="B39:C40">
    <cfRule type="cellIs" dxfId="3399" priority="3883" stopIfTrue="1" operator="equal">
      <formula>"Towel"</formula>
    </cfRule>
    <cfRule type="cellIs" dxfId="3398" priority="3884" stopIfTrue="1" operator="equal">
      <formula>"Napkin Hs"</formula>
    </cfRule>
  </conditionalFormatting>
  <conditionalFormatting sqref="C39:C40">
    <cfRule type="cellIs" dxfId="3397" priority="3882" stopIfTrue="1" operator="equal">
      <formula>"Napkin Hs"</formula>
    </cfRule>
  </conditionalFormatting>
  <conditionalFormatting sqref="C39:C40">
    <cfRule type="cellIs" dxfId="3396" priority="3879" stopIfTrue="1" operator="equal">
      <formula>"Towel"</formula>
    </cfRule>
    <cfRule type="cellIs" dxfId="3395" priority="3880" stopIfTrue="1" operator="equal">
      <formula>"Napkin Hs"</formula>
    </cfRule>
  </conditionalFormatting>
  <conditionalFormatting sqref="C39:C40">
    <cfRule type="cellIs" dxfId="3394" priority="3881" stopIfTrue="1" operator="equal">
      <formula>"Towel"</formula>
    </cfRule>
  </conditionalFormatting>
  <conditionalFormatting sqref="B39:C40">
    <cfRule type="cellIs" dxfId="3393" priority="3877" stopIfTrue="1" operator="equal">
      <formula>"Towel"</formula>
    </cfRule>
    <cfRule type="cellIs" dxfId="3392" priority="3878" stopIfTrue="1" operator="equal">
      <formula>"Napkin Hs"</formula>
    </cfRule>
  </conditionalFormatting>
  <conditionalFormatting sqref="C39:C40">
    <cfRule type="cellIs" dxfId="3391" priority="3876" stopIfTrue="1" operator="equal">
      <formula>"Napkin Hs"</formula>
    </cfRule>
  </conditionalFormatting>
  <conditionalFormatting sqref="C39:C40">
    <cfRule type="cellIs" dxfId="3390" priority="3873" stopIfTrue="1" operator="equal">
      <formula>"Towel"</formula>
    </cfRule>
    <cfRule type="cellIs" dxfId="3389" priority="3874" stopIfTrue="1" operator="equal">
      <formula>"Napkin Hs"</formula>
    </cfRule>
  </conditionalFormatting>
  <conditionalFormatting sqref="C39:C40">
    <cfRule type="cellIs" dxfId="3388" priority="3875" stopIfTrue="1" operator="equal">
      <formula>"Towel"</formula>
    </cfRule>
  </conditionalFormatting>
  <conditionalFormatting sqref="B39:C40">
    <cfRule type="cellIs" dxfId="3387" priority="3871" stopIfTrue="1" operator="equal">
      <formula>"Towel"</formula>
    </cfRule>
    <cfRule type="cellIs" dxfId="3386" priority="3872" stopIfTrue="1" operator="equal">
      <formula>"Napkin Hs"</formula>
    </cfRule>
  </conditionalFormatting>
  <conditionalFormatting sqref="C39:C40">
    <cfRule type="cellIs" dxfId="3385" priority="3870" stopIfTrue="1" operator="equal">
      <formula>"Napkin Hs"</formula>
    </cfRule>
  </conditionalFormatting>
  <conditionalFormatting sqref="C39:C40">
    <cfRule type="cellIs" dxfId="3384" priority="3867" stopIfTrue="1" operator="equal">
      <formula>"Towel"</formula>
    </cfRule>
    <cfRule type="cellIs" dxfId="3383" priority="3868" stopIfTrue="1" operator="equal">
      <formula>"Napkin Hs"</formula>
    </cfRule>
  </conditionalFormatting>
  <conditionalFormatting sqref="C39:C40">
    <cfRule type="cellIs" dxfId="3382" priority="3869" stopIfTrue="1" operator="equal">
      <formula>"Towel"</formula>
    </cfRule>
  </conditionalFormatting>
  <conditionalFormatting sqref="B39:C40">
    <cfRule type="cellIs" dxfId="3381" priority="3865" stopIfTrue="1" operator="equal">
      <formula>"Towel"</formula>
    </cfRule>
    <cfRule type="cellIs" dxfId="3380" priority="3866" stopIfTrue="1" operator="equal">
      <formula>"Napkin Hs"</formula>
    </cfRule>
  </conditionalFormatting>
  <conditionalFormatting sqref="C39:C40">
    <cfRule type="cellIs" dxfId="3379" priority="3864" stopIfTrue="1" operator="equal">
      <formula>"Napkin Hs"</formula>
    </cfRule>
  </conditionalFormatting>
  <conditionalFormatting sqref="C39:C40">
    <cfRule type="cellIs" dxfId="3378" priority="3861" stopIfTrue="1" operator="equal">
      <formula>"Towel"</formula>
    </cfRule>
    <cfRule type="cellIs" dxfId="3377" priority="3862" stopIfTrue="1" operator="equal">
      <formula>"Napkin Hs"</formula>
    </cfRule>
  </conditionalFormatting>
  <conditionalFormatting sqref="C39:C40">
    <cfRule type="cellIs" dxfId="3376" priority="3863" stopIfTrue="1" operator="equal">
      <formula>"Towel"</formula>
    </cfRule>
  </conditionalFormatting>
  <conditionalFormatting sqref="B41:C41">
    <cfRule type="cellIs" dxfId="3375" priority="3859" stopIfTrue="1" operator="equal">
      <formula>"Towel"</formula>
    </cfRule>
    <cfRule type="cellIs" dxfId="3374" priority="3860" stopIfTrue="1" operator="equal">
      <formula>"Napkin Hs"</formula>
    </cfRule>
  </conditionalFormatting>
  <conditionalFormatting sqref="C41">
    <cfRule type="cellIs" dxfId="3373" priority="3858" stopIfTrue="1" operator="equal">
      <formula>"Napkin Hs"</formula>
    </cfRule>
  </conditionalFormatting>
  <conditionalFormatting sqref="C41">
    <cfRule type="cellIs" dxfId="3372" priority="3855" stopIfTrue="1" operator="equal">
      <formula>"Towel"</formula>
    </cfRule>
    <cfRule type="cellIs" dxfId="3371" priority="3856" stopIfTrue="1" operator="equal">
      <formula>"Napkin Hs"</formula>
    </cfRule>
  </conditionalFormatting>
  <conditionalFormatting sqref="C41">
    <cfRule type="cellIs" dxfId="3370" priority="3857" stopIfTrue="1" operator="equal">
      <formula>"Towel"</formula>
    </cfRule>
  </conditionalFormatting>
  <conditionalFormatting sqref="B41:C41">
    <cfRule type="cellIs" dxfId="3369" priority="3853" stopIfTrue="1" operator="equal">
      <formula>"Towel"</formula>
    </cfRule>
    <cfRule type="cellIs" dxfId="3368" priority="3854" stopIfTrue="1" operator="equal">
      <formula>"Napkin Hs"</formula>
    </cfRule>
  </conditionalFormatting>
  <conditionalFormatting sqref="C41">
    <cfRule type="cellIs" dxfId="3367" priority="3852" stopIfTrue="1" operator="equal">
      <formula>"Napkin Hs"</formula>
    </cfRule>
  </conditionalFormatting>
  <conditionalFormatting sqref="C41">
    <cfRule type="cellIs" dxfId="3366" priority="3849" stopIfTrue="1" operator="equal">
      <formula>"Towel"</formula>
    </cfRule>
    <cfRule type="cellIs" dxfId="3365" priority="3850" stopIfTrue="1" operator="equal">
      <formula>"Napkin Hs"</formula>
    </cfRule>
  </conditionalFormatting>
  <conditionalFormatting sqref="C41">
    <cfRule type="cellIs" dxfId="3364" priority="3851" stopIfTrue="1" operator="equal">
      <formula>"Towel"</formula>
    </cfRule>
  </conditionalFormatting>
  <conditionalFormatting sqref="B41:C41">
    <cfRule type="cellIs" dxfId="3363" priority="3847" stopIfTrue="1" operator="equal">
      <formula>"Towel"</formula>
    </cfRule>
    <cfRule type="cellIs" dxfId="3362" priority="3848" stopIfTrue="1" operator="equal">
      <formula>"Napkin Hs"</formula>
    </cfRule>
  </conditionalFormatting>
  <conditionalFormatting sqref="C41">
    <cfRule type="cellIs" dxfId="3361" priority="3846" stopIfTrue="1" operator="equal">
      <formula>"Napkin Hs"</formula>
    </cfRule>
  </conditionalFormatting>
  <conditionalFormatting sqref="C41">
    <cfRule type="cellIs" dxfId="3360" priority="3843" stopIfTrue="1" operator="equal">
      <formula>"Towel"</formula>
    </cfRule>
    <cfRule type="cellIs" dxfId="3359" priority="3844" stopIfTrue="1" operator="equal">
      <formula>"Napkin Hs"</formula>
    </cfRule>
  </conditionalFormatting>
  <conditionalFormatting sqref="C41">
    <cfRule type="cellIs" dxfId="3358" priority="3845" stopIfTrue="1" operator="equal">
      <formula>"Towel"</formula>
    </cfRule>
  </conditionalFormatting>
  <conditionalFormatting sqref="B38:C38">
    <cfRule type="cellIs" dxfId="3357" priority="3841" stopIfTrue="1" operator="equal">
      <formula>"Towel"</formula>
    </cfRule>
    <cfRule type="cellIs" dxfId="3356" priority="3842" stopIfTrue="1" operator="equal">
      <formula>"Napkin Hs"</formula>
    </cfRule>
  </conditionalFormatting>
  <conditionalFormatting sqref="C38">
    <cfRule type="cellIs" dxfId="3355" priority="3839" stopIfTrue="1" operator="equal">
      <formula>"Towel"</formula>
    </cfRule>
    <cfRule type="cellIs" dxfId="3354" priority="3840" stopIfTrue="1" operator="equal">
      <formula>"Napkin Hs"</formula>
    </cfRule>
  </conditionalFormatting>
  <conditionalFormatting sqref="C38">
    <cfRule type="cellIs" dxfId="3353" priority="3837" stopIfTrue="1" operator="equal">
      <formula>"Towel"</formula>
    </cfRule>
    <cfRule type="cellIs" dxfId="3352" priority="3838" stopIfTrue="1" operator="equal">
      <formula>"Napkin Hs"</formula>
    </cfRule>
  </conditionalFormatting>
  <conditionalFormatting sqref="B38:C38">
    <cfRule type="cellIs" dxfId="3351" priority="3835" stopIfTrue="1" operator="equal">
      <formula>"Towel"</formula>
    </cfRule>
    <cfRule type="cellIs" dxfId="3350" priority="3836" stopIfTrue="1" operator="equal">
      <formula>"Napkin Hs"</formula>
    </cfRule>
  </conditionalFormatting>
  <conditionalFormatting sqref="C38">
    <cfRule type="cellIs" dxfId="3349" priority="3834" stopIfTrue="1" operator="equal">
      <formula>"Napkin Hs"</formula>
    </cfRule>
  </conditionalFormatting>
  <conditionalFormatting sqref="C38">
    <cfRule type="cellIs" dxfId="3348" priority="3831" stopIfTrue="1" operator="equal">
      <formula>"Towel"</formula>
    </cfRule>
    <cfRule type="cellIs" dxfId="3347" priority="3832" stopIfTrue="1" operator="equal">
      <formula>"Napkin Hs"</formula>
    </cfRule>
  </conditionalFormatting>
  <conditionalFormatting sqref="C38">
    <cfRule type="cellIs" dxfId="3346" priority="3833" stopIfTrue="1" operator="equal">
      <formula>"Towel"</formula>
    </cfRule>
  </conditionalFormatting>
  <conditionalFormatting sqref="B38:C38">
    <cfRule type="cellIs" dxfId="3345" priority="3829" stopIfTrue="1" operator="equal">
      <formula>"Towel"</formula>
    </cfRule>
    <cfRule type="cellIs" dxfId="3344" priority="3830" stopIfTrue="1" operator="equal">
      <formula>"Napkin Hs"</formula>
    </cfRule>
  </conditionalFormatting>
  <conditionalFormatting sqref="C38">
    <cfRule type="cellIs" dxfId="3343" priority="3828" stopIfTrue="1" operator="equal">
      <formula>"Napkin Hs"</formula>
    </cfRule>
  </conditionalFormatting>
  <conditionalFormatting sqref="C38">
    <cfRule type="cellIs" dxfId="3342" priority="3825" stopIfTrue="1" operator="equal">
      <formula>"Towel"</formula>
    </cfRule>
    <cfRule type="cellIs" dxfId="3341" priority="3826" stopIfTrue="1" operator="equal">
      <formula>"Napkin Hs"</formula>
    </cfRule>
  </conditionalFormatting>
  <conditionalFormatting sqref="C38">
    <cfRule type="cellIs" dxfId="3340" priority="3827" stopIfTrue="1" operator="equal">
      <formula>"Towel"</formula>
    </cfRule>
  </conditionalFormatting>
  <conditionalFormatting sqref="B38:C38">
    <cfRule type="cellIs" dxfId="3339" priority="3823" stopIfTrue="1" operator="equal">
      <formula>"Towel"</formula>
    </cfRule>
    <cfRule type="cellIs" dxfId="3338" priority="3824" stopIfTrue="1" operator="equal">
      <formula>"Napkin Hs"</formula>
    </cfRule>
  </conditionalFormatting>
  <conditionalFormatting sqref="C38">
    <cfRule type="cellIs" dxfId="3337" priority="3822" stopIfTrue="1" operator="equal">
      <formula>"Napkin Hs"</formula>
    </cfRule>
  </conditionalFormatting>
  <conditionalFormatting sqref="C38">
    <cfRule type="cellIs" dxfId="3336" priority="3819" stopIfTrue="1" operator="equal">
      <formula>"Towel"</formula>
    </cfRule>
    <cfRule type="cellIs" dxfId="3335" priority="3820" stopIfTrue="1" operator="equal">
      <formula>"Napkin Hs"</formula>
    </cfRule>
  </conditionalFormatting>
  <conditionalFormatting sqref="C38">
    <cfRule type="cellIs" dxfId="3334" priority="3821" stopIfTrue="1" operator="equal">
      <formula>"Towel"</formula>
    </cfRule>
  </conditionalFormatting>
  <conditionalFormatting sqref="B45:C45">
    <cfRule type="cellIs" dxfId="3333" priority="3817" stopIfTrue="1" operator="equal">
      <formula>"Towel"</formula>
    </cfRule>
    <cfRule type="cellIs" dxfId="3332" priority="3818" stopIfTrue="1" operator="equal">
      <formula>"Napkin Hs"</formula>
    </cfRule>
  </conditionalFormatting>
  <conditionalFormatting sqref="C45">
    <cfRule type="cellIs" dxfId="3331" priority="3815" stopIfTrue="1" operator="equal">
      <formula>"Towel"</formula>
    </cfRule>
    <cfRule type="cellIs" dxfId="3330" priority="3816" stopIfTrue="1" operator="equal">
      <formula>"Napkin Hs"</formula>
    </cfRule>
  </conditionalFormatting>
  <conditionalFormatting sqref="C45">
    <cfRule type="cellIs" dxfId="3329" priority="3813" stopIfTrue="1" operator="equal">
      <formula>"Towel"</formula>
    </cfRule>
    <cfRule type="cellIs" dxfId="3328" priority="3814" stopIfTrue="1" operator="equal">
      <formula>"Napkin Hs"</formula>
    </cfRule>
  </conditionalFormatting>
  <conditionalFormatting sqref="B43:C44">
    <cfRule type="cellIs" dxfId="3327" priority="3811" stopIfTrue="1" operator="equal">
      <formula>"Towel"</formula>
    </cfRule>
    <cfRule type="cellIs" dxfId="3326" priority="3812" stopIfTrue="1" operator="equal">
      <formula>"Napkin Hs"</formula>
    </cfRule>
  </conditionalFormatting>
  <conditionalFormatting sqref="C43:C44">
    <cfRule type="cellIs" dxfId="3325" priority="3810" stopIfTrue="1" operator="equal">
      <formula>"Napkin Hs"</formula>
    </cfRule>
  </conditionalFormatting>
  <conditionalFormatting sqref="C43:C44">
    <cfRule type="cellIs" dxfId="3324" priority="3807" stopIfTrue="1" operator="equal">
      <formula>"Towel"</formula>
    </cfRule>
    <cfRule type="cellIs" dxfId="3323" priority="3808" stopIfTrue="1" operator="equal">
      <formula>"Napkin Hs"</formula>
    </cfRule>
  </conditionalFormatting>
  <conditionalFormatting sqref="C43:C44">
    <cfRule type="cellIs" dxfId="3322" priority="3809" stopIfTrue="1" operator="equal">
      <formula>"Towel"</formula>
    </cfRule>
  </conditionalFormatting>
  <conditionalFormatting sqref="B43:C44">
    <cfRule type="cellIs" dxfId="3321" priority="3805" stopIfTrue="1" operator="equal">
      <formula>"Towel"</formula>
    </cfRule>
    <cfRule type="cellIs" dxfId="3320" priority="3806" stopIfTrue="1" operator="equal">
      <formula>"Napkin Hs"</formula>
    </cfRule>
  </conditionalFormatting>
  <conditionalFormatting sqref="C43:C44">
    <cfRule type="cellIs" dxfId="3319" priority="3804" stopIfTrue="1" operator="equal">
      <formula>"Napkin Hs"</formula>
    </cfRule>
  </conditionalFormatting>
  <conditionalFormatting sqref="C43:C44">
    <cfRule type="cellIs" dxfId="3318" priority="3801" stopIfTrue="1" operator="equal">
      <formula>"Towel"</formula>
    </cfRule>
    <cfRule type="cellIs" dxfId="3317" priority="3802" stopIfTrue="1" operator="equal">
      <formula>"Napkin Hs"</formula>
    </cfRule>
  </conditionalFormatting>
  <conditionalFormatting sqref="C43:C44">
    <cfRule type="cellIs" dxfId="3316" priority="3803" stopIfTrue="1" operator="equal">
      <formula>"Towel"</formula>
    </cfRule>
  </conditionalFormatting>
  <conditionalFormatting sqref="B43:C44">
    <cfRule type="cellIs" dxfId="3315" priority="3799" stopIfTrue="1" operator="equal">
      <formula>"Towel"</formula>
    </cfRule>
    <cfRule type="cellIs" dxfId="3314" priority="3800" stopIfTrue="1" operator="equal">
      <formula>"Napkin Hs"</formula>
    </cfRule>
  </conditionalFormatting>
  <conditionalFormatting sqref="C43:C44">
    <cfRule type="cellIs" dxfId="3313" priority="3798" stopIfTrue="1" operator="equal">
      <formula>"Napkin Hs"</formula>
    </cfRule>
  </conditionalFormatting>
  <conditionalFormatting sqref="C43:C44">
    <cfRule type="cellIs" dxfId="3312" priority="3795" stopIfTrue="1" operator="equal">
      <formula>"Towel"</formula>
    </cfRule>
    <cfRule type="cellIs" dxfId="3311" priority="3796" stopIfTrue="1" operator="equal">
      <formula>"Napkin Hs"</formula>
    </cfRule>
  </conditionalFormatting>
  <conditionalFormatting sqref="C43:C44">
    <cfRule type="cellIs" dxfId="3310" priority="3797" stopIfTrue="1" operator="equal">
      <formula>"Towel"</formula>
    </cfRule>
  </conditionalFormatting>
  <conditionalFormatting sqref="B43:C44">
    <cfRule type="cellIs" dxfId="3309" priority="3793" stopIfTrue="1" operator="equal">
      <formula>"Towel"</formula>
    </cfRule>
    <cfRule type="cellIs" dxfId="3308" priority="3794" stopIfTrue="1" operator="equal">
      <formula>"Napkin Hs"</formula>
    </cfRule>
  </conditionalFormatting>
  <conditionalFormatting sqref="C43:C44">
    <cfRule type="cellIs" dxfId="3307" priority="3792" stopIfTrue="1" operator="equal">
      <formula>"Napkin Hs"</formula>
    </cfRule>
  </conditionalFormatting>
  <conditionalFormatting sqref="C43:C44">
    <cfRule type="cellIs" dxfId="3306" priority="3789" stopIfTrue="1" operator="equal">
      <formula>"Towel"</formula>
    </cfRule>
    <cfRule type="cellIs" dxfId="3305" priority="3790" stopIfTrue="1" operator="equal">
      <formula>"Napkin Hs"</formula>
    </cfRule>
  </conditionalFormatting>
  <conditionalFormatting sqref="C43:C44">
    <cfRule type="cellIs" dxfId="3304" priority="3791" stopIfTrue="1" operator="equal">
      <formula>"Towel"</formula>
    </cfRule>
  </conditionalFormatting>
  <conditionalFormatting sqref="B43:C44">
    <cfRule type="cellIs" dxfId="3303" priority="3787" stopIfTrue="1" operator="equal">
      <formula>"Towel"</formula>
    </cfRule>
    <cfRule type="cellIs" dxfId="3302" priority="3788" stopIfTrue="1" operator="equal">
      <formula>"Napkin Hs"</formula>
    </cfRule>
  </conditionalFormatting>
  <conditionalFormatting sqref="C43:C44">
    <cfRule type="cellIs" dxfId="3301" priority="3786" stopIfTrue="1" operator="equal">
      <formula>"Napkin Hs"</formula>
    </cfRule>
  </conditionalFormatting>
  <conditionalFormatting sqref="C43:C44">
    <cfRule type="cellIs" dxfId="3300" priority="3783" stopIfTrue="1" operator="equal">
      <formula>"Towel"</formula>
    </cfRule>
    <cfRule type="cellIs" dxfId="3299" priority="3784" stopIfTrue="1" operator="equal">
      <formula>"Napkin Hs"</formula>
    </cfRule>
  </conditionalFormatting>
  <conditionalFormatting sqref="C43:C44">
    <cfRule type="cellIs" dxfId="3298" priority="3785" stopIfTrue="1" operator="equal">
      <formula>"Towel"</formula>
    </cfRule>
  </conditionalFormatting>
  <conditionalFormatting sqref="B43:C44">
    <cfRule type="cellIs" dxfId="3297" priority="3781" stopIfTrue="1" operator="equal">
      <formula>"Towel"</formula>
    </cfRule>
    <cfRule type="cellIs" dxfId="3296" priority="3782" stopIfTrue="1" operator="equal">
      <formula>"Napkin Hs"</formula>
    </cfRule>
  </conditionalFormatting>
  <conditionalFormatting sqref="C43:C44">
    <cfRule type="cellIs" dxfId="3295" priority="3780" stopIfTrue="1" operator="equal">
      <formula>"Napkin Hs"</formula>
    </cfRule>
  </conditionalFormatting>
  <conditionalFormatting sqref="C43:C44">
    <cfRule type="cellIs" dxfId="3294" priority="3777" stopIfTrue="1" operator="equal">
      <formula>"Towel"</formula>
    </cfRule>
    <cfRule type="cellIs" dxfId="3293" priority="3778" stopIfTrue="1" operator="equal">
      <formula>"Napkin Hs"</formula>
    </cfRule>
  </conditionalFormatting>
  <conditionalFormatting sqref="C43:C44">
    <cfRule type="cellIs" dxfId="3292" priority="3779" stopIfTrue="1" operator="equal">
      <formula>"Towel"</formula>
    </cfRule>
  </conditionalFormatting>
  <conditionalFormatting sqref="B43:C44">
    <cfRule type="cellIs" dxfId="3291" priority="3775" stopIfTrue="1" operator="equal">
      <formula>"Towel"</formula>
    </cfRule>
    <cfRule type="cellIs" dxfId="3290" priority="3776" stopIfTrue="1" operator="equal">
      <formula>"Napkin Hs"</formula>
    </cfRule>
  </conditionalFormatting>
  <conditionalFormatting sqref="C43:C44">
    <cfRule type="cellIs" dxfId="3289" priority="3774" stopIfTrue="1" operator="equal">
      <formula>"Napkin Hs"</formula>
    </cfRule>
  </conditionalFormatting>
  <conditionalFormatting sqref="C43:C44">
    <cfRule type="cellIs" dxfId="3288" priority="3771" stopIfTrue="1" operator="equal">
      <formula>"Towel"</formula>
    </cfRule>
    <cfRule type="cellIs" dxfId="3287" priority="3772" stopIfTrue="1" operator="equal">
      <formula>"Napkin Hs"</formula>
    </cfRule>
  </conditionalFormatting>
  <conditionalFormatting sqref="C43:C44">
    <cfRule type="cellIs" dxfId="3286" priority="3773" stopIfTrue="1" operator="equal">
      <formula>"Towel"</formula>
    </cfRule>
  </conditionalFormatting>
  <conditionalFormatting sqref="B45:C45">
    <cfRule type="cellIs" dxfId="3285" priority="3769" stopIfTrue="1" operator="equal">
      <formula>"Towel"</formula>
    </cfRule>
    <cfRule type="cellIs" dxfId="3284" priority="3770" stopIfTrue="1" operator="equal">
      <formula>"Napkin Hs"</formula>
    </cfRule>
  </conditionalFormatting>
  <conditionalFormatting sqref="C45">
    <cfRule type="cellIs" dxfId="3283" priority="3768" stopIfTrue="1" operator="equal">
      <formula>"Napkin Hs"</formula>
    </cfRule>
  </conditionalFormatting>
  <conditionalFormatting sqref="C45">
    <cfRule type="cellIs" dxfId="3282" priority="3765" stopIfTrue="1" operator="equal">
      <formula>"Towel"</formula>
    </cfRule>
    <cfRule type="cellIs" dxfId="3281" priority="3766" stopIfTrue="1" operator="equal">
      <formula>"Napkin Hs"</formula>
    </cfRule>
  </conditionalFormatting>
  <conditionalFormatting sqref="C45">
    <cfRule type="cellIs" dxfId="3280" priority="3767" stopIfTrue="1" operator="equal">
      <formula>"Towel"</formula>
    </cfRule>
  </conditionalFormatting>
  <conditionalFormatting sqref="B45:C45">
    <cfRule type="cellIs" dxfId="3279" priority="3763" stopIfTrue="1" operator="equal">
      <formula>"Towel"</formula>
    </cfRule>
    <cfRule type="cellIs" dxfId="3278" priority="3764" stopIfTrue="1" operator="equal">
      <formula>"Napkin Hs"</formula>
    </cfRule>
  </conditionalFormatting>
  <conditionalFormatting sqref="C45">
    <cfRule type="cellIs" dxfId="3277" priority="3762" stopIfTrue="1" operator="equal">
      <formula>"Napkin Hs"</formula>
    </cfRule>
  </conditionalFormatting>
  <conditionalFormatting sqref="C45">
    <cfRule type="cellIs" dxfId="3276" priority="3759" stopIfTrue="1" operator="equal">
      <formula>"Towel"</formula>
    </cfRule>
    <cfRule type="cellIs" dxfId="3275" priority="3760" stopIfTrue="1" operator="equal">
      <formula>"Napkin Hs"</formula>
    </cfRule>
  </conditionalFormatting>
  <conditionalFormatting sqref="C45">
    <cfRule type="cellIs" dxfId="3274" priority="3761" stopIfTrue="1" operator="equal">
      <formula>"Towel"</formula>
    </cfRule>
  </conditionalFormatting>
  <conditionalFormatting sqref="B45:C45">
    <cfRule type="cellIs" dxfId="3273" priority="3757" stopIfTrue="1" operator="equal">
      <formula>"Towel"</formula>
    </cfRule>
    <cfRule type="cellIs" dxfId="3272" priority="3758" stopIfTrue="1" operator="equal">
      <formula>"Napkin Hs"</formula>
    </cfRule>
  </conditionalFormatting>
  <conditionalFormatting sqref="C45">
    <cfRule type="cellIs" dxfId="3271" priority="3756" stopIfTrue="1" operator="equal">
      <formula>"Napkin Hs"</formula>
    </cfRule>
  </conditionalFormatting>
  <conditionalFormatting sqref="C45">
    <cfRule type="cellIs" dxfId="3270" priority="3753" stopIfTrue="1" operator="equal">
      <formula>"Towel"</formula>
    </cfRule>
    <cfRule type="cellIs" dxfId="3269" priority="3754" stopIfTrue="1" operator="equal">
      <formula>"Napkin Hs"</formula>
    </cfRule>
  </conditionalFormatting>
  <conditionalFormatting sqref="C45">
    <cfRule type="cellIs" dxfId="3268" priority="3755" stopIfTrue="1" operator="equal">
      <formula>"Towel"</formula>
    </cfRule>
  </conditionalFormatting>
  <conditionalFormatting sqref="B42:C42">
    <cfRule type="cellIs" dxfId="3267" priority="3751" stopIfTrue="1" operator="equal">
      <formula>"Towel"</formula>
    </cfRule>
    <cfRule type="cellIs" dxfId="3266" priority="3752" stopIfTrue="1" operator="equal">
      <formula>"Napkin Hs"</formula>
    </cfRule>
  </conditionalFormatting>
  <conditionalFormatting sqref="C42">
    <cfRule type="cellIs" dxfId="3265" priority="3749" stopIfTrue="1" operator="equal">
      <formula>"Towel"</formula>
    </cfRule>
    <cfRule type="cellIs" dxfId="3264" priority="3750" stopIfTrue="1" operator="equal">
      <formula>"Napkin Hs"</formula>
    </cfRule>
  </conditionalFormatting>
  <conditionalFormatting sqref="C42">
    <cfRule type="cellIs" dxfId="3263" priority="3747" stopIfTrue="1" operator="equal">
      <formula>"Towel"</formula>
    </cfRule>
    <cfRule type="cellIs" dxfId="3262" priority="3748" stopIfTrue="1" operator="equal">
      <formula>"Napkin Hs"</formula>
    </cfRule>
  </conditionalFormatting>
  <conditionalFormatting sqref="B42:C42">
    <cfRule type="cellIs" dxfId="3261" priority="3745" stopIfTrue="1" operator="equal">
      <formula>"Towel"</formula>
    </cfRule>
    <cfRule type="cellIs" dxfId="3260" priority="3746" stopIfTrue="1" operator="equal">
      <formula>"Napkin Hs"</formula>
    </cfRule>
  </conditionalFormatting>
  <conditionalFormatting sqref="C42">
    <cfRule type="cellIs" dxfId="3259" priority="3744" stopIfTrue="1" operator="equal">
      <formula>"Napkin Hs"</formula>
    </cfRule>
  </conditionalFormatting>
  <conditionalFormatting sqref="C42">
    <cfRule type="cellIs" dxfId="3258" priority="3741" stopIfTrue="1" operator="equal">
      <formula>"Towel"</formula>
    </cfRule>
    <cfRule type="cellIs" dxfId="3257" priority="3742" stopIfTrue="1" operator="equal">
      <formula>"Napkin Hs"</formula>
    </cfRule>
  </conditionalFormatting>
  <conditionalFormatting sqref="C42">
    <cfRule type="cellIs" dxfId="3256" priority="3743" stopIfTrue="1" operator="equal">
      <formula>"Towel"</formula>
    </cfRule>
  </conditionalFormatting>
  <conditionalFormatting sqref="B42:C42">
    <cfRule type="cellIs" dxfId="3255" priority="3739" stopIfTrue="1" operator="equal">
      <formula>"Towel"</formula>
    </cfRule>
    <cfRule type="cellIs" dxfId="3254" priority="3740" stopIfTrue="1" operator="equal">
      <formula>"Napkin Hs"</formula>
    </cfRule>
  </conditionalFormatting>
  <conditionalFormatting sqref="C42">
    <cfRule type="cellIs" dxfId="3253" priority="3738" stopIfTrue="1" operator="equal">
      <formula>"Napkin Hs"</formula>
    </cfRule>
  </conditionalFormatting>
  <conditionalFormatting sqref="C42">
    <cfRule type="cellIs" dxfId="3252" priority="3735" stopIfTrue="1" operator="equal">
      <formula>"Towel"</formula>
    </cfRule>
    <cfRule type="cellIs" dxfId="3251" priority="3736" stopIfTrue="1" operator="equal">
      <formula>"Napkin Hs"</formula>
    </cfRule>
  </conditionalFormatting>
  <conditionalFormatting sqref="C42">
    <cfRule type="cellIs" dxfId="3250" priority="3737" stopIfTrue="1" operator="equal">
      <formula>"Towel"</formula>
    </cfRule>
  </conditionalFormatting>
  <conditionalFormatting sqref="B42:C42">
    <cfRule type="cellIs" dxfId="3249" priority="3733" stopIfTrue="1" operator="equal">
      <formula>"Towel"</formula>
    </cfRule>
    <cfRule type="cellIs" dxfId="3248" priority="3734" stopIfTrue="1" operator="equal">
      <formula>"Napkin Hs"</formula>
    </cfRule>
  </conditionalFormatting>
  <conditionalFormatting sqref="C42">
    <cfRule type="cellIs" dxfId="3247" priority="3732" stopIfTrue="1" operator="equal">
      <formula>"Napkin Hs"</formula>
    </cfRule>
  </conditionalFormatting>
  <conditionalFormatting sqref="C42">
    <cfRule type="cellIs" dxfId="3246" priority="3729" stopIfTrue="1" operator="equal">
      <formula>"Towel"</formula>
    </cfRule>
    <cfRule type="cellIs" dxfId="3245" priority="3730" stopIfTrue="1" operator="equal">
      <formula>"Napkin Hs"</formula>
    </cfRule>
  </conditionalFormatting>
  <conditionalFormatting sqref="C42">
    <cfRule type="cellIs" dxfId="3244" priority="3731" stopIfTrue="1" operator="equal">
      <formula>"Towel"</formula>
    </cfRule>
  </conditionalFormatting>
  <conditionalFormatting sqref="B49:C49">
    <cfRule type="cellIs" dxfId="3243" priority="3727" stopIfTrue="1" operator="equal">
      <formula>"Towel"</formula>
    </cfRule>
    <cfRule type="cellIs" dxfId="3242" priority="3728" stopIfTrue="1" operator="equal">
      <formula>"Napkin Hs"</formula>
    </cfRule>
  </conditionalFormatting>
  <conditionalFormatting sqref="C49">
    <cfRule type="cellIs" dxfId="3241" priority="3723" stopIfTrue="1" operator="equal">
      <formula>"Towel"</formula>
    </cfRule>
    <cfRule type="cellIs" dxfId="3240" priority="3724" stopIfTrue="1" operator="equal">
      <formula>"Napkin Hs"</formula>
    </cfRule>
  </conditionalFormatting>
  <conditionalFormatting sqref="C49">
    <cfRule type="cellIs" dxfId="3239" priority="3725" stopIfTrue="1" operator="equal">
      <formula>"Towel"</formula>
    </cfRule>
    <cfRule type="cellIs" dxfId="3238" priority="3726" stopIfTrue="1" operator="equal">
      <formula>"Napkin Hs"</formula>
    </cfRule>
  </conditionalFormatting>
  <conditionalFormatting sqref="B46:C48">
    <cfRule type="cellIs" dxfId="3237" priority="3721" stopIfTrue="1" operator="equal">
      <formula>"Towel"</formula>
    </cfRule>
    <cfRule type="cellIs" dxfId="3236" priority="3722" stopIfTrue="1" operator="equal">
      <formula>"Napkin Hs"</formula>
    </cfRule>
  </conditionalFormatting>
  <conditionalFormatting sqref="C46:C48">
    <cfRule type="cellIs" dxfId="3235" priority="3720" stopIfTrue="1" operator="equal">
      <formula>"Napkin Hs"</formula>
    </cfRule>
  </conditionalFormatting>
  <conditionalFormatting sqref="C46:C48">
    <cfRule type="cellIs" dxfId="3234" priority="3717" stopIfTrue="1" operator="equal">
      <formula>"Towel"</formula>
    </cfRule>
    <cfRule type="cellIs" dxfId="3233" priority="3718" stopIfTrue="1" operator="equal">
      <formula>"Napkin Hs"</formula>
    </cfRule>
  </conditionalFormatting>
  <conditionalFormatting sqref="C46:C48">
    <cfRule type="cellIs" dxfId="3232" priority="3719" stopIfTrue="1" operator="equal">
      <formula>"Towel"</formula>
    </cfRule>
  </conditionalFormatting>
  <conditionalFormatting sqref="B46:C46">
    <cfRule type="cellIs" dxfId="3231" priority="3715" stopIfTrue="1" operator="equal">
      <formula>"Towel"</formula>
    </cfRule>
    <cfRule type="cellIs" dxfId="3230" priority="3716" stopIfTrue="1" operator="equal">
      <formula>"Napkin Hs"</formula>
    </cfRule>
  </conditionalFormatting>
  <conditionalFormatting sqref="C46">
    <cfRule type="cellIs" dxfId="3229" priority="3713" stopIfTrue="1" operator="equal">
      <formula>"Towel"</formula>
    </cfRule>
    <cfRule type="cellIs" dxfId="3228" priority="3714" stopIfTrue="1" operator="equal">
      <formula>"Napkin Hs"</formula>
    </cfRule>
  </conditionalFormatting>
  <conditionalFormatting sqref="C46">
    <cfRule type="cellIs" dxfId="3227" priority="3711" stopIfTrue="1" operator="equal">
      <formula>"Towel"</formula>
    </cfRule>
    <cfRule type="cellIs" dxfId="3226" priority="3712" stopIfTrue="1" operator="equal">
      <formula>"Napkin Hs"</formula>
    </cfRule>
  </conditionalFormatting>
  <conditionalFormatting sqref="B47:C47">
    <cfRule type="cellIs" dxfId="3225" priority="3709" stopIfTrue="1" operator="equal">
      <formula>"Towel"</formula>
    </cfRule>
    <cfRule type="cellIs" dxfId="3224" priority="3710" stopIfTrue="1" operator="equal">
      <formula>"Napkin Hs"</formula>
    </cfRule>
  </conditionalFormatting>
  <conditionalFormatting sqref="C47">
    <cfRule type="cellIs" dxfId="3223" priority="3708" stopIfTrue="1" operator="equal">
      <formula>"Napkin Hs"</formula>
    </cfRule>
  </conditionalFormatting>
  <conditionalFormatting sqref="C47">
    <cfRule type="cellIs" dxfId="3222" priority="3705" stopIfTrue="1" operator="equal">
      <formula>"Towel"</formula>
    </cfRule>
    <cfRule type="cellIs" dxfId="3221" priority="3706" stopIfTrue="1" operator="equal">
      <formula>"Napkin Hs"</formula>
    </cfRule>
  </conditionalFormatting>
  <conditionalFormatting sqref="C47">
    <cfRule type="cellIs" dxfId="3220" priority="3707" stopIfTrue="1" operator="equal">
      <formula>"Towel"</formula>
    </cfRule>
  </conditionalFormatting>
  <conditionalFormatting sqref="B49:C49">
    <cfRule type="cellIs" dxfId="3219" priority="3703" stopIfTrue="1" operator="equal">
      <formula>"Towel"</formula>
    </cfRule>
    <cfRule type="cellIs" dxfId="3218" priority="3704" stopIfTrue="1" operator="equal">
      <formula>"Napkin Hs"</formula>
    </cfRule>
  </conditionalFormatting>
  <conditionalFormatting sqref="C49">
    <cfRule type="cellIs" dxfId="3217" priority="3701" stopIfTrue="1" operator="equal">
      <formula>"Towel"</formula>
    </cfRule>
    <cfRule type="cellIs" dxfId="3216" priority="3702" stopIfTrue="1" operator="equal">
      <formula>"Napkin Hs"</formula>
    </cfRule>
  </conditionalFormatting>
  <conditionalFormatting sqref="C49">
    <cfRule type="cellIs" dxfId="3215" priority="3699" stopIfTrue="1" operator="equal">
      <formula>"Towel"</formula>
    </cfRule>
    <cfRule type="cellIs" dxfId="3214" priority="3700" stopIfTrue="1" operator="equal">
      <formula>"Napkin Hs"</formula>
    </cfRule>
  </conditionalFormatting>
  <conditionalFormatting sqref="B47:C48">
    <cfRule type="cellIs" dxfId="3213" priority="3697" stopIfTrue="1" operator="equal">
      <formula>"Towel"</formula>
    </cfRule>
    <cfRule type="cellIs" dxfId="3212" priority="3698" stopIfTrue="1" operator="equal">
      <formula>"Napkin Hs"</formula>
    </cfRule>
  </conditionalFormatting>
  <conditionalFormatting sqref="C47:C48">
    <cfRule type="cellIs" dxfId="3211" priority="3696" stopIfTrue="1" operator="equal">
      <formula>"Napkin Hs"</formula>
    </cfRule>
  </conditionalFormatting>
  <conditionalFormatting sqref="C47:C48">
    <cfRule type="cellIs" dxfId="3210" priority="3693" stopIfTrue="1" operator="equal">
      <formula>"Towel"</formula>
    </cfRule>
    <cfRule type="cellIs" dxfId="3209" priority="3694" stopIfTrue="1" operator="equal">
      <formula>"Napkin Hs"</formula>
    </cfRule>
  </conditionalFormatting>
  <conditionalFormatting sqref="C47:C48">
    <cfRule type="cellIs" dxfId="3208" priority="3695" stopIfTrue="1" operator="equal">
      <formula>"Towel"</formula>
    </cfRule>
  </conditionalFormatting>
  <conditionalFormatting sqref="B47:C48">
    <cfRule type="cellIs" dxfId="3207" priority="3691" stopIfTrue="1" operator="equal">
      <formula>"Towel"</formula>
    </cfRule>
    <cfRule type="cellIs" dxfId="3206" priority="3692" stopIfTrue="1" operator="equal">
      <formula>"Napkin Hs"</formula>
    </cfRule>
  </conditionalFormatting>
  <conditionalFormatting sqref="C47:C48">
    <cfRule type="cellIs" dxfId="3205" priority="3690" stopIfTrue="1" operator="equal">
      <formula>"Napkin Hs"</formula>
    </cfRule>
  </conditionalFormatting>
  <conditionalFormatting sqref="C47:C48">
    <cfRule type="cellIs" dxfId="3204" priority="3687" stopIfTrue="1" operator="equal">
      <formula>"Towel"</formula>
    </cfRule>
    <cfRule type="cellIs" dxfId="3203" priority="3688" stopIfTrue="1" operator="equal">
      <formula>"Napkin Hs"</formula>
    </cfRule>
  </conditionalFormatting>
  <conditionalFormatting sqref="C47:C48">
    <cfRule type="cellIs" dxfId="3202" priority="3689" stopIfTrue="1" operator="equal">
      <formula>"Towel"</formula>
    </cfRule>
  </conditionalFormatting>
  <conditionalFormatting sqref="B47:C48">
    <cfRule type="cellIs" dxfId="3201" priority="3685" stopIfTrue="1" operator="equal">
      <formula>"Towel"</formula>
    </cfRule>
    <cfRule type="cellIs" dxfId="3200" priority="3686" stopIfTrue="1" operator="equal">
      <formula>"Napkin Hs"</formula>
    </cfRule>
  </conditionalFormatting>
  <conditionalFormatting sqref="C47:C48">
    <cfRule type="cellIs" dxfId="3199" priority="3684" stopIfTrue="1" operator="equal">
      <formula>"Napkin Hs"</formula>
    </cfRule>
  </conditionalFormatting>
  <conditionalFormatting sqref="C47:C48">
    <cfRule type="cellIs" dxfId="3198" priority="3681" stopIfTrue="1" operator="equal">
      <formula>"Towel"</formula>
    </cfRule>
    <cfRule type="cellIs" dxfId="3197" priority="3682" stopIfTrue="1" operator="equal">
      <formula>"Napkin Hs"</formula>
    </cfRule>
  </conditionalFormatting>
  <conditionalFormatting sqref="C47:C48">
    <cfRule type="cellIs" dxfId="3196" priority="3683" stopIfTrue="1" operator="equal">
      <formula>"Towel"</formula>
    </cfRule>
  </conditionalFormatting>
  <conditionalFormatting sqref="B47:C48">
    <cfRule type="cellIs" dxfId="3195" priority="3679" stopIfTrue="1" operator="equal">
      <formula>"Towel"</formula>
    </cfRule>
    <cfRule type="cellIs" dxfId="3194" priority="3680" stopIfTrue="1" operator="equal">
      <formula>"Napkin Hs"</formula>
    </cfRule>
  </conditionalFormatting>
  <conditionalFormatting sqref="C47:C48">
    <cfRule type="cellIs" dxfId="3193" priority="3678" stopIfTrue="1" operator="equal">
      <formula>"Napkin Hs"</formula>
    </cfRule>
  </conditionalFormatting>
  <conditionalFormatting sqref="C47:C48">
    <cfRule type="cellIs" dxfId="3192" priority="3675" stopIfTrue="1" operator="equal">
      <formula>"Towel"</formula>
    </cfRule>
    <cfRule type="cellIs" dxfId="3191" priority="3676" stopIfTrue="1" operator="equal">
      <formula>"Napkin Hs"</formula>
    </cfRule>
  </conditionalFormatting>
  <conditionalFormatting sqref="C47:C48">
    <cfRule type="cellIs" dxfId="3190" priority="3677" stopIfTrue="1" operator="equal">
      <formula>"Towel"</formula>
    </cfRule>
  </conditionalFormatting>
  <conditionalFormatting sqref="B47:C48">
    <cfRule type="cellIs" dxfId="3189" priority="3673" stopIfTrue="1" operator="equal">
      <formula>"Towel"</formula>
    </cfRule>
    <cfRule type="cellIs" dxfId="3188" priority="3674" stopIfTrue="1" operator="equal">
      <formula>"Napkin Hs"</formula>
    </cfRule>
  </conditionalFormatting>
  <conditionalFormatting sqref="C47:C48">
    <cfRule type="cellIs" dxfId="3187" priority="3672" stopIfTrue="1" operator="equal">
      <formula>"Napkin Hs"</formula>
    </cfRule>
  </conditionalFormatting>
  <conditionalFormatting sqref="C47:C48">
    <cfRule type="cellIs" dxfId="3186" priority="3669" stopIfTrue="1" operator="equal">
      <formula>"Towel"</formula>
    </cfRule>
    <cfRule type="cellIs" dxfId="3185" priority="3670" stopIfTrue="1" operator="equal">
      <formula>"Napkin Hs"</formula>
    </cfRule>
  </conditionalFormatting>
  <conditionalFormatting sqref="C47:C48">
    <cfRule type="cellIs" dxfId="3184" priority="3671" stopIfTrue="1" operator="equal">
      <formula>"Towel"</formula>
    </cfRule>
  </conditionalFormatting>
  <conditionalFormatting sqref="B47:C48">
    <cfRule type="cellIs" dxfId="3183" priority="3667" stopIfTrue="1" operator="equal">
      <formula>"Towel"</formula>
    </cfRule>
    <cfRule type="cellIs" dxfId="3182" priority="3668" stopIfTrue="1" operator="equal">
      <formula>"Napkin Hs"</formula>
    </cfRule>
  </conditionalFormatting>
  <conditionalFormatting sqref="C47:C48">
    <cfRule type="cellIs" dxfId="3181" priority="3666" stopIfTrue="1" operator="equal">
      <formula>"Napkin Hs"</formula>
    </cfRule>
  </conditionalFormatting>
  <conditionalFormatting sqref="C47:C48">
    <cfRule type="cellIs" dxfId="3180" priority="3663" stopIfTrue="1" operator="equal">
      <formula>"Towel"</formula>
    </cfRule>
    <cfRule type="cellIs" dxfId="3179" priority="3664" stopIfTrue="1" operator="equal">
      <formula>"Napkin Hs"</formula>
    </cfRule>
  </conditionalFormatting>
  <conditionalFormatting sqref="C47:C48">
    <cfRule type="cellIs" dxfId="3178" priority="3665" stopIfTrue="1" operator="equal">
      <formula>"Towel"</formula>
    </cfRule>
  </conditionalFormatting>
  <conditionalFormatting sqref="B47:C48">
    <cfRule type="cellIs" dxfId="3177" priority="3661" stopIfTrue="1" operator="equal">
      <formula>"Towel"</formula>
    </cfRule>
    <cfRule type="cellIs" dxfId="3176" priority="3662" stopIfTrue="1" operator="equal">
      <formula>"Napkin Hs"</formula>
    </cfRule>
  </conditionalFormatting>
  <conditionalFormatting sqref="C47:C48">
    <cfRule type="cellIs" dxfId="3175" priority="3660" stopIfTrue="1" operator="equal">
      <formula>"Napkin Hs"</formula>
    </cfRule>
  </conditionalFormatting>
  <conditionalFormatting sqref="C47:C48">
    <cfRule type="cellIs" dxfId="3174" priority="3657" stopIfTrue="1" operator="equal">
      <formula>"Towel"</formula>
    </cfRule>
    <cfRule type="cellIs" dxfId="3173" priority="3658" stopIfTrue="1" operator="equal">
      <formula>"Napkin Hs"</formula>
    </cfRule>
  </conditionalFormatting>
  <conditionalFormatting sqref="C47:C48">
    <cfRule type="cellIs" dxfId="3172" priority="3659" stopIfTrue="1" operator="equal">
      <formula>"Towel"</formula>
    </cfRule>
  </conditionalFormatting>
  <conditionalFormatting sqref="B49:C49">
    <cfRule type="cellIs" dxfId="3171" priority="3655" stopIfTrue="1" operator="equal">
      <formula>"Towel"</formula>
    </cfRule>
    <cfRule type="cellIs" dxfId="3170" priority="3656" stopIfTrue="1" operator="equal">
      <formula>"Napkin Hs"</formula>
    </cfRule>
  </conditionalFormatting>
  <conditionalFormatting sqref="C49">
    <cfRule type="cellIs" dxfId="3169" priority="3654" stopIfTrue="1" operator="equal">
      <formula>"Napkin Hs"</formula>
    </cfRule>
  </conditionalFormatting>
  <conditionalFormatting sqref="C49">
    <cfRule type="cellIs" dxfId="3168" priority="3651" stopIfTrue="1" operator="equal">
      <formula>"Towel"</formula>
    </cfRule>
    <cfRule type="cellIs" dxfId="3167" priority="3652" stopIfTrue="1" operator="equal">
      <formula>"Napkin Hs"</formula>
    </cfRule>
  </conditionalFormatting>
  <conditionalFormatting sqref="C49">
    <cfRule type="cellIs" dxfId="3166" priority="3653" stopIfTrue="1" operator="equal">
      <formula>"Towel"</formula>
    </cfRule>
  </conditionalFormatting>
  <conditionalFormatting sqref="B49:C49">
    <cfRule type="cellIs" dxfId="3165" priority="3649" stopIfTrue="1" operator="equal">
      <formula>"Towel"</formula>
    </cfRule>
    <cfRule type="cellIs" dxfId="3164" priority="3650" stopIfTrue="1" operator="equal">
      <formula>"Napkin Hs"</formula>
    </cfRule>
  </conditionalFormatting>
  <conditionalFormatting sqref="C49">
    <cfRule type="cellIs" dxfId="3163" priority="3648" stopIfTrue="1" operator="equal">
      <formula>"Napkin Hs"</formula>
    </cfRule>
  </conditionalFormatting>
  <conditionalFormatting sqref="C49">
    <cfRule type="cellIs" dxfId="3162" priority="3645" stopIfTrue="1" operator="equal">
      <formula>"Towel"</formula>
    </cfRule>
    <cfRule type="cellIs" dxfId="3161" priority="3646" stopIfTrue="1" operator="equal">
      <formula>"Napkin Hs"</formula>
    </cfRule>
  </conditionalFormatting>
  <conditionalFormatting sqref="C49">
    <cfRule type="cellIs" dxfId="3160" priority="3647" stopIfTrue="1" operator="equal">
      <formula>"Towel"</formula>
    </cfRule>
  </conditionalFormatting>
  <conditionalFormatting sqref="B49:C49">
    <cfRule type="cellIs" dxfId="3159" priority="3643" stopIfTrue="1" operator="equal">
      <formula>"Towel"</formula>
    </cfRule>
    <cfRule type="cellIs" dxfId="3158" priority="3644" stopIfTrue="1" operator="equal">
      <formula>"Napkin Hs"</formula>
    </cfRule>
  </conditionalFormatting>
  <conditionalFormatting sqref="C49">
    <cfRule type="cellIs" dxfId="3157" priority="3642" stopIfTrue="1" operator="equal">
      <formula>"Napkin Hs"</formula>
    </cfRule>
  </conditionalFormatting>
  <conditionalFormatting sqref="C49">
    <cfRule type="cellIs" dxfId="3156" priority="3639" stopIfTrue="1" operator="equal">
      <formula>"Towel"</formula>
    </cfRule>
    <cfRule type="cellIs" dxfId="3155" priority="3640" stopIfTrue="1" operator="equal">
      <formula>"Napkin Hs"</formula>
    </cfRule>
  </conditionalFormatting>
  <conditionalFormatting sqref="C49">
    <cfRule type="cellIs" dxfId="3154" priority="3641" stopIfTrue="1" operator="equal">
      <formula>"Towel"</formula>
    </cfRule>
  </conditionalFormatting>
  <conditionalFormatting sqref="B46:C46">
    <cfRule type="cellIs" dxfId="3153" priority="3637" stopIfTrue="1" operator="equal">
      <formula>"Towel"</formula>
    </cfRule>
    <cfRule type="cellIs" dxfId="3152" priority="3638" stopIfTrue="1" operator="equal">
      <formula>"Napkin Hs"</formula>
    </cfRule>
  </conditionalFormatting>
  <conditionalFormatting sqref="C46">
    <cfRule type="cellIs" dxfId="3151" priority="3635" stopIfTrue="1" operator="equal">
      <formula>"Towel"</formula>
    </cfRule>
    <cfRule type="cellIs" dxfId="3150" priority="3636" stopIfTrue="1" operator="equal">
      <formula>"Napkin Hs"</formula>
    </cfRule>
  </conditionalFormatting>
  <conditionalFormatting sqref="C46">
    <cfRule type="cellIs" dxfId="3149" priority="3633" stopIfTrue="1" operator="equal">
      <formula>"Towel"</formula>
    </cfRule>
    <cfRule type="cellIs" dxfId="3148" priority="3634" stopIfTrue="1" operator="equal">
      <formula>"Napkin Hs"</formula>
    </cfRule>
  </conditionalFormatting>
  <conditionalFormatting sqref="B46:C46">
    <cfRule type="cellIs" dxfId="3147" priority="3631" stopIfTrue="1" operator="equal">
      <formula>"Towel"</formula>
    </cfRule>
    <cfRule type="cellIs" dxfId="3146" priority="3632" stopIfTrue="1" operator="equal">
      <formula>"Napkin Hs"</formula>
    </cfRule>
  </conditionalFormatting>
  <conditionalFormatting sqref="C46">
    <cfRule type="cellIs" dxfId="3145" priority="3630" stopIfTrue="1" operator="equal">
      <formula>"Napkin Hs"</formula>
    </cfRule>
  </conditionalFormatting>
  <conditionalFormatting sqref="C46">
    <cfRule type="cellIs" dxfId="3144" priority="3627" stopIfTrue="1" operator="equal">
      <formula>"Towel"</formula>
    </cfRule>
    <cfRule type="cellIs" dxfId="3143" priority="3628" stopIfTrue="1" operator="equal">
      <formula>"Napkin Hs"</formula>
    </cfRule>
  </conditionalFormatting>
  <conditionalFormatting sqref="C46">
    <cfRule type="cellIs" dxfId="3142" priority="3629" stopIfTrue="1" operator="equal">
      <formula>"Towel"</formula>
    </cfRule>
  </conditionalFormatting>
  <conditionalFormatting sqref="B46:C46">
    <cfRule type="cellIs" dxfId="3141" priority="3625" stopIfTrue="1" operator="equal">
      <formula>"Towel"</formula>
    </cfRule>
    <cfRule type="cellIs" dxfId="3140" priority="3626" stopIfTrue="1" operator="equal">
      <formula>"Napkin Hs"</formula>
    </cfRule>
  </conditionalFormatting>
  <conditionalFormatting sqref="C46">
    <cfRule type="cellIs" dxfId="3139" priority="3624" stopIfTrue="1" operator="equal">
      <formula>"Napkin Hs"</formula>
    </cfRule>
  </conditionalFormatting>
  <conditionalFormatting sqref="C46">
    <cfRule type="cellIs" dxfId="3138" priority="3621" stopIfTrue="1" operator="equal">
      <formula>"Towel"</formula>
    </cfRule>
    <cfRule type="cellIs" dxfId="3137" priority="3622" stopIfTrue="1" operator="equal">
      <formula>"Napkin Hs"</formula>
    </cfRule>
  </conditionalFormatting>
  <conditionalFormatting sqref="C46">
    <cfRule type="cellIs" dxfId="3136" priority="3623" stopIfTrue="1" operator="equal">
      <formula>"Towel"</formula>
    </cfRule>
  </conditionalFormatting>
  <conditionalFormatting sqref="B46:C46">
    <cfRule type="cellIs" dxfId="3135" priority="3619" stopIfTrue="1" operator="equal">
      <formula>"Towel"</formula>
    </cfRule>
    <cfRule type="cellIs" dxfId="3134" priority="3620" stopIfTrue="1" operator="equal">
      <formula>"Napkin Hs"</formula>
    </cfRule>
  </conditionalFormatting>
  <conditionalFormatting sqref="C46">
    <cfRule type="cellIs" dxfId="3133" priority="3618" stopIfTrue="1" operator="equal">
      <formula>"Napkin Hs"</formula>
    </cfRule>
  </conditionalFormatting>
  <conditionalFormatting sqref="C46">
    <cfRule type="cellIs" dxfId="3132" priority="3615" stopIfTrue="1" operator="equal">
      <formula>"Towel"</formula>
    </cfRule>
    <cfRule type="cellIs" dxfId="3131" priority="3616" stopIfTrue="1" operator="equal">
      <formula>"Napkin Hs"</formula>
    </cfRule>
  </conditionalFormatting>
  <conditionalFormatting sqref="C46">
    <cfRule type="cellIs" dxfId="3130" priority="3617" stopIfTrue="1" operator="equal">
      <formula>"Towel"</formula>
    </cfRule>
  </conditionalFormatting>
  <conditionalFormatting sqref="B53:C53">
    <cfRule type="cellIs" dxfId="3129" priority="3613" stopIfTrue="1" operator="equal">
      <formula>"Towel"</formula>
    </cfRule>
    <cfRule type="cellIs" dxfId="3128" priority="3614" stopIfTrue="1" operator="equal">
      <formula>"Napkin Hs"</formula>
    </cfRule>
  </conditionalFormatting>
  <conditionalFormatting sqref="C53">
    <cfRule type="cellIs" dxfId="3127" priority="3609" stopIfTrue="1" operator="equal">
      <formula>"Towel"</formula>
    </cfRule>
    <cfRule type="cellIs" dxfId="3126" priority="3610" stopIfTrue="1" operator="equal">
      <formula>"Napkin Hs"</formula>
    </cfRule>
  </conditionalFormatting>
  <conditionalFormatting sqref="C53">
    <cfRule type="cellIs" dxfId="3125" priority="3611" stopIfTrue="1" operator="equal">
      <formula>"Towel"</formula>
    </cfRule>
    <cfRule type="cellIs" dxfId="3124" priority="3612" stopIfTrue="1" operator="equal">
      <formula>"Napkin Hs"</formula>
    </cfRule>
  </conditionalFormatting>
  <conditionalFormatting sqref="B50:C52">
    <cfRule type="cellIs" dxfId="3123" priority="3607" stopIfTrue="1" operator="equal">
      <formula>"Towel"</formula>
    </cfRule>
    <cfRule type="cellIs" dxfId="3122" priority="3608" stopIfTrue="1" operator="equal">
      <formula>"Napkin Hs"</formula>
    </cfRule>
  </conditionalFormatting>
  <conditionalFormatting sqref="C50:C52">
    <cfRule type="cellIs" dxfId="3121" priority="3606" stopIfTrue="1" operator="equal">
      <formula>"Napkin Hs"</formula>
    </cfRule>
  </conditionalFormatting>
  <conditionalFormatting sqref="C50:C52">
    <cfRule type="cellIs" dxfId="3120" priority="3603" stopIfTrue="1" operator="equal">
      <formula>"Towel"</formula>
    </cfRule>
    <cfRule type="cellIs" dxfId="3119" priority="3604" stopIfTrue="1" operator="equal">
      <formula>"Napkin Hs"</formula>
    </cfRule>
  </conditionalFormatting>
  <conditionalFormatting sqref="C50:C52">
    <cfRule type="cellIs" dxfId="3118" priority="3605" stopIfTrue="1" operator="equal">
      <formula>"Towel"</formula>
    </cfRule>
  </conditionalFormatting>
  <conditionalFormatting sqref="B50:C51">
    <cfRule type="cellIs" dxfId="3117" priority="3601" stopIfTrue="1" operator="equal">
      <formula>"Towel"</formula>
    </cfRule>
    <cfRule type="cellIs" dxfId="3116" priority="3602" stopIfTrue="1" operator="equal">
      <formula>"Napkin Hs"</formula>
    </cfRule>
  </conditionalFormatting>
  <conditionalFormatting sqref="C50:C51">
    <cfRule type="cellIs" dxfId="3115" priority="3599" stopIfTrue="1" operator="equal">
      <formula>"Towel"</formula>
    </cfRule>
    <cfRule type="cellIs" dxfId="3114" priority="3600" stopIfTrue="1" operator="equal">
      <formula>"Napkin Hs"</formula>
    </cfRule>
  </conditionalFormatting>
  <conditionalFormatting sqref="C50:C51">
    <cfRule type="cellIs" dxfId="3113" priority="3597" stopIfTrue="1" operator="equal">
      <formula>"Towel"</formula>
    </cfRule>
    <cfRule type="cellIs" dxfId="3112" priority="3598" stopIfTrue="1" operator="equal">
      <formula>"Napkin Hs"</formula>
    </cfRule>
  </conditionalFormatting>
  <conditionalFormatting sqref="B53:C53">
    <cfRule type="cellIs" dxfId="3111" priority="3595" stopIfTrue="1" operator="equal">
      <formula>"Towel"</formula>
    </cfRule>
    <cfRule type="cellIs" dxfId="3110" priority="3596" stopIfTrue="1" operator="equal">
      <formula>"Napkin Hs"</formula>
    </cfRule>
  </conditionalFormatting>
  <conditionalFormatting sqref="C53">
    <cfRule type="cellIs" dxfId="3109" priority="3593" stopIfTrue="1" operator="equal">
      <formula>"Towel"</formula>
    </cfRule>
    <cfRule type="cellIs" dxfId="3108" priority="3594" stopIfTrue="1" operator="equal">
      <formula>"Napkin Hs"</formula>
    </cfRule>
  </conditionalFormatting>
  <conditionalFormatting sqref="C53">
    <cfRule type="cellIs" dxfId="3107" priority="3591" stopIfTrue="1" operator="equal">
      <formula>"Towel"</formula>
    </cfRule>
    <cfRule type="cellIs" dxfId="3106" priority="3592" stopIfTrue="1" operator="equal">
      <formula>"Napkin Hs"</formula>
    </cfRule>
  </conditionalFormatting>
  <conditionalFormatting sqref="B52:C52">
    <cfRule type="cellIs" dxfId="3105" priority="3589" stopIfTrue="1" operator="equal">
      <formula>"Towel"</formula>
    </cfRule>
    <cfRule type="cellIs" dxfId="3104" priority="3590" stopIfTrue="1" operator="equal">
      <formula>"Napkin Hs"</formula>
    </cfRule>
  </conditionalFormatting>
  <conditionalFormatting sqref="C52">
    <cfRule type="cellIs" dxfId="3103" priority="3588" stopIfTrue="1" operator="equal">
      <formula>"Napkin Hs"</formula>
    </cfRule>
  </conditionalFormatting>
  <conditionalFormatting sqref="C52">
    <cfRule type="cellIs" dxfId="3102" priority="3585" stopIfTrue="1" operator="equal">
      <formula>"Towel"</formula>
    </cfRule>
    <cfRule type="cellIs" dxfId="3101" priority="3586" stopIfTrue="1" operator="equal">
      <formula>"Napkin Hs"</formula>
    </cfRule>
  </conditionalFormatting>
  <conditionalFormatting sqref="C52">
    <cfRule type="cellIs" dxfId="3100" priority="3587" stopIfTrue="1" operator="equal">
      <formula>"Towel"</formula>
    </cfRule>
  </conditionalFormatting>
  <conditionalFormatting sqref="B52:C52">
    <cfRule type="cellIs" dxfId="3099" priority="3583" stopIfTrue="1" operator="equal">
      <formula>"Towel"</formula>
    </cfRule>
    <cfRule type="cellIs" dxfId="3098" priority="3584" stopIfTrue="1" operator="equal">
      <formula>"Napkin Hs"</formula>
    </cfRule>
  </conditionalFormatting>
  <conditionalFormatting sqref="C52">
    <cfRule type="cellIs" dxfId="3097" priority="3582" stopIfTrue="1" operator="equal">
      <formula>"Napkin Hs"</formula>
    </cfRule>
  </conditionalFormatting>
  <conditionalFormatting sqref="C52">
    <cfRule type="cellIs" dxfId="3096" priority="3579" stopIfTrue="1" operator="equal">
      <formula>"Towel"</formula>
    </cfRule>
    <cfRule type="cellIs" dxfId="3095" priority="3580" stopIfTrue="1" operator="equal">
      <formula>"Napkin Hs"</formula>
    </cfRule>
  </conditionalFormatting>
  <conditionalFormatting sqref="C52">
    <cfRule type="cellIs" dxfId="3094" priority="3581" stopIfTrue="1" operator="equal">
      <formula>"Towel"</formula>
    </cfRule>
  </conditionalFormatting>
  <conditionalFormatting sqref="B52:C52">
    <cfRule type="cellIs" dxfId="3093" priority="3577" stopIfTrue="1" operator="equal">
      <formula>"Towel"</formula>
    </cfRule>
    <cfRule type="cellIs" dxfId="3092" priority="3578" stopIfTrue="1" operator="equal">
      <formula>"Napkin Hs"</formula>
    </cfRule>
  </conditionalFormatting>
  <conditionalFormatting sqref="C52">
    <cfRule type="cellIs" dxfId="3091" priority="3576" stopIfTrue="1" operator="equal">
      <formula>"Napkin Hs"</formula>
    </cfRule>
  </conditionalFormatting>
  <conditionalFormatting sqref="C52">
    <cfRule type="cellIs" dxfId="3090" priority="3573" stopIfTrue="1" operator="equal">
      <formula>"Towel"</formula>
    </cfRule>
    <cfRule type="cellIs" dxfId="3089" priority="3574" stopIfTrue="1" operator="equal">
      <formula>"Napkin Hs"</formula>
    </cfRule>
  </conditionalFormatting>
  <conditionalFormatting sqref="C52">
    <cfRule type="cellIs" dxfId="3088" priority="3575" stopIfTrue="1" operator="equal">
      <formula>"Towel"</formula>
    </cfRule>
  </conditionalFormatting>
  <conditionalFormatting sqref="B52:C52">
    <cfRule type="cellIs" dxfId="3087" priority="3571" stopIfTrue="1" operator="equal">
      <formula>"Towel"</formula>
    </cfRule>
    <cfRule type="cellIs" dxfId="3086" priority="3572" stopIfTrue="1" operator="equal">
      <formula>"Napkin Hs"</formula>
    </cfRule>
  </conditionalFormatting>
  <conditionalFormatting sqref="C52">
    <cfRule type="cellIs" dxfId="3085" priority="3570" stopIfTrue="1" operator="equal">
      <formula>"Napkin Hs"</formula>
    </cfRule>
  </conditionalFormatting>
  <conditionalFormatting sqref="C52">
    <cfRule type="cellIs" dxfId="3084" priority="3567" stopIfTrue="1" operator="equal">
      <formula>"Towel"</formula>
    </cfRule>
    <cfRule type="cellIs" dxfId="3083" priority="3568" stopIfTrue="1" operator="equal">
      <formula>"Napkin Hs"</formula>
    </cfRule>
  </conditionalFormatting>
  <conditionalFormatting sqref="C52">
    <cfRule type="cellIs" dxfId="3082" priority="3569" stopIfTrue="1" operator="equal">
      <formula>"Towel"</formula>
    </cfRule>
  </conditionalFormatting>
  <conditionalFormatting sqref="B52:C52">
    <cfRule type="cellIs" dxfId="3081" priority="3565" stopIfTrue="1" operator="equal">
      <formula>"Towel"</formula>
    </cfRule>
    <cfRule type="cellIs" dxfId="3080" priority="3566" stopIfTrue="1" operator="equal">
      <formula>"Napkin Hs"</formula>
    </cfRule>
  </conditionalFormatting>
  <conditionalFormatting sqref="C52">
    <cfRule type="cellIs" dxfId="3079" priority="3564" stopIfTrue="1" operator="equal">
      <formula>"Napkin Hs"</formula>
    </cfRule>
  </conditionalFormatting>
  <conditionalFormatting sqref="C52">
    <cfRule type="cellIs" dxfId="3078" priority="3561" stopIfTrue="1" operator="equal">
      <formula>"Towel"</formula>
    </cfRule>
    <cfRule type="cellIs" dxfId="3077" priority="3562" stopIfTrue="1" operator="equal">
      <formula>"Napkin Hs"</formula>
    </cfRule>
  </conditionalFormatting>
  <conditionalFormatting sqref="C52">
    <cfRule type="cellIs" dxfId="3076" priority="3563" stopIfTrue="1" operator="equal">
      <formula>"Towel"</formula>
    </cfRule>
  </conditionalFormatting>
  <conditionalFormatting sqref="B52:C52">
    <cfRule type="cellIs" dxfId="3075" priority="3559" stopIfTrue="1" operator="equal">
      <formula>"Towel"</formula>
    </cfRule>
    <cfRule type="cellIs" dxfId="3074" priority="3560" stopIfTrue="1" operator="equal">
      <formula>"Napkin Hs"</formula>
    </cfRule>
  </conditionalFormatting>
  <conditionalFormatting sqref="C52">
    <cfRule type="cellIs" dxfId="3073" priority="3558" stopIfTrue="1" operator="equal">
      <formula>"Napkin Hs"</formula>
    </cfRule>
  </conditionalFormatting>
  <conditionalFormatting sqref="C52">
    <cfRule type="cellIs" dxfId="3072" priority="3555" stopIfTrue="1" operator="equal">
      <formula>"Towel"</formula>
    </cfRule>
    <cfRule type="cellIs" dxfId="3071" priority="3556" stopIfTrue="1" operator="equal">
      <formula>"Napkin Hs"</formula>
    </cfRule>
  </conditionalFormatting>
  <conditionalFormatting sqref="C52">
    <cfRule type="cellIs" dxfId="3070" priority="3557" stopIfTrue="1" operator="equal">
      <formula>"Towel"</formula>
    </cfRule>
  </conditionalFormatting>
  <conditionalFormatting sqref="B52:C52">
    <cfRule type="cellIs" dxfId="3069" priority="3553" stopIfTrue="1" operator="equal">
      <formula>"Towel"</formula>
    </cfRule>
    <cfRule type="cellIs" dxfId="3068" priority="3554" stopIfTrue="1" operator="equal">
      <formula>"Napkin Hs"</formula>
    </cfRule>
  </conditionalFormatting>
  <conditionalFormatting sqref="C52">
    <cfRule type="cellIs" dxfId="3067" priority="3552" stopIfTrue="1" operator="equal">
      <formula>"Napkin Hs"</formula>
    </cfRule>
  </conditionalFormatting>
  <conditionalFormatting sqref="C52">
    <cfRule type="cellIs" dxfId="3066" priority="3549" stopIfTrue="1" operator="equal">
      <formula>"Towel"</formula>
    </cfRule>
    <cfRule type="cellIs" dxfId="3065" priority="3550" stopIfTrue="1" operator="equal">
      <formula>"Napkin Hs"</formula>
    </cfRule>
  </conditionalFormatting>
  <conditionalFormatting sqref="C52">
    <cfRule type="cellIs" dxfId="3064" priority="3551" stopIfTrue="1" operator="equal">
      <formula>"Towel"</formula>
    </cfRule>
  </conditionalFormatting>
  <conditionalFormatting sqref="B53:C53">
    <cfRule type="cellIs" dxfId="3063" priority="3547" stopIfTrue="1" operator="equal">
      <formula>"Towel"</formula>
    </cfRule>
    <cfRule type="cellIs" dxfId="3062" priority="3548" stopIfTrue="1" operator="equal">
      <formula>"Napkin Hs"</formula>
    </cfRule>
  </conditionalFormatting>
  <conditionalFormatting sqref="C53">
    <cfRule type="cellIs" dxfId="3061" priority="3546" stopIfTrue="1" operator="equal">
      <formula>"Napkin Hs"</formula>
    </cfRule>
  </conditionalFormatting>
  <conditionalFormatting sqref="C53">
    <cfRule type="cellIs" dxfId="3060" priority="3543" stopIfTrue="1" operator="equal">
      <formula>"Towel"</formula>
    </cfRule>
    <cfRule type="cellIs" dxfId="3059" priority="3544" stopIfTrue="1" operator="equal">
      <formula>"Napkin Hs"</formula>
    </cfRule>
  </conditionalFormatting>
  <conditionalFormatting sqref="C53">
    <cfRule type="cellIs" dxfId="3058" priority="3545" stopIfTrue="1" operator="equal">
      <formula>"Towel"</formula>
    </cfRule>
  </conditionalFormatting>
  <conditionalFormatting sqref="B53:C53">
    <cfRule type="cellIs" dxfId="3057" priority="3541" stopIfTrue="1" operator="equal">
      <formula>"Towel"</formula>
    </cfRule>
    <cfRule type="cellIs" dxfId="3056" priority="3542" stopIfTrue="1" operator="equal">
      <formula>"Napkin Hs"</formula>
    </cfRule>
  </conditionalFormatting>
  <conditionalFormatting sqref="C53">
    <cfRule type="cellIs" dxfId="3055" priority="3540" stopIfTrue="1" operator="equal">
      <formula>"Napkin Hs"</formula>
    </cfRule>
  </conditionalFormatting>
  <conditionalFormatting sqref="C53">
    <cfRule type="cellIs" dxfId="3054" priority="3537" stopIfTrue="1" operator="equal">
      <formula>"Towel"</formula>
    </cfRule>
    <cfRule type="cellIs" dxfId="3053" priority="3538" stopIfTrue="1" operator="equal">
      <formula>"Napkin Hs"</formula>
    </cfRule>
  </conditionalFormatting>
  <conditionalFormatting sqref="C53">
    <cfRule type="cellIs" dxfId="3052" priority="3539" stopIfTrue="1" operator="equal">
      <formula>"Towel"</formula>
    </cfRule>
  </conditionalFormatting>
  <conditionalFormatting sqref="B53:C53">
    <cfRule type="cellIs" dxfId="3051" priority="3535" stopIfTrue="1" operator="equal">
      <formula>"Towel"</formula>
    </cfRule>
    <cfRule type="cellIs" dxfId="3050" priority="3536" stopIfTrue="1" operator="equal">
      <formula>"Napkin Hs"</formula>
    </cfRule>
  </conditionalFormatting>
  <conditionalFormatting sqref="C53">
    <cfRule type="cellIs" dxfId="3049" priority="3534" stopIfTrue="1" operator="equal">
      <formula>"Napkin Hs"</formula>
    </cfRule>
  </conditionalFormatting>
  <conditionalFormatting sqref="C53">
    <cfRule type="cellIs" dxfId="3048" priority="3531" stopIfTrue="1" operator="equal">
      <formula>"Towel"</formula>
    </cfRule>
    <cfRule type="cellIs" dxfId="3047" priority="3532" stopIfTrue="1" operator="equal">
      <formula>"Napkin Hs"</formula>
    </cfRule>
  </conditionalFormatting>
  <conditionalFormatting sqref="C53">
    <cfRule type="cellIs" dxfId="3046" priority="3533" stopIfTrue="1" operator="equal">
      <formula>"Towel"</formula>
    </cfRule>
  </conditionalFormatting>
  <conditionalFormatting sqref="B50:C51">
    <cfRule type="cellIs" dxfId="3045" priority="3529" stopIfTrue="1" operator="equal">
      <formula>"Towel"</formula>
    </cfRule>
    <cfRule type="cellIs" dxfId="3044" priority="3530" stopIfTrue="1" operator="equal">
      <formula>"Napkin Hs"</formula>
    </cfRule>
  </conditionalFormatting>
  <conditionalFormatting sqref="C50:C51">
    <cfRule type="cellIs" dxfId="3043" priority="3527" stopIfTrue="1" operator="equal">
      <formula>"Towel"</formula>
    </cfRule>
    <cfRule type="cellIs" dxfId="3042" priority="3528" stopIfTrue="1" operator="equal">
      <formula>"Napkin Hs"</formula>
    </cfRule>
  </conditionalFormatting>
  <conditionalFormatting sqref="C50:C51">
    <cfRule type="cellIs" dxfId="3041" priority="3525" stopIfTrue="1" operator="equal">
      <formula>"Towel"</formula>
    </cfRule>
    <cfRule type="cellIs" dxfId="3040" priority="3526" stopIfTrue="1" operator="equal">
      <formula>"Napkin Hs"</formula>
    </cfRule>
  </conditionalFormatting>
  <conditionalFormatting sqref="B50:C51">
    <cfRule type="cellIs" dxfId="3039" priority="3523" stopIfTrue="1" operator="equal">
      <formula>"Towel"</formula>
    </cfRule>
    <cfRule type="cellIs" dxfId="3038" priority="3524" stopIfTrue="1" operator="equal">
      <formula>"Napkin Hs"</formula>
    </cfRule>
  </conditionalFormatting>
  <conditionalFormatting sqref="C50:C51">
    <cfRule type="cellIs" dxfId="3037" priority="3522" stopIfTrue="1" operator="equal">
      <formula>"Napkin Hs"</formula>
    </cfRule>
  </conditionalFormatting>
  <conditionalFormatting sqref="C50:C51">
    <cfRule type="cellIs" dxfId="3036" priority="3519" stopIfTrue="1" operator="equal">
      <formula>"Towel"</formula>
    </cfRule>
    <cfRule type="cellIs" dxfId="3035" priority="3520" stopIfTrue="1" operator="equal">
      <formula>"Napkin Hs"</formula>
    </cfRule>
  </conditionalFormatting>
  <conditionalFormatting sqref="C50:C51">
    <cfRule type="cellIs" dxfId="3034" priority="3521" stopIfTrue="1" operator="equal">
      <formula>"Towel"</formula>
    </cfRule>
  </conditionalFormatting>
  <conditionalFormatting sqref="B50:C51">
    <cfRule type="cellIs" dxfId="3033" priority="3517" stopIfTrue="1" operator="equal">
      <formula>"Towel"</formula>
    </cfRule>
    <cfRule type="cellIs" dxfId="3032" priority="3518" stopIfTrue="1" operator="equal">
      <formula>"Napkin Hs"</formula>
    </cfRule>
  </conditionalFormatting>
  <conditionalFormatting sqref="C50:C51">
    <cfRule type="cellIs" dxfId="3031" priority="3516" stopIfTrue="1" operator="equal">
      <formula>"Napkin Hs"</formula>
    </cfRule>
  </conditionalFormatting>
  <conditionalFormatting sqref="C50:C51">
    <cfRule type="cellIs" dxfId="3030" priority="3513" stopIfTrue="1" operator="equal">
      <formula>"Towel"</formula>
    </cfRule>
    <cfRule type="cellIs" dxfId="3029" priority="3514" stopIfTrue="1" operator="equal">
      <formula>"Napkin Hs"</formula>
    </cfRule>
  </conditionalFormatting>
  <conditionalFormatting sqref="C50:C51">
    <cfRule type="cellIs" dxfId="3028" priority="3515" stopIfTrue="1" operator="equal">
      <formula>"Towel"</formula>
    </cfRule>
  </conditionalFormatting>
  <conditionalFormatting sqref="B50:C51">
    <cfRule type="cellIs" dxfId="3027" priority="3511" stopIfTrue="1" operator="equal">
      <formula>"Towel"</formula>
    </cfRule>
    <cfRule type="cellIs" dxfId="3026" priority="3512" stopIfTrue="1" operator="equal">
      <formula>"Napkin Hs"</formula>
    </cfRule>
  </conditionalFormatting>
  <conditionalFormatting sqref="C50:C51">
    <cfRule type="cellIs" dxfId="3025" priority="3510" stopIfTrue="1" operator="equal">
      <formula>"Napkin Hs"</formula>
    </cfRule>
  </conditionalFormatting>
  <conditionalFormatting sqref="C50:C51">
    <cfRule type="cellIs" dxfId="3024" priority="3507" stopIfTrue="1" operator="equal">
      <formula>"Towel"</formula>
    </cfRule>
    <cfRule type="cellIs" dxfId="3023" priority="3508" stopIfTrue="1" operator="equal">
      <formula>"Napkin Hs"</formula>
    </cfRule>
  </conditionalFormatting>
  <conditionalFormatting sqref="C50:C51">
    <cfRule type="cellIs" dxfId="3022" priority="3509" stopIfTrue="1" operator="equal">
      <formula>"Towel"</formula>
    </cfRule>
  </conditionalFormatting>
  <conditionalFormatting sqref="B57:C57">
    <cfRule type="cellIs" dxfId="3021" priority="3505" stopIfTrue="1" operator="equal">
      <formula>"Towel"</formula>
    </cfRule>
    <cfRule type="cellIs" dxfId="3020" priority="3506" stopIfTrue="1" operator="equal">
      <formula>"Napkin Hs"</formula>
    </cfRule>
  </conditionalFormatting>
  <conditionalFormatting sqref="C57">
    <cfRule type="cellIs" dxfId="3019" priority="3501" stopIfTrue="1" operator="equal">
      <formula>"Towel"</formula>
    </cfRule>
    <cfRule type="cellIs" dxfId="3018" priority="3502" stopIfTrue="1" operator="equal">
      <formula>"Napkin Hs"</formula>
    </cfRule>
  </conditionalFormatting>
  <conditionalFormatting sqref="C57">
    <cfRule type="cellIs" dxfId="3017" priority="3503" stopIfTrue="1" operator="equal">
      <formula>"Towel"</formula>
    </cfRule>
    <cfRule type="cellIs" dxfId="3016" priority="3504" stopIfTrue="1" operator="equal">
      <formula>"Napkin Hs"</formula>
    </cfRule>
  </conditionalFormatting>
  <conditionalFormatting sqref="B55:C55">
    <cfRule type="cellIs" dxfId="3015" priority="3499" stopIfTrue="1" operator="equal">
      <formula>"Towel"</formula>
    </cfRule>
    <cfRule type="cellIs" dxfId="3014" priority="3500" stopIfTrue="1" operator="equal">
      <formula>"Napkin Hs"</formula>
    </cfRule>
  </conditionalFormatting>
  <conditionalFormatting sqref="C55">
    <cfRule type="cellIs" dxfId="3013" priority="3498" stopIfTrue="1" operator="equal">
      <formula>"Napkin Hs"</formula>
    </cfRule>
  </conditionalFormatting>
  <conditionalFormatting sqref="C55">
    <cfRule type="cellIs" dxfId="3012" priority="3495" stopIfTrue="1" operator="equal">
      <formula>"Towel"</formula>
    </cfRule>
    <cfRule type="cellIs" dxfId="3011" priority="3496" stopIfTrue="1" operator="equal">
      <formula>"Napkin Hs"</formula>
    </cfRule>
  </conditionalFormatting>
  <conditionalFormatting sqref="C55">
    <cfRule type="cellIs" dxfId="3010" priority="3497" stopIfTrue="1" operator="equal">
      <formula>"Towel"</formula>
    </cfRule>
  </conditionalFormatting>
  <conditionalFormatting sqref="B55:C55">
    <cfRule type="cellIs" dxfId="3009" priority="3493" stopIfTrue="1" operator="equal">
      <formula>"Towel"</formula>
    </cfRule>
    <cfRule type="cellIs" dxfId="3008" priority="3494" stopIfTrue="1" operator="equal">
      <formula>"Napkin Hs"</formula>
    </cfRule>
  </conditionalFormatting>
  <conditionalFormatting sqref="C55">
    <cfRule type="cellIs" dxfId="3007" priority="3491" stopIfTrue="1" operator="equal">
      <formula>"Towel"</formula>
    </cfRule>
    <cfRule type="cellIs" dxfId="3006" priority="3492" stopIfTrue="1" operator="equal">
      <formula>"Napkin Hs"</formula>
    </cfRule>
  </conditionalFormatting>
  <conditionalFormatting sqref="C55">
    <cfRule type="cellIs" dxfId="3005" priority="3489" stopIfTrue="1" operator="equal">
      <formula>"Towel"</formula>
    </cfRule>
    <cfRule type="cellIs" dxfId="3004" priority="3490" stopIfTrue="1" operator="equal">
      <formula>"Napkin Hs"</formula>
    </cfRule>
  </conditionalFormatting>
  <conditionalFormatting sqref="B57:C57">
    <cfRule type="cellIs" dxfId="3003" priority="3487" stopIfTrue="1" operator="equal">
      <formula>"Towel"</formula>
    </cfRule>
    <cfRule type="cellIs" dxfId="3002" priority="3488" stopIfTrue="1" operator="equal">
      <formula>"Napkin Hs"</formula>
    </cfRule>
  </conditionalFormatting>
  <conditionalFormatting sqref="C57">
    <cfRule type="cellIs" dxfId="3001" priority="3485" stopIfTrue="1" operator="equal">
      <formula>"Towel"</formula>
    </cfRule>
    <cfRule type="cellIs" dxfId="3000" priority="3486" stopIfTrue="1" operator="equal">
      <formula>"Napkin Hs"</formula>
    </cfRule>
  </conditionalFormatting>
  <conditionalFormatting sqref="C57">
    <cfRule type="cellIs" dxfId="2999" priority="3483" stopIfTrue="1" operator="equal">
      <formula>"Towel"</formula>
    </cfRule>
    <cfRule type="cellIs" dxfId="2998" priority="3484" stopIfTrue="1" operator="equal">
      <formula>"Napkin Hs"</formula>
    </cfRule>
  </conditionalFormatting>
  <conditionalFormatting sqref="B57:C57">
    <cfRule type="cellIs" dxfId="2997" priority="3481" stopIfTrue="1" operator="equal">
      <formula>"Towel"</formula>
    </cfRule>
    <cfRule type="cellIs" dxfId="2996" priority="3482" stopIfTrue="1" operator="equal">
      <formula>"Napkin Hs"</formula>
    </cfRule>
  </conditionalFormatting>
  <conditionalFormatting sqref="C57">
    <cfRule type="cellIs" dxfId="2995" priority="3480" stopIfTrue="1" operator="equal">
      <formula>"Napkin Hs"</formula>
    </cfRule>
  </conditionalFormatting>
  <conditionalFormatting sqref="C57">
    <cfRule type="cellIs" dxfId="2994" priority="3477" stopIfTrue="1" operator="equal">
      <formula>"Towel"</formula>
    </cfRule>
    <cfRule type="cellIs" dxfId="2993" priority="3478" stopIfTrue="1" operator="equal">
      <formula>"Napkin Hs"</formula>
    </cfRule>
  </conditionalFormatting>
  <conditionalFormatting sqref="C57">
    <cfRule type="cellIs" dxfId="2992" priority="3479" stopIfTrue="1" operator="equal">
      <formula>"Towel"</formula>
    </cfRule>
  </conditionalFormatting>
  <conditionalFormatting sqref="B57:C57">
    <cfRule type="cellIs" dxfId="2991" priority="3475" stopIfTrue="1" operator="equal">
      <formula>"Towel"</formula>
    </cfRule>
    <cfRule type="cellIs" dxfId="2990" priority="3476" stopIfTrue="1" operator="equal">
      <formula>"Napkin Hs"</formula>
    </cfRule>
  </conditionalFormatting>
  <conditionalFormatting sqref="C57">
    <cfRule type="cellIs" dxfId="2989" priority="3474" stopIfTrue="1" operator="equal">
      <formula>"Napkin Hs"</formula>
    </cfRule>
  </conditionalFormatting>
  <conditionalFormatting sqref="C57">
    <cfRule type="cellIs" dxfId="2988" priority="3471" stopIfTrue="1" operator="equal">
      <formula>"Towel"</formula>
    </cfRule>
    <cfRule type="cellIs" dxfId="2987" priority="3472" stopIfTrue="1" operator="equal">
      <formula>"Napkin Hs"</formula>
    </cfRule>
  </conditionalFormatting>
  <conditionalFormatting sqref="C57">
    <cfRule type="cellIs" dxfId="2986" priority="3473" stopIfTrue="1" operator="equal">
      <formula>"Towel"</formula>
    </cfRule>
  </conditionalFormatting>
  <conditionalFormatting sqref="B57:C57">
    <cfRule type="cellIs" dxfId="2985" priority="3469" stopIfTrue="1" operator="equal">
      <formula>"Towel"</formula>
    </cfRule>
    <cfRule type="cellIs" dxfId="2984" priority="3470" stopIfTrue="1" operator="equal">
      <formula>"Napkin Hs"</formula>
    </cfRule>
  </conditionalFormatting>
  <conditionalFormatting sqref="C57">
    <cfRule type="cellIs" dxfId="2983" priority="3468" stopIfTrue="1" operator="equal">
      <formula>"Napkin Hs"</formula>
    </cfRule>
  </conditionalFormatting>
  <conditionalFormatting sqref="C57">
    <cfRule type="cellIs" dxfId="2982" priority="3465" stopIfTrue="1" operator="equal">
      <formula>"Towel"</formula>
    </cfRule>
    <cfRule type="cellIs" dxfId="2981" priority="3466" stopIfTrue="1" operator="equal">
      <formula>"Napkin Hs"</formula>
    </cfRule>
  </conditionalFormatting>
  <conditionalFormatting sqref="C57">
    <cfRule type="cellIs" dxfId="2980" priority="3467" stopIfTrue="1" operator="equal">
      <formula>"Towel"</formula>
    </cfRule>
  </conditionalFormatting>
  <conditionalFormatting sqref="B55:C55">
    <cfRule type="cellIs" dxfId="2979" priority="3463" stopIfTrue="1" operator="equal">
      <formula>"Towel"</formula>
    </cfRule>
    <cfRule type="cellIs" dxfId="2978" priority="3464" stopIfTrue="1" operator="equal">
      <formula>"Napkin Hs"</formula>
    </cfRule>
  </conditionalFormatting>
  <conditionalFormatting sqref="C55">
    <cfRule type="cellIs" dxfId="2977" priority="3461" stopIfTrue="1" operator="equal">
      <formula>"Towel"</formula>
    </cfRule>
    <cfRule type="cellIs" dxfId="2976" priority="3462" stopIfTrue="1" operator="equal">
      <formula>"Napkin Hs"</formula>
    </cfRule>
  </conditionalFormatting>
  <conditionalFormatting sqref="C55">
    <cfRule type="cellIs" dxfId="2975" priority="3459" stopIfTrue="1" operator="equal">
      <formula>"Towel"</formula>
    </cfRule>
    <cfRule type="cellIs" dxfId="2974" priority="3460" stopIfTrue="1" operator="equal">
      <formula>"Napkin Hs"</formula>
    </cfRule>
  </conditionalFormatting>
  <conditionalFormatting sqref="B55:C55">
    <cfRule type="cellIs" dxfId="2973" priority="3457" stopIfTrue="1" operator="equal">
      <formula>"Towel"</formula>
    </cfRule>
    <cfRule type="cellIs" dxfId="2972" priority="3458" stopIfTrue="1" operator="equal">
      <formula>"Napkin Hs"</formula>
    </cfRule>
  </conditionalFormatting>
  <conditionalFormatting sqref="C55">
    <cfRule type="cellIs" dxfId="2971" priority="3456" stopIfTrue="1" operator="equal">
      <formula>"Napkin Hs"</formula>
    </cfRule>
  </conditionalFormatting>
  <conditionalFormatting sqref="C55">
    <cfRule type="cellIs" dxfId="2970" priority="3453" stopIfTrue="1" operator="equal">
      <formula>"Towel"</formula>
    </cfRule>
    <cfRule type="cellIs" dxfId="2969" priority="3454" stopIfTrue="1" operator="equal">
      <formula>"Napkin Hs"</formula>
    </cfRule>
  </conditionalFormatting>
  <conditionalFormatting sqref="C55">
    <cfRule type="cellIs" dxfId="2968" priority="3455" stopIfTrue="1" operator="equal">
      <formula>"Towel"</formula>
    </cfRule>
  </conditionalFormatting>
  <conditionalFormatting sqref="B55:C55">
    <cfRule type="cellIs" dxfId="2967" priority="3451" stopIfTrue="1" operator="equal">
      <formula>"Towel"</formula>
    </cfRule>
    <cfRule type="cellIs" dxfId="2966" priority="3452" stopIfTrue="1" operator="equal">
      <formula>"Napkin Hs"</formula>
    </cfRule>
  </conditionalFormatting>
  <conditionalFormatting sqref="C55">
    <cfRule type="cellIs" dxfId="2965" priority="3450" stopIfTrue="1" operator="equal">
      <formula>"Napkin Hs"</formula>
    </cfRule>
  </conditionalFormatting>
  <conditionalFormatting sqref="C55">
    <cfRule type="cellIs" dxfId="2964" priority="3447" stopIfTrue="1" operator="equal">
      <formula>"Towel"</formula>
    </cfRule>
    <cfRule type="cellIs" dxfId="2963" priority="3448" stopIfTrue="1" operator="equal">
      <formula>"Napkin Hs"</formula>
    </cfRule>
  </conditionalFormatting>
  <conditionalFormatting sqref="C55">
    <cfRule type="cellIs" dxfId="2962" priority="3449" stopIfTrue="1" operator="equal">
      <formula>"Towel"</formula>
    </cfRule>
  </conditionalFormatting>
  <conditionalFormatting sqref="B55:C55">
    <cfRule type="cellIs" dxfId="2961" priority="3445" stopIfTrue="1" operator="equal">
      <formula>"Towel"</formula>
    </cfRule>
    <cfRule type="cellIs" dxfId="2960" priority="3446" stopIfTrue="1" operator="equal">
      <formula>"Napkin Hs"</formula>
    </cfRule>
  </conditionalFormatting>
  <conditionalFormatting sqref="C55">
    <cfRule type="cellIs" dxfId="2959" priority="3444" stopIfTrue="1" operator="equal">
      <formula>"Napkin Hs"</formula>
    </cfRule>
  </conditionalFormatting>
  <conditionalFormatting sqref="C55">
    <cfRule type="cellIs" dxfId="2958" priority="3441" stopIfTrue="1" operator="equal">
      <formula>"Towel"</formula>
    </cfRule>
    <cfRule type="cellIs" dxfId="2957" priority="3442" stopIfTrue="1" operator="equal">
      <formula>"Napkin Hs"</formula>
    </cfRule>
  </conditionalFormatting>
  <conditionalFormatting sqref="C55">
    <cfRule type="cellIs" dxfId="2956" priority="3443" stopIfTrue="1" operator="equal">
      <formula>"Towel"</formula>
    </cfRule>
  </conditionalFormatting>
  <conditionalFormatting sqref="B54:C54">
    <cfRule type="cellIs" dxfId="2955" priority="3439" stopIfTrue="1" operator="equal">
      <formula>"Towel"</formula>
    </cfRule>
    <cfRule type="cellIs" dxfId="2954" priority="3440" stopIfTrue="1" operator="equal">
      <formula>"Napkin Hs"</formula>
    </cfRule>
  </conditionalFormatting>
  <conditionalFormatting sqref="C54">
    <cfRule type="cellIs" dxfId="2953" priority="3438" stopIfTrue="1" operator="equal">
      <formula>"Napkin Hs"</formula>
    </cfRule>
  </conditionalFormatting>
  <conditionalFormatting sqref="C54">
    <cfRule type="cellIs" dxfId="2952" priority="3435" stopIfTrue="1" operator="equal">
      <formula>"Towel"</formula>
    </cfRule>
    <cfRule type="cellIs" dxfId="2951" priority="3436" stopIfTrue="1" operator="equal">
      <formula>"Napkin Hs"</formula>
    </cfRule>
  </conditionalFormatting>
  <conditionalFormatting sqref="C54">
    <cfRule type="cellIs" dxfId="2950" priority="3437" stopIfTrue="1" operator="equal">
      <formula>"Towel"</formula>
    </cfRule>
  </conditionalFormatting>
  <conditionalFormatting sqref="B54:C54">
    <cfRule type="cellIs" dxfId="2949" priority="3433" stopIfTrue="1" operator="equal">
      <formula>"Towel"</formula>
    </cfRule>
    <cfRule type="cellIs" dxfId="2948" priority="3434" stopIfTrue="1" operator="equal">
      <formula>"Napkin Hs"</formula>
    </cfRule>
  </conditionalFormatting>
  <conditionalFormatting sqref="C54">
    <cfRule type="cellIs" dxfId="2947" priority="3431" stopIfTrue="1" operator="equal">
      <formula>"Towel"</formula>
    </cfRule>
    <cfRule type="cellIs" dxfId="2946" priority="3432" stopIfTrue="1" operator="equal">
      <formula>"Napkin Hs"</formula>
    </cfRule>
  </conditionalFormatting>
  <conditionalFormatting sqref="C54">
    <cfRule type="cellIs" dxfId="2945" priority="3429" stopIfTrue="1" operator="equal">
      <formula>"Towel"</formula>
    </cfRule>
    <cfRule type="cellIs" dxfId="2944" priority="3430" stopIfTrue="1" operator="equal">
      <formula>"Napkin Hs"</formula>
    </cfRule>
  </conditionalFormatting>
  <conditionalFormatting sqref="B54:C54">
    <cfRule type="cellIs" dxfId="2943" priority="3427" stopIfTrue="1" operator="equal">
      <formula>"Towel"</formula>
    </cfRule>
    <cfRule type="cellIs" dxfId="2942" priority="3428" stopIfTrue="1" operator="equal">
      <formula>"Napkin Hs"</formula>
    </cfRule>
  </conditionalFormatting>
  <conditionalFormatting sqref="C54">
    <cfRule type="cellIs" dxfId="2941" priority="3425" stopIfTrue="1" operator="equal">
      <formula>"Towel"</formula>
    </cfRule>
    <cfRule type="cellIs" dxfId="2940" priority="3426" stopIfTrue="1" operator="equal">
      <formula>"Napkin Hs"</formula>
    </cfRule>
  </conditionalFormatting>
  <conditionalFormatting sqref="C54">
    <cfRule type="cellIs" dxfId="2939" priority="3423" stopIfTrue="1" operator="equal">
      <formula>"Towel"</formula>
    </cfRule>
    <cfRule type="cellIs" dxfId="2938" priority="3424" stopIfTrue="1" operator="equal">
      <formula>"Napkin Hs"</formula>
    </cfRule>
  </conditionalFormatting>
  <conditionalFormatting sqref="B54:C54">
    <cfRule type="cellIs" dxfId="2937" priority="3421" stopIfTrue="1" operator="equal">
      <formula>"Towel"</formula>
    </cfRule>
    <cfRule type="cellIs" dxfId="2936" priority="3422" stopIfTrue="1" operator="equal">
      <formula>"Napkin Hs"</formula>
    </cfRule>
  </conditionalFormatting>
  <conditionalFormatting sqref="C54">
    <cfRule type="cellIs" dxfId="2935" priority="3420" stopIfTrue="1" operator="equal">
      <formula>"Napkin Hs"</formula>
    </cfRule>
  </conditionalFormatting>
  <conditionalFormatting sqref="C54">
    <cfRule type="cellIs" dxfId="2934" priority="3417" stopIfTrue="1" operator="equal">
      <formula>"Towel"</formula>
    </cfRule>
    <cfRule type="cellIs" dxfId="2933" priority="3418" stopIfTrue="1" operator="equal">
      <formula>"Napkin Hs"</formula>
    </cfRule>
  </conditionalFormatting>
  <conditionalFormatting sqref="C54">
    <cfRule type="cellIs" dxfId="2932" priority="3419" stopIfTrue="1" operator="equal">
      <formula>"Towel"</formula>
    </cfRule>
  </conditionalFormatting>
  <conditionalFormatting sqref="B54:C54">
    <cfRule type="cellIs" dxfId="2931" priority="3415" stopIfTrue="1" operator="equal">
      <formula>"Towel"</formula>
    </cfRule>
    <cfRule type="cellIs" dxfId="2930" priority="3416" stopIfTrue="1" operator="equal">
      <formula>"Napkin Hs"</formula>
    </cfRule>
  </conditionalFormatting>
  <conditionalFormatting sqref="C54">
    <cfRule type="cellIs" dxfId="2929" priority="3414" stopIfTrue="1" operator="equal">
      <formula>"Napkin Hs"</formula>
    </cfRule>
  </conditionalFormatting>
  <conditionalFormatting sqref="C54">
    <cfRule type="cellIs" dxfId="2928" priority="3411" stopIfTrue="1" operator="equal">
      <formula>"Towel"</formula>
    </cfRule>
    <cfRule type="cellIs" dxfId="2927" priority="3412" stopIfTrue="1" operator="equal">
      <formula>"Napkin Hs"</formula>
    </cfRule>
  </conditionalFormatting>
  <conditionalFormatting sqref="C54">
    <cfRule type="cellIs" dxfId="2926" priority="3413" stopIfTrue="1" operator="equal">
      <formula>"Towel"</formula>
    </cfRule>
  </conditionalFormatting>
  <conditionalFormatting sqref="B54:C54">
    <cfRule type="cellIs" dxfId="2925" priority="3409" stopIfTrue="1" operator="equal">
      <formula>"Towel"</formula>
    </cfRule>
    <cfRule type="cellIs" dxfId="2924" priority="3410" stopIfTrue="1" operator="equal">
      <formula>"Napkin Hs"</formula>
    </cfRule>
  </conditionalFormatting>
  <conditionalFormatting sqref="C54">
    <cfRule type="cellIs" dxfId="2923" priority="3408" stopIfTrue="1" operator="equal">
      <formula>"Napkin Hs"</formula>
    </cfRule>
  </conditionalFormatting>
  <conditionalFormatting sqref="C54">
    <cfRule type="cellIs" dxfId="2922" priority="3405" stopIfTrue="1" operator="equal">
      <formula>"Towel"</formula>
    </cfRule>
    <cfRule type="cellIs" dxfId="2921" priority="3406" stopIfTrue="1" operator="equal">
      <formula>"Napkin Hs"</formula>
    </cfRule>
  </conditionalFormatting>
  <conditionalFormatting sqref="C54">
    <cfRule type="cellIs" dxfId="2920" priority="3407" stopIfTrue="1" operator="equal">
      <formula>"Towel"</formula>
    </cfRule>
  </conditionalFormatting>
  <conditionalFormatting sqref="B56:C56">
    <cfRule type="cellIs" dxfId="2919" priority="3403" stopIfTrue="1" operator="equal">
      <formula>"Towel"</formula>
    </cfRule>
    <cfRule type="cellIs" dxfId="2918" priority="3404" stopIfTrue="1" operator="equal">
      <formula>"Napkin Hs"</formula>
    </cfRule>
  </conditionalFormatting>
  <conditionalFormatting sqref="C56">
    <cfRule type="cellIs" dxfId="2917" priority="3402" stopIfTrue="1" operator="equal">
      <formula>"Napkin Hs"</formula>
    </cfRule>
  </conditionalFormatting>
  <conditionalFormatting sqref="C56">
    <cfRule type="cellIs" dxfId="2916" priority="3399" stopIfTrue="1" operator="equal">
      <formula>"Towel"</formula>
    </cfRule>
    <cfRule type="cellIs" dxfId="2915" priority="3400" stopIfTrue="1" operator="equal">
      <formula>"Napkin Hs"</formula>
    </cfRule>
  </conditionalFormatting>
  <conditionalFormatting sqref="C56">
    <cfRule type="cellIs" dxfId="2914" priority="3401" stopIfTrue="1" operator="equal">
      <formula>"Towel"</formula>
    </cfRule>
  </conditionalFormatting>
  <conditionalFormatting sqref="B56:C56">
    <cfRule type="cellIs" dxfId="2913" priority="3397" stopIfTrue="1" operator="equal">
      <formula>"Towel"</formula>
    </cfRule>
    <cfRule type="cellIs" dxfId="2912" priority="3398" stopIfTrue="1" operator="equal">
      <formula>"Napkin Hs"</formula>
    </cfRule>
  </conditionalFormatting>
  <conditionalFormatting sqref="C56">
    <cfRule type="cellIs" dxfId="2911" priority="3395" stopIfTrue="1" operator="equal">
      <formula>"Towel"</formula>
    </cfRule>
    <cfRule type="cellIs" dxfId="2910" priority="3396" stopIfTrue="1" operator="equal">
      <formula>"Napkin Hs"</formula>
    </cfRule>
  </conditionalFormatting>
  <conditionalFormatting sqref="C56">
    <cfRule type="cellIs" dxfId="2909" priority="3393" stopIfTrue="1" operator="equal">
      <formula>"Towel"</formula>
    </cfRule>
    <cfRule type="cellIs" dxfId="2908" priority="3394" stopIfTrue="1" operator="equal">
      <formula>"Napkin Hs"</formula>
    </cfRule>
  </conditionalFormatting>
  <conditionalFormatting sqref="B56:C56">
    <cfRule type="cellIs" dxfId="2907" priority="3391" stopIfTrue="1" operator="equal">
      <formula>"Towel"</formula>
    </cfRule>
    <cfRule type="cellIs" dxfId="2906" priority="3392" stopIfTrue="1" operator="equal">
      <formula>"Napkin Hs"</formula>
    </cfRule>
  </conditionalFormatting>
  <conditionalFormatting sqref="C56">
    <cfRule type="cellIs" dxfId="2905" priority="3389" stopIfTrue="1" operator="equal">
      <formula>"Towel"</formula>
    </cfRule>
    <cfRule type="cellIs" dxfId="2904" priority="3390" stopIfTrue="1" operator="equal">
      <formula>"Napkin Hs"</formula>
    </cfRule>
  </conditionalFormatting>
  <conditionalFormatting sqref="C56">
    <cfRule type="cellIs" dxfId="2903" priority="3387" stopIfTrue="1" operator="equal">
      <formula>"Towel"</formula>
    </cfRule>
    <cfRule type="cellIs" dxfId="2902" priority="3388" stopIfTrue="1" operator="equal">
      <formula>"Napkin Hs"</formula>
    </cfRule>
  </conditionalFormatting>
  <conditionalFormatting sqref="B56:C56">
    <cfRule type="cellIs" dxfId="2901" priority="3385" stopIfTrue="1" operator="equal">
      <formula>"Towel"</formula>
    </cfRule>
    <cfRule type="cellIs" dxfId="2900" priority="3386" stopIfTrue="1" operator="equal">
      <formula>"Napkin Hs"</formula>
    </cfRule>
  </conditionalFormatting>
  <conditionalFormatting sqref="C56">
    <cfRule type="cellIs" dxfId="2899" priority="3384" stopIfTrue="1" operator="equal">
      <formula>"Napkin Hs"</formula>
    </cfRule>
  </conditionalFormatting>
  <conditionalFormatting sqref="C56">
    <cfRule type="cellIs" dxfId="2898" priority="3381" stopIfTrue="1" operator="equal">
      <formula>"Towel"</formula>
    </cfRule>
    <cfRule type="cellIs" dxfId="2897" priority="3382" stopIfTrue="1" operator="equal">
      <formula>"Napkin Hs"</formula>
    </cfRule>
  </conditionalFormatting>
  <conditionalFormatting sqref="C56">
    <cfRule type="cellIs" dxfId="2896" priority="3383" stopIfTrue="1" operator="equal">
      <formula>"Towel"</formula>
    </cfRule>
  </conditionalFormatting>
  <conditionalFormatting sqref="B56:C56">
    <cfRule type="cellIs" dxfId="2895" priority="3379" stopIfTrue="1" operator="equal">
      <formula>"Towel"</formula>
    </cfRule>
    <cfRule type="cellIs" dxfId="2894" priority="3380" stopIfTrue="1" operator="equal">
      <formula>"Napkin Hs"</formula>
    </cfRule>
  </conditionalFormatting>
  <conditionalFormatting sqref="C56">
    <cfRule type="cellIs" dxfId="2893" priority="3378" stopIfTrue="1" operator="equal">
      <formula>"Napkin Hs"</formula>
    </cfRule>
  </conditionalFormatting>
  <conditionalFormatting sqref="C56">
    <cfRule type="cellIs" dxfId="2892" priority="3375" stopIfTrue="1" operator="equal">
      <formula>"Towel"</formula>
    </cfRule>
    <cfRule type="cellIs" dxfId="2891" priority="3376" stopIfTrue="1" operator="equal">
      <formula>"Napkin Hs"</formula>
    </cfRule>
  </conditionalFormatting>
  <conditionalFormatting sqref="C56">
    <cfRule type="cellIs" dxfId="2890" priority="3377" stopIfTrue="1" operator="equal">
      <formula>"Towel"</formula>
    </cfRule>
  </conditionalFormatting>
  <conditionalFormatting sqref="B56:C56">
    <cfRule type="cellIs" dxfId="2889" priority="3373" stopIfTrue="1" operator="equal">
      <formula>"Towel"</formula>
    </cfRule>
    <cfRule type="cellIs" dxfId="2888" priority="3374" stopIfTrue="1" operator="equal">
      <formula>"Napkin Hs"</formula>
    </cfRule>
  </conditionalFormatting>
  <conditionalFormatting sqref="C56">
    <cfRule type="cellIs" dxfId="2887" priority="3372" stopIfTrue="1" operator="equal">
      <formula>"Napkin Hs"</formula>
    </cfRule>
  </conditionalFormatting>
  <conditionalFormatting sqref="C56">
    <cfRule type="cellIs" dxfId="2886" priority="3369" stopIfTrue="1" operator="equal">
      <formula>"Towel"</formula>
    </cfRule>
    <cfRule type="cellIs" dxfId="2885" priority="3370" stopIfTrue="1" operator="equal">
      <formula>"Napkin Hs"</formula>
    </cfRule>
  </conditionalFormatting>
  <conditionalFormatting sqref="C56">
    <cfRule type="cellIs" dxfId="2884" priority="3371" stopIfTrue="1" operator="equal">
      <formula>"Towel"</formula>
    </cfRule>
  </conditionalFormatting>
  <conditionalFormatting sqref="B62:C62">
    <cfRule type="cellIs" dxfId="2883" priority="3367" stopIfTrue="1" operator="equal">
      <formula>"Towel"</formula>
    </cfRule>
    <cfRule type="cellIs" dxfId="2882" priority="3368" stopIfTrue="1" operator="equal">
      <formula>"Napkin Hs"</formula>
    </cfRule>
  </conditionalFormatting>
  <conditionalFormatting sqref="C62">
    <cfRule type="cellIs" dxfId="2881" priority="3363" stopIfTrue="1" operator="equal">
      <formula>"Towel"</formula>
    </cfRule>
    <cfRule type="cellIs" dxfId="2880" priority="3364" stopIfTrue="1" operator="equal">
      <formula>"Napkin Hs"</formula>
    </cfRule>
  </conditionalFormatting>
  <conditionalFormatting sqref="C62">
    <cfRule type="cellIs" dxfId="2879" priority="3365" stopIfTrue="1" operator="equal">
      <formula>"Towel"</formula>
    </cfRule>
    <cfRule type="cellIs" dxfId="2878" priority="3366" stopIfTrue="1" operator="equal">
      <formula>"Napkin Hs"</formula>
    </cfRule>
  </conditionalFormatting>
  <conditionalFormatting sqref="B62:C62">
    <cfRule type="cellIs" dxfId="2877" priority="3361" stopIfTrue="1" operator="equal">
      <formula>"Towel"</formula>
    </cfRule>
    <cfRule type="cellIs" dxfId="2876" priority="3362" stopIfTrue="1" operator="equal">
      <formula>"Napkin Hs"</formula>
    </cfRule>
  </conditionalFormatting>
  <conditionalFormatting sqref="C62">
    <cfRule type="cellIs" dxfId="2875" priority="3359" stopIfTrue="1" operator="equal">
      <formula>"Towel"</formula>
    </cfRule>
    <cfRule type="cellIs" dxfId="2874" priority="3360" stopIfTrue="1" operator="equal">
      <formula>"Napkin Hs"</formula>
    </cfRule>
  </conditionalFormatting>
  <conditionalFormatting sqref="C62">
    <cfRule type="cellIs" dxfId="2873" priority="3357" stopIfTrue="1" operator="equal">
      <formula>"Towel"</formula>
    </cfRule>
    <cfRule type="cellIs" dxfId="2872" priority="3358" stopIfTrue="1" operator="equal">
      <formula>"Napkin Hs"</formula>
    </cfRule>
  </conditionalFormatting>
  <conditionalFormatting sqref="B62:C62">
    <cfRule type="cellIs" dxfId="2871" priority="3355" stopIfTrue="1" operator="equal">
      <formula>"Towel"</formula>
    </cfRule>
    <cfRule type="cellIs" dxfId="2870" priority="3356" stopIfTrue="1" operator="equal">
      <formula>"Napkin Hs"</formula>
    </cfRule>
  </conditionalFormatting>
  <conditionalFormatting sqref="C62">
    <cfRule type="cellIs" dxfId="2869" priority="3354" stopIfTrue="1" operator="equal">
      <formula>"Napkin Hs"</formula>
    </cfRule>
  </conditionalFormatting>
  <conditionalFormatting sqref="C62">
    <cfRule type="cellIs" dxfId="2868" priority="3351" stopIfTrue="1" operator="equal">
      <formula>"Towel"</formula>
    </cfRule>
    <cfRule type="cellIs" dxfId="2867" priority="3352" stopIfTrue="1" operator="equal">
      <formula>"Napkin Hs"</formula>
    </cfRule>
  </conditionalFormatting>
  <conditionalFormatting sqref="C62">
    <cfRule type="cellIs" dxfId="2866" priority="3353" stopIfTrue="1" operator="equal">
      <formula>"Towel"</formula>
    </cfRule>
  </conditionalFormatting>
  <conditionalFormatting sqref="B62:C62">
    <cfRule type="cellIs" dxfId="2865" priority="3349" stopIfTrue="1" operator="equal">
      <formula>"Towel"</formula>
    </cfRule>
    <cfRule type="cellIs" dxfId="2864" priority="3350" stopIfTrue="1" operator="equal">
      <formula>"Napkin Hs"</formula>
    </cfRule>
  </conditionalFormatting>
  <conditionalFormatting sqref="C62">
    <cfRule type="cellIs" dxfId="2863" priority="3348" stopIfTrue="1" operator="equal">
      <formula>"Napkin Hs"</formula>
    </cfRule>
  </conditionalFormatting>
  <conditionalFormatting sqref="C62">
    <cfRule type="cellIs" dxfId="2862" priority="3345" stopIfTrue="1" operator="equal">
      <formula>"Towel"</formula>
    </cfRule>
    <cfRule type="cellIs" dxfId="2861" priority="3346" stopIfTrue="1" operator="equal">
      <formula>"Napkin Hs"</formula>
    </cfRule>
  </conditionalFormatting>
  <conditionalFormatting sqref="C62">
    <cfRule type="cellIs" dxfId="2860" priority="3347" stopIfTrue="1" operator="equal">
      <formula>"Towel"</formula>
    </cfRule>
  </conditionalFormatting>
  <conditionalFormatting sqref="B62:C62">
    <cfRule type="cellIs" dxfId="2859" priority="3343" stopIfTrue="1" operator="equal">
      <formula>"Towel"</formula>
    </cfRule>
    <cfRule type="cellIs" dxfId="2858" priority="3344" stopIfTrue="1" operator="equal">
      <formula>"Napkin Hs"</formula>
    </cfRule>
  </conditionalFormatting>
  <conditionalFormatting sqref="C62">
    <cfRule type="cellIs" dxfId="2857" priority="3342" stopIfTrue="1" operator="equal">
      <formula>"Napkin Hs"</formula>
    </cfRule>
  </conditionalFormatting>
  <conditionalFormatting sqref="C62">
    <cfRule type="cellIs" dxfId="2856" priority="3339" stopIfTrue="1" operator="equal">
      <formula>"Towel"</formula>
    </cfRule>
    <cfRule type="cellIs" dxfId="2855" priority="3340" stopIfTrue="1" operator="equal">
      <formula>"Napkin Hs"</formula>
    </cfRule>
  </conditionalFormatting>
  <conditionalFormatting sqref="C62">
    <cfRule type="cellIs" dxfId="2854" priority="3341" stopIfTrue="1" operator="equal">
      <formula>"Towel"</formula>
    </cfRule>
  </conditionalFormatting>
  <conditionalFormatting sqref="B59:C59">
    <cfRule type="cellIs" dxfId="2853" priority="3337" stopIfTrue="1" operator="equal">
      <formula>"Towel"</formula>
    </cfRule>
    <cfRule type="cellIs" dxfId="2852" priority="3338" stopIfTrue="1" operator="equal">
      <formula>"Napkin Hs"</formula>
    </cfRule>
  </conditionalFormatting>
  <conditionalFormatting sqref="C59">
    <cfRule type="cellIs" dxfId="2851" priority="3336" stopIfTrue="1" operator="equal">
      <formula>"Napkin Hs"</formula>
    </cfRule>
  </conditionalFormatting>
  <conditionalFormatting sqref="C59">
    <cfRule type="cellIs" dxfId="2850" priority="3333" stopIfTrue="1" operator="equal">
      <formula>"Towel"</formula>
    </cfRule>
    <cfRule type="cellIs" dxfId="2849" priority="3334" stopIfTrue="1" operator="equal">
      <formula>"Napkin Hs"</formula>
    </cfRule>
  </conditionalFormatting>
  <conditionalFormatting sqref="C59">
    <cfRule type="cellIs" dxfId="2848" priority="3335" stopIfTrue="1" operator="equal">
      <formula>"Towel"</formula>
    </cfRule>
  </conditionalFormatting>
  <conditionalFormatting sqref="B59:C59">
    <cfRule type="cellIs" dxfId="2847" priority="3331" stopIfTrue="1" operator="equal">
      <formula>"Towel"</formula>
    </cfRule>
    <cfRule type="cellIs" dxfId="2846" priority="3332" stopIfTrue="1" operator="equal">
      <formula>"Napkin Hs"</formula>
    </cfRule>
  </conditionalFormatting>
  <conditionalFormatting sqref="C59">
    <cfRule type="cellIs" dxfId="2845" priority="3329" stopIfTrue="1" operator="equal">
      <formula>"Towel"</formula>
    </cfRule>
    <cfRule type="cellIs" dxfId="2844" priority="3330" stopIfTrue="1" operator="equal">
      <formula>"Napkin Hs"</formula>
    </cfRule>
  </conditionalFormatting>
  <conditionalFormatting sqref="C59">
    <cfRule type="cellIs" dxfId="2843" priority="3327" stopIfTrue="1" operator="equal">
      <formula>"Towel"</formula>
    </cfRule>
    <cfRule type="cellIs" dxfId="2842" priority="3328" stopIfTrue="1" operator="equal">
      <formula>"Napkin Hs"</formula>
    </cfRule>
  </conditionalFormatting>
  <conditionalFormatting sqref="B59:C59">
    <cfRule type="cellIs" dxfId="2841" priority="3325" stopIfTrue="1" operator="equal">
      <formula>"Towel"</formula>
    </cfRule>
    <cfRule type="cellIs" dxfId="2840" priority="3326" stopIfTrue="1" operator="equal">
      <formula>"Napkin Hs"</formula>
    </cfRule>
  </conditionalFormatting>
  <conditionalFormatting sqref="C59">
    <cfRule type="cellIs" dxfId="2839" priority="3323" stopIfTrue="1" operator="equal">
      <formula>"Towel"</formula>
    </cfRule>
    <cfRule type="cellIs" dxfId="2838" priority="3324" stopIfTrue="1" operator="equal">
      <formula>"Napkin Hs"</formula>
    </cfRule>
  </conditionalFormatting>
  <conditionalFormatting sqref="C59">
    <cfRule type="cellIs" dxfId="2837" priority="3321" stopIfTrue="1" operator="equal">
      <formula>"Towel"</formula>
    </cfRule>
    <cfRule type="cellIs" dxfId="2836" priority="3322" stopIfTrue="1" operator="equal">
      <formula>"Napkin Hs"</formula>
    </cfRule>
  </conditionalFormatting>
  <conditionalFormatting sqref="B59:C59">
    <cfRule type="cellIs" dxfId="2835" priority="3319" stopIfTrue="1" operator="equal">
      <formula>"Towel"</formula>
    </cfRule>
    <cfRule type="cellIs" dxfId="2834" priority="3320" stopIfTrue="1" operator="equal">
      <formula>"Napkin Hs"</formula>
    </cfRule>
  </conditionalFormatting>
  <conditionalFormatting sqref="C59">
    <cfRule type="cellIs" dxfId="2833" priority="3318" stopIfTrue="1" operator="equal">
      <formula>"Napkin Hs"</formula>
    </cfRule>
  </conditionalFormatting>
  <conditionalFormatting sqref="C59">
    <cfRule type="cellIs" dxfId="2832" priority="3315" stopIfTrue="1" operator="equal">
      <formula>"Towel"</formula>
    </cfRule>
    <cfRule type="cellIs" dxfId="2831" priority="3316" stopIfTrue="1" operator="equal">
      <formula>"Napkin Hs"</formula>
    </cfRule>
  </conditionalFormatting>
  <conditionalFormatting sqref="C59">
    <cfRule type="cellIs" dxfId="2830" priority="3317" stopIfTrue="1" operator="equal">
      <formula>"Towel"</formula>
    </cfRule>
  </conditionalFormatting>
  <conditionalFormatting sqref="B59:C59">
    <cfRule type="cellIs" dxfId="2829" priority="3313" stopIfTrue="1" operator="equal">
      <formula>"Towel"</formula>
    </cfRule>
    <cfRule type="cellIs" dxfId="2828" priority="3314" stopIfTrue="1" operator="equal">
      <formula>"Napkin Hs"</formula>
    </cfRule>
  </conditionalFormatting>
  <conditionalFormatting sqref="C59">
    <cfRule type="cellIs" dxfId="2827" priority="3312" stopIfTrue="1" operator="equal">
      <formula>"Napkin Hs"</formula>
    </cfRule>
  </conditionalFormatting>
  <conditionalFormatting sqref="C59">
    <cfRule type="cellIs" dxfId="2826" priority="3309" stopIfTrue="1" operator="equal">
      <formula>"Towel"</formula>
    </cfRule>
    <cfRule type="cellIs" dxfId="2825" priority="3310" stopIfTrue="1" operator="equal">
      <formula>"Napkin Hs"</formula>
    </cfRule>
  </conditionalFormatting>
  <conditionalFormatting sqref="C59">
    <cfRule type="cellIs" dxfId="2824" priority="3311" stopIfTrue="1" operator="equal">
      <formula>"Towel"</formula>
    </cfRule>
  </conditionalFormatting>
  <conditionalFormatting sqref="B59:C59">
    <cfRule type="cellIs" dxfId="2823" priority="3307" stopIfTrue="1" operator="equal">
      <formula>"Towel"</formula>
    </cfRule>
    <cfRule type="cellIs" dxfId="2822" priority="3308" stopIfTrue="1" operator="equal">
      <formula>"Napkin Hs"</formula>
    </cfRule>
  </conditionalFormatting>
  <conditionalFormatting sqref="C59">
    <cfRule type="cellIs" dxfId="2821" priority="3306" stopIfTrue="1" operator="equal">
      <formula>"Napkin Hs"</formula>
    </cfRule>
  </conditionalFormatting>
  <conditionalFormatting sqref="C59">
    <cfRule type="cellIs" dxfId="2820" priority="3303" stopIfTrue="1" operator="equal">
      <formula>"Towel"</formula>
    </cfRule>
    <cfRule type="cellIs" dxfId="2819" priority="3304" stopIfTrue="1" operator="equal">
      <formula>"Napkin Hs"</formula>
    </cfRule>
  </conditionalFormatting>
  <conditionalFormatting sqref="C59">
    <cfRule type="cellIs" dxfId="2818" priority="3305" stopIfTrue="1" operator="equal">
      <formula>"Towel"</formula>
    </cfRule>
  </conditionalFormatting>
  <conditionalFormatting sqref="B60:C60">
    <cfRule type="cellIs" dxfId="2817" priority="3301" stopIfTrue="1" operator="equal">
      <formula>"Towel"</formula>
    </cfRule>
    <cfRule type="cellIs" dxfId="2816" priority="3302" stopIfTrue="1" operator="equal">
      <formula>"Napkin Hs"</formula>
    </cfRule>
  </conditionalFormatting>
  <conditionalFormatting sqref="C60">
    <cfRule type="cellIs" dxfId="2815" priority="3300" stopIfTrue="1" operator="equal">
      <formula>"Napkin Hs"</formula>
    </cfRule>
  </conditionalFormatting>
  <conditionalFormatting sqref="C60">
    <cfRule type="cellIs" dxfId="2814" priority="3297" stopIfTrue="1" operator="equal">
      <formula>"Towel"</formula>
    </cfRule>
    <cfRule type="cellIs" dxfId="2813" priority="3298" stopIfTrue="1" operator="equal">
      <formula>"Napkin Hs"</formula>
    </cfRule>
  </conditionalFormatting>
  <conditionalFormatting sqref="C60">
    <cfRule type="cellIs" dxfId="2812" priority="3299" stopIfTrue="1" operator="equal">
      <formula>"Towel"</formula>
    </cfRule>
  </conditionalFormatting>
  <conditionalFormatting sqref="B60:C60">
    <cfRule type="cellIs" dxfId="2811" priority="3295" stopIfTrue="1" operator="equal">
      <formula>"Towel"</formula>
    </cfRule>
    <cfRule type="cellIs" dxfId="2810" priority="3296" stopIfTrue="1" operator="equal">
      <formula>"Napkin Hs"</formula>
    </cfRule>
  </conditionalFormatting>
  <conditionalFormatting sqref="C60">
    <cfRule type="cellIs" dxfId="2809" priority="3293" stopIfTrue="1" operator="equal">
      <formula>"Towel"</formula>
    </cfRule>
    <cfRule type="cellIs" dxfId="2808" priority="3294" stopIfTrue="1" operator="equal">
      <formula>"Napkin Hs"</formula>
    </cfRule>
  </conditionalFormatting>
  <conditionalFormatting sqref="C60">
    <cfRule type="cellIs" dxfId="2807" priority="3291" stopIfTrue="1" operator="equal">
      <formula>"Towel"</formula>
    </cfRule>
    <cfRule type="cellIs" dxfId="2806" priority="3292" stopIfTrue="1" operator="equal">
      <formula>"Napkin Hs"</formula>
    </cfRule>
  </conditionalFormatting>
  <conditionalFormatting sqref="B60:C60">
    <cfRule type="cellIs" dxfId="2805" priority="3289" stopIfTrue="1" operator="equal">
      <formula>"Towel"</formula>
    </cfRule>
    <cfRule type="cellIs" dxfId="2804" priority="3290" stopIfTrue="1" operator="equal">
      <formula>"Napkin Hs"</formula>
    </cfRule>
  </conditionalFormatting>
  <conditionalFormatting sqref="C60">
    <cfRule type="cellIs" dxfId="2803" priority="3287" stopIfTrue="1" operator="equal">
      <formula>"Towel"</formula>
    </cfRule>
    <cfRule type="cellIs" dxfId="2802" priority="3288" stopIfTrue="1" operator="equal">
      <formula>"Napkin Hs"</formula>
    </cfRule>
  </conditionalFormatting>
  <conditionalFormatting sqref="C60">
    <cfRule type="cellIs" dxfId="2801" priority="3285" stopIfTrue="1" operator="equal">
      <formula>"Towel"</formula>
    </cfRule>
    <cfRule type="cellIs" dxfId="2800" priority="3286" stopIfTrue="1" operator="equal">
      <formula>"Napkin Hs"</formula>
    </cfRule>
  </conditionalFormatting>
  <conditionalFormatting sqref="B60:C60">
    <cfRule type="cellIs" dxfId="2799" priority="3283" stopIfTrue="1" operator="equal">
      <formula>"Towel"</formula>
    </cfRule>
    <cfRule type="cellIs" dxfId="2798" priority="3284" stopIfTrue="1" operator="equal">
      <formula>"Napkin Hs"</formula>
    </cfRule>
  </conditionalFormatting>
  <conditionalFormatting sqref="C60">
    <cfRule type="cellIs" dxfId="2797" priority="3282" stopIfTrue="1" operator="equal">
      <formula>"Napkin Hs"</formula>
    </cfRule>
  </conditionalFormatting>
  <conditionalFormatting sqref="C60">
    <cfRule type="cellIs" dxfId="2796" priority="3279" stopIfTrue="1" operator="equal">
      <formula>"Towel"</formula>
    </cfRule>
    <cfRule type="cellIs" dxfId="2795" priority="3280" stopIfTrue="1" operator="equal">
      <formula>"Napkin Hs"</formula>
    </cfRule>
  </conditionalFormatting>
  <conditionalFormatting sqref="C60">
    <cfRule type="cellIs" dxfId="2794" priority="3281" stopIfTrue="1" operator="equal">
      <formula>"Towel"</formula>
    </cfRule>
  </conditionalFormatting>
  <conditionalFormatting sqref="B60:C60">
    <cfRule type="cellIs" dxfId="2793" priority="3277" stopIfTrue="1" operator="equal">
      <formula>"Towel"</formula>
    </cfRule>
    <cfRule type="cellIs" dxfId="2792" priority="3278" stopIfTrue="1" operator="equal">
      <formula>"Napkin Hs"</formula>
    </cfRule>
  </conditionalFormatting>
  <conditionalFormatting sqref="C60">
    <cfRule type="cellIs" dxfId="2791" priority="3276" stopIfTrue="1" operator="equal">
      <formula>"Napkin Hs"</formula>
    </cfRule>
  </conditionalFormatting>
  <conditionalFormatting sqref="C60">
    <cfRule type="cellIs" dxfId="2790" priority="3273" stopIfTrue="1" operator="equal">
      <formula>"Towel"</formula>
    </cfRule>
    <cfRule type="cellIs" dxfId="2789" priority="3274" stopIfTrue="1" operator="equal">
      <formula>"Napkin Hs"</formula>
    </cfRule>
  </conditionalFormatting>
  <conditionalFormatting sqref="C60">
    <cfRule type="cellIs" dxfId="2788" priority="3275" stopIfTrue="1" operator="equal">
      <formula>"Towel"</formula>
    </cfRule>
  </conditionalFormatting>
  <conditionalFormatting sqref="B60:C60">
    <cfRule type="cellIs" dxfId="2787" priority="3271" stopIfTrue="1" operator="equal">
      <formula>"Towel"</formula>
    </cfRule>
    <cfRule type="cellIs" dxfId="2786" priority="3272" stopIfTrue="1" operator="equal">
      <formula>"Napkin Hs"</formula>
    </cfRule>
  </conditionalFormatting>
  <conditionalFormatting sqref="C60">
    <cfRule type="cellIs" dxfId="2785" priority="3270" stopIfTrue="1" operator="equal">
      <formula>"Napkin Hs"</formula>
    </cfRule>
  </conditionalFormatting>
  <conditionalFormatting sqref="C60">
    <cfRule type="cellIs" dxfId="2784" priority="3267" stopIfTrue="1" operator="equal">
      <formula>"Towel"</formula>
    </cfRule>
    <cfRule type="cellIs" dxfId="2783" priority="3268" stopIfTrue="1" operator="equal">
      <formula>"Napkin Hs"</formula>
    </cfRule>
  </conditionalFormatting>
  <conditionalFormatting sqref="C60">
    <cfRule type="cellIs" dxfId="2782" priority="3269" stopIfTrue="1" operator="equal">
      <formula>"Towel"</formula>
    </cfRule>
  </conditionalFormatting>
  <conditionalFormatting sqref="B61:C61">
    <cfRule type="cellIs" dxfId="2781" priority="3265" stopIfTrue="1" operator="equal">
      <formula>"Towel"</formula>
    </cfRule>
    <cfRule type="cellIs" dxfId="2780" priority="3266" stopIfTrue="1" operator="equal">
      <formula>"Napkin Hs"</formula>
    </cfRule>
  </conditionalFormatting>
  <conditionalFormatting sqref="C61">
    <cfRule type="cellIs" dxfId="2779" priority="3264" stopIfTrue="1" operator="equal">
      <formula>"Napkin Hs"</formula>
    </cfRule>
  </conditionalFormatting>
  <conditionalFormatting sqref="C61">
    <cfRule type="cellIs" dxfId="2778" priority="3261" stopIfTrue="1" operator="equal">
      <formula>"Towel"</formula>
    </cfRule>
    <cfRule type="cellIs" dxfId="2777" priority="3262" stopIfTrue="1" operator="equal">
      <formula>"Napkin Hs"</formula>
    </cfRule>
  </conditionalFormatting>
  <conditionalFormatting sqref="C61">
    <cfRule type="cellIs" dxfId="2776" priority="3263" stopIfTrue="1" operator="equal">
      <formula>"Towel"</formula>
    </cfRule>
  </conditionalFormatting>
  <conditionalFormatting sqref="B61:C61">
    <cfRule type="cellIs" dxfId="2775" priority="3259" stopIfTrue="1" operator="equal">
      <formula>"Towel"</formula>
    </cfRule>
    <cfRule type="cellIs" dxfId="2774" priority="3260" stopIfTrue="1" operator="equal">
      <formula>"Napkin Hs"</formula>
    </cfRule>
  </conditionalFormatting>
  <conditionalFormatting sqref="C61">
    <cfRule type="cellIs" dxfId="2773" priority="3257" stopIfTrue="1" operator="equal">
      <formula>"Towel"</formula>
    </cfRule>
    <cfRule type="cellIs" dxfId="2772" priority="3258" stopIfTrue="1" operator="equal">
      <formula>"Napkin Hs"</formula>
    </cfRule>
  </conditionalFormatting>
  <conditionalFormatting sqref="C61">
    <cfRule type="cellIs" dxfId="2771" priority="3255" stopIfTrue="1" operator="equal">
      <formula>"Towel"</formula>
    </cfRule>
    <cfRule type="cellIs" dxfId="2770" priority="3256" stopIfTrue="1" operator="equal">
      <formula>"Napkin Hs"</formula>
    </cfRule>
  </conditionalFormatting>
  <conditionalFormatting sqref="B61:C61">
    <cfRule type="cellIs" dxfId="2769" priority="3253" stopIfTrue="1" operator="equal">
      <formula>"Towel"</formula>
    </cfRule>
    <cfRule type="cellIs" dxfId="2768" priority="3254" stopIfTrue="1" operator="equal">
      <formula>"Napkin Hs"</formula>
    </cfRule>
  </conditionalFormatting>
  <conditionalFormatting sqref="C61">
    <cfRule type="cellIs" dxfId="2767" priority="3251" stopIfTrue="1" operator="equal">
      <formula>"Towel"</formula>
    </cfRule>
    <cfRule type="cellIs" dxfId="2766" priority="3252" stopIfTrue="1" operator="equal">
      <formula>"Napkin Hs"</formula>
    </cfRule>
  </conditionalFormatting>
  <conditionalFormatting sqref="C61">
    <cfRule type="cellIs" dxfId="2765" priority="3249" stopIfTrue="1" operator="equal">
      <formula>"Towel"</formula>
    </cfRule>
    <cfRule type="cellIs" dxfId="2764" priority="3250" stopIfTrue="1" operator="equal">
      <formula>"Napkin Hs"</formula>
    </cfRule>
  </conditionalFormatting>
  <conditionalFormatting sqref="B61:C61">
    <cfRule type="cellIs" dxfId="2763" priority="3247" stopIfTrue="1" operator="equal">
      <formula>"Towel"</formula>
    </cfRule>
    <cfRule type="cellIs" dxfId="2762" priority="3248" stopIfTrue="1" operator="equal">
      <formula>"Napkin Hs"</formula>
    </cfRule>
  </conditionalFormatting>
  <conditionalFormatting sqref="C61">
    <cfRule type="cellIs" dxfId="2761" priority="3246" stopIfTrue="1" operator="equal">
      <formula>"Napkin Hs"</formula>
    </cfRule>
  </conditionalFormatting>
  <conditionalFormatting sqref="C61">
    <cfRule type="cellIs" dxfId="2760" priority="3243" stopIfTrue="1" operator="equal">
      <formula>"Towel"</formula>
    </cfRule>
    <cfRule type="cellIs" dxfId="2759" priority="3244" stopIfTrue="1" operator="equal">
      <formula>"Napkin Hs"</formula>
    </cfRule>
  </conditionalFormatting>
  <conditionalFormatting sqref="C61">
    <cfRule type="cellIs" dxfId="2758" priority="3245" stopIfTrue="1" operator="equal">
      <formula>"Towel"</formula>
    </cfRule>
  </conditionalFormatting>
  <conditionalFormatting sqref="B61:C61">
    <cfRule type="cellIs" dxfId="2757" priority="3241" stopIfTrue="1" operator="equal">
      <formula>"Towel"</formula>
    </cfRule>
    <cfRule type="cellIs" dxfId="2756" priority="3242" stopIfTrue="1" operator="equal">
      <formula>"Napkin Hs"</formula>
    </cfRule>
  </conditionalFormatting>
  <conditionalFormatting sqref="C61">
    <cfRule type="cellIs" dxfId="2755" priority="3240" stopIfTrue="1" operator="equal">
      <formula>"Napkin Hs"</formula>
    </cfRule>
  </conditionalFormatting>
  <conditionalFormatting sqref="C61">
    <cfRule type="cellIs" dxfId="2754" priority="3237" stopIfTrue="1" operator="equal">
      <formula>"Towel"</formula>
    </cfRule>
    <cfRule type="cellIs" dxfId="2753" priority="3238" stopIfTrue="1" operator="equal">
      <formula>"Napkin Hs"</formula>
    </cfRule>
  </conditionalFormatting>
  <conditionalFormatting sqref="C61">
    <cfRule type="cellIs" dxfId="2752" priority="3239" stopIfTrue="1" operator="equal">
      <formula>"Towel"</formula>
    </cfRule>
  </conditionalFormatting>
  <conditionalFormatting sqref="B61:C61">
    <cfRule type="cellIs" dxfId="2751" priority="3235" stopIfTrue="1" operator="equal">
      <formula>"Towel"</formula>
    </cfRule>
    <cfRule type="cellIs" dxfId="2750" priority="3236" stopIfTrue="1" operator="equal">
      <formula>"Napkin Hs"</formula>
    </cfRule>
  </conditionalFormatting>
  <conditionalFormatting sqref="C61">
    <cfRule type="cellIs" dxfId="2749" priority="3234" stopIfTrue="1" operator="equal">
      <formula>"Napkin Hs"</formula>
    </cfRule>
  </conditionalFormatting>
  <conditionalFormatting sqref="C61">
    <cfRule type="cellIs" dxfId="2748" priority="3231" stopIfTrue="1" operator="equal">
      <formula>"Towel"</formula>
    </cfRule>
    <cfRule type="cellIs" dxfId="2747" priority="3232" stopIfTrue="1" operator="equal">
      <formula>"Napkin Hs"</formula>
    </cfRule>
  </conditionalFormatting>
  <conditionalFormatting sqref="C61">
    <cfRule type="cellIs" dxfId="2746" priority="3233" stopIfTrue="1" operator="equal">
      <formula>"Towel"</formula>
    </cfRule>
  </conditionalFormatting>
  <conditionalFormatting sqref="B68:C68">
    <cfRule type="cellIs" dxfId="2745" priority="3229" stopIfTrue="1" operator="equal">
      <formula>"Towel"</formula>
    </cfRule>
    <cfRule type="cellIs" dxfId="2744" priority="3230" stopIfTrue="1" operator="equal">
      <formula>"Napkin Hs"</formula>
    </cfRule>
  </conditionalFormatting>
  <conditionalFormatting sqref="C68">
    <cfRule type="cellIs" dxfId="2743" priority="3228" stopIfTrue="1" operator="equal">
      <formula>"Napkin Hs"</formula>
    </cfRule>
  </conditionalFormatting>
  <conditionalFormatting sqref="C68">
    <cfRule type="cellIs" dxfId="2742" priority="3225" stopIfTrue="1" operator="equal">
      <formula>"Towel"</formula>
    </cfRule>
    <cfRule type="cellIs" dxfId="2741" priority="3226" stopIfTrue="1" operator="equal">
      <formula>"Napkin Hs"</formula>
    </cfRule>
  </conditionalFormatting>
  <conditionalFormatting sqref="C68">
    <cfRule type="cellIs" dxfId="2740" priority="3227" stopIfTrue="1" operator="equal">
      <formula>"Towel"</formula>
    </cfRule>
  </conditionalFormatting>
  <conditionalFormatting sqref="B66:C66">
    <cfRule type="cellIs" dxfId="2739" priority="3223" stopIfTrue="1" operator="equal">
      <formula>"Towel"</formula>
    </cfRule>
    <cfRule type="cellIs" dxfId="2738" priority="3224" stopIfTrue="1" operator="equal">
      <formula>"Napkin Hs"</formula>
    </cfRule>
  </conditionalFormatting>
  <conditionalFormatting sqref="C66">
    <cfRule type="cellIs" dxfId="2737" priority="3219" stopIfTrue="1" operator="equal">
      <formula>"Towel"</formula>
    </cfRule>
    <cfRule type="cellIs" dxfId="2736" priority="3220" stopIfTrue="1" operator="equal">
      <formula>"Napkin Hs"</formula>
    </cfRule>
  </conditionalFormatting>
  <conditionalFormatting sqref="C66">
    <cfRule type="cellIs" dxfId="2735" priority="3221" stopIfTrue="1" operator="equal">
      <formula>"Towel"</formula>
    </cfRule>
    <cfRule type="cellIs" dxfId="2734" priority="3222" stopIfTrue="1" operator="equal">
      <formula>"Napkin Hs"</formula>
    </cfRule>
  </conditionalFormatting>
  <conditionalFormatting sqref="B66:C66">
    <cfRule type="cellIs" dxfId="2733" priority="3217" stopIfTrue="1" operator="equal">
      <formula>"Towel"</formula>
    </cfRule>
    <cfRule type="cellIs" dxfId="2732" priority="3218" stopIfTrue="1" operator="equal">
      <formula>"Napkin Hs"</formula>
    </cfRule>
  </conditionalFormatting>
  <conditionalFormatting sqref="C66">
    <cfRule type="cellIs" dxfId="2731" priority="3215" stopIfTrue="1" operator="equal">
      <formula>"Towel"</formula>
    </cfRule>
    <cfRule type="cellIs" dxfId="2730" priority="3216" stopIfTrue="1" operator="equal">
      <formula>"Napkin Hs"</formula>
    </cfRule>
  </conditionalFormatting>
  <conditionalFormatting sqref="C66">
    <cfRule type="cellIs" dxfId="2729" priority="3213" stopIfTrue="1" operator="equal">
      <formula>"Towel"</formula>
    </cfRule>
    <cfRule type="cellIs" dxfId="2728" priority="3214" stopIfTrue="1" operator="equal">
      <formula>"Napkin Hs"</formula>
    </cfRule>
  </conditionalFormatting>
  <conditionalFormatting sqref="B66:C66">
    <cfRule type="cellIs" dxfId="2727" priority="3211" stopIfTrue="1" operator="equal">
      <formula>"Towel"</formula>
    </cfRule>
    <cfRule type="cellIs" dxfId="2726" priority="3212" stopIfTrue="1" operator="equal">
      <formula>"Napkin Hs"</formula>
    </cfRule>
  </conditionalFormatting>
  <conditionalFormatting sqref="C66">
    <cfRule type="cellIs" dxfId="2725" priority="3210" stopIfTrue="1" operator="equal">
      <formula>"Napkin Hs"</formula>
    </cfRule>
  </conditionalFormatting>
  <conditionalFormatting sqref="C66">
    <cfRule type="cellIs" dxfId="2724" priority="3207" stopIfTrue="1" operator="equal">
      <formula>"Towel"</formula>
    </cfRule>
    <cfRule type="cellIs" dxfId="2723" priority="3208" stopIfTrue="1" operator="equal">
      <formula>"Napkin Hs"</formula>
    </cfRule>
  </conditionalFormatting>
  <conditionalFormatting sqref="C66">
    <cfRule type="cellIs" dxfId="2722" priority="3209" stopIfTrue="1" operator="equal">
      <formula>"Towel"</formula>
    </cfRule>
  </conditionalFormatting>
  <conditionalFormatting sqref="B66:C66">
    <cfRule type="cellIs" dxfId="2721" priority="3205" stopIfTrue="1" operator="equal">
      <formula>"Towel"</formula>
    </cfRule>
    <cfRule type="cellIs" dxfId="2720" priority="3206" stopIfTrue="1" operator="equal">
      <formula>"Napkin Hs"</formula>
    </cfRule>
  </conditionalFormatting>
  <conditionalFormatting sqref="C66">
    <cfRule type="cellIs" dxfId="2719" priority="3204" stopIfTrue="1" operator="equal">
      <formula>"Napkin Hs"</formula>
    </cfRule>
  </conditionalFormatting>
  <conditionalFormatting sqref="C66">
    <cfRule type="cellIs" dxfId="2718" priority="3201" stopIfTrue="1" operator="equal">
      <formula>"Towel"</formula>
    </cfRule>
    <cfRule type="cellIs" dxfId="2717" priority="3202" stopIfTrue="1" operator="equal">
      <formula>"Napkin Hs"</formula>
    </cfRule>
  </conditionalFormatting>
  <conditionalFormatting sqref="C66">
    <cfRule type="cellIs" dxfId="2716" priority="3203" stopIfTrue="1" operator="equal">
      <formula>"Towel"</formula>
    </cfRule>
  </conditionalFormatting>
  <conditionalFormatting sqref="B66:C66">
    <cfRule type="cellIs" dxfId="2715" priority="3199" stopIfTrue="1" operator="equal">
      <formula>"Towel"</formula>
    </cfRule>
    <cfRule type="cellIs" dxfId="2714" priority="3200" stopIfTrue="1" operator="equal">
      <formula>"Napkin Hs"</formula>
    </cfRule>
  </conditionalFormatting>
  <conditionalFormatting sqref="C66">
    <cfRule type="cellIs" dxfId="2713" priority="3198" stopIfTrue="1" operator="equal">
      <formula>"Napkin Hs"</formula>
    </cfRule>
  </conditionalFormatting>
  <conditionalFormatting sqref="C66">
    <cfRule type="cellIs" dxfId="2712" priority="3195" stopIfTrue="1" operator="equal">
      <formula>"Towel"</formula>
    </cfRule>
    <cfRule type="cellIs" dxfId="2711" priority="3196" stopIfTrue="1" operator="equal">
      <formula>"Napkin Hs"</formula>
    </cfRule>
  </conditionalFormatting>
  <conditionalFormatting sqref="C66">
    <cfRule type="cellIs" dxfId="2710" priority="3197" stopIfTrue="1" operator="equal">
      <formula>"Towel"</formula>
    </cfRule>
  </conditionalFormatting>
  <conditionalFormatting sqref="C65">
    <cfRule type="cellIs" dxfId="2709" priority="3193" stopIfTrue="1" operator="equal">
      <formula>"Towel"</formula>
    </cfRule>
    <cfRule type="cellIs" dxfId="2708" priority="3194" stopIfTrue="1" operator="equal">
      <formula>"Napkin Hs"</formula>
    </cfRule>
  </conditionalFormatting>
  <conditionalFormatting sqref="C65">
    <cfRule type="cellIs" dxfId="2707" priority="3192" stopIfTrue="1" operator="equal">
      <formula>"Napkin Hs"</formula>
    </cfRule>
  </conditionalFormatting>
  <conditionalFormatting sqref="C65">
    <cfRule type="cellIs" dxfId="2706" priority="3189" stopIfTrue="1" operator="equal">
      <formula>"Towel"</formula>
    </cfRule>
    <cfRule type="cellIs" dxfId="2705" priority="3190" stopIfTrue="1" operator="equal">
      <formula>"Napkin Hs"</formula>
    </cfRule>
  </conditionalFormatting>
  <conditionalFormatting sqref="C65">
    <cfRule type="cellIs" dxfId="2704" priority="3191" stopIfTrue="1" operator="equal">
      <formula>"Towel"</formula>
    </cfRule>
  </conditionalFormatting>
  <conditionalFormatting sqref="C65">
    <cfRule type="cellIs" dxfId="2703" priority="3187" stopIfTrue="1" operator="equal">
      <formula>"Towel"</formula>
    </cfRule>
    <cfRule type="cellIs" dxfId="2702" priority="3188" stopIfTrue="1" operator="equal">
      <formula>"Napkin Hs"</formula>
    </cfRule>
  </conditionalFormatting>
  <conditionalFormatting sqref="C65">
    <cfRule type="cellIs" dxfId="2701" priority="3185" stopIfTrue="1" operator="equal">
      <formula>"Towel"</formula>
    </cfRule>
    <cfRule type="cellIs" dxfId="2700" priority="3186" stopIfTrue="1" operator="equal">
      <formula>"Napkin Hs"</formula>
    </cfRule>
  </conditionalFormatting>
  <conditionalFormatting sqref="C65">
    <cfRule type="cellIs" dxfId="2699" priority="3183" stopIfTrue="1" operator="equal">
      <formula>"Towel"</formula>
    </cfRule>
    <cfRule type="cellIs" dxfId="2698" priority="3184" stopIfTrue="1" operator="equal">
      <formula>"Napkin Hs"</formula>
    </cfRule>
  </conditionalFormatting>
  <conditionalFormatting sqref="C65">
    <cfRule type="cellIs" dxfId="2697" priority="3181" stopIfTrue="1" operator="equal">
      <formula>"Towel"</formula>
    </cfRule>
    <cfRule type="cellIs" dxfId="2696" priority="3182" stopIfTrue="1" operator="equal">
      <formula>"Napkin Hs"</formula>
    </cfRule>
  </conditionalFormatting>
  <conditionalFormatting sqref="C65">
    <cfRule type="cellIs" dxfId="2695" priority="3179" stopIfTrue="1" operator="equal">
      <formula>"Towel"</formula>
    </cfRule>
    <cfRule type="cellIs" dxfId="2694" priority="3180" stopIfTrue="1" operator="equal">
      <formula>"Napkin Hs"</formula>
    </cfRule>
  </conditionalFormatting>
  <conditionalFormatting sqref="C65">
    <cfRule type="cellIs" dxfId="2693" priority="3177" stopIfTrue="1" operator="equal">
      <formula>"Towel"</formula>
    </cfRule>
    <cfRule type="cellIs" dxfId="2692" priority="3178" stopIfTrue="1" operator="equal">
      <formula>"Napkin Hs"</formula>
    </cfRule>
  </conditionalFormatting>
  <conditionalFormatting sqref="C65">
    <cfRule type="cellIs" dxfId="2691" priority="3175" stopIfTrue="1" operator="equal">
      <formula>"Towel"</formula>
    </cfRule>
    <cfRule type="cellIs" dxfId="2690" priority="3176" stopIfTrue="1" operator="equal">
      <formula>"Napkin Hs"</formula>
    </cfRule>
  </conditionalFormatting>
  <conditionalFormatting sqref="C65">
    <cfRule type="cellIs" dxfId="2689" priority="3174" stopIfTrue="1" operator="equal">
      <formula>"Napkin Hs"</formula>
    </cfRule>
  </conditionalFormatting>
  <conditionalFormatting sqref="C65">
    <cfRule type="cellIs" dxfId="2688" priority="3171" stopIfTrue="1" operator="equal">
      <formula>"Towel"</formula>
    </cfRule>
    <cfRule type="cellIs" dxfId="2687" priority="3172" stopIfTrue="1" operator="equal">
      <formula>"Napkin Hs"</formula>
    </cfRule>
  </conditionalFormatting>
  <conditionalFormatting sqref="C65">
    <cfRule type="cellIs" dxfId="2686" priority="3173" stopIfTrue="1" operator="equal">
      <formula>"Towel"</formula>
    </cfRule>
  </conditionalFormatting>
  <conditionalFormatting sqref="C65">
    <cfRule type="cellIs" dxfId="2685" priority="3169" stopIfTrue="1" operator="equal">
      <formula>"Towel"</formula>
    </cfRule>
    <cfRule type="cellIs" dxfId="2684" priority="3170" stopIfTrue="1" operator="equal">
      <formula>"Napkin Hs"</formula>
    </cfRule>
  </conditionalFormatting>
  <conditionalFormatting sqref="C65">
    <cfRule type="cellIs" dxfId="2683" priority="3168" stopIfTrue="1" operator="equal">
      <formula>"Napkin Hs"</formula>
    </cfRule>
  </conditionalFormatting>
  <conditionalFormatting sqref="C65">
    <cfRule type="cellIs" dxfId="2682" priority="3165" stopIfTrue="1" operator="equal">
      <formula>"Towel"</formula>
    </cfRule>
    <cfRule type="cellIs" dxfId="2681" priority="3166" stopIfTrue="1" operator="equal">
      <formula>"Napkin Hs"</formula>
    </cfRule>
  </conditionalFormatting>
  <conditionalFormatting sqref="C65">
    <cfRule type="cellIs" dxfId="2680" priority="3167" stopIfTrue="1" operator="equal">
      <formula>"Towel"</formula>
    </cfRule>
  </conditionalFormatting>
  <conditionalFormatting sqref="C65">
    <cfRule type="cellIs" dxfId="2679" priority="3163" stopIfTrue="1" operator="equal">
      <formula>"Towel"</formula>
    </cfRule>
    <cfRule type="cellIs" dxfId="2678" priority="3164" stopIfTrue="1" operator="equal">
      <formula>"Napkin Hs"</formula>
    </cfRule>
  </conditionalFormatting>
  <conditionalFormatting sqref="C65">
    <cfRule type="cellIs" dxfId="2677" priority="3162" stopIfTrue="1" operator="equal">
      <formula>"Napkin Hs"</formula>
    </cfRule>
  </conditionalFormatting>
  <conditionalFormatting sqref="C65">
    <cfRule type="cellIs" dxfId="2676" priority="3159" stopIfTrue="1" operator="equal">
      <formula>"Towel"</formula>
    </cfRule>
    <cfRule type="cellIs" dxfId="2675" priority="3160" stopIfTrue="1" operator="equal">
      <formula>"Napkin Hs"</formula>
    </cfRule>
  </conditionalFormatting>
  <conditionalFormatting sqref="C65">
    <cfRule type="cellIs" dxfId="2674" priority="3161" stopIfTrue="1" operator="equal">
      <formula>"Towel"</formula>
    </cfRule>
  </conditionalFormatting>
  <conditionalFormatting sqref="B63:C63">
    <cfRule type="cellIs" dxfId="2673" priority="3157" stopIfTrue="1" operator="equal">
      <formula>"Towel"</formula>
    </cfRule>
    <cfRule type="cellIs" dxfId="2672" priority="3158" stopIfTrue="1" operator="equal">
      <formula>"Napkin Hs"</formula>
    </cfRule>
  </conditionalFormatting>
  <conditionalFormatting sqref="C63">
    <cfRule type="cellIs" dxfId="2671" priority="3156" stopIfTrue="1" operator="equal">
      <formula>"Napkin Hs"</formula>
    </cfRule>
  </conditionalFormatting>
  <conditionalFormatting sqref="C63">
    <cfRule type="cellIs" dxfId="2670" priority="3153" stopIfTrue="1" operator="equal">
      <formula>"Towel"</formula>
    </cfRule>
    <cfRule type="cellIs" dxfId="2669" priority="3154" stopIfTrue="1" operator="equal">
      <formula>"Napkin Hs"</formula>
    </cfRule>
  </conditionalFormatting>
  <conditionalFormatting sqref="C63">
    <cfRule type="cellIs" dxfId="2668" priority="3155" stopIfTrue="1" operator="equal">
      <formula>"Towel"</formula>
    </cfRule>
  </conditionalFormatting>
  <conditionalFormatting sqref="B63:C63">
    <cfRule type="cellIs" dxfId="2667" priority="3151" stopIfTrue="1" operator="equal">
      <formula>"Towel"</formula>
    </cfRule>
    <cfRule type="cellIs" dxfId="2666" priority="3152" stopIfTrue="1" operator="equal">
      <formula>"Napkin Hs"</formula>
    </cfRule>
  </conditionalFormatting>
  <conditionalFormatting sqref="C63">
    <cfRule type="cellIs" dxfId="2665" priority="3150" stopIfTrue="1" operator="equal">
      <formula>"Napkin Hs"</formula>
    </cfRule>
  </conditionalFormatting>
  <conditionalFormatting sqref="C63">
    <cfRule type="cellIs" dxfId="2664" priority="3147" stopIfTrue="1" operator="equal">
      <formula>"Towel"</formula>
    </cfRule>
    <cfRule type="cellIs" dxfId="2663" priority="3148" stopIfTrue="1" operator="equal">
      <formula>"Napkin Hs"</formula>
    </cfRule>
  </conditionalFormatting>
  <conditionalFormatting sqref="C63">
    <cfRule type="cellIs" dxfId="2662" priority="3149" stopIfTrue="1" operator="equal">
      <formula>"Towel"</formula>
    </cfRule>
  </conditionalFormatting>
  <conditionalFormatting sqref="B63:C63">
    <cfRule type="cellIs" dxfId="2661" priority="3145" stopIfTrue="1" operator="equal">
      <formula>"Towel"</formula>
    </cfRule>
    <cfRule type="cellIs" dxfId="2660" priority="3146" stopIfTrue="1" operator="equal">
      <formula>"Napkin Hs"</formula>
    </cfRule>
  </conditionalFormatting>
  <conditionalFormatting sqref="C63">
    <cfRule type="cellIs" dxfId="2659" priority="3143" stopIfTrue="1" operator="equal">
      <formula>"Towel"</formula>
    </cfRule>
    <cfRule type="cellIs" dxfId="2658" priority="3144" stopIfTrue="1" operator="equal">
      <formula>"Napkin Hs"</formula>
    </cfRule>
  </conditionalFormatting>
  <conditionalFormatting sqref="C63">
    <cfRule type="cellIs" dxfId="2657" priority="3141" stopIfTrue="1" operator="equal">
      <formula>"Towel"</formula>
    </cfRule>
    <cfRule type="cellIs" dxfId="2656" priority="3142" stopIfTrue="1" operator="equal">
      <formula>"Napkin Hs"</formula>
    </cfRule>
  </conditionalFormatting>
  <conditionalFormatting sqref="B63:C63">
    <cfRule type="cellIs" dxfId="2655" priority="3139" stopIfTrue="1" operator="equal">
      <formula>"Towel"</formula>
    </cfRule>
    <cfRule type="cellIs" dxfId="2654" priority="3140" stopIfTrue="1" operator="equal">
      <formula>"Napkin Hs"</formula>
    </cfRule>
  </conditionalFormatting>
  <conditionalFormatting sqref="C63">
    <cfRule type="cellIs" dxfId="2653" priority="3137" stopIfTrue="1" operator="equal">
      <formula>"Towel"</formula>
    </cfRule>
    <cfRule type="cellIs" dxfId="2652" priority="3138" stopIfTrue="1" operator="equal">
      <formula>"Napkin Hs"</formula>
    </cfRule>
  </conditionalFormatting>
  <conditionalFormatting sqref="C63">
    <cfRule type="cellIs" dxfId="2651" priority="3135" stopIfTrue="1" operator="equal">
      <formula>"Towel"</formula>
    </cfRule>
    <cfRule type="cellIs" dxfId="2650" priority="3136" stopIfTrue="1" operator="equal">
      <formula>"Napkin Hs"</formula>
    </cfRule>
  </conditionalFormatting>
  <conditionalFormatting sqref="B63:C63">
    <cfRule type="cellIs" dxfId="2649" priority="3133" stopIfTrue="1" operator="equal">
      <formula>"Towel"</formula>
    </cfRule>
    <cfRule type="cellIs" dxfId="2648" priority="3134" stopIfTrue="1" operator="equal">
      <formula>"Napkin Hs"</formula>
    </cfRule>
  </conditionalFormatting>
  <conditionalFormatting sqref="C63">
    <cfRule type="cellIs" dxfId="2647" priority="3132" stopIfTrue="1" operator="equal">
      <formula>"Napkin Hs"</formula>
    </cfRule>
  </conditionalFormatting>
  <conditionalFormatting sqref="C63">
    <cfRule type="cellIs" dxfId="2646" priority="3129" stopIfTrue="1" operator="equal">
      <formula>"Towel"</formula>
    </cfRule>
    <cfRule type="cellIs" dxfId="2645" priority="3130" stopIfTrue="1" operator="equal">
      <formula>"Napkin Hs"</formula>
    </cfRule>
  </conditionalFormatting>
  <conditionalFormatting sqref="C63">
    <cfRule type="cellIs" dxfId="2644" priority="3131" stopIfTrue="1" operator="equal">
      <formula>"Towel"</formula>
    </cfRule>
  </conditionalFormatting>
  <conditionalFormatting sqref="B63:C63">
    <cfRule type="cellIs" dxfId="2643" priority="3127" stopIfTrue="1" operator="equal">
      <formula>"Towel"</formula>
    </cfRule>
    <cfRule type="cellIs" dxfId="2642" priority="3128" stopIfTrue="1" operator="equal">
      <formula>"Napkin Hs"</formula>
    </cfRule>
  </conditionalFormatting>
  <conditionalFormatting sqref="C63">
    <cfRule type="cellIs" dxfId="2641" priority="3126" stopIfTrue="1" operator="equal">
      <formula>"Napkin Hs"</formula>
    </cfRule>
  </conditionalFormatting>
  <conditionalFormatting sqref="C63">
    <cfRule type="cellIs" dxfId="2640" priority="3123" stopIfTrue="1" operator="equal">
      <formula>"Towel"</formula>
    </cfRule>
    <cfRule type="cellIs" dxfId="2639" priority="3124" stopIfTrue="1" operator="equal">
      <formula>"Napkin Hs"</formula>
    </cfRule>
  </conditionalFormatting>
  <conditionalFormatting sqref="C63">
    <cfRule type="cellIs" dxfId="2638" priority="3125" stopIfTrue="1" operator="equal">
      <formula>"Towel"</formula>
    </cfRule>
  </conditionalFormatting>
  <conditionalFormatting sqref="B63:C63">
    <cfRule type="cellIs" dxfId="2637" priority="3121" stopIfTrue="1" operator="equal">
      <formula>"Towel"</formula>
    </cfRule>
    <cfRule type="cellIs" dxfId="2636" priority="3122" stopIfTrue="1" operator="equal">
      <formula>"Napkin Hs"</formula>
    </cfRule>
  </conditionalFormatting>
  <conditionalFormatting sqref="C63">
    <cfRule type="cellIs" dxfId="2635" priority="3120" stopIfTrue="1" operator="equal">
      <formula>"Napkin Hs"</formula>
    </cfRule>
  </conditionalFormatting>
  <conditionalFormatting sqref="C63">
    <cfRule type="cellIs" dxfId="2634" priority="3117" stopIfTrue="1" operator="equal">
      <formula>"Towel"</formula>
    </cfRule>
    <cfRule type="cellIs" dxfId="2633" priority="3118" stopIfTrue="1" operator="equal">
      <formula>"Napkin Hs"</formula>
    </cfRule>
  </conditionalFormatting>
  <conditionalFormatting sqref="C63">
    <cfRule type="cellIs" dxfId="2632" priority="3119" stopIfTrue="1" operator="equal">
      <formula>"Towel"</formula>
    </cfRule>
  </conditionalFormatting>
  <conditionalFormatting sqref="B64:C64 B65">
    <cfRule type="cellIs" dxfId="2631" priority="3115" stopIfTrue="1" operator="equal">
      <formula>"Towel"</formula>
    </cfRule>
    <cfRule type="cellIs" dxfId="2630" priority="3116" stopIfTrue="1" operator="equal">
      <formula>"Napkin Hs"</formula>
    </cfRule>
  </conditionalFormatting>
  <conditionalFormatting sqref="C64">
    <cfRule type="cellIs" dxfId="2629" priority="3114" stopIfTrue="1" operator="equal">
      <formula>"Napkin Hs"</formula>
    </cfRule>
  </conditionalFormatting>
  <conditionalFormatting sqref="C64">
    <cfRule type="cellIs" dxfId="2628" priority="3111" stopIfTrue="1" operator="equal">
      <formula>"Towel"</formula>
    </cfRule>
    <cfRule type="cellIs" dxfId="2627" priority="3112" stopIfTrue="1" operator="equal">
      <formula>"Napkin Hs"</formula>
    </cfRule>
  </conditionalFormatting>
  <conditionalFormatting sqref="C64">
    <cfRule type="cellIs" dxfId="2626" priority="3113" stopIfTrue="1" operator="equal">
      <formula>"Towel"</formula>
    </cfRule>
  </conditionalFormatting>
  <conditionalFormatting sqref="B64:C64 B65">
    <cfRule type="cellIs" dxfId="2625" priority="3109" stopIfTrue="1" operator="equal">
      <formula>"Towel"</formula>
    </cfRule>
    <cfRule type="cellIs" dxfId="2624" priority="3110" stopIfTrue="1" operator="equal">
      <formula>"Napkin Hs"</formula>
    </cfRule>
  </conditionalFormatting>
  <conditionalFormatting sqref="C64">
    <cfRule type="cellIs" dxfId="2623" priority="3108" stopIfTrue="1" operator="equal">
      <formula>"Napkin Hs"</formula>
    </cfRule>
  </conditionalFormatting>
  <conditionalFormatting sqref="C64">
    <cfRule type="cellIs" dxfId="2622" priority="3105" stopIfTrue="1" operator="equal">
      <formula>"Towel"</formula>
    </cfRule>
    <cfRule type="cellIs" dxfId="2621" priority="3106" stopIfTrue="1" operator="equal">
      <formula>"Napkin Hs"</formula>
    </cfRule>
  </conditionalFormatting>
  <conditionalFormatting sqref="C64">
    <cfRule type="cellIs" dxfId="2620" priority="3107" stopIfTrue="1" operator="equal">
      <formula>"Towel"</formula>
    </cfRule>
  </conditionalFormatting>
  <conditionalFormatting sqref="B64:C64 B65">
    <cfRule type="cellIs" dxfId="2619" priority="3103" stopIfTrue="1" operator="equal">
      <formula>"Towel"</formula>
    </cfRule>
    <cfRule type="cellIs" dxfId="2618" priority="3104" stopIfTrue="1" operator="equal">
      <formula>"Napkin Hs"</formula>
    </cfRule>
  </conditionalFormatting>
  <conditionalFormatting sqref="C64">
    <cfRule type="cellIs" dxfId="2617" priority="3101" stopIfTrue="1" operator="equal">
      <formula>"Towel"</formula>
    </cfRule>
    <cfRule type="cellIs" dxfId="2616" priority="3102" stopIfTrue="1" operator="equal">
      <formula>"Napkin Hs"</formula>
    </cfRule>
  </conditionalFormatting>
  <conditionalFormatting sqref="C64">
    <cfRule type="cellIs" dxfId="2615" priority="3099" stopIfTrue="1" operator="equal">
      <formula>"Towel"</formula>
    </cfRule>
    <cfRule type="cellIs" dxfId="2614" priority="3100" stopIfTrue="1" operator="equal">
      <formula>"Napkin Hs"</formula>
    </cfRule>
  </conditionalFormatting>
  <conditionalFormatting sqref="B64:C64 B65">
    <cfRule type="cellIs" dxfId="2613" priority="3097" stopIfTrue="1" operator="equal">
      <formula>"Towel"</formula>
    </cfRule>
    <cfRule type="cellIs" dxfId="2612" priority="3098" stopIfTrue="1" operator="equal">
      <formula>"Napkin Hs"</formula>
    </cfRule>
  </conditionalFormatting>
  <conditionalFormatting sqref="C64">
    <cfRule type="cellIs" dxfId="2611" priority="3095" stopIfTrue="1" operator="equal">
      <formula>"Towel"</formula>
    </cfRule>
    <cfRule type="cellIs" dxfId="2610" priority="3096" stopIfTrue="1" operator="equal">
      <formula>"Napkin Hs"</formula>
    </cfRule>
  </conditionalFormatting>
  <conditionalFormatting sqref="C64">
    <cfRule type="cellIs" dxfId="2609" priority="3093" stopIfTrue="1" operator="equal">
      <formula>"Towel"</formula>
    </cfRule>
    <cfRule type="cellIs" dxfId="2608" priority="3094" stopIfTrue="1" operator="equal">
      <formula>"Napkin Hs"</formula>
    </cfRule>
  </conditionalFormatting>
  <conditionalFormatting sqref="B64:C64 B65">
    <cfRule type="cellIs" dxfId="2607" priority="3091" stopIfTrue="1" operator="equal">
      <formula>"Towel"</formula>
    </cfRule>
    <cfRule type="cellIs" dxfId="2606" priority="3092" stopIfTrue="1" operator="equal">
      <formula>"Napkin Hs"</formula>
    </cfRule>
  </conditionalFormatting>
  <conditionalFormatting sqref="C64">
    <cfRule type="cellIs" dxfId="2605" priority="3090" stopIfTrue="1" operator="equal">
      <formula>"Napkin Hs"</formula>
    </cfRule>
  </conditionalFormatting>
  <conditionalFormatting sqref="C64">
    <cfRule type="cellIs" dxfId="2604" priority="3087" stopIfTrue="1" operator="equal">
      <formula>"Towel"</formula>
    </cfRule>
    <cfRule type="cellIs" dxfId="2603" priority="3088" stopIfTrue="1" operator="equal">
      <formula>"Napkin Hs"</formula>
    </cfRule>
  </conditionalFormatting>
  <conditionalFormatting sqref="C64">
    <cfRule type="cellIs" dxfId="2602" priority="3089" stopIfTrue="1" operator="equal">
      <formula>"Towel"</formula>
    </cfRule>
  </conditionalFormatting>
  <conditionalFormatting sqref="B64:C64 B65">
    <cfRule type="cellIs" dxfId="2601" priority="3085" stopIfTrue="1" operator="equal">
      <formula>"Towel"</formula>
    </cfRule>
    <cfRule type="cellIs" dxfId="2600" priority="3086" stopIfTrue="1" operator="equal">
      <formula>"Napkin Hs"</formula>
    </cfRule>
  </conditionalFormatting>
  <conditionalFormatting sqref="C64">
    <cfRule type="cellIs" dxfId="2599" priority="3084" stopIfTrue="1" operator="equal">
      <formula>"Napkin Hs"</formula>
    </cfRule>
  </conditionalFormatting>
  <conditionalFormatting sqref="C64">
    <cfRule type="cellIs" dxfId="2598" priority="3081" stopIfTrue="1" operator="equal">
      <formula>"Towel"</formula>
    </cfRule>
    <cfRule type="cellIs" dxfId="2597" priority="3082" stopIfTrue="1" operator="equal">
      <formula>"Napkin Hs"</formula>
    </cfRule>
  </conditionalFormatting>
  <conditionalFormatting sqref="C64">
    <cfRule type="cellIs" dxfId="2596" priority="3083" stopIfTrue="1" operator="equal">
      <formula>"Towel"</formula>
    </cfRule>
  </conditionalFormatting>
  <conditionalFormatting sqref="B64:C64 B65">
    <cfRule type="cellIs" dxfId="2595" priority="3079" stopIfTrue="1" operator="equal">
      <formula>"Towel"</formula>
    </cfRule>
    <cfRule type="cellIs" dxfId="2594" priority="3080" stopIfTrue="1" operator="equal">
      <formula>"Napkin Hs"</formula>
    </cfRule>
  </conditionalFormatting>
  <conditionalFormatting sqref="C64">
    <cfRule type="cellIs" dxfId="2593" priority="3078" stopIfTrue="1" operator="equal">
      <formula>"Napkin Hs"</formula>
    </cfRule>
  </conditionalFormatting>
  <conditionalFormatting sqref="C64">
    <cfRule type="cellIs" dxfId="2592" priority="3075" stopIfTrue="1" operator="equal">
      <formula>"Towel"</formula>
    </cfRule>
    <cfRule type="cellIs" dxfId="2591" priority="3076" stopIfTrue="1" operator="equal">
      <formula>"Napkin Hs"</formula>
    </cfRule>
  </conditionalFormatting>
  <conditionalFormatting sqref="C64">
    <cfRule type="cellIs" dxfId="2590" priority="3077" stopIfTrue="1" operator="equal">
      <formula>"Towel"</formula>
    </cfRule>
  </conditionalFormatting>
  <conditionalFormatting sqref="B70:C70">
    <cfRule type="cellIs" dxfId="2589" priority="3071" stopIfTrue="1" operator="equal">
      <formula>"Towel"</formula>
    </cfRule>
    <cfRule type="cellIs" dxfId="2588" priority="3072" stopIfTrue="1" operator="equal">
      <formula>"Napkin Hs"</formula>
    </cfRule>
  </conditionalFormatting>
  <conditionalFormatting sqref="C70">
    <cfRule type="cellIs" dxfId="2587" priority="3073" stopIfTrue="1" operator="equal">
      <formula>"Towel"</formula>
    </cfRule>
    <cfRule type="cellIs" dxfId="2586" priority="3074" stopIfTrue="1" operator="equal">
      <formula>"Napkin Hs"</formula>
    </cfRule>
  </conditionalFormatting>
  <conditionalFormatting sqref="C70">
    <cfRule type="cellIs" dxfId="2585" priority="3069" stopIfTrue="1" operator="equal">
      <formula>"Towel"</formula>
    </cfRule>
    <cfRule type="cellIs" dxfId="2584" priority="3070" stopIfTrue="1" operator="equal">
      <formula>"Napkin Hs"</formula>
    </cfRule>
  </conditionalFormatting>
  <conditionalFormatting sqref="B69:C69">
    <cfRule type="cellIs" dxfId="2583" priority="2911" stopIfTrue="1" operator="equal">
      <formula>"Towel"</formula>
    </cfRule>
    <cfRule type="cellIs" dxfId="2582" priority="2912" stopIfTrue="1" operator="equal">
      <formula>"Napkin Hs"</formula>
    </cfRule>
  </conditionalFormatting>
  <conditionalFormatting sqref="C69">
    <cfRule type="cellIs" dxfId="2581" priority="2907" stopIfTrue="1" operator="equal">
      <formula>"Towel"</formula>
    </cfRule>
    <cfRule type="cellIs" dxfId="2580" priority="2908" stopIfTrue="1" operator="equal">
      <formula>"Napkin Hs"</formula>
    </cfRule>
  </conditionalFormatting>
  <conditionalFormatting sqref="B69:C69">
    <cfRule type="cellIs" dxfId="2579" priority="2905" stopIfTrue="1" operator="equal">
      <formula>"Towel"</formula>
    </cfRule>
    <cfRule type="cellIs" dxfId="2578" priority="2906" stopIfTrue="1" operator="equal">
      <formula>"Napkin Hs"</formula>
    </cfRule>
  </conditionalFormatting>
  <conditionalFormatting sqref="C69">
    <cfRule type="cellIs" dxfId="2577" priority="2904" stopIfTrue="1" operator="equal">
      <formula>"Napkin Hs"</formula>
    </cfRule>
  </conditionalFormatting>
  <conditionalFormatting sqref="C69">
    <cfRule type="cellIs" dxfId="2576" priority="2901" stopIfTrue="1" operator="equal">
      <formula>"Towel"</formula>
    </cfRule>
    <cfRule type="cellIs" dxfId="2575" priority="2902" stopIfTrue="1" operator="equal">
      <formula>"Napkin Hs"</formula>
    </cfRule>
  </conditionalFormatting>
  <conditionalFormatting sqref="C69">
    <cfRule type="cellIs" dxfId="2574" priority="2903" stopIfTrue="1" operator="equal">
      <formula>"Towel"</formula>
    </cfRule>
  </conditionalFormatting>
  <conditionalFormatting sqref="B70:C70">
    <cfRule type="cellIs" dxfId="2573" priority="3067" stopIfTrue="1" operator="equal">
      <formula>"Towel"</formula>
    </cfRule>
    <cfRule type="cellIs" dxfId="2572" priority="3068" stopIfTrue="1" operator="equal">
      <formula>"Napkin Hs"</formula>
    </cfRule>
  </conditionalFormatting>
  <conditionalFormatting sqref="C70">
    <cfRule type="cellIs" dxfId="2571" priority="3063" stopIfTrue="1" operator="equal">
      <formula>"Towel"</formula>
    </cfRule>
    <cfRule type="cellIs" dxfId="2570" priority="3064" stopIfTrue="1" operator="equal">
      <formula>"Napkin Hs"</formula>
    </cfRule>
  </conditionalFormatting>
  <conditionalFormatting sqref="C70">
    <cfRule type="cellIs" dxfId="2569" priority="3065" stopIfTrue="1" operator="equal">
      <formula>"Towel"</formula>
    </cfRule>
    <cfRule type="cellIs" dxfId="2568" priority="3066" stopIfTrue="1" operator="equal">
      <formula>"Napkin Hs"</formula>
    </cfRule>
  </conditionalFormatting>
  <conditionalFormatting sqref="B70:C70">
    <cfRule type="cellIs" dxfId="2567" priority="3061" stopIfTrue="1" operator="equal">
      <formula>"Towel"</formula>
    </cfRule>
    <cfRule type="cellIs" dxfId="2566" priority="3062" stopIfTrue="1" operator="equal">
      <formula>"Napkin Hs"</formula>
    </cfRule>
  </conditionalFormatting>
  <conditionalFormatting sqref="C70">
    <cfRule type="cellIs" dxfId="2565" priority="3059" stopIfTrue="1" operator="equal">
      <formula>"Towel"</formula>
    </cfRule>
    <cfRule type="cellIs" dxfId="2564" priority="3060" stopIfTrue="1" operator="equal">
      <formula>"Napkin Hs"</formula>
    </cfRule>
  </conditionalFormatting>
  <conditionalFormatting sqref="C70">
    <cfRule type="cellIs" dxfId="2563" priority="3057" stopIfTrue="1" operator="equal">
      <formula>"Towel"</formula>
    </cfRule>
    <cfRule type="cellIs" dxfId="2562" priority="3058" stopIfTrue="1" operator="equal">
      <formula>"Napkin Hs"</formula>
    </cfRule>
  </conditionalFormatting>
  <conditionalFormatting sqref="B70:C70">
    <cfRule type="cellIs" dxfId="2561" priority="3055" stopIfTrue="1" operator="equal">
      <formula>"Towel"</formula>
    </cfRule>
    <cfRule type="cellIs" dxfId="2560" priority="3056" stopIfTrue="1" operator="equal">
      <formula>"Napkin Hs"</formula>
    </cfRule>
  </conditionalFormatting>
  <conditionalFormatting sqref="C70">
    <cfRule type="cellIs" dxfId="2559" priority="3054" stopIfTrue="1" operator="equal">
      <formula>"Napkin Hs"</formula>
    </cfRule>
  </conditionalFormatting>
  <conditionalFormatting sqref="C70">
    <cfRule type="cellIs" dxfId="2558" priority="3051" stopIfTrue="1" operator="equal">
      <formula>"Towel"</formula>
    </cfRule>
    <cfRule type="cellIs" dxfId="2557" priority="3052" stopIfTrue="1" operator="equal">
      <formula>"Napkin Hs"</formula>
    </cfRule>
  </conditionalFormatting>
  <conditionalFormatting sqref="C70">
    <cfRule type="cellIs" dxfId="2556" priority="3053" stopIfTrue="1" operator="equal">
      <formula>"Towel"</formula>
    </cfRule>
  </conditionalFormatting>
  <conditionalFormatting sqref="B70:C70">
    <cfRule type="cellIs" dxfId="2555" priority="3049" stopIfTrue="1" operator="equal">
      <formula>"Towel"</formula>
    </cfRule>
    <cfRule type="cellIs" dxfId="2554" priority="3050" stopIfTrue="1" operator="equal">
      <formula>"Napkin Hs"</formula>
    </cfRule>
  </conditionalFormatting>
  <conditionalFormatting sqref="C70">
    <cfRule type="cellIs" dxfId="2553" priority="3048" stopIfTrue="1" operator="equal">
      <formula>"Napkin Hs"</formula>
    </cfRule>
  </conditionalFormatting>
  <conditionalFormatting sqref="C70">
    <cfRule type="cellIs" dxfId="2552" priority="3045" stopIfTrue="1" operator="equal">
      <formula>"Towel"</formula>
    </cfRule>
    <cfRule type="cellIs" dxfId="2551" priority="3046" stopIfTrue="1" operator="equal">
      <formula>"Napkin Hs"</formula>
    </cfRule>
  </conditionalFormatting>
  <conditionalFormatting sqref="C70">
    <cfRule type="cellIs" dxfId="2550" priority="3047" stopIfTrue="1" operator="equal">
      <formula>"Towel"</formula>
    </cfRule>
  </conditionalFormatting>
  <conditionalFormatting sqref="B70:C70">
    <cfRule type="cellIs" dxfId="2549" priority="3043" stopIfTrue="1" operator="equal">
      <formula>"Towel"</formula>
    </cfRule>
    <cfRule type="cellIs" dxfId="2548" priority="3044" stopIfTrue="1" operator="equal">
      <formula>"Napkin Hs"</formula>
    </cfRule>
  </conditionalFormatting>
  <conditionalFormatting sqref="C70">
    <cfRule type="cellIs" dxfId="2547" priority="3042" stopIfTrue="1" operator="equal">
      <formula>"Napkin Hs"</formula>
    </cfRule>
  </conditionalFormatting>
  <conditionalFormatting sqref="C70">
    <cfRule type="cellIs" dxfId="2546" priority="3039" stopIfTrue="1" operator="equal">
      <formula>"Towel"</formula>
    </cfRule>
    <cfRule type="cellIs" dxfId="2545" priority="3040" stopIfTrue="1" operator="equal">
      <formula>"Napkin Hs"</formula>
    </cfRule>
  </conditionalFormatting>
  <conditionalFormatting sqref="C70">
    <cfRule type="cellIs" dxfId="2544" priority="3041" stopIfTrue="1" operator="equal">
      <formula>"Towel"</formula>
    </cfRule>
  </conditionalFormatting>
  <conditionalFormatting sqref="B68:C68">
    <cfRule type="cellIs" dxfId="2543" priority="3037" stopIfTrue="1" operator="equal">
      <formula>"Towel"</formula>
    </cfRule>
    <cfRule type="cellIs" dxfId="2542" priority="3038" stopIfTrue="1" operator="equal">
      <formula>"Napkin Hs"</formula>
    </cfRule>
  </conditionalFormatting>
  <conditionalFormatting sqref="C68">
    <cfRule type="cellIs" dxfId="2541" priority="3036" stopIfTrue="1" operator="equal">
      <formula>"Napkin Hs"</formula>
    </cfRule>
  </conditionalFormatting>
  <conditionalFormatting sqref="C68">
    <cfRule type="cellIs" dxfId="2540" priority="3033" stopIfTrue="1" operator="equal">
      <formula>"Towel"</formula>
    </cfRule>
    <cfRule type="cellIs" dxfId="2539" priority="3034" stopIfTrue="1" operator="equal">
      <formula>"Napkin Hs"</formula>
    </cfRule>
  </conditionalFormatting>
  <conditionalFormatting sqref="C68">
    <cfRule type="cellIs" dxfId="2538" priority="3035" stopIfTrue="1" operator="equal">
      <formula>"Towel"</formula>
    </cfRule>
  </conditionalFormatting>
  <conditionalFormatting sqref="B68:C68">
    <cfRule type="cellIs" dxfId="2537" priority="3031" stopIfTrue="1" operator="equal">
      <formula>"Towel"</formula>
    </cfRule>
    <cfRule type="cellIs" dxfId="2536" priority="3032" stopIfTrue="1" operator="equal">
      <formula>"Napkin Hs"</formula>
    </cfRule>
  </conditionalFormatting>
  <conditionalFormatting sqref="C68">
    <cfRule type="cellIs" dxfId="2535" priority="3030" stopIfTrue="1" operator="equal">
      <formula>"Napkin Hs"</formula>
    </cfRule>
  </conditionalFormatting>
  <conditionalFormatting sqref="C68">
    <cfRule type="cellIs" dxfId="2534" priority="3027" stopIfTrue="1" operator="equal">
      <formula>"Towel"</formula>
    </cfRule>
    <cfRule type="cellIs" dxfId="2533" priority="3028" stopIfTrue="1" operator="equal">
      <formula>"Napkin Hs"</formula>
    </cfRule>
  </conditionalFormatting>
  <conditionalFormatting sqref="C68">
    <cfRule type="cellIs" dxfId="2532" priority="3029" stopIfTrue="1" operator="equal">
      <formula>"Towel"</formula>
    </cfRule>
  </conditionalFormatting>
  <conditionalFormatting sqref="B68:C68">
    <cfRule type="cellIs" dxfId="2531" priority="3025" stopIfTrue="1" operator="equal">
      <formula>"Towel"</formula>
    </cfRule>
    <cfRule type="cellIs" dxfId="2530" priority="3026" stopIfTrue="1" operator="equal">
      <formula>"Napkin Hs"</formula>
    </cfRule>
  </conditionalFormatting>
  <conditionalFormatting sqref="C68">
    <cfRule type="cellIs" dxfId="2529" priority="3023" stopIfTrue="1" operator="equal">
      <formula>"Towel"</formula>
    </cfRule>
    <cfRule type="cellIs" dxfId="2528" priority="3024" stopIfTrue="1" operator="equal">
      <formula>"Napkin Hs"</formula>
    </cfRule>
  </conditionalFormatting>
  <conditionalFormatting sqref="C68">
    <cfRule type="cellIs" dxfId="2527" priority="3021" stopIfTrue="1" operator="equal">
      <formula>"Towel"</formula>
    </cfRule>
    <cfRule type="cellIs" dxfId="2526" priority="3022" stopIfTrue="1" operator="equal">
      <formula>"Napkin Hs"</formula>
    </cfRule>
  </conditionalFormatting>
  <conditionalFormatting sqref="B68:C68">
    <cfRule type="cellIs" dxfId="2525" priority="3019" stopIfTrue="1" operator="equal">
      <formula>"Towel"</formula>
    </cfRule>
    <cfRule type="cellIs" dxfId="2524" priority="3020" stopIfTrue="1" operator="equal">
      <formula>"Napkin Hs"</formula>
    </cfRule>
  </conditionalFormatting>
  <conditionalFormatting sqref="C68">
    <cfRule type="cellIs" dxfId="2523" priority="3017" stopIfTrue="1" operator="equal">
      <formula>"Towel"</formula>
    </cfRule>
    <cfRule type="cellIs" dxfId="2522" priority="3018" stopIfTrue="1" operator="equal">
      <formula>"Napkin Hs"</formula>
    </cfRule>
  </conditionalFormatting>
  <conditionalFormatting sqref="C68">
    <cfRule type="cellIs" dxfId="2521" priority="3015" stopIfTrue="1" operator="equal">
      <formula>"Towel"</formula>
    </cfRule>
    <cfRule type="cellIs" dxfId="2520" priority="3016" stopIfTrue="1" operator="equal">
      <formula>"Napkin Hs"</formula>
    </cfRule>
  </conditionalFormatting>
  <conditionalFormatting sqref="B68:C68">
    <cfRule type="cellIs" dxfId="2519" priority="3013" stopIfTrue="1" operator="equal">
      <formula>"Towel"</formula>
    </cfRule>
    <cfRule type="cellIs" dxfId="2518" priority="3014" stopIfTrue="1" operator="equal">
      <formula>"Napkin Hs"</formula>
    </cfRule>
  </conditionalFormatting>
  <conditionalFormatting sqref="C68">
    <cfRule type="cellIs" dxfId="2517" priority="3012" stopIfTrue="1" operator="equal">
      <formula>"Napkin Hs"</formula>
    </cfRule>
  </conditionalFormatting>
  <conditionalFormatting sqref="C68">
    <cfRule type="cellIs" dxfId="2516" priority="3009" stopIfTrue="1" operator="equal">
      <formula>"Towel"</formula>
    </cfRule>
    <cfRule type="cellIs" dxfId="2515" priority="3010" stopIfTrue="1" operator="equal">
      <formula>"Napkin Hs"</formula>
    </cfRule>
  </conditionalFormatting>
  <conditionalFormatting sqref="C68">
    <cfRule type="cellIs" dxfId="2514" priority="3011" stopIfTrue="1" operator="equal">
      <formula>"Towel"</formula>
    </cfRule>
  </conditionalFormatting>
  <conditionalFormatting sqref="B68:C68">
    <cfRule type="cellIs" dxfId="2513" priority="3007" stopIfTrue="1" operator="equal">
      <formula>"Towel"</formula>
    </cfRule>
    <cfRule type="cellIs" dxfId="2512" priority="3008" stopIfTrue="1" operator="equal">
      <formula>"Napkin Hs"</formula>
    </cfRule>
  </conditionalFormatting>
  <conditionalFormatting sqref="C68">
    <cfRule type="cellIs" dxfId="2511" priority="3006" stopIfTrue="1" operator="equal">
      <formula>"Napkin Hs"</formula>
    </cfRule>
  </conditionalFormatting>
  <conditionalFormatting sqref="C68">
    <cfRule type="cellIs" dxfId="2510" priority="3003" stopIfTrue="1" operator="equal">
      <formula>"Towel"</formula>
    </cfRule>
    <cfRule type="cellIs" dxfId="2509" priority="3004" stopIfTrue="1" operator="equal">
      <formula>"Napkin Hs"</formula>
    </cfRule>
  </conditionalFormatting>
  <conditionalFormatting sqref="C68">
    <cfRule type="cellIs" dxfId="2508" priority="3005" stopIfTrue="1" operator="equal">
      <formula>"Towel"</formula>
    </cfRule>
  </conditionalFormatting>
  <conditionalFormatting sqref="B68:C68">
    <cfRule type="cellIs" dxfId="2507" priority="3001" stopIfTrue="1" operator="equal">
      <formula>"Towel"</formula>
    </cfRule>
    <cfRule type="cellIs" dxfId="2506" priority="3002" stopIfTrue="1" operator="equal">
      <formula>"Napkin Hs"</formula>
    </cfRule>
  </conditionalFormatting>
  <conditionalFormatting sqref="C68">
    <cfRule type="cellIs" dxfId="2505" priority="3000" stopIfTrue="1" operator="equal">
      <formula>"Napkin Hs"</formula>
    </cfRule>
  </conditionalFormatting>
  <conditionalFormatting sqref="C68">
    <cfRule type="cellIs" dxfId="2504" priority="2997" stopIfTrue="1" operator="equal">
      <formula>"Towel"</formula>
    </cfRule>
    <cfRule type="cellIs" dxfId="2503" priority="2998" stopIfTrue="1" operator="equal">
      <formula>"Napkin Hs"</formula>
    </cfRule>
  </conditionalFormatting>
  <conditionalFormatting sqref="C68">
    <cfRule type="cellIs" dxfId="2502" priority="2999" stopIfTrue="1" operator="equal">
      <formula>"Towel"</formula>
    </cfRule>
  </conditionalFormatting>
  <conditionalFormatting sqref="B67:C67">
    <cfRule type="cellIs" dxfId="2501" priority="2995" stopIfTrue="1" operator="equal">
      <formula>"Towel"</formula>
    </cfRule>
    <cfRule type="cellIs" dxfId="2500" priority="2996" stopIfTrue="1" operator="equal">
      <formula>"Napkin Hs"</formula>
    </cfRule>
  </conditionalFormatting>
  <conditionalFormatting sqref="C67">
    <cfRule type="cellIs" dxfId="2499" priority="2994" stopIfTrue="1" operator="equal">
      <formula>"Napkin Hs"</formula>
    </cfRule>
  </conditionalFormatting>
  <conditionalFormatting sqref="C67">
    <cfRule type="cellIs" dxfId="2498" priority="2991" stopIfTrue="1" operator="equal">
      <formula>"Towel"</formula>
    </cfRule>
    <cfRule type="cellIs" dxfId="2497" priority="2992" stopIfTrue="1" operator="equal">
      <formula>"Napkin Hs"</formula>
    </cfRule>
  </conditionalFormatting>
  <conditionalFormatting sqref="C67">
    <cfRule type="cellIs" dxfId="2496" priority="2993" stopIfTrue="1" operator="equal">
      <formula>"Towel"</formula>
    </cfRule>
  </conditionalFormatting>
  <conditionalFormatting sqref="B67:C67">
    <cfRule type="cellIs" dxfId="2495" priority="2989" stopIfTrue="1" operator="equal">
      <formula>"Towel"</formula>
    </cfRule>
    <cfRule type="cellIs" dxfId="2494" priority="2990" stopIfTrue="1" operator="equal">
      <formula>"Napkin Hs"</formula>
    </cfRule>
  </conditionalFormatting>
  <conditionalFormatting sqref="C67">
    <cfRule type="cellIs" dxfId="2493" priority="2988" stopIfTrue="1" operator="equal">
      <formula>"Napkin Hs"</formula>
    </cfRule>
  </conditionalFormatting>
  <conditionalFormatting sqref="C67">
    <cfRule type="cellIs" dxfId="2492" priority="2985" stopIfTrue="1" operator="equal">
      <formula>"Towel"</formula>
    </cfRule>
    <cfRule type="cellIs" dxfId="2491" priority="2986" stopIfTrue="1" operator="equal">
      <formula>"Napkin Hs"</formula>
    </cfRule>
  </conditionalFormatting>
  <conditionalFormatting sqref="C67">
    <cfRule type="cellIs" dxfId="2490" priority="2987" stopIfTrue="1" operator="equal">
      <formula>"Towel"</formula>
    </cfRule>
  </conditionalFormatting>
  <conditionalFormatting sqref="B67:C67">
    <cfRule type="cellIs" dxfId="2489" priority="2983" stopIfTrue="1" operator="equal">
      <formula>"Towel"</formula>
    </cfRule>
    <cfRule type="cellIs" dxfId="2488" priority="2984" stopIfTrue="1" operator="equal">
      <formula>"Napkin Hs"</formula>
    </cfRule>
  </conditionalFormatting>
  <conditionalFormatting sqref="C67">
    <cfRule type="cellIs" dxfId="2487" priority="2982" stopIfTrue="1" operator="equal">
      <formula>"Napkin Hs"</formula>
    </cfRule>
  </conditionalFormatting>
  <conditionalFormatting sqref="C67">
    <cfRule type="cellIs" dxfId="2486" priority="2979" stopIfTrue="1" operator="equal">
      <formula>"Towel"</formula>
    </cfRule>
    <cfRule type="cellIs" dxfId="2485" priority="2980" stopIfTrue="1" operator="equal">
      <formula>"Napkin Hs"</formula>
    </cfRule>
  </conditionalFormatting>
  <conditionalFormatting sqref="C67">
    <cfRule type="cellIs" dxfId="2484" priority="2981" stopIfTrue="1" operator="equal">
      <formula>"Towel"</formula>
    </cfRule>
  </conditionalFormatting>
  <conditionalFormatting sqref="B67:C67">
    <cfRule type="cellIs" dxfId="2483" priority="2977" stopIfTrue="1" operator="equal">
      <formula>"Towel"</formula>
    </cfRule>
    <cfRule type="cellIs" dxfId="2482" priority="2978" stopIfTrue="1" operator="equal">
      <formula>"Napkin Hs"</formula>
    </cfRule>
  </conditionalFormatting>
  <conditionalFormatting sqref="C67">
    <cfRule type="cellIs" dxfId="2481" priority="2976" stopIfTrue="1" operator="equal">
      <formula>"Napkin Hs"</formula>
    </cfRule>
  </conditionalFormatting>
  <conditionalFormatting sqref="C67">
    <cfRule type="cellIs" dxfId="2480" priority="2973" stopIfTrue="1" operator="equal">
      <formula>"Towel"</formula>
    </cfRule>
    <cfRule type="cellIs" dxfId="2479" priority="2974" stopIfTrue="1" operator="equal">
      <formula>"Napkin Hs"</formula>
    </cfRule>
  </conditionalFormatting>
  <conditionalFormatting sqref="C67">
    <cfRule type="cellIs" dxfId="2478" priority="2975" stopIfTrue="1" operator="equal">
      <formula>"Towel"</formula>
    </cfRule>
  </conditionalFormatting>
  <conditionalFormatting sqref="B67:C67">
    <cfRule type="cellIs" dxfId="2477" priority="2971" stopIfTrue="1" operator="equal">
      <formula>"Towel"</formula>
    </cfRule>
    <cfRule type="cellIs" dxfId="2476" priority="2972" stopIfTrue="1" operator="equal">
      <formula>"Napkin Hs"</formula>
    </cfRule>
  </conditionalFormatting>
  <conditionalFormatting sqref="C67">
    <cfRule type="cellIs" dxfId="2475" priority="2969" stopIfTrue="1" operator="equal">
      <formula>"Towel"</formula>
    </cfRule>
    <cfRule type="cellIs" dxfId="2474" priority="2970" stopIfTrue="1" operator="equal">
      <formula>"Napkin Hs"</formula>
    </cfRule>
  </conditionalFormatting>
  <conditionalFormatting sqref="C67">
    <cfRule type="cellIs" dxfId="2473" priority="2967" stopIfTrue="1" operator="equal">
      <formula>"Towel"</formula>
    </cfRule>
    <cfRule type="cellIs" dxfId="2472" priority="2968" stopIfTrue="1" operator="equal">
      <formula>"Napkin Hs"</formula>
    </cfRule>
  </conditionalFormatting>
  <conditionalFormatting sqref="B67:C67">
    <cfRule type="cellIs" dxfId="2471" priority="2965" stopIfTrue="1" operator="equal">
      <formula>"Towel"</formula>
    </cfRule>
    <cfRule type="cellIs" dxfId="2470" priority="2966" stopIfTrue="1" operator="equal">
      <formula>"Napkin Hs"</formula>
    </cfRule>
  </conditionalFormatting>
  <conditionalFormatting sqref="C67">
    <cfRule type="cellIs" dxfId="2469" priority="2963" stopIfTrue="1" operator="equal">
      <formula>"Towel"</formula>
    </cfRule>
    <cfRule type="cellIs" dxfId="2468" priority="2964" stopIfTrue="1" operator="equal">
      <formula>"Napkin Hs"</formula>
    </cfRule>
  </conditionalFormatting>
  <conditionalFormatting sqref="C67">
    <cfRule type="cellIs" dxfId="2467" priority="2961" stopIfTrue="1" operator="equal">
      <formula>"Towel"</formula>
    </cfRule>
    <cfRule type="cellIs" dxfId="2466" priority="2962" stopIfTrue="1" operator="equal">
      <formula>"Napkin Hs"</formula>
    </cfRule>
  </conditionalFormatting>
  <conditionalFormatting sqref="B67:C67">
    <cfRule type="cellIs" dxfId="2465" priority="2959" stopIfTrue="1" operator="equal">
      <formula>"Towel"</formula>
    </cfRule>
    <cfRule type="cellIs" dxfId="2464" priority="2960" stopIfTrue="1" operator="equal">
      <formula>"Napkin Hs"</formula>
    </cfRule>
  </conditionalFormatting>
  <conditionalFormatting sqref="C67">
    <cfRule type="cellIs" dxfId="2463" priority="2958" stopIfTrue="1" operator="equal">
      <formula>"Napkin Hs"</formula>
    </cfRule>
  </conditionalFormatting>
  <conditionalFormatting sqref="C67">
    <cfRule type="cellIs" dxfId="2462" priority="2955" stopIfTrue="1" operator="equal">
      <formula>"Towel"</formula>
    </cfRule>
    <cfRule type="cellIs" dxfId="2461" priority="2956" stopIfTrue="1" operator="equal">
      <formula>"Napkin Hs"</formula>
    </cfRule>
  </conditionalFormatting>
  <conditionalFormatting sqref="C67">
    <cfRule type="cellIs" dxfId="2460" priority="2957" stopIfTrue="1" operator="equal">
      <formula>"Towel"</formula>
    </cfRule>
  </conditionalFormatting>
  <conditionalFormatting sqref="B67:C67">
    <cfRule type="cellIs" dxfId="2459" priority="2953" stopIfTrue="1" operator="equal">
      <formula>"Towel"</formula>
    </cfRule>
    <cfRule type="cellIs" dxfId="2458" priority="2954" stopIfTrue="1" operator="equal">
      <formula>"Napkin Hs"</formula>
    </cfRule>
  </conditionalFormatting>
  <conditionalFormatting sqref="C67">
    <cfRule type="cellIs" dxfId="2457" priority="2952" stopIfTrue="1" operator="equal">
      <formula>"Napkin Hs"</formula>
    </cfRule>
  </conditionalFormatting>
  <conditionalFormatting sqref="C67">
    <cfRule type="cellIs" dxfId="2456" priority="2949" stopIfTrue="1" operator="equal">
      <formula>"Towel"</formula>
    </cfRule>
    <cfRule type="cellIs" dxfId="2455" priority="2950" stopIfTrue="1" operator="equal">
      <formula>"Napkin Hs"</formula>
    </cfRule>
  </conditionalFormatting>
  <conditionalFormatting sqref="C67">
    <cfRule type="cellIs" dxfId="2454" priority="2951" stopIfTrue="1" operator="equal">
      <formula>"Towel"</formula>
    </cfRule>
  </conditionalFormatting>
  <conditionalFormatting sqref="B67:C67">
    <cfRule type="cellIs" dxfId="2453" priority="2947" stopIfTrue="1" operator="equal">
      <formula>"Towel"</formula>
    </cfRule>
    <cfRule type="cellIs" dxfId="2452" priority="2948" stopIfTrue="1" operator="equal">
      <formula>"Napkin Hs"</formula>
    </cfRule>
  </conditionalFormatting>
  <conditionalFormatting sqref="C67">
    <cfRule type="cellIs" dxfId="2451" priority="2946" stopIfTrue="1" operator="equal">
      <formula>"Napkin Hs"</formula>
    </cfRule>
  </conditionalFormatting>
  <conditionalFormatting sqref="C67">
    <cfRule type="cellIs" dxfId="2450" priority="2943" stopIfTrue="1" operator="equal">
      <formula>"Towel"</formula>
    </cfRule>
    <cfRule type="cellIs" dxfId="2449" priority="2944" stopIfTrue="1" operator="equal">
      <formula>"Napkin Hs"</formula>
    </cfRule>
  </conditionalFormatting>
  <conditionalFormatting sqref="C67">
    <cfRule type="cellIs" dxfId="2448" priority="2945" stopIfTrue="1" operator="equal">
      <formula>"Towel"</formula>
    </cfRule>
  </conditionalFormatting>
  <conditionalFormatting sqref="B69:C69">
    <cfRule type="cellIs" dxfId="2447" priority="2941" stopIfTrue="1" operator="equal">
      <formula>"Towel"</formula>
    </cfRule>
    <cfRule type="cellIs" dxfId="2446" priority="2942" stopIfTrue="1" operator="equal">
      <formula>"Napkin Hs"</formula>
    </cfRule>
  </conditionalFormatting>
  <conditionalFormatting sqref="C69">
    <cfRule type="cellIs" dxfId="2445" priority="2940" stopIfTrue="1" operator="equal">
      <formula>"Napkin Hs"</formula>
    </cfRule>
  </conditionalFormatting>
  <conditionalFormatting sqref="C69">
    <cfRule type="cellIs" dxfId="2444" priority="2937" stopIfTrue="1" operator="equal">
      <formula>"Towel"</formula>
    </cfRule>
    <cfRule type="cellIs" dxfId="2443" priority="2938" stopIfTrue="1" operator="equal">
      <formula>"Napkin Hs"</formula>
    </cfRule>
  </conditionalFormatting>
  <conditionalFormatting sqref="C69">
    <cfRule type="cellIs" dxfId="2442" priority="2939" stopIfTrue="1" operator="equal">
      <formula>"Towel"</formula>
    </cfRule>
  </conditionalFormatting>
  <conditionalFormatting sqref="B69:C69">
    <cfRule type="cellIs" dxfId="2441" priority="2935" stopIfTrue="1" operator="equal">
      <formula>"Towel"</formula>
    </cfRule>
    <cfRule type="cellIs" dxfId="2440" priority="2936" stopIfTrue="1" operator="equal">
      <formula>"Napkin Hs"</formula>
    </cfRule>
  </conditionalFormatting>
  <conditionalFormatting sqref="C69">
    <cfRule type="cellIs" dxfId="2439" priority="2934" stopIfTrue="1" operator="equal">
      <formula>"Napkin Hs"</formula>
    </cfRule>
  </conditionalFormatting>
  <conditionalFormatting sqref="C69">
    <cfRule type="cellIs" dxfId="2438" priority="2931" stopIfTrue="1" operator="equal">
      <formula>"Towel"</formula>
    </cfRule>
    <cfRule type="cellIs" dxfId="2437" priority="2932" stopIfTrue="1" operator="equal">
      <formula>"Napkin Hs"</formula>
    </cfRule>
  </conditionalFormatting>
  <conditionalFormatting sqref="C69">
    <cfRule type="cellIs" dxfId="2436" priority="2933" stopIfTrue="1" operator="equal">
      <formula>"Towel"</formula>
    </cfRule>
  </conditionalFormatting>
  <conditionalFormatting sqref="B69:C69">
    <cfRule type="cellIs" dxfId="2435" priority="2929" stopIfTrue="1" operator="equal">
      <formula>"Towel"</formula>
    </cfRule>
    <cfRule type="cellIs" dxfId="2434" priority="2930" stopIfTrue="1" operator="equal">
      <formula>"Napkin Hs"</formula>
    </cfRule>
  </conditionalFormatting>
  <conditionalFormatting sqref="C69">
    <cfRule type="cellIs" dxfId="2433" priority="2928" stopIfTrue="1" operator="equal">
      <formula>"Napkin Hs"</formula>
    </cfRule>
  </conditionalFormatting>
  <conditionalFormatting sqref="C69">
    <cfRule type="cellIs" dxfId="2432" priority="2925" stopIfTrue="1" operator="equal">
      <formula>"Towel"</formula>
    </cfRule>
    <cfRule type="cellIs" dxfId="2431" priority="2926" stopIfTrue="1" operator="equal">
      <formula>"Napkin Hs"</formula>
    </cfRule>
  </conditionalFormatting>
  <conditionalFormatting sqref="C69">
    <cfRule type="cellIs" dxfId="2430" priority="2927" stopIfTrue="1" operator="equal">
      <formula>"Towel"</formula>
    </cfRule>
  </conditionalFormatting>
  <conditionalFormatting sqref="B69:C69">
    <cfRule type="cellIs" dxfId="2429" priority="2923" stopIfTrue="1" operator="equal">
      <formula>"Towel"</formula>
    </cfRule>
    <cfRule type="cellIs" dxfId="2428" priority="2924" stopIfTrue="1" operator="equal">
      <formula>"Napkin Hs"</formula>
    </cfRule>
  </conditionalFormatting>
  <conditionalFormatting sqref="C69">
    <cfRule type="cellIs" dxfId="2427" priority="2922" stopIfTrue="1" operator="equal">
      <formula>"Napkin Hs"</formula>
    </cfRule>
  </conditionalFormatting>
  <conditionalFormatting sqref="C69">
    <cfRule type="cellIs" dxfId="2426" priority="2919" stopIfTrue="1" operator="equal">
      <formula>"Towel"</formula>
    </cfRule>
    <cfRule type="cellIs" dxfId="2425" priority="2920" stopIfTrue="1" operator="equal">
      <formula>"Napkin Hs"</formula>
    </cfRule>
  </conditionalFormatting>
  <conditionalFormatting sqref="C69">
    <cfRule type="cellIs" dxfId="2424" priority="2921" stopIfTrue="1" operator="equal">
      <formula>"Towel"</formula>
    </cfRule>
  </conditionalFormatting>
  <conditionalFormatting sqref="B69:C69">
    <cfRule type="cellIs" dxfId="2423" priority="2917" stopIfTrue="1" operator="equal">
      <formula>"Towel"</formula>
    </cfRule>
    <cfRule type="cellIs" dxfId="2422" priority="2918" stopIfTrue="1" operator="equal">
      <formula>"Napkin Hs"</formula>
    </cfRule>
  </conditionalFormatting>
  <conditionalFormatting sqref="C69">
    <cfRule type="cellIs" dxfId="2421" priority="2915" stopIfTrue="1" operator="equal">
      <formula>"Towel"</formula>
    </cfRule>
    <cfRule type="cellIs" dxfId="2420" priority="2916" stopIfTrue="1" operator="equal">
      <formula>"Napkin Hs"</formula>
    </cfRule>
  </conditionalFormatting>
  <conditionalFormatting sqref="C69">
    <cfRule type="cellIs" dxfId="2419" priority="2913" stopIfTrue="1" operator="equal">
      <formula>"Towel"</formula>
    </cfRule>
    <cfRule type="cellIs" dxfId="2418" priority="2914" stopIfTrue="1" operator="equal">
      <formula>"Napkin Hs"</formula>
    </cfRule>
  </conditionalFormatting>
  <conditionalFormatting sqref="C69">
    <cfRule type="cellIs" dxfId="2417" priority="2909" stopIfTrue="1" operator="equal">
      <formula>"Towel"</formula>
    </cfRule>
    <cfRule type="cellIs" dxfId="2416" priority="2910" stopIfTrue="1" operator="equal">
      <formula>"Napkin Hs"</formula>
    </cfRule>
  </conditionalFormatting>
  <conditionalFormatting sqref="B69:C69">
    <cfRule type="cellIs" dxfId="2415" priority="2899" stopIfTrue="1" operator="equal">
      <formula>"Towel"</formula>
    </cfRule>
    <cfRule type="cellIs" dxfId="2414" priority="2900" stopIfTrue="1" operator="equal">
      <formula>"Napkin Hs"</formula>
    </cfRule>
  </conditionalFormatting>
  <conditionalFormatting sqref="C69">
    <cfRule type="cellIs" dxfId="2413" priority="2898" stopIfTrue="1" operator="equal">
      <formula>"Napkin Hs"</formula>
    </cfRule>
  </conditionalFormatting>
  <conditionalFormatting sqref="C69">
    <cfRule type="cellIs" dxfId="2412" priority="2895" stopIfTrue="1" operator="equal">
      <formula>"Towel"</formula>
    </cfRule>
    <cfRule type="cellIs" dxfId="2411" priority="2896" stopIfTrue="1" operator="equal">
      <formula>"Napkin Hs"</formula>
    </cfRule>
  </conditionalFormatting>
  <conditionalFormatting sqref="C69">
    <cfRule type="cellIs" dxfId="2410" priority="2897" stopIfTrue="1" operator="equal">
      <formula>"Towel"</formula>
    </cfRule>
  </conditionalFormatting>
  <conditionalFormatting sqref="B69:C69">
    <cfRule type="cellIs" dxfId="2409" priority="2893" stopIfTrue="1" operator="equal">
      <formula>"Towel"</formula>
    </cfRule>
    <cfRule type="cellIs" dxfId="2408" priority="2894" stopIfTrue="1" operator="equal">
      <formula>"Napkin Hs"</formula>
    </cfRule>
  </conditionalFormatting>
  <conditionalFormatting sqref="C69">
    <cfRule type="cellIs" dxfId="2407" priority="2892" stopIfTrue="1" operator="equal">
      <formula>"Napkin Hs"</formula>
    </cfRule>
  </conditionalFormatting>
  <conditionalFormatting sqref="C69">
    <cfRule type="cellIs" dxfId="2406" priority="2889" stopIfTrue="1" operator="equal">
      <formula>"Towel"</formula>
    </cfRule>
    <cfRule type="cellIs" dxfId="2405" priority="2890" stopIfTrue="1" operator="equal">
      <formula>"Napkin Hs"</formula>
    </cfRule>
  </conditionalFormatting>
  <conditionalFormatting sqref="C69">
    <cfRule type="cellIs" dxfId="2404" priority="2891" stopIfTrue="1" operator="equal">
      <formula>"Towel"</formula>
    </cfRule>
  </conditionalFormatting>
  <conditionalFormatting sqref="B73:C73">
    <cfRule type="cellIs" dxfId="2403" priority="2857" stopIfTrue="1" operator="equal">
      <formula>"Towel"</formula>
    </cfRule>
    <cfRule type="cellIs" dxfId="2402" priority="2858" stopIfTrue="1" operator="equal">
      <formula>"Napkin Hs"</formula>
    </cfRule>
  </conditionalFormatting>
  <conditionalFormatting sqref="C73">
    <cfRule type="cellIs" dxfId="2401" priority="2853" stopIfTrue="1" operator="equal">
      <formula>"Towel"</formula>
    </cfRule>
    <cfRule type="cellIs" dxfId="2400" priority="2854" stopIfTrue="1" operator="equal">
      <formula>"Napkin Hs"</formula>
    </cfRule>
  </conditionalFormatting>
  <conditionalFormatting sqref="B73:C73">
    <cfRule type="cellIs" dxfId="2399" priority="2851" stopIfTrue="1" operator="equal">
      <formula>"Towel"</formula>
    </cfRule>
    <cfRule type="cellIs" dxfId="2398" priority="2852" stopIfTrue="1" operator="equal">
      <formula>"Napkin Hs"</formula>
    </cfRule>
  </conditionalFormatting>
  <conditionalFormatting sqref="C73">
    <cfRule type="cellIs" dxfId="2397" priority="2850" stopIfTrue="1" operator="equal">
      <formula>"Napkin Hs"</formula>
    </cfRule>
  </conditionalFormatting>
  <conditionalFormatting sqref="C73">
    <cfRule type="cellIs" dxfId="2396" priority="2847" stopIfTrue="1" operator="equal">
      <formula>"Towel"</formula>
    </cfRule>
    <cfRule type="cellIs" dxfId="2395" priority="2848" stopIfTrue="1" operator="equal">
      <formula>"Napkin Hs"</formula>
    </cfRule>
  </conditionalFormatting>
  <conditionalFormatting sqref="C73">
    <cfRule type="cellIs" dxfId="2394" priority="2849" stopIfTrue="1" operator="equal">
      <formula>"Towel"</formula>
    </cfRule>
  </conditionalFormatting>
  <conditionalFormatting sqref="B73:C73">
    <cfRule type="cellIs" dxfId="2393" priority="2845" stopIfTrue="1" operator="equal">
      <formula>"Towel"</formula>
    </cfRule>
    <cfRule type="cellIs" dxfId="2392" priority="2846" stopIfTrue="1" operator="equal">
      <formula>"Napkin Hs"</formula>
    </cfRule>
  </conditionalFormatting>
  <conditionalFormatting sqref="C73">
    <cfRule type="cellIs" dxfId="2391" priority="2844" stopIfTrue="1" operator="equal">
      <formula>"Napkin Hs"</formula>
    </cfRule>
  </conditionalFormatting>
  <conditionalFormatting sqref="C73">
    <cfRule type="cellIs" dxfId="2390" priority="2841" stopIfTrue="1" operator="equal">
      <formula>"Towel"</formula>
    </cfRule>
    <cfRule type="cellIs" dxfId="2389" priority="2842" stopIfTrue="1" operator="equal">
      <formula>"Napkin Hs"</formula>
    </cfRule>
  </conditionalFormatting>
  <conditionalFormatting sqref="C73">
    <cfRule type="cellIs" dxfId="2388" priority="2843" stopIfTrue="1" operator="equal">
      <formula>"Towel"</formula>
    </cfRule>
  </conditionalFormatting>
  <conditionalFormatting sqref="B73:C73">
    <cfRule type="cellIs" dxfId="2387" priority="2839" stopIfTrue="1" operator="equal">
      <formula>"Towel"</formula>
    </cfRule>
    <cfRule type="cellIs" dxfId="2386" priority="2840" stopIfTrue="1" operator="equal">
      <formula>"Napkin Hs"</formula>
    </cfRule>
  </conditionalFormatting>
  <conditionalFormatting sqref="C73">
    <cfRule type="cellIs" dxfId="2385" priority="2838" stopIfTrue="1" operator="equal">
      <formula>"Napkin Hs"</formula>
    </cfRule>
  </conditionalFormatting>
  <conditionalFormatting sqref="C73">
    <cfRule type="cellIs" dxfId="2384" priority="2835" stopIfTrue="1" operator="equal">
      <formula>"Towel"</formula>
    </cfRule>
    <cfRule type="cellIs" dxfId="2383" priority="2836" stopIfTrue="1" operator="equal">
      <formula>"Napkin Hs"</formula>
    </cfRule>
  </conditionalFormatting>
  <conditionalFormatting sqref="C73">
    <cfRule type="cellIs" dxfId="2382" priority="2837" stopIfTrue="1" operator="equal">
      <formula>"Towel"</formula>
    </cfRule>
  </conditionalFormatting>
  <conditionalFormatting sqref="B71:C71">
    <cfRule type="cellIs" dxfId="2381" priority="2833" stopIfTrue="1" operator="equal">
      <formula>"Towel"</formula>
    </cfRule>
    <cfRule type="cellIs" dxfId="2380" priority="2834" stopIfTrue="1" operator="equal">
      <formula>"Napkin Hs"</formula>
    </cfRule>
  </conditionalFormatting>
  <conditionalFormatting sqref="C71">
    <cfRule type="cellIs" dxfId="2379" priority="2829" stopIfTrue="1" operator="equal">
      <formula>"Towel"</formula>
    </cfRule>
    <cfRule type="cellIs" dxfId="2378" priority="2830" stopIfTrue="1" operator="equal">
      <formula>"Napkin Hs"</formula>
    </cfRule>
  </conditionalFormatting>
  <conditionalFormatting sqref="B71:C71">
    <cfRule type="cellIs" dxfId="2377" priority="2827" stopIfTrue="1" operator="equal">
      <formula>"Towel"</formula>
    </cfRule>
    <cfRule type="cellIs" dxfId="2376" priority="2828" stopIfTrue="1" operator="equal">
      <formula>"Napkin Hs"</formula>
    </cfRule>
  </conditionalFormatting>
  <conditionalFormatting sqref="C71">
    <cfRule type="cellIs" dxfId="2375" priority="2823" stopIfTrue="1" operator="equal">
      <formula>"Towel"</formula>
    </cfRule>
    <cfRule type="cellIs" dxfId="2374" priority="2824" stopIfTrue="1" operator="equal">
      <formula>"Napkin Hs"</formula>
    </cfRule>
  </conditionalFormatting>
  <conditionalFormatting sqref="B71:C71">
    <cfRule type="cellIs" dxfId="2373" priority="2821" stopIfTrue="1" operator="equal">
      <formula>"Towel"</formula>
    </cfRule>
    <cfRule type="cellIs" dxfId="2372" priority="2822" stopIfTrue="1" operator="equal">
      <formula>"Napkin Hs"</formula>
    </cfRule>
  </conditionalFormatting>
  <conditionalFormatting sqref="C71">
    <cfRule type="cellIs" dxfId="2371" priority="2820" stopIfTrue="1" operator="equal">
      <formula>"Napkin Hs"</formula>
    </cfRule>
  </conditionalFormatting>
  <conditionalFormatting sqref="C71">
    <cfRule type="cellIs" dxfId="2370" priority="2817" stopIfTrue="1" operator="equal">
      <formula>"Towel"</formula>
    </cfRule>
    <cfRule type="cellIs" dxfId="2369" priority="2818" stopIfTrue="1" operator="equal">
      <formula>"Napkin Hs"</formula>
    </cfRule>
  </conditionalFormatting>
  <conditionalFormatting sqref="C71">
    <cfRule type="cellIs" dxfId="2368" priority="2819" stopIfTrue="1" operator="equal">
      <formula>"Towel"</formula>
    </cfRule>
  </conditionalFormatting>
  <conditionalFormatting sqref="B71:C71">
    <cfRule type="cellIs" dxfId="2367" priority="2815" stopIfTrue="1" operator="equal">
      <formula>"Towel"</formula>
    </cfRule>
    <cfRule type="cellIs" dxfId="2366" priority="2816" stopIfTrue="1" operator="equal">
      <formula>"Napkin Hs"</formula>
    </cfRule>
  </conditionalFormatting>
  <conditionalFormatting sqref="C71">
    <cfRule type="cellIs" dxfId="2365" priority="2814" stopIfTrue="1" operator="equal">
      <formula>"Napkin Hs"</formula>
    </cfRule>
  </conditionalFormatting>
  <conditionalFormatting sqref="C71">
    <cfRule type="cellIs" dxfId="2364" priority="2811" stopIfTrue="1" operator="equal">
      <formula>"Towel"</formula>
    </cfRule>
    <cfRule type="cellIs" dxfId="2363" priority="2812" stopIfTrue="1" operator="equal">
      <formula>"Napkin Hs"</formula>
    </cfRule>
  </conditionalFormatting>
  <conditionalFormatting sqref="C71">
    <cfRule type="cellIs" dxfId="2362" priority="2813" stopIfTrue="1" operator="equal">
      <formula>"Towel"</formula>
    </cfRule>
  </conditionalFormatting>
  <conditionalFormatting sqref="B71:C71">
    <cfRule type="cellIs" dxfId="2361" priority="2809" stopIfTrue="1" operator="equal">
      <formula>"Towel"</formula>
    </cfRule>
    <cfRule type="cellIs" dxfId="2360" priority="2810" stopIfTrue="1" operator="equal">
      <formula>"Napkin Hs"</formula>
    </cfRule>
  </conditionalFormatting>
  <conditionalFormatting sqref="C71">
    <cfRule type="cellIs" dxfId="2359" priority="2805" stopIfTrue="1" operator="equal">
      <formula>"Towel"</formula>
    </cfRule>
    <cfRule type="cellIs" dxfId="2358" priority="2806" stopIfTrue="1" operator="equal">
      <formula>"Napkin Hs"</formula>
    </cfRule>
  </conditionalFormatting>
  <conditionalFormatting sqref="B73:C73">
    <cfRule type="cellIs" dxfId="2357" priority="2887" stopIfTrue="1" operator="equal">
      <formula>"Towel"</formula>
    </cfRule>
    <cfRule type="cellIs" dxfId="2356" priority="2888" stopIfTrue="1" operator="equal">
      <formula>"Napkin Hs"</formula>
    </cfRule>
  </conditionalFormatting>
  <conditionalFormatting sqref="C73">
    <cfRule type="cellIs" dxfId="2355" priority="2886" stopIfTrue="1" operator="equal">
      <formula>"Napkin Hs"</formula>
    </cfRule>
  </conditionalFormatting>
  <conditionalFormatting sqref="C73">
    <cfRule type="cellIs" dxfId="2354" priority="2883" stopIfTrue="1" operator="equal">
      <formula>"Towel"</formula>
    </cfRule>
    <cfRule type="cellIs" dxfId="2353" priority="2884" stopIfTrue="1" operator="equal">
      <formula>"Napkin Hs"</formula>
    </cfRule>
  </conditionalFormatting>
  <conditionalFormatting sqref="C73">
    <cfRule type="cellIs" dxfId="2352" priority="2885" stopIfTrue="1" operator="equal">
      <formula>"Towel"</formula>
    </cfRule>
  </conditionalFormatting>
  <conditionalFormatting sqref="B73:C73">
    <cfRule type="cellIs" dxfId="2351" priority="2881" stopIfTrue="1" operator="equal">
      <formula>"Towel"</formula>
    </cfRule>
    <cfRule type="cellIs" dxfId="2350" priority="2882" stopIfTrue="1" operator="equal">
      <formula>"Napkin Hs"</formula>
    </cfRule>
  </conditionalFormatting>
  <conditionalFormatting sqref="C73">
    <cfRule type="cellIs" dxfId="2349" priority="2880" stopIfTrue="1" operator="equal">
      <formula>"Napkin Hs"</formula>
    </cfRule>
  </conditionalFormatting>
  <conditionalFormatting sqref="C73">
    <cfRule type="cellIs" dxfId="2348" priority="2877" stopIfTrue="1" operator="equal">
      <formula>"Towel"</formula>
    </cfRule>
    <cfRule type="cellIs" dxfId="2347" priority="2878" stopIfTrue="1" operator="equal">
      <formula>"Napkin Hs"</formula>
    </cfRule>
  </conditionalFormatting>
  <conditionalFormatting sqref="C73">
    <cfRule type="cellIs" dxfId="2346" priority="2879" stopIfTrue="1" operator="equal">
      <formula>"Towel"</formula>
    </cfRule>
  </conditionalFormatting>
  <conditionalFormatting sqref="B73:C73">
    <cfRule type="cellIs" dxfId="2345" priority="2875" stopIfTrue="1" operator="equal">
      <formula>"Towel"</formula>
    </cfRule>
    <cfRule type="cellIs" dxfId="2344" priority="2876" stopIfTrue="1" operator="equal">
      <formula>"Napkin Hs"</formula>
    </cfRule>
  </conditionalFormatting>
  <conditionalFormatting sqref="C73">
    <cfRule type="cellIs" dxfId="2343" priority="2874" stopIfTrue="1" operator="equal">
      <formula>"Napkin Hs"</formula>
    </cfRule>
  </conditionalFormatting>
  <conditionalFormatting sqref="C73">
    <cfRule type="cellIs" dxfId="2342" priority="2871" stopIfTrue="1" operator="equal">
      <formula>"Towel"</formula>
    </cfRule>
    <cfRule type="cellIs" dxfId="2341" priority="2872" stopIfTrue="1" operator="equal">
      <formula>"Napkin Hs"</formula>
    </cfRule>
  </conditionalFormatting>
  <conditionalFormatting sqref="C73">
    <cfRule type="cellIs" dxfId="2340" priority="2873" stopIfTrue="1" operator="equal">
      <formula>"Towel"</formula>
    </cfRule>
  </conditionalFormatting>
  <conditionalFormatting sqref="B73:C73">
    <cfRule type="cellIs" dxfId="2339" priority="2869" stopIfTrue="1" operator="equal">
      <formula>"Towel"</formula>
    </cfRule>
    <cfRule type="cellIs" dxfId="2338" priority="2870" stopIfTrue="1" operator="equal">
      <formula>"Napkin Hs"</formula>
    </cfRule>
  </conditionalFormatting>
  <conditionalFormatting sqref="C73">
    <cfRule type="cellIs" dxfId="2337" priority="2868" stopIfTrue="1" operator="equal">
      <formula>"Napkin Hs"</formula>
    </cfRule>
  </conditionalFormatting>
  <conditionalFormatting sqref="C73">
    <cfRule type="cellIs" dxfId="2336" priority="2865" stopIfTrue="1" operator="equal">
      <formula>"Towel"</formula>
    </cfRule>
    <cfRule type="cellIs" dxfId="2335" priority="2866" stopIfTrue="1" operator="equal">
      <formula>"Napkin Hs"</formula>
    </cfRule>
  </conditionalFormatting>
  <conditionalFormatting sqref="C73">
    <cfRule type="cellIs" dxfId="2334" priority="2867" stopIfTrue="1" operator="equal">
      <formula>"Towel"</formula>
    </cfRule>
  </conditionalFormatting>
  <conditionalFormatting sqref="B73:C73">
    <cfRule type="cellIs" dxfId="2333" priority="2863" stopIfTrue="1" operator="equal">
      <formula>"Towel"</formula>
    </cfRule>
    <cfRule type="cellIs" dxfId="2332" priority="2864" stopIfTrue="1" operator="equal">
      <formula>"Napkin Hs"</formula>
    </cfRule>
  </conditionalFormatting>
  <conditionalFormatting sqref="C73">
    <cfRule type="cellIs" dxfId="2331" priority="2861" stopIfTrue="1" operator="equal">
      <formula>"Towel"</formula>
    </cfRule>
    <cfRule type="cellIs" dxfId="2330" priority="2862" stopIfTrue="1" operator="equal">
      <formula>"Napkin Hs"</formula>
    </cfRule>
  </conditionalFormatting>
  <conditionalFormatting sqref="C73">
    <cfRule type="cellIs" dxfId="2329" priority="2859" stopIfTrue="1" operator="equal">
      <formula>"Towel"</formula>
    </cfRule>
    <cfRule type="cellIs" dxfId="2328" priority="2860" stopIfTrue="1" operator="equal">
      <formula>"Napkin Hs"</formula>
    </cfRule>
  </conditionalFormatting>
  <conditionalFormatting sqref="C73">
    <cfRule type="cellIs" dxfId="2327" priority="2855" stopIfTrue="1" operator="equal">
      <formula>"Towel"</formula>
    </cfRule>
    <cfRule type="cellIs" dxfId="2326" priority="2856" stopIfTrue="1" operator="equal">
      <formula>"Napkin Hs"</formula>
    </cfRule>
  </conditionalFormatting>
  <conditionalFormatting sqref="C71">
    <cfRule type="cellIs" dxfId="2325" priority="2832" stopIfTrue="1" operator="equal">
      <formula>"Napkin Hs"</formula>
    </cfRule>
  </conditionalFormatting>
  <conditionalFormatting sqref="C71">
    <cfRule type="cellIs" dxfId="2324" priority="2831" stopIfTrue="1" operator="equal">
      <formula>"Towel"</formula>
    </cfRule>
  </conditionalFormatting>
  <conditionalFormatting sqref="C71">
    <cfRule type="cellIs" dxfId="2323" priority="2826" stopIfTrue="1" operator="equal">
      <formula>"Napkin Hs"</formula>
    </cfRule>
  </conditionalFormatting>
  <conditionalFormatting sqref="C71">
    <cfRule type="cellIs" dxfId="2322" priority="2825" stopIfTrue="1" operator="equal">
      <formula>"Towel"</formula>
    </cfRule>
  </conditionalFormatting>
  <conditionalFormatting sqref="C71">
    <cfRule type="cellIs" dxfId="2321" priority="2807" stopIfTrue="1" operator="equal">
      <formula>"Towel"</formula>
    </cfRule>
    <cfRule type="cellIs" dxfId="2320" priority="2808" stopIfTrue="1" operator="equal">
      <formula>"Napkin Hs"</formula>
    </cfRule>
  </conditionalFormatting>
  <conditionalFormatting sqref="B71:C71">
    <cfRule type="cellIs" dxfId="2319" priority="2803" stopIfTrue="1" operator="equal">
      <formula>"Towel"</formula>
    </cfRule>
    <cfRule type="cellIs" dxfId="2318" priority="2804" stopIfTrue="1" operator="equal">
      <formula>"Napkin Hs"</formula>
    </cfRule>
  </conditionalFormatting>
  <conditionalFormatting sqref="C71">
    <cfRule type="cellIs" dxfId="2317" priority="2801" stopIfTrue="1" operator="equal">
      <formula>"Towel"</formula>
    </cfRule>
    <cfRule type="cellIs" dxfId="2316" priority="2802" stopIfTrue="1" operator="equal">
      <formula>"Napkin Hs"</formula>
    </cfRule>
  </conditionalFormatting>
  <conditionalFormatting sqref="C71">
    <cfRule type="cellIs" dxfId="2315" priority="2799" stopIfTrue="1" operator="equal">
      <formula>"Towel"</formula>
    </cfRule>
    <cfRule type="cellIs" dxfId="2314" priority="2800" stopIfTrue="1" operator="equal">
      <formula>"Napkin Hs"</formula>
    </cfRule>
  </conditionalFormatting>
  <conditionalFormatting sqref="B71:C71">
    <cfRule type="cellIs" dxfId="2313" priority="2797" stopIfTrue="1" operator="equal">
      <formula>"Towel"</formula>
    </cfRule>
    <cfRule type="cellIs" dxfId="2312" priority="2798" stopIfTrue="1" operator="equal">
      <formula>"Napkin Hs"</formula>
    </cfRule>
  </conditionalFormatting>
  <conditionalFormatting sqref="C71">
    <cfRule type="cellIs" dxfId="2311" priority="2796" stopIfTrue="1" operator="equal">
      <formula>"Napkin Hs"</formula>
    </cfRule>
  </conditionalFormatting>
  <conditionalFormatting sqref="C71">
    <cfRule type="cellIs" dxfId="2310" priority="2793" stopIfTrue="1" operator="equal">
      <formula>"Towel"</formula>
    </cfRule>
    <cfRule type="cellIs" dxfId="2309" priority="2794" stopIfTrue="1" operator="equal">
      <formula>"Napkin Hs"</formula>
    </cfRule>
  </conditionalFormatting>
  <conditionalFormatting sqref="C71">
    <cfRule type="cellIs" dxfId="2308" priority="2795" stopIfTrue="1" operator="equal">
      <formula>"Towel"</formula>
    </cfRule>
  </conditionalFormatting>
  <conditionalFormatting sqref="B71:C71">
    <cfRule type="cellIs" dxfId="2307" priority="2791" stopIfTrue="1" operator="equal">
      <formula>"Towel"</formula>
    </cfRule>
    <cfRule type="cellIs" dxfId="2306" priority="2792" stopIfTrue="1" operator="equal">
      <formula>"Napkin Hs"</formula>
    </cfRule>
  </conditionalFormatting>
  <conditionalFormatting sqref="C71">
    <cfRule type="cellIs" dxfId="2305" priority="2790" stopIfTrue="1" operator="equal">
      <formula>"Napkin Hs"</formula>
    </cfRule>
  </conditionalFormatting>
  <conditionalFormatting sqref="C71">
    <cfRule type="cellIs" dxfId="2304" priority="2787" stopIfTrue="1" operator="equal">
      <formula>"Towel"</formula>
    </cfRule>
    <cfRule type="cellIs" dxfId="2303" priority="2788" stopIfTrue="1" operator="equal">
      <formula>"Napkin Hs"</formula>
    </cfRule>
  </conditionalFormatting>
  <conditionalFormatting sqref="C71">
    <cfRule type="cellIs" dxfId="2302" priority="2789" stopIfTrue="1" operator="equal">
      <formula>"Towel"</formula>
    </cfRule>
  </conditionalFormatting>
  <conditionalFormatting sqref="B71:C71">
    <cfRule type="cellIs" dxfId="2301" priority="2785" stopIfTrue="1" operator="equal">
      <formula>"Towel"</formula>
    </cfRule>
    <cfRule type="cellIs" dxfId="2300" priority="2786" stopIfTrue="1" operator="equal">
      <formula>"Napkin Hs"</formula>
    </cfRule>
  </conditionalFormatting>
  <conditionalFormatting sqref="C71">
    <cfRule type="cellIs" dxfId="2299" priority="2784" stopIfTrue="1" operator="equal">
      <formula>"Napkin Hs"</formula>
    </cfRule>
  </conditionalFormatting>
  <conditionalFormatting sqref="C71">
    <cfRule type="cellIs" dxfId="2298" priority="2781" stopIfTrue="1" operator="equal">
      <formula>"Towel"</formula>
    </cfRule>
    <cfRule type="cellIs" dxfId="2297" priority="2782" stopIfTrue="1" operator="equal">
      <formula>"Napkin Hs"</formula>
    </cfRule>
  </conditionalFormatting>
  <conditionalFormatting sqref="C71">
    <cfRule type="cellIs" dxfId="2296" priority="2783" stopIfTrue="1" operator="equal">
      <formula>"Towel"</formula>
    </cfRule>
  </conditionalFormatting>
  <conditionalFormatting sqref="B72:C72">
    <cfRule type="cellIs" dxfId="2295" priority="2779" stopIfTrue="1" operator="equal">
      <formula>"Towel"</formula>
    </cfRule>
    <cfRule type="cellIs" dxfId="2294" priority="2780" stopIfTrue="1" operator="equal">
      <formula>"Napkin Hs"</formula>
    </cfRule>
  </conditionalFormatting>
  <conditionalFormatting sqref="C72">
    <cfRule type="cellIs" dxfId="2293" priority="2778" stopIfTrue="1" operator="equal">
      <formula>"Napkin Hs"</formula>
    </cfRule>
  </conditionalFormatting>
  <conditionalFormatting sqref="C72">
    <cfRule type="cellIs" dxfId="2292" priority="2775" stopIfTrue="1" operator="equal">
      <formula>"Towel"</formula>
    </cfRule>
    <cfRule type="cellIs" dxfId="2291" priority="2776" stopIfTrue="1" operator="equal">
      <formula>"Napkin Hs"</formula>
    </cfRule>
  </conditionalFormatting>
  <conditionalFormatting sqref="C72">
    <cfRule type="cellIs" dxfId="2290" priority="2777" stopIfTrue="1" operator="equal">
      <formula>"Towel"</formula>
    </cfRule>
  </conditionalFormatting>
  <conditionalFormatting sqref="B72:C72">
    <cfRule type="cellIs" dxfId="2289" priority="2773" stopIfTrue="1" operator="equal">
      <formula>"Towel"</formula>
    </cfRule>
    <cfRule type="cellIs" dxfId="2288" priority="2774" stopIfTrue="1" operator="equal">
      <formula>"Napkin Hs"</formula>
    </cfRule>
  </conditionalFormatting>
  <conditionalFormatting sqref="C72">
    <cfRule type="cellIs" dxfId="2287" priority="2772" stopIfTrue="1" operator="equal">
      <formula>"Napkin Hs"</formula>
    </cfRule>
  </conditionalFormatting>
  <conditionalFormatting sqref="C72">
    <cfRule type="cellIs" dxfId="2286" priority="2769" stopIfTrue="1" operator="equal">
      <formula>"Towel"</formula>
    </cfRule>
    <cfRule type="cellIs" dxfId="2285" priority="2770" stopIfTrue="1" operator="equal">
      <formula>"Napkin Hs"</formula>
    </cfRule>
  </conditionalFormatting>
  <conditionalFormatting sqref="C72">
    <cfRule type="cellIs" dxfId="2284" priority="2771" stopIfTrue="1" operator="equal">
      <formula>"Towel"</formula>
    </cfRule>
  </conditionalFormatting>
  <conditionalFormatting sqref="B72:C72">
    <cfRule type="cellIs" dxfId="2283" priority="2767" stopIfTrue="1" operator="equal">
      <formula>"Towel"</formula>
    </cfRule>
    <cfRule type="cellIs" dxfId="2282" priority="2768" stopIfTrue="1" operator="equal">
      <formula>"Napkin Hs"</formula>
    </cfRule>
  </conditionalFormatting>
  <conditionalFormatting sqref="C72">
    <cfRule type="cellIs" dxfId="2281" priority="2766" stopIfTrue="1" operator="equal">
      <formula>"Napkin Hs"</formula>
    </cfRule>
  </conditionalFormatting>
  <conditionalFormatting sqref="C72">
    <cfRule type="cellIs" dxfId="2280" priority="2763" stopIfTrue="1" operator="equal">
      <formula>"Towel"</formula>
    </cfRule>
    <cfRule type="cellIs" dxfId="2279" priority="2764" stopIfTrue="1" operator="equal">
      <formula>"Napkin Hs"</formula>
    </cfRule>
  </conditionalFormatting>
  <conditionalFormatting sqref="C72">
    <cfRule type="cellIs" dxfId="2278" priority="2765" stopIfTrue="1" operator="equal">
      <formula>"Towel"</formula>
    </cfRule>
  </conditionalFormatting>
  <conditionalFormatting sqref="B72:C72">
    <cfRule type="cellIs" dxfId="2277" priority="2761" stopIfTrue="1" operator="equal">
      <formula>"Towel"</formula>
    </cfRule>
    <cfRule type="cellIs" dxfId="2276" priority="2762" stopIfTrue="1" operator="equal">
      <formula>"Napkin Hs"</formula>
    </cfRule>
  </conditionalFormatting>
  <conditionalFormatting sqref="C72">
    <cfRule type="cellIs" dxfId="2275" priority="2760" stopIfTrue="1" operator="equal">
      <formula>"Napkin Hs"</formula>
    </cfRule>
  </conditionalFormatting>
  <conditionalFormatting sqref="C72">
    <cfRule type="cellIs" dxfId="2274" priority="2757" stopIfTrue="1" operator="equal">
      <formula>"Towel"</formula>
    </cfRule>
    <cfRule type="cellIs" dxfId="2273" priority="2758" stopIfTrue="1" operator="equal">
      <formula>"Napkin Hs"</formula>
    </cfRule>
  </conditionalFormatting>
  <conditionalFormatting sqref="C72">
    <cfRule type="cellIs" dxfId="2272" priority="2759" stopIfTrue="1" operator="equal">
      <formula>"Towel"</formula>
    </cfRule>
  </conditionalFormatting>
  <conditionalFormatting sqref="B72:C72">
    <cfRule type="cellIs" dxfId="2271" priority="2755" stopIfTrue="1" operator="equal">
      <formula>"Towel"</formula>
    </cfRule>
    <cfRule type="cellIs" dxfId="2270" priority="2756" stopIfTrue="1" operator="equal">
      <formula>"Napkin Hs"</formula>
    </cfRule>
  </conditionalFormatting>
  <conditionalFormatting sqref="C72">
    <cfRule type="cellIs" dxfId="2269" priority="2754" stopIfTrue="1" operator="equal">
      <formula>"Napkin Hs"</formula>
    </cfRule>
  </conditionalFormatting>
  <conditionalFormatting sqref="C72">
    <cfRule type="cellIs" dxfId="2268" priority="2751" stopIfTrue="1" operator="equal">
      <formula>"Towel"</formula>
    </cfRule>
    <cfRule type="cellIs" dxfId="2267" priority="2752" stopIfTrue="1" operator="equal">
      <formula>"Napkin Hs"</formula>
    </cfRule>
  </conditionalFormatting>
  <conditionalFormatting sqref="C72">
    <cfRule type="cellIs" dxfId="2266" priority="2753" stopIfTrue="1" operator="equal">
      <formula>"Towel"</formula>
    </cfRule>
  </conditionalFormatting>
  <conditionalFormatting sqref="B92:C92">
    <cfRule type="cellIs" dxfId="2265" priority="2345" stopIfTrue="1" operator="equal">
      <formula>"Towel"</formula>
    </cfRule>
    <cfRule type="cellIs" dxfId="2264" priority="2346" stopIfTrue="1" operator="equal">
      <formula>"Napkin Hs"</formula>
    </cfRule>
  </conditionalFormatting>
  <conditionalFormatting sqref="C92">
    <cfRule type="cellIs" dxfId="2263" priority="2347" stopIfTrue="1" operator="equal">
      <formula>"Towel"</formula>
    </cfRule>
    <cfRule type="cellIs" dxfId="2262" priority="2348" stopIfTrue="1" operator="equal">
      <formula>"Napkin Hs"</formula>
    </cfRule>
  </conditionalFormatting>
  <conditionalFormatting sqref="C92">
    <cfRule type="cellIs" dxfId="2261" priority="2343" stopIfTrue="1" operator="equal">
      <formula>"Towel"</formula>
    </cfRule>
    <cfRule type="cellIs" dxfId="2260" priority="2344" stopIfTrue="1" operator="equal">
      <formula>"Napkin Hs"</formula>
    </cfRule>
  </conditionalFormatting>
  <conditionalFormatting sqref="B80:C80">
    <cfRule type="cellIs" dxfId="2259" priority="2335" stopIfTrue="1" operator="equal">
      <formula>"Towel"</formula>
    </cfRule>
    <cfRule type="cellIs" dxfId="2258" priority="2336" stopIfTrue="1" operator="equal">
      <formula>"Napkin Hs"</formula>
    </cfRule>
  </conditionalFormatting>
  <conditionalFormatting sqref="C80">
    <cfRule type="cellIs" dxfId="2257" priority="2331" stopIfTrue="1" operator="equal">
      <formula>"Towel"</formula>
    </cfRule>
    <cfRule type="cellIs" dxfId="2256" priority="2332" stopIfTrue="1" operator="equal">
      <formula>"Napkin Hs"</formula>
    </cfRule>
  </conditionalFormatting>
  <conditionalFormatting sqref="C80">
    <cfRule type="cellIs" dxfId="2255" priority="2333" stopIfTrue="1" operator="equal">
      <formula>"Towel"</formula>
    </cfRule>
    <cfRule type="cellIs" dxfId="2254" priority="2334" stopIfTrue="1" operator="equal">
      <formula>"Napkin Hs"</formula>
    </cfRule>
  </conditionalFormatting>
  <conditionalFormatting sqref="B79:C79">
    <cfRule type="cellIs" dxfId="2253" priority="2299" stopIfTrue="1" operator="equal">
      <formula>"Towel"</formula>
    </cfRule>
    <cfRule type="cellIs" dxfId="2252" priority="2300" stopIfTrue="1" operator="equal">
      <formula>"Napkin Hs"</formula>
    </cfRule>
  </conditionalFormatting>
  <conditionalFormatting sqref="C79">
    <cfRule type="cellIs" dxfId="2251" priority="2295" stopIfTrue="1" operator="equal">
      <formula>"Towel"</formula>
    </cfRule>
    <cfRule type="cellIs" dxfId="2250" priority="2296" stopIfTrue="1" operator="equal">
      <formula>"Napkin Hs"</formula>
    </cfRule>
  </conditionalFormatting>
  <conditionalFormatting sqref="B79:C79">
    <cfRule type="cellIs" dxfId="2249" priority="2293" stopIfTrue="1" operator="equal">
      <formula>"Towel"</formula>
    </cfRule>
    <cfRule type="cellIs" dxfId="2248" priority="2294" stopIfTrue="1" operator="equal">
      <formula>"Napkin Hs"</formula>
    </cfRule>
  </conditionalFormatting>
  <conditionalFormatting sqref="C79">
    <cfRule type="cellIs" dxfId="2247" priority="2292" stopIfTrue="1" operator="equal">
      <formula>"Napkin Hs"</formula>
    </cfRule>
  </conditionalFormatting>
  <conditionalFormatting sqref="C79">
    <cfRule type="cellIs" dxfId="2246" priority="2289" stopIfTrue="1" operator="equal">
      <formula>"Towel"</formula>
    </cfRule>
    <cfRule type="cellIs" dxfId="2245" priority="2290" stopIfTrue="1" operator="equal">
      <formula>"Napkin Hs"</formula>
    </cfRule>
  </conditionalFormatting>
  <conditionalFormatting sqref="C79">
    <cfRule type="cellIs" dxfId="2244" priority="2291" stopIfTrue="1" operator="equal">
      <formula>"Towel"</formula>
    </cfRule>
  </conditionalFormatting>
  <conditionalFormatting sqref="B79:C79">
    <cfRule type="cellIs" dxfId="2243" priority="2287" stopIfTrue="1" operator="equal">
      <formula>"Towel"</formula>
    </cfRule>
    <cfRule type="cellIs" dxfId="2242" priority="2288" stopIfTrue="1" operator="equal">
      <formula>"Napkin Hs"</formula>
    </cfRule>
  </conditionalFormatting>
  <conditionalFormatting sqref="C79">
    <cfRule type="cellIs" dxfId="2241" priority="2286" stopIfTrue="1" operator="equal">
      <formula>"Napkin Hs"</formula>
    </cfRule>
  </conditionalFormatting>
  <conditionalFormatting sqref="C79">
    <cfRule type="cellIs" dxfId="2240" priority="2283" stopIfTrue="1" operator="equal">
      <formula>"Towel"</formula>
    </cfRule>
    <cfRule type="cellIs" dxfId="2239" priority="2284" stopIfTrue="1" operator="equal">
      <formula>"Napkin Hs"</formula>
    </cfRule>
  </conditionalFormatting>
  <conditionalFormatting sqref="C79">
    <cfRule type="cellIs" dxfId="2238" priority="2285" stopIfTrue="1" operator="equal">
      <formula>"Towel"</formula>
    </cfRule>
  </conditionalFormatting>
  <conditionalFormatting sqref="B79:C79">
    <cfRule type="cellIs" dxfId="2237" priority="2281" stopIfTrue="1" operator="equal">
      <formula>"Towel"</formula>
    </cfRule>
    <cfRule type="cellIs" dxfId="2236" priority="2282" stopIfTrue="1" operator="equal">
      <formula>"Napkin Hs"</formula>
    </cfRule>
  </conditionalFormatting>
  <conditionalFormatting sqref="C79">
    <cfRule type="cellIs" dxfId="2235" priority="2280" stopIfTrue="1" operator="equal">
      <formula>"Napkin Hs"</formula>
    </cfRule>
  </conditionalFormatting>
  <conditionalFormatting sqref="C79">
    <cfRule type="cellIs" dxfId="2234" priority="2277" stopIfTrue="1" operator="equal">
      <formula>"Towel"</formula>
    </cfRule>
    <cfRule type="cellIs" dxfId="2233" priority="2278" stopIfTrue="1" operator="equal">
      <formula>"Napkin Hs"</formula>
    </cfRule>
  </conditionalFormatting>
  <conditionalFormatting sqref="C79">
    <cfRule type="cellIs" dxfId="2232" priority="2279" stopIfTrue="1" operator="equal">
      <formula>"Towel"</formula>
    </cfRule>
  </conditionalFormatting>
  <conditionalFormatting sqref="B79:C79">
    <cfRule type="cellIs" dxfId="2231" priority="2329" stopIfTrue="1" operator="equal">
      <formula>"Towel"</formula>
    </cfRule>
    <cfRule type="cellIs" dxfId="2230" priority="2330" stopIfTrue="1" operator="equal">
      <formula>"Napkin Hs"</formula>
    </cfRule>
  </conditionalFormatting>
  <conditionalFormatting sqref="C79">
    <cfRule type="cellIs" dxfId="2229" priority="2328" stopIfTrue="1" operator="equal">
      <formula>"Napkin Hs"</formula>
    </cfRule>
  </conditionalFormatting>
  <conditionalFormatting sqref="C79">
    <cfRule type="cellIs" dxfId="2228" priority="2325" stopIfTrue="1" operator="equal">
      <formula>"Towel"</formula>
    </cfRule>
    <cfRule type="cellIs" dxfId="2227" priority="2326" stopIfTrue="1" operator="equal">
      <formula>"Napkin Hs"</formula>
    </cfRule>
  </conditionalFormatting>
  <conditionalFormatting sqref="C79">
    <cfRule type="cellIs" dxfId="2226" priority="2327" stopIfTrue="1" operator="equal">
      <formula>"Towel"</formula>
    </cfRule>
  </conditionalFormatting>
  <conditionalFormatting sqref="B79:C79">
    <cfRule type="cellIs" dxfId="2225" priority="2323" stopIfTrue="1" operator="equal">
      <formula>"Towel"</formula>
    </cfRule>
    <cfRule type="cellIs" dxfId="2224" priority="2324" stopIfTrue="1" operator="equal">
      <formula>"Napkin Hs"</formula>
    </cfRule>
  </conditionalFormatting>
  <conditionalFormatting sqref="C79">
    <cfRule type="cellIs" dxfId="2223" priority="2322" stopIfTrue="1" operator="equal">
      <formula>"Napkin Hs"</formula>
    </cfRule>
  </conditionalFormatting>
  <conditionalFormatting sqref="C79">
    <cfRule type="cellIs" dxfId="2222" priority="2319" stopIfTrue="1" operator="equal">
      <formula>"Towel"</formula>
    </cfRule>
    <cfRule type="cellIs" dxfId="2221" priority="2320" stopIfTrue="1" operator="equal">
      <formula>"Napkin Hs"</formula>
    </cfRule>
  </conditionalFormatting>
  <conditionalFormatting sqref="C79">
    <cfRule type="cellIs" dxfId="2220" priority="2321" stopIfTrue="1" operator="equal">
      <formula>"Towel"</formula>
    </cfRule>
  </conditionalFormatting>
  <conditionalFormatting sqref="B79:C79">
    <cfRule type="cellIs" dxfId="2219" priority="2317" stopIfTrue="1" operator="equal">
      <formula>"Towel"</formula>
    </cfRule>
    <cfRule type="cellIs" dxfId="2218" priority="2318" stopIfTrue="1" operator="equal">
      <formula>"Napkin Hs"</formula>
    </cfRule>
  </conditionalFormatting>
  <conditionalFormatting sqref="C79">
    <cfRule type="cellIs" dxfId="2217" priority="2316" stopIfTrue="1" operator="equal">
      <formula>"Napkin Hs"</formula>
    </cfRule>
  </conditionalFormatting>
  <conditionalFormatting sqref="C79">
    <cfRule type="cellIs" dxfId="2216" priority="2313" stopIfTrue="1" operator="equal">
      <formula>"Towel"</formula>
    </cfRule>
    <cfRule type="cellIs" dxfId="2215" priority="2314" stopIfTrue="1" operator="equal">
      <formula>"Napkin Hs"</formula>
    </cfRule>
  </conditionalFormatting>
  <conditionalFormatting sqref="C79">
    <cfRule type="cellIs" dxfId="2214" priority="2315" stopIfTrue="1" operator="equal">
      <formula>"Towel"</formula>
    </cfRule>
  </conditionalFormatting>
  <conditionalFormatting sqref="B79:C79">
    <cfRule type="cellIs" dxfId="2213" priority="2311" stopIfTrue="1" operator="equal">
      <formula>"Towel"</formula>
    </cfRule>
    <cfRule type="cellIs" dxfId="2212" priority="2312" stopIfTrue="1" operator="equal">
      <formula>"Napkin Hs"</formula>
    </cfRule>
  </conditionalFormatting>
  <conditionalFormatting sqref="C79">
    <cfRule type="cellIs" dxfId="2211" priority="2310" stopIfTrue="1" operator="equal">
      <formula>"Napkin Hs"</formula>
    </cfRule>
  </conditionalFormatting>
  <conditionalFormatting sqref="C79">
    <cfRule type="cellIs" dxfId="2210" priority="2307" stopIfTrue="1" operator="equal">
      <formula>"Towel"</formula>
    </cfRule>
    <cfRule type="cellIs" dxfId="2209" priority="2308" stopIfTrue="1" operator="equal">
      <formula>"Napkin Hs"</formula>
    </cfRule>
  </conditionalFormatting>
  <conditionalFormatting sqref="C79">
    <cfRule type="cellIs" dxfId="2208" priority="2309" stopIfTrue="1" operator="equal">
      <formula>"Towel"</formula>
    </cfRule>
  </conditionalFormatting>
  <conditionalFormatting sqref="B79:C79">
    <cfRule type="cellIs" dxfId="2207" priority="2305" stopIfTrue="1" operator="equal">
      <formula>"Towel"</formula>
    </cfRule>
    <cfRule type="cellIs" dxfId="2206" priority="2306" stopIfTrue="1" operator="equal">
      <formula>"Napkin Hs"</formula>
    </cfRule>
  </conditionalFormatting>
  <conditionalFormatting sqref="C79">
    <cfRule type="cellIs" dxfId="2205" priority="2303" stopIfTrue="1" operator="equal">
      <formula>"Towel"</formula>
    </cfRule>
    <cfRule type="cellIs" dxfId="2204" priority="2304" stopIfTrue="1" operator="equal">
      <formula>"Napkin Hs"</formula>
    </cfRule>
  </conditionalFormatting>
  <conditionalFormatting sqref="C79">
    <cfRule type="cellIs" dxfId="2203" priority="2301" stopIfTrue="1" operator="equal">
      <formula>"Towel"</formula>
    </cfRule>
    <cfRule type="cellIs" dxfId="2202" priority="2302" stopIfTrue="1" operator="equal">
      <formula>"Napkin Hs"</formula>
    </cfRule>
  </conditionalFormatting>
  <conditionalFormatting sqref="C79">
    <cfRule type="cellIs" dxfId="2201" priority="2297" stopIfTrue="1" operator="equal">
      <formula>"Towel"</formula>
    </cfRule>
    <cfRule type="cellIs" dxfId="2200" priority="2298" stopIfTrue="1" operator="equal">
      <formula>"Napkin Hs"</formula>
    </cfRule>
  </conditionalFormatting>
  <conditionalFormatting sqref="B77:C78">
    <cfRule type="cellIs" dxfId="2199" priority="2275" stopIfTrue="1" operator="equal">
      <formula>"Towel"</formula>
    </cfRule>
    <cfRule type="cellIs" dxfId="2198" priority="2276" stopIfTrue="1" operator="equal">
      <formula>"Napkin Hs"</formula>
    </cfRule>
  </conditionalFormatting>
  <conditionalFormatting sqref="C77:C78">
    <cfRule type="cellIs" dxfId="2197" priority="2274" stopIfTrue="1" operator="equal">
      <formula>"Napkin Hs"</formula>
    </cfRule>
  </conditionalFormatting>
  <conditionalFormatting sqref="C77:C78">
    <cfRule type="cellIs" dxfId="2196" priority="2271" stopIfTrue="1" operator="equal">
      <formula>"Towel"</formula>
    </cfRule>
    <cfRule type="cellIs" dxfId="2195" priority="2272" stopIfTrue="1" operator="equal">
      <formula>"Napkin Hs"</formula>
    </cfRule>
  </conditionalFormatting>
  <conditionalFormatting sqref="C77:C78">
    <cfRule type="cellIs" dxfId="2194" priority="2273" stopIfTrue="1" operator="equal">
      <formula>"Towel"</formula>
    </cfRule>
  </conditionalFormatting>
  <conditionalFormatting sqref="B77:C78">
    <cfRule type="cellIs" dxfId="2193" priority="2269" stopIfTrue="1" operator="equal">
      <formula>"Towel"</formula>
    </cfRule>
    <cfRule type="cellIs" dxfId="2192" priority="2270" stopIfTrue="1" operator="equal">
      <formula>"Napkin Hs"</formula>
    </cfRule>
  </conditionalFormatting>
  <conditionalFormatting sqref="C77:C78">
    <cfRule type="cellIs" dxfId="2191" priority="2268" stopIfTrue="1" operator="equal">
      <formula>"Napkin Hs"</formula>
    </cfRule>
  </conditionalFormatting>
  <conditionalFormatting sqref="C77:C78">
    <cfRule type="cellIs" dxfId="2190" priority="2265" stopIfTrue="1" operator="equal">
      <formula>"Towel"</formula>
    </cfRule>
    <cfRule type="cellIs" dxfId="2189" priority="2266" stopIfTrue="1" operator="equal">
      <formula>"Napkin Hs"</formula>
    </cfRule>
  </conditionalFormatting>
  <conditionalFormatting sqref="C77:C78">
    <cfRule type="cellIs" dxfId="2188" priority="2267" stopIfTrue="1" operator="equal">
      <formula>"Towel"</formula>
    </cfRule>
  </conditionalFormatting>
  <conditionalFormatting sqref="B77:C78">
    <cfRule type="cellIs" dxfId="2187" priority="2263" stopIfTrue="1" operator="equal">
      <formula>"Towel"</formula>
    </cfRule>
    <cfRule type="cellIs" dxfId="2186" priority="2264" stopIfTrue="1" operator="equal">
      <formula>"Napkin Hs"</formula>
    </cfRule>
  </conditionalFormatting>
  <conditionalFormatting sqref="C77:C78">
    <cfRule type="cellIs" dxfId="2185" priority="2262" stopIfTrue="1" operator="equal">
      <formula>"Napkin Hs"</formula>
    </cfRule>
  </conditionalFormatting>
  <conditionalFormatting sqref="C77:C78">
    <cfRule type="cellIs" dxfId="2184" priority="2259" stopIfTrue="1" operator="equal">
      <formula>"Towel"</formula>
    </cfRule>
    <cfRule type="cellIs" dxfId="2183" priority="2260" stopIfTrue="1" operator="equal">
      <formula>"Napkin Hs"</formula>
    </cfRule>
  </conditionalFormatting>
  <conditionalFormatting sqref="C77:C78">
    <cfRule type="cellIs" dxfId="2182" priority="2261" stopIfTrue="1" operator="equal">
      <formula>"Towel"</formula>
    </cfRule>
  </conditionalFormatting>
  <conditionalFormatting sqref="B77:C78">
    <cfRule type="cellIs" dxfId="2181" priority="2257" stopIfTrue="1" operator="equal">
      <formula>"Towel"</formula>
    </cfRule>
    <cfRule type="cellIs" dxfId="2180" priority="2258" stopIfTrue="1" operator="equal">
      <formula>"Napkin Hs"</formula>
    </cfRule>
  </conditionalFormatting>
  <conditionalFormatting sqref="C77:C78">
    <cfRule type="cellIs" dxfId="2179" priority="2256" stopIfTrue="1" operator="equal">
      <formula>"Napkin Hs"</formula>
    </cfRule>
  </conditionalFormatting>
  <conditionalFormatting sqref="C77:C78">
    <cfRule type="cellIs" dxfId="2178" priority="2253" stopIfTrue="1" operator="equal">
      <formula>"Towel"</formula>
    </cfRule>
    <cfRule type="cellIs" dxfId="2177" priority="2254" stopIfTrue="1" operator="equal">
      <formula>"Napkin Hs"</formula>
    </cfRule>
  </conditionalFormatting>
  <conditionalFormatting sqref="C77:C78">
    <cfRule type="cellIs" dxfId="2176" priority="2255" stopIfTrue="1" operator="equal">
      <formula>"Towel"</formula>
    </cfRule>
  </conditionalFormatting>
  <conditionalFormatting sqref="B77:C78">
    <cfRule type="cellIs" dxfId="2175" priority="2251" stopIfTrue="1" operator="equal">
      <formula>"Towel"</formula>
    </cfRule>
    <cfRule type="cellIs" dxfId="2174" priority="2252" stopIfTrue="1" operator="equal">
      <formula>"Napkin Hs"</formula>
    </cfRule>
  </conditionalFormatting>
  <conditionalFormatting sqref="C77:C78">
    <cfRule type="cellIs" dxfId="2173" priority="2250" stopIfTrue="1" operator="equal">
      <formula>"Napkin Hs"</formula>
    </cfRule>
  </conditionalFormatting>
  <conditionalFormatting sqref="C77:C78">
    <cfRule type="cellIs" dxfId="2172" priority="2247" stopIfTrue="1" operator="equal">
      <formula>"Towel"</formula>
    </cfRule>
    <cfRule type="cellIs" dxfId="2171" priority="2248" stopIfTrue="1" operator="equal">
      <formula>"Napkin Hs"</formula>
    </cfRule>
  </conditionalFormatting>
  <conditionalFormatting sqref="C77:C78">
    <cfRule type="cellIs" dxfId="2170" priority="2249" stopIfTrue="1" operator="equal">
      <formula>"Towel"</formula>
    </cfRule>
  </conditionalFormatting>
  <conditionalFormatting sqref="B84:C84">
    <cfRule type="cellIs" dxfId="2169" priority="2245" stopIfTrue="1" operator="equal">
      <formula>"Towel"</formula>
    </cfRule>
    <cfRule type="cellIs" dxfId="2168" priority="2246" stopIfTrue="1" operator="equal">
      <formula>"Napkin Hs"</formula>
    </cfRule>
  </conditionalFormatting>
  <conditionalFormatting sqref="C84">
    <cfRule type="cellIs" dxfId="2167" priority="2241" stopIfTrue="1" operator="equal">
      <formula>"Towel"</formula>
    </cfRule>
    <cfRule type="cellIs" dxfId="2166" priority="2242" stopIfTrue="1" operator="equal">
      <formula>"Napkin Hs"</formula>
    </cfRule>
  </conditionalFormatting>
  <conditionalFormatting sqref="C84">
    <cfRule type="cellIs" dxfId="2165" priority="2243" stopIfTrue="1" operator="equal">
      <formula>"Towel"</formula>
    </cfRule>
    <cfRule type="cellIs" dxfId="2164" priority="2244" stopIfTrue="1" operator="equal">
      <formula>"Napkin Hs"</formula>
    </cfRule>
  </conditionalFormatting>
  <conditionalFormatting sqref="B83:C83">
    <cfRule type="cellIs" dxfId="2163" priority="2209" stopIfTrue="1" operator="equal">
      <formula>"Towel"</formula>
    </cfRule>
    <cfRule type="cellIs" dxfId="2162" priority="2210" stopIfTrue="1" operator="equal">
      <formula>"Napkin Hs"</formula>
    </cfRule>
  </conditionalFormatting>
  <conditionalFormatting sqref="C83">
    <cfRule type="cellIs" dxfId="2161" priority="2205" stopIfTrue="1" operator="equal">
      <formula>"Towel"</formula>
    </cfRule>
    <cfRule type="cellIs" dxfId="2160" priority="2206" stopIfTrue="1" operator="equal">
      <formula>"Napkin Hs"</formula>
    </cfRule>
  </conditionalFormatting>
  <conditionalFormatting sqref="B83:C83">
    <cfRule type="cellIs" dxfId="2159" priority="2203" stopIfTrue="1" operator="equal">
      <formula>"Towel"</formula>
    </cfRule>
    <cfRule type="cellIs" dxfId="2158" priority="2204" stopIfTrue="1" operator="equal">
      <formula>"Napkin Hs"</formula>
    </cfRule>
  </conditionalFormatting>
  <conditionalFormatting sqref="C83">
    <cfRule type="cellIs" dxfId="2157" priority="2202" stopIfTrue="1" operator="equal">
      <formula>"Napkin Hs"</formula>
    </cfRule>
  </conditionalFormatting>
  <conditionalFormatting sqref="C83">
    <cfRule type="cellIs" dxfId="2156" priority="2199" stopIfTrue="1" operator="equal">
      <formula>"Towel"</formula>
    </cfRule>
    <cfRule type="cellIs" dxfId="2155" priority="2200" stopIfTrue="1" operator="equal">
      <formula>"Napkin Hs"</formula>
    </cfRule>
  </conditionalFormatting>
  <conditionalFormatting sqref="C83">
    <cfRule type="cellIs" dxfId="2154" priority="2201" stopIfTrue="1" operator="equal">
      <formula>"Towel"</formula>
    </cfRule>
  </conditionalFormatting>
  <conditionalFormatting sqref="B83:C83">
    <cfRule type="cellIs" dxfId="2153" priority="2197" stopIfTrue="1" operator="equal">
      <formula>"Towel"</formula>
    </cfRule>
    <cfRule type="cellIs" dxfId="2152" priority="2198" stopIfTrue="1" operator="equal">
      <formula>"Napkin Hs"</formula>
    </cfRule>
  </conditionalFormatting>
  <conditionalFormatting sqref="C83">
    <cfRule type="cellIs" dxfId="2151" priority="2196" stopIfTrue="1" operator="equal">
      <formula>"Napkin Hs"</formula>
    </cfRule>
  </conditionalFormatting>
  <conditionalFormatting sqref="C83">
    <cfRule type="cellIs" dxfId="2150" priority="2193" stopIfTrue="1" operator="equal">
      <formula>"Towel"</formula>
    </cfRule>
    <cfRule type="cellIs" dxfId="2149" priority="2194" stopIfTrue="1" operator="equal">
      <formula>"Napkin Hs"</formula>
    </cfRule>
  </conditionalFormatting>
  <conditionalFormatting sqref="C83">
    <cfRule type="cellIs" dxfId="2148" priority="2195" stopIfTrue="1" operator="equal">
      <formula>"Towel"</formula>
    </cfRule>
  </conditionalFormatting>
  <conditionalFormatting sqref="B83:C83">
    <cfRule type="cellIs" dxfId="2147" priority="2191" stopIfTrue="1" operator="equal">
      <formula>"Towel"</formula>
    </cfRule>
    <cfRule type="cellIs" dxfId="2146" priority="2192" stopIfTrue="1" operator="equal">
      <formula>"Napkin Hs"</formula>
    </cfRule>
  </conditionalFormatting>
  <conditionalFormatting sqref="C83">
    <cfRule type="cellIs" dxfId="2145" priority="2190" stopIfTrue="1" operator="equal">
      <formula>"Napkin Hs"</formula>
    </cfRule>
  </conditionalFormatting>
  <conditionalFormatting sqref="C83">
    <cfRule type="cellIs" dxfId="2144" priority="2187" stopIfTrue="1" operator="equal">
      <formula>"Towel"</formula>
    </cfRule>
    <cfRule type="cellIs" dxfId="2143" priority="2188" stopIfTrue="1" operator="equal">
      <formula>"Napkin Hs"</formula>
    </cfRule>
  </conditionalFormatting>
  <conditionalFormatting sqref="C83">
    <cfRule type="cellIs" dxfId="2142" priority="2189" stopIfTrue="1" operator="equal">
      <formula>"Towel"</formula>
    </cfRule>
  </conditionalFormatting>
  <conditionalFormatting sqref="B83:C83">
    <cfRule type="cellIs" dxfId="2141" priority="2239" stopIfTrue="1" operator="equal">
      <formula>"Towel"</formula>
    </cfRule>
    <cfRule type="cellIs" dxfId="2140" priority="2240" stopIfTrue="1" operator="equal">
      <formula>"Napkin Hs"</formula>
    </cfRule>
  </conditionalFormatting>
  <conditionalFormatting sqref="C83">
    <cfRule type="cellIs" dxfId="2139" priority="2238" stopIfTrue="1" operator="equal">
      <formula>"Napkin Hs"</formula>
    </cfRule>
  </conditionalFormatting>
  <conditionalFormatting sqref="C83">
    <cfRule type="cellIs" dxfId="2138" priority="2235" stopIfTrue="1" operator="equal">
      <formula>"Towel"</formula>
    </cfRule>
    <cfRule type="cellIs" dxfId="2137" priority="2236" stopIfTrue="1" operator="equal">
      <formula>"Napkin Hs"</formula>
    </cfRule>
  </conditionalFormatting>
  <conditionalFormatting sqref="C83">
    <cfRule type="cellIs" dxfId="2136" priority="2237" stopIfTrue="1" operator="equal">
      <formula>"Towel"</formula>
    </cfRule>
  </conditionalFormatting>
  <conditionalFormatting sqref="B83:C83">
    <cfRule type="cellIs" dxfId="2135" priority="2233" stopIfTrue="1" operator="equal">
      <formula>"Towel"</formula>
    </cfRule>
    <cfRule type="cellIs" dxfId="2134" priority="2234" stopIfTrue="1" operator="equal">
      <formula>"Napkin Hs"</formula>
    </cfRule>
  </conditionalFormatting>
  <conditionalFormatting sqref="C83">
    <cfRule type="cellIs" dxfId="2133" priority="2232" stopIfTrue="1" operator="equal">
      <formula>"Napkin Hs"</formula>
    </cfRule>
  </conditionalFormatting>
  <conditionalFormatting sqref="C83">
    <cfRule type="cellIs" dxfId="2132" priority="2229" stopIfTrue="1" operator="equal">
      <formula>"Towel"</formula>
    </cfRule>
    <cfRule type="cellIs" dxfId="2131" priority="2230" stopIfTrue="1" operator="equal">
      <formula>"Napkin Hs"</formula>
    </cfRule>
  </conditionalFormatting>
  <conditionalFormatting sqref="C83">
    <cfRule type="cellIs" dxfId="2130" priority="2231" stopIfTrue="1" operator="equal">
      <formula>"Towel"</formula>
    </cfRule>
  </conditionalFormatting>
  <conditionalFormatting sqref="B83:C83">
    <cfRule type="cellIs" dxfId="2129" priority="2227" stopIfTrue="1" operator="equal">
      <formula>"Towel"</formula>
    </cfRule>
    <cfRule type="cellIs" dxfId="2128" priority="2228" stopIfTrue="1" operator="equal">
      <formula>"Napkin Hs"</formula>
    </cfRule>
  </conditionalFormatting>
  <conditionalFormatting sqref="C83">
    <cfRule type="cellIs" dxfId="2127" priority="2226" stopIfTrue="1" operator="equal">
      <formula>"Napkin Hs"</formula>
    </cfRule>
  </conditionalFormatting>
  <conditionalFormatting sqref="C83">
    <cfRule type="cellIs" dxfId="2126" priority="2223" stopIfTrue="1" operator="equal">
      <formula>"Towel"</formula>
    </cfRule>
    <cfRule type="cellIs" dxfId="2125" priority="2224" stopIfTrue="1" operator="equal">
      <formula>"Napkin Hs"</formula>
    </cfRule>
  </conditionalFormatting>
  <conditionalFormatting sqref="C83">
    <cfRule type="cellIs" dxfId="2124" priority="2225" stopIfTrue="1" operator="equal">
      <formula>"Towel"</formula>
    </cfRule>
  </conditionalFormatting>
  <conditionalFormatting sqref="B83:C83">
    <cfRule type="cellIs" dxfId="2123" priority="2221" stopIfTrue="1" operator="equal">
      <formula>"Towel"</formula>
    </cfRule>
    <cfRule type="cellIs" dxfId="2122" priority="2222" stopIfTrue="1" operator="equal">
      <formula>"Napkin Hs"</formula>
    </cfRule>
  </conditionalFormatting>
  <conditionalFormatting sqref="C83">
    <cfRule type="cellIs" dxfId="2121" priority="2220" stopIfTrue="1" operator="equal">
      <formula>"Napkin Hs"</formula>
    </cfRule>
  </conditionalFormatting>
  <conditionalFormatting sqref="C83">
    <cfRule type="cellIs" dxfId="2120" priority="2217" stopIfTrue="1" operator="equal">
      <formula>"Towel"</formula>
    </cfRule>
    <cfRule type="cellIs" dxfId="2119" priority="2218" stopIfTrue="1" operator="equal">
      <formula>"Napkin Hs"</formula>
    </cfRule>
  </conditionalFormatting>
  <conditionalFormatting sqref="C83">
    <cfRule type="cellIs" dxfId="2118" priority="2219" stopIfTrue="1" operator="equal">
      <formula>"Towel"</formula>
    </cfRule>
  </conditionalFormatting>
  <conditionalFormatting sqref="B83:C83">
    <cfRule type="cellIs" dxfId="2117" priority="2215" stopIfTrue="1" operator="equal">
      <formula>"Towel"</formula>
    </cfRule>
    <cfRule type="cellIs" dxfId="2116" priority="2216" stopIfTrue="1" operator="equal">
      <formula>"Napkin Hs"</formula>
    </cfRule>
  </conditionalFormatting>
  <conditionalFormatting sqref="C83">
    <cfRule type="cellIs" dxfId="2115" priority="2213" stopIfTrue="1" operator="equal">
      <formula>"Towel"</formula>
    </cfRule>
    <cfRule type="cellIs" dxfId="2114" priority="2214" stopIfTrue="1" operator="equal">
      <formula>"Napkin Hs"</formula>
    </cfRule>
  </conditionalFormatting>
  <conditionalFormatting sqref="C83">
    <cfRule type="cellIs" dxfId="2113" priority="2211" stopIfTrue="1" operator="equal">
      <formula>"Towel"</formula>
    </cfRule>
    <cfRule type="cellIs" dxfId="2112" priority="2212" stopIfTrue="1" operator="equal">
      <formula>"Napkin Hs"</formula>
    </cfRule>
  </conditionalFormatting>
  <conditionalFormatting sqref="C83">
    <cfRule type="cellIs" dxfId="2111" priority="2207" stopIfTrue="1" operator="equal">
      <formula>"Towel"</formula>
    </cfRule>
    <cfRule type="cellIs" dxfId="2110" priority="2208" stopIfTrue="1" operator="equal">
      <formula>"Napkin Hs"</formula>
    </cfRule>
  </conditionalFormatting>
  <conditionalFormatting sqref="B82:C82">
    <cfRule type="cellIs" dxfId="2109" priority="2185" stopIfTrue="1" operator="equal">
      <formula>"Towel"</formula>
    </cfRule>
    <cfRule type="cellIs" dxfId="2108" priority="2186" stopIfTrue="1" operator="equal">
      <formula>"Napkin Hs"</formula>
    </cfRule>
  </conditionalFormatting>
  <conditionalFormatting sqref="C82">
    <cfRule type="cellIs" dxfId="2107" priority="2184" stopIfTrue="1" operator="equal">
      <formula>"Napkin Hs"</formula>
    </cfRule>
  </conditionalFormatting>
  <conditionalFormatting sqref="C82">
    <cfRule type="cellIs" dxfId="2106" priority="2181" stopIfTrue="1" operator="equal">
      <formula>"Towel"</formula>
    </cfRule>
    <cfRule type="cellIs" dxfId="2105" priority="2182" stopIfTrue="1" operator="equal">
      <formula>"Napkin Hs"</formula>
    </cfRule>
  </conditionalFormatting>
  <conditionalFormatting sqref="C82">
    <cfRule type="cellIs" dxfId="2104" priority="2183" stopIfTrue="1" operator="equal">
      <formula>"Towel"</formula>
    </cfRule>
  </conditionalFormatting>
  <conditionalFormatting sqref="B82:C82">
    <cfRule type="cellIs" dxfId="2103" priority="2179" stopIfTrue="1" operator="equal">
      <formula>"Towel"</formula>
    </cfRule>
    <cfRule type="cellIs" dxfId="2102" priority="2180" stopIfTrue="1" operator="equal">
      <formula>"Napkin Hs"</formula>
    </cfRule>
  </conditionalFormatting>
  <conditionalFormatting sqref="C82">
    <cfRule type="cellIs" dxfId="2101" priority="2178" stopIfTrue="1" operator="equal">
      <formula>"Napkin Hs"</formula>
    </cfRule>
  </conditionalFormatting>
  <conditionalFormatting sqref="C82">
    <cfRule type="cellIs" dxfId="2100" priority="2175" stopIfTrue="1" operator="equal">
      <formula>"Towel"</formula>
    </cfRule>
    <cfRule type="cellIs" dxfId="2099" priority="2176" stopIfTrue="1" operator="equal">
      <formula>"Napkin Hs"</formula>
    </cfRule>
  </conditionalFormatting>
  <conditionalFormatting sqref="C82">
    <cfRule type="cellIs" dxfId="2098" priority="2177" stopIfTrue="1" operator="equal">
      <formula>"Towel"</formula>
    </cfRule>
  </conditionalFormatting>
  <conditionalFormatting sqref="B82:C82">
    <cfRule type="cellIs" dxfId="2097" priority="2173" stopIfTrue="1" operator="equal">
      <formula>"Towel"</formula>
    </cfRule>
    <cfRule type="cellIs" dxfId="2096" priority="2174" stopIfTrue="1" operator="equal">
      <formula>"Napkin Hs"</formula>
    </cfRule>
  </conditionalFormatting>
  <conditionalFormatting sqref="C82">
    <cfRule type="cellIs" dxfId="2095" priority="2172" stopIfTrue="1" operator="equal">
      <formula>"Napkin Hs"</formula>
    </cfRule>
  </conditionalFormatting>
  <conditionalFormatting sqref="C82">
    <cfRule type="cellIs" dxfId="2094" priority="2169" stopIfTrue="1" operator="equal">
      <formula>"Towel"</formula>
    </cfRule>
    <cfRule type="cellIs" dxfId="2093" priority="2170" stopIfTrue="1" operator="equal">
      <formula>"Napkin Hs"</formula>
    </cfRule>
  </conditionalFormatting>
  <conditionalFormatting sqref="C82">
    <cfRule type="cellIs" dxfId="2092" priority="2171" stopIfTrue="1" operator="equal">
      <formula>"Towel"</formula>
    </cfRule>
  </conditionalFormatting>
  <conditionalFormatting sqref="B82:C82">
    <cfRule type="cellIs" dxfId="2091" priority="2167" stopIfTrue="1" operator="equal">
      <formula>"Towel"</formula>
    </cfRule>
    <cfRule type="cellIs" dxfId="2090" priority="2168" stopIfTrue="1" operator="equal">
      <formula>"Napkin Hs"</formula>
    </cfRule>
  </conditionalFormatting>
  <conditionalFormatting sqref="C82">
    <cfRule type="cellIs" dxfId="2089" priority="2166" stopIfTrue="1" operator="equal">
      <formula>"Napkin Hs"</formula>
    </cfRule>
  </conditionalFormatting>
  <conditionalFormatting sqref="C82">
    <cfRule type="cellIs" dxfId="2088" priority="2163" stopIfTrue="1" operator="equal">
      <formula>"Towel"</formula>
    </cfRule>
    <cfRule type="cellIs" dxfId="2087" priority="2164" stopIfTrue="1" operator="equal">
      <formula>"Napkin Hs"</formula>
    </cfRule>
  </conditionalFormatting>
  <conditionalFormatting sqref="C82">
    <cfRule type="cellIs" dxfId="2086" priority="2165" stopIfTrue="1" operator="equal">
      <formula>"Towel"</formula>
    </cfRule>
  </conditionalFormatting>
  <conditionalFormatting sqref="B82:C82">
    <cfRule type="cellIs" dxfId="2085" priority="2161" stopIfTrue="1" operator="equal">
      <formula>"Towel"</formula>
    </cfRule>
    <cfRule type="cellIs" dxfId="2084" priority="2162" stopIfTrue="1" operator="equal">
      <formula>"Napkin Hs"</formula>
    </cfRule>
  </conditionalFormatting>
  <conditionalFormatting sqref="C82">
    <cfRule type="cellIs" dxfId="2083" priority="2160" stopIfTrue="1" operator="equal">
      <formula>"Napkin Hs"</formula>
    </cfRule>
  </conditionalFormatting>
  <conditionalFormatting sqref="C82">
    <cfRule type="cellIs" dxfId="2082" priority="2157" stopIfTrue="1" operator="equal">
      <formula>"Towel"</formula>
    </cfRule>
    <cfRule type="cellIs" dxfId="2081" priority="2158" stopIfTrue="1" operator="equal">
      <formula>"Napkin Hs"</formula>
    </cfRule>
  </conditionalFormatting>
  <conditionalFormatting sqref="C82">
    <cfRule type="cellIs" dxfId="2080" priority="2159" stopIfTrue="1" operator="equal">
      <formula>"Towel"</formula>
    </cfRule>
  </conditionalFormatting>
  <conditionalFormatting sqref="B81:C81">
    <cfRule type="cellIs" dxfId="2079" priority="2155" stopIfTrue="1" operator="equal">
      <formula>"Towel"</formula>
    </cfRule>
    <cfRule type="cellIs" dxfId="2078" priority="2156" stopIfTrue="1" operator="equal">
      <formula>"Napkin Hs"</formula>
    </cfRule>
  </conditionalFormatting>
  <conditionalFormatting sqref="C81">
    <cfRule type="cellIs" dxfId="2077" priority="2154" stopIfTrue="1" operator="equal">
      <formula>"Napkin Hs"</formula>
    </cfRule>
  </conditionalFormatting>
  <conditionalFormatting sqref="C81">
    <cfRule type="cellIs" dxfId="2076" priority="2151" stopIfTrue="1" operator="equal">
      <formula>"Towel"</formula>
    </cfRule>
    <cfRule type="cellIs" dxfId="2075" priority="2152" stopIfTrue="1" operator="equal">
      <formula>"Napkin Hs"</formula>
    </cfRule>
  </conditionalFormatting>
  <conditionalFormatting sqref="C81">
    <cfRule type="cellIs" dxfId="2074" priority="2153" stopIfTrue="1" operator="equal">
      <formula>"Towel"</formula>
    </cfRule>
  </conditionalFormatting>
  <conditionalFormatting sqref="B81:C81">
    <cfRule type="cellIs" dxfId="2073" priority="2149" stopIfTrue="1" operator="equal">
      <formula>"Towel"</formula>
    </cfRule>
    <cfRule type="cellIs" dxfId="2072" priority="2150" stopIfTrue="1" operator="equal">
      <formula>"Napkin Hs"</formula>
    </cfRule>
  </conditionalFormatting>
  <conditionalFormatting sqref="C81">
    <cfRule type="cellIs" dxfId="2071" priority="2148" stopIfTrue="1" operator="equal">
      <formula>"Napkin Hs"</formula>
    </cfRule>
  </conditionalFormatting>
  <conditionalFormatting sqref="C81">
    <cfRule type="cellIs" dxfId="2070" priority="2145" stopIfTrue="1" operator="equal">
      <formula>"Towel"</formula>
    </cfRule>
    <cfRule type="cellIs" dxfId="2069" priority="2146" stopIfTrue="1" operator="equal">
      <formula>"Napkin Hs"</formula>
    </cfRule>
  </conditionalFormatting>
  <conditionalFormatting sqref="C81">
    <cfRule type="cellIs" dxfId="2068" priority="2147" stopIfTrue="1" operator="equal">
      <formula>"Towel"</formula>
    </cfRule>
  </conditionalFormatting>
  <conditionalFormatting sqref="B81:C81">
    <cfRule type="cellIs" dxfId="2067" priority="2143" stopIfTrue="1" operator="equal">
      <formula>"Towel"</formula>
    </cfRule>
    <cfRule type="cellIs" dxfId="2066" priority="2144" stopIfTrue="1" operator="equal">
      <formula>"Napkin Hs"</formula>
    </cfRule>
  </conditionalFormatting>
  <conditionalFormatting sqref="C81">
    <cfRule type="cellIs" dxfId="2065" priority="2142" stopIfTrue="1" operator="equal">
      <formula>"Napkin Hs"</formula>
    </cfRule>
  </conditionalFormatting>
  <conditionalFormatting sqref="C81">
    <cfRule type="cellIs" dxfId="2064" priority="2139" stopIfTrue="1" operator="equal">
      <formula>"Towel"</formula>
    </cfRule>
    <cfRule type="cellIs" dxfId="2063" priority="2140" stopIfTrue="1" operator="equal">
      <formula>"Napkin Hs"</formula>
    </cfRule>
  </conditionalFormatting>
  <conditionalFormatting sqref="C81">
    <cfRule type="cellIs" dxfId="2062" priority="2141" stopIfTrue="1" operator="equal">
      <formula>"Towel"</formula>
    </cfRule>
  </conditionalFormatting>
  <conditionalFormatting sqref="B81:C81">
    <cfRule type="cellIs" dxfId="2061" priority="2137" stopIfTrue="1" operator="equal">
      <formula>"Towel"</formula>
    </cfRule>
    <cfRule type="cellIs" dxfId="2060" priority="2138" stopIfTrue="1" operator="equal">
      <formula>"Napkin Hs"</formula>
    </cfRule>
  </conditionalFormatting>
  <conditionalFormatting sqref="C81">
    <cfRule type="cellIs" dxfId="2059" priority="2136" stopIfTrue="1" operator="equal">
      <formula>"Napkin Hs"</formula>
    </cfRule>
  </conditionalFormatting>
  <conditionalFormatting sqref="C81">
    <cfRule type="cellIs" dxfId="2058" priority="2133" stopIfTrue="1" operator="equal">
      <formula>"Towel"</formula>
    </cfRule>
    <cfRule type="cellIs" dxfId="2057" priority="2134" stopIfTrue="1" operator="equal">
      <formula>"Napkin Hs"</formula>
    </cfRule>
  </conditionalFormatting>
  <conditionalFormatting sqref="C81">
    <cfRule type="cellIs" dxfId="2056" priority="2135" stopIfTrue="1" operator="equal">
      <formula>"Towel"</formula>
    </cfRule>
  </conditionalFormatting>
  <conditionalFormatting sqref="B81:C81">
    <cfRule type="cellIs" dxfId="2055" priority="2131" stopIfTrue="1" operator="equal">
      <formula>"Towel"</formula>
    </cfRule>
    <cfRule type="cellIs" dxfId="2054" priority="2132" stopIfTrue="1" operator="equal">
      <formula>"Napkin Hs"</formula>
    </cfRule>
  </conditionalFormatting>
  <conditionalFormatting sqref="C81">
    <cfRule type="cellIs" dxfId="2053" priority="2130" stopIfTrue="1" operator="equal">
      <formula>"Napkin Hs"</formula>
    </cfRule>
  </conditionalFormatting>
  <conditionalFormatting sqref="C81">
    <cfRule type="cellIs" dxfId="2052" priority="2127" stopIfTrue="1" operator="equal">
      <formula>"Towel"</formula>
    </cfRule>
    <cfRule type="cellIs" dxfId="2051" priority="2128" stopIfTrue="1" operator="equal">
      <formula>"Napkin Hs"</formula>
    </cfRule>
  </conditionalFormatting>
  <conditionalFormatting sqref="C81">
    <cfRule type="cellIs" dxfId="2050" priority="2129" stopIfTrue="1" operator="equal">
      <formula>"Towel"</formula>
    </cfRule>
  </conditionalFormatting>
  <conditionalFormatting sqref="B88:C88">
    <cfRule type="cellIs" dxfId="2049" priority="2125" stopIfTrue="1" operator="equal">
      <formula>"Towel"</formula>
    </cfRule>
    <cfRule type="cellIs" dxfId="2048" priority="2126" stopIfTrue="1" operator="equal">
      <formula>"Napkin Hs"</formula>
    </cfRule>
  </conditionalFormatting>
  <conditionalFormatting sqref="C88">
    <cfRule type="cellIs" dxfId="2047" priority="2121" stopIfTrue="1" operator="equal">
      <formula>"Towel"</formula>
    </cfRule>
    <cfRule type="cellIs" dxfId="2046" priority="2122" stopIfTrue="1" operator="equal">
      <formula>"Napkin Hs"</formula>
    </cfRule>
  </conditionalFormatting>
  <conditionalFormatting sqref="C88">
    <cfRule type="cellIs" dxfId="2045" priority="2123" stopIfTrue="1" operator="equal">
      <formula>"Towel"</formula>
    </cfRule>
    <cfRule type="cellIs" dxfId="2044" priority="2124" stopIfTrue="1" operator="equal">
      <formula>"Napkin Hs"</formula>
    </cfRule>
  </conditionalFormatting>
  <conditionalFormatting sqref="B87:C87">
    <cfRule type="cellIs" dxfId="2043" priority="2089" stopIfTrue="1" operator="equal">
      <formula>"Towel"</formula>
    </cfRule>
    <cfRule type="cellIs" dxfId="2042" priority="2090" stopIfTrue="1" operator="equal">
      <formula>"Napkin Hs"</formula>
    </cfRule>
  </conditionalFormatting>
  <conditionalFormatting sqref="C87">
    <cfRule type="cellIs" dxfId="2041" priority="2085" stopIfTrue="1" operator="equal">
      <formula>"Towel"</formula>
    </cfRule>
    <cfRule type="cellIs" dxfId="2040" priority="2086" stopIfTrue="1" operator="equal">
      <formula>"Napkin Hs"</formula>
    </cfRule>
  </conditionalFormatting>
  <conditionalFormatting sqref="B87:C87">
    <cfRule type="cellIs" dxfId="2039" priority="2083" stopIfTrue="1" operator="equal">
      <formula>"Towel"</formula>
    </cfRule>
    <cfRule type="cellIs" dxfId="2038" priority="2084" stopIfTrue="1" operator="equal">
      <formula>"Napkin Hs"</formula>
    </cfRule>
  </conditionalFormatting>
  <conditionalFormatting sqref="C87">
    <cfRule type="cellIs" dxfId="2037" priority="2082" stopIfTrue="1" operator="equal">
      <formula>"Napkin Hs"</formula>
    </cfRule>
  </conditionalFormatting>
  <conditionalFormatting sqref="C87">
    <cfRule type="cellIs" dxfId="2036" priority="2079" stopIfTrue="1" operator="equal">
      <formula>"Towel"</formula>
    </cfRule>
    <cfRule type="cellIs" dxfId="2035" priority="2080" stopIfTrue="1" operator="equal">
      <formula>"Napkin Hs"</formula>
    </cfRule>
  </conditionalFormatting>
  <conditionalFormatting sqref="C87">
    <cfRule type="cellIs" dxfId="2034" priority="2081" stopIfTrue="1" operator="equal">
      <formula>"Towel"</formula>
    </cfRule>
  </conditionalFormatting>
  <conditionalFormatting sqref="B87:C87">
    <cfRule type="cellIs" dxfId="2033" priority="2077" stopIfTrue="1" operator="equal">
      <formula>"Towel"</formula>
    </cfRule>
    <cfRule type="cellIs" dxfId="2032" priority="2078" stopIfTrue="1" operator="equal">
      <formula>"Napkin Hs"</formula>
    </cfRule>
  </conditionalFormatting>
  <conditionalFormatting sqref="C87">
    <cfRule type="cellIs" dxfId="2031" priority="2076" stopIfTrue="1" operator="equal">
      <formula>"Napkin Hs"</formula>
    </cfRule>
  </conditionalFormatting>
  <conditionalFormatting sqref="C87">
    <cfRule type="cellIs" dxfId="2030" priority="2073" stopIfTrue="1" operator="equal">
      <formula>"Towel"</formula>
    </cfRule>
    <cfRule type="cellIs" dxfId="2029" priority="2074" stopIfTrue="1" operator="equal">
      <formula>"Napkin Hs"</formula>
    </cfRule>
  </conditionalFormatting>
  <conditionalFormatting sqref="C87">
    <cfRule type="cellIs" dxfId="2028" priority="2075" stopIfTrue="1" operator="equal">
      <formula>"Towel"</formula>
    </cfRule>
  </conditionalFormatting>
  <conditionalFormatting sqref="B87:C87">
    <cfRule type="cellIs" dxfId="2027" priority="2071" stopIfTrue="1" operator="equal">
      <formula>"Towel"</formula>
    </cfRule>
    <cfRule type="cellIs" dxfId="2026" priority="2072" stopIfTrue="1" operator="equal">
      <formula>"Napkin Hs"</formula>
    </cfRule>
  </conditionalFormatting>
  <conditionalFormatting sqref="C87">
    <cfRule type="cellIs" dxfId="2025" priority="2070" stopIfTrue="1" operator="equal">
      <formula>"Napkin Hs"</formula>
    </cfRule>
  </conditionalFormatting>
  <conditionalFormatting sqref="C87">
    <cfRule type="cellIs" dxfId="2024" priority="2067" stopIfTrue="1" operator="equal">
      <formula>"Towel"</formula>
    </cfRule>
    <cfRule type="cellIs" dxfId="2023" priority="2068" stopIfTrue="1" operator="equal">
      <formula>"Napkin Hs"</formula>
    </cfRule>
  </conditionalFormatting>
  <conditionalFormatting sqref="C87">
    <cfRule type="cellIs" dxfId="2022" priority="2069" stopIfTrue="1" operator="equal">
      <formula>"Towel"</formula>
    </cfRule>
  </conditionalFormatting>
  <conditionalFormatting sqref="B87:C87">
    <cfRule type="cellIs" dxfId="2021" priority="2119" stopIfTrue="1" operator="equal">
      <formula>"Towel"</formula>
    </cfRule>
    <cfRule type="cellIs" dxfId="2020" priority="2120" stopIfTrue="1" operator="equal">
      <formula>"Napkin Hs"</formula>
    </cfRule>
  </conditionalFormatting>
  <conditionalFormatting sqref="C87">
    <cfRule type="cellIs" dxfId="2019" priority="2118" stopIfTrue="1" operator="equal">
      <formula>"Napkin Hs"</formula>
    </cfRule>
  </conditionalFormatting>
  <conditionalFormatting sqref="C87">
    <cfRule type="cellIs" dxfId="2018" priority="2115" stopIfTrue="1" operator="equal">
      <formula>"Towel"</formula>
    </cfRule>
    <cfRule type="cellIs" dxfId="2017" priority="2116" stopIfTrue="1" operator="equal">
      <formula>"Napkin Hs"</formula>
    </cfRule>
  </conditionalFormatting>
  <conditionalFormatting sqref="C87">
    <cfRule type="cellIs" dxfId="2016" priority="2117" stopIfTrue="1" operator="equal">
      <formula>"Towel"</formula>
    </cfRule>
  </conditionalFormatting>
  <conditionalFormatting sqref="B87:C87">
    <cfRule type="cellIs" dxfId="2015" priority="2113" stopIfTrue="1" operator="equal">
      <formula>"Towel"</formula>
    </cfRule>
    <cfRule type="cellIs" dxfId="2014" priority="2114" stopIfTrue="1" operator="equal">
      <formula>"Napkin Hs"</formula>
    </cfRule>
  </conditionalFormatting>
  <conditionalFormatting sqref="C87">
    <cfRule type="cellIs" dxfId="2013" priority="2112" stopIfTrue="1" operator="equal">
      <formula>"Napkin Hs"</formula>
    </cfRule>
  </conditionalFormatting>
  <conditionalFormatting sqref="C87">
    <cfRule type="cellIs" dxfId="2012" priority="2109" stopIfTrue="1" operator="equal">
      <formula>"Towel"</formula>
    </cfRule>
    <cfRule type="cellIs" dxfId="2011" priority="2110" stopIfTrue="1" operator="equal">
      <formula>"Napkin Hs"</formula>
    </cfRule>
  </conditionalFormatting>
  <conditionalFormatting sqref="C87">
    <cfRule type="cellIs" dxfId="2010" priority="2111" stopIfTrue="1" operator="equal">
      <formula>"Towel"</formula>
    </cfRule>
  </conditionalFormatting>
  <conditionalFormatting sqref="B87:C87">
    <cfRule type="cellIs" dxfId="2009" priority="2107" stopIfTrue="1" operator="equal">
      <formula>"Towel"</formula>
    </cfRule>
    <cfRule type="cellIs" dxfId="2008" priority="2108" stopIfTrue="1" operator="equal">
      <formula>"Napkin Hs"</formula>
    </cfRule>
  </conditionalFormatting>
  <conditionalFormatting sqref="C87">
    <cfRule type="cellIs" dxfId="2007" priority="2106" stopIfTrue="1" operator="equal">
      <formula>"Napkin Hs"</formula>
    </cfRule>
  </conditionalFormatting>
  <conditionalFormatting sqref="C87">
    <cfRule type="cellIs" dxfId="2006" priority="2103" stopIfTrue="1" operator="equal">
      <formula>"Towel"</formula>
    </cfRule>
    <cfRule type="cellIs" dxfId="2005" priority="2104" stopIfTrue="1" operator="equal">
      <formula>"Napkin Hs"</formula>
    </cfRule>
  </conditionalFormatting>
  <conditionalFormatting sqref="C87">
    <cfRule type="cellIs" dxfId="2004" priority="2105" stopIfTrue="1" operator="equal">
      <formula>"Towel"</formula>
    </cfRule>
  </conditionalFormatting>
  <conditionalFormatting sqref="B87:C87">
    <cfRule type="cellIs" dxfId="2003" priority="2101" stopIfTrue="1" operator="equal">
      <formula>"Towel"</formula>
    </cfRule>
    <cfRule type="cellIs" dxfId="2002" priority="2102" stopIfTrue="1" operator="equal">
      <formula>"Napkin Hs"</formula>
    </cfRule>
  </conditionalFormatting>
  <conditionalFormatting sqref="C87">
    <cfRule type="cellIs" dxfId="2001" priority="2100" stopIfTrue="1" operator="equal">
      <formula>"Napkin Hs"</formula>
    </cfRule>
  </conditionalFormatting>
  <conditionalFormatting sqref="C87">
    <cfRule type="cellIs" dxfId="2000" priority="2097" stopIfTrue="1" operator="equal">
      <formula>"Towel"</formula>
    </cfRule>
    <cfRule type="cellIs" dxfId="1999" priority="2098" stopIfTrue="1" operator="equal">
      <formula>"Napkin Hs"</formula>
    </cfRule>
  </conditionalFormatting>
  <conditionalFormatting sqref="C87">
    <cfRule type="cellIs" dxfId="1998" priority="2099" stopIfTrue="1" operator="equal">
      <formula>"Towel"</formula>
    </cfRule>
  </conditionalFormatting>
  <conditionalFormatting sqref="B87:C87">
    <cfRule type="cellIs" dxfId="1997" priority="2095" stopIfTrue="1" operator="equal">
      <formula>"Towel"</formula>
    </cfRule>
    <cfRule type="cellIs" dxfId="1996" priority="2096" stopIfTrue="1" operator="equal">
      <formula>"Napkin Hs"</formula>
    </cfRule>
  </conditionalFormatting>
  <conditionalFormatting sqref="C87">
    <cfRule type="cellIs" dxfId="1995" priority="2093" stopIfTrue="1" operator="equal">
      <formula>"Towel"</formula>
    </cfRule>
    <cfRule type="cellIs" dxfId="1994" priority="2094" stopIfTrue="1" operator="equal">
      <formula>"Napkin Hs"</formula>
    </cfRule>
  </conditionalFormatting>
  <conditionalFormatting sqref="C87">
    <cfRule type="cellIs" dxfId="1993" priority="2091" stopIfTrue="1" operator="equal">
      <formula>"Towel"</formula>
    </cfRule>
    <cfRule type="cellIs" dxfId="1992" priority="2092" stopIfTrue="1" operator="equal">
      <formula>"Napkin Hs"</formula>
    </cfRule>
  </conditionalFormatting>
  <conditionalFormatting sqref="C87">
    <cfRule type="cellIs" dxfId="1991" priority="2087" stopIfTrue="1" operator="equal">
      <formula>"Towel"</formula>
    </cfRule>
    <cfRule type="cellIs" dxfId="1990" priority="2088" stopIfTrue="1" operator="equal">
      <formula>"Napkin Hs"</formula>
    </cfRule>
  </conditionalFormatting>
  <conditionalFormatting sqref="B86:C86">
    <cfRule type="cellIs" dxfId="1989" priority="2065" stopIfTrue="1" operator="equal">
      <formula>"Towel"</formula>
    </cfRule>
    <cfRule type="cellIs" dxfId="1988" priority="2066" stopIfTrue="1" operator="equal">
      <formula>"Napkin Hs"</formula>
    </cfRule>
  </conditionalFormatting>
  <conditionalFormatting sqref="C86">
    <cfRule type="cellIs" dxfId="1987" priority="2064" stopIfTrue="1" operator="equal">
      <formula>"Napkin Hs"</formula>
    </cfRule>
  </conditionalFormatting>
  <conditionalFormatting sqref="C86">
    <cfRule type="cellIs" dxfId="1986" priority="2061" stopIfTrue="1" operator="equal">
      <formula>"Towel"</formula>
    </cfRule>
    <cfRule type="cellIs" dxfId="1985" priority="2062" stopIfTrue="1" operator="equal">
      <formula>"Napkin Hs"</formula>
    </cfRule>
  </conditionalFormatting>
  <conditionalFormatting sqref="C86">
    <cfRule type="cellIs" dxfId="1984" priority="2063" stopIfTrue="1" operator="equal">
      <formula>"Towel"</formula>
    </cfRule>
  </conditionalFormatting>
  <conditionalFormatting sqref="B86:C86">
    <cfRule type="cellIs" dxfId="1983" priority="2059" stopIfTrue="1" operator="equal">
      <formula>"Towel"</formula>
    </cfRule>
    <cfRule type="cellIs" dxfId="1982" priority="2060" stopIfTrue="1" operator="equal">
      <formula>"Napkin Hs"</formula>
    </cfRule>
  </conditionalFormatting>
  <conditionalFormatting sqref="C86">
    <cfRule type="cellIs" dxfId="1981" priority="2058" stopIfTrue="1" operator="equal">
      <formula>"Napkin Hs"</formula>
    </cfRule>
  </conditionalFormatting>
  <conditionalFormatting sqref="C86">
    <cfRule type="cellIs" dxfId="1980" priority="2055" stopIfTrue="1" operator="equal">
      <formula>"Towel"</formula>
    </cfRule>
    <cfRule type="cellIs" dxfId="1979" priority="2056" stopIfTrue="1" operator="equal">
      <formula>"Napkin Hs"</formula>
    </cfRule>
  </conditionalFormatting>
  <conditionalFormatting sqref="C86">
    <cfRule type="cellIs" dxfId="1978" priority="2057" stopIfTrue="1" operator="equal">
      <formula>"Towel"</formula>
    </cfRule>
  </conditionalFormatting>
  <conditionalFormatting sqref="B86:C86">
    <cfRule type="cellIs" dxfId="1977" priority="2053" stopIfTrue="1" operator="equal">
      <formula>"Towel"</formula>
    </cfRule>
    <cfRule type="cellIs" dxfId="1976" priority="2054" stopIfTrue="1" operator="equal">
      <formula>"Napkin Hs"</formula>
    </cfRule>
  </conditionalFormatting>
  <conditionalFormatting sqref="C86">
    <cfRule type="cellIs" dxfId="1975" priority="2052" stopIfTrue="1" operator="equal">
      <formula>"Napkin Hs"</formula>
    </cfRule>
  </conditionalFormatting>
  <conditionalFormatting sqref="C86">
    <cfRule type="cellIs" dxfId="1974" priority="2049" stopIfTrue="1" operator="equal">
      <formula>"Towel"</formula>
    </cfRule>
    <cfRule type="cellIs" dxfId="1973" priority="2050" stopIfTrue="1" operator="equal">
      <formula>"Napkin Hs"</formula>
    </cfRule>
  </conditionalFormatting>
  <conditionalFormatting sqref="C86">
    <cfRule type="cellIs" dxfId="1972" priority="2051" stopIfTrue="1" operator="equal">
      <formula>"Towel"</formula>
    </cfRule>
  </conditionalFormatting>
  <conditionalFormatting sqref="B86:C86">
    <cfRule type="cellIs" dxfId="1971" priority="2047" stopIfTrue="1" operator="equal">
      <formula>"Towel"</formula>
    </cfRule>
    <cfRule type="cellIs" dxfId="1970" priority="2048" stopIfTrue="1" operator="equal">
      <formula>"Napkin Hs"</formula>
    </cfRule>
  </conditionalFormatting>
  <conditionalFormatting sqref="C86">
    <cfRule type="cellIs" dxfId="1969" priority="2046" stopIfTrue="1" operator="equal">
      <formula>"Napkin Hs"</formula>
    </cfRule>
  </conditionalFormatting>
  <conditionalFormatting sqref="C86">
    <cfRule type="cellIs" dxfId="1968" priority="2043" stopIfTrue="1" operator="equal">
      <formula>"Towel"</formula>
    </cfRule>
    <cfRule type="cellIs" dxfId="1967" priority="2044" stopIfTrue="1" operator="equal">
      <formula>"Napkin Hs"</formula>
    </cfRule>
  </conditionalFormatting>
  <conditionalFormatting sqref="C86">
    <cfRule type="cellIs" dxfId="1966" priority="2045" stopIfTrue="1" operator="equal">
      <formula>"Towel"</formula>
    </cfRule>
  </conditionalFormatting>
  <conditionalFormatting sqref="B86:C86">
    <cfRule type="cellIs" dxfId="1965" priority="2041" stopIfTrue="1" operator="equal">
      <formula>"Towel"</formula>
    </cfRule>
    <cfRule type="cellIs" dxfId="1964" priority="2042" stopIfTrue="1" operator="equal">
      <formula>"Napkin Hs"</formula>
    </cfRule>
  </conditionalFormatting>
  <conditionalFormatting sqref="C86">
    <cfRule type="cellIs" dxfId="1963" priority="2040" stopIfTrue="1" operator="equal">
      <formula>"Napkin Hs"</formula>
    </cfRule>
  </conditionalFormatting>
  <conditionalFormatting sqref="C86">
    <cfRule type="cellIs" dxfId="1962" priority="2037" stopIfTrue="1" operator="equal">
      <formula>"Towel"</formula>
    </cfRule>
    <cfRule type="cellIs" dxfId="1961" priority="2038" stopIfTrue="1" operator="equal">
      <formula>"Napkin Hs"</formula>
    </cfRule>
  </conditionalFormatting>
  <conditionalFormatting sqref="C86">
    <cfRule type="cellIs" dxfId="1960" priority="2039" stopIfTrue="1" operator="equal">
      <formula>"Towel"</formula>
    </cfRule>
  </conditionalFormatting>
  <conditionalFormatting sqref="B85:C85">
    <cfRule type="cellIs" dxfId="1959" priority="2035" stopIfTrue="1" operator="equal">
      <formula>"Towel"</formula>
    </cfRule>
    <cfRule type="cellIs" dxfId="1958" priority="2036" stopIfTrue="1" operator="equal">
      <formula>"Napkin Hs"</formula>
    </cfRule>
  </conditionalFormatting>
  <conditionalFormatting sqref="C85">
    <cfRule type="cellIs" dxfId="1957" priority="2034" stopIfTrue="1" operator="equal">
      <formula>"Napkin Hs"</formula>
    </cfRule>
  </conditionalFormatting>
  <conditionalFormatting sqref="C85">
    <cfRule type="cellIs" dxfId="1956" priority="2031" stopIfTrue="1" operator="equal">
      <formula>"Towel"</formula>
    </cfRule>
    <cfRule type="cellIs" dxfId="1955" priority="2032" stopIfTrue="1" operator="equal">
      <formula>"Napkin Hs"</formula>
    </cfRule>
  </conditionalFormatting>
  <conditionalFormatting sqref="C85">
    <cfRule type="cellIs" dxfId="1954" priority="2033" stopIfTrue="1" operator="equal">
      <formula>"Towel"</formula>
    </cfRule>
  </conditionalFormatting>
  <conditionalFormatting sqref="B85:C85">
    <cfRule type="cellIs" dxfId="1953" priority="2029" stopIfTrue="1" operator="equal">
      <formula>"Towel"</formula>
    </cfRule>
    <cfRule type="cellIs" dxfId="1952" priority="2030" stopIfTrue="1" operator="equal">
      <formula>"Napkin Hs"</formula>
    </cfRule>
  </conditionalFormatting>
  <conditionalFormatting sqref="C85">
    <cfRule type="cellIs" dxfId="1951" priority="2028" stopIfTrue="1" operator="equal">
      <formula>"Napkin Hs"</formula>
    </cfRule>
  </conditionalFormatting>
  <conditionalFormatting sqref="C85">
    <cfRule type="cellIs" dxfId="1950" priority="2025" stopIfTrue="1" operator="equal">
      <formula>"Towel"</formula>
    </cfRule>
    <cfRule type="cellIs" dxfId="1949" priority="2026" stopIfTrue="1" operator="equal">
      <formula>"Napkin Hs"</formula>
    </cfRule>
  </conditionalFormatting>
  <conditionalFormatting sqref="C85">
    <cfRule type="cellIs" dxfId="1948" priority="2027" stopIfTrue="1" operator="equal">
      <formula>"Towel"</formula>
    </cfRule>
  </conditionalFormatting>
  <conditionalFormatting sqref="B85:C85">
    <cfRule type="cellIs" dxfId="1947" priority="2023" stopIfTrue="1" operator="equal">
      <formula>"Towel"</formula>
    </cfRule>
    <cfRule type="cellIs" dxfId="1946" priority="2024" stopIfTrue="1" operator="equal">
      <formula>"Napkin Hs"</formula>
    </cfRule>
  </conditionalFormatting>
  <conditionalFormatting sqref="C85">
    <cfRule type="cellIs" dxfId="1945" priority="2022" stopIfTrue="1" operator="equal">
      <formula>"Napkin Hs"</formula>
    </cfRule>
  </conditionalFormatting>
  <conditionalFormatting sqref="C85">
    <cfRule type="cellIs" dxfId="1944" priority="2019" stopIfTrue="1" operator="equal">
      <formula>"Towel"</formula>
    </cfRule>
    <cfRule type="cellIs" dxfId="1943" priority="2020" stopIfTrue="1" operator="equal">
      <formula>"Napkin Hs"</formula>
    </cfRule>
  </conditionalFormatting>
  <conditionalFormatting sqref="C85">
    <cfRule type="cellIs" dxfId="1942" priority="2021" stopIfTrue="1" operator="equal">
      <formula>"Towel"</formula>
    </cfRule>
  </conditionalFormatting>
  <conditionalFormatting sqref="B85:C85">
    <cfRule type="cellIs" dxfId="1941" priority="2017" stopIfTrue="1" operator="equal">
      <formula>"Towel"</formula>
    </cfRule>
    <cfRule type="cellIs" dxfId="1940" priority="2018" stopIfTrue="1" operator="equal">
      <formula>"Napkin Hs"</formula>
    </cfRule>
  </conditionalFormatting>
  <conditionalFormatting sqref="C85">
    <cfRule type="cellIs" dxfId="1939" priority="2016" stopIfTrue="1" operator="equal">
      <formula>"Napkin Hs"</formula>
    </cfRule>
  </conditionalFormatting>
  <conditionalFormatting sqref="C85">
    <cfRule type="cellIs" dxfId="1938" priority="2013" stopIfTrue="1" operator="equal">
      <formula>"Towel"</formula>
    </cfRule>
    <cfRule type="cellIs" dxfId="1937" priority="2014" stopIfTrue="1" operator="equal">
      <formula>"Napkin Hs"</formula>
    </cfRule>
  </conditionalFormatting>
  <conditionalFormatting sqref="C85">
    <cfRule type="cellIs" dxfId="1936" priority="2015" stopIfTrue="1" operator="equal">
      <formula>"Towel"</formula>
    </cfRule>
  </conditionalFormatting>
  <conditionalFormatting sqref="B85:C85">
    <cfRule type="cellIs" dxfId="1935" priority="2011" stopIfTrue="1" operator="equal">
      <formula>"Towel"</formula>
    </cfRule>
    <cfRule type="cellIs" dxfId="1934" priority="2012" stopIfTrue="1" operator="equal">
      <formula>"Napkin Hs"</formula>
    </cfRule>
  </conditionalFormatting>
  <conditionalFormatting sqref="C85">
    <cfRule type="cellIs" dxfId="1933" priority="2010" stopIfTrue="1" operator="equal">
      <formula>"Napkin Hs"</formula>
    </cfRule>
  </conditionalFormatting>
  <conditionalFormatting sqref="C85">
    <cfRule type="cellIs" dxfId="1932" priority="2007" stopIfTrue="1" operator="equal">
      <formula>"Towel"</formula>
    </cfRule>
    <cfRule type="cellIs" dxfId="1931" priority="2008" stopIfTrue="1" operator="equal">
      <formula>"Napkin Hs"</formula>
    </cfRule>
  </conditionalFormatting>
  <conditionalFormatting sqref="C85">
    <cfRule type="cellIs" dxfId="1930" priority="2009" stopIfTrue="1" operator="equal">
      <formula>"Towel"</formula>
    </cfRule>
  </conditionalFormatting>
  <conditionalFormatting sqref="B89:C91">
    <cfRule type="cellIs" dxfId="1929" priority="2005" stopIfTrue="1" operator="equal">
      <formula>"Towel"</formula>
    </cfRule>
    <cfRule type="cellIs" dxfId="1928" priority="2006" stopIfTrue="1" operator="equal">
      <formula>"Napkin Hs"</formula>
    </cfRule>
  </conditionalFormatting>
  <conditionalFormatting sqref="C89:C91">
    <cfRule type="cellIs" dxfId="1927" priority="2004" stopIfTrue="1" operator="equal">
      <formula>"Napkin Hs"</formula>
    </cfRule>
  </conditionalFormatting>
  <conditionalFormatting sqref="C89:C91">
    <cfRule type="cellIs" dxfId="1926" priority="2001" stopIfTrue="1" operator="equal">
      <formula>"Towel"</formula>
    </cfRule>
    <cfRule type="cellIs" dxfId="1925" priority="2002" stopIfTrue="1" operator="equal">
      <formula>"Napkin Hs"</formula>
    </cfRule>
  </conditionalFormatting>
  <conditionalFormatting sqref="C89:C91">
    <cfRule type="cellIs" dxfId="1924" priority="2003" stopIfTrue="1" operator="equal">
      <formula>"Towel"</formula>
    </cfRule>
  </conditionalFormatting>
  <conditionalFormatting sqref="B91:C91">
    <cfRule type="cellIs" dxfId="1923" priority="1969" stopIfTrue="1" operator="equal">
      <formula>"Towel"</formula>
    </cfRule>
    <cfRule type="cellIs" dxfId="1922" priority="1970" stopIfTrue="1" operator="equal">
      <formula>"Napkin Hs"</formula>
    </cfRule>
  </conditionalFormatting>
  <conditionalFormatting sqref="C91">
    <cfRule type="cellIs" dxfId="1921" priority="1965" stopIfTrue="1" operator="equal">
      <formula>"Towel"</formula>
    </cfRule>
    <cfRule type="cellIs" dxfId="1920" priority="1966" stopIfTrue="1" operator="equal">
      <formula>"Napkin Hs"</formula>
    </cfRule>
  </conditionalFormatting>
  <conditionalFormatting sqref="B91:C91">
    <cfRule type="cellIs" dxfId="1919" priority="1963" stopIfTrue="1" operator="equal">
      <formula>"Towel"</formula>
    </cfRule>
    <cfRule type="cellIs" dxfId="1918" priority="1964" stopIfTrue="1" operator="equal">
      <formula>"Napkin Hs"</formula>
    </cfRule>
  </conditionalFormatting>
  <conditionalFormatting sqref="C91">
    <cfRule type="cellIs" dxfId="1917" priority="1962" stopIfTrue="1" operator="equal">
      <formula>"Napkin Hs"</formula>
    </cfRule>
  </conditionalFormatting>
  <conditionalFormatting sqref="C91">
    <cfRule type="cellIs" dxfId="1916" priority="1959" stopIfTrue="1" operator="equal">
      <formula>"Towel"</formula>
    </cfRule>
    <cfRule type="cellIs" dxfId="1915" priority="1960" stopIfTrue="1" operator="equal">
      <formula>"Napkin Hs"</formula>
    </cfRule>
  </conditionalFormatting>
  <conditionalFormatting sqref="C91">
    <cfRule type="cellIs" dxfId="1914" priority="1961" stopIfTrue="1" operator="equal">
      <formula>"Towel"</formula>
    </cfRule>
  </conditionalFormatting>
  <conditionalFormatting sqref="B91:C91">
    <cfRule type="cellIs" dxfId="1913" priority="1957" stopIfTrue="1" operator="equal">
      <formula>"Towel"</formula>
    </cfRule>
    <cfRule type="cellIs" dxfId="1912" priority="1958" stopIfTrue="1" operator="equal">
      <formula>"Napkin Hs"</formula>
    </cfRule>
  </conditionalFormatting>
  <conditionalFormatting sqref="C91">
    <cfRule type="cellIs" dxfId="1911" priority="1956" stopIfTrue="1" operator="equal">
      <formula>"Napkin Hs"</formula>
    </cfRule>
  </conditionalFormatting>
  <conditionalFormatting sqref="C91">
    <cfRule type="cellIs" dxfId="1910" priority="1953" stopIfTrue="1" operator="equal">
      <formula>"Towel"</formula>
    </cfRule>
    <cfRule type="cellIs" dxfId="1909" priority="1954" stopIfTrue="1" operator="equal">
      <formula>"Napkin Hs"</formula>
    </cfRule>
  </conditionalFormatting>
  <conditionalFormatting sqref="C91">
    <cfRule type="cellIs" dxfId="1908" priority="1955" stopIfTrue="1" operator="equal">
      <formula>"Towel"</formula>
    </cfRule>
  </conditionalFormatting>
  <conditionalFormatting sqref="B91:C91">
    <cfRule type="cellIs" dxfId="1907" priority="1951" stopIfTrue="1" operator="equal">
      <formula>"Towel"</formula>
    </cfRule>
    <cfRule type="cellIs" dxfId="1906" priority="1952" stopIfTrue="1" operator="equal">
      <formula>"Napkin Hs"</formula>
    </cfRule>
  </conditionalFormatting>
  <conditionalFormatting sqref="C91">
    <cfRule type="cellIs" dxfId="1905" priority="1950" stopIfTrue="1" operator="equal">
      <formula>"Napkin Hs"</formula>
    </cfRule>
  </conditionalFormatting>
  <conditionalFormatting sqref="C91">
    <cfRule type="cellIs" dxfId="1904" priority="1947" stopIfTrue="1" operator="equal">
      <formula>"Towel"</formula>
    </cfRule>
    <cfRule type="cellIs" dxfId="1903" priority="1948" stopIfTrue="1" operator="equal">
      <formula>"Napkin Hs"</formula>
    </cfRule>
  </conditionalFormatting>
  <conditionalFormatting sqref="C91">
    <cfRule type="cellIs" dxfId="1902" priority="1949" stopIfTrue="1" operator="equal">
      <formula>"Towel"</formula>
    </cfRule>
  </conditionalFormatting>
  <conditionalFormatting sqref="B91:C91">
    <cfRule type="cellIs" dxfId="1901" priority="1999" stopIfTrue="1" operator="equal">
      <formula>"Towel"</formula>
    </cfRule>
    <cfRule type="cellIs" dxfId="1900" priority="2000" stopIfTrue="1" operator="equal">
      <formula>"Napkin Hs"</formula>
    </cfRule>
  </conditionalFormatting>
  <conditionalFormatting sqref="C91">
    <cfRule type="cellIs" dxfId="1899" priority="1998" stopIfTrue="1" operator="equal">
      <formula>"Napkin Hs"</formula>
    </cfRule>
  </conditionalFormatting>
  <conditionalFormatting sqref="C91">
    <cfRule type="cellIs" dxfId="1898" priority="1995" stopIfTrue="1" operator="equal">
      <formula>"Towel"</formula>
    </cfRule>
    <cfRule type="cellIs" dxfId="1897" priority="1996" stopIfTrue="1" operator="equal">
      <formula>"Napkin Hs"</formula>
    </cfRule>
  </conditionalFormatting>
  <conditionalFormatting sqref="C91">
    <cfRule type="cellIs" dxfId="1896" priority="1997" stopIfTrue="1" operator="equal">
      <formula>"Towel"</formula>
    </cfRule>
  </conditionalFormatting>
  <conditionalFormatting sqref="B91:C91">
    <cfRule type="cellIs" dxfId="1895" priority="1993" stopIfTrue="1" operator="equal">
      <formula>"Towel"</formula>
    </cfRule>
    <cfRule type="cellIs" dxfId="1894" priority="1994" stopIfTrue="1" operator="equal">
      <formula>"Napkin Hs"</formula>
    </cfRule>
  </conditionalFormatting>
  <conditionalFormatting sqref="C91">
    <cfRule type="cellIs" dxfId="1893" priority="1992" stopIfTrue="1" operator="equal">
      <formula>"Napkin Hs"</formula>
    </cfRule>
  </conditionalFormatting>
  <conditionalFormatting sqref="C91">
    <cfRule type="cellIs" dxfId="1892" priority="1989" stopIfTrue="1" operator="equal">
      <formula>"Towel"</formula>
    </cfRule>
    <cfRule type="cellIs" dxfId="1891" priority="1990" stopIfTrue="1" operator="equal">
      <formula>"Napkin Hs"</formula>
    </cfRule>
  </conditionalFormatting>
  <conditionalFormatting sqref="C91">
    <cfRule type="cellIs" dxfId="1890" priority="1991" stopIfTrue="1" operator="equal">
      <formula>"Towel"</formula>
    </cfRule>
  </conditionalFormatting>
  <conditionalFormatting sqref="B91:C91">
    <cfRule type="cellIs" dxfId="1889" priority="1987" stopIfTrue="1" operator="equal">
      <formula>"Towel"</formula>
    </cfRule>
    <cfRule type="cellIs" dxfId="1888" priority="1988" stopIfTrue="1" operator="equal">
      <formula>"Napkin Hs"</formula>
    </cfRule>
  </conditionalFormatting>
  <conditionalFormatting sqref="C91">
    <cfRule type="cellIs" dxfId="1887" priority="1986" stopIfTrue="1" operator="equal">
      <formula>"Napkin Hs"</formula>
    </cfRule>
  </conditionalFormatting>
  <conditionalFormatting sqref="C91">
    <cfRule type="cellIs" dxfId="1886" priority="1983" stopIfTrue="1" operator="equal">
      <formula>"Towel"</formula>
    </cfRule>
    <cfRule type="cellIs" dxfId="1885" priority="1984" stopIfTrue="1" operator="equal">
      <formula>"Napkin Hs"</formula>
    </cfRule>
  </conditionalFormatting>
  <conditionalFormatting sqref="C91">
    <cfRule type="cellIs" dxfId="1884" priority="1985" stopIfTrue="1" operator="equal">
      <formula>"Towel"</formula>
    </cfRule>
  </conditionalFormatting>
  <conditionalFormatting sqref="B91:C91">
    <cfRule type="cellIs" dxfId="1883" priority="1981" stopIfTrue="1" operator="equal">
      <formula>"Towel"</formula>
    </cfRule>
    <cfRule type="cellIs" dxfId="1882" priority="1982" stopIfTrue="1" operator="equal">
      <formula>"Napkin Hs"</formula>
    </cfRule>
  </conditionalFormatting>
  <conditionalFormatting sqref="C91">
    <cfRule type="cellIs" dxfId="1881" priority="1980" stopIfTrue="1" operator="equal">
      <formula>"Napkin Hs"</formula>
    </cfRule>
  </conditionalFormatting>
  <conditionalFormatting sqref="C91">
    <cfRule type="cellIs" dxfId="1880" priority="1977" stopIfTrue="1" operator="equal">
      <formula>"Towel"</formula>
    </cfRule>
    <cfRule type="cellIs" dxfId="1879" priority="1978" stopIfTrue="1" operator="equal">
      <formula>"Napkin Hs"</formula>
    </cfRule>
  </conditionalFormatting>
  <conditionalFormatting sqref="C91">
    <cfRule type="cellIs" dxfId="1878" priority="1979" stopIfTrue="1" operator="equal">
      <formula>"Towel"</formula>
    </cfRule>
  </conditionalFormatting>
  <conditionalFormatting sqref="B91:C91">
    <cfRule type="cellIs" dxfId="1877" priority="1975" stopIfTrue="1" operator="equal">
      <formula>"Towel"</formula>
    </cfRule>
    <cfRule type="cellIs" dxfId="1876" priority="1976" stopIfTrue="1" operator="equal">
      <formula>"Napkin Hs"</formula>
    </cfRule>
  </conditionalFormatting>
  <conditionalFormatting sqref="C91">
    <cfRule type="cellIs" dxfId="1875" priority="1973" stopIfTrue="1" operator="equal">
      <formula>"Towel"</formula>
    </cfRule>
    <cfRule type="cellIs" dxfId="1874" priority="1974" stopIfTrue="1" operator="equal">
      <formula>"Napkin Hs"</formula>
    </cfRule>
  </conditionalFormatting>
  <conditionalFormatting sqref="C91">
    <cfRule type="cellIs" dxfId="1873" priority="1971" stopIfTrue="1" operator="equal">
      <formula>"Towel"</formula>
    </cfRule>
    <cfRule type="cellIs" dxfId="1872" priority="1972" stopIfTrue="1" operator="equal">
      <formula>"Napkin Hs"</formula>
    </cfRule>
  </conditionalFormatting>
  <conditionalFormatting sqref="C91">
    <cfRule type="cellIs" dxfId="1871" priority="1967" stopIfTrue="1" operator="equal">
      <formula>"Towel"</formula>
    </cfRule>
    <cfRule type="cellIs" dxfId="1870" priority="1968" stopIfTrue="1" operator="equal">
      <formula>"Napkin Hs"</formula>
    </cfRule>
  </conditionalFormatting>
  <conditionalFormatting sqref="B90:C90">
    <cfRule type="cellIs" dxfId="1869" priority="1945" stopIfTrue="1" operator="equal">
      <formula>"Towel"</formula>
    </cfRule>
    <cfRule type="cellIs" dxfId="1868" priority="1946" stopIfTrue="1" operator="equal">
      <formula>"Napkin Hs"</formula>
    </cfRule>
  </conditionalFormatting>
  <conditionalFormatting sqref="C90">
    <cfRule type="cellIs" dxfId="1867" priority="1944" stopIfTrue="1" operator="equal">
      <formula>"Napkin Hs"</formula>
    </cfRule>
  </conditionalFormatting>
  <conditionalFormatting sqref="C90">
    <cfRule type="cellIs" dxfId="1866" priority="1941" stopIfTrue="1" operator="equal">
      <formula>"Towel"</formula>
    </cfRule>
    <cfRule type="cellIs" dxfId="1865" priority="1942" stopIfTrue="1" operator="equal">
      <formula>"Napkin Hs"</formula>
    </cfRule>
  </conditionalFormatting>
  <conditionalFormatting sqref="C90">
    <cfRule type="cellIs" dxfId="1864" priority="1943" stopIfTrue="1" operator="equal">
      <formula>"Towel"</formula>
    </cfRule>
  </conditionalFormatting>
  <conditionalFormatting sqref="B90:C90">
    <cfRule type="cellIs" dxfId="1863" priority="1939" stopIfTrue="1" operator="equal">
      <formula>"Towel"</formula>
    </cfRule>
    <cfRule type="cellIs" dxfId="1862" priority="1940" stopIfTrue="1" operator="equal">
      <formula>"Napkin Hs"</formula>
    </cfRule>
  </conditionalFormatting>
  <conditionalFormatting sqref="C90">
    <cfRule type="cellIs" dxfId="1861" priority="1938" stopIfTrue="1" operator="equal">
      <formula>"Napkin Hs"</formula>
    </cfRule>
  </conditionalFormatting>
  <conditionalFormatting sqref="C90">
    <cfRule type="cellIs" dxfId="1860" priority="1935" stopIfTrue="1" operator="equal">
      <formula>"Towel"</formula>
    </cfRule>
    <cfRule type="cellIs" dxfId="1859" priority="1936" stopIfTrue="1" operator="equal">
      <formula>"Napkin Hs"</formula>
    </cfRule>
  </conditionalFormatting>
  <conditionalFormatting sqref="C90">
    <cfRule type="cellIs" dxfId="1858" priority="1937" stopIfTrue="1" operator="equal">
      <formula>"Towel"</formula>
    </cfRule>
  </conditionalFormatting>
  <conditionalFormatting sqref="B90:C90">
    <cfRule type="cellIs" dxfId="1857" priority="1933" stopIfTrue="1" operator="equal">
      <formula>"Towel"</formula>
    </cfRule>
    <cfRule type="cellIs" dxfId="1856" priority="1934" stopIfTrue="1" operator="equal">
      <formula>"Napkin Hs"</formula>
    </cfRule>
  </conditionalFormatting>
  <conditionalFormatting sqref="C90">
    <cfRule type="cellIs" dxfId="1855" priority="1932" stopIfTrue="1" operator="equal">
      <formula>"Napkin Hs"</formula>
    </cfRule>
  </conditionalFormatting>
  <conditionalFormatting sqref="C90">
    <cfRule type="cellIs" dxfId="1854" priority="1929" stopIfTrue="1" operator="equal">
      <formula>"Towel"</formula>
    </cfRule>
    <cfRule type="cellIs" dxfId="1853" priority="1930" stopIfTrue="1" operator="equal">
      <formula>"Napkin Hs"</formula>
    </cfRule>
  </conditionalFormatting>
  <conditionalFormatting sqref="C90">
    <cfRule type="cellIs" dxfId="1852" priority="1931" stopIfTrue="1" operator="equal">
      <formula>"Towel"</formula>
    </cfRule>
  </conditionalFormatting>
  <conditionalFormatting sqref="B90:C90">
    <cfRule type="cellIs" dxfId="1851" priority="1927" stopIfTrue="1" operator="equal">
      <formula>"Towel"</formula>
    </cfRule>
    <cfRule type="cellIs" dxfId="1850" priority="1928" stopIfTrue="1" operator="equal">
      <formula>"Napkin Hs"</formula>
    </cfRule>
  </conditionalFormatting>
  <conditionalFormatting sqref="C90">
    <cfRule type="cellIs" dxfId="1849" priority="1926" stopIfTrue="1" operator="equal">
      <formula>"Napkin Hs"</formula>
    </cfRule>
  </conditionalFormatting>
  <conditionalFormatting sqref="C90">
    <cfRule type="cellIs" dxfId="1848" priority="1923" stopIfTrue="1" operator="equal">
      <formula>"Towel"</formula>
    </cfRule>
    <cfRule type="cellIs" dxfId="1847" priority="1924" stopIfTrue="1" operator="equal">
      <formula>"Napkin Hs"</formula>
    </cfRule>
  </conditionalFormatting>
  <conditionalFormatting sqref="C90">
    <cfRule type="cellIs" dxfId="1846" priority="1925" stopIfTrue="1" operator="equal">
      <formula>"Towel"</formula>
    </cfRule>
  </conditionalFormatting>
  <conditionalFormatting sqref="B90:C90">
    <cfRule type="cellIs" dxfId="1845" priority="1921" stopIfTrue="1" operator="equal">
      <formula>"Towel"</formula>
    </cfRule>
    <cfRule type="cellIs" dxfId="1844" priority="1922" stopIfTrue="1" operator="equal">
      <formula>"Napkin Hs"</formula>
    </cfRule>
  </conditionalFormatting>
  <conditionalFormatting sqref="C90">
    <cfRule type="cellIs" dxfId="1843" priority="1920" stopIfTrue="1" operator="equal">
      <formula>"Napkin Hs"</formula>
    </cfRule>
  </conditionalFormatting>
  <conditionalFormatting sqref="C90">
    <cfRule type="cellIs" dxfId="1842" priority="1917" stopIfTrue="1" operator="equal">
      <formula>"Towel"</formula>
    </cfRule>
    <cfRule type="cellIs" dxfId="1841" priority="1918" stopIfTrue="1" operator="equal">
      <formula>"Napkin Hs"</formula>
    </cfRule>
  </conditionalFormatting>
  <conditionalFormatting sqref="C90">
    <cfRule type="cellIs" dxfId="1840" priority="1919" stopIfTrue="1" operator="equal">
      <formula>"Towel"</formula>
    </cfRule>
  </conditionalFormatting>
  <conditionalFormatting sqref="B89:C89">
    <cfRule type="cellIs" dxfId="1839" priority="1915" stopIfTrue="1" operator="equal">
      <formula>"Towel"</formula>
    </cfRule>
    <cfRule type="cellIs" dxfId="1838" priority="1916" stopIfTrue="1" operator="equal">
      <formula>"Napkin Hs"</formula>
    </cfRule>
  </conditionalFormatting>
  <conditionalFormatting sqref="C89">
    <cfRule type="cellIs" dxfId="1837" priority="1914" stopIfTrue="1" operator="equal">
      <formula>"Napkin Hs"</formula>
    </cfRule>
  </conditionalFormatting>
  <conditionalFormatting sqref="C89">
    <cfRule type="cellIs" dxfId="1836" priority="1911" stopIfTrue="1" operator="equal">
      <formula>"Towel"</formula>
    </cfRule>
    <cfRule type="cellIs" dxfId="1835" priority="1912" stopIfTrue="1" operator="equal">
      <formula>"Napkin Hs"</formula>
    </cfRule>
  </conditionalFormatting>
  <conditionalFormatting sqref="C89">
    <cfRule type="cellIs" dxfId="1834" priority="1913" stopIfTrue="1" operator="equal">
      <formula>"Towel"</formula>
    </cfRule>
  </conditionalFormatting>
  <conditionalFormatting sqref="B89:C89">
    <cfRule type="cellIs" dxfId="1833" priority="1909" stopIfTrue="1" operator="equal">
      <formula>"Towel"</formula>
    </cfRule>
    <cfRule type="cellIs" dxfId="1832" priority="1910" stopIfTrue="1" operator="equal">
      <formula>"Napkin Hs"</formula>
    </cfRule>
  </conditionalFormatting>
  <conditionalFormatting sqref="C89">
    <cfRule type="cellIs" dxfId="1831" priority="1908" stopIfTrue="1" operator="equal">
      <formula>"Napkin Hs"</formula>
    </cfRule>
  </conditionalFormatting>
  <conditionalFormatting sqref="C89">
    <cfRule type="cellIs" dxfId="1830" priority="1905" stopIfTrue="1" operator="equal">
      <formula>"Towel"</formula>
    </cfRule>
    <cfRule type="cellIs" dxfId="1829" priority="1906" stopIfTrue="1" operator="equal">
      <formula>"Napkin Hs"</formula>
    </cfRule>
  </conditionalFormatting>
  <conditionalFormatting sqref="C89">
    <cfRule type="cellIs" dxfId="1828" priority="1907" stopIfTrue="1" operator="equal">
      <formula>"Towel"</formula>
    </cfRule>
  </conditionalFormatting>
  <conditionalFormatting sqref="B89:C89">
    <cfRule type="cellIs" dxfId="1827" priority="1903" stopIfTrue="1" operator="equal">
      <formula>"Towel"</formula>
    </cfRule>
    <cfRule type="cellIs" dxfId="1826" priority="1904" stopIfTrue="1" operator="equal">
      <formula>"Napkin Hs"</formula>
    </cfRule>
  </conditionalFormatting>
  <conditionalFormatting sqref="C89">
    <cfRule type="cellIs" dxfId="1825" priority="1902" stopIfTrue="1" operator="equal">
      <formula>"Napkin Hs"</formula>
    </cfRule>
  </conditionalFormatting>
  <conditionalFormatting sqref="C89">
    <cfRule type="cellIs" dxfId="1824" priority="1899" stopIfTrue="1" operator="equal">
      <formula>"Towel"</formula>
    </cfRule>
    <cfRule type="cellIs" dxfId="1823" priority="1900" stopIfTrue="1" operator="equal">
      <formula>"Napkin Hs"</formula>
    </cfRule>
  </conditionalFormatting>
  <conditionalFormatting sqref="C89">
    <cfRule type="cellIs" dxfId="1822" priority="1901" stopIfTrue="1" operator="equal">
      <formula>"Towel"</formula>
    </cfRule>
  </conditionalFormatting>
  <conditionalFormatting sqref="B89:C89">
    <cfRule type="cellIs" dxfId="1821" priority="1897" stopIfTrue="1" operator="equal">
      <formula>"Towel"</formula>
    </cfRule>
    <cfRule type="cellIs" dxfId="1820" priority="1898" stopIfTrue="1" operator="equal">
      <formula>"Napkin Hs"</formula>
    </cfRule>
  </conditionalFormatting>
  <conditionalFormatting sqref="C89">
    <cfRule type="cellIs" dxfId="1819" priority="1896" stopIfTrue="1" operator="equal">
      <formula>"Napkin Hs"</formula>
    </cfRule>
  </conditionalFormatting>
  <conditionalFormatting sqref="C89">
    <cfRule type="cellIs" dxfId="1818" priority="1893" stopIfTrue="1" operator="equal">
      <formula>"Towel"</formula>
    </cfRule>
    <cfRule type="cellIs" dxfId="1817" priority="1894" stopIfTrue="1" operator="equal">
      <formula>"Napkin Hs"</formula>
    </cfRule>
  </conditionalFormatting>
  <conditionalFormatting sqref="C89">
    <cfRule type="cellIs" dxfId="1816" priority="1895" stopIfTrue="1" operator="equal">
      <formula>"Towel"</formula>
    </cfRule>
  </conditionalFormatting>
  <conditionalFormatting sqref="B89:C89">
    <cfRule type="cellIs" dxfId="1815" priority="1891" stopIfTrue="1" operator="equal">
      <formula>"Towel"</formula>
    </cfRule>
    <cfRule type="cellIs" dxfId="1814" priority="1892" stopIfTrue="1" operator="equal">
      <formula>"Napkin Hs"</formula>
    </cfRule>
  </conditionalFormatting>
  <conditionalFormatting sqref="C89">
    <cfRule type="cellIs" dxfId="1813" priority="1890" stopIfTrue="1" operator="equal">
      <formula>"Napkin Hs"</formula>
    </cfRule>
  </conditionalFormatting>
  <conditionalFormatting sqref="C89">
    <cfRule type="cellIs" dxfId="1812" priority="1887" stopIfTrue="1" operator="equal">
      <formula>"Towel"</formula>
    </cfRule>
    <cfRule type="cellIs" dxfId="1811" priority="1888" stopIfTrue="1" operator="equal">
      <formula>"Napkin Hs"</formula>
    </cfRule>
  </conditionalFormatting>
  <conditionalFormatting sqref="C89">
    <cfRule type="cellIs" dxfId="1810" priority="1889" stopIfTrue="1" operator="equal">
      <formula>"Towel"</formula>
    </cfRule>
  </conditionalFormatting>
  <conditionalFormatting sqref="B96:C96">
    <cfRule type="cellIs" dxfId="1809" priority="1883" stopIfTrue="1" operator="equal">
      <formula>"Towel"</formula>
    </cfRule>
    <cfRule type="cellIs" dxfId="1808" priority="1884" stopIfTrue="1" operator="equal">
      <formula>"Napkin Hs"</formula>
    </cfRule>
  </conditionalFormatting>
  <conditionalFormatting sqref="C96">
    <cfRule type="cellIs" dxfId="1807" priority="1885" stopIfTrue="1" operator="equal">
      <formula>"Towel"</formula>
    </cfRule>
    <cfRule type="cellIs" dxfId="1806" priority="1886" stopIfTrue="1" operator="equal">
      <formula>"Napkin Hs"</formula>
    </cfRule>
  </conditionalFormatting>
  <conditionalFormatting sqref="C96">
    <cfRule type="cellIs" dxfId="1805" priority="1881" stopIfTrue="1" operator="equal">
      <formula>"Towel"</formula>
    </cfRule>
    <cfRule type="cellIs" dxfId="1804" priority="1882" stopIfTrue="1" operator="equal">
      <formula>"Napkin Hs"</formula>
    </cfRule>
  </conditionalFormatting>
  <conditionalFormatting sqref="B93:C93 B95:C95">
    <cfRule type="cellIs" dxfId="1803" priority="1879" stopIfTrue="1" operator="equal">
      <formula>"Towel"</formula>
    </cfRule>
    <cfRule type="cellIs" dxfId="1802" priority="1880" stopIfTrue="1" operator="equal">
      <formula>"Napkin Hs"</formula>
    </cfRule>
  </conditionalFormatting>
  <conditionalFormatting sqref="C93 C95">
    <cfRule type="cellIs" dxfId="1801" priority="1878" stopIfTrue="1" operator="equal">
      <formula>"Napkin Hs"</formula>
    </cfRule>
  </conditionalFormatting>
  <conditionalFormatting sqref="C93 C95">
    <cfRule type="cellIs" dxfId="1800" priority="1875" stopIfTrue="1" operator="equal">
      <formula>"Towel"</formula>
    </cfRule>
    <cfRule type="cellIs" dxfId="1799" priority="1876" stopIfTrue="1" operator="equal">
      <formula>"Napkin Hs"</formula>
    </cfRule>
  </conditionalFormatting>
  <conditionalFormatting sqref="C93 C95">
    <cfRule type="cellIs" dxfId="1798" priority="1877" stopIfTrue="1" operator="equal">
      <formula>"Towel"</formula>
    </cfRule>
  </conditionalFormatting>
  <conditionalFormatting sqref="B93:C93">
    <cfRule type="cellIs" dxfId="1797" priority="1867" stopIfTrue="1" operator="equal">
      <formula>"Towel"</formula>
    </cfRule>
    <cfRule type="cellIs" dxfId="1796" priority="1868" stopIfTrue="1" operator="equal">
      <formula>"Napkin Hs"</formula>
    </cfRule>
  </conditionalFormatting>
  <conditionalFormatting sqref="C93">
    <cfRule type="cellIs" dxfId="1795" priority="1866" stopIfTrue="1" operator="equal">
      <formula>"Napkin Hs"</formula>
    </cfRule>
  </conditionalFormatting>
  <conditionalFormatting sqref="C93">
    <cfRule type="cellIs" dxfId="1794" priority="1863" stopIfTrue="1" operator="equal">
      <formula>"Towel"</formula>
    </cfRule>
    <cfRule type="cellIs" dxfId="1793" priority="1864" stopIfTrue="1" operator="equal">
      <formula>"Napkin Hs"</formula>
    </cfRule>
  </conditionalFormatting>
  <conditionalFormatting sqref="C93">
    <cfRule type="cellIs" dxfId="1792" priority="1865" stopIfTrue="1" operator="equal">
      <formula>"Towel"</formula>
    </cfRule>
  </conditionalFormatting>
  <conditionalFormatting sqref="B96:C96">
    <cfRule type="cellIs" dxfId="1791" priority="1859" stopIfTrue="1" operator="equal">
      <formula>"Towel"</formula>
    </cfRule>
    <cfRule type="cellIs" dxfId="1790" priority="1860" stopIfTrue="1" operator="equal">
      <formula>"Napkin Hs"</formula>
    </cfRule>
  </conditionalFormatting>
  <conditionalFormatting sqref="C96">
    <cfRule type="cellIs" dxfId="1789" priority="1861" stopIfTrue="1" operator="equal">
      <formula>"Towel"</formula>
    </cfRule>
    <cfRule type="cellIs" dxfId="1788" priority="1862" stopIfTrue="1" operator="equal">
      <formula>"Napkin Hs"</formula>
    </cfRule>
  </conditionalFormatting>
  <conditionalFormatting sqref="C96">
    <cfRule type="cellIs" dxfId="1787" priority="1857" stopIfTrue="1" operator="equal">
      <formula>"Towel"</formula>
    </cfRule>
    <cfRule type="cellIs" dxfId="1786" priority="1858" stopIfTrue="1" operator="equal">
      <formula>"Napkin Hs"</formula>
    </cfRule>
  </conditionalFormatting>
  <conditionalFormatting sqref="B93:C93 B95:C95">
    <cfRule type="cellIs" dxfId="1785" priority="1855" stopIfTrue="1" operator="equal">
      <formula>"Towel"</formula>
    </cfRule>
    <cfRule type="cellIs" dxfId="1784" priority="1856" stopIfTrue="1" operator="equal">
      <formula>"Napkin Hs"</formula>
    </cfRule>
  </conditionalFormatting>
  <conditionalFormatting sqref="C93 C95">
    <cfRule type="cellIs" dxfId="1783" priority="1854" stopIfTrue="1" operator="equal">
      <formula>"Napkin Hs"</formula>
    </cfRule>
  </conditionalFormatting>
  <conditionalFormatting sqref="C93 C95">
    <cfRule type="cellIs" dxfId="1782" priority="1851" stopIfTrue="1" operator="equal">
      <formula>"Towel"</formula>
    </cfRule>
    <cfRule type="cellIs" dxfId="1781" priority="1852" stopIfTrue="1" operator="equal">
      <formula>"Napkin Hs"</formula>
    </cfRule>
  </conditionalFormatting>
  <conditionalFormatting sqref="C93 C95">
    <cfRule type="cellIs" dxfId="1780" priority="1853" stopIfTrue="1" operator="equal">
      <formula>"Towel"</formula>
    </cfRule>
  </conditionalFormatting>
  <conditionalFormatting sqref="B96:C96">
    <cfRule type="cellIs" dxfId="1779" priority="1837" stopIfTrue="1" operator="equal">
      <formula>"Towel"</formula>
    </cfRule>
    <cfRule type="cellIs" dxfId="1778" priority="1838" stopIfTrue="1" operator="equal">
      <formula>"Napkin Hs"</formula>
    </cfRule>
  </conditionalFormatting>
  <conditionalFormatting sqref="C96">
    <cfRule type="cellIs" dxfId="1777" priority="1833" stopIfTrue="1" operator="equal">
      <formula>"Towel"</formula>
    </cfRule>
    <cfRule type="cellIs" dxfId="1776" priority="1834" stopIfTrue="1" operator="equal">
      <formula>"Napkin Hs"</formula>
    </cfRule>
  </conditionalFormatting>
  <conditionalFormatting sqref="C96">
    <cfRule type="cellIs" dxfId="1775" priority="1835" stopIfTrue="1" operator="equal">
      <formula>"Towel"</formula>
    </cfRule>
    <cfRule type="cellIs" dxfId="1774" priority="1836" stopIfTrue="1" operator="equal">
      <formula>"Napkin Hs"</formula>
    </cfRule>
  </conditionalFormatting>
  <conditionalFormatting sqref="B95:C95">
    <cfRule type="cellIs" dxfId="1773" priority="1801" stopIfTrue="1" operator="equal">
      <formula>"Towel"</formula>
    </cfRule>
    <cfRule type="cellIs" dxfId="1772" priority="1802" stopIfTrue="1" operator="equal">
      <formula>"Napkin Hs"</formula>
    </cfRule>
  </conditionalFormatting>
  <conditionalFormatting sqref="C95">
    <cfRule type="cellIs" dxfId="1771" priority="1797" stopIfTrue="1" operator="equal">
      <formula>"Towel"</formula>
    </cfRule>
    <cfRule type="cellIs" dxfId="1770" priority="1798" stopIfTrue="1" operator="equal">
      <formula>"Napkin Hs"</formula>
    </cfRule>
  </conditionalFormatting>
  <conditionalFormatting sqref="B95:C95">
    <cfRule type="cellIs" dxfId="1769" priority="1795" stopIfTrue="1" operator="equal">
      <formula>"Towel"</formula>
    </cfRule>
    <cfRule type="cellIs" dxfId="1768" priority="1796" stopIfTrue="1" operator="equal">
      <formula>"Napkin Hs"</formula>
    </cfRule>
  </conditionalFormatting>
  <conditionalFormatting sqref="C95">
    <cfRule type="cellIs" dxfId="1767" priority="1794" stopIfTrue="1" operator="equal">
      <formula>"Napkin Hs"</formula>
    </cfRule>
  </conditionalFormatting>
  <conditionalFormatting sqref="C95">
    <cfRule type="cellIs" dxfId="1766" priority="1791" stopIfTrue="1" operator="equal">
      <formula>"Towel"</formula>
    </cfRule>
    <cfRule type="cellIs" dxfId="1765" priority="1792" stopIfTrue="1" operator="equal">
      <formula>"Napkin Hs"</formula>
    </cfRule>
  </conditionalFormatting>
  <conditionalFormatting sqref="C95">
    <cfRule type="cellIs" dxfId="1764" priority="1793" stopIfTrue="1" operator="equal">
      <formula>"Towel"</formula>
    </cfRule>
  </conditionalFormatting>
  <conditionalFormatting sqref="B95:C95">
    <cfRule type="cellIs" dxfId="1763" priority="1789" stopIfTrue="1" operator="equal">
      <formula>"Towel"</formula>
    </cfRule>
    <cfRule type="cellIs" dxfId="1762" priority="1790" stopIfTrue="1" operator="equal">
      <formula>"Napkin Hs"</formula>
    </cfRule>
  </conditionalFormatting>
  <conditionalFormatting sqref="C95">
    <cfRule type="cellIs" dxfId="1761" priority="1788" stopIfTrue="1" operator="equal">
      <formula>"Napkin Hs"</formula>
    </cfRule>
  </conditionalFormatting>
  <conditionalFormatting sqref="C95">
    <cfRule type="cellIs" dxfId="1760" priority="1785" stopIfTrue="1" operator="equal">
      <formula>"Towel"</formula>
    </cfRule>
    <cfRule type="cellIs" dxfId="1759" priority="1786" stopIfTrue="1" operator="equal">
      <formula>"Napkin Hs"</formula>
    </cfRule>
  </conditionalFormatting>
  <conditionalFormatting sqref="C95">
    <cfRule type="cellIs" dxfId="1758" priority="1787" stopIfTrue="1" operator="equal">
      <formula>"Towel"</formula>
    </cfRule>
  </conditionalFormatting>
  <conditionalFormatting sqref="B95:C95">
    <cfRule type="cellIs" dxfId="1757" priority="1783" stopIfTrue="1" operator="equal">
      <formula>"Towel"</formula>
    </cfRule>
    <cfRule type="cellIs" dxfId="1756" priority="1784" stopIfTrue="1" operator="equal">
      <formula>"Napkin Hs"</formula>
    </cfRule>
  </conditionalFormatting>
  <conditionalFormatting sqref="C95">
    <cfRule type="cellIs" dxfId="1755" priority="1782" stopIfTrue="1" operator="equal">
      <formula>"Napkin Hs"</formula>
    </cfRule>
  </conditionalFormatting>
  <conditionalFormatting sqref="C95">
    <cfRule type="cellIs" dxfId="1754" priority="1779" stopIfTrue="1" operator="equal">
      <formula>"Towel"</formula>
    </cfRule>
    <cfRule type="cellIs" dxfId="1753" priority="1780" stopIfTrue="1" operator="equal">
      <formula>"Napkin Hs"</formula>
    </cfRule>
  </conditionalFormatting>
  <conditionalFormatting sqref="C95">
    <cfRule type="cellIs" dxfId="1752" priority="1781" stopIfTrue="1" operator="equal">
      <formula>"Towel"</formula>
    </cfRule>
  </conditionalFormatting>
  <conditionalFormatting sqref="B95:C95">
    <cfRule type="cellIs" dxfId="1751" priority="1831" stopIfTrue="1" operator="equal">
      <formula>"Towel"</formula>
    </cfRule>
    <cfRule type="cellIs" dxfId="1750" priority="1832" stopIfTrue="1" operator="equal">
      <formula>"Napkin Hs"</formula>
    </cfRule>
  </conditionalFormatting>
  <conditionalFormatting sqref="C95">
    <cfRule type="cellIs" dxfId="1749" priority="1830" stopIfTrue="1" operator="equal">
      <formula>"Napkin Hs"</formula>
    </cfRule>
  </conditionalFormatting>
  <conditionalFormatting sqref="C95">
    <cfRule type="cellIs" dxfId="1748" priority="1827" stopIfTrue="1" operator="equal">
      <formula>"Towel"</formula>
    </cfRule>
    <cfRule type="cellIs" dxfId="1747" priority="1828" stopIfTrue="1" operator="equal">
      <formula>"Napkin Hs"</formula>
    </cfRule>
  </conditionalFormatting>
  <conditionalFormatting sqref="C95">
    <cfRule type="cellIs" dxfId="1746" priority="1829" stopIfTrue="1" operator="equal">
      <formula>"Towel"</formula>
    </cfRule>
  </conditionalFormatting>
  <conditionalFormatting sqref="B95:C95">
    <cfRule type="cellIs" dxfId="1745" priority="1825" stopIfTrue="1" operator="equal">
      <formula>"Towel"</formula>
    </cfRule>
    <cfRule type="cellIs" dxfId="1744" priority="1826" stopIfTrue="1" operator="equal">
      <formula>"Napkin Hs"</formula>
    </cfRule>
  </conditionalFormatting>
  <conditionalFormatting sqref="C95">
    <cfRule type="cellIs" dxfId="1743" priority="1824" stopIfTrue="1" operator="equal">
      <formula>"Napkin Hs"</formula>
    </cfRule>
  </conditionalFormatting>
  <conditionalFormatting sqref="C95">
    <cfRule type="cellIs" dxfId="1742" priority="1821" stopIfTrue="1" operator="equal">
      <formula>"Towel"</formula>
    </cfRule>
    <cfRule type="cellIs" dxfId="1741" priority="1822" stopIfTrue="1" operator="equal">
      <formula>"Napkin Hs"</formula>
    </cfRule>
  </conditionalFormatting>
  <conditionalFormatting sqref="C95">
    <cfRule type="cellIs" dxfId="1740" priority="1823" stopIfTrue="1" operator="equal">
      <formula>"Towel"</formula>
    </cfRule>
  </conditionalFormatting>
  <conditionalFormatting sqref="B95:C95">
    <cfRule type="cellIs" dxfId="1739" priority="1819" stopIfTrue="1" operator="equal">
      <formula>"Towel"</formula>
    </cfRule>
    <cfRule type="cellIs" dxfId="1738" priority="1820" stopIfTrue="1" operator="equal">
      <formula>"Napkin Hs"</formula>
    </cfRule>
  </conditionalFormatting>
  <conditionalFormatting sqref="C95">
    <cfRule type="cellIs" dxfId="1737" priority="1818" stopIfTrue="1" operator="equal">
      <formula>"Napkin Hs"</formula>
    </cfRule>
  </conditionalFormatting>
  <conditionalFormatting sqref="C95">
    <cfRule type="cellIs" dxfId="1736" priority="1815" stopIfTrue="1" operator="equal">
      <formula>"Towel"</formula>
    </cfRule>
    <cfRule type="cellIs" dxfId="1735" priority="1816" stopIfTrue="1" operator="equal">
      <formula>"Napkin Hs"</formula>
    </cfRule>
  </conditionalFormatting>
  <conditionalFormatting sqref="C95">
    <cfRule type="cellIs" dxfId="1734" priority="1817" stopIfTrue="1" operator="equal">
      <formula>"Towel"</formula>
    </cfRule>
  </conditionalFormatting>
  <conditionalFormatting sqref="B95:C95">
    <cfRule type="cellIs" dxfId="1733" priority="1813" stopIfTrue="1" operator="equal">
      <formula>"Towel"</formula>
    </cfRule>
    <cfRule type="cellIs" dxfId="1732" priority="1814" stopIfTrue="1" operator="equal">
      <formula>"Napkin Hs"</formula>
    </cfRule>
  </conditionalFormatting>
  <conditionalFormatting sqref="C95">
    <cfRule type="cellIs" dxfId="1731" priority="1812" stopIfTrue="1" operator="equal">
      <formula>"Napkin Hs"</formula>
    </cfRule>
  </conditionalFormatting>
  <conditionalFormatting sqref="C95">
    <cfRule type="cellIs" dxfId="1730" priority="1809" stopIfTrue="1" operator="equal">
      <formula>"Towel"</formula>
    </cfRule>
    <cfRule type="cellIs" dxfId="1729" priority="1810" stopIfTrue="1" operator="equal">
      <formula>"Napkin Hs"</formula>
    </cfRule>
  </conditionalFormatting>
  <conditionalFormatting sqref="C95">
    <cfRule type="cellIs" dxfId="1728" priority="1811" stopIfTrue="1" operator="equal">
      <formula>"Towel"</formula>
    </cfRule>
  </conditionalFormatting>
  <conditionalFormatting sqref="B95:C95">
    <cfRule type="cellIs" dxfId="1727" priority="1807" stopIfTrue="1" operator="equal">
      <formula>"Towel"</formula>
    </cfRule>
    <cfRule type="cellIs" dxfId="1726" priority="1808" stopIfTrue="1" operator="equal">
      <formula>"Napkin Hs"</formula>
    </cfRule>
  </conditionalFormatting>
  <conditionalFormatting sqref="C95">
    <cfRule type="cellIs" dxfId="1725" priority="1805" stopIfTrue="1" operator="equal">
      <formula>"Towel"</formula>
    </cfRule>
    <cfRule type="cellIs" dxfId="1724" priority="1806" stopIfTrue="1" operator="equal">
      <formula>"Napkin Hs"</formula>
    </cfRule>
  </conditionalFormatting>
  <conditionalFormatting sqref="C95">
    <cfRule type="cellIs" dxfId="1723" priority="1803" stopIfTrue="1" operator="equal">
      <formula>"Towel"</formula>
    </cfRule>
    <cfRule type="cellIs" dxfId="1722" priority="1804" stopIfTrue="1" operator="equal">
      <formula>"Napkin Hs"</formula>
    </cfRule>
  </conditionalFormatting>
  <conditionalFormatting sqref="C95">
    <cfRule type="cellIs" dxfId="1721" priority="1799" stopIfTrue="1" operator="equal">
      <formula>"Towel"</formula>
    </cfRule>
    <cfRule type="cellIs" dxfId="1720" priority="1800" stopIfTrue="1" operator="equal">
      <formula>"Napkin Hs"</formula>
    </cfRule>
  </conditionalFormatting>
  <conditionalFormatting sqref="B93:C93">
    <cfRule type="cellIs" dxfId="1719" priority="1777" stopIfTrue="1" operator="equal">
      <formula>"Towel"</formula>
    </cfRule>
    <cfRule type="cellIs" dxfId="1718" priority="1778" stopIfTrue="1" operator="equal">
      <formula>"Napkin Hs"</formula>
    </cfRule>
  </conditionalFormatting>
  <conditionalFormatting sqref="C93">
    <cfRule type="cellIs" dxfId="1717" priority="1776" stopIfTrue="1" operator="equal">
      <formula>"Napkin Hs"</formula>
    </cfRule>
  </conditionalFormatting>
  <conditionalFormatting sqref="C93">
    <cfRule type="cellIs" dxfId="1716" priority="1773" stopIfTrue="1" operator="equal">
      <formula>"Towel"</formula>
    </cfRule>
    <cfRule type="cellIs" dxfId="1715" priority="1774" stopIfTrue="1" operator="equal">
      <formula>"Napkin Hs"</formula>
    </cfRule>
  </conditionalFormatting>
  <conditionalFormatting sqref="C93">
    <cfRule type="cellIs" dxfId="1714" priority="1775" stopIfTrue="1" operator="equal">
      <formula>"Towel"</formula>
    </cfRule>
  </conditionalFormatting>
  <conditionalFormatting sqref="B93:C93">
    <cfRule type="cellIs" dxfId="1713" priority="1771" stopIfTrue="1" operator="equal">
      <formula>"Towel"</formula>
    </cfRule>
    <cfRule type="cellIs" dxfId="1712" priority="1772" stopIfTrue="1" operator="equal">
      <formula>"Napkin Hs"</formula>
    </cfRule>
  </conditionalFormatting>
  <conditionalFormatting sqref="C93">
    <cfRule type="cellIs" dxfId="1711" priority="1770" stopIfTrue="1" operator="equal">
      <formula>"Napkin Hs"</formula>
    </cfRule>
  </conditionalFormatting>
  <conditionalFormatting sqref="C93">
    <cfRule type="cellIs" dxfId="1710" priority="1767" stopIfTrue="1" operator="equal">
      <formula>"Towel"</formula>
    </cfRule>
    <cfRule type="cellIs" dxfId="1709" priority="1768" stopIfTrue="1" operator="equal">
      <formula>"Napkin Hs"</formula>
    </cfRule>
  </conditionalFormatting>
  <conditionalFormatting sqref="C93">
    <cfRule type="cellIs" dxfId="1708" priority="1769" stopIfTrue="1" operator="equal">
      <formula>"Towel"</formula>
    </cfRule>
  </conditionalFormatting>
  <conditionalFormatting sqref="B93:C93">
    <cfRule type="cellIs" dxfId="1707" priority="1765" stopIfTrue="1" operator="equal">
      <formula>"Towel"</formula>
    </cfRule>
    <cfRule type="cellIs" dxfId="1706" priority="1766" stopIfTrue="1" operator="equal">
      <formula>"Napkin Hs"</formula>
    </cfRule>
  </conditionalFormatting>
  <conditionalFormatting sqref="C93">
    <cfRule type="cellIs" dxfId="1705" priority="1764" stopIfTrue="1" operator="equal">
      <formula>"Napkin Hs"</formula>
    </cfRule>
  </conditionalFormatting>
  <conditionalFormatting sqref="C93">
    <cfRule type="cellIs" dxfId="1704" priority="1761" stopIfTrue="1" operator="equal">
      <formula>"Towel"</formula>
    </cfRule>
    <cfRule type="cellIs" dxfId="1703" priority="1762" stopIfTrue="1" operator="equal">
      <formula>"Napkin Hs"</formula>
    </cfRule>
  </conditionalFormatting>
  <conditionalFormatting sqref="C93">
    <cfRule type="cellIs" dxfId="1702" priority="1763" stopIfTrue="1" operator="equal">
      <formula>"Towel"</formula>
    </cfRule>
  </conditionalFormatting>
  <conditionalFormatting sqref="B93:C93">
    <cfRule type="cellIs" dxfId="1701" priority="1759" stopIfTrue="1" operator="equal">
      <formula>"Towel"</formula>
    </cfRule>
    <cfRule type="cellIs" dxfId="1700" priority="1760" stopIfTrue="1" operator="equal">
      <formula>"Napkin Hs"</formula>
    </cfRule>
  </conditionalFormatting>
  <conditionalFormatting sqref="C93">
    <cfRule type="cellIs" dxfId="1699" priority="1758" stopIfTrue="1" operator="equal">
      <formula>"Napkin Hs"</formula>
    </cfRule>
  </conditionalFormatting>
  <conditionalFormatting sqref="C93">
    <cfRule type="cellIs" dxfId="1698" priority="1755" stopIfTrue="1" operator="equal">
      <formula>"Towel"</formula>
    </cfRule>
    <cfRule type="cellIs" dxfId="1697" priority="1756" stopIfTrue="1" operator="equal">
      <formula>"Napkin Hs"</formula>
    </cfRule>
  </conditionalFormatting>
  <conditionalFormatting sqref="C93">
    <cfRule type="cellIs" dxfId="1696" priority="1757" stopIfTrue="1" operator="equal">
      <formula>"Towel"</formula>
    </cfRule>
  </conditionalFormatting>
  <conditionalFormatting sqref="B93:C93">
    <cfRule type="cellIs" dxfId="1695" priority="1753" stopIfTrue="1" operator="equal">
      <formula>"Towel"</formula>
    </cfRule>
    <cfRule type="cellIs" dxfId="1694" priority="1754" stopIfTrue="1" operator="equal">
      <formula>"Napkin Hs"</formula>
    </cfRule>
  </conditionalFormatting>
  <conditionalFormatting sqref="C93">
    <cfRule type="cellIs" dxfId="1693" priority="1752" stopIfTrue="1" operator="equal">
      <formula>"Napkin Hs"</formula>
    </cfRule>
  </conditionalFormatting>
  <conditionalFormatting sqref="C93">
    <cfRule type="cellIs" dxfId="1692" priority="1749" stopIfTrue="1" operator="equal">
      <formula>"Towel"</formula>
    </cfRule>
    <cfRule type="cellIs" dxfId="1691" priority="1750" stopIfTrue="1" operator="equal">
      <formula>"Napkin Hs"</formula>
    </cfRule>
  </conditionalFormatting>
  <conditionalFormatting sqref="C93">
    <cfRule type="cellIs" dxfId="1690" priority="1751" stopIfTrue="1" operator="equal">
      <formula>"Towel"</formula>
    </cfRule>
  </conditionalFormatting>
  <conditionalFormatting sqref="B94:C94">
    <cfRule type="cellIs" dxfId="1689" priority="1747" stopIfTrue="1" operator="equal">
      <formula>"Towel"</formula>
    </cfRule>
    <cfRule type="cellIs" dxfId="1688" priority="1748" stopIfTrue="1" operator="equal">
      <formula>"Napkin Hs"</formula>
    </cfRule>
  </conditionalFormatting>
  <conditionalFormatting sqref="C94">
    <cfRule type="cellIs" dxfId="1687" priority="1746" stopIfTrue="1" operator="equal">
      <formula>"Napkin Hs"</formula>
    </cfRule>
  </conditionalFormatting>
  <conditionalFormatting sqref="C94">
    <cfRule type="cellIs" dxfId="1686" priority="1743" stopIfTrue="1" operator="equal">
      <formula>"Towel"</formula>
    </cfRule>
    <cfRule type="cellIs" dxfId="1685" priority="1744" stopIfTrue="1" operator="equal">
      <formula>"Napkin Hs"</formula>
    </cfRule>
  </conditionalFormatting>
  <conditionalFormatting sqref="C94">
    <cfRule type="cellIs" dxfId="1684" priority="1745" stopIfTrue="1" operator="equal">
      <formula>"Towel"</formula>
    </cfRule>
  </conditionalFormatting>
  <conditionalFormatting sqref="B94:C94">
    <cfRule type="cellIs" dxfId="1683" priority="1741" stopIfTrue="1" operator="equal">
      <formula>"Towel"</formula>
    </cfRule>
    <cfRule type="cellIs" dxfId="1682" priority="1742" stopIfTrue="1" operator="equal">
      <formula>"Napkin Hs"</formula>
    </cfRule>
  </conditionalFormatting>
  <conditionalFormatting sqref="C94">
    <cfRule type="cellIs" dxfId="1681" priority="1740" stopIfTrue="1" operator="equal">
      <formula>"Napkin Hs"</formula>
    </cfRule>
  </conditionalFormatting>
  <conditionalFormatting sqref="C94">
    <cfRule type="cellIs" dxfId="1680" priority="1737" stopIfTrue="1" operator="equal">
      <formula>"Towel"</formula>
    </cfRule>
    <cfRule type="cellIs" dxfId="1679" priority="1738" stopIfTrue="1" operator="equal">
      <formula>"Napkin Hs"</formula>
    </cfRule>
  </conditionalFormatting>
  <conditionalFormatting sqref="C94">
    <cfRule type="cellIs" dxfId="1678" priority="1739" stopIfTrue="1" operator="equal">
      <formula>"Towel"</formula>
    </cfRule>
  </conditionalFormatting>
  <conditionalFormatting sqref="B94:C94">
    <cfRule type="cellIs" dxfId="1677" priority="1735" stopIfTrue="1" operator="equal">
      <formula>"Towel"</formula>
    </cfRule>
    <cfRule type="cellIs" dxfId="1676" priority="1736" stopIfTrue="1" operator="equal">
      <formula>"Napkin Hs"</formula>
    </cfRule>
  </conditionalFormatting>
  <conditionalFormatting sqref="C94">
    <cfRule type="cellIs" dxfId="1675" priority="1734" stopIfTrue="1" operator="equal">
      <formula>"Napkin Hs"</formula>
    </cfRule>
  </conditionalFormatting>
  <conditionalFormatting sqref="C94">
    <cfRule type="cellIs" dxfId="1674" priority="1731" stopIfTrue="1" operator="equal">
      <formula>"Towel"</formula>
    </cfRule>
    <cfRule type="cellIs" dxfId="1673" priority="1732" stopIfTrue="1" operator="equal">
      <formula>"Napkin Hs"</formula>
    </cfRule>
  </conditionalFormatting>
  <conditionalFormatting sqref="C94">
    <cfRule type="cellIs" dxfId="1672" priority="1733" stopIfTrue="1" operator="equal">
      <formula>"Towel"</formula>
    </cfRule>
  </conditionalFormatting>
  <conditionalFormatting sqref="B94:C94">
    <cfRule type="cellIs" dxfId="1671" priority="1729" stopIfTrue="1" operator="equal">
      <formula>"Towel"</formula>
    </cfRule>
    <cfRule type="cellIs" dxfId="1670" priority="1730" stopIfTrue="1" operator="equal">
      <formula>"Napkin Hs"</formula>
    </cfRule>
  </conditionalFormatting>
  <conditionalFormatting sqref="C94">
    <cfRule type="cellIs" dxfId="1669" priority="1728" stopIfTrue="1" operator="equal">
      <formula>"Napkin Hs"</formula>
    </cfRule>
  </conditionalFormatting>
  <conditionalFormatting sqref="C94">
    <cfRule type="cellIs" dxfId="1668" priority="1725" stopIfTrue="1" operator="equal">
      <formula>"Towel"</formula>
    </cfRule>
    <cfRule type="cellIs" dxfId="1667" priority="1726" stopIfTrue="1" operator="equal">
      <formula>"Napkin Hs"</formula>
    </cfRule>
  </conditionalFormatting>
  <conditionalFormatting sqref="C94">
    <cfRule type="cellIs" dxfId="1666" priority="1727" stopIfTrue="1" operator="equal">
      <formula>"Towel"</formula>
    </cfRule>
  </conditionalFormatting>
  <conditionalFormatting sqref="B94:C94">
    <cfRule type="cellIs" dxfId="1665" priority="1723" stopIfTrue="1" operator="equal">
      <formula>"Towel"</formula>
    </cfRule>
    <cfRule type="cellIs" dxfId="1664" priority="1724" stopIfTrue="1" operator="equal">
      <formula>"Napkin Hs"</formula>
    </cfRule>
  </conditionalFormatting>
  <conditionalFormatting sqref="C94">
    <cfRule type="cellIs" dxfId="1663" priority="1722" stopIfTrue="1" operator="equal">
      <formula>"Napkin Hs"</formula>
    </cfRule>
  </conditionalFormatting>
  <conditionalFormatting sqref="C94">
    <cfRule type="cellIs" dxfId="1662" priority="1719" stopIfTrue="1" operator="equal">
      <formula>"Towel"</formula>
    </cfRule>
    <cfRule type="cellIs" dxfId="1661" priority="1720" stopIfTrue="1" operator="equal">
      <formula>"Napkin Hs"</formula>
    </cfRule>
  </conditionalFormatting>
  <conditionalFormatting sqref="C94">
    <cfRule type="cellIs" dxfId="1660" priority="1721" stopIfTrue="1" operator="equal">
      <formula>"Towel"</formula>
    </cfRule>
  </conditionalFormatting>
  <conditionalFormatting sqref="B94:C94">
    <cfRule type="cellIs" dxfId="1659" priority="1717" stopIfTrue="1" operator="equal">
      <formula>"Towel"</formula>
    </cfRule>
    <cfRule type="cellIs" dxfId="1658" priority="1718" stopIfTrue="1" operator="equal">
      <formula>"Napkin Hs"</formula>
    </cfRule>
  </conditionalFormatting>
  <conditionalFormatting sqref="C94">
    <cfRule type="cellIs" dxfId="1657" priority="1716" stopIfTrue="1" operator="equal">
      <formula>"Napkin Hs"</formula>
    </cfRule>
  </conditionalFormatting>
  <conditionalFormatting sqref="C94">
    <cfRule type="cellIs" dxfId="1656" priority="1713" stopIfTrue="1" operator="equal">
      <formula>"Towel"</formula>
    </cfRule>
    <cfRule type="cellIs" dxfId="1655" priority="1714" stopIfTrue="1" operator="equal">
      <formula>"Napkin Hs"</formula>
    </cfRule>
  </conditionalFormatting>
  <conditionalFormatting sqref="C94">
    <cfRule type="cellIs" dxfId="1654" priority="1715" stopIfTrue="1" operator="equal">
      <formula>"Towel"</formula>
    </cfRule>
  </conditionalFormatting>
  <conditionalFormatting sqref="B94:C94">
    <cfRule type="cellIs" dxfId="1653" priority="1711" stopIfTrue="1" operator="equal">
      <formula>"Towel"</formula>
    </cfRule>
    <cfRule type="cellIs" dxfId="1652" priority="1712" stopIfTrue="1" operator="equal">
      <formula>"Napkin Hs"</formula>
    </cfRule>
  </conditionalFormatting>
  <conditionalFormatting sqref="C94">
    <cfRule type="cellIs" dxfId="1651" priority="1710" stopIfTrue="1" operator="equal">
      <formula>"Napkin Hs"</formula>
    </cfRule>
  </conditionalFormatting>
  <conditionalFormatting sqref="C94">
    <cfRule type="cellIs" dxfId="1650" priority="1707" stopIfTrue="1" operator="equal">
      <formula>"Towel"</formula>
    </cfRule>
    <cfRule type="cellIs" dxfId="1649" priority="1708" stopIfTrue="1" operator="equal">
      <formula>"Napkin Hs"</formula>
    </cfRule>
  </conditionalFormatting>
  <conditionalFormatting sqref="C94">
    <cfRule type="cellIs" dxfId="1648" priority="1709" stopIfTrue="1" operator="equal">
      <formula>"Towel"</formula>
    </cfRule>
  </conditionalFormatting>
  <conditionalFormatting sqref="B94:C94">
    <cfRule type="cellIs" dxfId="1647" priority="1705" stopIfTrue="1" operator="equal">
      <formula>"Towel"</formula>
    </cfRule>
    <cfRule type="cellIs" dxfId="1646" priority="1706" stopIfTrue="1" operator="equal">
      <formula>"Napkin Hs"</formula>
    </cfRule>
  </conditionalFormatting>
  <conditionalFormatting sqref="C94">
    <cfRule type="cellIs" dxfId="1645" priority="1704" stopIfTrue="1" operator="equal">
      <formula>"Napkin Hs"</formula>
    </cfRule>
  </conditionalFormatting>
  <conditionalFormatting sqref="C94">
    <cfRule type="cellIs" dxfId="1644" priority="1701" stopIfTrue="1" operator="equal">
      <formula>"Towel"</formula>
    </cfRule>
    <cfRule type="cellIs" dxfId="1643" priority="1702" stopIfTrue="1" operator="equal">
      <formula>"Napkin Hs"</formula>
    </cfRule>
  </conditionalFormatting>
  <conditionalFormatting sqref="C94">
    <cfRule type="cellIs" dxfId="1642" priority="1703" stopIfTrue="1" operator="equal">
      <formula>"Towel"</formula>
    </cfRule>
  </conditionalFormatting>
  <conditionalFormatting sqref="B100:C100">
    <cfRule type="cellIs" dxfId="1641" priority="1693" stopIfTrue="1" operator="equal">
      <formula>"Towel"</formula>
    </cfRule>
    <cfRule type="cellIs" dxfId="1640" priority="1694" stopIfTrue="1" operator="equal">
      <formula>"Napkin Hs"</formula>
    </cfRule>
  </conditionalFormatting>
  <conditionalFormatting sqref="C100">
    <cfRule type="cellIs" dxfId="1639" priority="1691" stopIfTrue="1" operator="equal">
      <formula>"Towel"</formula>
    </cfRule>
    <cfRule type="cellIs" dxfId="1638" priority="1692" stopIfTrue="1" operator="equal">
      <formula>"Napkin Hs"</formula>
    </cfRule>
  </conditionalFormatting>
  <conditionalFormatting sqref="C100">
    <cfRule type="cellIs" dxfId="1637" priority="1689" stopIfTrue="1" operator="equal">
      <formula>"Towel"</formula>
    </cfRule>
    <cfRule type="cellIs" dxfId="1636" priority="1690" stopIfTrue="1" operator="equal">
      <formula>"Napkin Hs"</formula>
    </cfRule>
  </conditionalFormatting>
  <conditionalFormatting sqref="B99:C99">
    <cfRule type="cellIs" dxfId="1635" priority="1681" stopIfTrue="1" operator="equal">
      <formula>"Towel"</formula>
    </cfRule>
    <cfRule type="cellIs" dxfId="1634" priority="1682" stopIfTrue="1" operator="equal">
      <formula>"Napkin Hs"</formula>
    </cfRule>
  </conditionalFormatting>
  <conditionalFormatting sqref="C99">
    <cfRule type="cellIs" dxfId="1633" priority="1680" stopIfTrue="1" operator="equal">
      <formula>"Napkin Hs"</formula>
    </cfRule>
  </conditionalFormatting>
  <conditionalFormatting sqref="C99">
    <cfRule type="cellIs" dxfId="1632" priority="1677" stopIfTrue="1" operator="equal">
      <formula>"Towel"</formula>
    </cfRule>
    <cfRule type="cellIs" dxfId="1631" priority="1678" stopIfTrue="1" operator="equal">
      <formula>"Napkin Hs"</formula>
    </cfRule>
  </conditionalFormatting>
  <conditionalFormatting sqref="C99">
    <cfRule type="cellIs" dxfId="1630" priority="1679" stopIfTrue="1" operator="equal">
      <formula>"Towel"</formula>
    </cfRule>
  </conditionalFormatting>
  <conditionalFormatting sqref="B99:C99">
    <cfRule type="cellIs" dxfId="1629" priority="1675" stopIfTrue="1" operator="equal">
      <formula>"Towel"</formula>
    </cfRule>
    <cfRule type="cellIs" dxfId="1628" priority="1676" stopIfTrue="1" operator="equal">
      <formula>"Napkin Hs"</formula>
    </cfRule>
  </conditionalFormatting>
  <conditionalFormatting sqref="C99">
    <cfRule type="cellIs" dxfId="1627" priority="1674" stopIfTrue="1" operator="equal">
      <formula>"Napkin Hs"</formula>
    </cfRule>
  </conditionalFormatting>
  <conditionalFormatting sqref="C99">
    <cfRule type="cellIs" dxfId="1626" priority="1671" stopIfTrue="1" operator="equal">
      <formula>"Towel"</formula>
    </cfRule>
    <cfRule type="cellIs" dxfId="1625" priority="1672" stopIfTrue="1" operator="equal">
      <formula>"Napkin Hs"</formula>
    </cfRule>
  </conditionalFormatting>
  <conditionalFormatting sqref="C99">
    <cfRule type="cellIs" dxfId="1624" priority="1673" stopIfTrue="1" operator="equal">
      <formula>"Towel"</formula>
    </cfRule>
  </conditionalFormatting>
  <conditionalFormatting sqref="B99:C99">
    <cfRule type="cellIs" dxfId="1623" priority="1639" stopIfTrue="1" operator="equal">
      <formula>"Towel"</formula>
    </cfRule>
    <cfRule type="cellIs" dxfId="1622" priority="1640" stopIfTrue="1" operator="equal">
      <formula>"Napkin Hs"</formula>
    </cfRule>
  </conditionalFormatting>
  <conditionalFormatting sqref="C99">
    <cfRule type="cellIs" dxfId="1621" priority="1635" stopIfTrue="1" operator="equal">
      <formula>"Towel"</formula>
    </cfRule>
    <cfRule type="cellIs" dxfId="1620" priority="1636" stopIfTrue="1" operator="equal">
      <formula>"Napkin Hs"</formula>
    </cfRule>
  </conditionalFormatting>
  <conditionalFormatting sqref="B99:C99">
    <cfRule type="cellIs" dxfId="1619" priority="1633" stopIfTrue="1" operator="equal">
      <formula>"Towel"</formula>
    </cfRule>
    <cfRule type="cellIs" dxfId="1618" priority="1634" stopIfTrue="1" operator="equal">
      <formula>"Napkin Hs"</formula>
    </cfRule>
  </conditionalFormatting>
  <conditionalFormatting sqref="C99">
    <cfRule type="cellIs" dxfId="1617" priority="1632" stopIfTrue="1" operator="equal">
      <formula>"Napkin Hs"</formula>
    </cfRule>
  </conditionalFormatting>
  <conditionalFormatting sqref="C99">
    <cfRule type="cellIs" dxfId="1616" priority="1629" stopIfTrue="1" operator="equal">
      <formula>"Towel"</formula>
    </cfRule>
    <cfRule type="cellIs" dxfId="1615" priority="1630" stopIfTrue="1" operator="equal">
      <formula>"Napkin Hs"</formula>
    </cfRule>
  </conditionalFormatting>
  <conditionalFormatting sqref="C99">
    <cfRule type="cellIs" dxfId="1614" priority="1631" stopIfTrue="1" operator="equal">
      <formula>"Towel"</formula>
    </cfRule>
  </conditionalFormatting>
  <conditionalFormatting sqref="B99:C99">
    <cfRule type="cellIs" dxfId="1613" priority="1627" stopIfTrue="1" operator="equal">
      <formula>"Towel"</formula>
    </cfRule>
    <cfRule type="cellIs" dxfId="1612" priority="1628" stopIfTrue="1" operator="equal">
      <formula>"Napkin Hs"</formula>
    </cfRule>
  </conditionalFormatting>
  <conditionalFormatting sqref="C99">
    <cfRule type="cellIs" dxfId="1611" priority="1626" stopIfTrue="1" operator="equal">
      <formula>"Napkin Hs"</formula>
    </cfRule>
  </conditionalFormatting>
  <conditionalFormatting sqref="C99">
    <cfRule type="cellIs" dxfId="1610" priority="1623" stopIfTrue="1" operator="equal">
      <formula>"Towel"</formula>
    </cfRule>
    <cfRule type="cellIs" dxfId="1609" priority="1624" stopIfTrue="1" operator="equal">
      <formula>"Napkin Hs"</formula>
    </cfRule>
  </conditionalFormatting>
  <conditionalFormatting sqref="C99">
    <cfRule type="cellIs" dxfId="1608" priority="1625" stopIfTrue="1" operator="equal">
      <formula>"Towel"</formula>
    </cfRule>
  </conditionalFormatting>
  <conditionalFormatting sqref="B99:C99">
    <cfRule type="cellIs" dxfId="1607" priority="1621" stopIfTrue="1" operator="equal">
      <formula>"Towel"</formula>
    </cfRule>
    <cfRule type="cellIs" dxfId="1606" priority="1622" stopIfTrue="1" operator="equal">
      <formula>"Napkin Hs"</formula>
    </cfRule>
  </conditionalFormatting>
  <conditionalFormatting sqref="C99">
    <cfRule type="cellIs" dxfId="1605" priority="1620" stopIfTrue="1" operator="equal">
      <formula>"Napkin Hs"</formula>
    </cfRule>
  </conditionalFormatting>
  <conditionalFormatting sqref="C99">
    <cfRule type="cellIs" dxfId="1604" priority="1617" stopIfTrue="1" operator="equal">
      <formula>"Towel"</formula>
    </cfRule>
    <cfRule type="cellIs" dxfId="1603" priority="1618" stopIfTrue="1" operator="equal">
      <formula>"Napkin Hs"</formula>
    </cfRule>
  </conditionalFormatting>
  <conditionalFormatting sqref="C99">
    <cfRule type="cellIs" dxfId="1602" priority="1619" stopIfTrue="1" operator="equal">
      <formula>"Towel"</formula>
    </cfRule>
  </conditionalFormatting>
  <conditionalFormatting sqref="B99:C99">
    <cfRule type="cellIs" dxfId="1601" priority="1669" stopIfTrue="1" operator="equal">
      <formula>"Towel"</formula>
    </cfRule>
    <cfRule type="cellIs" dxfId="1600" priority="1670" stopIfTrue="1" operator="equal">
      <formula>"Napkin Hs"</formula>
    </cfRule>
  </conditionalFormatting>
  <conditionalFormatting sqref="C99">
    <cfRule type="cellIs" dxfId="1599" priority="1668" stopIfTrue="1" operator="equal">
      <formula>"Napkin Hs"</formula>
    </cfRule>
  </conditionalFormatting>
  <conditionalFormatting sqref="C99">
    <cfRule type="cellIs" dxfId="1598" priority="1665" stopIfTrue="1" operator="equal">
      <formula>"Towel"</formula>
    </cfRule>
    <cfRule type="cellIs" dxfId="1597" priority="1666" stopIfTrue="1" operator="equal">
      <formula>"Napkin Hs"</formula>
    </cfRule>
  </conditionalFormatting>
  <conditionalFormatting sqref="C99">
    <cfRule type="cellIs" dxfId="1596" priority="1667" stopIfTrue="1" operator="equal">
      <formula>"Towel"</formula>
    </cfRule>
  </conditionalFormatting>
  <conditionalFormatting sqref="B99:C99">
    <cfRule type="cellIs" dxfId="1595" priority="1663" stopIfTrue="1" operator="equal">
      <formula>"Towel"</formula>
    </cfRule>
    <cfRule type="cellIs" dxfId="1594" priority="1664" stopIfTrue="1" operator="equal">
      <formula>"Napkin Hs"</formula>
    </cfRule>
  </conditionalFormatting>
  <conditionalFormatting sqref="C99">
    <cfRule type="cellIs" dxfId="1593" priority="1662" stopIfTrue="1" operator="equal">
      <formula>"Napkin Hs"</formula>
    </cfRule>
  </conditionalFormatting>
  <conditionalFormatting sqref="C99">
    <cfRule type="cellIs" dxfId="1592" priority="1659" stopIfTrue="1" operator="equal">
      <formula>"Towel"</formula>
    </cfRule>
    <cfRule type="cellIs" dxfId="1591" priority="1660" stopIfTrue="1" operator="equal">
      <formula>"Napkin Hs"</formula>
    </cfRule>
  </conditionalFormatting>
  <conditionalFormatting sqref="C99">
    <cfRule type="cellIs" dxfId="1590" priority="1661" stopIfTrue="1" operator="equal">
      <formula>"Towel"</formula>
    </cfRule>
  </conditionalFormatting>
  <conditionalFormatting sqref="B99:C99">
    <cfRule type="cellIs" dxfId="1589" priority="1657" stopIfTrue="1" operator="equal">
      <formula>"Towel"</formula>
    </cfRule>
    <cfRule type="cellIs" dxfId="1588" priority="1658" stopIfTrue="1" operator="equal">
      <formula>"Napkin Hs"</formula>
    </cfRule>
  </conditionalFormatting>
  <conditionalFormatting sqref="C99">
    <cfRule type="cellIs" dxfId="1587" priority="1656" stopIfTrue="1" operator="equal">
      <formula>"Napkin Hs"</formula>
    </cfRule>
  </conditionalFormatting>
  <conditionalFormatting sqref="C99">
    <cfRule type="cellIs" dxfId="1586" priority="1653" stopIfTrue="1" operator="equal">
      <formula>"Towel"</formula>
    </cfRule>
    <cfRule type="cellIs" dxfId="1585" priority="1654" stopIfTrue="1" operator="equal">
      <formula>"Napkin Hs"</formula>
    </cfRule>
  </conditionalFormatting>
  <conditionalFormatting sqref="C99">
    <cfRule type="cellIs" dxfId="1584" priority="1655" stopIfTrue="1" operator="equal">
      <formula>"Towel"</formula>
    </cfRule>
  </conditionalFormatting>
  <conditionalFormatting sqref="B99:C99">
    <cfRule type="cellIs" dxfId="1583" priority="1651" stopIfTrue="1" operator="equal">
      <formula>"Towel"</formula>
    </cfRule>
    <cfRule type="cellIs" dxfId="1582" priority="1652" stopIfTrue="1" operator="equal">
      <formula>"Napkin Hs"</formula>
    </cfRule>
  </conditionalFormatting>
  <conditionalFormatting sqref="C99">
    <cfRule type="cellIs" dxfId="1581" priority="1650" stopIfTrue="1" operator="equal">
      <formula>"Napkin Hs"</formula>
    </cfRule>
  </conditionalFormatting>
  <conditionalFormatting sqref="C99">
    <cfRule type="cellIs" dxfId="1580" priority="1647" stopIfTrue="1" operator="equal">
      <formula>"Towel"</formula>
    </cfRule>
    <cfRule type="cellIs" dxfId="1579" priority="1648" stopIfTrue="1" operator="equal">
      <formula>"Napkin Hs"</formula>
    </cfRule>
  </conditionalFormatting>
  <conditionalFormatting sqref="C99">
    <cfRule type="cellIs" dxfId="1578" priority="1649" stopIfTrue="1" operator="equal">
      <formula>"Towel"</formula>
    </cfRule>
  </conditionalFormatting>
  <conditionalFormatting sqref="B99:C99">
    <cfRule type="cellIs" dxfId="1577" priority="1645" stopIfTrue="1" operator="equal">
      <formula>"Towel"</formula>
    </cfRule>
    <cfRule type="cellIs" dxfId="1576" priority="1646" stopIfTrue="1" operator="equal">
      <formula>"Napkin Hs"</formula>
    </cfRule>
  </conditionalFormatting>
  <conditionalFormatting sqref="C99">
    <cfRule type="cellIs" dxfId="1575" priority="1643" stopIfTrue="1" operator="equal">
      <formula>"Towel"</formula>
    </cfRule>
    <cfRule type="cellIs" dxfId="1574" priority="1644" stopIfTrue="1" operator="equal">
      <formula>"Napkin Hs"</formula>
    </cfRule>
  </conditionalFormatting>
  <conditionalFormatting sqref="C99">
    <cfRule type="cellIs" dxfId="1573" priority="1641" stopIfTrue="1" operator="equal">
      <formula>"Towel"</formula>
    </cfRule>
    <cfRule type="cellIs" dxfId="1572" priority="1642" stopIfTrue="1" operator="equal">
      <formula>"Napkin Hs"</formula>
    </cfRule>
  </conditionalFormatting>
  <conditionalFormatting sqref="C99">
    <cfRule type="cellIs" dxfId="1571" priority="1637" stopIfTrue="1" operator="equal">
      <formula>"Towel"</formula>
    </cfRule>
    <cfRule type="cellIs" dxfId="1570" priority="1638" stopIfTrue="1" operator="equal">
      <formula>"Napkin Hs"</formula>
    </cfRule>
  </conditionalFormatting>
  <conditionalFormatting sqref="B98:C98">
    <cfRule type="cellIs" dxfId="1569" priority="1615" stopIfTrue="1" operator="equal">
      <formula>"Towel"</formula>
    </cfRule>
    <cfRule type="cellIs" dxfId="1568" priority="1616" stopIfTrue="1" operator="equal">
      <formula>"Napkin Hs"</formula>
    </cfRule>
  </conditionalFormatting>
  <conditionalFormatting sqref="C98">
    <cfRule type="cellIs" dxfId="1567" priority="1614" stopIfTrue="1" operator="equal">
      <formula>"Napkin Hs"</formula>
    </cfRule>
  </conditionalFormatting>
  <conditionalFormatting sqref="C98">
    <cfRule type="cellIs" dxfId="1566" priority="1611" stopIfTrue="1" operator="equal">
      <formula>"Towel"</formula>
    </cfRule>
    <cfRule type="cellIs" dxfId="1565" priority="1612" stopIfTrue="1" operator="equal">
      <formula>"Napkin Hs"</formula>
    </cfRule>
  </conditionalFormatting>
  <conditionalFormatting sqref="C98">
    <cfRule type="cellIs" dxfId="1564" priority="1613" stopIfTrue="1" operator="equal">
      <formula>"Towel"</formula>
    </cfRule>
  </conditionalFormatting>
  <conditionalFormatting sqref="B98:C98">
    <cfRule type="cellIs" dxfId="1563" priority="1609" stopIfTrue="1" operator="equal">
      <formula>"Towel"</formula>
    </cfRule>
    <cfRule type="cellIs" dxfId="1562" priority="1610" stopIfTrue="1" operator="equal">
      <formula>"Napkin Hs"</formula>
    </cfRule>
  </conditionalFormatting>
  <conditionalFormatting sqref="C98">
    <cfRule type="cellIs" dxfId="1561" priority="1608" stopIfTrue="1" operator="equal">
      <formula>"Napkin Hs"</formula>
    </cfRule>
  </conditionalFormatting>
  <conditionalFormatting sqref="C98">
    <cfRule type="cellIs" dxfId="1560" priority="1605" stopIfTrue="1" operator="equal">
      <formula>"Towel"</formula>
    </cfRule>
    <cfRule type="cellIs" dxfId="1559" priority="1606" stopIfTrue="1" operator="equal">
      <formula>"Napkin Hs"</formula>
    </cfRule>
  </conditionalFormatting>
  <conditionalFormatting sqref="C98">
    <cfRule type="cellIs" dxfId="1558" priority="1607" stopIfTrue="1" operator="equal">
      <formula>"Towel"</formula>
    </cfRule>
  </conditionalFormatting>
  <conditionalFormatting sqref="B98:C98">
    <cfRule type="cellIs" dxfId="1557" priority="1603" stopIfTrue="1" operator="equal">
      <formula>"Towel"</formula>
    </cfRule>
    <cfRule type="cellIs" dxfId="1556" priority="1604" stopIfTrue="1" operator="equal">
      <formula>"Napkin Hs"</formula>
    </cfRule>
  </conditionalFormatting>
  <conditionalFormatting sqref="C98">
    <cfRule type="cellIs" dxfId="1555" priority="1602" stopIfTrue="1" operator="equal">
      <formula>"Napkin Hs"</formula>
    </cfRule>
  </conditionalFormatting>
  <conditionalFormatting sqref="C98">
    <cfRule type="cellIs" dxfId="1554" priority="1599" stopIfTrue="1" operator="equal">
      <formula>"Towel"</formula>
    </cfRule>
    <cfRule type="cellIs" dxfId="1553" priority="1600" stopIfTrue="1" operator="equal">
      <formula>"Napkin Hs"</formula>
    </cfRule>
  </conditionalFormatting>
  <conditionalFormatting sqref="C98">
    <cfRule type="cellIs" dxfId="1552" priority="1601" stopIfTrue="1" operator="equal">
      <formula>"Towel"</formula>
    </cfRule>
  </conditionalFormatting>
  <conditionalFormatting sqref="B98:C98">
    <cfRule type="cellIs" dxfId="1551" priority="1597" stopIfTrue="1" operator="equal">
      <formula>"Towel"</formula>
    </cfRule>
    <cfRule type="cellIs" dxfId="1550" priority="1598" stopIfTrue="1" operator="equal">
      <formula>"Napkin Hs"</formula>
    </cfRule>
  </conditionalFormatting>
  <conditionalFormatting sqref="C98">
    <cfRule type="cellIs" dxfId="1549" priority="1596" stopIfTrue="1" operator="equal">
      <formula>"Napkin Hs"</formula>
    </cfRule>
  </conditionalFormatting>
  <conditionalFormatting sqref="C98">
    <cfRule type="cellIs" dxfId="1548" priority="1593" stopIfTrue="1" operator="equal">
      <formula>"Towel"</formula>
    </cfRule>
    <cfRule type="cellIs" dxfId="1547" priority="1594" stopIfTrue="1" operator="equal">
      <formula>"Napkin Hs"</formula>
    </cfRule>
  </conditionalFormatting>
  <conditionalFormatting sqref="C98">
    <cfRule type="cellIs" dxfId="1546" priority="1595" stopIfTrue="1" operator="equal">
      <formula>"Towel"</formula>
    </cfRule>
  </conditionalFormatting>
  <conditionalFormatting sqref="B98:C98">
    <cfRule type="cellIs" dxfId="1545" priority="1591" stopIfTrue="1" operator="equal">
      <formula>"Towel"</formula>
    </cfRule>
    <cfRule type="cellIs" dxfId="1544" priority="1592" stopIfTrue="1" operator="equal">
      <formula>"Napkin Hs"</formula>
    </cfRule>
  </conditionalFormatting>
  <conditionalFormatting sqref="C98">
    <cfRule type="cellIs" dxfId="1543" priority="1590" stopIfTrue="1" operator="equal">
      <formula>"Napkin Hs"</formula>
    </cfRule>
  </conditionalFormatting>
  <conditionalFormatting sqref="C98">
    <cfRule type="cellIs" dxfId="1542" priority="1587" stopIfTrue="1" operator="equal">
      <formula>"Towel"</formula>
    </cfRule>
    <cfRule type="cellIs" dxfId="1541" priority="1588" stopIfTrue="1" operator="equal">
      <formula>"Napkin Hs"</formula>
    </cfRule>
  </conditionalFormatting>
  <conditionalFormatting sqref="C98">
    <cfRule type="cellIs" dxfId="1540" priority="1589" stopIfTrue="1" operator="equal">
      <formula>"Towel"</formula>
    </cfRule>
  </conditionalFormatting>
  <conditionalFormatting sqref="B98:C98">
    <cfRule type="cellIs" dxfId="1539" priority="1585" stopIfTrue="1" operator="equal">
      <formula>"Towel"</formula>
    </cfRule>
    <cfRule type="cellIs" dxfId="1538" priority="1586" stopIfTrue="1" operator="equal">
      <formula>"Napkin Hs"</formula>
    </cfRule>
  </conditionalFormatting>
  <conditionalFormatting sqref="C98">
    <cfRule type="cellIs" dxfId="1537" priority="1584" stopIfTrue="1" operator="equal">
      <formula>"Napkin Hs"</formula>
    </cfRule>
  </conditionalFormatting>
  <conditionalFormatting sqref="C98">
    <cfRule type="cellIs" dxfId="1536" priority="1581" stopIfTrue="1" operator="equal">
      <formula>"Towel"</formula>
    </cfRule>
    <cfRule type="cellIs" dxfId="1535" priority="1582" stopIfTrue="1" operator="equal">
      <formula>"Napkin Hs"</formula>
    </cfRule>
  </conditionalFormatting>
  <conditionalFormatting sqref="C98">
    <cfRule type="cellIs" dxfId="1534" priority="1583" stopIfTrue="1" operator="equal">
      <formula>"Towel"</formula>
    </cfRule>
  </conditionalFormatting>
  <conditionalFormatting sqref="B98:C98">
    <cfRule type="cellIs" dxfId="1533" priority="1579" stopIfTrue="1" operator="equal">
      <formula>"Towel"</formula>
    </cfRule>
    <cfRule type="cellIs" dxfId="1532" priority="1580" stopIfTrue="1" operator="equal">
      <formula>"Napkin Hs"</formula>
    </cfRule>
  </conditionalFormatting>
  <conditionalFormatting sqref="C98">
    <cfRule type="cellIs" dxfId="1531" priority="1578" stopIfTrue="1" operator="equal">
      <formula>"Napkin Hs"</formula>
    </cfRule>
  </conditionalFormatting>
  <conditionalFormatting sqref="C98">
    <cfRule type="cellIs" dxfId="1530" priority="1575" stopIfTrue="1" operator="equal">
      <formula>"Towel"</formula>
    </cfRule>
    <cfRule type="cellIs" dxfId="1529" priority="1576" stopIfTrue="1" operator="equal">
      <formula>"Napkin Hs"</formula>
    </cfRule>
  </conditionalFormatting>
  <conditionalFormatting sqref="C98">
    <cfRule type="cellIs" dxfId="1528" priority="1577" stopIfTrue="1" operator="equal">
      <formula>"Towel"</formula>
    </cfRule>
  </conditionalFormatting>
  <conditionalFormatting sqref="B98:C98">
    <cfRule type="cellIs" dxfId="1527" priority="1573" stopIfTrue="1" operator="equal">
      <formula>"Towel"</formula>
    </cfRule>
    <cfRule type="cellIs" dxfId="1526" priority="1574" stopIfTrue="1" operator="equal">
      <formula>"Napkin Hs"</formula>
    </cfRule>
  </conditionalFormatting>
  <conditionalFormatting sqref="C98">
    <cfRule type="cellIs" dxfId="1525" priority="1572" stopIfTrue="1" operator="equal">
      <formula>"Napkin Hs"</formula>
    </cfRule>
  </conditionalFormatting>
  <conditionalFormatting sqref="C98">
    <cfRule type="cellIs" dxfId="1524" priority="1569" stopIfTrue="1" operator="equal">
      <formula>"Towel"</formula>
    </cfRule>
    <cfRule type="cellIs" dxfId="1523" priority="1570" stopIfTrue="1" operator="equal">
      <formula>"Napkin Hs"</formula>
    </cfRule>
  </conditionalFormatting>
  <conditionalFormatting sqref="C98">
    <cfRule type="cellIs" dxfId="1522" priority="1571" stopIfTrue="1" operator="equal">
      <formula>"Towel"</formula>
    </cfRule>
  </conditionalFormatting>
  <conditionalFormatting sqref="B97:C99">
    <cfRule type="cellIs" dxfId="1521" priority="1567" stopIfTrue="1" operator="equal">
      <formula>"Towel"</formula>
    </cfRule>
    <cfRule type="cellIs" dxfId="1520" priority="1568" stopIfTrue="1" operator="equal">
      <formula>"Napkin Hs"</formula>
    </cfRule>
  </conditionalFormatting>
  <conditionalFormatting sqref="C97:C99">
    <cfRule type="cellIs" dxfId="1519" priority="1566" stopIfTrue="1" operator="equal">
      <formula>"Napkin Hs"</formula>
    </cfRule>
  </conditionalFormatting>
  <conditionalFormatting sqref="C97:C99">
    <cfRule type="cellIs" dxfId="1518" priority="1563" stopIfTrue="1" operator="equal">
      <formula>"Towel"</formula>
    </cfRule>
    <cfRule type="cellIs" dxfId="1517" priority="1564" stopIfTrue="1" operator="equal">
      <formula>"Napkin Hs"</formula>
    </cfRule>
  </conditionalFormatting>
  <conditionalFormatting sqref="C97:C99">
    <cfRule type="cellIs" dxfId="1516" priority="1565" stopIfTrue="1" operator="equal">
      <formula>"Towel"</formula>
    </cfRule>
  </conditionalFormatting>
  <conditionalFormatting sqref="B97:C99">
    <cfRule type="cellIs" dxfId="1515" priority="1561" stopIfTrue="1" operator="equal">
      <formula>"Towel"</formula>
    </cfRule>
    <cfRule type="cellIs" dxfId="1514" priority="1562" stopIfTrue="1" operator="equal">
      <formula>"Napkin Hs"</formula>
    </cfRule>
  </conditionalFormatting>
  <conditionalFormatting sqref="C97:C99">
    <cfRule type="cellIs" dxfId="1513" priority="1560" stopIfTrue="1" operator="equal">
      <formula>"Napkin Hs"</formula>
    </cfRule>
  </conditionalFormatting>
  <conditionalFormatting sqref="C97:C99">
    <cfRule type="cellIs" dxfId="1512" priority="1557" stopIfTrue="1" operator="equal">
      <formula>"Towel"</formula>
    </cfRule>
    <cfRule type="cellIs" dxfId="1511" priority="1558" stopIfTrue="1" operator="equal">
      <formula>"Napkin Hs"</formula>
    </cfRule>
  </conditionalFormatting>
  <conditionalFormatting sqref="C97:C99">
    <cfRule type="cellIs" dxfId="1510" priority="1559" stopIfTrue="1" operator="equal">
      <formula>"Towel"</formula>
    </cfRule>
  </conditionalFormatting>
  <conditionalFormatting sqref="B97:C99">
    <cfRule type="cellIs" dxfId="1509" priority="1555" stopIfTrue="1" operator="equal">
      <formula>"Towel"</formula>
    </cfRule>
    <cfRule type="cellIs" dxfId="1508" priority="1556" stopIfTrue="1" operator="equal">
      <formula>"Napkin Hs"</formula>
    </cfRule>
  </conditionalFormatting>
  <conditionalFormatting sqref="C97:C99">
    <cfRule type="cellIs" dxfId="1507" priority="1554" stopIfTrue="1" operator="equal">
      <formula>"Napkin Hs"</formula>
    </cfRule>
  </conditionalFormatting>
  <conditionalFormatting sqref="C97:C99">
    <cfRule type="cellIs" dxfId="1506" priority="1551" stopIfTrue="1" operator="equal">
      <formula>"Towel"</formula>
    </cfRule>
    <cfRule type="cellIs" dxfId="1505" priority="1552" stopIfTrue="1" operator="equal">
      <formula>"Napkin Hs"</formula>
    </cfRule>
  </conditionalFormatting>
  <conditionalFormatting sqref="C97:C99">
    <cfRule type="cellIs" dxfId="1504" priority="1553" stopIfTrue="1" operator="equal">
      <formula>"Towel"</formula>
    </cfRule>
  </conditionalFormatting>
  <conditionalFormatting sqref="B97:C99">
    <cfRule type="cellIs" dxfId="1503" priority="1549" stopIfTrue="1" operator="equal">
      <formula>"Towel"</formula>
    </cfRule>
    <cfRule type="cellIs" dxfId="1502" priority="1550" stopIfTrue="1" operator="equal">
      <formula>"Napkin Hs"</formula>
    </cfRule>
  </conditionalFormatting>
  <conditionalFormatting sqref="C97:C99">
    <cfRule type="cellIs" dxfId="1501" priority="1548" stopIfTrue="1" operator="equal">
      <formula>"Napkin Hs"</formula>
    </cfRule>
  </conditionalFormatting>
  <conditionalFormatting sqref="C97:C99">
    <cfRule type="cellIs" dxfId="1500" priority="1545" stopIfTrue="1" operator="equal">
      <formula>"Towel"</formula>
    </cfRule>
    <cfRule type="cellIs" dxfId="1499" priority="1546" stopIfTrue="1" operator="equal">
      <formula>"Napkin Hs"</formula>
    </cfRule>
  </conditionalFormatting>
  <conditionalFormatting sqref="C97:C99">
    <cfRule type="cellIs" dxfId="1498" priority="1547" stopIfTrue="1" operator="equal">
      <formula>"Towel"</formula>
    </cfRule>
  </conditionalFormatting>
  <conditionalFormatting sqref="B97:C99">
    <cfRule type="cellIs" dxfId="1497" priority="1543" stopIfTrue="1" operator="equal">
      <formula>"Towel"</formula>
    </cfRule>
    <cfRule type="cellIs" dxfId="1496" priority="1544" stopIfTrue="1" operator="equal">
      <formula>"Napkin Hs"</formula>
    </cfRule>
  </conditionalFormatting>
  <conditionalFormatting sqref="C97:C99">
    <cfRule type="cellIs" dxfId="1495" priority="1542" stopIfTrue="1" operator="equal">
      <formula>"Napkin Hs"</formula>
    </cfRule>
  </conditionalFormatting>
  <conditionalFormatting sqref="C97:C99">
    <cfRule type="cellIs" dxfId="1494" priority="1539" stopIfTrue="1" operator="equal">
      <formula>"Towel"</formula>
    </cfRule>
    <cfRule type="cellIs" dxfId="1493" priority="1540" stopIfTrue="1" operator="equal">
      <formula>"Napkin Hs"</formula>
    </cfRule>
  </conditionalFormatting>
  <conditionalFormatting sqref="C97:C99">
    <cfRule type="cellIs" dxfId="1492" priority="1541" stopIfTrue="1" operator="equal">
      <formula>"Towel"</formula>
    </cfRule>
  </conditionalFormatting>
  <conditionalFormatting sqref="B97:C99">
    <cfRule type="cellIs" dxfId="1491" priority="1537" stopIfTrue="1" operator="equal">
      <formula>"Towel"</formula>
    </cfRule>
    <cfRule type="cellIs" dxfId="1490" priority="1538" stopIfTrue="1" operator="equal">
      <formula>"Napkin Hs"</formula>
    </cfRule>
  </conditionalFormatting>
  <conditionalFormatting sqref="C97:C99">
    <cfRule type="cellIs" dxfId="1489" priority="1536" stopIfTrue="1" operator="equal">
      <formula>"Napkin Hs"</formula>
    </cfRule>
  </conditionalFormatting>
  <conditionalFormatting sqref="C97:C99">
    <cfRule type="cellIs" dxfId="1488" priority="1533" stopIfTrue="1" operator="equal">
      <formula>"Towel"</formula>
    </cfRule>
    <cfRule type="cellIs" dxfId="1487" priority="1534" stopIfTrue="1" operator="equal">
      <formula>"Napkin Hs"</formula>
    </cfRule>
  </conditionalFormatting>
  <conditionalFormatting sqref="C97:C99">
    <cfRule type="cellIs" dxfId="1486" priority="1535" stopIfTrue="1" operator="equal">
      <formula>"Towel"</formula>
    </cfRule>
  </conditionalFormatting>
  <conditionalFormatting sqref="B97:C99">
    <cfRule type="cellIs" dxfId="1485" priority="1531" stopIfTrue="1" operator="equal">
      <formula>"Towel"</formula>
    </cfRule>
    <cfRule type="cellIs" dxfId="1484" priority="1532" stopIfTrue="1" operator="equal">
      <formula>"Napkin Hs"</formula>
    </cfRule>
  </conditionalFormatting>
  <conditionalFormatting sqref="C97:C99">
    <cfRule type="cellIs" dxfId="1483" priority="1530" stopIfTrue="1" operator="equal">
      <formula>"Napkin Hs"</formula>
    </cfRule>
  </conditionalFormatting>
  <conditionalFormatting sqref="C97:C99">
    <cfRule type="cellIs" dxfId="1482" priority="1527" stopIfTrue="1" operator="equal">
      <formula>"Towel"</formula>
    </cfRule>
    <cfRule type="cellIs" dxfId="1481" priority="1528" stopIfTrue="1" operator="equal">
      <formula>"Napkin Hs"</formula>
    </cfRule>
  </conditionalFormatting>
  <conditionalFormatting sqref="C97:C99">
    <cfRule type="cellIs" dxfId="1480" priority="1529" stopIfTrue="1" operator="equal">
      <formula>"Towel"</formula>
    </cfRule>
  </conditionalFormatting>
  <conditionalFormatting sqref="B97:C99">
    <cfRule type="cellIs" dxfId="1479" priority="1525" stopIfTrue="1" operator="equal">
      <formula>"Towel"</formula>
    </cfRule>
    <cfRule type="cellIs" dxfId="1478" priority="1526" stopIfTrue="1" operator="equal">
      <formula>"Napkin Hs"</formula>
    </cfRule>
  </conditionalFormatting>
  <conditionalFormatting sqref="C97:C99">
    <cfRule type="cellIs" dxfId="1477" priority="1524" stopIfTrue="1" operator="equal">
      <formula>"Napkin Hs"</formula>
    </cfRule>
  </conditionalFormatting>
  <conditionalFormatting sqref="C97:C99">
    <cfRule type="cellIs" dxfId="1476" priority="1521" stopIfTrue="1" operator="equal">
      <formula>"Towel"</formula>
    </cfRule>
    <cfRule type="cellIs" dxfId="1475" priority="1522" stopIfTrue="1" operator="equal">
      <formula>"Napkin Hs"</formula>
    </cfRule>
  </conditionalFormatting>
  <conditionalFormatting sqref="C97:C99">
    <cfRule type="cellIs" dxfId="1474" priority="1523" stopIfTrue="1" operator="equal">
      <formula>"Towel"</formula>
    </cfRule>
  </conditionalFormatting>
  <conditionalFormatting sqref="B105:C105">
    <cfRule type="cellIs" dxfId="1473" priority="1513" stopIfTrue="1" operator="equal">
      <formula>"Towel"</formula>
    </cfRule>
    <cfRule type="cellIs" dxfId="1472" priority="1514" stopIfTrue="1" operator="equal">
      <formula>"Napkin Hs"</formula>
    </cfRule>
  </conditionalFormatting>
  <conditionalFormatting sqref="C105">
    <cfRule type="cellIs" dxfId="1471" priority="1511" stopIfTrue="1" operator="equal">
      <formula>"Towel"</formula>
    </cfRule>
    <cfRule type="cellIs" dxfId="1470" priority="1512" stopIfTrue="1" operator="equal">
      <formula>"Napkin Hs"</formula>
    </cfRule>
  </conditionalFormatting>
  <conditionalFormatting sqref="C105">
    <cfRule type="cellIs" dxfId="1469" priority="1509" stopIfTrue="1" operator="equal">
      <formula>"Towel"</formula>
    </cfRule>
    <cfRule type="cellIs" dxfId="1468" priority="1510" stopIfTrue="1" operator="equal">
      <formula>"Napkin Hs"</formula>
    </cfRule>
  </conditionalFormatting>
  <conditionalFormatting sqref="B101:C101">
    <cfRule type="cellIs" dxfId="1467" priority="1507" stopIfTrue="1" operator="equal">
      <formula>"Towel"</formula>
    </cfRule>
    <cfRule type="cellIs" dxfId="1466" priority="1508" stopIfTrue="1" operator="equal">
      <formula>"Napkin Hs"</formula>
    </cfRule>
  </conditionalFormatting>
  <conditionalFormatting sqref="C101">
    <cfRule type="cellIs" dxfId="1465" priority="1506" stopIfTrue="1" operator="equal">
      <formula>"Napkin Hs"</formula>
    </cfRule>
  </conditionalFormatting>
  <conditionalFormatting sqref="C101">
    <cfRule type="cellIs" dxfId="1464" priority="1503" stopIfTrue="1" operator="equal">
      <formula>"Towel"</formula>
    </cfRule>
    <cfRule type="cellIs" dxfId="1463" priority="1504" stopIfTrue="1" operator="equal">
      <formula>"Napkin Hs"</formula>
    </cfRule>
  </conditionalFormatting>
  <conditionalFormatting sqref="C101">
    <cfRule type="cellIs" dxfId="1462" priority="1505" stopIfTrue="1" operator="equal">
      <formula>"Towel"</formula>
    </cfRule>
  </conditionalFormatting>
  <conditionalFormatting sqref="B101:C101">
    <cfRule type="cellIs" dxfId="1461" priority="1501" stopIfTrue="1" operator="equal">
      <formula>"Towel"</formula>
    </cfRule>
    <cfRule type="cellIs" dxfId="1460" priority="1502" stopIfTrue="1" operator="equal">
      <formula>"Napkin Hs"</formula>
    </cfRule>
  </conditionalFormatting>
  <conditionalFormatting sqref="C101">
    <cfRule type="cellIs" dxfId="1459" priority="1500" stopIfTrue="1" operator="equal">
      <formula>"Napkin Hs"</formula>
    </cfRule>
  </conditionalFormatting>
  <conditionalFormatting sqref="C101">
    <cfRule type="cellIs" dxfId="1458" priority="1497" stopIfTrue="1" operator="equal">
      <formula>"Towel"</formula>
    </cfRule>
    <cfRule type="cellIs" dxfId="1457" priority="1498" stopIfTrue="1" operator="equal">
      <formula>"Napkin Hs"</formula>
    </cfRule>
  </conditionalFormatting>
  <conditionalFormatting sqref="C101">
    <cfRule type="cellIs" dxfId="1456" priority="1499" stopIfTrue="1" operator="equal">
      <formula>"Towel"</formula>
    </cfRule>
  </conditionalFormatting>
  <conditionalFormatting sqref="B101:C101">
    <cfRule type="cellIs" dxfId="1455" priority="1465" stopIfTrue="1" operator="equal">
      <formula>"Towel"</formula>
    </cfRule>
    <cfRule type="cellIs" dxfId="1454" priority="1466" stopIfTrue="1" operator="equal">
      <formula>"Napkin Hs"</formula>
    </cfRule>
  </conditionalFormatting>
  <conditionalFormatting sqref="C101">
    <cfRule type="cellIs" dxfId="1453" priority="1461" stopIfTrue="1" operator="equal">
      <formula>"Towel"</formula>
    </cfRule>
    <cfRule type="cellIs" dxfId="1452" priority="1462" stopIfTrue="1" operator="equal">
      <formula>"Napkin Hs"</formula>
    </cfRule>
  </conditionalFormatting>
  <conditionalFormatting sqref="B101:C101">
    <cfRule type="cellIs" dxfId="1451" priority="1459" stopIfTrue="1" operator="equal">
      <formula>"Towel"</formula>
    </cfRule>
    <cfRule type="cellIs" dxfId="1450" priority="1460" stopIfTrue="1" operator="equal">
      <formula>"Napkin Hs"</formula>
    </cfRule>
  </conditionalFormatting>
  <conditionalFormatting sqref="C101">
    <cfRule type="cellIs" dxfId="1449" priority="1458" stopIfTrue="1" operator="equal">
      <formula>"Napkin Hs"</formula>
    </cfRule>
  </conditionalFormatting>
  <conditionalFormatting sqref="C101">
    <cfRule type="cellIs" dxfId="1448" priority="1455" stopIfTrue="1" operator="equal">
      <formula>"Towel"</formula>
    </cfRule>
    <cfRule type="cellIs" dxfId="1447" priority="1456" stopIfTrue="1" operator="equal">
      <formula>"Napkin Hs"</formula>
    </cfRule>
  </conditionalFormatting>
  <conditionalFormatting sqref="C101">
    <cfRule type="cellIs" dxfId="1446" priority="1457" stopIfTrue="1" operator="equal">
      <formula>"Towel"</formula>
    </cfRule>
  </conditionalFormatting>
  <conditionalFormatting sqref="B101:C101">
    <cfRule type="cellIs" dxfId="1445" priority="1453" stopIfTrue="1" operator="equal">
      <formula>"Towel"</formula>
    </cfRule>
    <cfRule type="cellIs" dxfId="1444" priority="1454" stopIfTrue="1" operator="equal">
      <formula>"Napkin Hs"</formula>
    </cfRule>
  </conditionalFormatting>
  <conditionalFormatting sqref="C101">
    <cfRule type="cellIs" dxfId="1443" priority="1452" stopIfTrue="1" operator="equal">
      <formula>"Napkin Hs"</formula>
    </cfRule>
  </conditionalFormatting>
  <conditionalFormatting sqref="C101">
    <cfRule type="cellIs" dxfId="1442" priority="1449" stopIfTrue="1" operator="equal">
      <formula>"Towel"</formula>
    </cfRule>
    <cfRule type="cellIs" dxfId="1441" priority="1450" stopIfTrue="1" operator="equal">
      <formula>"Napkin Hs"</formula>
    </cfRule>
  </conditionalFormatting>
  <conditionalFormatting sqref="C101">
    <cfRule type="cellIs" dxfId="1440" priority="1451" stopIfTrue="1" operator="equal">
      <formula>"Towel"</formula>
    </cfRule>
  </conditionalFormatting>
  <conditionalFormatting sqref="B101:C101">
    <cfRule type="cellIs" dxfId="1439" priority="1447" stopIfTrue="1" operator="equal">
      <formula>"Towel"</formula>
    </cfRule>
    <cfRule type="cellIs" dxfId="1438" priority="1448" stopIfTrue="1" operator="equal">
      <formula>"Napkin Hs"</formula>
    </cfRule>
  </conditionalFormatting>
  <conditionalFormatting sqref="C101">
    <cfRule type="cellIs" dxfId="1437" priority="1446" stopIfTrue="1" operator="equal">
      <formula>"Napkin Hs"</formula>
    </cfRule>
  </conditionalFormatting>
  <conditionalFormatting sqref="C101">
    <cfRule type="cellIs" dxfId="1436" priority="1443" stopIfTrue="1" operator="equal">
      <formula>"Towel"</formula>
    </cfRule>
    <cfRule type="cellIs" dxfId="1435" priority="1444" stopIfTrue="1" operator="equal">
      <formula>"Napkin Hs"</formula>
    </cfRule>
  </conditionalFormatting>
  <conditionalFormatting sqref="C101">
    <cfRule type="cellIs" dxfId="1434" priority="1445" stopIfTrue="1" operator="equal">
      <formula>"Towel"</formula>
    </cfRule>
  </conditionalFormatting>
  <conditionalFormatting sqref="B101:C101">
    <cfRule type="cellIs" dxfId="1433" priority="1495" stopIfTrue="1" operator="equal">
      <formula>"Towel"</formula>
    </cfRule>
    <cfRule type="cellIs" dxfId="1432" priority="1496" stopIfTrue="1" operator="equal">
      <formula>"Napkin Hs"</formula>
    </cfRule>
  </conditionalFormatting>
  <conditionalFormatting sqref="C101">
    <cfRule type="cellIs" dxfId="1431" priority="1494" stopIfTrue="1" operator="equal">
      <formula>"Napkin Hs"</formula>
    </cfRule>
  </conditionalFormatting>
  <conditionalFormatting sqref="C101">
    <cfRule type="cellIs" dxfId="1430" priority="1491" stopIfTrue="1" operator="equal">
      <formula>"Towel"</formula>
    </cfRule>
    <cfRule type="cellIs" dxfId="1429" priority="1492" stopIfTrue="1" operator="equal">
      <formula>"Napkin Hs"</formula>
    </cfRule>
  </conditionalFormatting>
  <conditionalFormatting sqref="C101">
    <cfRule type="cellIs" dxfId="1428" priority="1493" stopIfTrue="1" operator="equal">
      <formula>"Towel"</formula>
    </cfRule>
  </conditionalFormatting>
  <conditionalFormatting sqref="B101:C101">
    <cfRule type="cellIs" dxfId="1427" priority="1489" stopIfTrue="1" operator="equal">
      <formula>"Towel"</formula>
    </cfRule>
    <cfRule type="cellIs" dxfId="1426" priority="1490" stopIfTrue="1" operator="equal">
      <formula>"Napkin Hs"</formula>
    </cfRule>
  </conditionalFormatting>
  <conditionalFormatting sqref="C101">
    <cfRule type="cellIs" dxfId="1425" priority="1488" stopIfTrue="1" operator="equal">
      <formula>"Napkin Hs"</formula>
    </cfRule>
  </conditionalFormatting>
  <conditionalFormatting sqref="C101">
    <cfRule type="cellIs" dxfId="1424" priority="1485" stopIfTrue="1" operator="equal">
      <formula>"Towel"</formula>
    </cfRule>
    <cfRule type="cellIs" dxfId="1423" priority="1486" stopIfTrue="1" operator="equal">
      <formula>"Napkin Hs"</formula>
    </cfRule>
  </conditionalFormatting>
  <conditionalFormatting sqref="C101">
    <cfRule type="cellIs" dxfId="1422" priority="1487" stopIfTrue="1" operator="equal">
      <formula>"Towel"</formula>
    </cfRule>
  </conditionalFormatting>
  <conditionalFormatting sqref="B101:C101">
    <cfRule type="cellIs" dxfId="1421" priority="1483" stopIfTrue="1" operator="equal">
      <formula>"Towel"</formula>
    </cfRule>
    <cfRule type="cellIs" dxfId="1420" priority="1484" stopIfTrue="1" operator="equal">
      <formula>"Napkin Hs"</formula>
    </cfRule>
  </conditionalFormatting>
  <conditionalFormatting sqref="C101">
    <cfRule type="cellIs" dxfId="1419" priority="1482" stopIfTrue="1" operator="equal">
      <formula>"Napkin Hs"</formula>
    </cfRule>
  </conditionalFormatting>
  <conditionalFormatting sqref="C101">
    <cfRule type="cellIs" dxfId="1418" priority="1479" stopIfTrue="1" operator="equal">
      <formula>"Towel"</formula>
    </cfRule>
    <cfRule type="cellIs" dxfId="1417" priority="1480" stopIfTrue="1" operator="equal">
      <formula>"Napkin Hs"</formula>
    </cfRule>
  </conditionalFormatting>
  <conditionalFormatting sqref="C101">
    <cfRule type="cellIs" dxfId="1416" priority="1481" stopIfTrue="1" operator="equal">
      <formula>"Towel"</formula>
    </cfRule>
  </conditionalFormatting>
  <conditionalFormatting sqref="B101:C101">
    <cfRule type="cellIs" dxfId="1415" priority="1477" stopIfTrue="1" operator="equal">
      <formula>"Towel"</formula>
    </cfRule>
    <cfRule type="cellIs" dxfId="1414" priority="1478" stopIfTrue="1" operator="equal">
      <formula>"Napkin Hs"</formula>
    </cfRule>
  </conditionalFormatting>
  <conditionalFormatting sqref="C101">
    <cfRule type="cellIs" dxfId="1413" priority="1476" stopIfTrue="1" operator="equal">
      <formula>"Napkin Hs"</formula>
    </cfRule>
  </conditionalFormatting>
  <conditionalFormatting sqref="C101">
    <cfRule type="cellIs" dxfId="1412" priority="1473" stopIfTrue="1" operator="equal">
      <formula>"Towel"</formula>
    </cfRule>
    <cfRule type="cellIs" dxfId="1411" priority="1474" stopIfTrue="1" operator="equal">
      <formula>"Napkin Hs"</formula>
    </cfRule>
  </conditionalFormatting>
  <conditionalFormatting sqref="C101">
    <cfRule type="cellIs" dxfId="1410" priority="1475" stopIfTrue="1" operator="equal">
      <formula>"Towel"</formula>
    </cfRule>
  </conditionalFormatting>
  <conditionalFormatting sqref="B101:C101">
    <cfRule type="cellIs" dxfId="1409" priority="1471" stopIfTrue="1" operator="equal">
      <formula>"Towel"</formula>
    </cfRule>
    <cfRule type="cellIs" dxfId="1408" priority="1472" stopIfTrue="1" operator="equal">
      <formula>"Napkin Hs"</formula>
    </cfRule>
  </conditionalFormatting>
  <conditionalFormatting sqref="C101">
    <cfRule type="cellIs" dxfId="1407" priority="1469" stopIfTrue="1" operator="equal">
      <formula>"Towel"</formula>
    </cfRule>
    <cfRule type="cellIs" dxfId="1406" priority="1470" stopIfTrue="1" operator="equal">
      <formula>"Napkin Hs"</formula>
    </cfRule>
  </conditionalFormatting>
  <conditionalFormatting sqref="C101">
    <cfRule type="cellIs" dxfId="1405" priority="1467" stopIfTrue="1" operator="equal">
      <formula>"Towel"</formula>
    </cfRule>
    <cfRule type="cellIs" dxfId="1404" priority="1468" stopIfTrue="1" operator="equal">
      <formula>"Napkin Hs"</formula>
    </cfRule>
  </conditionalFormatting>
  <conditionalFormatting sqref="C101">
    <cfRule type="cellIs" dxfId="1403" priority="1463" stopIfTrue="1" operator="equal">
      <formula>"Towel"</formula>
    </cfRule>
    <cfRule type="cellIs" dxfId="1402" priority="1464" stopIfTrue="1" operator="equal">
      <formula>"Napkin Hs"</formula>
    </cfRule>
  </conditionalFormatting>
  <conditionalFormatting sqref="B101:C101">
    <cfRule type="cellIs" dxfId="1401" priority="1441" stopIfTrue="1" operator="equal">
      <formula>"Towel"</formula>
    </cfRule>
    <cfRule type="cellIs" dxfId="1400" priority="1442" stopIfTrue="1" operator="equal">
      <formula>"Napkin Hs"</formula>
    </cfRule>
  </conditionalFormatting>
  <conditionalFormatting sqref="C101">
    <cfRule type="cellIs" dxfId="1399" priority="1440" stopIfTrue="1" operator="equal">
      <formula>"Napkin Hs"</formula>
    </cfRule>
  </conditionalFormatting>
  <conditionalFormatting sqref="C101">
    <cfRule type="cellIs" dxfId="1398" priority="1437" stopIfTrue="1" operator="equal">
      <formula>"Towel"</formula>
    </cfRule>
    <cfRule type="cellIs" dxfId="1397" priority="1438" stopIfTrue="1" operator="equal">
      <formula>"Napkin Hs"</formula>
    </cfRule>
  </conditionalFormatting>
  <conditionalFormatting sqref="C101">
    <cfRule type="cellIs" dxfId="1396" priority="1439" stopIfTrue="1" operator="equal">
      <formula>"Towel"</formula>
    </cfRule>
  </conditionalFormatting>
  <conditionalFormatting sqref="B101:C101">
    <cfRule type="cellIs" dxfId="1395" priority="1435" stopIfTrue="1" operator="equal">
      <formula>"Towel"</formula>
    </cfRule>
    <cfRule type="cellIs" dxfId="1394" priority="1436" stopIfTrue="1" operator="equal">
      <formula>"Napkin Hs"</formula>
    </cfRule>
  </conditionalFormatting>
  <conditionalFormatting sqref="C101">
    <cfRule type="cellIs" dxfId="1393" priority="1434" stopIfTrue="1" operator="equal">
      <formula>"Napkin Hs"</formula>
    </cfRule>
  </conditionalFormatting>
  <conditionalFormatting sqref="C101">
    <cfRule type="cellIs" dxfId="1392" priority="1431" stopIfTrue="1" operator="equal">
      <formula>"Towel"</formula>
    </cfRule>
    <cfRule type="cellIs" dxfId="1391" priority="1432" stopIfTrue="1" operator="equal">
      <formula>"Napkin Hs"</formula>
    </cfRule>
  </conditionalFormatting>
  <conditionalFormatting sqref="C101">
    <cfRule type="cellIs" dxfId="1390" priority="1433" stopIfTrue="1" operator="equal">
      <formula>"Towel"</formula>
    </cfRule>
  </conditionalFormatting>
  <conditionalFormatting sqref="B101:C101">
    <cfRule type="cellIs" dxfId="1389" priority="1429" stopIfTrue="1" operator="equal">
      <formula>"Towel"</formula>
    </cfRule>
    <cfRule type="cellIs" dxfId="1388" priority="1430" stopIfTrue="1" operator="equal">
      <formula>"Napkin Hs"</formula>
    </cfRule>
  </conditionalFormatting>
  <conditionalFormatting sqref="C101">
    <cfRule type="cellIs" dxfId="1387" priority="1428" stopIfTrue="1" operator="equal">
      <formula>"Napkin Hs"</formula>
    </cfRule>
  </conditionalFormatting>
  <conditionalFormatting sqref="C101">
    <cfRule type="cellIs" dxfId="1386" priority="1425" stopIfTrue="1" operator="equal">
      <formula>"Towel"</formula>
    </cfRule>
    <cfRule type="cellIs" dxfId="1385" priority="1426" stopIfTrue="1" operator="equal">
      <formula>"Napkin Hs"</formula>
    </cfRule>
  </conditionalFormatting>
  <conditionalFormatting sqref="C101">
    <cfRule type="cellIs" dxfId="1384" priority="1427" stopIfTrue="1" operator="equal">
      <formula>"Towel"</formula>
    </cfRule>
  </conditionalFormatting>
  <conditionalFormatting sqref="B101:C101">
    <cfRule type="cellIs" dxfId="1383" priority="1423" stopIfTrue="1" operator="equal">
      <formula>"Towel"</formula>
    </cfRule>
    <cfRule type="cellIs" dxfId="1382" priority="1424" stopIfTrue="1" operator="equal">
      <formula>"Napkin Hs"</formula>
    </cfRule>
  </conditionalFormatting>
  <conditionalFormatting sqref="C101">
    <cfRule type="cellIs" dxfId="1381" priority="1422" stopIfTrue="1" operator="equal">
      <formula>"Napkin Hs"</formula>
    </cfRule>
  </conditionalFormatting>
  <conditionalFormatting sqref="C101">
    <cfRule type="cellIs" dxfId="1380" priority="1419" stopIfTrue="1" operator="equal">
      <formula>"Towel"</formula>
    </cfRule>
    <cfRule type="cellIs" dxfId="1379" priority="1420" stopIfTrue="1" operator="equal">
      <formula>"Napkin Hs"</formula>
    </cfRule>
  </conditionalFormatting>
  <conditionalFormatting sqref="C101">
    <cfRule type="cellIs" dxfId="1378" priority="1421" stopIfTrue="1" operator="equal">
      <formula>"Towel"</formula>
    </cfRule>
  </conditionalFormatting>
  <conditionalFormatting sqref="B101:C101">
    <cfRule type="cellIs" dxfId="1377" priority="1417" stopIfTrue="1" operator="equal">
      <formula>"Towel"</formula>
    </cfRule>
    <cfRule type="cellIs" dxfId="1376" priority="1418" stopIfTrue="1" operator="equal">
      <formula>"Napkin Hs"</formula>
    </cfRule>
  </conditionalFormatting>
  <conditionalFormatting sqref="C101">
    <cfRule type="cellIs" dxfId="1375" priority="1416" stopIfTrue="1" operator="equal">
      <formula>"Napkin Hs"</formula>
    </cfRule>
  </conditionalFormatting>
  <conditionalFormatting sqref="C101">
    <cfRule type="cellIs" dxfId="1374" priority="1413" stopIfTrue="1" operator="equal">
      <formula>"Towel"</formula>
    </cfRule>
    <cfRule type="cellIs" dxfId="1373" priority="1414" stopIfTrue="1" operator="equal">
      <formula>"Napkin Hs"</formula>
    </cfRule>
  </conditionalFormatting>
  <conditionalFormatting sqref="C101">
    <cfRule type="cellIs" dxfId="1372" priority="1415" stopIfTrue="1" operator="equal">
      <formula>"Towel"</formula>
    </cfRule>
  </conditionalFormatting>
  <conditionalFormatting sqref="B101:C101">
    <cfRule type="cellIs" dxfId="1371" priority="1411" stopIfTrue="1" operator="equal">
      <formula>"Towel"</formula>
    </cfRule>
    <cfRule type="cellIs" dxfId="1370" priority="1412" stopIfTrue="1" operator="equal">
      <formula>"Napkin Hs"</formula>
    </cfRule>
  </conditionalFormatting>
  <conditionalFormatting sqref="C101">
    <cfRule type="cellIs" dxfId="1369" priority="1410" stopIfTrue="1" operator="equal">
      <formula>"Napkin Hs"</formula>
    </cfRule>
  </conditionalFormatting>
  <conditionalFormatting sqref="C101">
    <cfRule type="cellIs" dxfId="1368" priority="1407" stopIfTrue="1" operator="equal">
      <formula>"Towel"</formula>
    </cfRule>
    <cfRule type="cellIs" dxfId="1367" priority="1408" stopIfTrue="1" operator="equal">
      <formula>"Napkin Hs"</formula>
    </cfRule>
  </conditionalFormatting>
  <conditionalFormatting sqref="C101">
    <cfRule type="cellIs" dxfId="1366" priority="1409" stopIfTrue="1" operator="equal">
      <formula>"Towel"</formula>
    </cfRule>
  </conditionalFormatting>
  <conditionalFormatting sqref="B101:C101">
    <cfRule type="cellIs" dxfId="1365" priority="1405" stopIfTrue="1" operator="equal">
      <formula>"Towel"</formula>
    </cfRule>
    <cfRule type="cellIs" dxfId="1364" priority="1406" stopIfTrue="1" operator="equal">
      <formula>"Napkin Hs"</formula>
    </cfRule>
  </conditionalFormatting>
  <conditionalFormatting sqref="C101">
    <cfRule type="cellIs" dxfId="1363" priority="1404" stopIfTrue="1" operator="equal">
      <formula>"Napkin Hs"</formula>
    </cfRule>
  </conditionalFormatting>
  <conditionalFormatting sqref="C101">
    <cfRule type="cellIs" dxfId="1362" priority="1401" stopIfTrue="1" operator="equal">
      <formula>"Towel"</formula>
    </cfRule>
    <cfRule type="cellIs" dxfId="1361" priority="1402" stopIfTrue="1" operator="equal">
      <formula>"Napkin Hs"</formula>
    </cfRule>
  </conditionalFormatting>
  <conditionalFormatting sqref="C101">
    <cfRule type="cellIs" dxfId="1360" priority="1403" stopIfTrue="1" operator="equal">
      <formula>"Towel"</formula>
    </cfRule>
  </conditionalFormatting>
  <conditionalFormatting sqref="B101:C101">
    <cfRule type="cellIs" dxfId="1359" priority="1399" stopIfTrue="1" operator="equal">
      <formula>"Towel"</formula>
    </cfRule>
    <cfRule type="cellIs" dxfId="1358" priority="1400" stopIfTrue="1" operator="equal">
      <formula>"Napkin Hs"</formula>
    </cfRule>
  </conditionalFormatting>
  <conditionalFormatting sqref="C101">
    <cfRule type="cellIs" dxfId="1357" priority="1398" stopIfTrue="1" operator="equal">
      <formula>"Napkin Hs"</formula>
    </cfRule>
  </conditionalFormatting>
  <conditionalFormatting sqref="C101">
    <cfRule type="cellIs" dxfId="1356" priority="1395" stopIfTrue="1" operator="equal">
      <formula>"Towel"</formula>
    </cfRule>
    <cfRule type="cellIs" dxfId="1355" priority="1396" stopIfTrue="1" operator="equal">
      <formula>"Napkin Hs"</formula>
    </cfRule>
  </conditionalFormatting>
  <conditionalFormatting sqref="C101">
    <cfRule type="cellIs" dxfId="1354" priority="1397" stopIfTrue="1" operator="equal">
      <formula>"Towel"</formula>
    </cfRule>
  </conditionalFormatting>
  <conditionalFormatting sqref="B102:C102">
    <cfRule type="cellIs" dxfId="1353" priority="1393" stopIfTrue="1" operator="equal">
      <formula>"Towel"</formula>
    </cfRule>
    <cfRule type="cellIs" dxfId="1352" priority="1394" stopIfTrue="1" operator="equal">
      <formula>"Napkin Hs"</formula>
    </cfRule>
  </conditionalFormatting>
  <conditionalFormatting sqref="C102">
    <cfRule type="cellIs" dxfId="1351" priority="1392" stopIfTrue="1" operator="equal">
      <formula>"Napkin Hs"</formula>
    </cfRule>
  </conditionalFormatting>
  <conditionalFormatting sqref="C102">
    <cfRule type="cellIs" dxfId="1350" priority="1389" stopIfTrue="1" operator="equal">
      <formula>"Towel"</formula>
    </cfRule>
    <cfRule type="cellIs" dxfId="1349" priority="1390" stopIfTrue="1" operator="equal">
      <formula>"Napkin Hs"</formula>
    </cfRule>
  </conditionalFormatting>
  <conditionalFormatting sqref="C102">
    <cfRule type="cellIs" dxfId="1348" priority="1391" stopIfTrue="1" operator="equal">
      <formula>"Towel"</formula>
    </cfRule>
  </conditionalFormatting>
  <conditionalFormatting sqref="B102:C102">
    <cfRule type="cellIs" dxfId="1347" priority="1387" stopIfTrue="1" operator="equal">
      <formula>"Towel"</formula>
    </cfRule>
    <cfRule type="cellIs" dxfId="1346" priority="1388" stopIfTrue="1" operator="equal">
      <formula>"Napkin Hs"</formula>
    </cfRule>
  </conditionalFormatting>
  <conditionalFormatting sqref="C102">
    <cfRule type="cellIs" dxfId="1345" priority="1386" stopIfTrue="1" operator="equal">
      <formula>"Napkin Hs"</formula>
    </cfRule>
  </conditionalFormatting>
  <conditionalFormatting sqref="C102">
    <cfRule type="cellIs" dxfId="1344" priority="1383" stopIfTrue="1" operator="equal">
      <formula>"Towel"</formula>
    </cfRule>
    <cfRule type="cellIs" dxfId="1343" priority="1384" stopIfTrue="1" operator="equal">
      <formula>"Napkin Hs"</formula>
    </cfRule>
  </conditionalFormatting>
  <conditionalFormatting sqref="C102">
    <cfRule type="cellIs" dxfId="1342" priority="1385" stopIfTrue="1" operator="equal">
      <formula>"Towel"</formula>
    </cfRule>
  </conditionalFormatting>
  <conditionalFormatting sqref="B102:C102">
    <cfRule type="cellIs" dxfId="1341" priority="1381" stopIfTrue="1" operator="equal">
      <formula>"Towel"</formula>
    </cfRule>
    <cfRule type="cellIs" dxfId="1340" priority="1382" stopIfTrue="1" operator="equal">
      <formula>"Napkin Hs"</formula>
    </cfRule>
  </conditionalFormatting>
  <conditionalFormatting sqref="C102">
    <cfRule type="cellIs" dxfId="1339" priority="1380" stopIfTrue="1" operator="equal">
      <formula>"Napkin Hs"</formula>
    </cfRule>
  </conditionalFormatting>
  <conditionalFormatting sqref="C102">
    <cfRule type="cellIs" dxfId="1338" priority="1377" stopIfTrue="1" operator="equal">
      <formula>"Towel"</formula>
    </cfRule>
    <cfRule type="cellIs" dxfId="1337" priority="1378" stopIfTrue="1" operator="equal">
      <formula>"Napkin Hs"</formula>
    </cfRule>
  </conditionalFormatting>
  <conditionalFormatting sqref="C102">
    <cfRule type="cellIs" dxfId="1336" priority="1379" stopIfTrue="1" operator="equal">
      <formula>"Towel"</formula>
    </cfRule>
  </conditionalFormatting>
  <conditionalFormatting sqref="B102:C102">
    <cfRule type="cellIs" dxfId="1335" priority="1375" stopIfTrue="1" operator="equal">
      <formula>"Towel"</formula>
    </cfRule>
    <cfRule type="cellIs" dxfId="1334" priority="1376" stopIfTrue="1" operator="equal">
      <formula>"Napkin Hs"</formula>
    </cfRule>
  </conditionalFormatting>
  <conditionalFormatting sqref="C102">
    <cfRule type="cellIs" dxfId="1333" priority="1374" stopIfTrue="1" operator="equal">
      <formula>"Napkin Hs"</formula>
    </cfRule>
  </conditionalFormatting>
  <conditionalFormatting sqref="C102">
    <cfRule type="cellIs" dxfId="1332" priority="1371" stopIfTrue="1" operator="equal">
      <formula>"Towel"</formula>
    </cfRule>
    <cfRule type="cellIs" dxfId="1331" priority="1372" stopIfTrue="1" operator="equal">
      <formula>"Napkin Hs"</formula>
    </cfRule>
  </conditionalFormatting>
  <conditionalFormatting sqref="C102">
    <cfRule type="cellIs" dxfId="1330" priority="1373" stopIfTrue="1" operator="equal">
      <formula>"Towel"</formula>
    </cfRule>
  </conditionalFormatting>
  <conditionalFormatting sqref="B102:C102">
    <cfRule type="cellIs" dxfId="1329" priority="1369" stopIfTrue="1" operator="equal">
      <formula>"Towel"</formula>
    </cfRule>
    <cfRule type="cellIs" dxfId="1328" priority="1370" stopIfTrue="1" operator="equal">
      <formula>"Napkin Hs"</formula>
    </cfRule>
  </conditionalFormatting>
  <conditionalFormatting sqref="C102">
    <cfRule type="cellIs" dxfId="1327" priority="1368" stopIfTrue="1" operator="equal">
      <formula>"Napkin Hs"</formula>
    </cfRule>
  </conditionalFormatting>
  <conditionalFormatting sqref="C102">
    <cfRule type="cellIs" dxfId="1326" priority="1365" stopIfTrue="1" operator="equal">
      <formula>"Towel"</formula>
    </cfRule>
    <cfRule type="cellIs" dxfId="1325" priority="1366" stopIfTrue="1" operator="equal">
      <formula>"Napkin Hs"</formula>
    </cfRule>
  </conditionalFormatting>
  <conditionalFormatting sqref="C102">
    <cfRule type="cellIs" dxfId="1324" priority="1367" stopIfTrue="1" operator="equal">
      <formula>"Towel"</formula>
    </cfRule>
  </conditionalFormatting>
  <conditionalFormatting sqref="B102:C102">
    <cfRule type="cellIs" dxfId="1323" priority="1363" stopIfTrue="1" operator="equal">
      <formula>"Towel"</formula>
    </cfRule>
    <cfRule type="cellIs" dxfId="1322" priority="1364" stopIfTrue="1" operator="equal">
      <formula>"Napkin Hs"</formula>
    </cfRule>
  </conditionalFormatting>
  <conditionalFormatting sqref="C102">
    <cfRule type="cellIs" dxfId="1321" priority="1362" stopIfTrue="1" operator="equal">
      <formula>"Napkin Hs"</formula>
    </cfRule>
  </conditionalFormatting>
  <conditionalFormatting sqref="C102">
    <cfRule type="cellIs" dxfId="1320" priority="1359" stopIfTrue="1" operator="equal">
      <formula>"Towel"</formula>
    </cfRule>
    <cfRule type="cellIs" dxfId="1319" priority="1360" stopIfTrue="1" operator="equal">
      <formula>"Napkin Hs"</formula>
    </cfRule>
  </conditionalFormatting>
  <conditionalFormatting sqref="C102">
    <cfRule type="cellIs" dxfId="1318" priority="1361" stopIfTrue="1" operator="equal">
      <formula>"Towel"</formula>
    </cfRule>
  </conditionalFormatting>
  <conditionalFormatting sqref="B102:C102">
    <cfRule type="cellIs" dxfId="1317" priority="1357" stopIfTrue="1" operator="equal">
      <formula>"Towel"</formula>
    </cfRule>
    <cfRule type="cellIs" dxfId="1316" priority="1358" stopIfTrue="1" operator="equal">
      <formula>"Napkin Hs"</formula>
    </cfRule>
  </conditionalFormatting>
  <conditionalFormatting sqref="C102">
    <cfRule type="cellIs" dxfId="1315" priority="1356" stopIfTrue="1" operator="equal">
      <formula>"Napkin Hs"</formula>
    </cfRule>
  </conditionalFormatting>
  <conditionalFormatting sqref="C102">
    <cfRule type="cellIs" dxfId="1314" priority="1353" stopIfTrue="1" operator="equal">
      <formula>"Towel"</formula>
    </cfRule>
    <cfRule type="cellIs" dxfId="1313" priority="1354" stopIfTrue="1" operator="equal">
      <formula>"Napkin Hs"</formula>
    </cfRule>
  </conditionalFormatting>
  <conditionalFormatting sqref="C102">
    <cfRule type="cellIs" dxfId="1312" priority="1355" stopIfTrue="1" operator="equal">
      <formula>"Towel"</formula>
    </cfRule>
  </conditionalFormatting>
  <conditionalFormatting sqref="B102:C102">
    <cfRule type="cellIs" dxfId="1311" priority="1351" stopIfTrue="1" operator="equal">
      <formula>"Towel"</formula>
    </cfRule>
    <cfRule type="cellIs" dxfId="1310" priority="1352" stopIfTrue="1" operator="equal">
      <formula>"Napkin Hs"</formula>
    </cfRule>
  </conditionalFormatting>
  <conditionalFormatting sqref="C102">
    <cfRule type="cellIs" dxfId="1309" priority="1350" stopIfTrue="1" operator="equal">
      <formula>"Napkin Hs"</formula>
    </cfRule>
  </conditionalFormatting>
  <conditionalFormatting sqref="C102">
    <cfRule type="cellIs" dxfId="1308" priority="1347" stopIfTrue="1" operator="equal">
      <formula>"Towel"</formula>
    </cfRule>
    <cfRule type="cellIs" dxfId="1307" priority="1348" stopIfTrue="1" operator="equal">
      <formula>"Napkin Hs"</formula>
    </cfRule>
  </conditionalFormatting>
  <conditionalFormatting sqref="C102">
    <cfRule type="cellIs" dxfId="1306" priority="1349" stopIfTrue="1" operator="equal">
      <formula>"Towel"</formula>
    </cfRule>
  </conditionalFormatting>
  <conditionalFormatting sqref="B102:C102">
    <cfRule type="cellIs" dxfId="1305" priority="1345" stopIfTrue="1" operator="equal">
      <formula>"Towel"</formula>
    </cfRule>
    <cfRule type="cellIs" dxfId="1304" priority="1346" stopIfTrue="1" operator="equal">
      <formula>"Napkin Hs"</formula>
    </cfRule>
  </conditionalFormatting>
  <conditionalFormatting sqref="C102">
    <cfRule type="cellIs" dxfId="1303" priority="1344" stopIfTrue="1" operator="equal">
      <formula>"Napkin Hs"</formula>
    </cfRule>
  </conditionalFormatting>
  <conditionalFormatting sqref="C102">
    <cfRule type="cellIs" dxfId="1302" priority="1341" stopIfTrue="1" operator="equal">
      <formula>"Towel"</formula>
    </cfRule>
    <cfRule type="cellIs" dxfId="1301" priority="1342" stopIfTrue="1" operator="equal">
      <formula>"Napkin Hs"</formula>
    </cfRule>
  </conditionalFormatting>
  <conditionalFormatting sqref="C102">
    <cfRule type="cellIs" dxfId="1300" priority="1343" stopIfTrue="1" operator="equal">
      <formula>"Towel"</formula>
    </cfRule>
  </conditionalFormatting>
  <conditionalFormatting sqref="B102:C102">
    <cfRule type="cellIs" dxfId="1299" priority="1339" stopIfTrue="1" operator="equal">
      <formula>"Towel"</formula>
    </cfRule>
    <cfRule type="cellIs" dxfId="1298" priority="1340" stopIfTrue="1" operator="equal">
      <formula>"Napkin Hs"</formula>
    </cfRule>
  </conditionalFormatting>
  <conditionalFormatting sqref="C102">
    <cfRule type="cellIs" dxfId="1297" priority="1338" stopIfTrue="1" operator="equal">
      <formula>"Napkin Hs"</formula>
    </cfRule>
  </conditionalFormatting>
  <conditionalFormatting sqref="C102">
    <cfRule type="cellIs" dxfId="1296" priority="1335" stopIfTrue="1" operator="equal">
      <formula>"Towel"</formula>
    </cfRule>
    <cfRule type="cellIs" dxfId="1295" priority="1336" stopIfTrue="1" operator="equal">
      <formula>"Napkin Hs"</formula>
    </cfRule>
  </conditionalFormatting>
  <conditionalFormatting sqref="C102">
    <cfRule type="cellIs" dxfId="1294" priority="1337" stopIfTrue="1" operator="equal">
      <formula>"Towel"</formula>
    </cfRule>
  </conditionalFormatting>
  <conditionalFormatting sqref="B102:C102">
    <cfRule type="cellIs" dxfId="1293" priority="1333" stopIfTrue="1" operator="equal">
      <formula>"Towel"</formula>
    </cfRule>
    <cfRule type="cellIs" dxfId="1292" priority="1334" stopIfTrue="1" operator="equal">
      <formula>"Napkin Hs"</formula>
    </cfRule>
  </conditionalFormatting>
  <conditionalFormatting sqref="C102">
    <cfRule type="cellIs" dxfId="1291" priority="1332" stopIfTrue="1" operator="equal">
      <formula>"Napkin Hs"</formula>
    </cfRule>
  </conditionalFormatting>
  <conditionalFormatting sqref="C102">
    <cfRule type="cellIs" dxfId="1290" priority="1329" stopIfTrue="1" operator="equal">
      <formula>"Towel"</formula>
    </cfRule>
    <cfRule type="cellIs" dxfId="1289" priority="1330" stopIfTrue="1" operator="equal">
      <formula>"Napkin Hs"</formula>
    </cfRule>
  </conditionalFormatting>
  <conditionalFormatting sqref="C102">
    <cfRule type="cellIs" dxfId="1288" priority="1331" stopIfTrue="1" operator="equal">
      <formula>"Towel"</formula>
    </cfRule>
  </conditionalFormatting>
  <conditionalFormatting sqref="B102:C102">
    <cfRule type="cellIs" dxfId="1287" priority="1327" stopIfTrue="1" operator="equal">
      <formula>"Towel"</formula>
    </cfRule>
    <cfRule type="cellIs" dxfId="1286" priority="1328" stopIfTrue="1" operator="equal">
      <formula>"Napkin Hs"</formula>
    </cfRule>
  </conditionalFormatting>
  <conditionalFormatting sqref="C102">
    <cfRule type="cellIs" dxfId="1285" priority="1326" stopIfTrue="1" operator="equal">
      <formula>"Napkin Hs"</formula>
    </cfRule>
  </conditionalFormatting>
  <conditionalFormatting sqref="C102">
    <cfRule type="cellIs" dxfId="1284" priority="1323" stopIfTrue="1" operator="equal">
      <formula>"Towel"</formula>
    </cfRule>
    <cfRule type="cellIs" dxfId="1283" priority="1324" stopIfTrue="1" operator="equal">
      <formula>"Napkin Hs"</formula>
    </cfRule>
  </conditionalFormatting>
  <conditionalFormatting sqref="C102">
    <cfRule type="cellIs" dxfId="1282" priority="1325" stopIfTrue="1" operator="equal">
      <formula>"Towel"</formula>
    </cfRule>
  </conditionalFormatting>
  <conditionalFormatting sqref="B102:C102">
    <cfRule type="cellIs" dxfId="1281" priority="1321" stopIfTrue="1" operator="equal">
      <formula>"Towel"</formula>
    </cfRule>
    <cfRule type="cellIs" dxfId="1280" priority="1322" stopIfTrue="1" operator="equal">
      <formula>"Napkin Hs"</formula>
    </cfRule>
  </conditionalFormatting>
  <conditionalFormatting sqref="C102">
    <cfRule type="cellIs" dxfId="1279" priority="1320" stopIfTrue="1" operator="equal">
      <formula>"Napkin Hs"</formula>
    </cfRule>
  </conditionalFormatting>
  <conditionalFormatting sqref="C102">
    <cfRule type="cellIs" dxfId="1278" priority="1317" stopIfTrue="1" operator="equal">
      <formula>"Towel"</formula>
    </cfRule>
    <cfRule type="cellIs" dxfId="1277" priority="1318" stopIfTrue="1" operator="equal">
      <formula>"Napkin Hs"</formula>
    </cfRule>
  </conditionalFormatting>
  <conditionalFormatting sqref="C102">
    <cfRule type="cellIs" dxfId="1276" priority="1319" stopIfTrue="1" operator="equal">
      <formula>"Towel"</formula>
    </cfRule>
  </conditionalFormatting>
  <conditionalFormatting sqref="B102:C102">
    <cfRule type="cellIs" dxfId="1275" priority="1315" stopIfTrue="1" operator="equal">
      <formula>"Towel"</formula>
    </cfRule>
    <cfRule type="cellIs" dxfId="1274" priority="1316" stopIfTrue="1" operator="equal">
      <formula>"Napkin Hs"</formula>
    </cfRule>
  </conditionalFormatting>
  <conditionalFormatting sqref="C102">
    <cfRule type="cellIs" dxfId="1273" priority="1314" stopIfTrue="1" operator="equal">
      <formula>"Napkin Hs"</formula>
    </cfRule>
  </conditionalFormatting>
  <conditionalFormatting sqref="C102">
    <cfRule type="cellIs" dxfId="1272" priority="1311" stopIfTrue="1" operator="equal">
      <formula>"Towel"</formula>
    </cfRule>
    <cfRule type="cellIs" dxfId="1271" priority="1312" stopIfTrue="1" operator="equal">
      <formula>"Napkin Hs"</formula>
    </cfRule>
  </conditionalFormatting>
  <conditionalFormatting sqref="C102">
    <cfRule type="cellIs" dxfId="1270" priority="1313" stopIfTrue="1" operator="equal">
      <formula>"Towel"</formula>
    </cfRule>
  </conditionalFormatting>
  <conditionalFormatting sqref="B102:C102">
    <cfRule type="cellIs" dxfId="1269" priority="1309" stopIfTrue="1" operator="equal">
      <formula>"Towel"</formula>
    </cfRule>
    <cfRule type="cellIs" dxfId="1268" priority="1310" stopIfTrue="1" operator="equal">
      <formula>"Napkin Hs"</formula>
    </cfRule>
  </conditionalFormatting>
  <conditionalFormatting sqref="C102">
    <cfRule type="cellIs" dxfId="1267" priority="1308" stopIfTrue="1" operator="equal">
      <formula>"Napkin Hs"</formula>
    </cfRule>
  </conditionalFormatting>
  <conditionalFormatting sqref="C102">
    <cfRule type="cellIs" dxfId="1266" priority="1305" stopIfTrue="1" operator="equal">
      <formula>"Towel"</formula>
    </cfRule>
    <cfRule type="cellIs" dxfId="1265" priority="1306" stopIfTrue="1" operator="equal">
      <formula>"Napkin Hs"</formula>
    </cfRule>
  </conditionalFormatting>
  <conditionalFormatting sqref="C102">
    <cfRule type="cellIs" dxfId="1264" priority="1307" stopIfTrue="1" operator="equal">
      <formula>"Towel"</formula>
    </cfRule>
  </conditionalFormatting>
  <conditionalFormatting sqref="B102:C102">
    <cfRule type="cellIs" dxfId="1263" priority="1303" stopIfTrue="1" operator="equal">
      <formula>"Towel"</formula>
    </cfRule>
    <cfRule type="cellIs" dxfId="1262" priority="1304" stopIfTrue="1" operator="equal">
      <formula>"Napkin Hs"</formula>
    </cfRule>
  </conditionalFormatting>
  <conditionalFormatting sqref="C102">
    <cfRule type="cellIs" dxfId="1261" priority="1302" stopIfTrue="1" operator="equal">
      <formula>"Napkin Hs"</formula>
    </cfRule>
  </conditionalFormatting>
  <conditionalFormatting sqref="C102">
    <cfRule type="cellIs" dxfId="1260" priority="1299" stopIfTrue="1" operator="equal">
      <formula>"Towel"</formula>
    </cfRule>
    <cfRule type="cellIs" dxfId="1259" priority="1300" stopIfTrue="1" operator="equal">
      <formula>"Napkin Hs"</formula>
    </cfRule>
  </conditionalFormatting>
  <conditionalFormatting sqref="C102">
    <cfRule type="cellIs" dxfId="1258" priority="1301" stopIfTrue="1" operator="equal">
      <formula>"Towel"</formula>
    </cfRule>
  </conditionalFormatting>
  <conditionalFormatting sqref="B103:C103">
    <cfRule type="cellIs" dxfId="1257" priority="1297" stopIfTrue="1" operator="equal">
      <formula>"Towel"</formula>
    </cfRule>
    <cfRule type="cellIs" dxfId="1256" priority="1298" stopIfTrue="1" operator="equal">
      <formula>"Napkin Hs"</formula>
    </cfRule>
  </conditionalFormatting>
  <conditionalFormatting sqref="C103">
    <cfRule type="cellIs" dxfId="1255" priority="1296" stopIfTrue="1" operator="equal">
      <formula>"Napkin Hs"</formula>
    </cfRule>
  </conditionalFormatting>
  <conditionalFormatting sqref="C103">
    <cfRule type="cellIs" dxfId="1254" priority="1293" stopIfTrue="1" operator="equal">
      <formula>"Towel"</formula>
    </cfRule>
    <cfRule type="cellIs" dxfId="1253" priority="1294" stopIfTrue="1" operator="equal">
      <formula>"Napkin Hs"</formula>
    </cfRule>
  </conditionalFormatting>
  <conditionalFormatting sqref="C103">
    <cfRule type="cellIs" dxfId="1252" priority="1295" stopIfTrue="1" operator="equal">
      <formula>"Towel"</formula>
    </cfRule>
  </conditionalFormatting>
  <conditionalFormatting sqref="B103:C103">
    <cfRule type="cellIs" dxfId="1251" priority="1291" stopIfTrue="1" operator="equal">
      <formula>"Towel"</formula>
    </cfRule>
    <cfRule type="cellIs" dxfId="1250" priority="1292" stopIfTrue="1" operator="equal">
      <formula>"Napkin Hs"</formula>
    </cfRule>
  </conditionalFormatting>
  <conditionalFormatting sqref="C103">
    <cfRule type="cellIs" dxfId="1249" priority="1290" stopIfTrue="1" operator="equal">
      <formula>"Napkin Hs"</formula>
    </cfRule>
  </conditionalFormatting>
  <conditionalFormatting sqref="C103">
    <cfRule type="cellIs" dxfId="1248" priority="1287" stopIfTrue="1" operator="equal">
      <formula>"Towel"</formula>
    </cfRule>
    <cfRule type="cellIs" dxfId="1247" priority="1288" stopIfTrue="1" operator="equal">
      <formula>"Napkin Hs"</formula>
    </cfRule>
  </conditionalFormatting>
  <conditionalFormatting sqref="C103">
    <cfRule type="cellIs" dxfId="1246" priority="1289" stopIfTrue="1" operator="equal">
      <formula>"Towel"</formula>
    </cfRule>
  </conditionalFormatting>
  <conditionalFormatting sqref="B103:C103">
    <cfRule type="cellIs" dxfId="1245" priority="1285" stopIfTrue="1" operator="equal">
      <formula>"Towel"</formula>
    </cfRule>
    <cfRule type="cellIs" dxfId="1244" priority="1286" stopIfTrue="1" operator="equal">
      <formula>"Napkin Hs"</formula>
    </cfRule>
  </conditionalFormatting>
  <conditionalFormatting sqref="C103">
    <cfRule type="cellIs" dxfId="1243" priority="1284" stopIfTrue="1" operator="equal">
      <formula>"Napkin Hs"</formula>
    </cfRule>
  </conditionalFormatting>
  <conditionalFormatting sqref="C103">
    <cfRule type="cellIs" dxfId="1242" priority="1281" stopIfTrue="1" operator="equal">
      <formula>"Towel"</formula>
    </cfRule>
    <cfRule type="cellIs" dxfId="1241" priority="1282" stopIfTrue="1" operator="equal">
      <formula>"Napkin Hs"</formula>
    </cfRule>
  </conditionalFormatting>
  <conditionalFormatting sqref="C103">
    <cfRule type="cellIs" dxfId="1240" priority="1283" stopIfTrue="1" operator="equal">
      <formula>"Towel"</formula>
    </cfRule>
  </conditionalFormatting>
  <conditionalFormatting sqref="B103:C103">
    <cfRule type="cellIs" dxfId="1239" priority="1279" stopIfTrue="1" operator="equal">
      <formula>"Towel"</formula>
    </cfRule>
    <cfRule type="cellIs" dxfId="1238" priority="1280" stopIfTrue="1" operator="equal">
      <formula>"Napkin Hs"</formula>
    </cfRule>
  </conditionalFormatting>
  <conditionalFormatting sqref="C103">
    <cfRule type="cellIs" dxfId="1237" priority="1278" stopIfTrue="1" operator="equal">
      <formula>"Napkin Hs"</formula>
    </cfRule>
  </conditionalFormatting>
  <conditionalFormatting sqref="C103">
    <cfRule type="cellIs" dxfId="1236" priority="1275" stopIfTrue="1" operator="equal">
      <formula>"Towel"</formula>
    </cfRule>
    <cfRule type="cellIs" dxfId="1235" priority="1276" stopIfTrue="1" operator="equal">
      <formula>"Napkin Hs"</formula>
    </cfRule>
  </conditionalFormatting>
  <conditionalFormatting sqref="C103">
    <cfRule type="cellIs" dxfId="1234" priority="1277" stopIfTrue="1" operator="equal">
      <formula>"Towel"</formula>
    </cfRule>
  </conditionalFormatting>
  <conditionalFormatting sqref="B103:C103">
    <cfRule type="cellIs" dxfId="1233" priority="1273" stopIfTrue="1" operator="equal">
      <formula>"Towel"</formula>
    </cfRule>
    <cfRule type="cellIs" dxfId="1232" priority="1274" stopIfTrue="1" operator="equal">
      <formula>"Napkin Hs"</formula>
    </cfRule>
  </conditionalFormatting>
  <conditionalFormatting sqref="C103">
    <cfRule type="cellIs" dxfId="1231" priority="1272" stopIfTrue="1" operator="equal">
      <formula>"Napkin Hs"</formula>
    </cfRule>
  </conditionalFormatting>
  <conditionalFormatting sqref="C103">
    <cfRule type="cellIs" dxfId="1230" priority="1269" stopIfTrue="1" operator="equal">
      <formula>"Towel"</formula>
    </cfRule>
    <cfRule type="cellIs" dxfId="1229" priority="1270" stopIfTrue="1" operator="equal">
      <formula>"Napkin Hs"</formula>
    </cfRule>
  </conditionalFormatting>
  <conditionalFormatting sqref="C103">
    <cfRule type="cellIs" dxfId="1228" priority="1271" stopIfTrue="1" operator="equal">
      <formula>"Towel"</formula>
    </cfRule>
  </conditionalFormatting>
  <conditionalFormatting sqref="B103:C103">
    <cfRule type="cellIs" dxfId="1227" priority="1267" stopIfTrue="1" operator="equal">
      <formula>"Towel"</formula>
    </cfRule>
    <cfRule type="cellIs" dxfId="1226" priority="1268" stopIfTrue="1" operator="equal">
      <formula>"Napkin Hs"</formula>
    </cfRule>
  </conditionalFormatting>
  <conditionalFormatting sqref="C103">
    <cfRule type="cellIs" dxfId="1225" priority="1266" stopIfTrue="1" operator="equal">
      <formula>"Napkin Hs"</formula>
    </cfRule>
  </conditionalFormatting>
  <conditionalFormatting sqref="C103">
    <cfRule type="cellIs" dxfId="1224" priority="1263" stopIfTrue="1" operator="equal">
      <formula>"Towel"</formula>
    </cfRule>
    <cfRule type="cellIs" dxfId="1223" priority="1264" stopIfTrue="1" operator="equal">
      <formula>"Napkin Hs"</formula>
    </cfRule>
  </conditionalFormatting>
  <conditionalFormatting sqref="C103">
    <cfRule type="cellIs" dxfId="1222" priority="1265" stopIfTrue="1" operator="equal">
      <formula>"Towel"</formula>
    </cfRule>
  </conditionalFormatting>
  <conditionalFormatting sqref="B103:C103">
    <cfRule type="cellIs" dxfId="1221" priority="1261" stopIfTrue="1" operator="equal">
      <formula>"Towel"</formula>
    </cfRule>
    <cfRule type="cellIs" dxfId="1220" priority="1262" stopIfTrue="1" operator="equal">
      <formula>"Napkin Hs"</formula>
    </cfRule>
  </conditionalFormatting>
  <conditionalFormatting sqref="C103">
    <cfRule type="cellIs" dxfId="1219" priority="1260" stopIfTrue="1" operator="equal">
      <formula>"Napkin Hs"</formula>
    </cfRule>
  </conditionalFormatting>
  <conditionalFormatting sqref="C103">
    <cfRule type="cellIs" dxfId="1218" priority="1257" stopIfTrue="1" operator="equal">
      <formula>"Towel"</formula>
    </cfRule>
    <cfRule type="cellIs" dxfId="1217" priority="1258" stopIfTrue="1" operator="equal">
      <formula>"Napkin Hs"</formula>
    </cfRule>
  </conditionalFormatting>
  <conditionalFormatting sqref="C103">
    <cfRule type="cellIs" dxfId="1216" priority="1259" stopIfTrue="1" operator="equal">
      <formula>"Towel"</formula>
    </cfRule>
  </conditionalFormatting>
  <conditionalFormatting sqref="B103:C103">
    <cfRule type="cellIs" dxfId="1215" priority="1255" stopIfTrue="1" operator="equal">
      <formula>"Towel"</formula>
    </cfRule>
    <cfRule type="cellIs" dxfId="1214" priority="1256" stopIfTrue="1" operator="equal">
      <formula>"Napkin Hs"</formula>
    </cfRule>
  </conditionalFormatting>
  <conditionalFormatting sqref="C103">
    <cfRule type="cellIs" dxfId="1213" priority="1254" stopIfTrue="1" operator="equal">
      <formula>"Napkin Hs"</formula>
    </cfRule>
  </conditionalFormatting>
  <conditionalFormatting sqref="C103">
    <cfRule type="cellIs" dxfId="1212" priority="1251" stopIfTrue="1" operator="equal">
      <formula>"Towel"</formula>
    </cfRule>
    <cfRule type="cellIs" dxfId="1211" priority="1252" stopIfTrue="1" operator="equal">
      <formula>"Napkin Hs"</formula>
    </cfRule>
  </conditionalFormatting>
  <conditionalFormatting sqref="C103">
    <cfRule type="cellIs" dxfId="1210" priority="1253" stopIfTrue="1" operator="equal">
      <formula>"Towel"</formula>
    </cfRule>
  </conditionalFormatting>
  <conditionalFormatting sqref="B106:C106">
    <cfRule type="cellIs" dxfId="1209" priority="1249" stopIfTrue="1" operator="equal">
      <formula>"Towel"</formula>
    </cfRule>
    <cfRule type="cellIs" dxfId="1208" priority="1250" stopIfTrue="1" operator="equal">
      <formula>"Napkin Hs"</formula>
    </cfRule>
  </conditionalFormatting>
  <conditionalFormatting sqref="C106">
    <cfRule type="cellIs" dxfId="1207" priority="1248" stopIfTrue="1" operator="equal">
      <formula>"Napkin Hs"</formula>
    </cfRule>
  </conditionalFormatting>
  <conditionalFormatting sqref="C106">
    <cfRule type="cellIs" dxfId="1206" priority="1245" stopIfTrue="1" operator="equal">
      <formula>"Towel"</formula>
    </cfRule>
    <cfRule type="cellIs" dxfId="1205" priority="1246" stopIfTrue="1" operator="equal">
      <formula>"Napkin Hs"</formula>
    </cfRule>
  </conditionalFormatting>
  <conditionalFormatting sqref="C106">
    <cfRule type="cellIs" dxfId="1204" priority="1247" stopIfTrue="1" operator="equal">
      <formula>"Towel"</formula>
    </cfRule>
  </conditionalFormatting>
  <conditionalFormatting sqref="B106:C106">
    <cfRule type="cellIs" dxfId="1203" priority="1243" stopIfTrue="1" operator="equal">
      <formula>"Towel"</formula>
    </cfRule>
    <cfRule type="cellIs" dxfId="1202" priority="1244" stopIfTrue="1" operator="equal">
      <formula>"Napkin Hs"</formula>
    </cfRule>
  </conditionalFormatting>
  <conditionalFormatting sqref="C106">
    <cfRule type="cellIs" dxfId="1201" priority="1242" stopIfTrue="1" operator="equal">
      <formula>"Napkin Hs"</formula>
    </cfRule>
  </conditionalFormatting>
  <conditionalFormatting sqref="C106">
    <cfRule type="cellIs" dxfId="1200" priority="1239" stopIfTrue="1" operator="equal">
      <formula>"Towel"</formula>
    </cfRule>
    <cfRule type="cellIs" dxfId="1199" priority="1240" stopIfTrue="1" operator="equal">
      <formula>"Napkin Hs"</formula>
    </cfRule>
  </conditionalFormatting>
  <conditionalFormatting sqref="C106">
    <cfRule type="cellIs" dxfId="1198" priority="1241" stopIfTrue="1" operator="equal">
      <formula>"Towel"</formula>
    </cfRule>
  </conditionalFormatting>
  <conditionalFormatting sqref="B106:C106">
    <cfRule type="cellIs" dxfId="1197" priority="1237" stopIfTrue="1" operator="equal">
      <formula>"Towel"</formula>
    </cfRule>
    <cfRule type="cellIs" dxfId="1196" priority="1238" stopIfTrue="1" operator="equal">
      <formula>"Napkin Hs"</formula>
    </cfRule>
  </conditionalFormatting>
  <conditionalFormatting sqref="C106">
    <cfRule type="cellIs" dxfId="1195" priority="1236" stopIfTrue="1" operator="equal">
      <formula>"Napkin Hs"</formula>
    </cfRule>
  </conditionalFormatting>
  <conditionalFormatting sqref="C106">
    <cfRule type="cellIs" dxfId="1194" priority="1233" stopIfTrue="1" operator="equal">
      <formula>"Towel"</formula>
    </cfRule>
    <cfRule type="cellIs" dxfId="1193" priority="1234" stopIfTrue="1" operator="equal">
      <formula>"Napkin Hs"</formula>
    </cfRule>
  </conditionalFormatting>
  <conditionalFormatting sqref="C106">
    <cfRule type="cellIs" dxfId="1192" priority="1235" stopIfTrue="1" operator="equal">
      <formula>"Towel"</formula>
    </cfRule>
  </conditionalFormatting>
  <conditionalFormatting sqref="B106:C106">
    <cfRule type="cellIs" dxfId="1191" priority="1231" stopIfTrue="1" operator="equal">
      <formula>"Towel"</formula>
    </cfRule>
    <cfRule type="cellIs" dxfId="1190" priority="1232" stopIfTrue="1" operator="equal">
      <formula>"Napkin Hs"</formula>
    </cfRule>
  </conditionalFormatting>
  <conditionalFormatting sqref="C106">
    <cfRule type="cellIs" dxfId="1189" priority="1230" stopIfTrue="1" operator="equal">
      <formula>"Napkin Hs"</formula>
    </cfRule>
  </conditionalFormatting>
  <conditionalFormatting sqref="C106">
    <cfRule type="cellIs" dxfId="1188" priority="1227" stopIfTrue="1" operator="equal">
      <formula>"Towel"</formula>
    </cfRule>
    <cfRule type="cellIs" dxfId="1187" priority="1228" stopIfTrue="1" operator="equal">
      <formula>"Napkin Hs"</formula>
    </cfRule>
  </conditionalFormatting>
  <conditionalFormatting sqref="C106">
    <cfRule type="cellIs" dxfId="1186" priority="1229" stopIfTrue="1" operator="equal">
      <formula>"Towel"</formula>
    </cfRule>
  </conditionalFormatting>
  <conditionalFormatting sqref="B106:C106">
    <cfRule type="cellIs" dxfId="1185" priority="1225" stopIfTrue="1" operator="equal">
      <formula>"Towel"</formula>
    </cfRule>
    <cfRule type="cellIs" dxfId="1184" priority="1226" stopIfTrue="1" operator="equal">
      <formula>"Napkin Hs"</formula>
    </cfRule>
  </conditionalFormatting>
  <conditionalFormatting sqref="C106">
    <cfRule type="cellIs" dxfId="1183" priority="1224" stopIfTrue="1" operator="equal">
      <formula>"Napkin Hs"</formula>
    </cfRule>
  </conditionalFormatting>
  <conditionalFormatting sqref="C106">
    <cfRule type="cellIs" dxfId="1182" priority="1221" stopIfTrue="1" operator="equal">
      <formula>"Towel"</formula>
    </cfRule>
    <cfRule type="cellIs" dxfId="1181" priority="1222" stopIfTrue="1" operator="equal">
      <formula>"Napkin Hs"</formula>
    </cfRule>
  </conditionalFormatting>
  <conditionalFormatting sqref="C106">
    <cfRule type="cellIs" dxfId="1180" priority="1223" stopIfTrue="1" operator="equal">
      <formula>"Towel"</formula>
    </cfRule>
  </conditionalFormatting>
  <conditionalFormatting sqref="B106:C106">
    <cfRule type="cellIs" dxfId="1179" priority="1219" stopIfTrue="1" operator="equal">
      <formula>"Towel"</formula>
    </cfRule>
    <cfRule type="cellIs" dxfId="1178" priority="1220" stopIfTrue="1" operator="equal">
      <formula>"Napkin Hs"</formula>
    </cfRule>
  </conditionalFormatting>
  <conditionalFormatting sqref="C106">
    <cfRule type="cellIs" dxfId="1177" priority="1218" stopIfTrue="1" operator="equal">
      <formula>"Napkin Hs"</formula>
    </cfRule>
  </conditionalFormatting>
  <conditionalFormatting sqref="C106">
    <cfRule type="cellIs" dxfId="1176" priority="1215" stopIfTrue="1" operator="equal">
      <formula>"Towel"</formula>
    </cfRule>
    <cfRule type="cellIs" dxfId="1175" priority="1216" stopIfTrue="1" operator="equal">
      <formula>"Napkin Hs"</formula>
    </cfRule>
  </conditionalFormatting>
  <conditionalFormatting sqref="C106">
    <cfRule type="cellIs" dxfId="1174" priority="1217" stopIfTrue="1" operator="equal">
      <formula>"Towel"</formula>
    </cfRule>
  </conditionalFormatting>
  <conditionalFormatting sqref="B106:C106">
    <cfRule type="cellIs" dxfId="1173" priority="1213" stopIfTrue="1" operator="equal">
      <formula>"Towel"</formula>
    </cfRule>
    <cfRule type="cellIs" dxfId="1172" priority="1214" stopIfTrue="1" operator="equal">
      <formula>"Napkin Hs"</formula>
    </cfRule>
  </conditionalFormatting>
  <conditionalFormatting sqref="C106">
    <cfRule type="cellIs" dxfId="1171" priority="1212" stopIfTrue="1" operator="equal">
      <formula>"Napkin Hs"</formula>
    </cfRule>
  </conditionalFormatting>
  <conditionalFormatting sqref="C106">
    <cfRule type="cellIs" dxfId="1170" priority="1209" stopIfTrue="1" operator="equal">
      <formula>"Towel"</formula>
    </cfRule>
    <cfRule type="cellIs" dxfId="1169" priority="1210" stopIfTrue="1" operator="equal">
      <formula>"Napkin Hs"</formula>
    </cfRule>
  </conditionalFormatting>
  <conditionalFormatting sqref="C106">
    <cfRule type="cellIs" dxfId="1168" priority="1211" stopIfTrue="1" operator="equal">
      <formula>"Towel"</formula>
    </cfRule>
  </conditionalFormatting>
  <conditionalFormatting sqref="B106:C106">
    <cfRule type="cellIs" dxfId="1167" priority="1207" stopIfTrue="1" operator="equal">
      <formula>"Towel"</formula>
    </cfRule>
    <cfRule type="cellIs" dxfId="1166" priority="1208" stopIfTrue="1" operator="equal">
      <formula>"Napkin Hs"</formula>
    </cfRule>
  </conditionalFormatting>
  <conditionalFormatting sqref="C106">
    <cfRule type="cellIs" dxfId="1165" priority="1206" stopIfTrue="1" operator="equal">
      <formula>"Napkin Hs"</formula>
    </cfRule>
  </conditionalFormatting>
  <conditionalFormatting sqref="C106">
    <cfRule type="cellIs" dxfId="1164" priority="1203" stopIfTrue="1" operator="equal">
      <formula>"Towel"</formula>
    </cfRule>
    <cfRule type="cellIs" dxfId="1163" priority="1204" stopIfTrue="1" operator="equal">
      <formula>"Napkin Hs"</formula>
    </cfRule>
  </conditionalFormatting>
  <conditionalFormatting sqref="C106">
    <cfRule type="cellIs" dxfId="1162" priority="1205" stopIfTrue="1" operator="equal">
      <formula>"Towel"</formula>
    </cfRule>
  </conditionalFormatting>
  <conditionalFormatting sqref="B108:C108">
    <cfRule type="cellIs" dxfId="1161" priority="1201" stopIfTrue="1" operator="equal">
      <formula>"Towel"</formula>
    </cfRule>
    <cfRule type="cellIs" dxfId="1160" priority="1202" stopIfTrue="1" operator="equal">
      <formula>"Napkin Hs"</formula>
    </cfRule>
  </conditionalFormatting>
  <conditionalFormatting sqref="C108">
    <cfRule type="cellIs" dxfId="1159" priority="1200" stopIfTrue="1" operator="equal">
      <formula>"Napkin Hs"</formula>
    </cfRule>
  </conditionalFormatting>
  <conditionalFormatting sqref="C108">
    <cfRule type="cellIs" dxfId="1158" priority="1197" stopIfTrue="1" operator="equal">
      <formula>"Towel"</formula>
    </cfRule>
    <cfRule type="cellIs" dxfId="1157" priority="1198" stopIfTrue="1" operator="equal">
      <formula>"Napkin Hs"</formula>
    </cfRule>
  </conditionalFormatting>
  <conditionalFormatting sqref="C108">
    <cfRule type="cellIs" dxfId="1156" priority="1199" stopIfTrue="1" operator="equal">
      <formula>"Towel"</formula>
    </cfRule>
  </conditionalFormatting>
  <conditionalFormatting sqref="B108:C108">
    <cfRule type="cellIs" dxfId="1155" priority="1195" stopIfTrue="1" operator="equal">
      <formula>"Towel"</formula>
    </cfRule>
    <cfRule type="cellIs" dxfId="1154" priority="1196" stopIfTrue="1" operator="equal">
      <formula>"Napkin Hs"</formula>
    </cfRule>
  </conditionalFormatting>
  <conditionalFormatting sqref="C108">
    <cfRule type="cellIs" dxfId="1153" priority="1194" stopIfTrue="1" operator="equal">
      <formula>"Napkin Hs"</formula>
    </cfRule>
  </conditionalFormatting>
  <conditionalFormatting sqref="C108">
    <cfRule type="cellIs" dxfId="1152" priority="1191" stopIfTrue="1" operator="equal">
      <formula>"Towel"</formula>
    </cfRule>
    <cfRule type="cellIs" dxfId="1151" priority="1192" stopIfTrue="1" operator="equal">
      <formula>"Napkin Hs"</formula>
    </cfRule>
  </conditionalFormatting>
  <conditionalFormatting sqref="C108">
    <cfRule type="cellIs" dxfId="1150" priority="1193" stopIfTrue="1" operator="equal">
      <formula>"Towel"</formula>
    </cfRule>
  </conditionalFormatting>
  <conditionalFormatting sqref="B108:C108">
    <cfRule type="cellIs" dxfId="1149" priority="1189" stopIfTrue="1" operator="equal">
      <formula>"Towel"</formula>
    </cfRule>
    <cfRule type="cellIs" dxfId="1148" priority="1190" stopIfTrue="1" operator="equal">
      <formula>"Napkin Hs"</formula>
    </cfRule>
  </conditionalFormatting>
  <conditionalFormatting sqref="C108">
    <cfRule type="cellIs" dxfId="1147" priority="1188" stopIfTrue="1" operator="equal">
      <formula>"Napkin Hs"</formula>
    </cfRule>
  </conditionalFormatting>
  <conditionalFormatting sqref="C108">
    <cfRule type="cellIs" dxfId="1146" priority="1185" stopIfTrue="1" operator="equal">
      <formula>"Towel"</formula>
    </cfRule>
    <cfRule type="cellIs" dxfId="1145" priority="1186" stopIfTrue="1" operator="equal">
      <formula>"Napkin Hs"</formula>
    </cfRule>
  </conditionalFormatting>
  <conditionalFormatting sqref="C108">
    <cfRule type="cellIs" dxfId="1144" priority="1187" stopIfTrue="1" operator="equal">
      <formula>"Towel"</formula>
    </cfRule>
  </conditionalFormatting>
  <conditionalFormatting sqref="B108:C108">
    <cfRule type="cellIs" dxfId="1143" priority="1183" stopIfTrue="1" operator="equal">
      <formula>"Towel"</formula>
    </cfRule>
    <cfRule type="cellIs" dxfId="1142" priority="1184" stopIfTrue="1" operator="equal">
      <formula>"Napkin Hs"</formula>
    </cfRule>
  </conditionalFormatting>
  <conditionalFormatting sqref="C108">
    <cfRule type="cellIs" dxfId="1141" priority="1182" stopIfTrue="1" operator="equal">
      <formula>"Napkin Hs"</formula>
    </cfRule>
  </conditionalFormatting>
  <conditionalFormatting sqref="C108">
    <cfRule type="cellIs" dxfId="1140" priority="1179" stopIfTrue="1" operator="equal">
      <formula>"Towel"</formula>
    </cfRule>
    <cfRule type="cellIs" dxfId="1139" priority="1180" stopIfTrue="1" operator="equal">
      <formula>"Napkin Hs"</formula>
    </cfRule>
  </conditionalFormatting>
  <conditionalFormatting sqref="C108">
    <cfRule type="cellIs" dxfId="1138" priority="1181" stopIfTrue="1" operator="equal">
      <formula>"Towel"</formula>
    </cfRule>
  </conditionalFormatting>
  <conditionalFormatting sqref="B108:C108">
    <cfRule type="cellIs" dxfId="1137" priority="1177" stopIfTrue="1" operator="equal">
      <formula>"Towel"</formula>
    </cfRule>
    <cfRule type="cellIs" dxfId="1136" priority="1178" stopIfTrue="1" operator="equal">
      <formula>"Napkin Hs"</formula>
    </cfRule>
  </conditionalFormatting>
  <conditionalFormatting sqref="C108">
    <cfRule type="cellIs" dxfId="1135" priority="1176" stopIfTrue="1" operator="equal">
      <formula>"Napkin Hs"</formula>
    </cfRule>
  </conditionalFormatting>
  <conditionalFormatting sqref="C108">
    <cfRule type="cellIs" dxfId="1134" priority="1173" stopIfTrue="1" operator="equal">
      <formula>"Towel"</formula>
    </cfRule>
    <cfRule type="cellIs" dxfId="1133" priority="1174" stopIfTrue="1" operator="equal">
      <formula>"Napkin Hs"</formula>
    </cfRule>
  </conditionalFormatting>
  <conditionalFormatting sqref="C108">
    <cfRule type="cellIs" dxfId="1132" priority="1175" stopIfTrue="1" operator="equal">
      <formula>"Towel"</formula>
    </cfRule>
  </conditionalFormatting>
  <conditionalFormatting sqref="B108:C108">
    <cfRule type="cellIs" dxfId="1131" priority="1171" stopIfTrue="1" operator="equal">
      <formula>"Towel"</formula>
    </cfRule>
    <cfRule type="cellIs" dxfId="1130" priority="1172" stopIfTrue="1" operator="equal">
      <formula>"Napkin Hs"</formula>
    </cfRule>
  </conditionalFormatting>
  <conditionalFormatting sqref="C108">
    <cfRule type="cellIs" dxfId="1129" priority="1170" stopIfTrue="1" operator="equal">
      <formula>"Napkin Hs"</formula>
    </cfRule>
  </conditionalFormatting>
  <conditionalFormatting sqref="C108">
    <cfRule type="cellIs" dxfId="1128" priority="1167" stopIfTrue="1" operator="equal">
      <formula>"Towel"</formula>
    </cfRule>
    <cfRule type="cellIs" dxfId="1127" priority="1168" stopIfTrue="1" operator="equal">
      <formula>"Napkin Hs"</formula>
    </cfRule>
  </conditionalFormatting>
  <conditionalFormatting sqref="C108">
    <cfRule type="cellIs" dxfId="1126" priority="1169" stopIfTrue="1" operator="equal">
      <formula>"Towel"</formula>
    </cfRule>
  </conditionalFormatting>
  <conditionalFormatting sqref="B108:C108">
    <cfRule type="cellIs" dxfId="1125" priority="1165" stopIfTrue="1" operator="equal">
      <formula>"Towel"</formula>
    </cfRule>
    <cfRule type="cellIs" dxfId="1124" priority="1166" stopIfTrue="1" operator="equal">
      <formula>"Napkin Hs"</formula>
    </cfRule>
  </conditionalFormatting>
  <conditionalFormatting sqref="C108">
    <cfRule type="cellIs" dxfId="1123" priority="1164" stopIfTrue="1" operator="equal">
      <formula>"Napkin Hs"</formula>
    </cfRule>
  </conditionalFormatting>
  <conditionalFormatting sqref="C108">
    <cfRule type="cellIs" dxfId="1122" priority="1161" stopIfTrue="1" operator="equal">
      <formula>"Towel"</formula>
    </cfRule>
    <cfRule type="cellIs" dxfId="1121" priority="1162" stopIfTrue="1" operator="equal">
      <formula>"Napkin Hs"</formula>
    </cfRule>
  </conditionalFormatting>
  <conditionalFormatting sqref="C108">
    <cfRule type="cellIs" dxfId="1120" priority="1163" stopIfTrue="1" operator="equal">
      <formula>"Towel"</formula>
    </cfRule>
  </conditionalFormatting>
  <conditionalFormatting sqref="B108:C108">
    <cfRule type="cellIs" dxfId="1119" priority="1159" stopIfTrue="1" operator="equal">
      <formula>"Towel"</formula>
    </cfRule>
    <cfRule type="cellIs" dxfId="1118" priority="1160" stopIfTrue="1" operator="equal">
      <formula>"Napkin Hs"</formula>
    </cfRule>
  </conditionalFormatting>
  <conditionalFormatting sqref="C108">
    <cfRule type="cellIs" dxfId="1117" priority="1158" stopIfTrue="1" operator="equal">
      <formula>"Napkin Hs"</formula>
    </cfRule>
  </conditionalFormatting>
  <conditionalFormatting sqref="C108">
    <cfRule type="cellIs" dxfId="1116" priority="1155" stopIfTrue="1" operator="equal">
      <formula>"Towel"</formula>
    </cfRule>
    <cfRule type="cellIs" dxfId="1115" priority="1156" stopIfTrue="1" operator="equal">
      <formula>"Napkin Hs"</formula>
    </cfRule>
  </conditionalFormatting>
  <conditionalFormatting sqref="C108">
    <cfRule type="cellIs" dxfId="1114" priority="1157" stopIfTrue="1" operator="equal">
      <formula>"Towel"</formula>
    </cfRule>
  </conditionalFormatting>
  <conditionalFormatting sqref="B108:C108">
    <cfRule type="cellIs" dxfId="1113" priority="1153" stopIfTrue="1" operator="equal">
      <formula>"Towel"</formula>
    </cfRule>
    <cfRule type="cellIs" dxfId="1112" priority="1154" stopIfTrue="1" operator="equal">
      <formula>"Napkin Hs"</formula>
    </cfRule>
  </conditionalFormatting>
  <conditionalFormatting sqref="C108">
    <cfRule type="cellIs" dxfId="1111" priority="1152" stopIfTrue="1" operator="equal">
      <formula>"Napkin Hs"</formula>
    </cfRule>
  </conditionalFormatting>
  <conditionalFormatting sqref="C108">
    <cfRule type="cellIs" dxfId="1110" priority="1149" stopIfTrue="1" operator="equal">
      <formula>"Towel"</formula>
    </cfRule>
    <cfRule type="cellIs" dxfId="1109" priority="1150" stopIfTrue="1" operator="equal">
      <formula>"Napkin Hs"</formula>
    </cfRule>
  </conditionalFormatting>
  <conditionalFormatting sqref="C108">
    <cfRule type="cellIs" dxfId="1108" priority="1151" stopIfTrue="1" operator="equal">
      <formula>"Towel"</formula>
    </cfRule>
  </conditionalFormatting>
  <conditionalFormatting sqref="B108:C108">
    <cfRule type="cellIs" dxfId="1107" priority="1147" stopIfTrue="1" operator="equal">
      <formula>"Towel"</formula>
    </cfRule>
    <cfRule type="cellIs" dxfId="1106" priority="1148" stopIfTrue="1" operator="equal">
      <formula>"Napkin Hs"</formula>
    </cfRule>
  </conditionalFormatting>
  <conditionalFormatting sqref="C108">
    <cfRule type="cellIs" dxfId="1105" priority="1146" stopIfTrue="1" operator="equal">
      <formula>"Napkin Hs"</formula>
    </cfRule>
  </conditionalFormatting>
  <conditionalFormatting sqref="C108">
    <cfRule type="cellIs" dxfId="1104" priority="1143" stopIfTrue="1" operator="equal">
      <formula>"Towel"</formula>
    </cfRule>
    <cfRule type="cellIs" dxfId="1103" priority="1144" stopIfTrue="1" operator="equal">
      <formula>"Napkin Hs"</formula>
    </cfRule>
  </conditionalFormatting>
  <conditionalFormatting sqref="C108">
    <cfRule type="cellIs" dxfId="1102" priority="1145" stopIfTrue="1" operator="equal">
      <formula>"Towel"</formula>
    </cfRule>
  </conditionalFormatting>
  <conditionalFormatting sqref="B108:C108">
    <cfRule type="cellIs" dxfId="1101" priority="1141" stopIfTrue="1" operator="equal">
      <formula>"Towel"</formula>
    </cfRule>
    <cfRule type="cellIs" dxfId="1100" priority="1142" stopIfTrue="1" operator="equal">
      <formula>"Napkin Hs"</formula>
    </cfRule>
  </conditionalFormatting>
  <conditionalFormatting sqref="C108">
    <cfRule type="cellIs" dxfId="1099" priority="1140" stopIfTrue="1" operator="equal">
      <formula>"Napkin Hs"</formula>
    </cfRule>
  </conditionalFormatting>
  <conditionalFormatting sqref="C108">
    <cfRule type="cellIs" dxfId="1098" priority="1137" stopIfTrue="1" operator="equal">
      <formula>"Towel"</formula>
    </cfRule>
    <cfRule type="cellIs" dxfId="1097" priority="1138" stopIfTrue="1" operator="equal">
      <formula>"Napkin Hs"</formula>
    </cfRule>
  </conditionalFormatting>
  <conditionalFormatting sqref="C108">
    <cfRule type="cellIs" dxfId="1096" priority="1139" stopIfTrue="1" operator="equal">
      <formula>"Towel"</formula>
    </cfRule>
  </conditionalFormatting>
  <conditionalFormatting sqref="B108:C108">
    <cfRule type="cellIs" dxfId="1095" priority="1135" stopIfTrue="1" operator="equal">
      <formula>"Towel"</formula>
    </cfRule>
    <cfRule type="cellIs" dxfId="1094" priority="1136" stopIfTrue="1" operator="equal">
      <formula>"Napkin Hs"</formula>
    </cfRule>
  </conditionalFormatting>
  <conditionalFormatting sqref="C108">
    <cfRule type="cellIs" dxfId="1093" priority="1134" stopIfTrue="1" operator="equal">
      <formula>"Napkin Hs"</formula>
    </cfRule>
  </conditionalFormatting>
  <conditionalFormatting sqref="C108">
    <cfRule type="cellIs" dxfId="1092" priority="1131" stopIfTrue="1" operator="equal">
      <formula>"Towel"</formula>
    </cfRule>
    <cfRule type="cellIs" dxfId="1091" priority="1132" stopIfTrue="1" operator="equal">
      <formula>"Napkin Hs"</formula>
    </cfRule>
  </conditionalFormatting>
  <conditionalFormatting sqref="C108">
    <cfRule type="cellIs" dxfId="1090" priority="1133" stopIfTrue="1" operator="equal">
      <formula>"Towel"</formula>
    </cfRule>
  </conditionalFormatting>
  <conditionalFormatting sqref="B108:C108">
    <cfRule type="cellIs" dxfId="1089" priority="1129" stopIfTrue="1" operator="equal">
      <formula>"Towel"</formula>
    </cfRule>
    <cfRule type="cellIs" dxfId="1088" priority="1130" stopIfTrue="1" operator="equal">
      <formula>"Napkin Hs"</formula>
    </cfRule>
  </conditionalFormatting>
  <conditionalFormatting sqref="C108">
    <cfRule type="cellIs" dxfId="1087" priority="1128" stopIfTrue="1" operator="equal">
      <formula>"Napkin Hs"</formula>
    </cfRule>
  </conditionalFormatting>
  <conditionalFormatting sqref="C108">
    <cfRule type="cellIs" dxfId="1086" priority="1125" stopIfTrue="1" operator="equal">
      <formula>"Towel"</formula>
    </cfRule>
    <cfRule type="cellIs" dxfId="1085" priority="1126" stopIfTrue="1" operator="equal">
      <formula>"Napkin Hs"</formula>
    </cfRule>
  </conditionalFormatting>
  <conditionalFormatting sqref="C108">
    <cfRule type="cellIs" dxfId="1084" priority="1127" stopIfTrue="1" operator="equal">
      <formula>"Towel"</formula>
    </cfRule>
  </conditionalFormatting>
  <conditionalFormatting sqref="B108:C108">
    <cfRule type="cellIs" dxfId="1083" priority="1123" stopIfTrue="1" operator="equal">
      <formula>"Towel"</formula>
    </cfRule>
    <cfRule type="cellIs" dxfId="1082" priority="1124" stopIfTrue="1" operator="equal">
      <formula>"Napkin Hs"</formula>
    </cfRule>
  </conditionalFormatting>
  <conditionalFormatting sqref="C108">
    <cfRule type="cellIs" dxfId="1081" priority="1122" stopIfTrue="1" operator="equal">
      <formula>"Napkin Hs"</formula>
    </cfRule>
  </conditionalFormatting>
  <conditionalFormatting sqref="C108">
    <cfRule type="cellIs" dxfId="1080" priority="1119" stopIfTrue="1" operator="equal">
      <formula>"Towel"</formula>
    </cfRule>
    <cfRule type="cellIs" dxfId="1079" priority="1120" stopIfTrue="1" operator="equal">
      <formula>"Napkin Hs"</formula>
    </cfRule>
  </conditionalFormatting>
  <conditionalFormatting sqref="C108">
    <cfRule type="cellIs" dxfId="1078" priority="1121" stopIfTrue="1" operator="equal">
      <formula>"Towel"</formula>
    </cfRule>
  </conditionalFormatting>
  <conditionalFormatting sqref="B108:C108">
    <cfRule type="cellIs" dxfId="1077" priority="1117" stopIfTrue="1" operator="equal">
      <formula>"Towel"</formula>
    </cfRule>
    <cfRule type="cellIs" dxfId="1076" priority="1118" stopIfTrue="1" operator="equal">
      <formula>"Napkin Hs"</formula>
    </cfRule>
  </conditionalFormatting>
  <conditionalFormatting sqref="C108">
    <cfRule type="cellIs" dxfId="1075" priority="1116" stopIfTrue="1" operator="equal">
      <formula>"Napkin Hs"</formula>
    </cfRule>
  </conditionalFormatting>
  <conditionalFormatting sqref="C108">
    <cfRule type="cellIs" dxfId="1074" priority="1113" stopIfTrue="1" operator="equal">
      <formula>"Towel"</formula>
    </cfRule>
    <cfRule type="cellIs" dxfId="1073" priority="1114" stopIfTrue="1" operator="equal">
      <formula>"Napkin Hs"</formula>
    </cfRule>
  </conditionalFormatting>
  <conditionalFormatting sqref="C108">
    <cfRule type="cellIs" dxfId="1072" priority="1115" stopIfTrue="1" operator="equal">
      <formula>"Towel"</formula>
    </cfRule>
  </conditionalFormatting>
  <conditionalFormatting sqref="B108:C108">
    <cfRule type="cellIs" dxfId="1071" priority="1111" stopIfTrue="1" operator="equal">
      <formula>"Towel"</formula>
    </cfRule>
    <cfRule type="cellIs" dxfId="1070" priority="1112" stopIfTrue="1" operator="equal">
      <formula>"Napkin Hs"</formula>
    </cfRule>
  </conditionalFormatting>
  <conditionalFormatting sqref="C108">
    <cfRule type="cellIs" dxfId="1069" priority="1110" stopIfTrue="1" operator="equal">
      <formula>"Napkin Hs"</formula>
    </cfRule>
  </conditionalFormatting>
  <conditionalFormatting sqref="C108">
    <cfRule type="cellIs" dxfId="1068" priority="1107" stopIfTrue="1" operator="equal">
      <formula>"Towel"</formula>
    </cfRule>
    <cfRule type="cellIs" dxfId="1067" priority="1108" stopIfTrue="1" operator="equal">
      <formula>"Napkin Hs"</formula>
    </cfRule>
  </conditionalFormatting>
  <conditionalFormatting sqref="C108">
    <cfRule type="cellIs" dxfId="1066" priority="1109" stopIfTrue="1" operator="equal">
      <formula>"Towel"</formula>
    </cfRule>
  </conditionalFormatting>
  <conditionalFormatting sqref="B107:C107">
    <cfRule type="cellIs" dxfId="1065" priority="1105" stopIfTrue="1" operator="equal">
      <formula>"Towel"</formula>
    </cfRule>
    <cfRule type="cellIs" dxfId="1064" priority="1106" stopIfTrue="1" operator="equal">
      <formula>"Napkin Hs"</formula>
    </cfRule>
  </conditionalFormatting>
  <conditionalFormatting sqref="C107">
    <cfRule type="cellIs" dxfId="1063" priority="1104" stopIfTrue="1" operator="equal">
      <formula>"Napkin Hs"</formula>
    </cfRule>
  </conditionalFormatting>
  <conditionalFormatting sqref="C107">
    <cfRule type="cellIs" dxfId="1062" priority="1101" stopIfTrue="1" operator="equal">
      <formula>"Towel"</formula>
    </cfRule>
    <cfRule type="cellIs" dxfId="1061" priority="1102" stopIfTrue="1" operator="equal">
      <formula>"Napkin Hs"</formula>
    </cfRule>
  </conditionalFormatting>
  <conditionalFormatting sqref="C107">
    <cfRule type="cellIs" dxfId="1060" priority="1103" stopIfTrue="1" operator="equal">
      <formula>"Towel"</formula>
    </cfRule>
  </conditionalFormatting>
  <conditionalFormatting sqref="B107:C107">
    <cfRule type="cellIs" dxfId="1059" priority="1099" stopIfTrue="1" operator="equal">
      <formula>"Towel"</formula>
    </cfRule>
    <cfRule type="cellIs" dxfId="1058" priority="1100" stopIfTrue="1" operator="equal">
      <formula>"Napkin Hs"</formula>
    </cfRule>
  </conditionalFormatting>
  <conditionalFormatting sqref="C107">
    <cfRule type="cellIs" dxfId="1057" priority="1098" stopIfTrue="1" operator="equal">
      <formula>"Napkin Hs"</formula>
    </cfRule>
  </conditionalFormatting>
  <conditionalFormatting sqref="C107">
    <cfRule type="cellIs" dxfId="1056" priority="1095" stopIfTrue="1" operator="equal">
      <formula>"Towel"</formula>
    </cfRule>
    <cfRule type="cellIs" dxfId="1055" priority="1096" stopIfTrue="1" operator="equal">
      <formula>"Napkin Hs"</formula>
    </cfRule>
  </conditionalFormatting>
  <conditionalFormatting sqref="C107">
    <cfRule type="cellIs" dxfId="1054" priority="1097" stopIfTrue="1" operator="equal">
      <formula>"Towel"</formula>
    </cfRule>
  </conditionalFormatting>
  <conditionalFormatting sqref="B107:C107">
    <cfRule type="cellIs" dxfId="1053" priority="1063" stopIfTrue="1" operator="equal">
      <formula>"Towel"</formula>
    </cfRule>
    <cfRule type="cellIs" dxfId="1052" priority="1064" stopIfTrue="1" operator="equal">
      <formula>"Napkin Hs"</formula>
    </cfRule>
  </conditionalFormatting>
  <conditionalFormatting sqref="C107">
    <cfRule type="cellIs" dxfId="1051" priority="1059" stopIfTrue="1" operator="equal">
      <formula>"Towel"</formula>
    </cfRule>
    <cfRule type="cellIs" dxfId="1050" priority="1060" stopIfTrue="1" operator="equal">
      <formula>"Napkin Hs"</formula>
    </cfRule>
  </conditionalFormatting>
  <conditionalFormatting sqref="B107:C107">
    <cfRule type="cellIs" dxfId="1049" priority="1057" stopIfTrue="1" operator="equal">
      <formula>"Towel"</formula>
    </cfRule>
    <cfRule type="cellIs" dxfId="1048" priority="1058" stopIfTrue="1" operator="equal">
      <formula>"Napkin Hs"</formula>
    </cfRule>
  </conditionalFormatting>
  <conditionalFormatting sqref="C107">
    <cfRule type="cellIs" dxfId="1047" priority="1056" stopIfTrue="1" operator="equal">
      <formula>"Napkin Hs"</formula>
    </cfRule>
  </conditionalFormatting>
  <conditionalFormatting sqref="C107">
    <cfRule type="cellIs" dxfId="1046" priority="1053" stopIfTrue="1" operator="equal">
      <formula>"Towel"</formula>
    </cfRule>
    <cfRule type="cellIs" dxfId="1045" priority="1054" stopIfTrue="1" operator="equal">
      <formula>"Napkin Hs"</formula>
    </cfRule>
  </conditionalFormatting>
  <conditionalFormatting sqref="C107">
    <cfRule type="cellIs" dxfId="1044" priority="1055" stopIfTrue="1" operator="equal">
      <formula>"Towel"</formula>
    </cfRule>
  </conditionalFormatting>
  <conditionalFormatting sqref="B107:C107">
    <cfRule type="cellIs" dxfId="1043" priority="1051" stopIfTrue="1" operator="equal">
      <formula>"Towel"</formula>
    </cfRule>
    <cfRule type="cellIs" dxfId="1042" priority="1052" stopIfTrue="1" operator="equal">
      <formula>"Napkin Hs"</formula>
    </cfRule>
  </conditionalFormatting>
  <conditionalFormatting sqref="C107">
    <cfRule type="cellIs" dxfId="1041" priority="1050" stopIfTrue="1" operator="equal">
      <formula>"Napkin Hs"</formula>
    </cfRule>
  </conditionalFormatting>
  <conditionalFormatting sqref="C107">
    <cfRule type="cellIs" dxfId="1040" priority="1047" stopIfTrue="1" operator="equal">
      <formula>"Towel"</formula>
    </cfRule>
    <cfRule type="cellIs" dxfId="1039" priority="1048" stopIfTrue="1" operator="equal">
      <formula>"Napkin Hs"</formula>
    </cfRule>
  </conditionalFormatting>
  <conditionalFormatting sqref="C107">
    <cfRule type="cellIs" dxfId="1038" priority="1049" stopIfTrue="1" operator="equal">
      <formula>"Towel"</formula>
    </cfRule>
  </conditionalFormatting>
  <conditionalFormatting sqref="B107:C107">
    <cfRule type="cellIs" dxfId="1037" priority="1045" stopIfTrue="1" operator="equal">
      <formula>"Towel"</formula>
    </cfRule>
    <cfRule type="cellIs" dxfId="1036" priority="1046" stopIfTrue="1" operator="equal">
      <formula>"Napkin Hs"</formula>
    </cfRule>
  </conditionalFormatting>
  <conditionalFormatting sqref="C107">
    <cfRule type="cellIs" dxfId="1035" priority="1044" stopIfTrue="1" operator="equal">
      <formula>"Napkin Hs"</formula>
    </cfRule>
  </conditionalFormatting>
  <conditionalFormatting sqref="C107">
    <cfRule type="cellIs" dxfId="1034" priority="1041" stopIfTrue="1" operator="equal">
      <formula>"Towel"</formula>
    </cfRule>
    <cfRule type="cellIs" dxfId="1033" priority="1042" stopIfTrue="1" operator="equal">
      <formula>"Napkin Hs"</formula>
    </cfRule>
  </conditionalFormatting>
  <conditionalFormatting sqref="C107">
    <cfRule type="cellIs" dxfId="1032" priority="1043" stopIfTrue="1" operator="equal">
      <formula>"Towel"</formula>
    </cfRule>
  </conditionalFormatting>
  <conditionalFormatting sqref="B107:C107">
    <cfRule type="cellIs" dxfId="1031" priority="1093" stopIfTrue="1" operator="equal">
      <formula>"Towel"</formula>
    </cfRule>
    <cfRule type="cellIs" dxfId="1030" priority="1094" stopIfTrue="1" operator="equal">
      <formula>"Napkin Hs"</formula>
    </cfRule>
  </conditionalFormatting>
  <conditionalFormatting sqref="C107">
    <cfRule type="cellIs" dxfId="1029" priority="1092" stopIfTrue="1" operator="equal">
      <formula>"Napkin Hs"</formula>
    </cfRule>
  </conditionalFormatting>
  <conditionalFormatting sqref="C107">
    <cfRule type="cellIs" dxfId="1028" priority="1089" stopIfTrue="1" operator="equal">
      <formula>"Towel"</formula>
    </cfRule>
    <cfRule type="cellIs" dxfId="1027" priority="1090" stopIfTrue="1" operator="equal">
      <formula>"Napkin Hs"</formula>
    </cfRule>
  </conditionalFormatting>
  <conditionalFormatting sqref="C107">
    <cfRule type="cellIs" dxfId="1026" priority="1091" stopIfTrue="1" operator="equal">
      <formula>"Towel"</formula>
    </cfRule>
  </conditionalFormatting>
  <conditionalFormatting sqref="B107:C107">
    <cfRule type="cellIs" dxfId="1025" priority="1087" stopIfTrue="1" operator="equal">
      <formula>"Towel"</formula>
    </cfRule>
    <cfRule type="cellIs" dxfId="1024" priority="1088" stopIfTrue="1" operator="equal">
      <formula>"Napkin Hs"</formula>
    </cfRule>
  </conditionalFormatting>
  <conditionalFormatting sqref="C107">
    <cfRule type="cellIs" dxfId="1023" priority="1086" stopIfTrue="1" operator="equal">
      <formula>"Napkin Hs"</formula>
    </cfRule>
  </conditionalFormatting>
  <conditionalFormatting sqref="C107">
    <cfRule type="cellIs" dxfId="1022" priority="1083" stopIfTrue="1" operator="equal">
      <formula>"Towel"</formula>
    </cfRule>
    <cfRule type="cellIs" dxfId="1021" priority="1084" stopIfTrue="1" operator="equal">
      <formula>"Napkin Hs"</formula>
    </cfRule>
  </conditionalFormatting>
  <conditionalFormatting sqref="C107">
    <cfRule type="cellIs" dxfId="1020" priority="1085" stopIfTrue="1" operator="equal">
      <formula>"Towel"</formula>
    </cfRule>
  </conditionalFormatting>
  <conditionalFormatting sqref="B107:C107">
    <cfRule type="cellIs" dxfId="1019" priority="1081" stopIfTrue="1" operator="equal">
      <formula>"Towel"</formula>
    </cfRule>
    <cfRule type="cellIs" dxfId="1018" priority="1082" stopIfTrue="1" operator="equal">
      <formula>"Napkin Hs"</formula>
    </cfRule>
  </conditionalFormatting>
  <conditionalFormatting sqref="C107">
    <cfRule type="cellIs" dxfId="1017" priority="1080" stopIfTrue="1" operator="equal">
      <formula>"Napkin Hs"</formula>
    </cfRule>
  </conditionalFormatting>
  <conditionalFormatting sqref="C107">
    <cfRule type="cellIs" dxfId="1016" priority="1077" stopIfTrue="1" operator="equal">
      <formula>"Towel"</formula>
    </cfRule>
    <cfRule type="cellIs" dxfId="1015" priority="1078" stopIfTrue="1" operator="equal">
      <formula>"Napkin Hs"</formula>
    </cfRule>
  </conditionalFormatting>
  <conditionalFormatting sqref="C107">
    <cfRule type="cellIs" dxfId="1014" priority="1079" stopIfTrue="1" operator="equal">
      <formula>"Towel"</formula>
    </cfRule>
  </conditionalFormatting>
  <conditionalFormatting sqref="B107:C107">
    <cfRule type="cellIs" dxfId="1013" priority="1075" stopIfTrue="1" operator="equal">
      <formula>"Towel"</formula>
    </cfRule>
    <cfRule type="cellIs" dxfId="1012" priority="1076" stopIfTrue="1" operator="equal">
      <formula>"Napkin Hs"</formula>
    </cfRule>
  </conditionalFormatting>
  <conditionalFormatting sqref="C107">
    <cfRule type="cellIs" dxfId="1011" priority="1074" stopIfTrue="1" operator="equal">
      <formula>"Napkin Hs"</formula>
    </cfRule>
  </conditionalFormatting>
  <conditionalFormatting sqref="C107">
    <cfRule type="cellIs" dxfId="1010" priority="1071" stopIfTrue="1" operator="equal">
      <formula>"Towel"</formula>
    </cfRule>
    <cfRule type="cellIs" dxfId="1009" priority="1072" stopIfTrue="1" operator="equal">
      <formula>"Napkin Hs"</formula>
    </cfRule>
  </conditionalFormatting>
  <conditionalFormatting sqref="C107">
    <cfRule type="cellIs" dxfId="1008" priority="1073" stopIfTrue="1" operator="equal">
      <formula>"Towel"</formula>
    </cfRule>
  </conditionalFormatting>
  <conditionalFormatting sqref="B107:C107">
    <cfRule type="cellIs" dxfId="1007" priority="1069" stopIfTrue="1" operator="equal">
      <formula>"Towel"</formula>
    </cfRule>
    <cfRule type="cellIs" dxfId="1006" priority="1070" stopIfTrue="1" operator="equal">
      <formula>"Napkin Hs"</formula>
    </cfRule>
  </conditionalFormatting>
  <conditionalFormatting sqref="C107">
    <cfRule type="cellIs" dxfId="1005" priority="1067" stopIfTrue="1" operator="equal">
      <formula>"Towel"</formula>
    </cfRule>
    <cfRule type="cellIs" dxfId="1004" priority="1068" stopIfTrue="1" operator="equal">
      <formula>"Napkin Hs"</formula>
    </cfRule>
  </conditionalFormatting>
  <conditionalFormatting sqref="C107">
    <cfRule type="cellIs" dxfId="1003" priority="1065" stopIfTrue="1" operator="equal">
      <formula>"Towel"</formula>
    </cfRule>
    <cfRule type="cellIs" dxfId="1002" priority="1066" stopIfTrue="1" operator="equal">
      <formula>"Napkin Hs"</formula>
    </cfRule>
  </conditionalFormatting>
  <conditionalFormatting sqref="C107">
    <cfRule type="cellIs" dxfId="1001" priority="1061" stopIfTrue="1" operator="equal">
      <formula>"Towel"</formula>
    </cfRule>
    <cfRule type="cellIs" dxfId="1000" priority="1062" stopIfTrue="1" operator="equal">
      <formula>"Napkin Hs"</formula>
    </cfRule>
  </conditionalFormatting>
  <conditionalFormatting sqref="B107:C107">
    <cfRule type="cellIs" dxfId="999" priority="1039" stopIfTrue="1" operator="equal">
      <formula>"Towel"</formula>
    </cfRule>
    <cfRule type="cellIs" dxfId="998" priority="1040" stopIfTrue="1" operator="equal">
      <formula>"Napkin Hs"</formula>
    </cfRule>
  </conditionalFormatting>
  <conditionalFormatting sqref="C107">
    <cfRule type="cellIs" dxfId="997" priority="1038" stopIfTrue="1" operator="equal">
      <formula>"Napkin Hs"</formula>
    </cfRule>
  </conditionalFormatting>
  <conditionalFormatting sqref="C107">
    <cfRule type="cellIs" dxfId="996" priority="1035" stopIfTrue="1" operator="equal">
      <formula>"Towel"</formula>
    </cfRule>
    <cfRule type="cellIs" dxfId="995" priority="1036" stopIfTrue="1" operator="equal">
      <formula>"Napkin Hs"</formula>
    </cfRule>
  </conditionalFormatting>
  <conditionalFormatting sqref="C107">
    <cfRule type="cellIs" dxfId="994" priority="1037" stopIfTrue="1" operator="equal">
      <formula>"Towel"</formula>
    </cfRule>
  </conditionalFormatting>
  <conditionalFormatting sqref="B107:C107">
    <cfRule type="cellIs" dxfId="993" priority="1033" stopIfTrue="1" operator="equal">
      <formula>"Towel"</formula>
    </cfRule>
    <cfRule type="cellIs" dxfId="992" priority="1034" stopIfTrue="1" operator="equal">
      <formula>"Napkin Hs"</formula>
    </cfRule>
  </conditionalFormatting>
  <conditionalFormatting sqref="C107">
    <cfRule type="cellIs" dxfId="991" priority="1032" stopIfTrue="1" operator="equal">
      <formula>"Napkin Hs"</formula>
    </cfRule>
  </conditionalFormatting>
  <conditionalFormatting sqref="C107">
    <cfRule type="cellIs" dxfId="990" priority="1029" stopIfTrue="1" operator="equal">
      <formula>"Towel"</formula>
    </cfRule>
    <cfRule type="cellIs" dxfId="989" priority="1030" stopIfTrue="1" operator="equal">
      <formula>"Napkin Hs"</formula>
    </cfRule>
  </conditionalFormatting>
  <conditionalFormatting sqref="C107">
    <cfRule type="cellIs" dxfId="988" priority="1031" stopIfTrue="1" operator="equal">
      <formula>"Towel"</formula>
    </cfRule>
  </conditionalFormatting>
  <conditionalFormatting sqref="B107:C107">
    <cfRule type="cellIs" dxfId="987" priority="1027" stopIfTrue="1" operator="equal">
      <formula>"Towel"</formula>
    </cfRule>
    <cfRule type="cellIs" dxfId="986" priority="1028" stopIfTrue="1" operator="equal">
      <formula>"Napkin Hs"</formula>
    </cfRule>
  </conditionalFormatting>
  <conditionalFormatting sqref="C107">
    <cfRule type="cellIs" dxfId="985" priority="1026" stopIfTrue="1" operator="equal">
      <formula>"Napkin Hs"</formula>
    </cfRule>
  </conditionalFormatting>
  <conditionalFormatting sqref="C107">
    <cfRule type="cellIs" dxfId="984" priority="1023" stopIfTrue="1" operator="equal">
      <formula>"Towel"</formula>
    </cfRule>
    <cfRule type="cellIs" dxfId="983" priority="1024" stopIfTrue="1" operator="equal">
      <formula>"Napkin Hs"</formula>
    </cfRule>
  </conditionalFormatting>
  <conditionalFormatting sqref="C107">
    <cfRule type="cellIs" dxfId="982" priority="1025" stopIfTrue="1" operator="equal">
      <formula>"Towel"</formula>
    </cfRule>
  </conditionalFormatting>
  <conditionalFormatting sqref="B107:C107">
    <cfRule type="cellIs" dxfId="981" priority="1021" stopIfTrue="1" operator="equal">
      <formula>"Towel"</formula>
    </cfRule>
    <cfRule type="cellIs" dxfId="980" priority="1022" stopIfTrue="1" operator="equal">
      <formula>"Napkin Hs"</formula>
    </cfRule>
  </conditionalFormatting>
  <conditionalFormatting sqref="C107">
    <cfRule type="cellIs" dxfId="979" priority="1020" stopIfTrue="1" operator="equal">
      <formula>"Napkin Hs"</formula>
    </cfRule>
  </conditionalFormatting>
  <conditionalFormatting sqref="C107">
    <cfRule type="cellIs" dxfId="978" priority="1017" stopIfTrue="1" operator="equal">
      <formula>"Towel"</formula>
    </cfRule>
    <cfRule type="cellIs" dxfId="977" priority="1018" stopIfTrue="1" operator="equal">
      <formula>"Napkin Hs"</formula>
    </cfRule>
  </conditionalFormatting>
  <conditionalFormatting sqref="C107">
    <cfRule type="cellIs" dxfId="976" priority="1019" stopIfTrue="1" operator="equal">
      <formula>"Towel"</formula>
    </cfRule>
  </conditionalFormatting>
  <conditionalFormatting sqref="B107:C107">
    <cfRule type="cellIs" dxfId="975" priority="1015" stopIfTrue="1" operator="equal">
      <formula>"Towel"</formula>
    </cfRule>
    <cfRule type="cellIs" dxfId="974" priority="1016" stopIfTrue="1" operator="equal">
      <formula>"Napkin Hs"</formula>
    </cfRule>
  </conditionalFormatting>
  <conditionalFormatting sqref="C107">
    <cfRule type="cellIs" dxfId="973" priority="1014" stopIfTrue="1" operator="equal">
      <formula>"Napkin Hs"</formula>
    </cfRule>
  </conditionalFormatting>
  <conditionalFormatting sqref="C107">
    <cfRule type="cellIs" dxfId="972" priority="1011" stopIfTrue="1" operator="equal">
      <formula>"Towel"</formula>
    </cfRule>
    <cfRule type="cellIs" dxfId="971" priority="1012" stopIfTrue="1" operator="equal">
      <formula>"Napkin Hs"</formula>
    </cfRule>
  </conditionalFormatting>
  <conditionalFormatting sqref="C107">
    <cfRule type="cellIs" dxfId="970" priority="1013" stopIfTrue="1" operator="equal">
      <formula>"Towel"</formula>
    </cfRule>
  </conditionalFormatting>
  <conditionalFormatting sqref="B107:C107">
    <cfRule type="cellIs" dxfId="969" priority="1009" stopIfTrue="1" operator="equal">
      <formula>"Towel"</formula>
    </cfRule>
    <cfRule type="cellIs" dxfId="968" priority="1010" stopIfTrue="1" operator="equal">
      <formula>"Napkin Hs"</formula>
    </cfRule>
  </conditionalFormatting>
  <conditionalFormatting sqref="C107">
    <cfRule type="cellIs" dxfId="967" priority="1008" stopIfTrue="1" operator="equal">
      <formula>"Napkin Hs"</formula>
    </cfRule>
  </conditionalFormatting>
  <conditionalFormatting sqref="C107">
    <cfRule type="cellIs" dxfId="966" priority="1005" stopIfTrue="1" operator="equal">
      <formula>"Towel"</formula>
    </cfRule>
    <cfRule type="cellIs" dxfId="965" priority="1006" stopIfTrue="1" operator="equal">
      <formula>"Napkin Hs"</formula>
    </cfRule>
  </conditionalFormatting>
  <conditionalFormatting sqref="C107">
    <cfRule type="cellIs" dxfId="964" priority="1007" stopIfTrue="1" operator="equal">
      <formula>"Towel"</formula>
    </cfRule>
  </conditionalFormatting>
  <conditionalFormatting sqref="B107:C107">
    <cfRule type="cellIs" dxfId="963" priority="1003" stopIfTrue="1" operator="equal">
      <formula>"Towel"</formula>
    </cfRule>
    <cfRule type="cellIs" dxfId="962" priority="1004" stopIfTrue="1" operator="equal">
      <formula>"Napkin Hs"</formula>
    </cfRule>
  </conditionalFormatting>
  <conditionalFormatting sqref="C107">
    <cfRule type="cellIs" dxfId="961" priority="1002" stopIfTrue="1" operator="equal">
      <formula>"Napkin Hs"</formula>
    </cfRule>
  </conditionalFormatting>
  <conditionalFormatting sqref="C107">
    <cfRule type="cellIs" dxfId="960" priority="999" stopIfTrue="1" operator="equal">
      <formula>"Towel"</formula>
    </cfRule>
    <cfRule type="cellIs" dxfId="959" priority="1000" stopIfTrue="1" operator="equal">
      <formula>"Napkin Hs"</formula>
    </cfRule>
  </conditionalFormatting>
  <conditionalFormatting sqref="C107">
    <cfRule type="cellIs" dxfId="958" priority="1001" stopIfTrue="1" operator="equal">
      <formula>"Towel"</formula>
    </cfRule>
  </conditionalFormatting>
  <conditionalFormatting sqref="B107:C107">
    <cfRule type="cellIs" dxfId="957" priority="997" stopIfTrue="1" operator="equal">
      <formula>"Towel"</formula>
    </cfRule>
    <cfRule type="cellIs" dxfId="956" priority="998" stopIfTrue="1" operator="equal">
      <formula>"Napkin Hs"</formula>
    </cfRule>
  </conditionalFormatting>
  <conditionalFormatting sqref="C107">
    <cfRule type="cellIs" dxfId="955" priority="996" stopIfTrue="1" operator="equal">
      <formula>"Napkin Hs"</formula>
    </cfRule>
  </conditionalFormatting>
  <conditionalFormatting sqref="C107">
    <cfRule type="cellIs" dxfId="954" priority="993" stopIfTrue="1" operator="equal">
      <formula>"Towel"</formula>
    </cfRule>
    <cfRule type="cellIs" dxfId="953" priority="994" stopIfTrue="1" operator="equal">
      <formula>"Napkin Hs"</formula>
    </cfRule>
  </conditionalFormatting>
  <conditionalFormatting sqref="C107">
    <cfRule type="cellIs" dxfId="952" priority="995" stopIfTrue="1" operator="equal">
      <formula>"Towel"</formula>
    </cfRule>
  </conditionalFormatting>
  <conditionalFormatting sqref="B109:C109">
    <cfRule type="cellIs" dxfId="951" priority="991" stopIfTrue="1" operator="equal">
      <formula>"Towel"</formula>
    </cfRule>
    <cfRule type="cellIs" dxfId="950" priority="992" stopIfTrue="1" operator="equal">
      <formula>"Napkin Hs"</formula>
    </cfRule>
  </conditionalFormatting>
  <conditionalFormatting sqref="C109">
    <cfRule type="cellIs" dxfId="949" priority="990" stopIfTrue="1" operator="equal">
      <formula>"Napkin Hs"</formula>
    </cfRule>
  </conditionalFormatting>
  <conditionalFormatting sqref="C109">
    <cfRule type="cellIs" dxfId="948" priority="987" stopIfTrue="1" operator="equal">
      <formula>"Towel"</formula>
    </cfRule>
    <cfRule type="cellIs" dxfId="947" priority="988" stopIfTrue="1" operator="equal">
      <formula>"Napkin Hs"</formula>
    </cfRule>
  </conditionalFormatting>
  <conditionalFormatting sqref="C109">
    <cfRule type="cellIs" dxfId="946" priority="989" stopIfTrue="1" operator="equal">
      <formula>"Towel"</formula>
    </cfRule>
  </conditionalFormatting>
  <conditionalFormatting sqref="B109:C109">
    <cfRule type="cellIs" dxfId="945" priority="985" stopIfTrue="1" operator="equal">
      <formula>"Towel"</formula>
    </cfRule>
    <cfRule type="cellIs" dxfId="944" priority="986" stopIfTrue="1" operator="equal">
      <formula>"Napkin Hs"</formula>
    </cfRule>
  </conditionalFormatting>
  <conditionalFormatting sqref="C109">
    <cfRule type="cellIs" dxfId="943" priority="984" stopIfTrue="1" operator="equal">
      <formula>"Napkin Hs"</formula>
    </cfRule>
  </conditionalFormatting>
  <conditionalFormatting sqref="C109">
    <cfRule type="cellIs" dxfId="942" priority="981" stopIfTrue="1" operator="equal">
      <formula>"Towel"</formula>
    </cfRule>
    <cfRule type="cellIs" dxfId="941" priority="982" stopIfTrue="1" operator="equal">
      <formula>"Napkin Hs"</formula>
    </cfRule>
  </conditionalFormatting>
  <conditionalFormatting sqref="C109">
    <cfRule type="cellIs" dxfId="940" priority="983" stopIfTrue="1" operator="equal">
      <formula>"Towel"</formula>
    </cfRule>
  </conditionalFormatting>
  <conditionalFormatting sqref="B109:C109">
    <cfRule type="cellIs" dxfId="939" priority="979" stopIfTrue="1" operator="equal">
      <formula>"Towel"</formula>
    </cfRule>
    <cfRule type="cellIs" dxfId="938" priority="980" stopIfTrue="1" operator="equal">
      <formula>"Napkin Hs"</formula>
    </cfRule>
  </conditionalFormatting>
  <conditionalFormatting sqref="C109">
    <cfRule type="cellIs" dxfId="937" priority="978" stopIfTrue="1" operator="equal">
      <formula>"Napkin Hs"</formula>
    </cfRule>
  </conditionalFormatting>
  <conditionalFormatting sqref="C109">
    <cfRule type="cellIs" dxfId="936" priority="975" stopIfTrue="1" operator="equal">
      <formula>"Towel"</formula>
    </cfRule>
    <cfRule type="cellIs" dxfId="935" priority="976" stopIfTrue="1" operator="equal">
      <formula>"Napkin Hs"</formula>
    </cfRule>
  </conditionalFormatting>
  <conditionalFormatting sqref="C109">
    <cfRule type="cellIs" dxfId="934" priority="977" stopIfTrue="1" operator="equal">
      <formula>"Towel"</formula>
    </cfRule>
  </conditionalFormatting>
  <conditionalFormatting sqref="B109:C109">
    <cfRule type="cellIs" dxfId="933" priority="973" stopIfTrue="1" operator="equal">
      <formula>"Towel"</formula>
    </cfRule>
    <cfRule type="cellIs" dxfId="932" priority="974" stopIfTrue="1" operator="equal">
      <formula>"Napkin Hs"</formula>
    </cfRule>
  </conditionalFormatting>
  <conditionalFormatting sqref="C109">
    <cfRule type="cellIs" dxfId="931" priority="972" stopIfTrue="1" operator="equal">
      <formula>"Napkin Hs"</formula>
    </cfRule>
  </conditionalFormatting>
  <conditionalFormatting sqref="C109">
    <cfRule type="cellIs" dxfId="930" priority="969" stopIfTrue="1" operator="equal">
      <formula>"Towel"</formula>
    </cfRule>
    <cfRule type="cellIs" dxfId="929" priority="970" stopIfTrue="1" operator="equal">
      <formula>"Napkin Hs"</formula>
    </cfRule>
  </conditionalFormatting>
  <conditionalFormatting sqref="C109">
    <cfRule type="cellIs" dxfId="928" priority="971" stopIfTrue="1" operator="equal">
      <formula>"Towel"</formula>
    </cfRule>
  </conditionalFormatting>
  <conditionalFormatting sqref="B109:C109">
    <cfRule type="cellIs" dxfId="927" priority="967" stopIfTrue="1" operator="equal">
      <formula>"Towel"</formula>
    </cfRule>
    <cfRule type="cellIs" dxfId="926" priority="968" stopIfTrue="1" operator="equal">
      <formula>"Napkin Hs"</formula>
    </cfRule>
  </conditionalFormatting>
  <conditionalFormatting sqref="C109">
    <cfRule type="cellIs" dxfId="925" priority="965" stopIfTrue="1" operator="equal">
      <formula>"Towel"</formula>
    </cfRule>
    <cfRule type="cellIs" dxfId="924" priority="966" stopIfTrue="1" operator="equal">
      <formula>"Napkin Hs"</formula>
    </cfRule>
  </conditionalFormatting>
  <conditionalFormatting sqref="C109">
    <cfRule type="cellIs" dxfId="923" priority="963" stopIfTrue="1" operator="equal">
      <formula>"Towel"</formula>
    </cfRule>
    <cfRule type="cellIs" dxfId="922" priority="964" stopIfTrue="1" operator="equal">
      <formula>"Napkin Hs"</formula>
    </cfRule>
  </conditionalFormatting>
  <conditionalFormatting sqref="B109:C109">
    <cfRule type="cellIs" dxfId="921" priority="961" stopIfTrue="1" operator="equal">
      <formula>"Towel"</formula>
    </cfRule>
    <cfRule type="cellIs" dxfId="920" priority="962" stopIfTrue="1" operator="equal">
      <formula>"Napkin Hs"</formula>
    </cfRule>
  </conditionalFormatting>
  <conditionalFormatting sqref="C109">
    <cfRule type="cellIs" dxfId="919" priority="959" stopIfTrue="1" operator="equal">
      <formula>"Towel"</formula>
    </cfRule>
    <cfRule type="cellIs" dxfId="918" priority="960" stopIfTrue="1" operator="equal">
      <formula>"Napkin Hs"</formula>
    </cfRule>
  </conditionalFormatting>
  <conditionalFormatting sqref="C109">
    <cfRule type="cellIs" dxfId="917" priority="957" stopIfTrue="1" operator="equal">
      <formula>"Towel"</formula>
    </cfRule>
    <cfRule type="cellIs" dxfId="916" priority="958" stopIfTrue="1" operator="equal">
      <formula>"Napkin Hs"</formula>
    </cfRule>
  </conditionalFormatting>
  <conditionalFormatting sqref="B109:C109">
    <cfRule type="cellIs" dxfId="915" priority="955" stopIfTrue="1" operator="equal">
      <formula>"Towel"</formula>
    </cfRule>
    <cfRule type="cellIs" dxfId="914" priority="956" stopIfTrue="1" operator="equal">
      <formula>"Napkin Hs"</formula>
    </cfRule>
  </conditionalFormatting>
  <conditionalFormatting sqref="C109">
    <cfRule type="cellIs" dxfId="913" priority="954" stopIfTrue="1" operator="equal">
      <formula>"Napkin Hs"</formula>
    </cfRule>
  </conditionalFormatting>
  <conditionalFormatting sqref="C109">
    <cfRule type="cellIs" dxfId="912" priority="951" stopIfTrue="1" operator="equal">
      <formula>"Towel"</formula>
    </cfRule>
    <cfRule type="cellIs" dxfId="911" priority="952" stopIfTrue="1" operator="equal">
      <formula>"Napkin Hs"</formula>
    </cfRule>
  </conditionalFormatting>
  <conditionalFormatting sqref="C109">
    <cfRule type="cellIs" dxfId="910" priority="953" stopIfTrue="1" operator="equal">
      <formula>"Towel"</formula>
    </cfRule>
  </conditionalFormatting>
  <conditionalFormatting sqref="B109:C109">
    <cfRule type="cellIs" dxfId="909" priority="949" stopIfTrue="1" operator="equal">
      <formula>"Towel"</formula>
    </cfRule>
    <cfRule type="cellIs" dxfId="908" priority="950" stopIfTrue="1" operator="equal">
      <formula>"Napkin Hs"</formula>
    </cfRule>
  </conditionalFormatting>
  <conditionalFormatting sqref="C109">
    <cfRule type="cellIs" dxfId="907" priority="948" stopIfTrue="1" operator="equal">
      <formula>"Napkin Hs"</formula>
    </cfRule>
  </conditionalFormatting>
  <conditionalFormatting sqref="C109">
    <cfRule type="cellIs" dxfId="906" priority="945" stopIfTrue="1" operator="equal">
      <formula>"Towel"</formula>
    </cfRule>
    <cfRule type="cellIs" dxfId="905" priority="946" stopIfTrue="1" operator="equal">
      <formula>"Napkin Hs"</formula>
    </cfRule>
  </conditionalFormatting>
  <conditionalFormatting sqref="C109">
    <cfRule type="cellIs" dxfId="904" priority="947" stopIfTrue="1" operator="equal">
      <formula>"Towel"</formula>
    </cfRule>
  </conditionalFormatting>
  <conditionalFormatting sqref="B109:C109">
    <cfRule type="cellIs" dxfId="903" priority="943" stopIfTrue="1" operator="equal">
      <formula>"Towel"</formula>
    </cfRule>
    <cfRule type="cellIs" dxfId="902" priority="944" stopIfTrue="1" operator="equal">
      <formula>"Napkin Hs"</formula>
    </cfRule>
  </conditionalFormatting>
  <conditionalFormatting sqref="C109">
    <cfRule type="cellIs" dxfId="901" priority="942" stopIfTrue="1" operator="equal">
      <formula>"Napkin Hs"</formula>
    </cfRule>
  </conditionalFormatting>
  <conditionalFormatting sqref="C109">
    <cfRule type="cellIs" dxfId="900" priority="939" stopIfTrue="1" operator="equal">
      <formula>"Towel"</formula>
    </cfRule>
    <cfRule type="cellIs" dxfId="899" priority="940" stopIfTrue="1" operator="equal">
      <formula>"Napkin Hs"</formula>
    </cfRule>
  </conditionalFormatting>
  <conditionalFormatting sqref="C109">
    <cfRule type="cellIs" dxfId="898" priority="941" stopIfTrue="1" operator="equal">
      <formula>"Towel"</formula>
    </cfRule>
  </conditionalFormatting>
  <conditionalFormatting sqref="B118:C118">
    <cfRule type="cellIs" dxfId="897" priority="937" stopIfTrue="1" operator="equal">
      <formula>"Towel"</formula>
    </cfRule>
    <cfRule type="cellIs" dxfId="896" priority="938" stopIfTrue="1" operator="equal">
      <formula>"Napkin Hs"</formula>
    </cfRule>
  </conditionalFormatting>
  <conditionalFormatting sqref="C118">
    <cfRule type="cellIs" dxfId="895" priority="936" stopIfTrue="1" operator="equal">
      <formula>"Napkin Hs"</formula>
    </cfRule>
  </conditionalFormatting>
  <conditionalFormatting sqref="C118">
    <cfRule type="cellIs" dxfId="894" priority="933" stopIfTrue="1" operator="equal">
      <formula>"Towel"</formula>
    </cfRule>
    <cfRule type="cellIs" dxfId="893" priority="934" stopIfTrue="1" operator="equal">
      <formula>"Napkin Hs"</formula>
    </cfRule>
  </conditionalFormatting>
  <conditionalFormatting sqref="C118">
    <cfRule type="cellIs" dxfId="892" priority="935" stopIfTrue="1" operator="equal">
      <formula>"Towel"</formula>
    </cfRule>
  </conditionalFormatting>
  <conditionalFormatting sqref="B111:C111">
    <cfRule type="cellIs" dxfId="891" priority="931" stopIfTrue="1" operator="equal">
      <formula>"Towel"</formula>
    </cfRule>
    <cfRule type="cellIs" dxfId="890" priority="932" stopIfTrue="1" operator="equal">
      <formula>"Napkin Hs"</formula>
    </cfRule>
  </conditionalFormatting>
  <conditionalFormatting sqref="C111">
    <cfRule type="cellIs" dxfId="889" priority="930" stopIfTrue="1" operator="equal">
      <formula>"Napkin Hs"</formula>
    </cfRule>
  </conditionalFormatting>
  <conditionalFormatting sqref="C111">
    <cfRule type="cellIs" dxfId="888" priority="927" stopIfTrue="1" operator="equal">
      <formula>"Towel"</formula>
    </cfRule>
    <cfRule type="cellIs" dxfId="887" priority="928" stopIfTrue="1" operator="equal">
      <formula>"Napkin Hs"</formula>
    </cfRule>
  </conditionalFormatting>
  <conditionalFormatting sqref="C111">
    <cfRule type="cellIs" dxfId="886" priority="929" stopIfTrue="1" operator="equal">
      <formula>"Towel"</formula>
    </cfRule>
  </conditionalFormatting>
  <conditionalFormatting sqref="B111:C111">
    <cfRule type="cellIs" dxfId="885" priority="925" stopIfTrue="1" operator="equal">
      <formula>"Towel"</formula>
    </cfRule>
    <cfRule type="cellIs" dxfId="884" priority="926" stopIfTrue="1" operator="equal">
      <formula>"Napkin Hs"</formula>
    </cfRule>
  </conditionalFormatting>
  <conditionalFormatting sqref="C111">
    <cfRule type="cellIs" dxfId="883" priority="924" stopIfTrue="1" operator="equal">
      <formula>"Napkin Hs"</formula>
    </cfRule>
  </conditionalFormatting>
  <conditionalFormatting sqref="C111">
    <cfRule type="cellIs" dxfId="882" priority="921" stopIfTrue="1" operator="equal">
      <formula>"Towel"</formula>
    </cfRule>
    <cfRule type="cellIs" dxfId="881" priority="922" stopIfTrue="1" operator="equal">
      <formula>"Napkin Hs"</formula>
    </cfRule>
  </conditionalFormatting>
  <conditionalFormatting sqref="C111">
    <cfRule type="cellIs" dxfId="880" priority="923" stopIfTrue="1" operator="equal">
      <formula>"Towel"</formula>
    </cfRule>
  </conditionalFormatting>
  <conditionalFormatting sqref="B111:C111">
    <cfRule type="cellIs" dxfId="879" priority="919" stopIfTrue="1" operator="equal">
      <formula>"Towel"</formula>
    </cfRule>
    <cfRule type="cellIs" dxfId="878" priority="920" stopIfTrue="1" operator="equal">
      <formula>"Napkin Hs"</formula>
    </cfRule>
  </conditionalFormatting>
  <conditionalFormatting sqref="C111">
    <cfRule type="cellIs" dxfId="877" priority="918" stopIfTrue="1" operator="equal">
      <formula>"Napkin Hs"</formula>
    </cfRule>
  </conditionalFormatting>
  <conditionalFormatting sqref="C111">
    <cfRule type="cellIs" dxfId="876" priority="915" stopIfTrue="1" operator="equal">
      <formula>"Towel"</formula>
    </cfRule>
    <cfRule type="cellIs" dxfId="875" priority="916" stopIfTrue="1" operator="equal">
      <formula>"Napkin Hs"</formula>
    </cfRule>
  </conditionalFormatting>
  <conditionalFormatting sqref="C111">
    <cfRule type="cellIs" dxfId="874" priority="917" stopIfTrue="1" operator="equal">
      <formula>"Towel"</formula>
    </cfRule>
  </conditionalFormatting>
  <conditionalFormatting sqref="B111:C111">
    <cfRule type="cellIs" dxfId="873" priority="913" stopIfTrue="1" operator="equal">
      <formula>"Towel"</formula>
    </cfRule>
    <cfRule type="cellIs" dxfId="872" priority="914" stopIfTrue="1" operator="equal">
      <formula>"Napkin Hs"</formula>
    </cfRule>
  </conditionalFormatting>
  <conditionalFormatting sqref="C111">
    <cfRule type="cellIs" dxfId="871" priority="912" stopIfTrue="1" operator="equal">
      <formula>"Napkin Hs"</formula>
    </cfRule>
  </conditionalFormatting>
  <conditionalFormatting sqref="C111">
    <cfRule type="cellIs" dxfId="870" priority="909" stopIfTrue="1" operator="equal">
      <formula>"Towel"</formula>
    </cfRule>
    <cfRule type="cellIs" dxfId="869" priority="910" stopIfTrue="1" operator="equal">
      <formula>"Napkin Hs"</formula>
    </cfRule>
  </conditionalFormatting>
  <conditionalFormatting sqref="C111">
    <cfRule type="cellIs" dxfId="868" priority="911" stopIfTrue="1" operator="equal">
      <formula>"Towel"</formula>
    </cfRule>
  </conditionalFormatting>
  <conditionalFormatting sqref="B111:C111">
    <cfRule type="cellIs" dxfId="867" priority="907" stopIfTrue="1" operator="equal">
      <formula>"Towel"</formula>
    </cfRule>
    <cfRule type="cellIs" dxfId="866" priority="908" stopIfTrue="1" operator="equal">
      <formula>"Napkin Hs"</formula>
    </cfRule>
  </conditionalFormatting>
  <conditionalFormatting sqref="C111">
    <cfRule type="cellIs" dxfId="865" priority="906" stopIfTrue="1" operator="equal">
      <formula>"Napkin Hs"</formula>
    </cfRule>
  </conditionalFormatting>
  <conditionalFormatting sqref="C111">
    <cfRule type="cellIs" dxfId="864" priority="903" stopIfTrue="1" operator="equal">
      <formula>"Towel"</formula>
    </cfRule>
    <cfRule type="cellIs" dxfId="863" priority="904" stopIfTrue="1" operator="equal">
      <formula>"Napkin Hs"</formula>
    </cfRule>
  </conditionalFormatting>
  <conditionalFormatting sqref="C111">
    <cfRule type="cellIs" dxfId="862" priority="905" stopIfTrue="1" operator="equal">
      <formula>"Towel"</formula>
    </cfRule>
  </conditionalFormatting>
  <conditionalFormatting sqref="B111:C111">
    <cfRule type="cellIs" dxfId="861" priority="901" stopIfTrue="1" operator="equal">
      <formula>"Towel"</formula>
    </cfRule>
    <cfRule type="cellIs" dxfId="860" priority="902" stopIfTrue="1" operator="equal">
      <formula>"Napkin Hs"</formula>
    </cfRule>
  </conditionalFormatting>
  <conditionalFormatting sqref="C111">
    <cfRule type="cellIs" dxfId="859" priority="900" stopIfTrue="1" operator="equal">
      <formula>"Napkin Hs"</formula>
    </cfRule>
  </conditionalFormatting>
  <conditionalFormatting sqref="C111">
    <cfRule type="cellIs" dxfId="858" priority="897" stopIfTrue="1" operator="equal">
      <formula>"Towel"</formula>
    </cfRule>
    <cfRule type="cellIs" dxfId="857" priority="898" stopIfTrue="1" operator="equal">
      <formula>"Napkin Hs"</formula>
    </cfRule>
  </conditionalFormatting>
  <conditionalFormatting sqref="C111">
    <cfRule type="cellIs" dxfId="856" priority="899" stopIfTrue="1" operator="equal">
      <formula>"Towel"</formula>
    </cfRule>
  </conditionalFormatting>
  <conditionalFormatting sqref="B111:C111">
    <cfRule type="cellIs" dxfId="855" priority="895" stopIfTrue="1" operator="equal">
      <formula>"Towel"</formula>
    </cfRule>
    <cfRule type="cellIs" dxfId="854" priority="896" stopIfTrue="1" operator="equal">
      <formula>"Napkin Hs"</formula>
    </cfRule>
  </conditionalFormatting>
  <conditionalFormatting sqref="C111">
    <cfRule type="cellIs" dxfId="853" priority="894" stopIfTrue="1" operator="equal">
      <formula>"Napkin Hs"</formula>
    </cfRule>
  </conditionalFormatting>
  <conditionalFormatting sqref="C111">
    <cfRule type="cellIs" dxfId="852" priority="891" stopIfTrue="1" operator="equal">
      <formula>"Towel"</formula>
    </cfRule>
    <cfRule type="cellIs" dxfId="851" priority="892" stopIfTrue="1" operator="equal">
      <formula>"Napkin Hs"</formula>
    </cfRule>
  </conditionalFormatting>
  <conditionalFormatting sqref="C111">
    <cfRule type="cellIs" dxfId="850" priority="893" stopIfTrue="1" operator="equal">
      <formula>"Towel"</formula>
    </cfRule>
  </conditionalFormatting>
  <conditionalFormatting sqref="B111:C111">
    <cfRule type="cellIs" dxfId="849" priority="889" stopIfTrue="1" operator="equal">
      <formula>"Towel"</formula>
    </cfRule>
    <cfRule type="cellIs" dxfId="848" priority="890" stopIfTrue="1" operator="equal">
      <formula>"Napkin Hs"</formula>
    </cfRule>
  </conditionalFormatting>
  <conditionalFormatting sqref="C111">
    <cfRule type="cellIs" dxfId="847" priority="888" stopIfTrue="1" operator="equal">
      <formula>"Napkin Hs"</formula>
    </cfRule>
  </conditionalFormatting>
  <conditionalFormatting sqref="C111">
    <cfRule type="cellIs" dxfId="846" priority="885" stopIfTrue="1" operator="equal">
      <formula>"Towel"</formula>
    </cfRule>
    <cfRule type="cellIs" dxfId="845" priority="886" stopIfTrue="1" operator="equal">
      <formula>"Napkin Hs"</formula>
    </cfRule>
  </conditionalFormatting>
  <conditionalFormatting sqref="C111">
    <cfRule type="cellIs" dxfId="844" priority="887" stopIfTrue="1" operator="equal">
      <formula>"Towel"</formula>
    </cfRule>
  </conditionalFormatting>
  <conditionalFormatting sqref="B113:C113">
    <cfRule type="cellIs" dxfId="843" priority="883" stopIfTrue="1" operator="equal">
      <formula>"Towel"</formula>
    </cfRule>
    <cfRule type="cellIs" dxfId="842" priority="884" stopIfTrue="1" operator="equal">
      <formula>"Napkin Hs"</formula>
    </cfRule>
  </conditionalFormatting>
  <conditionalFormatting sqref="C113">
    <cfRule type="cellIs" dxfId="841" priority="882" stopIfTrue="1" operator="equal">
      <formula>"Napkin Hs"</formula>
    </cfRule>
  </conditionalFormatting>
  <conditionalFormatting sqref="C113">
    <cfRule type="cellIs" dxfId="840" priority="879" stopIfTrue="1" operator="equal">
      <formula>"Towel"</formula>
    </cfRule>
    <cfRule type="cellIs" dxfId="839" priority="880" stopIfTrue="1" operator="equal">
      <formula>"Napkin Hs"</formula>
    </cfRule>
  </conditionalFormatting>
  <conditionalFormatting sqref="C113">
    <cfRule type="cellIs" dxfId="838" priority="881" stopIfTrue="1" operator="equal">
      <formula>"Towel"</formula>
    </cfRule>
  </conditionalFormatting>
  <conditionalFormatting sqref="B113:C113">
    <cfRule type="cellIs" dxfId="837" priority="877" stopIfTrue="1" operator="equal">
      <formula>"Towel"</formula>
    </cfRule>
    <cfRule type="cellIs" dxfId="836" priority="878" stopIfTrue="1" operator="equal">
      <formula>"Napkin Hs"</formula>
    </cfRule>
  </conditionalFormatting>
  <conditionalFormatting sqref="C113">
    <cfRule type="cellIs" dxfId="835" priority="876" stopIfTrue="1" operator="equal">
      <formula>"Napkin Hs"</formula>
    </cfRule>
  </conditionalFormatting>
  <conditionalFormatting sqref="C113">
    <cfRule type="cellIs" dxfId="834" priority="873" stopIfTrue="1" operator="equal">
      <formula>"Towel"</formula>
    </cfRule>
    <cfRule type="cellIs" dxfId="833" priority="874" stopIfTrue="1" operator="equal">
      <formula>"Napkin Hs"</formula>
    </cfRule>
  </conditionalFormatting>
  <conditionalFormatting sqref="C113">
    <cfRule type="cellIs" dxfId="832" priority="875" stopIfTrue="1" operator="equal">
      <formula>"Towel"</formula>
    </cfRule>
  </conditionalFormatting>
  <conditionalFormatting sqref="B113:C113">
    <cfRule type="cellIs" dxfId="831" priority="871" stopIfTrue="1" operator="equal">
      <formula>"Towel"</formula>
    </cfRule>
    <cfRule type="cellIs" dxfId="830" priority="872" stopIfTrue="1" operator="equal">
      <formula>"Napkin Hs"</formula>
    </cfRule>
  </conditionalFormatting>
  <conditionalFormatting sqref="C113">
    <cfRule type="cellIs" dxfId="829" priority="870" stopIfTrue="1" operator="equal">
      <formula>"Napkin Hs"</formula>
    </cfRule>
  </conditionalFormatting>
  <conditionalFormatting sqref="C113">
    <cfRule type="cellIs" dxfId="828" priority="867" stopIfTrue="1" operator="equal">
      <formula>"Towel"</formula>
    </cfRule>
    <cfRule type="cellIs" dxfId="827" priority="868" stopIfTrue="1" operator="equal">
      <formula>"Napkin Hs"</formula>
    </cfRule>
  </conditionalFormatting>
  <conditionalFormatting sqref="C113">
    <cfRule type="cellIs" dxfId="826" priority="869" stopIfTrue="1" operator="equal">
      <formula>"Towel"</formula>
    </cfRule>
  </conditionalFormatting>
  <conditionalFormatting sqref="B113:C113">
    <cfRule type="cellIs" dxfId="825" priority="865" stopIfTrue="1" operator="equal">
      <formula>"Towel"</formula>
    </cfRule>
    <cfRule type="cellIs" dxfId="824" priority="866" stopIfTrue="1" operator="equal">
      <formula>"Napkin Hs"</formula>
    </cfRule>
  </conditionalFormatting>
  <conditionalFormatting sqref="C113">
    <cfRule type="cellIs" dxfId="823" priority="864" stopIfTrue="1" operator="equal">
      <formula>"Napkin Hs"</formula>
    </cfRule>
  </conditionalFormatting>
  <conditionalFormatting sqref="C113">
    <cfRule type="cellIs" dxfId="822" priority="861" stopIfTrue="1" operator="equal">
      <formula>"Towel"</formula>
    </cfRule>
    <cfRule type="cellIs" dxfId="821" priority="862" stopIfTrue="1" operator="equal">
      <formula>"Napkin Hs"</formula>
    </cfRule>
  </conditionalFormatting>
  <conditionalFormatting sqref="C113">
    <cfRule type="cellIs" dxfId="820" priority="863" stopIfTrue="1" operator="equal">
      <formula>"Towel"</formula>
    </cfRule>
  </conditionalFormatting>
  <conditionalFormatting sqref="B113:C113">
    <cfRule type="cellIs" dxfId="819" priority="859" stopIfTrue="1" operator="equal">
      <formula>"Towel"</formula>
    </cfRule>
    <cfRule type="cellIs" dxfId="818" priority="860" stopIfTrue="1" operator="equal">
      <formula>"Napkin Hs"</formula>
    </cfRule>
  </conditionalFormatting>
  <conditionalFormatting sqref="C113">
    <cfRule type="cellIs" dxfId="817" priority="858" stopIfTrue="1" operator="equal">
      <formula>"Napkin Hs"</formula>
    </cfRule>
  </conditionalFormatting>
  <conditionalFormatting sqref="C113">
    <cfRule type="cellIs" dxfId="816" priority="855" stopIfTrue="1" operator="equal">
      <formula>"Towel"</formula>
    </cfRule>
    <cfRule type="cellIs" dxfId="815" priority="856" stopIfTrue="1" operator="equal">
      <formula>"Napkin Hs"</formula>
    </cfRule>
  </conditionalFormatting>
  <conditionalFormatting sqref="C113">
    <cfRule type="cellIs" dxfId="814" priority="857" stopIfTrue="1" operator="equal">
      <formula>"Towel"</formula>
    </cfRule>
  </conditionalFormatting>
  <conditionalFormatting sqref="B113:C113">
    <cfRule type="cellIs" dxfId="813" priority="853" stopIfTrue="1" operator="equal">
      <formula>"Towel"</formula>
    </cfRule>
    <cfRule type="cellIs" dxfId="812" priority="854" stopIfTrue="1" operator="equal">
      <formula>"Napkin Hs"</formula>
    </cfRule>
  </conditionalFormatting>
  <conditionalFormatting sqref="C113">
    <cfRule type="cellIs" dxfId="811" priority="852" stopIfTrue="1" operator="equal">
      <formula>"Napkin Hs"</formula>
    </cfRule>
  </conditionalFormatting>
  <conditionalFormatting sqref="C113">
    <cfRule type="cellIs" dxfId="810" priority="849" stopIfTrue="1" operator="equal">
      <formula>"Towel"</formula>
    </cfRule>
    <cfRule type="cellIs" dxfId="809" priority="850" stopIfTrue="1" operator="equal">
      <formula>"Napkin Hs"</formula>
    </cfRule>
  </conditionalFormatting>
  <conditionalFormatting sqref="C113">
    <cfRule type="cellIs" dxfId="808" priority="851" stopIfTrue="1" operator="equal">
      <formula>"Towel"</formula>
    </cfRule>
  </conditionalFormatting>
  <conditionalFormatting sqref="B113:C113">
    <cfRule type="cellIs" dxfId="807" priority="847" stopIfTrue="1" operator="equal">
      <formula>"Towel"</formula>
    </cfRule>
    <cfRule type="cellIs" dxfId="806" priority="848" stopIfTrue="1" operator="equal">
      <formula>"Napkin Hs"</formula>
    </cfRule>
  </conditionalFormatting>
  <conditionalFormatting sqref="C113">
    <cfRule type="cellIs" dxfId="805" priority="846" stopIfTrue="1" operator="equal">
      <formula>"Napkin Hs"</formula>
    </cfRule>
  </conditionalFormatting>
  <conditionalFormatting sqref="C113">
    <cfRule type="cellIs" dxfId="804" priority="843" stopIfTrue="1" operator="equal">
      <formula>"Towel"</formula>
    </cfRule>
    <cfRule type="cellIs" dxfId="803" priority="844" stopIfTrue="1" operator="equal">
      <formula>"Napkin Hs"</formula>
    </cfRule>
  </conditionalFormatting>
  <conditionalFormatting sqref="C113">
    <cfRule type="cellIs" dxfId="802" priority="845" stopIfTrue="1" operator="equal">
      <formula>"Towel"</formula>
    </cfRule>
  </conditionalFormatting>
  <conditionalFormatting sqref="B113:C113">
    <cfRule type="cellIs" dxfId="801" priority="841" stopIfTrue="1" operator="equal">
      <formula>"Towel"</formula>
    </cfRule>
    <cfRule type="cellIs" dxfId="800" priority="842" stopIfTrue="1" operator="equal">
      <formula>"Napkin Hs"</formula>
    </cfRule>
  </conditionalFormatting>
  <conditionalFormatting sqref="C113">
    <cfRule type="cellIs" dxfId="799" priority="840" stopIfTrue="1" operator="equal">
      <formula>"Napkin Hs"</formula>
    </cfRule>
  </conditionalFormatting>
  <conditionalFormatting sqref="C113">
    <cfRule type="cellIs" dxfId="798" priority="837" stopIfTrue="1" operator="equal">
      <formula>"Towel"</formula>
    </cfRule>
    <cfRule type="cellIs" dxfId="797" priority="838" stopIfTrue="1" operator="equal">
      <formula>"Napkin Hs"</formula>
    </cfRule>
  </conditionalFormatting>
  <conditionalFormatting sqref="C113">
    <cfRule type="cellIs" dxfId="796" priority="839" stopIfTrue="1" operator="equal">
      <formula>"Towel"</formula>
    </cfRule>
  </conditionalFormatting>
  <conditionalFormatting sqref="B113:C113">
    <cfRule type="cellIs" dxfId="795" priority="835" stopIfTrue="1" operator="equal">
      <formula>"Towel"</formula>
    </cfRule>
    <cfRule type="cellIs" dxfId="794" priority="836" stopIfTrue="1" operator="equal">
      <formula>"Napkin Hs"</formula>
    </cfRule>
  </conditionalFormatting>
  <conditionalFormatting sqref="C113">
    <cfRule type="cellIs" dxfId="793" priority="834" stopIfTrue="1" operator="equal">
      <formula>"Napkin Hs"</formula>
    </cfRule>
  </conditionalFormatting>
  <conditionalFormatting sqref="C113">
    <cfRule type="cellIs" dxfId="792" priority="831" stopIfTrue="1" operator="equal">
      <formula>"Towel"</formula>
    </cfRule>
    <cfRule type="cellIs" dxfId="791" priority="832" stopIfTrue="1" operator="equal">
      <formula>"Napkin Hs"</formula>
    </cfRule>
  </conditionalFormatting>
  <conditionalFormatting sqref="C113">
    <cfRule type="cellIs" dxfId="790" priority="833" stopIfTrue="1" operator="equal">
      <formula>"Towel"</formula>
    </cfRule>
  </conditionalFormatting>
  <conditionalFormatting sqref="B113:C113">
    <cfRule type="cellIs" dxfId="789" priority="829" stopIfTrue="1" operator="equal">
      <formula>"Towel"</formula>
    </cfRule>
    <cfRule type="cellIs" dxfId="788" priority="830" stopIfTrue="1" operator="equal">
      <formula>"Napkin Hs"</formula>
    </cfRule>
  </conditionalFormatting>
  <conditionalFormatting sqref="C113">
    <cfRule type="cellIs" dxfId="787" priority="828" stopIfTrue="1" operator="equal">
      <formula>"Napkin Hs"</formula>
    </cfRule>
  </conditionalFormatting>
  <conditionalFormatting sqref="C113">
    <cfRule type="cellIs" dxfId="786" priority="825" stopIfTrue="1" operator="equal">
      <formula>"Towel"</formula>
    </cfRule>
    <cfRule type="cellIs" dxfId="785" priority="826" stopIfTrue="1" operator="equal">
      <formula>"Napkin Hs"</formula>
    </cfRule>
  </conditionalFormatting>
  <conditionalFormatting sqref="C113">
    <cfRule type="cellIs" dxfId="784" priority="827" stopIfTrue="1" operator="equal">
      <formula>"Towel"</formula>
    </cfRule>
  </conditionalFormatting>
  <conditionalFormatting sqref="B113:C113">
    <cfRule type="cellIs" dxfId="783" priority="823" stopIfTrue="1" operator="equal">
      <formula>"Towel"</formula>
    </cfRule>
    <cfRule type="cellIs" dxfId="782" priority="824" stopIfTrue="1" operator="equal">
      <formula>"Napkin Hs"</formula>
    </cfRule>
  </conditionalFormatting>
  <conditionalFormatting sqref="C113">
    <cfRule type="cellIs" dxfId="781" priority="822" stopIfTrue="1" operator="equal">
      <formula>"Napkin Hs"</formula>
    </cfRule>
  </conditionalFormatting>
  <conditionalFormatting sqref="C113">
    <cfRule type="cellIs" dxfId="780" priority="819" stopIfTrue="1" operator="equal">
      <formula>"Towel"</formula>
    </cfRule>
    <cfRule type="cellIs" dxfId="779" priority="820" stopIfTrue="1" operator="equal">
      <formula>"Napkin Hs"</formula>
    </cfRule>
  </conditionalFormatting>
  <conditionalFormatting sqref="C113">
    <cfRule type="cellIs" dxfId="778" priority="821" stopIfTrue="1" operator="equal">
      <formula>"Towel"</formula>
    </cfRule>
  </conditionalFormatting>
  <conditionalFormatting sqref="B113:C113">
    <cfRule type="cellIs" dxfId="777" priority="817" stopIfTrue="1" operator="equal">
      <formula>"Towel"</formula>
    </cfRule>
    <cfRule type="cellIs" dxfId="776" priority="818" stopIfTrue="1" operator="equal">
      <formula>"Napkin Hs"</formula>
    </cfRule>
  </conditionalFormatting>
  <conditionalFormatting sqref="C113">
    <cfRule type="cellIs" dxfId="775" priority="816" stopIfTrue="1" operator="equal">
      <formula>"Napkin Hs"</formula>
    </cfRule>
  </conditionalFormatting>
  <conditionalFormatting sqref="C113">
    <cfRule type="cellIs" dxfId="774" priority="813" stopIfTrue="1" operator="equal">
      <formula>"Towel"</formula>
    </cfRule>
    <cfRule type="cellIs" dxfId="773" priority="814" stopIfTrue="1" operator="equal">
      <formula>"Napkin Hs"</formula>
    </cfRule>
  </conditionalFormatting>
  <conditionalFormatting sqref="C113">
    <cfRule type="cellIs" dxfId="772" priority="815" stopIfTrue="1" operator="equal">
      <formula>"Towel"</formula>
    </cfRule>
  </conditionalFormatting>
  <conditionalFormatting sqref="B113:C113">
    <cfRule type="cellIs" dxfId="771" priority="811" stopIfTrue="1" operator="equal">
      <formula>"Towel"</formula>
    </cfRule>
    <cfRule type="cellIs" dxfId="770" priority="812" stopIfTrue="1" operator="equal">
      <formula>"Napkin Hs"</formula>
    </cfRule>
  </conditionalFormatting>
  <conditionalFormatting sqref="C113">
    <cfRule type="cellIs" dxfId="769" priority="810" stopIfTrue="1" operator="equal">
      <formula>"Napkin Hs"</formula>
    </cfRule>
  </conditionalFormatting>
  <conditionalFormatting sqref="C113">
    <cfRule type="cellIs" dxfId="768" priority="807" stopIfTrue="1" operator="equal">
      <formula>"Towel"</formula>
    </cfRule>
    <cfRule type="cellIs" dxfId="767" priority="808" stopIfTrue="1" operator="equal">
      <formula>"Napkin Hs"</formula>
    </cfRule>
  </conditionalFormatting>
  <conditionalFormatting sqref="C113">
    <cfRule type="cellIs" dxfId="766" priority="809" stopIfTrue="1" operator="equal">
      <formula>"Towel"</formula>
    </cfRule>
  </conditionalFormatting>
  <conditionalFormatting sqref="B113:C113">
    <cfRule type="cellIs" dxfId="765" priority="805" stopIfTrue="1" operator="equal">
      <formula>"Towel"</formula>
    </cfRule>
    <cfRule type="cellIs" dxfId="764" priority="806" stopIfTrue="1" operator="equal">
      <formula>"Napkin Hs"</formula>
    </cfRule>
  </conditionalFormatting>
  <conditionalFormatting sqref="C113">
    <cfRule type="cellIs" dxfId="763" priority="804" stopIfTrue="1" operator="equal">
      <formula>"Napkin Hs"</formula>
    </cfRule>
  </conditionalFormatting>
  <conditionalFormatting sqref="C113">
    <cfRule type="cellIs" dxfId="762" priority="801" stopIfTrue="1" operator="equal">
      <formula>"Towel"</formula>
    </cfRule>
    <cfRule type="cellIs" dxfId="761" priority="802" stopIfTrue="1" operator="equal">
      <formula>"Napkin Hs"</formula>
    </cfRule>
  </conditionalFormatting>
  <conditionalFormatting sqref="C113">
    <cfRule type="cellIs" dxfId="760" priority="803" stopIfTrue="1" operator="equal">
      <formula>"Towel"</formula>
    </cfRule>
  </conditionalFormatting>
  <conditionalFormatting sqref="B113:C113">
    <cfRule type="cellIs" dxfId="759" priority="799" stopIfTrue="1" operator="equal">
      <formula>"Towel"</formula>
    </cfRule>
    <cfRule type="cellIs" dxfId="758" priority="800" stopIfTrue="1" operator="equal">
      <formula>"Napkin Hs"</formula>
    </cfRule>
  </conditionalFormatting>
  <conditionalFormatting sqref="C113">
    <cfRule type="cellIs" dxfId="757" priority="798" stopIfTrue="1" operator="equal">
      <formula>"Napkin Hs"</formula>
    </cfRule>
  </conditionalFormatting>
  <conditionalFormatting sqref="C113">
    <cfRule type="cellIs" dxfId="756" priority="795" stopIfTrue="1" operator="equal">
      <formula>"Towel"</formula>
    </cfRule>
    <cfRule type="cellIs" dxfId="755" priority="796" stopIfTrue="1" operator="equal">
      <formula>"Napkin Hs"</formula>
    </cfRule>
  </conditionalFormatting>
  <conditionalFormatting sqref="C113">
    <cfRule type="cellIs" dxfId="754" priority="797" stopIfTrue="1" operator="equal">
      <formula>"Towel"</formula>
    </cfRule>
  </conditionalFormatting>
  <conditionalFormatting sqref="B113:C113">
    <cfRule type="cellIs" dxfId="753" priority="793" stopIfTrue="1" operator="equal">
      <formula>"Towel"</formula>
    </cfRule>
    <cfRule type="cellIs" dxfId="752" priority="794" stopIfTrue="1" operator="equal">
      <formula>"Napkin Hs"</formula>
    </cfRule>
  </conditionalFormatting>
  <conditionalFormatting sqref="C113">
    <cfRule type="cellIs" dxfId="751" priority="792" stopIfTrue="1" operator="equal">
      <formula>"Napkin Hs"</formula>
    </cfRule>
  </conditionalFormatting>
  <conditionalFormatting sqref="C113">
    <cfRule type="cellIs" dxfId="750" priority="789" stopIfTrue="1" operator="equal">
      <formula>"Towel"</formula>
    </cfRule>
    <cfRule type="cellIs" dxfId="749" priority="790" stopIfTrue="1" operator="equal">
      <formula>"Napkin Hs"</formula>
    </cfRule>
  </conditionalFormatting>
  <conditionalFormatting sqref="C113">
    <cfRule type="cellIs" dxfId="748" priority="791" stopIfTrue="1" operator="equal">
      <formula>"Towel"</formula>
    </cfRule>
  </conditionalFormatting>
  <conditionalFormatting sqref="B112:C112">
    <cfRule type="cellIs" dxfId="747" priority="787" stopIfTrue="1" operator="equal">
      <formula>"Towel"</formula>
    </cfRule>
    <cfRule type="cellIs" dxfId="746" priority="788" stopIfTrue="1" operator="equal">
      <formula>"Napkin Hs"</formula>
    </cfRule>
  </conditionalFormatting>
  <conditionalFormatting sqref="C112">
    <cfRule type="cellIs" dxfId="745" priority="786" stopIfTrue="1" operator="equal">
      <formula>"Napkin Hs"</formula>
    </cfRule>
  </conditionalFormatting>
  <conditionalFormatting sqref="C112">
    <cfRule type="cellIs" dxfId="744" priority="783" stopIfTrue="1" operator="equal">
      <formula>"Towel"</formula>
    </cfRule>
    <cfRule type="cellIs" dxfId="743" priority="784" stopIfTrue="1" operator="equal">
      <formula>"Napkin Hs"</formula>
    </cfRule>
  </conditionalFormatting>
  <conditionalFormatting sqref="C112">
    <cfRule type="cellIs" dxfId="742" priority="785" stopIfTrue="1" operator="equal">
      <formula>"Towel"</formula>
    </cfRule>
  </conditionalFormatting>
  <conditionalFormatting sqref="B112:C112">
    <cfRule type="cellIs" dxfId="741" priority="781" stopIfTrue="1" operator="equal">
      <formula>"Towel"</formula>
    </cfRule>
    <cfRule type="cellIs" dxfId="740" priority="782" stopIfTrue="1" operator="equal">
      <formula>"Napkin Hs"</formula>
    </cfRule>
  </conditionalFormatting>
  <conditionalFormatting sqref="C112">
    <cfRule type="cellIs" dxfId="739" priority="780" stopIfTrue="1" operator="equal">
      <formula>"Napkin Hs"</formula>
    </cfRule>
  </conditionalFormatting>
  <conditionalFormatting sqref="C112">
    <cfRule type="cellIs" dxfId="738" priority="777" stopIfTrue="1" operator="equal">
      <formula>"Towel"</formula>
    </cfRule>
    <cfRule type="cellIs" dxfId="737" priority="778" stopIfTrue="1" operator="equal">
      <formula>"Napkin Hs"</formula>
    </cfRule>
  </conditionalFormatting>
  <conditionalFormatting sqref="C112">
    <cfRule type="cellIs" dxfId="736" priority="779" stopIfTrue="1" operator="equal">
      <formula>"Towel"</formula>
    </cfRule>
  </conditionalFormatting>
  <conditionalFormatting sqref="B112:C112">
    <cfRule type="cellIs" dxfId="735" priority="745" stopIfTrue="1" operator="equal">
      <formula>"Towel"</formula>
    </cfRule>
    <cfRule type="cellIs" dxfId="734" priority="746" stopIfTrue="1" operator="equal">
      <formula>"Napkin Hs"</formula>
    </cfRule>
  </conditionalFormatting>
  <conditionalFormatting sqref="C112">
    <cfRule type="cellIs" dxfId="733" priority="741" stopIfTrue="1" operator="equal">
      <formula>"Towel"</formula>
    </cfRule>
    <cfRule type="cellIs" dxfId="732" priority="742" stopIfTrue="1" operator="equal">
      <formula>"Napkin Hs"</formula>
    </cfRule>
  </conditionalFormatting>
  <conditionalFormatting sqref="B112:C112">
    <cfRule type="cellIs" dxfId="731" priority="739" stopIfTrue="1" operator="equal">
      <formula>"Towel"</formula>
    </cfRule>
    <cfRule type="cellIs" dxfId="730" priority="740" stopIfTrue="1" operator="equal">
      <formula>"Napkin Hs"</formula>
    </cfRule>
  </conditionalFormatting>
  <conditionalFormatting sqref="C112">
    <cfRule type="cellIs" dxfId="729" priority="738" stopIfTrue="1" operator="equal">
      <formula>"Napkin Hs"</formula>
    </cfRule>
  </conditionalFormatting>
  <conditionalFormatting sqref="C112">
    <cfRule type="cellIs" dxfId="728" priority="735" stopIfTrue="1" operator="equal">
      <formula>"Towel"</formula>
    </cfRule>
    <cfRule type="cellIs" dxfId="727" priority="736" stopIfTrue="1" operator="equal">
      <formula>"Napkin Hs"</formula>
    </cfRule>
  </conditionalFormatting>
  <conditionalFormatting sqref="C112">
    <cfRule type="cellIs" dxfId="726" priority="737" stopIfTrue="1" operator="equal">
      <formula>"Towel"</formula>
    </cfRule>
  </conditionalFormatting>
  <conditionalFormatting sqref="B112:C112">
    <cfRule type="cellIs" dxfId="725" priority="733" stopIfTrue="1" operator="equal">
      <formula>"Towel"</formula>
    </cfRule>
    <cfRule type="cellIs" dxfId="724" priority="734" stopIfTrue="1" operator="equal">
      <formula>"Napkin Hs"</formula>
    </cfRule>
  </conditionalFormatting>
  <conditionalFormatting sqref="C112">
    <cfRule type="cellIs" dxfId="723" priority="732" stopIfTrue="1" operator="equal">
      <formula>"Napkin Hs"</formula>
    </cfRule>
  </conditionalFormatting>
  <conditionalFormatting sqref="C112">
    <cfRule type="cellIs" dxfId="722" priority="729" stopIfTrue="1" operator="equal">
      <formula>"Towel"</formula>
    </cfRule>
    <cfRule type="cellIs" dxfId="721" priority="730" stopIfTrue="1" operator="equal">
      <formula>"Napkin Hs"</formula>
    </cfRule>
  </conditionalFormatting>
  <conditionalFormatting sqref="C112">
    <cfRule type="cellIs" dxfId="720" priority="731" stopIfTrue="1" operator="equal">
      <formula>"Towel"</formula>
    </cfRule>
  </conditionalFormatting>
  <conditionalFormatting sqref="B112:C112">
    <cfRule type="cellIs" dxfId="719" priority="727" stopIfTrue="1" operator="equal">
      <formula>"Towel"</formula>
    </cfRule>
    <cfRule type="cellIs" dxfId="718" priority="728" stopIfTrue="1" operator="equal">
      <formula>"Napkin Hs"</formula>
    </cfRule>
  </conditionalFormatting>
  <conditionalFormatting sqref="C112">
    <cfRule type="cellIs" dxfId="717" priority="726" stopIfTrue="1" operator="equal">
      <formula>"Napkin Hs"</formula>
    </cfRule>
  </conditionalFormatting>
  <conditionalFormatting sqref="C112">
    <cfRule type="cellIs" dxfId="716" priority="723" stopIfTrue="1" operator="equal">
      <formula>"Towel"</formula>
    </cfRule>
    <cfRule type="cellIs" dxfId="715" priority="724" stopIfTrue="1" operator="equal">
      <formula>"Napkin Hs"</formula>
    </cfRule>
  </conditionalFormatting>
  <conditionalFormatting sqref="C112">
    <cfRule type="cellIs" dxfId="714" priority="725" stopIfTrue="1" operator="equal">
      <formula>"Towel"</formula>
    </cfRule>
  </conditionalFormatting>
  <conditionalFormatting sqref="B112:C112">
    <cfRule type="cellIs" dxfId="713" priority="775" stopIfTrue="1" operator="equal">
      <formula>"Towel"</formula>
    </cfRule>
    <cfRule type="cellIs" dxfId="712" priority="776" stopIfTrue="1" operator="equal">
      <formula>"Napkin Hs"</formula>
    </cfRule>
  </conditionalFormatting>
  <conditionalFormatting sqref="C112">
    <cfRule type="cellIs" dxfId="711" priority="774" stopIfTrue="1" operator="equal">
      <formula>"Napkin Hs"</formula>
    </cfRule>
  </conditionalFormatting>
  <conditionalFormatting sqref="C112">
    <cfRule type="cellIs" dxfId="710" priority="771" stopIfTrue="1" operator="equal">
      <formula>"Towel"</formula>
    </cfRule>
    <cfRule type="cellIs" dxfId="709" priority="772" stopIfTrue="1" operator="equal">
      <formula>"Napkin Hs"</formula>
    </cfRule>
  </conditionalFormatting>
  <conditionalFormatting sqref="C112">
    <cfRule type="cellIs" dxfId="708" priority="773" stopIfTrue="1" operator="equal">
      <formula>"Towel"</formula>
    </cfRule>
  </conditionalFormatting>
  <conditionalFormatting sqref="B112:C112">
    <cfRule type="cellIs" dxfId="707" priority="769" stopIfTrue="1" operator="equal">
      <formula>"Towel"</formula>
    </cfRule>
    <cfRule type="cellIs" dxfId="706" priority="770" stopIfTrue="1" operator="equal">
      <formula>"Napkin Hs"</formula>
    </cfRule>
  </conditionalFormatting>
  <conditionalFormatting sqref="C112">
    <cfRule type="cellIs" dxfId="705" priority="768" stopIfTrue="1" operator="equal">
      <formula>"Napkin Hs"</formula>
    </cfRule>
  </conditionalFormatting>
  <conditionalFormatting sqref="C112">
    <cfRule type="cellIs" dxfId="704" priority="765" stopIfTrue="1" operator="equal">
      <formula>"Towel"</formula>
    </cfRule>
    <cfRule type="cellIs" dxfId="703" priority="766" stopIfTrue="1" operator="equal">
      <formula>"Napkin Hs"</formula>
    </cfRule>
  </conditionalFormatting>
  <conditionalFormatting sqref="C112">
    <cfRule type="cellIs" dxfId="702" priority="767" stopIfTrue="1" operator="equal">
      <formula>"Towel"</formula>
    </cfRule>
  </conditionalFormatting>
  <conditionalFormatting sqref="B112:C112">
    <cfRule type="cellIs" dxfId="701" priority="763" stopIfTrue="1" operator="equal">
      <formula>"Towel"</formula>
    </cfRule>
    <cfRule type="cellIs" dxfId="700" priority="764" stopIfTrue="1" operator="equal">
      <formula>"Napkin Hs"</formula>
    </cfRule>
  </conditionalFormatting>
  <conditionalFormatting sqref="C112">
    <cfRule type="cellIs" dxfId="699" priority="762" stopIfTrue="1" operator="equal">
      <formula>"Napkin Hs"</formula>
    </cfRule>
  </conditionalFormatting>
  <conditionalFormatting sqref="C112">
    <cfRule type="cellIs" dxfId="698" priority="759" stopIfTrue="1" operator="equal">
      <formula>"Towel"</formula>
    </cfRule>
    <cfRule type="cellIs" dxfId="697" priority="760" stopIfTrue="1" operator="equal">
      <formula>"Napkin Hs"</formula>
    </cfRule>
  </conditionalFormatting>
  <conditionalFormatting sqref="C112">
    <cfRule type="cellIs" dxfId="696" priority="761" stopIfTrue="1" operator="equal">
      <formula>"Towel"</formula>
    </cfRule>
  </conditionalFormatting>
  <conditionalFormatting sqref="B112:C112">
    <cfRule type="cellIs" dxfId="695" priority="757" stopIfTrue="1" operator="equal">
      <formula>"Towel"</formula>
    </cfRule>
    <cfRule type="cellIs" dxfId="694" priority="758" stopIfTrue="1" operator="equal">
      <formula>"Napkin Hs"</formula>
    </cfRule>
  </conditionalFormatting>
  <conditionalFormatting sqref="C112">
    <cfRule type="cellIs" dxfId="693" priority="756" stopIfTrue="1" operator="equal">
      <formula>"Napkin Hs"</formula>
    </cfRule>
  </conditionalFormatting>
  <conditionalFormatting sqref="C112">
    <cfRule type="cellIs" dxfId="692" priority="753" stopIfTrue="1" operator="equal">
      <formula>"Towel"</formula>
    </cfRule>
    <cfRule type="cellIs" dxfId="691" priority="754" stopIfTrue="1" operator="equal">
      <formula>"Napkin Hs"</formula>
    </cfRule>
  </conditionalFormatting>
  <conditionalFormatting sqref="C112">
    <cfRule type="cellIs" dxfId="690" priority="755" stopIfTrue="1" operator="equal">
      <formula>"Towel"</formula>
    </cfRule>
  </conditionalFormatting>
  <conditionalFormatting sqref="B112:C112">
    <cfRule type="cellIs" dxfId="689" priority="751" stopIfTrue="1" operator="equal">
      <formula>"Towel"</formula>
    </cfRule>
    <cfRule type="cellIs" dxfId="688" priority="752" stopIfTrue="1" operator="equal">
      <formula>"Napkin Hs"</formula>
    </cfRule>
  </conditionalFormatting>
  <conditionalFormatting sqref="C112">
    <cfRule type="cellIs" dxfId="687" priority="749" stopIfTrue="1" operator="equal">
      <formula>"Towel"</formula>
    </cfRule>
    <cfRule type="cellIs" dxfId="686" priority="750" stopIfTrue="1" operator="equal">
      <formula>"Napkin Hs"</formula>
    </cfRule>
  </conditionalFormatting>
  <conditionalFormatting sqref="C112">
    <cfRule type="cellIs" dxfId="685" priority="747" stopIfTrue="1" operator="equal">
      <formula>"Towel"</formula>
    </cfRule>
    <cfRule type="cellIs" dxfId="684" priority="748" stopIfTrue="1" operator="equal">
      <formula>"Napkin Hs"</formula>
    </cfRule>
  </conditionalFormatting>
  <conditionalFormatting sqref="C112">
    <cfRule type="cellIs" dxfId="683" priority="743" stopIfTrue="1" operator="equal">
      <formula>"Towel"</formula>
    </cfRule>
    <cfRule type="cellIs" dxfId="682" priority="744" stopIfTrue="1" operator="equal">
      <formula>"Napkin Hs"</formula>
    </cfRule>
  </conditionalFormatting>
  <conditionalFormatting sqref="B112:C112">
    <cfRule type="cellIs" dxfId="681" priority="721" stopIfTrue="1" operator="equal">
      <formula>"Towel"</formula>
    </cfRule>
    <cfRule type="cellIs" dxfId="680" priority="722" stopIfTrue="1" operator="equal">
      <formula>"Napkin Hs"</formula>
    </cfRule>
  </conditionalFormatting>
  <conditionalFormatting sqref="C112">
    <cfRule type="cellIs" dxfId="679" priority="720" stopIfTrue="1" operator="equal">
      <formula>"Napkin Hs"</formula>
    </cfRule>
  </conditionalFormatting>
  <conditionalFormatting sqref="C112">
    <cfRule type="cellIs" dxfId="678" priority="717" stopIfTrue="1" operator="equal">
      <formula>"Towel"</formula>
    </cfRule>
    <cfRule type="cellIs" dxfId="677" priority="718" stopIfTrue="1" operator="equal">
      <formula>"Napkin Hs"</formula>
    </cfRule>
  </conditionalFormatting>
  <conditionalFormatting sqref="C112">
    <cfRule type="cellIs" dxfId="676" priority="719" stopIfTrue="1" operator="equal">
      <formula>"Towel"</formula>
    </cfRule>
  </conditionalFormatting>
  <conditionalFormatting sqref="B112:C112">
    <cfRule type="cellIs" dxfId="675" priority="715" stopIfTrue="1" operator="equal">
      <formula>"Towel"</formula>
    </cfRule>
    <cfRule type="cellIs" dxfId="674" priority="716" stopIfTrue="1" operator="equal">
      <formula>"Napkin Hs"</formula>
    </cfRule>
  </conditionalFormatting>
  <conditionalFormatting sqref="C112">
    <cfRule type="cellIs" dxfId="673" priority="714" stopIfTrue="1" operator="equal">
      <formula>"Napkin Hs"</formula>
    </cfRule>
  </conditionalFormatting>
  <conditionalFormatting sqref="C112">
    <cfRule type="cellIs" dxfId="672" priority="711" stopIfTrue="1" operator="equal">
      <formula>"Towel"</formula>
    </cfRule>
    <cfRule type="cellIs" dxfId="671" priority="712" stopIfTrue="1" operator="equal">
      <formula>"Napkin Hs"</formula>
    </cfRule>
  </conditionalFormatting>
  <conditionalFormatting sqref="C112">
    <cfRule type="cellIs" dxfId="670" priority="713" stopIfTrue="1" operator="equal">
      <formula>"Towel"</formula>
    </cfRule>
  </conditionalFormatting>
  <conditionalFormatting sqref="B112:C112">
    <cfRule type="cellIs" dxfId="669" priority="709" stopIfTrue="1" operator="equal">
      <formula>"Towel"</formula>
    </cfRule>
    <cfRule type="cellIs" dxfId="668" priority="710" stopIfTrue="1" operator="equal">
      <formula>"Napkin Hs"</formula>
    </cfRule>
  </conditionalFormatting>
  <conditionalFormatting sqref="C112">
    <cfRule type="cellIs" dxfId="667" priority="708" stopIfTrue="1" operator="equal">
      <formula>"Napkin Hs"</formula>
    </cfRule>
  </conditionalFormatting>
  <conditionalFormatting sqref="C112">
    <cfRule type="cellIs" dxfId="666" priority="705" stopIfTrue="1" operator="equal">
      <formula>"Towel"</formula>
    </cfRule>
    <cfRule type="cellIs" dxfId="665" priority="706" stopIfTrue="1" operator="equal">
      <formula>"Napkin Hs"</formula>
    </cfRule>
  </conditionalFormatting>
  <conditionalFormatting sqref="C112">
    <cfRule type="cellIs" dxfId="664" priority="707" stopIfTrue="1" operator="equal">
      <formula>"Towel"</formula>
    </cfRule>
  </conditionalFormatting>
  <conditionalFormatting sqref="B112:C112">
    <cfRule type="cellIs" dxfId="663" priority="703" stopIfTrue="1" operator="equal">
      <formula>"Towel"</formula>
    </cfRule>
    <cfRule type="cellIs" dxfId="662" priority="704" stopIfTrue="1" operator="equal">
      <formula>"Napkin Hs"</formula>
    </cfRule>
  </conditionalFormatting>
  <conditionalFormatting sqref="C112">
    <cfRule type="cellIs" dxfId="661" priority="702" stopIfTrue="1" operator="equal">
      <formula>"Napkin Hs"</formula>
    </cfRule>
  </conditionalFormatting>
  <conditionalFormatting sqref="C112">
    <cfRule type="cellIs" dxfId="660" priority="699" stopIfTrue="1" operator="equal">
      <formula>"Towel"</formula>
    </cfRule>
    <cfRule type="cellIs" dxfId="659" priority="700" stopIfTrue="1" operator="equal">
      <formula>"Napkin Hs"</formula>
    </cfRule>
  </conditionalFormatting>
  <conditionalFormatting sqref="C112">
    <cfRule type="cellIs" dxfId="658" priority="701" stopIfTrue="1" operator="equal">
      <formula>"Towel"</formula>
    </cfRule>
  </conditionalFormatting>
  <conditionalFormatting sqref="B112:C112">
    <cfRule type="cellIs" dxfId="657" priority="697" stopIfTrue="1" operator="equal">
      <formula>"Towel"</formula>
    </cfRule>
    <cfRule type="cellIs" dxfId="656" priority="698" stopIfTrue="1" operator="equal">
      <formula>"Napkin Hs"</formula>
    </cfRule>
  </conditionalFormatting>
  <conditionalFormatting sqref="C112">
    <cfRule type="cellIs" dxfId="655" priority="696" stopIfTrue="1" operator="equal">
      <formula>"Napkin Hs"</formula>
    </cfRule>
  </conditionalFormatting>
  <conditionalFormatting sqref="C112">
    <cfRule type="cellIs" dxfId="654" priority="693" stopIfTrue="1" operator="equal">
      <formula>"Towel"</formula>
    </cfRule>
    <cfRule type="cellIs" dxfId="653" priority="694" stopIfTrue="1" operator="equal">
      <formula>"Napkin Hs"</formula>
    </cfRule>
  </conditionalFormatting>
  <conditionalFormatting sqref="C112">
    <cfRule type="cellIs" dxfId="652" priority="695" stopIfTrue="1" operator="equal">
      <formula>"Towel"</formula>
    </cfRule>
  </conditionalFormatting>
  <conditionalFormatting sqref="B112:C112">
    <cfRule type="cellIs" dxfId="651" priority="691" stopIfTrue="1" operator="equal">
      <formula>"Towel"</formula>
    </cfRule>
    <cfRule type="cellIs" dxfId="650" priority="692" stopIfTrue="1" operator="equal">
      <formula>"Napkin Hs"</formula>
    </cfRule>
  </conditionalFormatting>
  <conditionalFormatting sqref="C112">
    <cfRule type="cellIs" dxfId="649" priority="690" stopIfTrue="1" operator="equal">
      <formula>"Napkin Hs"</formula>
    </cfRule>
  </conditionalFormatting>
  <conditionalFormatting sqref="C112">
    <cfRule type="cellIs" dxfId="648" priority="687" stopIfTrue="1" operator="equal">
      <formula>"Towel"</formula>
    </cfRule>
    <cfRule type="cellIs" dxfId="647" priority="688" stopIfTrue="1" operator="equal">
      <formula>"Napkin Hs"</formula>
    </cfRule>
  </conditionalFormatting>
  <conditionalFormatting sqref="C112">
    <cfRule type="cellIs" dxfId="646" priority="689" stopIfTrue="1" operator="equal">
      <formula>"Towel"</formula>
    </cfRule>
  </conditionalFormatting>
  <conditionalFormatting sqref="B112:C112">
    <cfRule type="cellIs" dxfId="645" priority="685" stopIfTrue="1" operator="equal">
      <formula>"Towel"</formula>
    </cfRule>
    <cfRule type="cellIs" dxfId="644" priority="686" stopIfTrue="1" operator="equal">
      <formula>"Napkin Hs"</formula>
    </cfRule>
  </conditionalFormatting>
  <conditionalFormatting sqref="C112">
    <cfRule type="cellIs" dxfId="643" priority="684" stopIfTrue="1" operator="equal">
      <formula>"Napkin Hs"</formula>
    </cfRule>
  </conditionalFormatting>
  <conditionalFormatting sqref="C112">
    <cfRule type="cellIs" dxfId="642" priority="681" stopIfTrue="1" operator="equal">
      <formula>"Towel"</formula>
    </cfRule>
    <cfRule type="cellIs" dxfId="641" priority="682" stopIfTrue="1" operator="equal">
      <formula>"Napkin Hs"</formula>
    </cfRule>
  </conditionalFormatting>
  <conditionalFormatting sqref="C112">
    <cfRule type="cellIs" dxfId="640" priority="683" stopIfTrue="1" operator="equal">
      <formula>"Towel"</formula>
    </cfRule>
  </conditionalFormatting>
  <conditionalFormatting sqref="B112:C112">
    <cfRule type="cellIs" dxfId="639" priority="679" stopIfTrue="1" operator="equal">
      <formula>"Towel"</formula>
    </cfRule>
    <cfRule type="cellIs" dxfId="638" priority="680" stopIfTrue="1" operator="equal">
      <formula>"Napkin Hs"</formula>
    </cfRule>
  </conditionalFormatting>
  <conditionalFormatting sqref="C112">
    <cfRule type="cellIs" dxfId="637" priority="678" stopIfTrue="1" operator="equal">
      <formula>"Napkin Hs"</formula>
    </cfRule>
  </conditionalFormatting>
  <conditionalFormatting sqref="C112">
    <cfRule type="cellIs" dxfId="636" priority="675" stopIfTrue="1" operator="equal">
      <formula>"Towel"</formula>
    </cfRule>
    <cfRule type="cellIs" dxfId="635" priority="676" stopIfTrue="1" operator="equal">
      <formula>"Napkin Hs"</formula>
    </cfRule>
  </conditionalFormatting>
  <conditionalFormatting sqref="C112">
    <cfRule type="cellIs" dxfId="634" priority="677" stopIfTrue="1" operator="equal">
      <formula>"Towel"</formula>
    </cfRule>
  </conditionalFormatting>
  <conditionalFormatting sqref="B114:C114">
    <cfRule type="cellIs" dxfId="633" priority="673" stopIfTrue="1" operator="equal">
      <formula>"Towel"</formula>
    </cfRule>
    <cfRule type="cellIs" dxfId="632" priority="674" stopIfTrue="1" operator="equal">
      <formula>"Napkin Hs"</formula>
    </cfRule>
  </conditionalFormatting>
  <conditionalFormatting sqref="C114">
    <cfRule type="cellIs" dxfId="631" priority="672" stopIfTrue="1" operator="equal">
      <formula>"Napkin Hs"</formula>
    </cfRule>
  </conditionalFormatting>
  <conditionalFormatting sqref="C114">
    <cfRule type="cellIs" dxfId="630" priority="669" stopIfTrue="1" operator="equal">
      <formula>"Towel"</formula>
    </cfRule>
    <cfRule type="cellIs" dxfId="629" priority="670" stopIfTrue="1" operator="equal">
      <formula>"Napkin Hs"</formula>
    </cfRule>
  </conditionalFormatting>
  <conditionalFormatting sqref="C114">
    <cfRule type="cellIs" dxfId="628" priority="671" stopIfTrue="1" operator="equal">
      <formula>"Towel"</formula>
    </cfRule>
  </conditionalFormatting>
  <conditionalFormatting sqref="B114:C114">
    <cfRule type="cellIs" dxfId="627" priority="667" stopIfTrue="1" operator="equal">
      <formula>"Towel"</formula>
    </cfRule>
    <cfRule type="cellIs" dxfId="626" priority="668" stopIfTrue="1" operator="equal">
      <formula>"Napkin Hs"</formula>
    </cfRule>
  </conditionalFormatting>
  <conditionalFormatting sqref="C114">
    <cfRule type="cellIs" dxfId="625" priority="666" stopIfTrue="1" operator="equal">
      <formula>"Napkin Hs"</formula>
    </cfRule>
  </conditionalFormatting>
  <conditionalFormatting sqref="C114">
    <cfRule type="cellIs" dxfId="624" priority="663" stopIfTrue="1" operator="equal">
      <formula>"Towel"</formula>
    </cfRule>
    <cfRule type="cellIs" dxfId="623" priority="664" stopIfTrue="1" operator="equal">
      <formula>"Napkin Hs"</formula>
    </cfRule>
  </conditionalFormatting>
  <conditionalFormatting sqref="C114">
    <cfRule type="cellIs" dxfId="622" priority="665" stopIfTrue="1" operator="equal">
      <formula>"Towel"</formula>
    </cfRule>
  </conditionalFormatting>
  <conditionalFormatting sqref="B114:C114">
    <cfRule type="cellIs" dxfId="621" priority="661" stopIfTrue="1" operator="equal">
      <formula>"Towel"</formula>
    </cfRule>
    <cfRule type="cellIs" dxfId="620" priority="662" stopIfTrue="1" operator="equal">
      <formula>"Napkin Hs"</formula>
    </cfRule>
  </conditionalFormatting>
  <conditionalFormatting sqref="C114">
    <cfRule type="cellIs" dxfId="619" priority="660" stopIfTrue="1" operator="equal">
      <formula>"Napkin Hs"</formula>
    </cfRule>
  </conditionalFormatting>
  <conditionalFormatting sqref="C114">
    <cfRule type="cellIs" dxfId="618" priority="657" stopIfTrue="1" operator="equal">
      <formula>"Towel"</formula>
    </cfRule>
    <cfRule type="cellIs" dxfId="617" priority="658" stopIfTrue="1" operator="equal">
      <formula>"Napkin Hs"</formula>
    </cfRule>
  </conditionalFormatting>
  <conditionalFormatting sqref="C114">
    <cfRule type="cellIs" dxfId="616" priority="659" stopIfTrue="1" operator="equal">
      <formula>"Towel"</formula>
    </cfRule>
  </conditionalFormatting>
  <conditionalFormatting sqref="B114:C114">
    <cfRule type="cellIs" dxfId="615" priority="655" stopIfTrue="1" operator="equal">
      <formula>"Towel"</formula>
    </cfRule>
    <cfRule type="cellIs" dxfId="614" priority="656" stopIfTrue="1" operator="equal">
      <formula>"Napkin Hs"</formula>
    </cfRule>
  </conditionalFormatting>
  <conditionalFormatting sqref="C114">
    <cfRule type="cellIs" dxfId="613" priority="654" stopIfTrue="1" operator="equal">
      <formula>"Napkin Hs"</formula>
    </cfRule>
  </conditionalFormatting>
  <conditionalFormatting sqref="C114">
    <cfRule type="cellIs" dxfId="612" priority="651" stopIfTrue="1" operator="equal">
      <formula>"Towel"</formula>
    </cfRule>
    <cfRule type="cellIs" dxfId="611" priority="652" stopIfTrue="1" operator="equal">
      <formula>"Napkin Hs"</formula>
    </cfRule>
  </conditionalFormatting>
  <conditionalFormatting sqref="C114">
    <cfRule type="cellIs" dxfId="610" priority="653" stopIfTrue="1" operator="equal">
      <formula>"Towel"</formula>
    </cfRule>
  </conditionalFormatting>
  <conditionalFormatting sqref="B114:C114">
    <cfRule type="cellIs" dxfId="609" priority="649" stopIfTrue="1" operator="equal">
      <formula>"Towel"</formula>
    </cfRule>
    <cfRule type="cellIs" dxfId="608" priority="650" stopIfTrue="1" operator="equal">
      <formula>"Napkin Hs"</formula>
    </cfRule>
  </conditionalFormatting>
  <conditionalFormatting sqref="C114">
    <cfRule type="cellIs" dxfId="607" priority="647" stopIfTrue="1" operator="equal">
      <formula>"Towel"</formula>
    </cfRule>
    <cfRule type="cellIs" dxfId="606" priority="648" stopIfTrue="1" operator="equal">
      <formula>"Napkin Hs"</formula>
    </cfRule>
  </conditionalFormatting>
  <conditionalFormatting sqref="C114">
    <cfRule type="cellIs" dxfId="605" priority="645" stopIfTrue="1" operator="equal">
      <formula>"Towel"</formula>
    </cfRule>
    <cfRule type="cellIs" dxfId="604" priority="646" stopIfTrue="1" operator="equal">
      <formula>"Napkin Hs"</formula>
    </cfRule>
  </conditionalFormatting>
  <conditionalFormatting sqref="B114:C114">
    <cfRule type="cellIs" dxfId="603" priority="643" stopIfTrue="1" operator="equal">
      <formula>"Towel"</formula>
    </cfRule>
    <cfRule type="cellIs" dxfId="602" priority="644" stopIfTrue="1" operator="equal">
      <formula>"Napkin Hs"</formula>
    </cfRule>
  </conditionalFormatting>
  <conditionalFormatting sqref="C114">
    <cfRule type="cellIs" dxfId="601" priority="641" stopIfTrue="1" operator="equal">
      <formula>"Towel"</formula>
    </cfRule>
    <cfRule type="cellIs" dxfId="600" priority="642" stopIfTrue="1" operator="equal">
      <formula>"Napkin Hs"</formula>
    </cfRule>
  </conditionalFormatting>
  <conditionalFormatting sqref="C114">
    <cfRule type="cellIs" dxfId="599" priority="639" stopIfTrue="1" operator="equal">
      <formula>"Towel"</formula>
    </cfRule>
    <cfRule type="cellIs" dxfId="598" priority="640" stopIfTrue="1" operator="equal">
      <formula>"Napkin Hs"</formula>
    </cfRule>
  </conditionalFormatting>
  <conditionalFormatting sqref="B114:C114">
    <cfRule type="cellIs" dxfId="597" priority="637" stopIfTrue="1" operator="equal">
      <formula>"Towel"</formula>
    </cfRule>
    <cfRule type="cellIs" dxfId="596" priority="638" stopIfTrue="1" operator="equal">
      <formula>"Napkin Hs"</formula>
    </cfRule>
  </conditionalFormatting>
  <conditionalFormatting sqref="C114">
    <cfRule type="cellIs" dxfId="595" priority="636" stopIfTrue="1" operator="equal">
      <formula>"Napkin Hs"</formula>
    </cfRule>
  </conditionalFormatting>
  <conditionalFormatting sqref="C114">
    <cfRule type="cellIs" dxfId="594" priority="633" stopIfTrue="1" operator="equal">
      <formula>"Towel"</formula>
    </cfRule>
    <cfRule type="cellIs" dxfId="593" priority="634" stopIfTrue="1" operator="equal">
      <formula>"Napkin Hs"</formula>
    </cfRule>
  </conditionalFormatting>
  <conditionalFormatting sqref="C114">
    <cfRule type="cellIs" dxfId="592" priority="635" stopIfTrue="1" operator="equal">
      <formula>"Towel"</formula>
    </cfRule>
  </conditionalFormatting>
  <conditionalFormatting sqref="B114:C114">
    <cfRule type="cellIs" dxfId="591" priority="631" stopIfTrue="1" operator="equal">
      <formula>"Towel"</formula>
    </cfRule>
    <cfRule type="cellIs" dxfId="590" priority="632" stopIfTrue="1" operator="equal">
      <formula>"Napkin Hs"</formula>
    </cfRule>
  </conditionalFormatting>
  <conditionalFormatting sqref="C114">
    <cfRule type="cellIs" dxfId="589" priority="630" stopIfTrue="1" operator="equal">
      <formula>"Napkin Hs"</formula>
    </cfRule>
  </conditionalFormatting>
  <conditionalFormatting sqref="C114">
    <cfRule type="cellIs" dxfId="588" priority="627" stopIfTrue="1" operator="equal">
      <formula>"Towel"</formula>
    </cfRule>
    <cfRule type="cellIs" dxfId="587" priority="628" stopIfTrue="1" operator="equal">
      <formula>"Napkin Hs"</formula>
    </cfRule>
  </conditionalFormatting>
  <conditionalFormatting sqref="C114">
    <cfRule type="cellIs" dxfId="586" priority="629" stopIfTrue="1" operator="equal">
      <formula>"Towel"</formula>
    </cfRule>
  </conditionalFormatting>
  <conditionalFormatting sqref="B114:C114">
    <cfRule type="cellIs" dxfId="585" priority="625" stopIfTrue="1" operator="equal">
      <formula>"Towel"</formula>
    </cfRule>
    <cfRule type="cellIs" dxfId="584" priority="626" stopIfTrue="1" operator="equal">
      <formula>"Napkin Hs"</formula>
    </cfRule>
  </conditionalFormatting>
  <conditionalFormatting sqref="C114">
    <cfRule type="cellIs" dxfId="583" priority="624" stopIfTrue="1" operator="equal">
      <formula>"Napkin Hs"</formula>
    </cfRule>
  </conditionalFormatting>
  <conditionalFormatting sqref="C114">
    <cfRule type="cellIs" dxfId="582" priority="621" stopIfTrue="1" operator="equal">
      <formula>"Towel"</formula>
    </cfRule>
    <cfRule type="cellIs" dxfId="581" priority="622" stopIfTrue="1" operator="equal">
      <formula>"Napkin Hs"</formula>
    </cfRule>
  </conditionalFormatting>
  <conditionalFormatting sqref="C114">
    <cfRule type="cellIs" dxfId="580" priority="623" stopIfTrue="1" operator="equal">
      <formula>"Towel"</formula>
    </cfRule>
  </conditionalFormatting>
  <conditionalFormatting sqref="B115:C115">
    <cfRule type="cellIs" dxfId="579" priority="619" stopIfTrue="1" operator="equal">
      <formula>"Towel"</formula>
    </cfRule>
    <cfRule type="cellIs" dxfId="578" priority="620" stopIfTrue="1" operator="equal">
      <formula>"Napkin Hs"</formula>
    </cfRule>
  </conditionalFormatting>
  <conditionalFormatting sqref="C115">
    <cfRule type="cellIs" dxfId="577" priority="618" stopIfTrue="1" operator="equal">
      <formula>"Napkin Hs"</formula>
    </cfRule>
  </conditionalFormatting>
  <conditionalFormatting sqref="C115">
    <cfRule type="cellIs" dxfId="576" priority="615" stopIfTrue="1" operator="equal">
      <formula>"Towel"</formula>
    </cfRule>
    <cfRule type="cellIs" dxfId="575" priority="616" stopIfTrue="1" operator="equal">
      <formula>"Napkin Hs"</formula>
    </cfRule>
  </conditionalFormatting>
  <conditionalFormatting sqref="C115">
    <cfRule type="cellIs" dxfId="574" priority="617" stopIfTrue="1" operator="equal">
      <formula>"Towel"</formula>
    </cfRule>
  </conditionalFormatting>
  <conditionalFormatting sqref="B115:C115">
    <cfRule type="cellIs" dxfId="573" priority="613" stopIfTrue="1" operator="equal">
      <formula>"Towel"</formula>
    </cfRule>
    <cfRule type="cellIs" dxfId="572" priority="614" stopIfTrue="1" operator="equal">
      <formula>"Napkin Hs"</formula>
    </cfRule>
  </conditionalFormatting>
  <conditionalFormatting sqref="C115">
    <cfRule type="cellIs" dxfId="571" priority="612" stopIfTrue="1" operator="equal">
      <formula>"Napkin Hs"</formula>
    </cfRule>
  </conditionalFormatting>
  <conditionalFormatting sqref="C115">
    <cfRule type="cellIs" dxfId="570" priority="609" stopIfTrue="1" operator="equal">
      <formula>"Towel"</formula>
    </cfRule>
    <cfRule type="cellIs" dxfId="569" priority="610" stopIfTrue="1" operator="equal">
      <formula>"Napkin Hs"</formula>
    </cfRule>
  </conditionalFormatting>
  <conditionalFormatting sqref="C115">
    <cfRule type="cellIs" dxfId="568" priority="611" stopIfTrue="1" operator="equal">
      <formula>"Towel"</formula>
    </cfRule>
  </conditionalFormatting>
  <conditionalFormatting sqref="B115:C115">
    <cfRule type="cellIs" dxfId="567" priority="607" stopIfTrue="1" operator="equal">
      <formula>"Towel"</formula>
    </cfRule>
    <cfRule type="cellIs" dxfId="566" priority="608" stopIfTrue="1" operator="equal">
      <formula>"Napkin Hs"</formula>
    </cfRule>
  </conditionalFormatting>
  <conditionalFormatting sqref="C115">
    <cfRule type="cellIs" dxfId="565" priority="606" stopIfTrue="1" operator="equal">
      <formula>"Napkin Hs"</formula>
    </cfRule>
  </conditionalFormatting>
  <conditionalFormatting sqref="C115">
    <cfRule type="cellIs" dxfId="564" priority="603" stopIfTrue="1" operator="equal">
      <formula>"Towel"</formula>
    </cfRule>
    <cfRule type="cellIs" dxfId="563" priority="604" stopIfTrue="1" operator="equal">
      <formula>"Napkin Hs"</formula>
    </cfRule>
  </conditionalFormatting>
  <conditionalFormatting sqref="C115">
    <cfRule type="cellIs" dxfId="562" priority="605" stopIfTrue="1" operator="equal">
      <formula>"Towel"</formula>
    </cfRule>
  </conditionalFormatting>
  <conditionalFormatting sqref="B115:C115">
    <cfRule type="cellIs" dxfId="561" priority="601" stopIfTrue="1" operator="equal">
      <formula>"Towel"</formula>
    </cfRule>
    <cfRule type="cellIs" dxfId="560" priority="602" stopIfTrue="1" operator="equal">
      <formula>"Napkin Hs"</formula>
    </cfRule>
  </conditionalFormatting>
  <conditionalFormatting sqref="C115">
    <cfRule type="cellIs" dxfId="559" priority="600" stopIfTrue="1" operator="equal">
      <formula>"Napkin Hs"</formula>
    </cfRule>
  </conditionalFormatting>
  <conditionalFormatting sqref="C115">
    <cfRule type="cellIs" dxfId="558" priority="597" stopIfTrue="1" operator="equal">
      <formula>"Towel"</formula>
    </cfRule>
    <cfRule type="cellIs" dxfId="557" priority="598" stopIfTrue="1" operator="equal">
      <formula>"Napkin Hs"</formula>
    </cfRule>
  </conditionalFormatting>
  <conditionalFormatting sqref="C115">
    <cfRule type="cellIs" dxfId="556" priority="599" stopIfTrue="1" operator="equal">
      <formula>"Towel"</formula>
    </cfRule>
  </conditionalFormatting>
  <conditionalFormatting sqref="B115:C115">
    <cfRule type="cellIs" dxfId="555" priority="595" stopIfTrue="1" operator="equal">
      <formula>"Towel"</formula>
    </cfRule>
    <cfRule type="cellIs" dxfId="554" priority="596" stopIfTrue="1" operator="equal">
      <formula>"Napkin Hs"</formula>
    </cfRule>
  </conditionalFormatting>
  <conditionalFormatting sqref="C115">
    <cfRule type="cellIs" dxfId="553" priority="594" stopIfTrue="1" operator="equal">
      <formula>"Napkin Hs"</formula>
    </cfRule>
  </conditionalFormatting>
  <conditionalFormatting sqref="C115">
    <cfRule type="cellIs" dxfId="552" priority="591" stopIfTrue="1" operator="equal">
      <formula>"Towel"</formula>
    </cfRule>
    <cfRule type="cellIs" dxfId="551" priority="592" stopIfTrue="1" operator="equal">
      <formula>"Napkin Hs"</formula>
    </cfRule>
  </conditionalFormatting>
  <conditionalFormatting sqref="C115">
    <cfRule type="cellIs" dxfId="550" priority="593" stopIfTrue="1" operator="equal">
      <formula>"Towel"</formula>
    </cfRule>
  </conditionalFormatting>
  <conditionalFormatting sqref="B115:C115">
    <cfRule type="cellIs" dxfId="549" priority="589" stopIfTrue="1" operator="equal">
      <formula>"Towel"</formula>
    </cfRule>
    <cfRule type="cellIs" dxfId="548" priority="590" stopIfTrue="1" operator="equal">
      <formula>"Napkin Hs"</formula>
    </cfRule>
  </conditionalFormatting>
  <conditionalFormatting sqref="C115">
    <cfRule type="cellIs" dxfId="547" priority="588" stopIfTrue="1" operator="equal">
      <formula>"Napkin Hs"</formula>
    </cfRule>
  </conditionalFormatting>
  <conditionalFormatting sqref="C115">
    <cfRule type="cellIs" dxfId="546" priority="585" stopIfTrue="1" operator="equal">
      <formula>"Towel"</formula>
    </cfRule>
    <cfRule type="cellIs" dxfId="545" priority="586" stopIfTrue="1" operator="equal">
      <formula>"Napkin Hs"</formula>
    </cfRule>
  </conditionalFormatting>
  <conditionalFormatting sqref="C115">
    <cfRule type="cellIs" dxfId="544" priority="587" stopIfTrue="1" operator="equal">
      <formula>"Towel"</formula>
    </cfRule>
  </conditionalFormatting>
  <conditionalFormatting sqref="B115:C115">
    <cfRule type="cellIs" dxfId="543" priority="583" stopIfTrue="1" operator="equal">
      <formula>"Towel"</formula>
    </cfRule>
    <cfRule type="cellIs" dxfId="542" priority="584" stopIfTrue="1" operator="equal">
      <formula>"Napkin Hs"</formula>
    </cfRule>
  </conditionalFormatting>
  <conditionalFormatting sqref="C115">
    <cfRule type="cellIs" dxfId="541" priority="582" stopIfTrue="1" operator="equal">
      <formula>"Napkin Hs"</formula>
    </cfRule>
  </conditionalFormatting>
  <conditionalFormatting sqref="C115">
    <cfRule type="cellIs" dxfId="540" priority="579" stopIfTrue="1" operator="equal">
      <formula>"Towel"</formula>
    </cfRule>
    <cfRule type="cellIs" dxfId="539" priority="580" stopIfTrue="1" operator="equal">
      <formula>"Napkin Hs"</formula>
    </cfRule>
  </conditionalFormatting>
  <conditionalFormatting sqref="C115">
    <cfRule type="cellIs" dxfId="538" priority="581" stopIfTrue="1" operator="equal">
      <formula>"Towel"</formula>
    </cfRule>
  </conditionalFormatting>
  <conditionalFormatting sqref="B115:C115">
    <cfRule type="cellIs" dxfId="537" priority="577" stopIfTrue="1" operator="equal">
      <formula>"Towel"</formula>
    </cfRule>
    <cfRule type="cellIs" dxfId="536" priority="578" stopIfTrue="1" operator="equal">
      <formula>"Napkin Hs"</formula>
    </cfRule>
  </conditionalFormatting>
  <conditionalFormatting sqref="C115">
    <cfRule type="cellIs" dxfId="535" priority="576" stopIfTrue="1" operator="equal">
      <formula>"Napkin Hs"</formula>
    </cfRule>
  </conditionalFormatting>
  <conditionalFormatting sqref="C115">
    <cfRule type="cellIs" dxfId="534" priority="573" stopIfTrue="1" operator="equal">
      <formula>"Towel"</formula>
    </cfRule>
    <cfRule type="cellIs" dxfId="533" priority="574" stopIfTrue="1" operator="equal">
      <formula>"Napkin Hs"</formula>
    </cfRule>
  </conditionalFormatting>
  <conditionalFormatting sqref="C115">
    <cfRule type="cellIs" dxfId="532" priority="575" stopIfTrue="1" operator="equal">
      <formula>"Towel"</formula>
    </cfRule>
  </conditionalFormatting>
  <conditionalFormatting sqref="B117:C117">
    <cfRule type="cellIs" dxfId="531" priority="571" stopIfTrue="1" operator="equal">
      <formula>"Towel"</formula>
    </cfRule>
    <cfRule type="cellIs" dxfId="530" priority="572" stopIfTrue="1" operator="equal">
      <formula>"Napkin Hs"</formula>
    </cfRule>
  </conditionalFormatting>
  <conditionalFormatting sqref="C117">
    <cfRule type="cellIs" dxfId="529" priority="570" stopIfTrue="1" operator="equal">
      <formula>"Napkin Hs"</formula>
    </cfRule>
  </conditionalFormatting>
  <conditionalFormatting sqref="C117">
    <cfRule type="cellIs" dxfId="528" priority="567" stopIfTrue="1" operator="equal">
      <formula>"Towel"</formula>
    </cfRule>
    <cfRule type="cellIs" dxfId="527" priority="568" stopIfTrue="1" operator="equal">
      <formula>"Napkin Hs"</formula>
    </cfRule>
  </conditionalFormatting>
  <conditionalFormatting sqref="C117">
    <cfRule type="cellIs" dxfId="526" priority="569" stopIfTrue="1" operator="equal">
      <formula>"Towel"</formula>
    </cfRule>
  </conditionalFormatting>
  <conditionalFormatting sqref="B117:C117">
    <cfRule type="cellIs" dxfId="525" priority="565" stopIfTrue="1" operator="equal">
      <formula>"Towel"</formula>
    </cfRule>
    <cfRule type="cellIs" dxfId="524" priority="566" stopIfTrue="1" operator="equal">
      <formula>"Napkin Hs"</formula>
    </cfRule>
  </conditionalFormatting>
  <conditionalFormatting sqref="C117">
    <cfRule type="cellIs" dxfId="523" priority="564" stopIfTrue="1" operator="equal">
      <formula>"Napkin Hs"</formula>
    </cfRule>
  </conditionalFormatting>
  <conditionalFormatting sqref="C117">
    <cfRule type="cellIs" dxfId="522" priority="561" stopIfTrue="1" operator="equal">
      <formula>"Towel"</formula>
    </cfRule>
    <cfRule type="cellIs" dxfId="521" priority="562" stopIfTrue="1" operator="equal">
      <formula>"Napkin Hs"</formula>
    </cfRule>
  </conditionalFormatting>
  <conditionalFormatting sqref="C117">
    <cfRule type="cellIs" dxfId="520" priority="563" stopIfTrue="1" operator="equal">
      <formula>"Towel"</formula>
    </cfRule>
  </conditionalFormatting>
  <conditionalFormatting sqref="B117:C117">
    <cfRule type="cellIs" dxfId="519" priority="559" stopIfTrue="1" operator="equal">
      <formula>"Towel"</formula>
    </cfRule>
    <cfRule type="cellIs" dxfId="518" priority="560" stopIfTrue="1" operator="equal">
      <formula>"Napkin Hs"</formula>
    </cfRule>
  </conditionalFormatting>
  <conditionalFormatting sqref="C117">
    <cfRule type="cellIs" dxfId="517" priority="558" stopIfTrue="1" operator="equal">
      <formula>"Napkin Hs"</formula>
    </cfRule>
  </conditionalFormatting>
  <conditionalFormatting sqref="C117">
    <cfRule type="cellIs" dxfId="516" priority="555" stopIfTrue="1" operator="equal">
      <formula>"Towel"</formula>
    </cfRule>
    <cfRule type="cellIs" dxfId="515" priority="556" stopIfTrue="1" operator="equal">
      <formula>"Napkin Hs"</formula>
    </cfRule>
  </conditionalFormatting>
  <conditionalFormatting sqref="C117">
    <cfRule type="cellIs" dxfId="514" priority="557" stopIfTrue="1" operator="equal">
      <formula>"Towel"</formula>
    </cfRule>
  </conditionalFormatting>
  <conditionalFormatting sqref="B117:C117">
    <cfRule type="cellIs" dxfId="513" priority="553" stopIfTrue="1" operator="equal">
      <formula>"Towel"</formula>
    </cfRule>
    <cfRule type="cellIs" dxfId="512" priority="554" stopIfTrue="1" operator="equal">
      <formula>"Napkin Hs"</formula>
    </cfRule>
  </conditionalFormatting>
  <conditionalFormatting sqref="C117">
    <cfRule type="cellIs" dxfId="511" priority="552" stopIfTrue="1" operator="equal">
      <formula>"Napkin Hs"</formula>
    </cfRule>
  </conditionalFormatting>
  <conditionalFormatting sqref="C117">
    <cfRule type="cellIs" dxfId="510" priority="549" stopIfTrue="1" operator="equal">
      <formula>"Towel"</formula>
    </cfRule>
    <cfRule type="cellIs" dxfId="509" priority="550" stopIfTrue="1" operator="equal">
      <formula>"Napkin Hs"</formula>
    </cfRule>
  </conditionalFormatting>
  <conditionalFormatting sqref="C117">
    <cfRule type="cellIs" dxfId="508" priority="551" stopIfTrue="1" operator="equal">
      <formula>"Towel"</formula>
    </cfRule>
  </conditionalFormatting>
  <conditionalFormatting sqref="B117:C117">
    <cfRule type="cellIs" dxfId="507" priority="547" stopIfTrue="1" operator="equal">
      <formula>"Towel"</formula>
    </cfRule>
    <cfRule type="cellIs" dxfId="506" priority="548" stopIfTrue="1" operator="equal">
      <formula>"Napkin Hs"</formula>
    </cfRule>
  </conditionalFormatting>
  <conditionalFormatting sqref="C117">
    <cfRule type="cellIs" dxfId="505" priority="546" stopIfTrue="1" operator="equal">
      <formula>"Napkin Hs"</formula>
    </cfRule>
  </conditionalFormatting>
  <conditionalFormatting sqref="C117">
    <cfRule type="cellIs" dxfId="504" priority="543" stopIfTrue="1" operator="equal">
      <formula>"Towel"</formula>
    </cfRule>
    <cfRule type="cellIs" dxfId="503" priority="544" stopIfTrue="1" operator="equal">
      <formula>"Napkin Hs"</formula>
    </cfRule>
  </conditionalFormatting>
  <conditionalFormatting sqref="C117">
    <cfRule type="cellIs" dxfId="502" priority="545" stopIfTrue="1" operator="equal">
      <formula>"Towel"</formula>
    </cfRule>
  </conditionalFormatting>
  <conditionalFormatting sqref="B117:C117">
    <cfRule type="cellIs" dxfId="501" priority="541" stopIfTrue="1" operator="equal">
      <formula>"Towel"</formula>
    </cfRule>
    <cfRule type="cellIs" dxfId="500" priority="542" stopIfTrue="1" operator="equal">
      <formula>"Napkin Hs"</formula>
    </cfRule>
  </conditionalFormatting>
  <conditionalFormatting sqref="C117">
    <cfRule type="cellIs" dxfId="499" priority="540" stopIfTrue="1" operator="equal">
      <formula>"Napkin Hs"</formula>
    </cfRule>
  </conditionalFormatting>
  <conditionalFormatting sqref="C117">
    <cfRule type="cellIs" dxfId="498" priority="537" stopIfTrue="1" operator="equal">
      <formula>"Towel"</formula>
    </cfRule>
    <cfRule type="cellIs" dxfId="497" priority="538" stopIfTrue="1" operator="equal">
      <formula>"Napkin Hs"</formula>
    </cfRule>
  </conditionalFormatting>
  <conditionalFormatting sqref="C117">
    <cfRule type="cellIs" dxfId="496" priority="539" stopIfTrue="1" operator="equal">
      <formula>"Towel"</formula>
    </cfRule>
  </conditionalFormatting>
  <conditionalFormatting sqref="B117:C117">
    <cfRule type="cellIs" dxfId="495" priority="535" stopIfTrue="1" operator="equal">
      <formula>"Towel"</formula>
    </cfRule>
    <cfRule type="cellIs" dxfId="494" priority="536" stopIfTrue="1" operator="equal">
      <formula>"Napkin Hs"</formula>
    </cfRule>
  </conditionalFormatting>
  <conditionalFormatting sqref="C117">
    <cfRule type="cellIs" dxfId="493" priority="534" stopIfTrue="1" operator="equal">
      <formula>"Napkin Hs"</formula>
    </cfRule>
  </conditionalFormatting>
  <conditionalFormatting sqref="C117">
    <cfRule type="cellIs" dxfId="492" priority="531" stopIfTrue="1" operator="equal">
      <formula>"Towel"</formula>
    </cfRule>
    <cfRule type="cellIs" dxfId="491" priority="532" stopIfTrue="1" operator="equal">
      <formula>"Napkin Hs"</formula>
    </cfRule>
  </conditionalFormatting>
  <conditionalFormatting sqref="C117">
    <cfRule type="cellIs" dxfId="490" priority="533" stopIfTrue="1" operator="equal">
      <formula>"Towel"</formula>
    </cfRule>
  </conditionalFormatting>
  <conditionalFormatting sqref="B117:C117">
    <cfRule type="cellIs" dxfId="489" priority="529" stopIfTrue="1" operator="equal">
      <formula>"Towel"</formula>
    </cfRule>
    <cfRule type="cellIs" dxfId="488" priority="530" stopIfTrue="1" operator="equal">
      <formula>"Napkin Hs"</formula>
    </cfRule>
  </conditionalFormatting>
  <conditionalFormatting sqref="C117">
    <cfRule type="cellIs" dxfId="487" priority="528" stopIfTrue="1" operator="equal">
      <formula>"Napkin Hs"</formula>
    </cfRule>
  </conditionalFormatting>
  <conditionalFormatting sqref="C117">
    <cfRule type="cellIs" dxfId="486" priority="525" stopIfTrue="1" operator="equal">
      <formula>"Towel"</formula>
    </cfRule>
    <cfRule type="cellIs" dxfId="485" priority="526" stopIfTrue="1" operator="equal">
      <formula>"Napkin Hs"</formula>
    </cfRule>
  </conditionalFormatting>
  <conditionalFormatting sqref="C117">
    <cfRule type="cellIs" dxfId="484" priority="527" stopIfTrue="1" operator="equal">
      <formula>"Towel"</formula>
    </cfRule>
  </conditionalFormatting>
  <conditionalFormatting sqref="B117:C117">
    <cfRule type="cellIs" dxfId="483" priority="523" stopIfTrue="1" operator="equal">
      <formula>"Towel"</formula>
    </cfRule>
    <cfRule type="cellIs" dxfId="482" priority="524" stopIfTrue="1" operator="equal">
      <formula>"Napkin Hs"</formula>
    </cfRule>
  </conditionalFormatting>
  <conditionalFormatting sqref="C117">
    <cfRule type="cellIs" dxfId="481" priority="522" stopIfTrue="1" operator="equal">
      <formula>"Napkin Hs"</formula>
    </cfRule>
  </conditionalFormatting>
  <conditionalFormatting sqref="C117">
    <cfRule type="cellIs" dxfId="480" priority="519" stopIfTrue="1" operator="equal">
      <formula>"Towel"</formula>
    </cfRule>
    <cfRule type="cellIs" dxfId="479" priority="520" stopIfTrue="1" operator="equal">
      <formula>"Napkin Hs"</formula>
    </cfRule>
  </conditionalFormatting>
  <conditionalFormatting sqref="C117">
    <cfRule type="cellIs" dxfId="478" priority="521" stopIfTrue="1" operator="equal">
      <formula>"Towel"</formula>
    </cfRule>
  </conditionalFormatting>
  <conditionalFormatting sqref="B117:C117">
    <cfRule type="cellIs" dxfId="477" priority="517" stopIfTrue="1" operator="equal">
      <formula>"Towel"</formula>
    </cfRule>
    <cfRule type="cellIs" dxfId="476" priority="518" stopIfTrue="1" operator="equal">
      <formula>"Napkin Hs"</formula>
    </cfRule>
  </conditionalFormatting>
  <conditionalFormatting sqref="C117">
    <cfRule type="cellIs" dxfId="475" priority="516" stopIfTrue="1" operator="equal">
      <formula>"Napkin Hs"</formula>
    </cfRule>
  </conditionalFormatting>
  <conditionalFormatting sqref="C117">
    <cfRule type="cellIs" dxfId="474" priority="513" stopIfTrue="1" operator="equal">
      <formula>"Towel"</formula>
    </cfRule>
    <cfRule type="cellIs" dxfId="473" priority="514" stopIfTrue="1" operator="equal">
      <formula>"Napkin Hs"</formula>
    </cfRule>
  </conditionalFormatting>
  <conditionalFormatting sqref="C117">
    <cfRule type="cellIs" dxfId="472" priority="515" stopIfTrue="1" operator="equal">
      <formula>"Towel"</formula>
    </cfRule>
  </conditionalFormatting>
  <conditionalFormatting sqref="B117:C117">
    <cfRule type="cellIs" dxfId="471" priority="511" stopIfTrue="1" operator="equal">
      <formula>"Towel"</formula>
    </cfRule>
    <cfRule type="cellIs" dxfId="470" priority="512" stopIfTrue="1" operator="equal">
      <formula>"Napkin Hs"</formula>
    </cfRule>
  </conditionalFormatting>
  <conditionalFormatting sqref="C117">
    <cfRule type="cellIs" dxfId="469" priority="510" stopIfTrue="1" operator="equal">
      <formula>"Napkin Hs"</formula>
    </cfRule>
  </conditionalFormatting>
  <conditionalFormatting sqref="C117">
    <cfRule type="cellIs" dxfId="468" priority="507" stopIfTrue="1" operator="equal">
      <formula>"Towel"</formula>
    </cfRule>
    <cfRule type="cellIs" dxfId="467" priority="508" stopIfTrue="1" operator="equal">
      <formula>"Napkin Hs"</formula>
    </cfRule>
  </conditionalFormatting>
  <conditionalFormatting sqref="C117">
    <cfRule type="cellIs" dxfId="466" priority="509" stopIfTrue="1" operator="equal">
      <formula>"Towel"</formula>
    </cfRule>
  </conditionalFormatting>
  <conditionalFormatting sqref="B117:C117">
    <cfRule type="cellIs" dxfId="465" priority="505" stopIfTrue="1" operator="equal">
      <formula>"Towel"</formula>
    </cfRule>
    <cfRule type="cellIs" dxfId="464" priority="506" stopIfTrue="1" operator="equal">
      <formula>"Napkin Hs"</formula>
    </cfRule>
  </conditionalFormatting>
  <conditionalFormatting sqref="C117">
    <cfRule type="cellIs" dxfId="463" priority="504" stopIfTrue="1" operator="equal">
      <formula>"Napkin Hs"</formula>
    </cfRule>
  </conditionalFormatting>
  <conditionalFormatting sqref="C117">
    <cfRule type="cellIs" dxfId="462" priority="501" stopIfTrue="1" operator="equal">
      <formula>"Towel"</formula>
    </cfRule>
    <cfRule type="cellIs" dxfId="461" priority="502" stopIfTrue="1" operator="equal">
      <formula>"Napkin Hs"</formula>
    </cfRule>
  </conditionalFormatting>
  <conditionalFormatting sqref="C117">
    <cfRule type="cellIs" dxfId="460" priority="503" stopIfTrue="1" operator="equal">
      <formula>"Towel"</formula>
    </cfRule>
  </conditionalFormatting>
  <conditionalFormatting sqref="B117:C117">
    <cfRule type="cellIs" dxfId="459" priority="499" stopIfTrue="1" operator="equal">
      <formula>"Towel"</formula>
    </cfRule>
    <cfRule type="cellIs" dxfId="458" priority="500" stopIfTrue="1" operator="equal">
      <formula>"Napkin Hs"</formula>
    </cfRule>
  </conditionalFormatting>
  <conditionalFormatting sqref="C117">
    <cfRule type="cellIs" dxfId="457" priority="498" stopIfTrue="1" operator="equal">
      <formula>"Napkin Hs"</formula>
    </cfRule>
  </conditionalFormatting>
  <conditionalFormatting sqref="C117">
    <cfRule type="cellIs" dxfId="456" priority="495" stopIfTrue="1" operator="equal">
      <formula>"Towel"</formula>
    </cfRule>
    <cfRule type="cellIs" dxfId="455" priority="496" stopIfTrue="1" operator="equal">
      <formula>"Napkin Hs"</formula>
    </cfRule>
  </conditionalFormatting>
  <conditionalFormatting sqref="C117">
    <cfRule type="cellIs" dxfId="454" priority="497" stopIfTrue="1" operator="equal">
      <formula>"Towel"</formula>
    </cfRule>
  </conditionalFormatting>
  <conditionalFormatting sqref="B117:C117">
    <cfRule type="cellIs" dxfId="453" priority="493" stopIfTrue="1" operator="equal">
      <formula>"Towel"</formula>
    </cfRule>
    <cfRule type="cellIs" dxfId="452" priority="494" stopIfTrue="1" operator="equal">
      <formula>"Napkin Hs"</formula>
    </cfRule>
  </conditionalFormatting>
  <conditionalFormatting sqref="C117">
    <cfRule type="cellIs" dxfId="451" priority="492" stopIfTrue="1" operator="equal">
      <formula>"Napkin Hs"</formula>
    </cfRule>
  </conditionalFormatting>
  <conditionalFormatting sqref="C117">
    <cfRule type="cellIs" dxfId="450" priority="489" stopIfTrue="1" operator="equal">
      <formula>"Towel"</formula>
    </cfRule>
    <cfRule type="cellIs" dxfId="449" priority="490" stopIfTrue="1" operator="equal">
      <formula>"Napkin Hs"</formula>
    </cfRule>
  </conditionalFormatting>
  <conditionalFormatting sqref="C117">
    <cfRule type="cellIs" dxfId="448" priority="491" stopIfTrue="1" operator="equal">
      <formula>"Towel"</formula>
    </cfRule>
  </conditionalFormatting>
  <conditionalFormatting sqref="B117:C117">
    <cfRule type="cellIs" dxfId="447" priority="487" stopIfTrue="1" operator="equal">
      <formula>"Towel"</formula>
    </cfRule>
    <cfRule type="cellIs" dxfId="446" priority="488" stopIfTrue="1" operator="equal">
      <formula>"Napkin Hs"</formula>
    </cfRule>
  </conditionalFormatting>
  <conditionalFormatting sqref="C117">
    <cfRule type="cellIs" dxfId="445" priority="486" stopIfTrue="1" operator="equal">
      <formula>"Napkin Hs"</formula>
    </cfRule>
  </conditionalFormatting>
  <conditionalFormatting sqref="C117">
    <cfRule type="cellIs" dxfId="444" priority="483" stopIfTrue="1" operator="equal">
      <formula>"Towel"</formula>
    </cfRule>
    <cfRule type="cellIs" dxfId="443" priority="484" stopIfTrue="1" operator="equal">
      <formula>"Napkin Hs"</formula>
    </cfRule>
  </conditionalFormatting>
  <conditionalFormatting sqref="C117">
    <cfRule type="cellIs" dxfId="442" priority="485" stopIfTrue="1" operator="equal">
      <formula>"Towel"</formula>
    </cfRule>
  </conditionalFormatting>
  <conditionalFormatting sqref="B117:C117">
    <cfRule type="cellIs" dxfId="441" priority="481" stopIfTrue="1" operator="equal">
      <formula>"Towel"</formula>
    </cfRule>
    <cfRule type="cellIs" dxfId="440" priority="482" stopIfTrue="1" operator="equal">
      <formula>"Napkin Hs"</formula>
    </cfRule>
  </conditionalFormatting>
  <conditionalFormatting sqref="C117">
    <cfRule type="cellIs" dxfId="439" priority="480" stopIfTrue="1" operator="equal">
      <formula>"Napkin Hs"</formula>
    </cfRule>
  </conditionalFormatting>
  <conditionalFormatting sqref="C117">
    <cfRule type="cellIs" dxfId="438" priority="477" stopIfTrue="1" operator="equal">
      <formula>"Towel"</formula>
    </cfRule>
    <cfRule type="cellIs" dxfId="437" priority="478" stopIfTrue="1" operator="equal">
      <formula>"Napkin Hs"</formula>
    </cfRule>
  </conditionalFormatting>
  <conditionalFormatting sqref="C117">
    <cfRule type="cellIs" dxfId="436" priority="479" stopIfTrue="1" operator="equal">
      <formula>"Towel"</formula>
    </cfRule>
  </conditionalFormatting>
  <conditionalFormatting sqref="B116:C116">
    <cfRule type="cellIs" dxfId="435" priority="475" stopIfTrue="1" operator="equal">
      <formula>"Towel"</formula>
    </cfRule>
    <cfRule type="cellIs" dxfId="434" priority="476" stopIfTrue="1" operator="equal">
      <formula>"Napkin Hs"</formula>
    </cfRule>
  </conditionalFormatting>
  <conditionalFormatting sqref="C116">
    <cfRule type="cellIs" dxfId="433" priority="474" stopIfTrue="1" operator="equal">
      <formula>"Napkin Hs"</formula>
    </cfRule>
  </conditionalFormatting>
  <conditionalFormatting sqref="C116">
    <cfRule type="cellIs" dxfId="432" priority="471" stopIfTrue="1" operator="equal">
      <formula>"Towel"</formula>
    </cfRule>
    <cfRule type="cellIs" dxfId="431" priority="472" stopIfTrue="1" operator="equal">
      <formula>"Napkin Hs"</formula>
    </cfRule>
  </conditionalFormatting>
  <conditionalFormatting sqref="C116">
    <cfRule type="cellIs" dxfId="430" priority="473" stopIfTrue="1" operator="equal">
      <formula>"Towel"</formula>
    </cfRule>
  </conditionalFormatting>
  <conditionalFormatting sqref="B116:C116">
    <cfRule type="cellIs" dxfId="429" priority="469" stopIfTrue="1" operator="equal">
      <formula>"Towel"</formula>
    </cfRule>
    <cfRule type="cellIs" dxfId="428" priority="470" stopIfTrue="1" operator="equal">
      <formula>"Napkin Hs"</formula>
    </cfRule>
  </conditionalFormatting>
  <conditionalFormatting sqref="C116">
    <cfRule type="cellIs" dxfId="427" priority="468" stopIfTrue="1" operator="equal">
      <formula>"Napkin Hs"</formula>
    </cfRule>
  </conditionalFormatting>
  <conditionalFormatting sqref="C116">
    <cfRule type="cellIs" dxfId="426" priority="465" stopIfTrue="1" operator="equal">
      <formula>"Towel"</formula>
    </cfRule>
    <cfRule type="cellIs" dxfId="425" priority="466" stopIfTrue="1" operator="equal">
      <formula>"Napkin Hs"</formula>
    </cfRule>
  </conditionalFormatting>
  <conditionalFormatting sqref="C116">
    <cfRule type="cellIs" dxfId="424" priority="467" stopIfTrue="1" operator="equal">
      <formula>"Towel"</formula>
    </cfRule>
  </conditionalFormatting>
  <conditionalFormatting sqref="B116:C116">
    <cfRule type="cellIs" dxfId="423" priority="433" stopIfTrue="1" operator="equal">
      <formula>"Towel"</formula>
    </cfRule>
    <cfRule type="cellIs" dxfId="422" priority="434" stopIfTrue="1" operator="equal">
      <formula>"Napkin Hs"</formula>
    </cfRule>
  </conditionalFormatting>
  <conditionalFormatting sqref="C116">
    <cfRule type="cellIs" dxfId="421" priority="429" stopIfTrue="1" operator="equal">
      <formula>"Towel"</formula>
    </cfRule>
    <cfRule type="cellIs" dxfId="420" priority="430" stopIfTrue="1" operator="equal">
      <formula>"Napkin Hs"</formula>
    </cfRule>
  </conditionalFormatting>
  <conditionalFormatting sqref="B116:C116">
    <cfRule type="cellIs" dxfId="419" priority="427" stopIfTrue="1" operator="equal">
      <formula>"Towel"</formula>
    </cfRule>
    <cfRule type="cellIs" dxfId="418" priority="428" stopIfTrue="1" operator="equal">
      <formula>"Napkin Hs"</formula>
    </cfRule>
  </conditionalFormatting>
  <conditionalFormatting sqref="C116">
    <cfRule type="cellIs" dxfId="417" priority="426" stopIfTrue="1" operator="equal">
      <formula>"Napkin Hs"</formula>
    </cfRule>
  </conditionalFormatting>
  <conditionalFormatting sqref="C116">
    <cfRule type="cellIs" dxfId="416" priority="423" stopIfTrue="1" operator="equal">
      <formula>"Towel"</formula>
    </cfRule>
    <cfRule type="cellIs" dxfId="415" priority="424" stopIfTrue="1" operator="equal">
      <formula>"Napkin Hs"</formula>
    </cfRule>
  </conditionalFormatting>
  <conditionalFormatting sqref="C116">
    <cfRule type="cellIs" dxfId="414" priority="425" stopIfTrue="1" operator="equal">
      <formula>"Towel"</formula>
    </cfRule>
  </conditionalFormatting>
  <conditionalFormatting sqref="B116:C116">
    <cfRule type="cellIs" dxfId="413" priority="421" stopIfTrue="1" operator="equal">
      <formula>"Towel"</formula>
    </cfRule>
    <cfRule type="cellIs" dxfId="412" priority="422" stopIfTrue="1" operator="equal">
      <formula>"Napkin Hs"</formula>
    </cfRule>
  </conditionalFormatting>
  <conditionalFormatting sqref="C116">
    <cfRule type="cellIs" dxfId="411" priority="420" stopIfTrue="1" operator="equal">
      <formula>"Napkin Hs"</formula>
    </cfRule>
  </conditionalFormatting>
  <conditionalFormatting sqref="C116">
    <cfRule type="cellIs" dxfId="410" priority="417" stopIfTrue="1" operator="equal">
      <formula>"Towel"</formula>
    </cfRule>
    <cfRule type="cellIs" dxfId="409" priority="418" stopIfTrue="1" operator="equal">
      <formula>"Napkin Hs"</formula>
    </cfRule>
  </conditionalFormatting>
  <conditionalFormatting sqref="C116">
    <cfRule type="cellIs" dxfId="408" priority="419" stopIfTrue="1" operator="equal">
      <formula>"Towel"</formula>
    </cfRule>
  </conditionalFormatting>
  <conditionalFormatting sqref="B116:C116">
    <cfRule type="cellIs" dxfId="407" priority="415" stopIfTrue="1" operator="equal">
      <formula>"Towel"</formula>
    </cfRule>
    <cfRule type="cellIs" dxfId="406" priority="416" stopIfTrue="1" operator="equal">
      <formula>"Napkin Hs"</formula>
    </cfRule>
  </conditionalFormatting>
  <conditionalFormatting sqref="C116">
    <cfRule type="cellIs" dxfId="405" priority="414" stopIfTrue="1" operator="equal">
      <formula>"Napkin Hs"</formula>
    </cfRule>
  </conditionalFormatting>
  <conditionalFormatting sqref="C116">
    <cfRule type="cellIs" dxfId="404" priority="411" stopIfTrue="1" operator="equal">
      <formula>"Towel"</formula>
    </cfRule>
    <cfRule type="cellIs" dxfId="403" priority="412" stopIfTrue="1" operator="equal">
      <formula>"Napkin Hs"</formula>
    </cfRule>
  </conditionalFormatting>
  <conditionalFormatting sqref="C116">
    <cfRule type="cellIs" dxfId="402" priority="413" stopIfTrue="1" operator="equal">
      <formula>"Towel"</formula>
    </cfRule>
  </conditionalFormatting>
  <conditionalFormatting sqref="B116:C116">
    <cfRule type="cellIs" dxfId="401" priority="463" stopIfTrue="1" operator="equal">
      <formula>"Towel"</formula>
    </cfRule>
    <cfRule type="cellIs" dxfId="400" priority="464" stopIfTrue="1" operator="equal">
      <formula>"Napkin Hs"</formula>
    </cfRule>
  </conditionalFormatting>
  <conditionalFormatting sqref="C116">
    <cfRule type="cellIs" dxfId="399" priority="462" stopIfTrue="1" operator="equal">
      <formula>"Napkin Hs"</formula>
    </cfRule>
  </conditionalFormatting>
  <conditionalFormatting sqref="C116">
    <cfRule type="cellIs" dxfId="398" priority="459" stopIfTrue="1" operator="equal">
      <formula>"Towel"</formula>
    </cfRule>
    <cfRule type="cellIs" dxfId="397" priority="460" stopIfTrue="1" operator="equal">
      <formula>"Napkin Hs"</formula>
    </cfRule>
  </conditionalFormatting>
  <conditionalFormatting sqref="C116">
    <cfRule type="cellIs" dxfId="396" priority="461" stopIfTrue="1" operator="equal">
      <formula>"Towel"</formula>
    </cfRule>
  </conditionalFormatting>
  <conditionalFormatting sqref="B116:C116">
    <cfRule type="cellIs" dxfId="395" priority="457" stopIfTrue="1" operator="equal">
      <formula>"Towel"</formula>
    </cfRule>
    <cfRule type="cellIs" dxfId="394" priority="458" stopIfTrue="1" operator="equal">
      <formula>"Napkin Hs"</formula>
    </cfRule>
  </conditionalFormatting>
  <conditionalFormatting sqref="C116">
    <cfRule type="cellIs" dxfId="393" priority="456" stopIfTrue="1" operator="equal">
      <formula>"Napkin Hs"</formula>
    </cfRule>
  </conditionalFormatting>
  <conditionalFormatting sqref="C116">
    <cfRule type="cellIs" dxfId="392" priority="453" stopIfTrue="1" operator="equal">
      <formula>"Towel"</formula>
    </cfRule>
    <cfRule type="cellIs" dxfId="391" priority="454" stopIfTrue="1" operator="equal">
      <formula>"Napkin Hs"</formula>
    </cfRule>
  </conditionalFormatting>
  <conditionalFormatting sqref="C116">
    <cfRule type="cellIs" dxfId="390" priority="455" stopIfTrue="1" operator="equal">
      <formula>"Towel"</formula>
    </cfRule>
  </conditionalFormatting>
  <conditionalFormatting sqref="B116:C116">
    <cfRule type="cellIs" dxfId="389" priority="451" stopIfTrue="1" operator="equal">
      <formula>"Towel"</formula>
    </cfRule>
    <cfRule type="cellIs" dxfId="388" priority="452" stopIfTrue="1" operator="equal">
      <formula>"Napkin Hs"</formula>
    </cfRule>
  </conditionalFormatting>
  <conditionalFormatting sqref="C116">
    <cfRule type="cellIs" dxfId="387" priority="450" stopIfTrue="1" operator="equal">
      <formula>"Napkin Hs"</formula>
    </cfRule>
  </conditionalFormatting>
  <conditionalFormatting sqref="C116">
    <cfRule type="cellIs" dxfId="386" priority="447" stopIfTrue="1" operator="equal">
      <formula>"Towel"</formula>
    </cfRule>
    <cfRule type="cellIs" dxfId="385" priority="448" stopIfTrue="1" operator="equal">
      <formula>"Napkin Hs"</formula>
    </cfRule>
  </conditionalFormatting>
  <conditionalFormatting sqref="C116">
    <cfRule type="cellIs" dxfId="384" priority="449" stopIfTrue="1" operator="equal">
      <formula>"Towel"</formula>
    </cfRule>
  </conditionalFormatting>
  <conditionalFormatting sqref="B116:C116">
    <cfRule type="cellIs" dxfId="383" priority="445" stopIfTrue="1" operator="equal">
      <formula>"Towel"</formula>
    </cfRule>
    <cfRule type="cellIs" dxfId="382" priority="446" stopIfTrue="1" operator="equal">
      <formula>"Napkin Hs"</formula>
    </cfRule>
  </conditionalFormatting>
  <conditionalFormatting sqref="C116">
    <cfRule type="cellIs" dxfId="381" priority="444" stopIfTrue="1" operator="equal">
      <formula>"Napkin Hs"</formula>
    </cfRule>
  </conditionalFormatting>
  <conditionalFormatting sqref="C116">
    <cfRule type="cellIs" dxfId="380" priority="441" stopIfTrue="1" operator="equal">
      <formula>"Towel"</formula>
    </cfRule>
    <cfRule type="cellIs" dxfId="379" priority="442" stopIfTrue="1" operator="equal">
      <formula>"Napkin Hs"</formula>
    </cfRule>
  </conditionalFormatting>
  <conditionalFormatting sqref="C116">
    <cfRule type="cellIs" dxfId="378" priority="443" stopIfTrue="1" operator="equal">
      <formula>"Towel"</formula>
    </cfRule>
  </conditionalFormatting>
  <conditionalFormatting sqref="B116:C116">
    <cfRule type="cellIs" dxfId="377" priority="439" stopIfTrue="1" operator="equal">
      <formula>"Towel"</formula>
    </cfRule>
    <cfRule type="cellIs" dxfId="376" priority="440" stopIfTrue="1" operator="equal">
      <formula>"Napkin Hs"</formula>
    </cfRule>
  </conditionalFormatting>
  <conditionalFormatting sqref="C116">
    <cfRule type="cellIs" dxfId="375" priority="437" stopIfTrue="1" operator="equal">
      <formula>"Towel"</formula>
    </cfRule>
    <cfRule type="cellIs" dxfId="374" priority="438" stopIfTrue="1" operator="equal">
      <formula>"Napkin Hs"</formula>
    </cfRule>
  </conditionalFormatting>
  <conditionalFormatting sqref="C116">
    <cfRule type="cellIs" dxfId="373" priority="435" stopIfTrue="1" operator="equal">
      <formula>"Towel"</formula>
    </cfRule>
    <cfRule type="cellIs" dxfId="372" priority="436" stopIfTrue="1" operator="equal">
      <formula>"Napkin Hs"</formula>
    </cfRule>
  </conditionalFormatting>
  <conditionalFormatting sqref="C116">
    <cfRule type="cellIs" dxfId="371" priority="431" stopIfTrue="1" operator="equal">
      <formula>"Towel"</formula>
    </cfRule>
    <cfRule type="cellIs" dxfId="370" priority="432" stopIfTrue="1" operator="equal">
      <formula>"Napkin Hs"</formula>
    </cfRule>
  </conditionalFormatting>
  <conditionalFormatting sqref="B116:C116">
    <cfRule type="cellIs" dxfId="369" priority="409" stopIfTrue="1" operator="equal">
      <formula>"Towel"</formula>
    </cfRule>
    <cfRule type="cellIs" dxfId="368" priority="410" stopIfTrue="1" operator="equal">
      <formula>"Napkin Hs"</formula>
    </cfRule>
  </conditionalFormatting>
  <conditionalFormatting sqref="C116">
    <cfRule type="cellIs" dxfId="367" priority="408" stopIfTrue="1" operator="equal">
      <formula>"Napkin Hs"</formula>
    </cfRule>
  </conditionalFormatting>
  <conditionalFormatting sqref="C116">
    <cfRule type="cellIs" dxfId="366" priority="405" stopIfTrue="1" operator="equal">
      <formula>"Towel"</formula>
    </cfRule>
    <cfRule type="cellIs" dxfId="365" priority="406" stopIfTrue="1" operator="equal">
      <formula>"Napkin Hs"</formula>
    </cfRule>
  </conditionalFormatting>
  <conditionalFormatting sqref="C116">
    <cfRule type="cellIs" dxfId="364" priority="407" stopIfTrue="1" operator="equal">
      <formula>"Towel"</formula>
    </cfRule>
  </conditionalFormatting>
  <conditionalFormatting sqref="B116:C116">
    <cfRule type="cellIs" dxfId="363" priority="403" stopIfTrue="1" operator="equal">
      <formula>"Towel"</formula>
    </cfRule>
    <cfRule type="cellIs" dxfId="362" priority="404" stopIfTrue="1" operator="equal">
      <formula>"Napkin Hs"</formula>
    </cfRule>
  </conditionalFormatting>
  <conditionalFormatting sqref="C116">
    <cfRule type="cellIs" dxfId="361" priority="402" stopIfTrue="1" operator="equal">
      <formula>"Napkin Hs"</formula>
    </cfRule>
  </conditionalFormatting>
  <conditionalFormatting sqref="C116">
    <cfRule type="cellIs" dxfId="360" priority="399" stopIfTrue="1" operator="equal">
      <formula>"Towel"</formula>
    </cfRule>
    <cfRule type="cellIs" dxfId="359" priority="400" stopIfTrue="1" operator="equal">
      <formula>"Napkin Hs"</formula>
    </cfRule>
  </conditionalFormatting>
  <conditionalFormatting sqref="C116">
    <cfRule type="cellIs" dxfId="358" priority="401" stopIfTrue="1" operator="equal">
      <formula>"Towel"</formula>
    </cfRule>
  </conditionalFormatting>
  <conditionalFormatting sqref="B116:C116">
    <cfRule type="cellIs" dxfId="357" priority="397" stopIfTrue="1" operator="equal">
      <formula>"Towel"</formula>
    </cfRule>
    <cfRule type="cellIs" dxfId="356" priority="398" stopIfTrue="1" operator="equal">
      <formula>"Napkin Hs"</formula>
    </cfRule>
  </conditionalFormatting>
  <conditionalFormatting sqref="C116">
    <cfRule type="cellIs" dxfId="355" priority="396" stopIfTrue="1" operator="equal">
      <formula>"Napkin Hs"</formula>
    </cfRule>
  </conditionalFormatting>
  <conditionalFormatting sqref="C116">
    <cfRule type="cellIs" dxfId="354" priority="393" stopIfTrue="1" operator="equal">
      <formula>"Towel"</formula>
    </cfRule>
    <cfRule type="cellIs" dxfId="353" priority="394" stopIfTrue="1" operator="equal">
      <formula>"Napkin Hs"</formula>
    </cfRule>
  </conditionalFormatting>
  <conditionalFormatting sqref="C116">
    <cfRule type="cellIs" dxfId="352" priority="395" stopIfTrue="1" operator="equal">
      <formula>"Towel"</formula>
    </cfRule>
  </conditionalFormatting>
  <conditionalFormatting sqref="B116:C116">
    <cfRule type="cellIs" dxfId="351" priority="391" stopIfTrue="1" operator="equal">
      <formula>"Towel"</formula>
    </cfRule>
    <cfRule type="cellIs" dxfId="350" priority="392" stopIfTrue="1" operator="equal">
      <formula>"Napkin Hs"</formula>
    </cfRule>
  </conditionalFormatting>
  <conditionalFormatting sqref="C116">
    <cfRule type="cellIs" dxfId="349" priority="390" stopIfTrue="1" operator="equal">
      <formula>"Napkin Hs"</formula>
    </cfRule>
  </conditionalFormatting>
  <conditionalFormatting sqref="C116">
    <cfRule type="cellIs" dxfId="348" priority="387" stopIfTrue="1" operator="equal">
      <formula>"Towel"</formula>
    </cfRule>
    <cfRule type="cellIs" dxfId="347" priority="388" stopIfTrue="1" operator="equal">
      <formula>"Napkin Hs"</formula>
    </cfRule>
  </conditionalFormatting>
  <conditionalFormatting sqref="C116">
    <cfRule type="cellIs" dxfId="346" priority="389" stopIfTrue="1" operator="equal">
      <formula>"Towel"</formula>
    </cfRule>
  </conditionalFormatting>
  <conditionalFormatting sqref="B116:C116">
    <cfRule type="cellIs" dxfId="345" priority="385" stopIfTrue="1" operator="equal">
      <formula>"Towel"</formula>
    </cfRule>
    <cfRule type="cellIs" dxfId="344" priority="386" stopIfTrue="1" operator="equal">
      <formula>"Napkin Hs"</formula>
    </cfRule>
  </conditionalFormatting>
  <conditionalFormatting sqref="C116">
    <cfRule type="cellIs" dxfId="343" priority="384" stopIfTrue="1" operator="equal">
      <formula>"Napkin Hs"</formula>
    </cfRule>
  </conditionalFormatting>
  <conditionalFormatting sqref="C116">
    <cfRule type="cellIs" dxfId="342" priority="381" stopIfTrue="1" operator="equal">
      <formula>"Towel"</formula>
    </cfRule>
    <cfRule type="cellIs" dxfId="341" priority="382" stopIfTrue="1" operator="equal">
      <formula>"Napkin Hs"</formula>
    </cfRule>
  </conditionalFormatting>
  <conditionalFormatting sqref="C116">
    <cfRule type="cellIs" dxfId="340" priority="383" stopIfTrue="1" operator="equal">
      <formula>"Towel"</formula>
    </cfRule>
  </conditionalFormatting>
  <conditionalFormatting sqref="B116:C116">
    <cfRule type="cellIs" dxfId="339" priority="379" stopIfTrue="1" operator="equal">
      <formula>"Towel"</formula>
    </cfRule>
    <cfRule type="cellIs" dxfId="338" priority="380" stopIfTrue="1" operator="equal">
      <formula>"Napkin Hs"</formula>
    </cfRule>
  </conditionalFormatting>
  <conditionalFormatting sqref="C116">
    <cfRule type="cellIs" dxfId="337" priority="378" stopIfTrue="1" operator="equal">
      <formula>"Napkin Hs"</formula>
    </cfRule>
  </conditionalFormatting>
  <conditionalFormatting sqref="C116">
    <cfRule type="cellIs" dxfId="336" priority="375" stopIfTrue="1" operator="equal">
      <formula>"Towel"</formula>
    </cfRule>
    <cfRule type="cellIs" dxfId="335" priority="376" stopIfTrue="1" operator="equal">
      <formula>"Napkin Hs"</formula>
    </cfRule>
  </conditionalFormatting>
  <conditionalFormatting sqref="C116">
    <cfRule type="cellIs" dxfId="334" priority="377" stopIfTrue="1" operator="equal">
      <formula>"Towel"</formula>
    </cfRule>
  </conditionalFormatting>
  <conditionalFormatting sqref="B116:C116">
    <cfRule type="cellIs" dxfId="333" priority="373" stopIfTrue="1" operator="equal">
      <formula>"Towel"</formula>
    </cfRule>
    <cfRule type="cellIs" dxfId="332" priority="374" stopIfTrue="1" operator="equal">
      <formula>"Napkin Hs"</formula>
    </cfRule>
  </conditionalFormatting>
  <conditionalFormatting sqref="C116">
    <cfRule type="cellIs" dxfId="331" priority="372" stopIfTrue="1" operator="equal">
      <formula>"Napkin Hs"</formula>
    </cfRule>
  </conditionalFormatting>
  <conditionalFormatting sqref="C116">
    <cfRule type="cellIs" dxfId="330" priority="369" stopIfTrue="1" operator="equal">
      <formula>"Towel"</formula>
    </cfRule>
    <cfRule type="cellIs" dxfId="329" priority="370" stopIfTrue="1" operator="equal">
      <formula>"Napkin Hs"</formula>
    </cfRule>
  </conditionalFormatting>
  <conditionalFormatting sqref="C116">
    <cfRule type="cellIs" dxfId="328" priority="371" stopIfTrue="1" operator="equal">
      <formula>"Towel"</formula>
    </cfRule>
  </conditionalFormatting>
  <conditionalFormatting sqref="B116:C116">
    <cfRule type="cellIs" dxfId="327" priority="367" stopIfTrue="1" operator="equal">
      <formula>"Towel"</formula>
    </cfRule>
    <cfRule type="cellIs" dxfId="326" priority="368" stopIfTrue="1" operator="equal">
      <formula>"Napkin Hs"</formula>
    </cfRule>
  </conditionalFormatting>
  <conditionalFormatting sqref="C116">
    <cfRule type="cellIs" dxfId="325" priority="366" stopIfTrue="1" operator="equal">
      <formula>"Napkin Hs"</formula>
    </cfRule>
  </conditionalFormatting>
  <conditionalFormatting sqref="C116">
    <cfRule type="cellIs" dxfId="324" priority="363" stopIfTrue="1" operator="equal">
      <formula>"Towel"</formula>
    </cfRule>
    <cfRule type="cellIs" dxfId="323" priority="364" stopIfTrue="1" operator="equal">
      <formula>"Napkin Hs"</formula>
    </cfRule>
  </conditionalFormatting>
  <conditionalFormatting sqref="C116">
    <cfRule type="cellIs" dxfId="322" priority="365" stopIfTrue="1" operator="equal">
      <formula>"Towel"</formula>
    </cfRule>
  </conditionalFormatting>
  <conditionalFormatting sqref="B104:C104">
    <cfRule type="cellIs" dxfId="321" priority="361" stopIfTrue="1" operator="equal">
      <formula>"Towel"</formula>
    </cfRule>
    <cfRule type="cellIs" dxfId="320" priority="362" stopIfTrue="1" operator="equal">
      <formula>"Napkin Hs"</formula>
    </cfRule>
  </conditionalFormatting>
  <conditionalFormatting sqref="C104">
    <cfRule type="cellIs" dxfId="319" priority="359" stopIfTrue="1" operator="equal">
      <formula>"Towel"</formula>
    </cfRule>
    <cfRule type="cellIs" dxfId="318" priority="360" stopIfTrue="1" operator="equal">
      <formula>"Napkin Hs"</formula>
    </cfRule>
  </conditionalFormatting>
  <conditionalFormatting sqref="C104">
    <cfRule type="cellIs" dxfId="317" priority="357" stopIfTrue="1" operator="equal">
      <formula>"Towel"</formula>
    </cfRule>
    <cfRule type="cellIs" dxfId="316" priority="358" stopIfTrue="1" operator="equal">
      <formula>"Napkin Hs"</formula>
    </cfRule>
  </conditionalFormatting>
  <conditionalFormatting sqref="B126:C126">
    <cfRule type="cellIs" dxfId="315" priority="325" stopIfTrue="1" operator="equal">
      <formula>"Towel"</formula>
    </cfRule>
    <cfRule type="cellIs" dxfId="314" priority="326" stopIfTrue="1" operator="equal">
      <formula>"Napkin Hs"</formula>
    </cfRule>
  </conditionalFormatting>
  <conditionalFormatting sqref="C126">
    <cfRule type="cellIs" dxfId="313" priority="321" stopIfTrue="1" operator="equal">
      <formula>"Towel"</formula>
    </cfRule>
    <cfRule type="cellIs" dxfId="312" priority="322" stopIfTrue="1" operator="equal">
      <formula>"Napkin Hs"</formula>
    </cfRule>
  </conditionalFormatting>
  <conditionalFormatting sqref="C126">
    <cfRule type="cellIs" dxfId="311" priority="323" stopIfTrue="1" operator="equal">
      <formula>"Towel"</formula>
    </cfRule>
    <cfRule type="cellIs" dxfId="310" priority="324" stopIfTrue="1" operator="equal">
      <formula>"Napkin Hs"</formula>
    </cfRule>
  </conditionalFormatting>
  <conditionalFormatting sqref="C125">
    <cfRule type="cellIs" dxfId="309" priority="313" stopIfTrue="1" operator="equal">
      <formula>"Towel"</formula>
    </cfRule>
    <cfRule type="cellIs" dxfId="308" priority="314" stopIfTrue="1" operator="equal">
      <formula>"Napkin Hs"</formula>
    </cfRule>
  </conditionalFormatting>
  <conditionalFormatting sqref="C125">
    <cfRule type="cellIs" dxfId="307" priority="311" stopIfTrue="1" operator="equal">
      <formula>"Towel"</formula>
    </cfRule>
    <cfRule type="cellIs" dxfId="306" priority="312" stopIfTrue="1" operator="equal">
      <formula>"Napkin Hs"</formula>
    </cfRule>
  </conditionalFormatting>
  <conditionalFormatting sqref="C125">
    <cfRule type="cellIs" dxfId="305" priority="309" stopIfTrue="1" operator="equal">
      <formula>"Towel"</formula>
    </cfRule>
    <cfRule type="cellIs" dxfId="304" priority="310" stopIfTrue="1" operator="equal">
      <formula>"Napkin Hs"</formula>
    </cfRule>
  </conditionalFormatting>
  <conditionalFormatting sqref="B124:C124">
    <cfRule type="cellIs" dxfId="303" priority="307" stopIfTrue="1" operator="equal">
      <formula>"Towel"</formula>
    </cfRule>
    <cfRule type="cellIs" dxfId="302" priority="308" stopIfTrue="1" operator="equal">
      <formula>"Napkin Hs"</formula>
    </cfRule>
  </conditionalFormatting>
  <conditionalFormatting sqref="C124">
    <cfRule type="cellIs" dxfId="301" priority="305" stopIfTrue="1" operator="equal">
      <formula>"Towel"</formula>
    </cfRule>
    <cfRule type="cellIs" dxfId="300" priority="306" stopIfTrue="1" operator="equal">
      <formula>"Napkin Hs"</formula>
    </cfRule>
  </conditionalFormatting>
  <conditionalFormatting sqref="C124">
    <cfRule type="cellIs" dxfId="299" priority="303" stopIfTrue="1" operator="equal">
      <formula>"Towel"</formula>
    </cfRule>
    <cfRule type="cellIs" dxfId="298" priority="304" stopIfTrue="1" operator="equal">
      <formula>"Napkin Hs"</formula>
    </cfRule>
  </conditionalFormatting>
  <conditionalFormatting sqref="B123:C123">
    <cfRule type="cellIs" dxfId="297" priority="301" stopIfTrue="1" operator="equal">
      <formula>"Towel"</formula>
    </cfRule>
    <cfRule type="cellIs" dxfId="296" priority="302" stopIfTrue="1" operator="equal">
      <formula>"Napkin Hs"</formula>
    </cfRule>
  </conditionalFormatting>
  <conditionalFormatting sqref="C123">
    <cfRule type="cellIs" dxfId="295" priority="299" stopIfTrue="1" operator="equal">
      <formula>"Towel"</formula>
    </cfRule>
    <cfRule type="cellIs" dxfId="294" priority="300" stopIfTrue="1" operator="equal">
      <formula>"Napkin Hs"</formula>
    </cfRule>
  </conditionalFormatting>
  <conditionalFormatting sqref="C123">
    <cfRule type="cellIs" dxfId="293" priority="297" stopIfTrue="1" operator="equal">
      <formula>"Towel"</formula>
    </cfRule>
    <cfRule type="cellIs" dxfId="292" priority="298" stopIfTrue="1" operator="equal">
      <formula>"Napkin Hs"</formula>
    </cfRule>
  </conditionalFormatting>
  <conditionalFormatting sqref="B125">
    <cfRule type="cellIs" dxfId="291" priority="295" stopIfTrue="1" operator="equal">
      <formula>"Towel"</formula>
    </cfRule>
    <cfRule type="cellIs" dxfId="290" priority="296" stopIfTrue="1" operator="equal">
      <formula>"Napkin Hs"</formula>
    </cfRule>
  </conditionalFormatting>
  <conditionalFormatting sqref="B130:C130">
    <cfRule type="cellIs" dxfId="289" priority="293" stopIfTrue="1" operator="equal">
      <formula>"Towel"</formula>
    </cfRule>
    <cfRule type="cellIs" dxfId="288" priority="294" stopIfTrue="1" operator="equal">
      <formula>"Napkin Hs"</formula>
    </cfRule>
  </conditionalFormatting>
  <conditionalFormatting sqref="C130">
    <cfRule type="cellIs" dxfId="287" priority="292" stopIfTrue="1" operator="equal">
      <formula>"Napkin Hs"</formula>
    </cfRule>
  </conditionalFormatting>
  <conditionalFormatting sqref="C130">
    <cfRule type="cellIs" dxfId="286" priority="291" stopIfTrue="1" operator="equal">
      <formula>"Towel"</formula>
    </cfRule>
  </conditionalFormatting>
  <conditionalFormatting sqref="C130">
    <cfRule type="cellIs" dxfId="285" priority="289" stopIfTrue="1" operator="equal">
      <formula>"Towel"</formula>
    </cfRule>
    <cfRule type="cellIs" dxfId="284" priority="290" stopIfTrue="1" operator="equal">
      <formula>"Napkin Hs"</formula>
    </cfRule>
  </conditionalFormatting>
  <conditionalFormatting sqref="B129:C129">
    <cfRule type="cellIs" dxfId="283" priority="287" stopIfTrue="1" operator="equal">
      <formula>"Towel"</formula>
    </cfRule>
    <cfRule type="cellIs" dxfId="282" priority="288" stopIfTrue="1" operator="equal">
      <formula>"Napkin Hs"</formula>
    </cfRule>
  </conditionalFormatting>
  <conditionalFormatting sqref="C129">
    <cfRule type="cellIs" dxfId="281" priority="286" stopIfTrue="1" operator="equal">
      <formula>"Napkin Hs"</formula>
    </cfRule>
  </conditionalFormatting>
  <conditionalFormatting sqref="C129">
    <cfRule type="cellIs" dxfId="280" priority="283" stopIfTrue="1" operator="equal">
      <formula>"Towel"</formula>
    </cfRule>
    <cfRule type="cellIs" dxfId="279" priority="284" stopIfTrue="1" operator="equal">
      <formula>"Napkin Hs"</formula>
    </cfRule>
  </conditionalFormatting>
  <conditionalFormatting sqref="C129">
    <cfRule type="cellIs" dxfId="278" priority="285" stopIfTrue="1" operator="equal">
      <formula>"Towel"</formula>
    </cfRule>
  </conditionalFormatting>
  <conditionalFormatting sqref="B128:C128">
    <cfRule type="cellIs" dxfId="277" priority="275" stopIfTrue="1" operator="equal">
      <formula>"Towel"</formula>
    </cfRule>
    <cfRule type="cellIs" dxfId="276" priority="276" stopIfTrue="1" operator="equal">
      <formula>"Napkin Hs"</formula>
    </cfRule>
  </conditionalFormatting>
  <conditionalFormatting sqref="C128">
    <cfRule type="cellIs" dxfId="275" priority="273" stopIfTrue="1" operator="equal">
      <formula>"Towel"</formula>
    </cfRule>
    <cfRule type="cellIs" dxfId="274" priority="274" stopIfTrue="1" operator="equal">
      <formula>"Napkin Hs"</formula>
    </cfRule>
  </conditionalFormatting>
  <conditionalFormatting sqref="C128">
    <cfRule type="cellIs" dxfId="273" priority="271" stopIfTrue="1" operator="equal">
      <formula>"Towel"</formula>
    </cfRule>
    <cfRule type="cellIs" dxfId="272" priority="272" stopIfTrue="1" operator="equal">
      <formula>"Napkin Hs"</formula>
    </cfRule>
  </conditionalFormatting>
  <conditionalFormatting sqref="B127:C127">
    <cfRule type="cellIs" dxfId="271" priority="269" stopIfTrue="1" operator="equal">
      <formula>"Towel"</formula>
    </cfRule>
    <cfRule type="cellIs" dxfId="270" priority="270" stopIfTrue="1" operator="equal">
      <formula>"Napkin Hs"</formula>
    </cfRule>
  </conditionalFormatting>
  <conditionalFormatting sqref="C127">
    <cfRule type="cellIs" dxfId="269" priority="267" stopIfTrue="1" operator="equal">
      <formula>"Towel"</formula>
    </cfRule>
    <cfRule type="cellIs" dxfId="268" priority="268" stopIfTrue="1" operator="equal">
      <formula>"Napkin Hs"</formula>
    </cfRule>
  </conditionalFormatting>
  <conditionalFormatting sqref="C127">
    <cfRule type="cellIs" dxfId="267" priority="265" stopIfTrue="1" operator="equal">
      <formula>"Towel"</formula>
    </cfRule>
    <cfRule type="cellIs" dxfId="266" priority="266" stopIfTrue="1" operator="equal">
      <formula>"Napkin Hs"</formula>
    </cfRule>
  </conditionalFormatting>
  <conditionalFormatting sqref="B134:C134">
    <cfRule type="cellIs" dxfId="265" priority="263" stopIfTrue="1" operator="equal">
      <formula>"Towel"</formula>
    </cfRule>
    <cfRule type="cellIs" dxfId="264" priority="264" stopIfTrue="1" operator="equal">
      <formula>"Napkin Hs"</formula>
    </cfRule>
  </conditionalFormatting>
  <conditionalFormatting sqref="C134">
    <cfRule type="cellIs" dxfId="263" priority="262" stopIfTrue="1" operator="equal">
      <formula>"Napkin Hs"</formula>
    </cfRule>
  </conditionalFormatting>
  <conditionalFormatting sqref="C134">
    <cfRule type="cellIs" dxfId="262" priority="261" stopIfTrue="1" operator="equal">
      <formula>"Towel"</formula>
    </cfRule>
  </conditionalFormatting>
  <conditionalFormatting sqref="C134">
    <cfRule type="cellIs" dxfId="261" priority="259" stopIfTrue="1" operator="equal">
      <formula>"Towel"</formula>
    </cfRule>
    <cfRule type="cellIs" dxfId="260" priority="260" stopIfTrue="1" operator="equal">
      <formula>"Napkin Hs"</formula>
    </cfRule>
  </conditionalFormatting>
  <conditionalFormatting sqref="B133:C133">
    <cfRule type="cellIs" dxfId="259" priority="257" stopIfTrue="1" operator="equal">
      <formula>"Towel"</formula>
    </cfRule>
    <cfRule type="cellIs" dxfId="258" priority="258" stopIfTrue="1" operator="equal">
      <formula>"Napkin Hs"</formula>
    </cfRule>
  </conditionalFormatting>
  <conditionalFormatting sqref="C133">
    <cfRule type="cellIs" dxfId="257" priority="256" stopIfTrue="1" operator="equal">
      <formula>"Napkin Hs"</formula>
    </cfRule>
  </conditionalFormatting>
  <conditionalFormatting sqref="C133">
    <cfRule type="cellIs" dxfId="256" priority="253" stopIfTrue="1" operator="equal">
      <formula>"Towel"</formula>
    </cfRule>
    <cfRule type="cellIs" dxfId="255" priority="254" stopIfTrue="1" operator="equal">
      <formula>"Napkin Hs"</formula>
    </cfRule>
  </conditionalFormatting>
  <conditionalFormatting sqref="C133">
    <cfRule type="cellIs" dxfId="254" priority="255" stopIfTrue="1" operator="equal">
      <formula>"Towel"</formula>
    </cfRule>
  </conditionalFormatting>
  <conditionalFormatting sqref="B133:C133">
    <cfRule type="cellIs" dxfId="253" priority="251" stopIfTrue="1" operator="equal">
      <formula>"Towel"</formula>
    </cfRule>
    <cfRule type="cellIs" dxfId="252" priority="252" stopIfTrue="1" operator="equal">
      <formula>"Napkin Hs"</formula>
    </cfRule>
  </conditionalFormatting>
  <conditionalFormatting sqref="C133">
    <cfRule type="cellIs" dxfId="251" priority="250" stopIfTrue="1" operator="equal">
      <formula>"Napkin Hs"</formula>
    </cfRule>
  </conditionalFormatting>
  <conditionalFormatting sqref="C133">
    <cfRule type="cellIs" dxfId="250" priority="247" stopIfTrue="1" operator="equal">
      <formula>"Towel"</formula>
    </cfRule>
    <cfRule type="cellIs" dxfId="249" priority="248" stopIfTrue="1" operator="equal">
      <formula>"Napkin Hs"</formula>
    </cfRule>
  </conditionalFormatting>
  <conditionalFormatting sqref="C133">
    <cfRule type="cellIs" dxfId="248" priority="249" stopIfTrue="1" operator="equal">
      <formula>"Towel"</formula>
    </cfRule>
  </conditionalFormatting>
  <conditionalFormatting sqref="B131:C131">
    <cfRule type="cellIs" dxfId="247" priority="239" stopIfTrue="1" operator="equal">
      <formula>"Towel"</formula>
    </cfRule>
    <cfRule type="cellIs" dxfId="246" priority="240" stopIfTrue="1" operator="equal">
      <formula>"Napkin Hs"</formula>
    </cfRule>
  </conditionalFormatting>
  <conditionalFormatting sqref="C131">
    <cfRule type="cellIs" dxfId="245" priority="238" stopIfTrue="1" operator="equal">
      <formula>"Napkin Hs"</formula>
    </cfRule>
  </conditionalFormatting>
  <conditionalFormatting sqref="C131">
    <cfRule type="cellIs" dxfId="244" priority="235" stopIfTrue="1" operator="equal">
      <formula>"Towel"</formula>
    </cfRule>
    <cfRule type="cellIs" dxfId="243" priority="236" stopIfTrue="1" operator="equal">
      <formula>"Napkin Hs"</formula>
    </cfRule>
  </conditionalFormatting>
  <conditionalFormatting sqref="C131">
    <cfRule type="cellIs" dxfId="242" priority="237" stopIfTrue="1" operator="equal">
      <formula>"Towel"</formula>
    </cfRule>
  </conditionalFormatting>
  <conditionalFormatting sqref="B131:C131">
    <cfRule type="cellIs" dxfId="241" priority="233" stopIfTrue="1" operator="equal">
      <formula>"Towel"</formula>
    </cfRule>
    <cfRule type="cellIs" dxfId="240" priority="234" stopIfTrue="1" operator="equal">
      <formula>"Napkin Hs"</formula>
    </cfRule>
  </conditionalFormatting>
  <conditionalFormatting sqref="C131">
    <cfRule type="cellIs" dxfId="239" priority="231" stopIfTrue="1" operator="equal">
      <formula>"Towel"</formula>
    </cfRule>
    <cfRule type="cellIs" dxfId="238" priority="232" stopIfTrue="1" operator="equal">
      <formula>"Napkin Hs"</formula>
    </cfRule>
  </conditionalFormatting>
  <conditionalFormatting sqref="C131">
    <cfRule type="cellIs" dxfId="237" priority="229" stopIfTrue="1" operator="equal">
      <formula>"Towel"</formula>
    </cfRule>
    <cfRule type="cellIs" dxfId="236" priority="230" stopIfTrue="1" operator="equal">
      <formula>"Napkin Hs"</formula>
    </cfRule>
  </conditionalFormatting>
  <conditionalFormatting sqref="B132:C132">
    <cfRule type="cellIs" dxfId="235" priority="227" stopIfTrue="1" operator="equal">
      <formula>"Towel"</formula>
    </cfRule>
    <cfRule type="cellIs" dxfId="234" priority="228" stopIfTrue="1" operator="equal">
      <formula>"Napkin Hs"</formula>
    </cfRule>
  </conditionalFormatting>
  <conditionalFormatting sqref="C132">
    <cfRule type="cellIs" dxfId="233" priority="226" stopIfTrue="1" operator="equal">
      <formula>"Napkin Hs"</formula>
    </cfRule>
  </conditionalFormatting>
  <conditionalFormatting sqref="C132">
    <cfRule type="cellIs" dxfId="232" priority="223" stopIfTrue="1" operator="equal">
      <formula>"Towel"</formula>
    </cfRule>
    <cfRule type="cellIs" dxfId="231" priority="224" stopIfTrue="1" operator="equal">
      <formula>"Napkin Hs"</formula>
    </cfRule>
  </conditionalFormatting>
  <conditionalFormatting sqref="C132">
    <cfRule type="cellIs" dxfId="230" priority="225" stopIfTrue="1" operator="equal">
      <formula>"Towel"</formula>
    </cfRule>
  </conditionalFormatting>
  <conditionalFormatting sqref="B132:C132">
    <cfRule type="cellIs" dxfId="229" priority="221" stopIfTrue="1" operator="equal">
      <formula>"Towel"</formula>
    </cfRule>
    <cfRule type="cellIs" dxfId="228" priority="222" stopIfTrue="1" operator="equal">
      <formula>"Napkin Hs"</formula>
    </cfRule>
  </conditionalFormatting>
  <conditionalFormatting sqref="C132">
    <cfRule type="cellIs" dxfId="227" priority="220" stopIfTrue="1" operator="equal">
      <formula>"Napkin Hs"</formula>
    </cfRule>
  </conditionalFormatting>
  <conditionalFormatting sqref="C132">
    <cfRule type="cellIs" dxfId="226" priority="217" stopIfTrue="1" operator="equal">
      <formula>"Towel"</formula>
    </cfRule>
    <cfRule type="cellIs" dxfId="225" priority="218" stopIfTrue="1" operator="equal">
      <formula>"Napkin Hs"</formula>
    </cfRule>
  </conditionalFormatting>
  <conditionalFormatting sqref="C132">
    <cfRule type="cellIs" dxfId="224" priority="219" stopIfTrue="1" operator="equal">
      <formula>"Towel"</formula>
    </cfRule>
  </conditionalFormatting>
  <conditionalFormatting sqref="B132:C132">
    <cfRule type="cellIs" dxfId="223" priority="215" stopIfTrue="1" operator="equal">
      <formula>"Towel"</formula>
    </cfRule>
    <cfRule type="cellIs" dxfId="222" priority="216" stopIfTrue="1" operator="equal">
      <formula>"Napkin Hs"</formula>
    </cfRule>
  </conditionalFormatting>
  <conditionalFormatting sqref="C132">
    <cfRule type="cellIs" dxfId="221" priority="214" stopIfTrue="1" operator="equal">
      <formula>"Napkin Hs"</formula>
    </cfRule>
  </conditionalFormatting>
  <conditionalFormatting sqref="C132">
    <cfRule type="cellIs" dxfId="220" priority="211" stopIfTrue="1" operator="equal">
      <formula>"Towel"</formula>
    </cfRule>
    <cfRule type="cellIs" dxfId="219" priority="212" stopIfTrue="1" operator="equal">
      <formula>"Napkin Hs"</formula>
    </cfRule>
  </conditionalFormatting>
  <conditionalFormatting sqref="C132">
    <cfRule type="cellIs" dxfId="218" priority="213" stopIfTrue="1" operator="equal">
      <formula>"Towel"</formula>
    </cfRule>
  </conditionalFormatting>
  <conditionalFormatting sqref="B132:C132">
    <cfRule type="cellIs" dxfId="217" priority="209" stopIfTrue="1" operator="equal">
      <formula>"Towel"</formula>
    </cfRule>
    <cfRule type="cellIs" dxfId="216" priority="210" stopIfTrue="1" operator="equal">
      <formula>"Napkin Hs"</formula>
    </cfRule>
  </conditionalFormatting>
  <conditionalFormatting sqref="C132">
    <cfRule type="cellIs" dxfId="215" priority="208" stopIfTrue="1" operator="equal">
      <formula>"Napkin Hs"</formula>
    </cfRule>
  </conditionalFormatting>
  <conditionalFormatting sqref="C132">
    <cfRule type="cellIs" dxfId="214" priority="205" stopIfTrue="1" operator="equal">
      <formula>"Towel"</formula>
    </cfRule>
    <cfRule type="cellIs" dxfId="213" priority="206" stopIfTrue="1" operator="equal">
      <formula>"Napkin Hs"</formula>
    </cfRule>
  </conditionalFormatting>
  <conditionalFormatting sqref="C132">
    <cfRule type="cellIs" dxfId="212" priority="207" stopIfTrue="1" operator="equal">
      <formula>"Towel"</formula>
    </cfRule>
  </conditionalFormatting>
  <conditionalFormatting sqref="B132:C132">
    <cfRule type="cellIs" dxfId="211" priority="203" stopIfTrue="1" operator="equal">
      <formula>"Towel"</formula>
    </cfRule>
    <cfRule type="cellIs" dxfId="210" priority="204" stopIfTrue="1" operator="equal">
      <formula>"Napkin Hs"</formula>
    </cfRule>
  </conditionalFormatting>
  <conditionalFormatting sqref="C132">
    <cfRule type="cellIs" dxfId="209" priority="202" stopIfTrue="1" operator="equal">
      <formula>"Napkin Hs"</formula>
    </cfRule>
  </conditionalFormatting>
  <conditionalFormatting sqref="C132">
    <cfRule type="cellIs" dxfId="208" priority="199" stopIfTrue="1" operator="equal">
      <formula>"Towel"</formula>
    </cfRule>
    <cfRule type="cellIs" dxfId="207" priority="200" stopIfTrue="1" operator="equal">
      <formula>"Napkin Hs"</formula>
    </cfRule>
  </conditionalFormatting>
  <conditionalFormatting sqref="C132">
    <cfRule type="cellIs" dxfId="206" priority="201" stopIfTrue="1" operator="equal">
      <formula>"Towel"</formula>
    </cfRule>
  </conditionalFormatting>
  <conditionalFormatting sqref="B132:C132">
    <cfRule type="cellIs" dxfId="205" priority="197" stopIfTrue="1" operator="equal">
      <formula>"Towel"</formula>
    </cfRule>
    <cfRule type="cellIs" dxfId="204" priority="198" stopIfTrue="1" operator="equal">
      <formula>"Napkin Hs"</formula>
    </cfRule>
  </conditionalFormatting>
  <conditionalFormatting sqref="C132">
    <cfRule type="cellIs" dxfId="203" priority="196" stopIfTrue="1" operator="equal">
      <formula>"Napkin Hs"</formula>
    </cfRule>
  </conditionalFormatting>
  <conditionalFormatting sqref="C132">
    <cfRule type="cellIs" dxfId="202" priority="193" stopIfTrue="1" operator="equal">
      <formula>"Towel"</formula>
    </cfRule>
    <cfRule type="cellIs" dxfId="201" priority="194" stopIfTrue="1" operator="equal">
      <formula>"Napkin Hs"</formula>
    </cfRule>
  </conditionalFormatting>
  <conditionalFormatting sqref="C132">
    <cfRule type="cellIs" dxfId="200" priority="195" stopIfTrue="1" operator="equal">
      <formula>"Towel"</formula>
    </cfRule>
  </conditionalFormatting>
  <conditionalFormatting sqref="B132:C132">
    <cfRule type="cellIs" dxfId="199" priority="191" stopIfTrue="1" operator="equal">
      <formula>"Towel"</formula>
    </cfRule>
    <cfRule type="cellIs" dxfId="198" priority="192" stopIfTrue="1" operator="equal">
      <formula>"Napkin Hs"</formula>
    </cfRule>
  </conditionalFormatting>
  <conditionalFormatting sqref="C132">
    <cfRule type="cellIs" dxfId="197" priority="190" stopIfTrue="1" operator="equal">
      <formula>"Napkin Hs"</formula>
    </cfRule>
  </conditionalFormatting>
  <conditionalFormatting sqref="C132">
    <cfRule type="cellIs" dxfId="196" priority="187" stopIfTrue="1" operator="equal">
      <formula>"Towel"</formula>
    </cfRule>
    <cfRule type="cellIs" dxfId="195" priority="188" stopIfTrue="1" operator="equal">
      <formula>"Napkin Hs"</formula>
    </cfRule>
  </conditionalFormatting>
  <conditionalFormatting sqref="C132">
    <cfRule type="cellIs" dxfId="194" priority="189" stopIfTrue="1" operator="equal">
      <formula>"Towel"</formula>
    </cfRule>
  </conditionalFormatting>
  <conditionalFormatting sqref="B132:C132">
    <cfRule type="cellIs" dxfId="193" priority="185" stopIfTrue="1" operator="equal">
      <formula>"Towel"</formula>
    </cfRule>
    <cfRule type="cellIs" dxfId="192" priority="186" stopIfTrue="1" operator="equal">
      <formula>"Napkin Hs"</formula>
    </cfRule>
  </conditionalFormatting>
  <conditionalFormatting sqref="C132">
    <cfRule type="cellIs" dxfId="191" priority="184" stopIfTrue="1" operator="equal">
      <formula>"Napkin Hs"</formula>
    </cfRule>
  </conditionalFormatting>
  <conditionalFormatting sqref="C132">
    <cfRule type="cellIs" dxfId="190" priority="181" stopIfTrue="1" operator="equal">
      <formula>"Towel"</formula>
    </cfRule>
    <cfRule type="cellIs" dxfId="189" priority="182" stopIfTrue="1" operator="equal">
      <formula>"Napkin Hs"</formula>
    </cfRule>
  </conditionalFormatting>
  <conditionalFormatting sqref="C132">
    <cfRule type="cellIs" dxfId="188" priority="183" stopIfTrue="1" operator="equal">
      <formula>"Towel"</formula>
    </cfRule>
  </conditionalFormatting>
  <conditionalFormatting sqref="B136:C142">
    <cfRule type="cellIs" dxfId="187" priority="179" stopIfTrue="1" operator="equal">
      <formula>"Towel"</formula>
    </cfRule>
    <cfRule type="cellIs" dxfId="186" priority="180" stopIfTrue="1" operator="equal">
      <formula>"Napkin Hs"</formula>
    </cfRule>
  </conditionalFormatting>
  <conditionalFormatting sqref="C136:C142">
    <cfRule type="cellIs" dxfId="185" priority="178" stopIfTrue="1" operator="equal">
      <formula>"Napkin Hs"</formula>
    </cfRule>
  </conditionalFormatting>
  <conditionalFormatting sqref="C136:C142">
    <cfRule type="cellIs" dxfId="184" priority="177" stopIfTrue="1" operator="equal">
      <formula>"Towel"</formula>
    </cfRule>
  </conditionalFormatting>
  <conditionalFormatting sqref="C136:C142">
    <cfRule type="cellIs" dxfId="183" priority="175" stopIfTrue="1" operator="equal">
      <formula>"Towel"</formula>
    </cfRule>
    <cfRule type="cellIs" dxfId="182" priority="176" stopIfTrue="1" operator="equal">
      <formula>"Napkin Hs"</formula>
    </cfRule>
  </conditionalFormatting>
  <conditionalFormatting sqref="B136:C136">
    <cfRule type="cellIs" dxfId="181" priority="173" stopIfTrue="1" operator="equal">
      <formula>"Towel"</formula>
    </cfRule>
    <cfRule type="cellIs" dxfId="180" priority="174" stopIfTrue="1" operator="equal">
      <formula>"Napkin Hs"</formula>
    </cfRule>
  </conditionalFormatting>
  <conditionalFormatting sqref="C136">
    <cfRule type="cellIs" dxfId="179" priority="172" stopIfTrue="1" operator="equal">
      <formula>"Napkin Hs"</formula>
    </cfRule>
  </conditionalFormatting>
  <conditionalFormatting sqref="C136">
    <cfRule type="cellIs" dxfId="178" priority="169" stopIfTrue="1" operator="equal">
      <formula>"Towel"</formula>
    </cfRule>
    <cfRule type="cellIs" dxfId="177" priority="170" stopIfTrue="1" operator="equal">
      <formula>"Napkin Hs"</formula>
    </cfRule>
  </conditionalFormatting>
  <conditionalFormatting sqref="C136">
    <cfRule type="cellIs" dxfId="176" priority="171" stopIfTrue="1" operator="equal">
      <formula>"Towel"</formula>
    </cfRule>
  </conditionalFormatting>
  <conditionalFormatting sqref="B137:C137">
    <cfRule type="cellIs" dxfId="175" priority="167" stopIfTrue="1" operator="equal">
      <formula>"Towel"</formula>
    </cfRule>
    <cfRule type="cellIs" dxfId="174" priority="168" stopIfTrue="1" operator="equal">
      <formula>"Napkin Hs"</formula>
    </cfRule>
  </conditionalFormatting>
  <conditionalFormatting sqref="C137">
    <cfRule type="cellIs" dxfId="173" priority="166" stopIfTrue="1" operator="equal">
      <formula>"Napkin Hs"</formula>
    </cfRule>
  </conditionalFormatting>
  <conditionalFormatting sqref="C137">
    <cfRule type="cellIs" dxfId="172" priority="163" stopIfTrue="1" operator="equal">
      <formula>"Towel"</formula>
    </cfRule>
    <cfRule type="cellIs" dxfId="171" priority="164" stopIfTrue="1" operator="equal">
      <formula>"Napkin Hs"</formula>
    </cfRule>
  </conditionalFormatting>
  <conditionalFormatting sqref="C137">
    <cfRule type="cellIs" dxfId="170" priority="165" stopIfTrue="1" operator="equal">
      <formula>"Towel"</formula>
    </cfRule>
  </conditionalFormatting>
  <conditionalFormatting sqref="B137:C137">
    <cfRule type="cellIs" dxfId="169" priority="161" stopIfTrue="1" operator="equal">
      <formula>"Towel"</formula>
    </cfRule>
    <cfRule type="cellIs" dxfId="168" priority="162" stopIfTrue="1" operator="equal">
      <formula>"Napkin Hs"</formula>
    </cfRule>
  </conditionalFormatting>
  <conditionalFormatting sqref="C137">
    <cfRule type="cellIs" dxfId="167" priority="160" stopIfTrue="1" operator="equal">
      <formula>"Napkin Hs"</formula>
    </cfRule>
  </conditionalFormatting>
  <conditionalFormatting sqref="C137">
    <cfRule type="cellIs" dxfId="166" priority="157" stopIfTrue="1" operator="equal">
      <formula>"Towel"</formula>
    </cfRule>
    <cfRule type="cellIs" dxfId="165" priority="158" stopIfTrue="1" operator="equal">
      <formula>"Napkin Hs"</formula>
    </cfRule>
  </conditionalFormatting>
  <conditionalFormatting sqref="C137">
    <cfRule type="cellIs" dxfId="164" priority="159" stopIfTrue="1" operator="equal">
      <formula>"Towel"</formula>
    </cfRule>
  </conditionalFormatting>
  <conditionalFormatting sqref="B139:C139">
    <cfRule type="cellIs" dxfId="163" priority="155" stopIfTrue="1" operator="equal">
      <formula>"Towel"</formula>
    </cfRule>
    <cfRule type="cellIs" dxfId="162" priority="156" stopIfTrue="1" operator="equal">
      <formula>"Napkin Hs"</formula>
    </cfRule>
  </conditionalFormatting>
  <conditionalFormatting sqref="C139">
    <cfRule type="cellIs" dxfId="161" priority="154" stopIfTrue="1" operator="equal">
      <formula>"Napkin Hs"</formula>
    </cfRule>
  </conditionalFormatting>
  <conditionalFormatting sqref="C139">
    <cfRule type="cellIs" dxfId="160" priority="151" stopIfTrue="1" operator="equal">
      <formula>"Towel"</formula>
    </cfRule>
    <cfRule type="cellIs" dxfId="159" priority="152" stopIfTrue="1" operator="equal">
      <formula>"Napkin Hs"</formula>
    </cfRule>
  </conditionalFormatting>
  <conditionalFormatting sqref="C139">
    <cfRule type="cellIs" dxfId="158" priority="153" stopIfTrue="1" operator="equal">
      <formula>"Towel"</formula>
    </cfRule>
  </conditionalFormatting>
  <conditionalFormatting sqref="B136:C136">
    <cfRule type="cellIs" dxfId="157" priority="149" stopIfTrue="1" operator="equal">
      <formula>"Towel"</formula>
    </cfRule>
    <cfRule type="cellIs" dxfId="156" priority="150" stopIfTrue="1" operator="equal">
      <formula>"Napkin Hs"</formula>
    </cfRule>
  </conditionalFormatting>
  <conditionalFormatting sqref="C136">
    <cfRule type="cellIs" dxfId="155" priority="148" stopIfTrue="1" operator="equal">
      <formula>"Napkin Hs"</formula>
    </cfRule>
  </conditionalFormatting>
  <conditionalFormatting sqref="C136">
    <cfRule type="cellIs" dxfId="154" priority="145" stopIfTrue="1" operator="equal">
      <formula>"Towel"</formula>
    </cfRule>
    <cfRule type="cellIs" dxfId="153" priority="146" stopIfTrue="1" operator="equal">
      <formula>"Napkin Hs"</formula>
    </cfRule>
  </conditionalFormatting>
  <conditionalFormatting sqref="C136">
    <cfRule type="cellIs" dxfId="152" priority="147" stopIfTrue="1" operator="equal">
      <formula>"Towel"</formula>
    </cfRule>
  </conditionalFormatting>
  <conditionalFormatting sqref="B136:C136">
    <cfRule type="cellIs" dxfId="151" priority="143" stopIfTrue="1" operator="equal">
      <formula>"Towel"</formula>
    </cfRule>
    <cfRule type="cellIs" dxfId="150" priority="144" stopIfTrue="1" operator="equal">
      <formula>"Napkin Hs"</formula>
    </cfRule>
  </conditionalFormatting>
  <conditionalFormatting sqref="C136">
    <cfRule type="cellIs" dxfId="149" priority="142" stopIfTrue="1" operator="equal">
      <formula>"Napkin Hs"</formula>
    </cfRule>
  </conditionalFormatting>
  <conditionalFormatting sqref="C136">
    <cfRule type="cellIs" dxfId="148" priority="139" stopIfTrue="1" operator="equal">
      <formula>"Towel"</formula>
    </cfRule>
    <cfRule type="cellIs" dxfId="147" priority="140" stopIfTrue="1" operator="equal">
      <formula>"Napkin Hs"</formula>
    </cfRule>
  </conditionalFormatting>
  <conditionalFormatting sqref="C136">
    <cfRule type="cellIs" dxfId="146" priority="141" stopIfTrue="1" operator="equal">
      <formula>"Towel"</formula>
    </cfRule>
  </conditionalFormatting>
  <conditionalFormatting sqref="B136:C136">
    <cfRule type="cellIs" dxfId="145" priority="137" stopIfTrue="1" operator="equal">
      <formula>"Towel"</formula>
    </cfRule>
    <cfRule type="cellIs" dxfId="144" priority="138" stopIfTrue="1" operator="equal">
      <formula>"Napkin Hs"</formula>
    </cfRule>
  </conditionalFormatting>
  <conditionalFormatting sqref="C136">
    <cfRule type="cellIs" dxfId="143" priority="136" stopIfTrue="1" operator="equal">
      <formula>"Napkin Hs"</formula>
    </cfRule>
  </conditionalFormatting>
  <conditionalFormatting sqref="C136">
    <cfRule type="cellIs" dxfId="142" priority="133" stopIfTrue="1" operator="equal">
      <formula>"Towel"</formula>
    </cfRule>
    <cfRule type="cellIs" dxfId="141" priority="134" stopIfTrue="1" operator="equal">
      <formula>"Napkin Hs"</formula>
    </cfRule>
  </conditionalFormatting>
  <conditionalFormatting sqref="C136">
    <cfRule type="cellIs" dxfId="140" priority="135" stopIfTrue="1" operator="equal">
      <formula>"Towel"</formula>
    </cfRule>
  </conditionalFormatting>
  <conditionalFormatting sqref="B136:C136">
    <cfRule type="cellIs" dxfId="139" priority="131" stopIfTrue="1" operator="equal">
      <formula>"Towel"</formula>
    </cfRule>
    <cfRule type="cellIs" dxfId="138" priority="132" stopIfTrue="1" operator="equal">
      <formula>"Napkin Hs"</formula>
    </cfRule>
  </conditionalFormatting>
  <conditionalFormatting sqref="C136">
    <cfRule type="cellIs" dxfId="137" priority="130" stopIfTrue="1" operator="equal">
      <formula>"Napkin Hs"</formula>
    </cfRule>
  </conditionalFormatting>
  <conditionalFormatting sqref="C136">
    <cfRule type="cellIs" dxfId="136" priority="127" stopIfTrue="1" operator="equal">
      <formula>"Towel"</formula>
    </cfRule>
    <cfRule type="cellIs" dxfId="135" priority="128" stopIfTrue="1" operator="equal">
      <formula>"Napkin Hs"</formula>
    </cfRule>
  </conditionalFormatting>
  <conditionalFormatting sqref="C136">
    <cfRule type="cellIs" dxfId="134" priority="129" stopIfTrue="1" operator="equal">
      <formula>"Towel"</formula>
    </cfRule>
  </conditionalFormatting>
  <conditionalFormatting sqref="B136:C136">
    <cfRule type="cellIs" dxfId="133" priority="125" stopIfTrue="1" operator="equal">
      <formula>"Towel"</formula>
    </cfRule>
    <cfRule type="cellIs" dxfId="132" priority="126" stopIfTrue="1" operator="equal">
      <formula>"Napkin Hs"</formula>
    </cfRule>
  </conditionalFormatting>
  <conditionalFormatting sqref="C136">
    <cfRule type="cellIs" dxfId="131" priority="124" stopIfTrue="1" operator="equal">
      <formula>"Napkin Hs"</formula>
    </cfRule>
  </conditionalFormatting>
  <conditionalFormatting sqref="C136">
    <cfRule type="cellIs" dxfId="130" priority="121" stopIfTrue="1" operator="equal">
      <formula>"Towel"</formula>
    </cfRule>
    <cfRule type="cellIs" dxfId="129" priority="122" stopIfTrue="1" operator="equal">
      <formula>"Napkin Hs"</formula>
    </cfRule>
  </conditionalFormatting>
  <conditionalFormatting sqref="C136">
    <cfRule type="cellIs" dxfId="128" priority="123" stopIfTrue="1" operator="equal">
      <formula>"Towel"</formula>
    </cfRule>
  </conditionalFormatting>
  <conditionalFormatting sqref="B136:C136">
    <cfRule type="cellIs" dxfId="127" priority="119" stopIfTrue="1" operator="equal">
      <formula>"Towel"</formula>
    </cfRule>
    <cfRule type="cellIs" dxfId="126" priority="120" stopIfTrue="1" operator="equal">
      <formula>"Napkin Hs"</formula>
    </cfRule>
  </conditionalFormatting>
  <conditionalFormatting sqref="C136">
    <cfRule type="cellIs" dxfId="125" priority="118" stopIfTrue="1" operator="equal">
      <formula>"Napkin Hs"</formula>
    </cfRule>
  </conditionalFormatting>
  <conditionalFormatting sqref="C136">
    <cfRule type="cellIs" dxfId="124" priority="115" stopIfTrue="1" operator="equal">
      <formula>"Towel"</formula>
    </cfRule>
    <cfRule type="cellIs" dxfId="123" priority="116" stopIfTrue="1" operator="equal">
      <formula>"Napkin Hs"</formula>
    </cfRule>
  </conditionalFormatting>
  <conditionalFormatting sqref="C136">
    <cfRule type="cellIs" dxfId="122" priority="117" stopIfTrue="1" operator="equal">
      <formula>"Towel"</formula>
    </cfRule>
  </conditionalFormatting>
  <conditionalFormatting sqref="B136:C136">
    <cfRule type="cellIs" dxfId="121" priority="113" stopIfTrue="1" operator="equal">
      <formula>"Towel"</formula>
    </cfRule>
    <cfRule type="cellIs" dxfId="120" priority="114" stopIfTrue="1" operator="equal">
      <formula>"Napkin Hs"</formula>
    </cfRule>
  </conditionalFormatting>
  <conditionalFormatting sqref="C136">
    <cfRule type="cellIs" dxfId="119" priority="112" stopIfTrue="1" operator="equal">
      <formula>"Napkin Hs"</formula>
    </cfRule>
  </conditionalFormatting>
  <conditionalFormatting sqref="C136">
    <cfRule type="cellIs" dxfId="118" priority="109" stopIfTrue="1" operator="equal">
      <formula>"Towel"</formula>
    </cfRule>
    <cfRule type="cellIs" dxfId="117" priority="110" stopIfTrue="1" operator="equal">
      <formula>"Napkin Hs"</formula>
    </cfRule>
  </conditionalFormatting>
  <conditionalFormatting sqref="C136">
    <cfRule type="cellIs" dxfId="116" priority="111" stopIfTrue="1" operator="equal">
      <formula>"Towel"</formula>
    </cfRule>
  </conditionalFormatting>
  <conditionalFormatting sqref="B136:C136">
    <cfRule type="cellIs" dxfId="115" priority="107" stopIfTrue="1" operator="equal">
      <formula>"Towel"</formula>
    </cfRule>
    <cfRule type="cellIs" dxfId="114" priority="108" stopIfTrue="1" operator="equal">
      <formula>"Napkin Hs"</formula>
    </cfRule>
  </conditionalFormatting>
  <conditionalFormatting sqref="C136">
    <cfRule type="cellIs" dxfId="113" priority="106" stopIfTrue="1" operator="equal">
      <formula>"Napkin Hs"</formula>
    </cfRule>
  </conditionalFormatting>
  <conditionalFormatting sqref="C136">
    <cfRule type="cellIs" dxfId="112" priority="103" stopIfTrue="1" operator="equal">
      <formula>"Towel"</formula>
    </cfRule>
    <cfRule type="cellIs" dxfId="111" priority="104" stopIfTrue="1" operator="equal">
      <formula>"Napkin Hs"</formula>
    </cfRule>
  </conditionalFormatting>
  <conditionalFormatting sqref="C136">
    <cfRule type="cellIs" dxfId="110" priority="105" stopIfTrue="1" operator="equal">
      <formula>"Towel"</formula>
    </cfRule>
  </conditionalFormatting>
  <conditionalFormatting sqref="B135:C135">
    <cfRule type="cellIs" dxfId="109" priority="101" stopIfTrue="1" operator="equal">
      <formula>"Towel"</formula>
    </cfRule>
    <cfRule type="cellIs" dxfId="108" priority="102" stopIfTrue="1" operator="equal">
      <formula>"Napkin Hs"</formula>
    </cfRule>
  </conditionalFormatting>
  <conditionalFormatting sqref="C135">
    <cfRule type="cellIs" dxfId="107" priority="100" stopIfTrue="1" operator="equal">
      <formula>"Napkin Hs"</formula>
    </cfRule>
  </conditionalFormatting>
  <conditionalFormatting sqref="C135">
    <cfRule type="cellIs" dxfId="106" priority="99" stopIfTrue="1" operator="equal">
      <formula>"Towel"</formula>
    </cfRule>
  </conditionalFormatting>
  <conditionalFormatting sqref="C135">
    <cfRule type="cellIs" dxfId="105" priority="97" stopIfTrue="1" operator="equal">
      <formula>"Towel"</formula>
    </cfRule>
    <cfRule type="cellIs" dxfId="104" priority="98" stopIfTrue="1" operator="equal">
      <formula>"Napkin Hs"</formula>
    </cfRule>
  </conditionalFormatting>
  <conditionalFormatting sqref="B135:C135">
    <cfRule type="cellIs" dxfId="103" priority="95" stopIfTrue="1" operator="equal">
      <formula>"Towel"</formula>
    </cfRule>
    <cfRule type="cellIs" dxfId="102" priority="96" stopIfTrue="1" operator="equal">
      <formula>"Napkin Hs"</formula>
    </cfRule>
  </conditionalFormatting>
  <conditionalFormatting sqref="C135">
    <cfRule type="cellIs" dxfId="101" priority="94" stopIfTrue="1" operator="equal">
      <formula>"Napkin Hs"</formula>
    </cfRule>
  </conditionalFormatting>
  <conditionalFormatting sqref="C135">
    <cfRule type="cellIs" dxfId="100" priority="91" stopIfTrue="1" operator="equal">
      <formula>"Towel"</formula>
    </cfRule>
    <cfRule type="cellIs" dxfId="99" priority="92" stopIfTrue="1" operator="equal">
      <formula>"Napkin Hs"</formula>
    </cfRule>
  </conditionalFormatting>
  <conditionalFormatting sqref="C135">
    <cfRule type="cellIs" dxfId="98" priority="93" stopIfTrue="1" operator="equal">
      <formula>"Towel"</formula>
    </cfRule>
  </conditionalFormatting>
  <conditionalFormatting sqref="B135:C135">
    <cfRule type="cellIs" dxfId="97" priority="89" stopIfTrue="1" operator="equal">
      <formula>"Towel"</formula>
    </cfRule>
    <cfRule type="cellIs" dxfId="96" priority="90" stopIfTrue="1" operator="equal">
      <formula>"Napkin Hs"</formula>
    </cfRule>
  </conditionalFormatting>
  <conditionalFormatting sqref="C135">
    <cfRule type="cellIs" dxfId="95" priority="88" stopIfTrue="1" operator="equal">
      <formula>"Napkin Hs"</formula>
    </cfRule>
  </conditionalFormatting>
  <conditionalFormatting sqref="C135">
    <cfRule type="cellIs" dxfId="94" priority="85" stopIfTrue="1" operator="equal">
      <formula>"Towel"</formula>
    </cfRule>
    <cfRule type="cellIs" dxfId="93" priority="86" stopIfTrue="1" operator="equal">
      <formula>"Napkin Hs"</formula>
    </cfRule>
  </conditionalFormatting>
  <conditionalFormatting sqref="C135">
    <cfRule type="cellIs" dxfId="92" priority="87" stopIfTrue="1" operator="equal">
      <formula>"Towel"</formula>
    </cfRule>
  </conditionalFormatting>
  <conditionalFormatting sqref="B135:C135">
    <cfRule type="cellIs" dxfId="91" priority="83" stopIfTrue="1" operator="equal">
      <formula>"Towel"</formula>
    </cfRule>
    <cfRule type="cellIs" dxfId="90" priority="84" stopIfTrue="1" operator="equal">
      <formula>"Napkin Hs"</formula>
    </cfRule>
  </conditionalFormatting>
  <conditionalFormatting sqref="C135">
    <cfRule type="cellIs" dxfId="89" priority="82" stopIfTrue="1" operator="equal">
      <formula>"Napkin Hs"</formula>
    </cfRule>
  </conditionalFormatting>
  <conditionalFormatting sqref="C135">
    <cfRule type="cellIs" dxfId="88" priority="79" stopIfTrue="1" operator="equal">
      <formula>"Towel"</formula>
    </cfRule>
    <cfRule type="cellIs" dxfId="87" priority="80" stopIfTrue="1" operator="equal">
      <formula>"Napkin Hs"</formula>
    </cfRule>
  </conditionalFormatting>
  <conditionalFormatting sqref="C135">
    <cfRule type="cellIs" dxfId="86" priority="81" stopIfTrue="1" operator="equal">
      <formula>"Towel"</formula>
    </cfRule>
  </conditionalFormatting>
  <conditionalFormatting sqref="B135:C135">
    <cfRule type="cellIs" dxfId="85" priority="77" stopIfTrue="1" operator="equal">
      <formula>"Towel"</formula>
    </cfRule>
    <cfRule type="cellIs" dxfId="84" priority="78" stopIfTrue="1" operator="equal">
      <formula>"Napkin Hs"</formula>
    </cfRule>
  </conditionalFormatting>
  <conditionalFormatting sqref="C135">
    <cfRule type="cellIs" dxfId="83" priority="76" stopIfTrue="1" operator="equal">
      <formula>"Napkin Hs"</formula>
    </cfRule>
  </conditionalFormatting>
  <conditionalFormatting sqref="C135">
    <cfRule type="cellIs" dxfId="82" priority="73" stopIfTrue="1" operator="equal">
      <formula>"Towel"</formula>
    </cfRule>
    <cfRule type="cellIs" dxfId="81" priority="74" stopIfTrue="1" operator="equal">
      <formula>"Napkin Hs"</formula>
    </cfRule>
  </conditionalFormatting>
  <conditionalFormatting sqref="C135">
    <cfRule type="cellIs" dxfId="80" priority="75" stopIfTrue="1" operator="equal">
      <formula>"Towel"</formula>
    </cfRule>
  </conditionalFormatting>
  <conditionalFormatting sqref="B135:C135">
    <cfRule type="cellIs" dxfId="79" priority="71" stopIfTrue="1" operator="equal">
      <formula>"Towel"</formula>
    </cfRule>
    <cfRule type="cellIs" dxfId="78" priority="72" stopIfTrue="1" operator="equal">
      <formula>"Napkin Hs"</formula>
    </cfRule>
  </conditionalFormatting>
  <conditionalFormatting sqref="C135">
    <cfRule type="cellIs" dxfId="77" priority="70" stopIfTrue="1" operator="equal">
      <formula>"Napkin Hs"</formula>
    </cfRule>
  </conditionalFormatting>
  <conditionalFormatting sqref="C135">
    <cfRule type="cellIs" dxfId="76" priority="67" stopIfTrue="1" operator="equal">
      <formula>"Towel"</formula>
    </cfRule>
    <cfRule type="cellIs" dxfId="75" priority="68" stopIfTrue="1" operator="equal">
      <formula>"Napkin Hs"</formula>
    </cfRule>
  </conditionalFormatting>
  <conditionalFormatting sqref="C135">
    <cfRule type="cellIs" dxfId="74" priority="69" stopIfTrue="1" operator="equal">
      <formula>"Towel"</formula>
    </cfRule>
  </conditionalFormatting>
  <conditionalFormatting sqref="B135:C135">
    <cfRule type="cellIs" dxfId="73" priority="65" stopIfTrue="1" operator="equal">
      <formula>"Towel"</formula>
    </cfRule>
    <cfRule type="cellIs" dxfId="72" priority="66" stopIfTrue="1" operator="equal">
      <formula>"Napkin Hs"</formula>
    </cfRule>
  </conditionalFormatting>
  <conditionalFormatting sqref="C135">
    <cfRule type="cellIs" dxfId="71" priority="64" stopIfTrue="1" operator="equal">
      <formula>"Napkin Hs"</formula>
    </cfRule>
  </conditionalFormatting>
  <conditionalFormatting sqref="C135">
    <cfRule type="cellIs" dxfId="70" priority="61" stopIfTrue="1" operator="equal">
      <formula>"Towel"</formula>
    </cfRule>
    <cfRule type="cellIs" dxfId="69" priority="62" stopIfTrue="1" operator="equal">
      <formula>"Napkin Hs"</formula>
    </cfRule>
  </conditionalFormatting>
  <conditionalFormatting sqref="C135">
    <cfRule type="cellIs" dxfId="68" priority="63" stopIfTrue="1" operator="equal">
      <formula>"Towel"</formula>
    </cfRule>
  </conditionalFormatting>
  <conditionalFormatting sqref="B135:C135">
    <cfRule type="cellIs" dxfId="67" priority="59" stopIfTrue="1" operator="equal">
      <formula>"Towel"</formula>
    </cfRule>
    <cfRule type="cellIs" dxfId="66" priority="60" stopIfTrue="1" operator="equal">
      <formula>"Napkin Hs"</formula>
    </cfRule>
  </conditionalFormatting>
  <conditionalFormatting sqref="C135">
    <cfRule type="cellIs" dxfId="65" priority="58" stopIfTrue="1" operator="equal">
      <formula>"Napkin Hs"</formula>
    </cfRule>
  </conditionalFormatting>
  <conditionalFormatting sqref="C135">
    <cfRule type="cellIs" dxfId="64" priority="55" stopIfTrue="1" operator="equal">
      <formula>"Towel"</formula>
    </cfRule>
    <cfRule type="cellIs" dxfId="63" priority="56" stopIfTrue="1" operator="equal">
      <formula>"Napkin Hs"</formula>
    </cfRule>
  </conditionalFormatting>
  <conditionalFormatting sqref="C135">
    <cfRule type="cellIs" dxfId="62" priority="57" stopIfTrue="1" operator="equal">
      <formula>"Towel"</formula>
    </cfRule>
  </conditionalFormatting>
  <conditionalFormatting sqref="B135:C135">
    <cfRule type="cellIs" dxfId="61" priority="53" stopIfTrue="1" operator="equal">
      <formula>"Towel"</formula>
    </cfRule>
    <cfRule type="cellIs" dxfId="60" priority="54" stopIfTrue="1" operator="equal">
      <formula>"Napkin Hs"</formula>
    </cfRule>
  </conditionalFormatting>
  <conditionalFormatting sqref="C135">
    <cfRule type="cellIs" dxfId="59" priority="52" stopIfTrue="1" operator="equal">
      <formula>"Napkin Hs"</formula>
    </cfRule>
  </conditionalFormatting>
  <conditionalFormatting sqref="C135">
    <cfRule type="cellIs" dxfId="58" priority="49" stopIfTrue="1" operator="equal">
      <formula>"Towel"</formula>
    </cfRule>
    <cfRule type="cellIs" dxfId="57" priority="50" stopIfTrue="1" operator="equal">
      <formula>"Napkin Hs"</formula>
    </cfRule>
  </conditionalFormatting>
  <conditionalFormatting sqref="C135">
    <cfRule type="cellIs" dxfId="56" priority="51" stopIfTrue="1" operator="equal">
      <formula>"Towel"</formula>
    </cfRule>
  </conditionalFormatting>
  <conditionalFormatting sqref="B135:C135">
    <cfRule type="cellIs" dxfId="55" priority="47" stopIfTrue="1" operator="equal">
      <formula>"Towel"</formula>
    </cfRule>
    <cfRule type="cellIs" dxfId="54" priority="48" stopIfTrue="1" operator="equal">
      <formula>"Napkin Hs"</formula>
    </cfRule>
  </conditionalFormatting>
  <conditionalFormatting sqref="C135">
    <cfRule type="cellIs" dxfId="53" priority="46" stopIfTrue="1" operator="equal">
      <formula>"Napkin Hs"</formula>
    </cfRule>
  </conditionalFormatting>
  <conditionalFormatting sqref="C135">
    <cfRule type="cellIs" dxfId="52" priority="43" stopIfTrue="1" operator="equal">
      <formula>"Towel"</formula>
    </cfRule>
    <cfRule type="cellIs" dxfId="51" priority="44" stopIfTrue="1" operator="equal">
      <formula>"Napkin Hs"</formula>
    </cfRule>
  </conditionalFormatting>
  <conditionalFormatting sqref="C135">
    <cfRule type="cellIs" dxfId="50" priority="45" stopIfTrue="1" operator="equal">
      <formula>"Towel"</formula>
    </cfRule>
  </conditionalFormatting>
  <conditionalFormatting sqref="B9:C9">
    <cfRule type="cellIs" dxfId="49" priority="41" stopIfTrue="1" operator="equal">
      <formula>"Towel"</formula>
    </cfRule>
    <cfRule type="cellIs" dxfId="48" priority="42" stopIfTrue="1" operator="equal">
      <formula>"Napkin Hs"</formula>
    </cfRule>
  </conditionalFormatting>
  <conditionalFormatting sqref="C9">
    <cfRule type="cellIs" dxfId="47" priority="40" stopIfTrue="1" operator="equal">
      <formula>"Napkin Hs"</formula>
    </cfRule>
  </conditionalFormatting>
  <conditionalFormatting sqref="C9">
    <cfRule type="cellIs" dxfId="46" priority="37" stopIfTrue="1" operator="equal">
      <formula>"Towel"</formula>
    </cfRule>
    <cfRule type="cellIs" dxfId="45" priority="38" stopIfTrue="1" operator="equal">
      <formula>"Napkin Hs"</formula>
    </cfRule>
  </conditionalFormatting>
  <conditionalFormatting sqref="C9">
    <cfRule type="cellIs" dxfId="44" priority="39" stopIfTrue="1" operator="equal">
      <formula>"Towel"</formula>
    </cfRule>
  </conditionalFormatting>
  <conditionalFormatting sqref="B8:C8">
    <cfRule type="cellIs" dxfId="43" priority="35" stopIfTrue="1" operator="equal">
      <formula>"Towel"</formula>
    </cfRule>
    <cfRule type="cellIs" dxfId="42" priority="36" stopIfTrue="1" operator="equal">
      <formula>"Napkin Hs"</formula>
    </cfRule>
  </conditionalFormatting>
  <conditionalFormatting sqref="C8">
    <cfRule type="cellIs" dxfId="41" priority="34" stopIfTrue="1" operator="equal">
      <formula>"Napkin Hs"</formula>
    </cfRule>
  </conditionalFormatting>
  <conditionalFormatting sqref="C8">
    <cfRule type="cellIs" dxfId="40" priority="31" stopIfTrue="1" operator="equal">
      <formula>"Towel"</formula>
    </cfRule>
    <cfRule type="cellIs" dxfId="39" priority="32" stopIfTrue="1" operator="equal">
      <formula>"Napkin Hs"</formula>
    </cfRule>
  </conditionalFormatting>
  <conditionalFormatting sqref="C8">
    <cfRule type="cellIs" dxfId="38" priority="33" stopIfTrue="1" operator="equal">
      <formula>"Towel"</formula>
    </cfRule>
  </conditionalFormatting>
  <conditionalFormatting sqref="B10:C10">
    <cfRule type="cellIs" dxfId="37" priority="29" stopIfTrue="1" operator="equal">
      <formula>"Towel"</formula>
    </cfRule>
    <cfRule type="cellIs" dxfId="36" priority="30" stopIfTrue="1" operator="equal">
      <formula>"Napkin Hs"</formula>
    </cfRule>
  </conditionalFormatting>
  <conditionalFormatting sqref="C10">
    <cfRule type="cellIs" dxfId="35" priority="28" stopIfTrue="1" operator="equal">
      <formula>"Napkin Hs"</formula>
    </cfRule>
  </conditionalFormatting>
  <conditionalFormatting sqref="C10">
    <cfRule type="cellIs" dxfId="34" priority="25" stopIfTrue="1" operator="equal">
      <formula>"Towel"</formula>
    </cfRule>
    <cfRule type="cellIs" dxfId="33" priority="26" stopIfTrue="1" operator="equal">
      <formula>"Napkin Hs"</formula>
    </cfRule>
  </conditionalFormatting>
  <conditionalFormatting sqref="C10">
    <cfRule type="cellIs" dxfId="32" priority="27" stopIfTrue="1" operator="equal">
      <formula>"Towel"</formula>
    </cfRule>
  </conditionalFormatting>
  <conditionalFormatting sqref="B6:C6">
    <cfRule type="cellIs" dxfId="31" priority="23" stopIfTrue="1" operator="equal">
      <formula>"Towel"</formula>
    </cfRule>
    <cfRule type="cellIs" dxfId="30" priority="24" stopIfTrue="1" operator="equal">
      <formula>"Napkin Hs"</formula>
    </cfRule>
  </conditionalFormatting>
  <conditionalFormatting sqref="C6">
    <cfRule type="cellIs" dxfId="29" priority="22" stopIfTrue="1" operator="equal">
      <formula>"Napkin Hs"</formula>
    </cfRule>
  </conditionalFormatting>
  <conditionalFormatting sqref="C6">
    <cfRule type="cellIs" dxfId="28" priority="19" stopIfTrue="1" operator="equal">
      <formula>"Towel"</formula>
    </cfRule>
    <cfRule type="cellIs" dxfId="27" priority="20" stopIfTrue="1" operator="equal">
      <formula>"Napkin Hs"</formula>
    </cfRule>
  </conditionalFormatting>
  <conditionalFormatting sqref="C6">
    <cfRule type="cellIs" dxfId="26" priority="21" stopIfTrue="1" operator="equal">
      <formula>"Towel"</formula>
    </cfRule>
  </conditionalFormatting>
  <conditionalFormatting sqref="B6:C6">
    <cfRule type="cellIs" dxfId="25" priority="17" stopIfTrue="1" operator="equal">
      <formula>"Towel"</formula>
    </cfRule>
    <cfRule type="cellIs" dxfId="24" priority="18" stopIfTrue="1" operator="equal">
      <formula>"Napkin Hs"</formula>
    </cfRule>
  </conditionalFormatting>
  <conditionalFormatting sqref="C6">
    <cfRule type="cellIs" dxfId="23" priority="16" stopIfTrue="1" operator="equal">
      <formula>"Napkin Hs"</formula>
    </cfRule>
  </conditionalFormatting>
  <conditionalFormatting sqref="C6">
    <cfRule type="cellIs" dxfId="22" priority="13" stopIfTrue="1" operator="equal">
      <formula>"Towel"</formula>
    </cfRule>
    <cfRule type="cellIs" dxfId="21" priority="14" stopIfTrue="1" operator="equal">
      <formula>"Napkin Hs"</formula>
    </cfRule>
  </conditionalFormatting>
  <conditionalFormatting sqref="C6">
    <cfRule type="cellIs" dxfId="20" priority="15" stopIfTrue="1" operator="equal">
      <formula>"Towel"</formula>
    </cfRule>
  </conditionalFormatting>
  <conditionalFormatting sqref="B7:C7">
    <cfRule type="cellIs" dxfId="19" priority="11" stopIfTrue="1" operator="equal">
      <formula>"Towel"</formula>
    </cfRule>
    <cfRule type="cellIs" dxfId="18" priority="12" stopIfTrue="1" operator="equal">
      <formula>"Napkin Hs"</formula>
    </cfRule>
  </conditionalFormatting>
  <conditionalFormatting sqref="C7">
    <cfRule type="cellIs" dxfId="17" priority="10" stopIfTrue="1" operator="equal">
      <formula>"Napkin Hs"</formula>
    </cfRule>
  </conditionalFormatting>
  <conditionalFormatting sqref="C7">
    <cfRule type="cellIs" dxfId="16" priority="7" stopIfTrue="1" operator="equal">
      <formula>"Towel"</formula>
    </cfRule>
    <cfRule type="cellIs" dxfId="15" priority="8" stopIfTrue="1" operator="equal">
      <formula>"Napkin Hs"</formula>
    </cfRule>
  </conditionalFormatting>
  <conditionalFormatting sqref="C7">
    <cfRule type="cellIs" dxfId="14" priority="9" stopIfTrue="1" operator="equal">
      <formula>"Towel"</formula>
    </cfRule>
  </conditionalFormatting>
  <conditionalFormatting sqref="B7:C7">
    <cfRule type="cellIs" dxfId="13" priority="5" stopIfTrue="1" operator="equal">
      <formula>"Towel"</formula>
    </cfRule>
    <cfRule type="cellIs" dxfId="12" priority="6" stopIfTrue="1" operator="equal">
      <formula>"Napkin Hs"</formula>
    </cfRule>
  </conditionalFormatting>
  <conditionalFormatting sqref="C7">
    <cfRule type="cellIs" dxfId="11" priority="4" stopIfTrue="1" operator="equal">
      <formula>"Napkin Hs"</formula>
    </cfRule>
  </conditionalFormatting>
  <conditionalFormatting sqref="C7">
    <cfRule type="cellIs" dxfId="10" priority="1" stopIfTrue="1" operator="equal">
      <formula>"Towel"</formula>
    </cfRule>
    <cfRule type="cellIs" dxfId="9" priority="2" stopIfTrue="1" operator="equal">
      <formula>"Napkin Hs"</formula>
    </cfRule>
  </conditionalFormatting>
  <conditionalFormatting sqref="C7">
    <cfRule type="cellIs" dxfId="8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45"/>
  <sheetViews>
    <sheetView zoomScale="85" workbookViewId="0">
      <pane xSplit="5" ySplit="8" topLeftCell="EC33" activePane="bottomRight" state="frozen"/>
      <selection pane="topRight" activeCell="E1" sqref="E1"/>
      <selection pane="bottomLeft" activeCell="A9" sqref="A9"/>
      <selection pane="bottomRight" activeCell="KV40" sqref="KV40"/>
    </sheetView>
  </sheetViews>
  <sheetFormatPr defaultColWidth="10.42578125" defaultRowHeight="15" customHeight="1"/>
  <cols>
    <col min="1" max="1" width="8.140625" style="261" customWidth="1"/>
    <col min="2" max="2" width="13.5703125" style="261" customWidth="1"/>
    <col min="3" max="3" width="13.28515625" style="262" customWidth="1"/>
    <col min="4" max="4" width="11.140625" style="262" customWidth="1"/>
    <col min="5" max="5" width="11" style="263" customWidth="1"/>
    <col min="6" max="23" width="12.42578125" style="496" customWidth="1"/>
    <col min="24" max="38" width="12.42578125" style="496" hidden="1" customWidth="1"/>
    <col min="39" max="44" width="12.42578125" style="496" customWidth="1"/>
    <col min="45" max="47" width="12.42578125" style="496" hidden="1" customWidth="1"/>
    <col min="48" max="53" width="12.42578125" style="496" customWidth="1"/>
    <col min="54" max="65" width="12.42578125" style="496" hidden="1" customWidth="1"/>
    <col min="66" max="71" width="12.42578125" style="496" customWidth="1"/>
    <col min="72" max="83" width="12.42578125" style="496" hidden="1" customWidth="1"/>
    <col min="84" max="107" width="12.42578125" style="496" customWidth="1"/>
    <col min="108" max="128" width="12.42578125" style="496" hidden="1" customWidth="1"/>
    <col min="129" max="140" width="12.42578125" style="496" customWidth="1"/>
    <col min="141" max="269" width="12.42578125" style="496" hidden="1" customWidth="1"/>
    <col min="270" max="303" width="5.5703125" style="496" hidden="1" customWidth="1"/>
    <col min="304" max="304" width="8.7109375" style="496" hidden="1" customWidth="1"/>
    <col min="305" max="305" width="7.7109375" style="496" hidden="1" customWidth="1"/>
    <col min="306" max="306" width="21" style="496" bestFit="1" customWidth="1"/>
    <col min="307" max="307" width="19.85546875" style="496" bestFit="1" customWidth="1"/>
    <col min="308" max="16384" width="10.42578125" style="261"/>
  </cols>
  <sheetData>
    <row r="1" spans="1:308" ht="15" customHeight="1">
      <c r="A1" s="257"/>
      <c r="B1" s="258"/>
      <c r="C1" s="259"/>
      <c r="D1" s="259"/>
      <c r="E1" s="260"/>
    </row>
    <row r="2" spans="1:308" ht="15" customHeight="1">
      <c r="A2" s="257"/>
    </row>
    <row r="3" spans="1:308" ht="15" customHeight="1">
      <c r="A3" s="265"/>
    </row>
    <row r="4" spans="1:308" ht="15" customHeight="1">
      <c r="A4" s="473" t="s">
        <v>288</v>
      </c>
    </row>
    <row r="5" spans="1:308" ht="15" customHeight="1" thickBot="1"/>
    <row r="6" spans="1:308" ht="15" customHeight="1">
      <c r="A6" s="726" t="s">
        <v>28</v>
      </c>
      <c r="B6" s="726" t="s">
        <v>4</v>
      </c>
      <c r="C6" s="726" t="s">
        <v>5</v>
      </c>
      <c r="D6" s="729" t="s">
        <v>40</v>
      </c>
      <c r="E6" s="732" t="s">
        <v>38</v>
      </c>
      <c r="F6" s="748" t="s">
        <v>307</v>
      </c>
      <c r="G6" s="748"/>
      <c r="H6" s="748"/>
      <c r="I6" s="748"/>
      <c r="J6" s="748"/>
      <c r="K6" s="748"/>
      <c r="L6" s="748"/>
      <c r="M6" s="748"/>
      <c r="N6" s="748"/>
      <c r="O6" s="748"/>
      <c r="P6" s="748"/>
      <c r="Q6" s="748"/>
      <c r="R6" s="748"/>
      <c r="S6" s="748"/>
      <c r="T6" s="748"/>
      <c r="U6" s="748"/>
      <c r="V6" s="748"/>
      <c r="W6" s="748"/>
      <c r="X6" s="748"/>
      <c r="Y6" s="748"/>
      <c r="Z6" s="748"/>
      <c r="AA6" s="748"/>
      <c r="AB6" s="748"/>
      <c r="AC6" s="748"/>
      <c r="AD6" s="748"/>
      <c r="AE6" s="748"/>
      <c r="AF6" s="748"/>
      <c r="AG6" s="748"/>
      <c r="AH6" s="748"/>
      <c r="AI6" s="748"/>
      <c r="AJ6" s="748"/>
      <c r="AK6" s="748"/>
      <c r="AL6" s="748"/>
      <c r="AM6" s="748"/>
      <c r="AN6" s="748"/>
      <c r="AO6" s="748"/>
      <c r="AP6" s="748"/>
      <c r="AQ6" s="748"/>
      <c r="AR6" s="748"/>
      <c r="AS6" s="748"/>
      <c r="AT6" s="748"/>
      <c r="AU6" s="748"/>
      <c r="AV6" s="748"/>
      <c r="AW6" s="748"/>
      <c r="AX6" s="748"/>
      <c r="AY6" s="748"/>
      <c r="AZ6" s="748"/>
      <c r="BA6" s="748"/>
      <c r="BB6" s="748"/>
      <c r="BC6" s="748"/>
      <c r="BD6" s="748"/>
      <c r="BE6" s="748"/>
      <c r="BF6" s="748"/>
      <c r="BG6" s="748"/>
      <c r="BH6" s="748"/>
      <c r="BI6" s="748"/>
      <c r="BJ6" s="748"/>
      <c r="BK6" s="748"/>
      <c r="BL6" s="748"/>
      <c r="BM6" s="748"/>
      <c r="BN6" s="748"/>
      <c r="BO6" s="748"/>
      <c r="BP6" s="748"/>
      <c r="BQ6" s="748"/>
      <c r="BR6" s="748"/>
      <c r="BS6" s="748"/>
      <c r="BT6" s="748"/>
      <c r="BU6" s="748"/>
      <c r="BV6" s="748"/>
      <c r="BW6" s="748"/>
      <c r="BX6" s="748"/>
      <c r="BY6" s="748"/>
      <c r="BZ6" s="748"/>
      <c r="CA6" s="748"/>
      <c r="CB6" s="748"/>
      <c r="CC6" s="748"/>
      <c r="CD6" s="748"/>
      <c r="CE6" s="748"/>
      <c r="CF6" s="748"/>
      <c r="CG6" s="748"/>
      <c r="CH6" s="748"/>
      <c r="CI6" s="748"/>
      <c r="CJ6" s="748"/>
      <c r="CK6" s="748"/>
      <c r="CL6" s="748"/>
      <c r="CM6" s="748"/>
      <c r="CN6" s="748"/>
      <c r="CO6" s="748"/>
      <c r="CP6" s="748"/>
      <c r="CQ6" s="748"/>
      <c r="CR6" s="748"/>
      <c r="CS6" s="748"/>
      <c r="CT6" s="748"/>
      <c r="CU6" s="748"/>
      <c r="CV6" s="748"/>
      <c r="CW6" s="748"/>
      <c r="CX6" s="748"/>
      <c r="CY6" s="748"/>
      <c r="CZ6" s="748"/>
      <c r="DA6" s="748"/>
      <c r="DB6" s="748"/>
      <c r="DC6" s="748"/>
      <c r="DD6" s="748"/>
      <c r="DE6" s="748"/>
      <c r="DF6" s="748"/>
      <c r="DG6" s="748"/>
      <c r="DH6" s="748"/>
      <c r="DI6" s="748"/>
      <c r="DJ6" s="748"/>
      <c r="DK6" s="748"/>
      <c r="DL6" s="748"/>
      <c r="DM6" s="748"/>
      <c r="DN6" s="748"/>
      <c r="DO6" s="748"/>
      <c r="DP6" s="748"/>
      <c r="DQ6" s="748"/>
      <c r="DR6" s="748"/>
      <c r="DS6" s="748"/>
      <c r="DT6" s="748"/>
      <c r="DU6" s="748"/>
      <c r="DV6" s="748"/>
      <c r="DW6" s="748"/>
      <c r="DX6" s="748"/>
      <c r="DY6" s="748"/>
      <c r="DZ6" s="748"/>
      <c r="EA6" s="748"/>
      <c r="EB6" s="748"/>
      <c r="EC6" s="748"/>
      <c r="ED6" s="748"/>
      <c r="EE6" s="748"/>
      <c r="EF6" s="748"/>
      <c r="EG6" s="748"/>
      <c r="EH6" s="748"/>
      <c r="EI6" s="748"/>
      <c r="EJ6" s="748"/>
      <c r="EK6" s="748"/>
      <c r="EL6" s="748"/>
      <c r="EM6" s="748"/>
      <c r="EN6" s="748"/>
      <c r="EO6" s="748"/>
      <c r="EP6" s="748"/>
      <c r="EQ6" s="748"/>
      <c r="ER6" s="748"/>
      <c r="ES6" s="748"/>
      <c r="ET6" s="748"/>
      <c r="EU6" s="748"/>
      <c r="EV6" s="748"/>
      <c r="EW6" s="748"/>
      <c r="EX6" s="748"/>
      <c r="EY6" s="748"/>
      <c r="EZ6" s="748"/>
      <c r="FA6" s="748"/>
      <c r="FB6" s="748"/>
      <c r="FC6" s="748"/>
      <c r="FD6" s="748"/>
      <c r="FE6" s="748"/>
      <c r="FF6" s="748"/>
      <c r="FG6" s="748"/>
      <c r="FH6" s="748"/>
      <c r="FI6" s="748"/>
      <c r="FJ6" s="748"/>
      <c r="FK6" s="748"/>
      <c r="FL6" s="748"/>
      <c r="FM6" s="748"/>
      <c r="FN6" s="748"/>
      <c r="FO6" s="748"/>
      <c r="FP6" s="748"/>
      <c r="FQ6" s="748"/>
      <c r="FR6" s="748"/>
      <c r="FS6" s="748"/>
      <c r="FT6" s="748"/>
      <c r="FU6" s="748"/>
      <c r="FV6" s="748"/>
      <c r="FW6" s="748"/>
      <c r="FX6" s="748"/>
      <c r="FY6" s="748"/>
      <c r="FZ6" s="748"/>
      <c r="GA6" s="748"/>
      <c r="GB6" s="748"/>
      <c r="GC6" s="749"/>
      <c r="GD6" s="743" t="s">
        <v>308</v>
      </c>
      <c r="GE6" s="744"/>
      <c r="GF6" s="744"/>
      <c r="GG6" s="744"/>
      <c r="GH6" s="744"/>
      <c r="GI6" s="744"/>
      <c r="GJ6" s="744"/>
      <c r="GK6" s="744"/>
      <c r="GL6" s="744"/>
      <c r="GM6" s="744"/>
      <c r="GN6" s="744"/>
      <c r="GO6" s="744"/>
      <c r="GP6" s="744"/>
      <c r="GQ6" s="744"/>
      <c r="GR6" s="744"/>
      <c r="GS6" s="744"/>
      <c r="GT6" s="744"/>
      <c r="GU6" s="744"/>
      <c r="GV6" s="744"/>
      <c r="GW6" s="744"/>
      <c r="GX6" s="744"/>
      <c r="GY6" s="744"/>
      <c r="GZ6" s="744"/>
      <c r="HA6" s="744"/>
      <c r="HB6" s="744"/>
      <c r="HC6" s="744"/>
      <c r="HD6" s="744"/>
      <c r="HE6" s="744"/>
      <c r="HF6" s="744"/>
      <c r="HG6" s="744"/>
      <c r="HH6" s="744"/>
      <c r="HI6" s="744"/>
      <c r="HJ6" s="744"/>
      <c r="HK6" s="744"/>
      <c r="HL6" s="744"/>
      <c r="HM6" s="744"/>
      <c r="HN6" s="744"/>
      <c r="HO6" s="744"/>
      <c r="HP6" s="744"/>
      <c r="HQ6" s="744"/>
      <c r="HR6" s="744"/>
      <c r="HS6" s="744"/>
      <c r="HT6" s="744"/>
      <c r="HU6" s="744"/>
      <c r="HV6" s="744"/>
      <c r="HW6" s="744"/>
      <c r="HX6" s="744"/>
      <c r="HY6" s="744"/>
      <c r="HZ6" s="744"/>
      <c r="IA6" s="744"/>
      <c r="IB6" s="744"/>
      <c r="IC6" s="744"/>
      <c r="ID6" s="744"/>
      <c r="IE6" s="744"/>
      <c r="IF6" s="744"/>
      <c r="IG6" s="744"/>
      <c r="IH6" s="744"/>
      <c r="II6" s="744"/>
      <c r="IJ6" s="744"/>
      <c r="IK6" s="744"/>
      <c r="IL6" s="744"/>
      <c r="IM6" s="744"/>
      <c r="IN6" s="744"/>
      <c r="IO6" s="744"/>
      <c r="IP6" s="744"/>
      <c r="IQ6" s="744"/>
      <c r="IR6" s="744"/>
      <c r="IS6" s="744"/>
      <c r="IT6" s="744"/>
      <c r="IU6" s="744"/>
      <c r="IV6" s="744"/>
      <c r="IW6" s="744"/>
      <c r="IX6" s="744"/>
      <c r="IY6" s="744"/>
      <c r="IZ6" s="744"/>
      <c r="JA6" s="744"/>
      <c r="JB6" s="744"/>
      <c r="JC6" s="744"/>
      <c r="JD6" s="744"/>
      <c r="JE6" s="744"/>
      <c r="JF6" s="744"/>
      <c r="JG6" s="744"/>
      <c r="JH6" s="744"/>
      <c r="JI6" s="744"/>
      <c r="JJ6" s="744"/>
      <c r="JK6" s="744"/>
      <c r="JL6" s="744"/>
      <c r="JM6" s="744"/>
      <c r="JN6" s="744"/>
      <c r="JO6" s="744"/>
      <c r="JP6" s="744"/>
      <c r="JQ6" s="744"/>
      <c r="JR6" s="744"/>
      <c r="JS6" s="744"/>
      <c r="JT6" s="744"/>
      <c r="JU6" s="744"/>
      <c r="JV6" s="744"/>
      <c r="JW6" s="744"/>
      <c r="JX6" s="744"/>
      <c r="JY6" s="744"/>
      <c r="JZ6" s="744"/>
      <c r="KA6" s="744"/>
      <c r="KB6" s="744"/>
      <c r="KC6" s="744"/>
      <c r="KD6" s="744"/>
      <c r="KE6" s="744"/>
      <c r="KF6" s="744"/>
      <c r="KG6" s="744"/>
      <c r="KH6" s="744"/>
      <c r="KI6" s="744"/>
      <c r="KJ6" s="744"/>
      <c r="KK6" s="744"/>
      <c r="KL6" s="744"/>
      <c r="KM6" s="744"/>
      <c r="KN6" s="744"/>
      <c r="KO6" s="744"/>
      <c r="KP6" s="744"/>
      <c r="KQ6" s="744"/>
      <c r="KR6" s="744"/>
      <c r="KS6" s="745"/>
      <c r="KT6" s="746" t="s">
        <v>309</v>
      </c>
      <c r="KU6" s="746" t="s">
        <v>308</v>
      </c>
    </row>
    <row r="7" spans="1:308" ht="15" customHeight="1">
      <c r="A7" s="727"/>
      <c r="B7" s="727"/>
      <c r="C7" s="727"/>
      <c r="D7" s="730"/>
      <c r="E7" s="733"/>
      <c r="F7" s="747" t="s">
        <v>310</v>
      </c>
      <c r="G7" s="747"/>
      <c r="H7" s="739"/>
      <c r="I7" s="738" t="s">
        <v>311</v>
      </c>
      <c r="J7" s="747"/>
      <c r="K7" s="739"/>
      <c r="L7" s="738" t="s">
        <v>312</v>
      </c>
      <c r="M7" s="747"/>
      <c r="N7" s="739"/>
      <c r="O7" s="738" t="s">
        <v>313</v>
      </c>
      <c r="P7" s="747"/>
      <c r="Q7" s="739"/>
      <c r="R7" s="738" t="s">
        <v>314</v>
      </c>
      <c r="S7" s="747"/>
      <c r="T7" s="739"/>
      <c r="U7" s="738" t="s">
        <v>316</v>
      </c>
      <c r="V7" s="747"/>
      <c r="W7" s="739"/>
      <c r="X7" s="738" t="s">
        <v>315</v>
      </c>
      <c r="Y7" s="747"/>
      <c r="Z7" s="739"/>
      <c r="AA7" s="738" t="s">
        <v>316</v>
      </c>
      <c r="AB7" s="747"/>
      <c r="AC7" s="739"/>
      <c r="AD7" s="738" t="s">
        <v>317</v>
      </c>
      <c r="AE7" s="747"/>
      <c r="AF7" s="739"/>
      <c r="AG7" s="738" t="s">
        <v>318</v>
      </c>
      <c r="AH7" s="747"/>
      <c r="AI7" s="739"/>
      <c r="AJ7" s="738" t="s">
        <v>319</v>
      </c>
      <c r="AK7" s="747"/>
      <c r="AL7" s="739"/>
      <c r="AM7" s="738" t="s">
        <v>537</v>
      </c>
      <c r="AN7" s="747"/>
      <c r="AO7" s="739"/>
      <c r="AP7" s="738" t="s">
        <v>320</v>
      </c>
      <c r="AQ7" s="747"/>
      <c r="AR7" s="739"/>
      <c r="AS7" s="738" t="s">
        <v>321</v>
      </c>
      <c r="AT7" s="747"/>
      <c r="AU7" s="739"/>
      <c r="AV7" s="738" t="s">
        <v>322</v>
      </c>
      <c r="AW7" s="747"/>
      <c r="AX7" s="739"/>
      <c r="AY7" s="735" t="s">
        <v>323</v>
      </c>
      <c r="AZ7" s="736"/>
      <c r="BA7" s="736"/>
      <c r="BB7" s="735" t="s">
        <v>324</v>
      </c>
      <c r="BC7" s="736"/>
      <c r="BD7" s="737"/>
      <c r="BE7" s="735" t="s">
        <v>325</v>
      </c>
      <c r="BF7" s="736"/>
      <c r="BG7" s="736"/>
      <c r="BH7" s="735" t="s">
        <v>326</v>
      </c>
      <c r="BI7" s="736"/>
      <c r="BJ7" s="737"/>
      <c r="BK7" s="735" t="s">
        <v>327</v>
      </c>
      <c r="BL7" s="736"/>
      <c r="BM7" s="736"/>
      <c r="BN7" s="735" t="s">
        <v>328</v>
      </c>
      <c r="BO7" s="736"/>
      <c r="BP7" s="737"/>
      <c r="BQ7" s="735" t="s">
        <v>329</v>
      </c>
      <c r="BR7" s="736"/>
      <c r="BS7" s="736"/>
      <c r="BT7" s="735" t="s">
        <v>330</v>
      </c>
      <c r="BU7" s="736"/>
      <c r="BV7" s="737"/>
      <c r="BW7" s="735" t="s">
        <v>331</v>
      </c>
      <c r="BX7" s="736"/>
      <c r="BY7" s="736"/>
      <c r="BZ7" s="735" t="s">
        <v>332</v>
      </c>
      <c r="CA7" s="736"/>
      <c r="CB7" s="737"/>
      <c r="CC7" s="735" t="s">
        <v>333</v>
      </c>
      <c r="CD7" s="736"/>
      <c r="CE7" s="736"/>
      <c r="CF7" s="735" t="s">
        <v>334</v>
      </c>
      <c r="CG7" s="736"/>
      <c r="CH7" s="737"/>
      <c r="CI7" s="735" t="s">
        <v>335</v>
      </c>
      <c r="CJ7" s="736"/>
      <c r="CK7" s="736"/>
      <c r="CL7" s="735" t="s">
        <v>336</v>
      </c>
      <c r="CM7" s="736"/>
      <c r="CN7" s="737"/>
      <c r="CO7" s="735" t="s">
        <v>337</v>
      </c>
      <c r="CP7" s="736"/>
      <c r="CQ7" s="736"/>
      <c r="CR7" s="735" t="s">
        <v>338</v>
      </c>
      <c r="CS7" s="736"/>
      <c r="CT7" s="737"/>
      <c r="CU7" s="735" t="s">
        <v>339</v>
      </c>
      <c r="CV7" s="736"/>
      <c r="CW7" s="736"/>
      <c r="CX7" s="735" t="s">
        <v>340</v>
      </c>
      <c r="CY7" s="736"/>
      <c r="CZ7" s="737"/>
      <c r="DA7" s="735" t="s">
        <v>341</v>
      </c>
      <c r="DB7" s="736"/>
      <c r="DC7" s="736"/>
      <c r="DD7" s="735" t="s">
        <v>342</v>
      </c>
      <c r="DE7" s="736"/>
      <c r="DF7" s="737"/>
      <c r="DG7" s="735" t="s">
        <v>343</v>
      </c>
      <c r="DH7" s="736"/>
      <c r="DI7" s="736"/>
      <c r="DJ7" s="735" t="s">
        <v>344</v>
      </c>
      <c r="DK7" s="736"/>
      <c r="DL7" s="737"/>
      <c r="DM7" s="735" t="s">
        <v>345</v>
      </c>
      <c r="DN7" s="736"/>
      <c r="DO7" s="736"/>
      <c r="DP7" s="735" t="s">
        <v>346</v>
      </c>
      <c r="DQ7" s="736"/>
      <c r="DR7" s="737"/>
      <c r="DS7" s="735" t="s">
        <v>347</v>
      </c>
      <c r="DT7" s="736"/>
      <c r="DU7" s="736"/>
      <c r="DV7" s="735" t="s">
        <v>348</v>
      </c>
      <c r="DW7" s="736"/>
      <c r="DX7" s="737"/>
      <c r="DY7" s="735" t="s">
        <v>349</v>
      </c>
      <c r="DZ7" s="736"/>
      <c r="EA7" s="736"/>
      <c r="EB7" s="750" t="s">
        <v>470</v>
      </c>
      <c r="EC7" s="736"/>
      <c r="ED7" s="737"/>
      <c r="EE7" s="735" t="s">
        <v>471</v>
      </c>
      <c r="EF7" s="736"/>
      <c r="EG7" s="736"/>
      <c r="EH7" s="735"/>
      <c r="EI7" s="736"/>
      <c r="EJ7" s="737"/>
      <c r="EK7" s="735"/>
      <c r="EL7" s="736"/>
      <c r="EM7" s="736"/>
      <c r="EN7" s="735"/>
      <c r="EO7" s="736"/>
      <c r="EP7" s="737"/>
      <c r="EQ7" s="735"/>
      <c r="ER7" s="736"/>
      <c r="ES7" s="736"/>
      <c r="ET7" s="735"/>
      <c r="EU7" s="736"/>
      <c r="EV7" s="737"/>
      <c r="EW7" s="735"/>
      <c r="EX7" s="736"/>
      <c r="EY7" s="736"/>
      <c r="EZ7" s="735"/>
      <c r="FA7" s="736"/>
      <c r="FB7" s="737"/>
      <c r="FC7" s="735"/>
      <c r="FD7" s="736"/>
      <c r="FE7" s="736"/>
      <c r="FF7" s="735"/>
      <c r="FG7" s="736"/>
      <c r="FH7" s="737"/>
      <c r="FI7" s="735"/>
      <c r="FJ7" s="736"/>
      <c r="FK7" s="736"/>
      <c r="FL7" s="735"/>
      <c r="FM7" s="736"/>
      <c r="FN7" s="737"/>
      <c r="FO7" s="735"/>
      <c r="FP7" s="736"/>
      <c r="FQ7" s="736"/>
      <c r="FR7" s="735"/>
      <c r="FS7" s="736"/>
      <c r="FT7" s="737"/>
      <c r="FU7" s="735"/>
      <c r="FV7" s="736"/>
      <c r="FW7" s="736"/>
      <c r="FX7" s="735"/>
      <c r="FY7" s="736"/>
      <c r="FZ7" s="737"/>
      <c r="GA7" s="735"/>
      <c r="GB7" s="736"/>
      <c r="GC7" s="736"/>
      <c r="GD7" s="735" t="s">
        <v>350</v>
      </c>
      <c r="GE7" s="736"/>
      <c r="GF7" s="737"/>
      <c r="GG7" s="735" t="s">
        <v>351</v>
      </c>
      <c r="GH7" s="736"/>
      <c r="GI7" s="736"/>
      <c r="GJ7" s="735" t="s">
        <v>352</v>
      </c>
      <c r="GK7" s="736"/>
      <c r="GL7" s="737"/>
      <c r="GM7" s="735" t="s">
        <v>353</v>
      </c>
      <c r="GN7" s="736"/>
      <c r="GO7" s="736"/>
      <c r="GP7" s="735" t="s">
        <v>354</v>
      </c>
      <c r="GQ7" s="736"/>
      <c r="GR7" s="737"/>
      <c r="GS7" s="735" t="s">
        <v>355</v>
      </c>
      <c r="GT7" s="736"/>
      <c r="GU7" s="736"/>
      <c r="GV7" s="735" t="s">
        <v>356</v>
      </c>
      <c r="GW7" s="736"/>
      <c r="GX7" s="737"/>
      <c r="GY7" s="735" t="s">
        <v>357</v>
      </c>
      <c r="GZ7" s="736"/>
      <c r="HA7" s="736"/>
      <c r="HB7" s="735" t="s">
        <v>332</v>
      </c>
      <c r="HC7" s="736"/>
      <c r="HD7" s="737"/>
      <c r="HE7" s="735" t="s">
        <v>348</v>
      </c>
      <c r="HF7" s="736"/>
      <c r="HG7" s="736"/>
      <c r="HH7" s="735" t="s">
        <v>347</v>
      </c>
      <c r="HI7" s="736"/>
      <c r="HJ7" s="737"/>
      <c r="HK7" s="735" t="s">
        <v>328</v>
      </c>
      <c r="HL7" s="736"/>
      <c r="HM7" s="736"/>
      <c r="HN7" s="735" t="s">
        <v>358</v>
      </c>
      <c r="HO7" s="736"/>
      <c r="HP7" s="737"/>
      <c r="HQ7" s="735" t="s">
        <v>339</v>
      </c>
      <c r="HR7" s="736"/>
      <c r="HS7" s="736"/>
      <c r="HT7" s="735" t="s">
        <v>359</v>
      </c>
      <c r="HU7" s="736"/>
      <c r="HV7" s="737"/>
      <c r="HW7" s="735" t="s">
        <v>360</v>
      </c>
      <c r="HX7" s="736"/>
      <c r="HY7" s="736"/>
      <c r="HZ7" s="735" t="s">
        <v>361</v>
      </c>
      <c r="IA7" s="736"/>
      <c r="IB7" s="737"/>
      <c r="IC7" s="735" t="s">
        <v>362</v>
      </c>
      <c r="ID7" s="736"/>
      <c r="IE7" s="736"/>
      <c r="IF7" s="735" t="s">
        <v>363</v>
      </c>
      <c r="IG7" s="736"/>
      <c r="IH7" s="737"/>
      <c r="II7" s="751" t="s">
        <v>334</v>
      </c>
      <c r="IJ7" s="751"/>
      <c r="IK7" s="751"/>
      <c r="IL7" s="735" t="s">
        <v>337</v>
      </c>
      <c r="IM7" s="736"/>
      <c r="IN7" s="737"/>
      <c r="IO7" s="735" t="s">
        <v>338</v>
      </c>
      <c r="IP7" s="736"/>
      <c r="IQ7" s="736"/>
      <c r="IR7" s="735" t="s">
        <v>333</v>
      </c>
      <c r="IS7" s="736"/>
      <c r="IT7" s="737"/>
      <c r="IU7" s="735" t="s">
        <v>364</v>
      </c>
      <c r="IV7" s="736"/>
      <c r="IW7" s="736"/>
      <c r="IX7" s="735" t="s">
        <v>341</v>
      </c>
      <c r="IY7" s="736"/>
      <c r="IZ7" s="737"/>
      <c r="JA7" s="735" t="s">
        <v>365</v>
      </c>
      <c r="JB7" s="736"/>
      <c r="JC7" s="736"/>
      <c r="JD7" s="735" t="s">
        <v>366</v>
      </c>
      <c r="JE7" s="736"/>
      <c r="JF7" s="737"/>
      <c r="JG7" s="735" t="s">
        <v>367</v>
      </c>
      <c r="JH7" s="736"/>
      <c r="JI7" s="736"/>
      <c r="JJ7" s="735"/>
      <c r="JK7" s="736"/>
      <c r="JL7" s="737"/>
      <c r="JM7" s="735"/>
      <c r="JN7" s="736"/>
      <c r="JO7" s="736"/>
      <c r="JP7" s="735"/>
      <c r="JQ7" s="736"/>
      <c r="JR7" s="737"/>
      <c r="JS7" s="735"/>
      <c r="JT7" s="736"/>
      <c r="JU7" s="736"/>
      <c r="JV7" s="735"/>
      <c r="JW7" s="736"/>
      <c r="JX7" s="737"/>
      <c r="JY7" s="735"/>
      <c r="JZ7" s="736"/>
      <c r="KA7" s="736"/>
      <c r="KB7" s="735"/>
      <c r="KC7" s="736"/>
      <c r="KD7" s="737"/>
      <c r="KE7" s="735"/>
      <c r="KF7" s="736"/>
      <c r="KG7" s="736"/>
      <c r="KH7" s="735"/>
      <c r="KI7" s="736"/>
      <c r="KJ7" s="737"/>
      <c r="KK7" s="735"/>
      <c r="KL7" s="736"/>
      <c r="KM7" s="736"/>
      <c r="KN7" s="735"/>
      <c r="KO7" s="736"/>
      <c r="KP7" s="737"/>
      <c r="KQ7" s="751"/>
      <c r="KR7" s="751"/>
      <c r="KS7" s="751"/>
      <c r="KT7" s="746"/>
      <c r="KU7" s="746"/>
    </row>
    <row r="8" spans="1:308" ht="15" customHeight="1">
      <c r="A8" s="727"/>
      <c r="B8" s="727"/>
      <c r="C8" s="727"/>
      <c r="D8" s="730"/>
      <c r="E8" s="733"/>
      <c r="F8" s="747" t="s">
        <v>148</v>
      </c>
      <c r="G8" s="739"/>
      <c r="H8" s="497" t="s">
        <v>368</v>
      </c>
      <c r="I8" s="738" t="s">
        <v>148</v>
      </c>
      <c r="J8" s="739"/>
      <c r="K8" s="497" t="s">
        <v>368</v>
      </c>
      <c r="L8" s="738" t="s">
        <v>148</v>
      </c>
      <c r="M8" s="739"/>
      <c r="N8" s="497" t="s">
        <v>368</v>
      </c>
      <c r="O8" s="738" t="s">
        <v>148</v>
      </c>
      <c r="P8" s="739"/>
      <c r="Q8" s="497" t="s">
        <v>368</v>
      </c>
      <c r="R8" s="738" t="s">
        <v>148</v>
      </c>
      <c r="S8" s="739"/>
      <c r="T8" s="497" t="s">
        <v>368</v>
      </c>
      <c r="U8" s="738" t="s">
        <v>148</v>
      </c>
      <c r="V8" s="739"/>
      <c r="W8" s="497" t="s">
        <v>368</v>
      </c>
      <c r="X8" s="738" t="s">
        <v>148</v>
      </c>
      <c r="Y8" s="739"/>
      <c r="Z8" s="497" t="s">
        <v>368</v>
      </c>
      <c r="AA8" s="738" t="s">
        <v>148</v>
      </c>
      <c r="AB8" s="739"/>
      <c r="AC8" s="497" t="s">
        <v>368</v>
      </c>
      <c r="AD8" s="738" t="s">
        <v>148</v>
      </c>
      <c r="AE8" s="739"/>
      <c r="AF8" s="497" t="s">
        <v>368</v>
      </c>
      <c r="AG8" s="738" t="s">
        <v>148</v>
      </c>
      <c r="AH8" s="739"/>
      <c r="AI8" s="497" t="s">
        <v>368</v>
      </c>
      <c r="AJ8" s="738" t="s">
        <v>148</v>
      </c>
      <c r="AK8" s="739"/>
      <c r="AL8" s="497" t="s">
        <v>368</v>
      </c>
      <c r="AM8" s="738" t="s">
        <v>148</v>
      </c>
      <c r="AN8" s="739"/>
      <c r="AO8" s="497" t="s">
        <v>368</v>
      </c>
      <c r="AP8" s="738" t="s">
        <v>148</v>
      </c>
      <c r="AQ8" s="739"/>
      <c r="AR8" s="497" t="s">
        <v>368</v>
      </c>
      <c r="AS8" s="738" t="s">
        <v>148</v>
      </c>
      <c r="AT8" s="739"/>
      <c r="AU8" s="497" t="s">
        <v>368</v>
      </c>
      <c r="AV8" s="738" t="s">
        <v>148</v>
      </c>
      <c r="AW8" s="739"/>
      <c r="AX8" s="497" t="s">
        <v>368</v>
      </c>
      <c r="AY8" s="738" t="s">
        <v>148</v>
      </c>
      <c r="AZ8" s="739"/>
      <c r="BA8" s="497" t="s">
        <v>368</v>
      </c>
      <c r="BB8" s="738" t="s">
        <v>148</v>
      </c>
      <c r="BC8" s="739"/>
      <c r="BD8" s="497" t="s">
        <v>368</v>
      </c>
      <c r="BE8" s="738" t="s">
        <v>148</v>
      </c>
      <c r="BF8" s="739"/>
      <c r="BG8" s="497" t="s">
        <v>368</v>
      </c>
      <c r="BH8" s="738" t="s">
        <v>148</v>
      </c>
      <c r="BI8" s="739"/>
      <c r="BJ8" s="497" t="s">
        <v>368</v>
      </c>
      <c r="BK8" s="738" t="s">
        <v>148</v>
      </c>
      <c r="BL8" s="739"/>
      <c r="BM8" s="497" t="s">
        <v>368</v>
      </c>
      <c r="BN8" s="738" t="s">
        <v>148</v>
      </c>
      <c r="BO8" s="739"/>
      <c r="BP8" s="497" t="s">
        <v>368</v>
      </c>
      <c r="BQ8" s="738" t="s">
        <v>148</v>
      </c>
      <c r="BR8" s="739"/>
      <c r="BS8" s="497" t="s">
        <v>368</v>
      </c>
      <c r="BT8" s="738" t="s">
        <v>148</v>
      </c>
      <c r="BU8" s="739"/>
      <c r="BV8" s="497" t="s">
        <v>368</v>
      </c>
      <c r="BW8" s="738" t="s">
        <v>148</v>
      </c>
      <c r="BX8" s="739"/>
      <c r="BY8" s="497" t="s">
        <v>368</v>
      </c>
      <c r="BZ8" s="738" t="s">
        <v>148</v>
      </c>
      <c r="CA8" s="739"/>
      <c r="CB8" s="497" t="s">
        <v>368</v>
      </c>
      <c r="CC8" s="738" t="s">
        <v>148</v>
      </c>
      <c r="CD8" s="739"/>
      <c r="CE8" s="497" t="s">
        <v>368</v>
      </c>
      <c r="CF8" s="738" t="s">
        <v>148</v>
      </c>
      <c r="CG8" s="739"/>
      <c r="CH8" s="497" t="s">
        <v>368</v>
      </c>
      <c r="CI8" s="738" t="s">
        <v>148</v>
      </c>
      <c r="CJ8" s="739"/>
      <c r="CK8" s="497" t="s">
        <v>368</v>
      </c>
      <c r="CL8" s="738" t="s">
        <v>148</v>
      </c>
      <c r="CM8" s="739"/>
      <c r="CN8" s="497" t="s">
        <v>368</v>
      </c>
      <c r="CO8" s="738" t="s">
        <v>148</v>
      </c>
      <c r="CP8" s="739"/>
      <c r="CQ8" s="497" t="s">
        <v>368</v>
      </c>
      <c r="CR8" s="738" t="s">
        <v>148</v>
      </c>
      <c r="CS8" s="739"/>
      <c r="CT8" s="497" t="s">
        <v>368</v>
      </c>
      <c r="CU8" s="738" t="s">
        <v>148</v>
      </c>
      <c r="CV8" s="739"/>
      <c r="CW8" s="497" t="s">
        <v>368</v>
      </c>
      <c r="CX8" s="738" t="s">
        <v>148</v>
      </c>
      <c r="CY8" s="739"/>
      <c r="CZ8" s="497" t="s">
        <v>368</v>
      </c>
      <c r="DA8" s="738" t="s">
        <v>148</v>
      </c>
      <c r="DB8" s="739"/>
      <c r="DC8" s="497" t="s">
        <v>368</v>
      </c>
      <c r="DD8" s="738" t="s">
        <v>148</v>
      </c>
      <c r="DE8" s="739"/>
      <c r="DF8" s="497" t="s">
        <v>368</v>
      </c>
      <c r="DG8" s="738" t="s">
        <v>148</v>
      </c>
      <c r="DH8" s="739"/>
      <c r="DI8" s="497" t="s">
        <v>368</v>
      </c>
      <c r="DJ8" s="738" t="s">
        <v>148</v>
      </c>
      <c r="DK8" s="739"/>
      <c r="DL8" s="497" t="s">
        <v>368</v>
      </c>
      <c r="DM8" s="738" t="s">
        <v>148</v>
      </c>
      <c r="DN8" s="739"/>
      <c r="DO8" s="497" t="s">
        <v>368</v>
      </c>
      <c r="DP8" s="738" t="s">
        <v>148</v>
      </c>
      <c r="DQ8" s="739"/>
      <c r="DR8" s="497" t="s">
        <v>368</v>
      </c>
      <c r="DS8" s="738" t="s">
        <v>148</v>
      </c>
      <c r="DT8" s="739"/>
      <c r="DU8" s="497" t="s">
        <v>368</v>
      </c>
      <c r="DV8" s="738" t="s">
        <v>148</v>
      </c>
      <c r="DW8" s="739"/>
      <c r="DX8" s="497" t="s">
        <v>368</v>
      </c>
      <c r="DY8" s="738" t="s">
        <v>148</v>
      </c>
      <c r="DZ8" s="739"/>
      <c r="EA8" s="497" t="s">
        <v>368</v>
      </c>
      <c r="EB8" s="738" t="s">
        <v>148</v>
      </c>
      <c r="EC8" s="739"/>
      <c r="ED8" s="497" t="s">
        <v>368</v>
      </c>
      <c r="EE8" s="738" t="s">
        <v>148</v>
      </c>
      <c r="EF8" s="739"/>
      <c r="EG8" s="497" t="s">
        <v>368</v>
      </c>
      <c r="EH8" s="738" t="s">
        <v>148</v>
      </c>
      <c r="EI8" s="739"/>
      <c r="EJ8" s="497" t="s">
        <v>368</v>
      </c>
      <c r="EK8" s="738" t="s">
        <v>148</v>
      </c>
      <c r="EL8" s="739"/>
      <c r="EM8" s="497" t="s">
        <v>368</v>
      </c>
      <c r="EN8" s="738" t="s">
        <v>148</v>
      </c>
      <c r="EO8" s="739"/>
      <c r="EP8" s="497" t="s">
        <v>368</v>
      </c>
      <c r="EQ8" s="738" t="s">
        <v>148</v>
      </c>
      <c r="ER8" s="739"/>
      <c r="ES8" s="497" t="s">
        <v>368</v>
      </c>
      <c r="ET8" s="738" t="s">
        <v>148</v>
      </c>
      <c r="EU8" s="739"/>
      <c r="EV8" s="497" t="s">
        <v>368</v>
      </c>
      <c r="EW8" s="738" t="s">
        <v>148</v>
      </c>
      <c r="EX8" s="739"/>
      <c r="EY8" s="497" t="s">
        <v>368</v>
      </c>
      <c r="EZ8" s="738" t="s">
        <v>148</v>
      </c>
      <c r="FA8" s="739"/>
      <c r="FB8" s="497" t="s">
        <v>368</v>
      </c>
      <c r="FC8" s="738" t="s">
        <v>148</v>
      </c>
      <c r="FD8" s="739"/>
      <c r="FE8" s="497" t="s">
        <v>368</v>
      </c>
      <c r="FF8" s="738" t="s">
        <v>148</v>
      </c>
      <c r="FG8" s="739"/>
      <c r="FH8" s="497" t="s">
        <v>368</v>
      </c>
      <c r="FI8" s="738" t="s">
        <v>148</v>
      </c>
      <c r="FJ8" s="739"/>
      <c r="FK8" s="497" t="s">
        <v>368</v>
      </c>
      <c r="FL8" s="738" t="s">
        <v>148</v>
      </c>
      <c r="FM8" s="739"/>
      <c r="FN8" s="497" t="s">
        <v>368</v>
      </c>
      <c r="FO8" s="738" t="s">
        <v>148</v>
      </c>
      <c r="FP8" s="739"/>
      <c r="FQ8" s="497" t="s">
        <v>368</v>
      </c>
      <c r="FR8" s="738" t="s">
        <v>148</v>
      </c>
      <c r="FS8" s="739"/>
      <c r="FT8" s="497" t="s">
        <v>368</v>
      </c>
      <c r="FU8" s="738" t="s">
        <v>148</v>
      </c>
      <c r="FV8" s="739"/>
      <c r="FW8" s="497" t="s">
        <v>368</v>
      </c>
      <c r="FX8" s="738" t="s">
        <v>148</v>
      </c>
      <c r="FY8" s="739"/>
      <c r="FZ8" s="497" t="s">
        <v>368</v>
      </c>
      <c r="GA8" s="738" t="s">
        <v>148</v>
      </c>
      <c r="GB8" s="739"/>
      <c r="GC8" s="497" t="s">
        <v>368</v>
      </c>
      <c r="GD8" s="738" t="s">
        <v>148</v>
      </c>
      <c r="GE8" s="739"/>
      <c r="GF8" s="497" t="s">
        <v>368</v>
      </c>
      <c r="GG8" s="738" t="s">
        <v>148</v>
      </c>
      <c r="GH8" s="739"/>
      <c r="GI8" s="497" t="s">
        <v>368</v>
      </c>
      <c r="GJ8" s="738" t="s">
        <v>148</v>
      </c>
      <c r="GK8" s="739"/>
      <c r="GL8" s="497" t="s">
        <v>368</v>
      </c>
      <c r="GM8" s="738" t="s">
        <v>148</v>
      </c>
      <c r="GN8" s="739"/>
      <c r="GO8" s="497" t="s">
        <v>368</v>
      </c>
      <c r="GP8" s="738" t="s">
        <v>148</v>
      </c>
      <c r="GQ8" s="739"/>
      <c r="GR8" s="497" t="s">
        <v>368</v>
      </c>
      <c r="GS8" s="738" t="s">
        <v>148</v>
      </c>
      <c r="GT8" s="739"/>
      <c r="GU8" s="497" t="s">
        <v>368</v>
      </c>
      <c r="GV8" s="738" t="s">
        <v>148</v>
      </c>
      <c r="GW8" s="739"/>
      <c r="GX8" s="497" t="s">
        <v>368</v>
      </c>
      <c r="GY8" s="738" t="s">
        <v>148</v>
      </c>
      <c r="GZ8" s="739"/>
      <c r="HA8" s="497" t="s">
        <v>368</v>
      </c>
      <c r="HB8" s="738" t="s">
        <v>148</v>
      </c>
      <c r="HC8" s="739"/>
      <c r="HD8" s="497" t="s">
        <v>368</v>
      </c>
      <c r="HE8" s="738" t="s">
        <v>148</v>
      </c>
      <c r="HF8" s="739"/>
      <c r="HG8" s="497" t="s">
        <v>368</v>
      </c>
      <c r="HH8" s="738" t="s">
        <v>148</v>
      </c>
      <c r="HI8" s="739"/>
      <c r="HJ8" s="497" t="s">
        <v>368</v>
      </c>
      <c r="HK8" s="738" t="s">
        <v>148</v>
      </c>
      <c r="HL8" s="739"/>
      <c r="HM8" s="497" t="s">
        <v>368</v>
      </c>
      <c r="HN8" s="738" t="s">
        <v>148</v>
      </c>
      <c r="HO8" s="739"/>
      <c r="HP8" s="497" t="s">
        <v>368</v>
      </c>
      <c r="HQ8" s="738" t="s">
        <v>148</v>
      </c>
      <c r="HR8" s="739"/>
      <c r="HS8" s="497" t="s">
        <v>368</v>
      </c>
      <c r="HT8" s="738" t="s">
        <v>148</v>
      </c>
      <c r="HU8" s="739"/>
      <c r="HV8" s="497" t="s">
        <v>368</v>
      </c>
      <c r="HW8" s="738" t="s">
        <v>148</v>
      </c>
      <c r="HX8" s="739"/>
      <c r="HY8" s="497" t="s">
        <v>368</v>
      </c>
      <c r="HZ8" s="738" t="s">
        <v>148</v>
      </c>
      <c r="IA8" s="739"/>
      <c r="IB8" s="497" t="s">
        <v>368</v>
      </c>
      <c r="IC8" s="738" t="s">
        <v>148</v>
      </c>
      <c r="ID8" s="739"/>
      <c r="IE8" s="497" t="s">
        <v>368</v>
      </c>
      <c r="IF8" s="738" t="s">
        <v>148</v>
      </c>
      <c r="IG8" s="739"/>
      <c r="IH8" s="497" t="s">
        <v>368</v>
      </c>
      <c r="II8" s="751" t="s">
        <v>148</v>
      </c>
      <c r="IJ8" s="751"/>
      <c r="IK8" s="498" t="s">
        <v>368</v>
      </c>
      <c r="IL8" s="738" t="s">
        <v>148</v>
      </c>
      <c r="IM8" s="739"/>
      <c r="IN8" s="497" t="s">
        <v>368</v>
      </c>
      <c r="IO8" s="738" t="s">
        <v>148</v>
      </c>
      <c r="IP8" s="739"/>
      <c r="IQ8" s="497" t="s">
        <v>368</v>
      </c>
      <c r="IR8" s="738" t="s">
        <v>148</v>
      </c>
      <c r="IS8" s="739"/>
      <c r="IT8" s="497" t="s">
        <v>368</v>
      </c>
      <c r="IU8" s="738" t="s">
        <v>148</v>
      </c>
      <c r="IV8" s="739"/>
      <c r="IW8" s="497" t="s">
        <v>368</v>
      </c>
      <c r="IX8" s="738" t="s">
        <v>148</v>
      </c>
      <c r="IY8" s="739"/>
      <c r="IZ8" s="497" t="s">
        <v>368</v>
      </c>
      <c r="JA8" s="738" t="s">
        <v>148</v>
      </c>
      <c r="JB8" s="739"/>
      <c r="JC8" s="497" t="s">
        <v>368</v>
      </c>
      <c r="JD8" s="738" t="s">
        <v>148</v>
      </c>
      <c r="JE8" s="739"/>
      <c r="JF8" s="497" t="s">
        <v>368</v>
      </c>
      <c r="JG8" s="738" t="s">
        <v>148</v>
      </c>
      <c r="JH8" s="739"/>
      <c r="JI8" s="497" t="s">
        <v>368</v>
      </c>
      <c r="JJ8" s="738" t="s">
        <v>148</v>
      </c>
      <c r="JK8" s="739"/>
      <c r="JL8" s="497" t="s">
        <v>368</v>
      </c>
      <c r="JM8" s="738" t="s">
        <v>148</v>
      </c>
      <c r="JN8" s="739"/>
      <c r="JO8" s="497" t="s">
        <v>368</v>
      </c>
      <c r="JP8" s="738" t="s">
        <v>148</v>
      </c>
      <c r="JQ8" s="739"/>
      <c r="JR8" s="497" t="s">
        <v>368</v>
      </c>
      <c r="JS8" s="738" t="s">
        <v>148</v>
      </c>
      <c r="JT8" s="739"/>
      <c r="JU8" s="497" t="s">
        <v>368</v>
      </c>
      <c r="JV8" s="738" t="s">
        <v>148</v>
      </c>
      <c r="JW8" s="739"/>
      <c r="JX8" s="497" t="s">
        <v>368</v>
      </c>
      <c r="JY8" s="738" t="s">
        <v>148</v>
      </c>
      <c r="JZ8" s="739"/>
      <c r="KA8" s="497" t="s">
        <v>368</v>
      </c>
      <c r="KB8" s="738" t="s">
        <v>148</v>
      </c>
      <c r="KC8" s="739"/>
      <c r="KD8" s="497" t="s">
        <v>368</v>
      </c>
      <c r="KE8" s="738" t="s">
        <v>148</v>
      </c>
      <c r="KF8" s="739"/>
      <c r="KG8" s="497" t="s">
        <v>368</v>
      </c>
      <c r="KH8" s="738" t="s">
        <v>148</v>
      </c>
      <c r="KI8" s="739"/>
      <c r="KJ8" s="497" t="s">
        <v>368</v>
      </c>
      <c r="KK8" s="738" t="s">
        <v>148</v>
      </c>
      <c r="KL8" s="739"/>
      <c r="KM8" s="497" t="s">
        <v>368</v>
      </c>
      <c r="KN8" s="738" t="s">
        <v>148</v>
      </c>
      <c r="KO8" s="739"/>
      <c r="KP8" s="497" t="s">
        <v>368</v>
      </c>
      <c r="KQ8" s="751" t="s">
        <v>148</v>
      </c>
      <c r="KR8" s="751"/>
      <c r="KS8" s="498" t="s">
        <v>368</v>
      </c>
      <c r="KT8" s="746"/>
      <c r="KU8" s="746"/>
    </row>
    <row r="9" spans="1:308" ht="15" customHeight="1" thickBot="1">
      <c r="A9" s="728"/>
      <c r="B9" s="728"/>
      <c r="C9" s="728"/>
      <c r="D9" s="731"/>
      <c r="E9" s="734"/>
      <c r="F9" s="518" t="s">
        <v>149</v>
      </c>
      <c r="G9" s="499" t="s">
        <v>39</v>
      </c>
      <c r="H9" s="500"/>
      <c r="I9" s="499" t="s">
        <v>149</v>
      </c>
      <c r="J9" s="499" t="s">
        <v>39</v>
      </c>
      <c r="K9" s="500"/>
      <c r="L9" s="499" t="s">
        <v>149</v>
      </c>
      <c r="M9" s="499" t="s">
        <v>39</v>
      </c>
      <c r="N9" s="500"/>
      <c r="O9" s="499" t="s">
        <v>149</v>
      </c>
      <c r="P9" s="499" t="s">
        <v>39</v>
      </c>
      <c r="Q9" s="500"/>
      <c r="R9" s="499" t="s">
        <v>149</v>
      </c>
      <c r="S9" s="499" t="s">
        <v>39</v>
      </c>
      <c r="T9" s="500"/>
      <c r="U9" s="499" t="s">
        <v>149</v>
      </c>
      <c r="V9" s="499" t="s">
        <v>39</v>
      </c>
      <c r="W9" s="500"/>
      <c r="X9" s="499" t="s">
        <v>149</v>
      </c>
      <c r="Y9" s="499" t="s">
        <v>39</v>
      </c>
      <c r="Z9" s="500"/>
      <c r="AA9" s="499" t="s">
        <v>149</v>
      </c>
      <c r="AB9" s="499" t="s">
        <v>39</v>
      </c>
      <c r="AC9" s="500"/>
      <c r="AD9" s="499" t="s">
        <v>149</v>
      </c>
      <c r="AE9" s="499" t="s">
        <v>39</v>
      </c>
      <c r="AF9" s="500"/>
      <c r="AG9" s="499" t="s">
        <v>149</v>
      </c>
      <c r="AH9" s="499" t="s">
        <v>39</v>
      </c>
      <c r="AI9" s="500"/>
      <c r="AJ9" s="499" t="s">
        <v>149</v>
      </c>
      <c r="AK9" s="499" t="s">
        <v>39</v>
      </c>
      <c r="AL9" s="500"/>
      <c r="AM9" s="499" t="s">
        <v>149</v>
      </c>
      <c r="AN9" s="499" t="s">
        <v>39</v>
      </c>
      <c r="AO9" s="500"/>
      <c r="AP9" s="499" t="s">
        <v>149</v>
      </c>
      <c r="AQ9" s="499" t="s">
        <v>39</v>
      </c>
      <c r="AR9" s="500"/>
      <c r="AS9" s="499" t="s">
        <v>149</v>
      </c>
      <c r="AT9" s="499" t="s">
        <v>39</v>
      </c>
      <c r="AU9" s="500"/>
      <c r="AV9" s="499" t="s">
        <v>149</v>
      </c>
      <c r="AW9" s="499" t="s">
        <v>39</v>
      </c>
      <c r="AX9" s="500"/>
      <c r="AY9" s="499" t="s">
        <v>149</v>
      </c>
      <c r="AZ9" s="499" t="s">
        <v>39</v>
      </c>
      <c r="BA9" s="500"/>
      <c r="BB9" s="499" t="s">
        <v>149</v>
      </c>
      <c r="BC9" s="499" t="s">
        <v>39</v>
      </c>
      <c r="BD9" s="500"/>
      <c r="BE9" s="499" t="s">
        <v>149</v>
      </c>
      <c r="BF9" s="499" t="s">
        <v>39</v>
      </c>
      <c r="BG9" s="500"/>
      <c r="BH9" s="499" t="s">
        <v>149</v>
      </c>
      <c r="BI9" s="499" t="s">
        <v>39</v>
      </c>
      <c r="BJ9" s="500"/>
      <c r="BK9" s="499" t="s">
        <v>149</v>
      </c>
      <c r="BL9" s="499" t="s">
        <v>39</v>
      </c>
      <c r="BM9" s="500"/>
      <c r="BN9" s="499" t="s">
        <v>149</v>
      </c>
      <c r="BO9" s="499" t="s">
        <v>39</v>
      </c>
      <c r="BP9" s="500"/>
      <c r="BQ9" s="499" t="s">
        <v>149</v>
      </c>
      <c r="BR9" s="499" t="s">
        <v>39</v>
      </c>
      <c r="BS9" s="500"/>
      <c r="BT9" s="499" t="s">
        <v>149</v>
      </c>
      <c r="BU9" s="499" t="s">
        <v>39</v>
      </c>
      <c r="BV9" s="500"/>
      <c r="BW9" s="499" t="s">
        <v>149</v>
      </c>
      <c r="BX9" s="499" t="s">
        <v>39</v>
      </c>
      <c r="BY9" s="500"/>
      <c r="BZ9" s="499" t="s">
        <v>149</v>
      </c>
      <c r="CA9" s="499" t="s">
        <v>39</v>
      </c>
      <c r="CB9" s="500"/>
      <c r="CC9" s="499" t="s">
        <v>149</v>
      </c>
      <c r="CD9" s="499" t="s">
        <v>39</v>
      </c>
      <c r="CE9" s="500"/>
      <c r="CF9" s="499" t="s">
        <v>149</v>
      </c>
      <c r="CG9" s="499" t="s">
        <v>39</v>
      </c>
      <c r="CH9" s="500"/>
      <c r="CI9" s="499" t="s">
        <v>149</v>
      </c>
      <c r="CJ9" s="499" t="s">
        <v>39</v>
      </c>
      <c r="CK9" s="500"/>
      <c r="CL9" s="499" t="s">
        <v>149</v>
      </c>
      <c r="CM9" s="499" t="s">
        <v>39</v>
      </c>
      <c r="CN9" s="500"/>
      <c r="CO9" s="499" t="s">
        <v>149</v>
      </c>
      <c r="CP9" s="499" t="s">
        <v>39</v>
      </c>
      <c r="CQ9" s="500"/>
      <c r="CR9" s="499" t="s">
        <v>149</v>
      </c>
      <c r="CS9" s="499" t="s">
        <v>39</v>
      </c>
      <c r="CT9" s="500"/>
      <c r="CU9" s="499" t="s">
        <v>149</v>
      </c>
      <c r="CV9" s="499" t="s">
        <v>39</v>
      </c>
      <c r="CW9" s="500"/>
      <c r="CX9" s="499" t="s">
        <v>149</v>
      </c>
      <c r="CY9" s="499" t="s">
        <v>39</v>
      </c>
      <c r="CZ9" s="500"/>
      <c r="DA9" s="499" t="s">
        <v>149</v>
      </c>
      <c r="DB9" s="499" t="s">
        <v>39</v>
      </c>
      <c r="DC9" s="500"/>
      <c r="DD9" s="499" t="s">
        <v>149</v>
      </c>
      <c r="DE9" s="499" t="s">
        <v>39</v>
      </c>
      <c r="DF9" s="500"/>
      <c r="DG9" s="499" t="s">
        <v>149</v>
      </c>
      <c r="DH9" s="499" t="s">
        <v>39</v>
      </c>
      <c r="DI9" s="500"/>
      <c r="DJ9" s="499" t="s">
        <v>149</v>
      </c>
      <c r="DK9" s="499" t="s">
        <v>39</v>
      </c>
      <c r="DL9" s="500"/>
      <c r="DM9" s="499" t="s">
        <v>149</v>
      </c>
      <c r="DN9" s="499" t="s">
        <v>39</v>
      </c>
      <c r="DO9" s="500"/>
      <c r="DP9" s="499" t="s">
        <v>149</v>
      </c>
      <c r="DQ9" s="499" t="s">
        <v>39</v>
      </c>
      <c r="DR9" s="500"/>
      <c r="DS9" s="499" t="s">
        <v>149</v>
      </c>
      <c r="DT9" s="499" t="s">
        <v>39</v>
      </c>
      <c r="DU9" s="500"/>
      <c r="DV9" s="499" t="s">
        <v>149</v>
      </c>
      <c r="DW9" s="499" t="s">
        <v>39</v>
      </c>
      <c r="DX9" s="500"/>
      <c r="DY9" s="499" t="s">
        <v>149</v>
      </c>
      <c r="DZ9" s="499" t="s">
        <v>39</v>
      </c>
      <c r="EA9" s="500"/>
      <c r="EB9" s="499" t="s">
        <v>149</v>
      </c>
      <c r="EC9" s="499" t="s">
        <v>39</v>
      </c>
      <c r="ED9" s="497"/>
      <c r="EE9" s="499" t="s">
        <v>149</v>
      </c>
      <c r="EF9" s="499" t="s">
        <v>39</v>
      </c>
      <c r="EG9" s="500"/>
      <c r="EH9" s="499" t="s">
        <v>149</v>
      </c>
      <c r="EI9" s="499" t="s">
        <v>39</v>
      </c>
      <c r="EJ9" s="500"/>
      <c r="EK9" s="499" t="s">
        <v>149</v>
      </c>
      <c r="EL9" s="499" t="s">
        <v>39</v>
      </c>
      <c r="EM9" s="500"/>
      <c r="EN9" s="499" t="s">
        <v>149</v>
      </c>
      <c r="EO9" s="499" t="s">
        <v>39</v>
      </c>
      <c r="EP9" s="500"/>
      <c r="EQ9" s="499" t="s">
        <v>149</v>
      </c>
      <c r="ER9" s="499" t="s">
        <v>39</v>
      </c>
      <c r="ES9" s="500"/>
      <c r="ET9" s="499" t="s">
        <v>149</v>
      </c>
      <c r="EU9" s="499" t="s">
        <v>39</v>
      </c>
      <c r="EV9" s="500"/>
      <c r="EW9" s="499" t="s">
        <v>149</v>
      </c>
      <c r="EX9" s="499" t="s">
        <v>39</v>
      </c>
      <c r="EY9" s="500"/>
      <c r="EZ9" s="499" t="s">
        <v>149</v>
      </c>
      <c r="FA9" s="499" t="s">
        <v>39</v>
      </c>
      <c r="FB9" s="500"/>
      <c r="FC9" s="499" t="s">
        <v>149</v>
      </c>
      <c r="FD9" s="499" t="s">
        <v>39</v>
      </c>
      <c r="FE9" s="500"/>
      <c r="FF9" s="499" t="s">
        <v>149</v>
      </c>
      <c r="FG9" s="499" t="s">
        <v>39</v>
      </c>
      <c r="FH9" s="500"/>
      <c r="FI9" s="499" t="s">
        <v>149</v>
      </c>
      <c r="FJ9" s="499" t="s">
        <v>39</v>
      </c>
      <c r="FK9" s="500"/>
      <c r="FL9" s="499" t="s">
        <v>149</v>
      </c>
      <c r="FM9" s="499" t="s">
        <v>39</v>
      </c>
      <c r="FN9" s="500"/>
      <c r="FO9" s="499" t="s">
        <v>149</v>
      </c>
      <c r="FP9" s="499" t="s">
        <v>39</v>
      </c>
      <c r="FQ9" s="500"/>
      <c r="FR9" s="499" t="s">
        <v>149</v>
      </c>
      <c r="FS9" s="499" t="s">
        <v>39</v>
      </c>
      <c r="FT9" s="500"/>
      <c r="FU9" s="499" t="s">
        <v>149</v>
      </c>
      <c r="FV9" s="499" t="s">
        <v>39</v>
      </c>
      <c r="FW9" s="500"/>
      <c r="FX9" s="499" t="s">
        <v>149</v>
      </c>
      <c r="FY9" s="499" t="s">
        <v>39</v>
      </c>
      <c r="FZ9" s="500"/>
      <c r="GA9" s="499" t="s">
        <v>149</v>
      </c>
      <c r="GB9" s="499" t="s">
        <v>39</v>
      </c>
      <c r="GC9" s="500"/>
      <c r="GD9" s="499" t="s">
        <v>149</v>
      </c>
      <c r="GE9" s="499" t="s">
        <v>39</v>
      </c>
      <c r="GF9" s="500"/>
      <c r="GG9" s="499" t="s">
        <v>149</v>
      </c>
      <c r="GH9" s="499" t="s">
        <v>39</v>
      </c>
      <c r="GI9" s="500"/>
      <c r="GJ9" s="499" t="s">
        <v>149</v>
      </c>
      <c r="GK9" s="499" t="s">
        <v>39</v>
      </c>
      <c r="GL9" s="500"/>
      <c r="GM9" s="499" t="s">
        <v>149</v>
      </c>
      <c r="GN9" s="499" t="s">
        <v>39</v>
      </c>
      <c r="GO9" s="500"/>
      <c r="GP9" s="499" t="s">
        <v>149</v>
      </c>
      <c r="GQ9" s="499" t="s">
        <v>39</v>
      </c>
      <c r="GR9" s="500"/>
      <c r="GS9" s="499" t="s">
        <v>149</v>
      </c>
      <c r="GT9" s="499" t="s">
        <v>39</v>
      </c>
      <c r="GU9" s="500"/>
      <c r="GV9" s="499" t="s">
        <v>149</v>
      </c>
      <c r="GW9" s="499" t="s">
        <v>39</v>
      </c>
      <c r="GX9" s="500"/>
      <c r="GY9" s="499" t="s">
        <v>149</v>
      </c>
      <c r="GZ9" s="499" t="s">
        <v>39</v>
      </c>
      <c r="HA9" s="500"/>
      <c r="HB9" s="499" t="s">
        <v>149</v>
      </c>
      <c r="HC9" s="499" t="s">
        <v>39</v>
      </c>
      <c r="HD9" s="500"/>
      <c r="HE9" s="499" t="s">
        <v>149</v>
      </c>
      <c r="HF9" s="499" t="s">
        <v>39</v>
      </c>
      <c r="HG9" s="500"/>
      <c r="HH9" s="499" t="s">
        <v>149</v>
      </c>
      <c r="HI9" s="499" t="s">
        <v>39</v>
      </c>
      <c r="HJ9" s="500"/>
      <c r="HK9" s="499" t="s">
        <v>149</v>
      </c>
      <c r="HL9" s="499" t="s">
        <v>39</v>
      </c>
      <c r="HM9" s="500"/>
      <c r="HN9" s="499" t="s">
        <v>149</v>
      </c>
      <c r="HO9" s="499" t="s">
        <v>39</v>
      </c>
      <c r="HP9" s="500"/>
      <c r="HQ9" s="499" t="s">
        <v>149</v>
      </c>
      <c r="HR9" s="499" t="s">
        <v>39</v>
      </c>
      <c r="HS9" s="500"/>
      <c r="HT9" s="499" t="s">
        <v>149</v>
      </c>
      <c r="HU9" s="499" t="s">
        <v>39</v>
      </c>
      <c r="HV9" s="500"/>
      <c r="HW9" s="499" t="s">
        <v>149</v>
      </c>
      <c r="HX9" s="499" t="s">
        <v>39</v>
      </c>
      <c r="HY9" s="500"/>
      <c r="HZ9" s="499" t="s">
        <v>149</v>
      </c>
      <c r="IA9" s="499" t="s">
        <v>39</v>
      </c>
      <c r="IB9" s="500"/>
      <c r="IC9" s="499" t="s">
        <v>149</v>
      </c>
      <c r="ID9" s="499" t="s">
        <v>39</v>
      </c>
      <c r="IE9" s="500"/>
      <c r="IF9" s="499" t="s">
        <v>149</v>
      </c>
      <c r="IG9" s="499" t="s">
        <v>39</v>
      </c>
      <c r="IH9" s="500"/>
      <c r="II9" s="499" t="s">
        <v>149</v>
      </c>
      <c r="IJ9" s="499" t="s">
        <v>39</v>
      </c>
      <c r="IK9" s="500"/>
      <c r="IL9" s="499" t="s">
        <v>149</v>
      </c>
      <c r="IM9" s="499" t="s">
        <v>39</v>
      </c>
      <c r="IN9" s="500"/>
      <c r="IO9" s="499" t="s">
        <v>149</v>
      </c>
      <c r="IP9" s="499" t="s">
        <v>39</v>
      </c>
      <c r="IQ9" s="500"/>
      <c r="IR9" s="499" t="s">
        <v>149</v>
      </c>
      <c r="IS9" s="499" t="s">
        <v>39</v>
      </c>
      <c r="IT9" s="500"/>
      <c r="IU9" s="499" t="s">
        <v>149</v>
      </c>
      <c r="IV9" s="499" t="s">
        <v>39</v>
      </c>
      <c r="IW9" s="500"/>
      <c r="IX9" s="499" t="s">
        <v>149</v>
      </c>
      <c r="IY9" s="499" t="s">
        <v>39</v>
      </c>
      <c r="IZ9" s="500"/>
      <c r="JA9" s="499" t="s">
        <v>149</v>
      </c>
      <c r="JB9" s="499" t="s">
        <v>39</v>
      </c>
      <c r="JC9" s="500"/>
      <c r="JD9" s="499" t="s">
        <v>149</v>
      </c>
      <c r="JE9" s="499" t="s">
        <v>39</v>
      </c>
      <c r="JF9" s="500"/>
      <c r="JG9" s="499" t="s">
        <v>149</v>
      </c>
      <c r="JH9" s="499" t="s">
        <v>39</v>
      </c>
      <c r="JI9" s="500"/>
      <c r="JJ9" s="499" t="s">
        <v>149</v>
      </c>
      <c r="JK9" s="499" t="s">
        <v>39</v>
      </c>
      <c r="JL9" s="500" t="s">
        <v>395</v>
      </c>
      <c r="JM9" s="499" t="s">
        <v>149</v>
      </c>
      <c r="JN9" s="499" t="s">
        <v>39</v>
      </c>
      <c r="JO9" s="500" t="s">
        <v>395</v>
      </c>
      <c r="JP9" s="499" t="s">
        <v>149</v>
      </c>
      <c r="JQ9" s="499" t="s">
        <v>39</v>
      </c>
      <c r="JR9" s="500" t="s">
        <v>395</v>
      </c>
      <c r="JS9" s="499" t="s">
        <v>149</v>
      </c>
      <c r="JT9" s="499" t="s">
        <v>39</v>
      </c>
      <c r="JU9" s="500" t="s">
        <v>395</v>
      </c>
      <c r="JV9" s="499" t="s">
        <v>149</v>
      </c>
      <c r="JW9" s="499" t="s">
        <v>39</v>
      </c>
      <c r="JX9" s="500" t="s">
        <v>395</v>
      </c>
      <c r="JY9" s="499" t="s">
        <v>149</v>
      </c>
      <c r="JZ9" s="499" t="s">
        <v>39</v>
      </c>
      <c r="KA9" s="500" t="s">
        <v>395</v>
      </c>
      <c r="KB9" s="499" t="s">
        <v>149</v>
      </c>
      <c r="KC9" s="499" t="s">
        <v>39</v>
      </c>
      <c r="KD9" s="500" t="s">
        <v>395</v>
      </c>
      <c r="KE9" s="499" t="s">
        <v>149</v>
      </c>
      <c r="KF9" s="499" t="s">
        <v>39</v>
      </c>
      <c r="KG9" s="500" t="s">
        <v>395</v>
      </c>
      <c r="KH9" s="499" t="s">
        <v>149</v>
      </c>
      <c r="KI9" s="499" t="s">
        <v>39</v>
      </c>
      <c r="KJ9" s="500" t="s">
        <v>395</v>
      </c>
      <c r="KK9" s="499" t="s">
        <v>149</v>
      </c>
      <c r="KL9" s="499" t="s">
        <v>39</v>
      </c>
      <c r="KM9" s="500" t="s">
        <v>395</v>
      </c>
      <c r="KN9" s="499" t="s">
        <v>149</v>
      </c>
      <c r="KO9" s="499" t="s">
        <v>39</v>
      </c>
      <c r="KP9" s="500" t="s">
        <v>395</v>
      </c>
      <c r="KQ9" s="499" t="s">
        <v>149</v>
      </c>
      <c r="KR9" s="499" t="s">
        <v>39</v>
      </c>
      <c r="KS9" s="500" t="s">
        <v>395</v>
      </c>
      <c r="KT9" s="746"/>
      <c r="KU9" s="746"/>
    </row>
    <row r="10" spans="1:308" ht="15" customHeight="1">
      <c r="A10" s="514">
        <f>+Report1!A9</f>
        <v>45931</v>
      </c>
      <c r="B10" s="515" t="str">
        <f>+Report1!B9</f>
        <v>Toilet</v>
      </c>
      <c r="C10" s="516" t="str">
        <f>+Report1!C9</f>
        <v>12,5/15</v>
      </c>
      <c r="D10" s="517">
        <f>+Report1!P9</f>
        <v>28.605</v>
      </c>
      <c r="E10" s="519">
        <f>+Report1!R9</f>
        <v>18.686</v>
      </c>
      <c r="F10" s="501">
        <v>0</v>
      </c>
      <c r="G10" s="502">
        <f t="shared" ref="G10:G40" si="0">+F10/$E10</f>
        <v>0</v>
      </c>
      <c r="H10" s="503">
        <f>+F10*$H$9</f>
        <v>0</v>
      </c>
      <c r="I10" s="501">
        <v>23.255813953488314</v>
      </c>
      <c r="J10" s="502">
        <f t="shared" ref="J10:J40" si="1">+I10/$E10</f>
        <v>1.2445581694042767</v>
      </c>
      <c r="K10" s="503">
        <f>+I10*$H$9</f>
        <v>0</v>
      </c>
      <c r="L10" s="501"/>
      <c r="M10" s="502">
        <f t="shared" ref="M10:M40" si="2">+L10/$E10</f>
        <v>0</v>
      </c>
      <c r="N10" s="503">
        <f>+L10*$H$9</f>
        <v>0</v>
      </c>
      <c r="O10" s="501">
        <v>12</v>
      </c>
      <c r="P10" s="502">
        <f t="shared" ref="P10:P40" si="3">+O10/$E10</f>
        <v>0.6421920154126084</v>
      </c>
      <c r="Q10" s="503">
        <f>+O10*$H$9</f>
        <v>0</v>
      </c>
      <c r="R10" s="501">
        <v>5.125</v>
      </c>
      <c r="S10" s="502">
        <f t="shared" ref="S10:S40" si="4">+R10/$E10</f>
        <v>0.27426950658246818</v>
      </c>
      <c r="T10" s="503">
        <f>+R10*$H$9</f>
        <v>0</v>
      </c>
      <c r="U10" s="501">
        <v>6.2500000000000284</v>
      </c>
      <c r="V10" s="502">
        <f t="shared" ref="V10:V40" si="5">+U10/$E10</f>
        <v>0.33447500802740171</v>
      </c>
      <c r="W10" s="503">
        <f>+U10*$H$9</f>
        <v>0</v>
      </c>
      <c r="X10" s="501"/>
      <c r="Y10" s="502">
        <f t="shared" ref="Y10:Y40" si="6">+X10/$E10</f>
        <v>0</v>
      </c>
      <c r="Z10" s="503">
        <f>+X10*$H$9</f>
        <v>0</v>
      </c>
      <c r="AA10" s="501"/>
      <c r="AB10" s="502">
        <f t="shared" ref="AB10:AB40" si="7">+AA10/$E10</f>
        <v>0</v>
      </c>
      <c r="AC10" s="503">
        <f>+AA10*$H$9</f>
        <v>0</v>
      </c>
      <c r="AD10" s="501"/>
      <c r="AE10" s="502">
        <f t="shared" ref="AE10:AE40" si="8">+AD10/$E10</f>
        <v>0</v>
      </c>
      <c r="AF10" s="503">
        <f>+AD10*$H$9</f>
        <v>0</v>
      </c>
      <c r="AG10" s="501"/>
      <c r="AH10" s="502">
        <f t="shared" ref="AH10:AH40" si="9">+AG10/$E10</f>
        <v>0</v>
      </c>
      <c r="AI10" s="503">
        <f>+AG10*$H$9</f>
        <v>0</v>
      </c>
      <c r="AJ10" s="501"/>
      <c r="AK10" s="502">
        <f t="shared" ref="AK10:AK40" si="10">+AJ10/$E10</f>
        <v>0</v>
      </c>
      <c r="AL10" s="503">
        <f>+AJ10*$H$9</f>
        <v>0</v>
      </c>
      <c r="AM10" s="501">
        <v>0</v>
      </c>
      <c r="AN10" s="502">
        <f t="shared" ref="AN10:AN40" si="11">+AM10/$E10</f>
        <v>0</v>
      </c>
      <c r="AO10" s="503">
        <f>+AM10*$H$9</f>
        <v>0</v>
      </c>
      <c r="AP10" s="501">
        <v>23.076923076923038</v>
      </c>
      <c r="AQ10" s="502">
        <f t="shared" ref="AQ10:AQ40" si="12">+AP10/$E10</f>
        <v>1.2349846450242448</v>
      </c>
      <c r="AR10" s="503">
        <f>+AP10*$H$9</f>
        <v>0</v>
      </c>
      <c r="AS10" s="501"/>
      <c r="AT10" s="502">
        <f t="shared" ref="AT10:AT40" si="13">+AS10/$E10</f>
        <v>0</v>
      </c>
      <c r="AU10" s="503">
        <f>+AS10*$H$9</f>
        <v>0</v>
      </c>
      <c r="AV10" s="501">
        <v>13.875000000000057</v>
      </c>
      <c r="AW10" s="502">
        <f t="shared" ref="AW10:AW40" si="14">+AV10/$E10</f>
        <v>0.74253451782083146</v>
      </c>
      <c r="AX10" s="503">
        <f>+AV10*$H$9</f>
        <v>0</v>
      </c>
      <c r="AY10" s="501">
        <v>37.333333333333371</v>
      </c>
      <c r="AZ10" s="502">
        <f t="shared" ref="AZ10:AZ40" si="15">+AY10/$E10</f>
        <v>1.9979307146170058</v>
      </c>
      <c r="BA10" s="503">
        <f>+AY10*$H$9</f>
        <v>0</v>
      </c>
      <c r="BB10" s="501"/>
      <c r="BC10" s="502">
        <f t="shared" ref="BC10:BC40" si="16">+BB10/$E10</f>
        <v>0</v>
      </c>
      <c r="BD10" s="503">
        <f>+BB10*$H$9</f>
        <v>0</v>
      </c>
      <c r="BE10" s="501"/>
      <c r="BF10" s="502">
        <f t="shared" ref="BF10:BF40" si="17">+BE10/$E10</f>
        <v>0</v>
      </c>
      <c r="BG10" s="503">
        <f>+BE10*$H$9</f>
        <v>0</v>
      </c>
      <c r="BH10" s="501"/>
      <c r="BI10" s="502">
        <f t="shared" ref="BI10:BI40" si="18">+BH10/$E10</f>
        <v>0</v>
      </c>
      <c r="BJ10" s="503">
        <f>+BH10*$H$9</f>
        <v>0</v>
      </c>
      <c r="BK10" s="501"/>
      <c r="BL10" s="502">
        <f t="shared" ref="BL10:BL40" si="19">+BK10/$E10</f>
        <v>0</v>
      </c>
      <c r="BM10" s="503">
        <f>+BK10*$H$9</f>
        <v>0</v>
      </c>
      <c r="BN10" s="501">
        <v>7.5925925925926094</v>
      </c>
      <c r="BO10" s="502">
        <f t="shared" ref="BO10:BO40" si="20">+BN10/$E10</f>
        <v>0.40632519493699076</v>
      </c>
      <c r="BP10" s="503">
        <f>+BN10*$H$9</f>
        <v>0</v>
      </c>
      <c r="BQ10" s="501"/>
      <c r="BR10" s="502">
        <f t="shared" ref="BR10:BR40" si="21">+BQ10/$E10</f>
        <v>0</v>
      </c>
      <c r="BS10" s="503">
        <f>+BQ10*$H$9</f>
        <v>0</v>
      </c>
      <c r="BT10" s="501"/>
      <c r="BU10" s="502">
        <f t="shared" ref="BU10:BU40" si="22">+BT10/$E10</f>
        <v>0</v>
      </c>
      <c r="BV10" s="503">
        <f>+BT10*$H$9</f>
        <v>0</v>
      </c>
      <c r="BW10" s="501"/>
      <c r="BX10" s="502">
        <f t="shared" ref="BX10:BX40" si="23">+BW10/$E10</f>
        <v>0</v>
      </c>
      <c r="BY10" s="503">
        <f>+BW10*$H$9</f>
        <v>0</v>
      </c>
      <c r="BZ10" s="501"/>
      <c r="CA10" s="502">
        <f t="shared" ref="CA10:CA40" si="24">+BZ10/$E10</f>
        <v>0</v>
      </c>
      <c r="CB10" s="503">
        <f>+BZ10*$H$9</f>
        <v>0</v>
      </c>
      <c r="CC10" s="501"/>
      <c r="CD10" s="502">
        <f t="shared" ref="CD10:CD40" si="25">+CC10/$E10</f>
        <v>0</v>
      </c>
      <c r="CE10" s="503">
        <f>+CC10*$H$9</f>
        <v>0</v>
      </c>
      <c r="CF10" s="501">
        <v>5</v>
      </c>
      <c r="CG10" s="502">
        <f t="shared" ref="CG10:CG40" si="26">+CF10/$E10</f>
        <v>0.26758000642192015</v>
      </c>
      <c r="CH10" s="503">
        <f>+CF10*$H$9</f>
        <v>0</v>
      </c>
      <c r="CI10" s="501"/>
      <c r="CJ10" s="502">
        <f t="shared" ref="CJ10:CJ40" si="27">+CI10/$E10</f>
        <v>0</v>
      </c>
      <c r="CK10" s="503">
        <f>+CI10*$H$9</f>
        <v>0</v>
      </c>
      <c r="CL10" s="501"/>
      <c r="CM10" s="502">
        <f t="shared" ref="CM10:CM40" si="28">+CL10/$E10</f>
        <v>0</v>
      </c>
      <c r="CN10" s="503">
        <f>+CL10*$H$9</f>
        <v>0</v>
      </c>
      <c r="CO10" s="501"/>
      <c r="CP10" s="502">
        <f t="shared" ref="CP10:CP40" si="29">+CO10/$E10</f>
        <v>0</v>
      </c>
      <c r="CQ10" s="503">
        <f>+CO10*$H$9</f>
        <v>0</v>
      </c>
      <c r="CR10" s="501"/>
      <c r="CS10" s="502">
        <f t="shared" ref="CS10:CS40" si="30">+CR10/$E10</f>
        <v>0</v>
      </c>
      <c r="CT10" s="503">
        <f>+CR10*$H$9</f>
        <v>0</v>
      </c>
      <c r="CU10" s="501"/>
      <c r="CV10" s="502">
        <f t="shared" ref="CV10:CV40" si="31">+CU10/$E10</f>
        <v>0</v>
      </c>
      <c r="CW10" s="503">
        <f>+CU10*$H$9</f>
        <v>0</v>
      </c>
      <c r="CX10" s="501"/>
      <c r="CY10" s="502">
        <f t="shared" ref="CY10:CY40" si="32">+CX10/$E10</f>
        <v>0</v>
      </c>
      <c r="CZ10" s="503">
        <f>+CX10*$H$9</f>
        <v>0</v>
      </c>
      <c r="DA10" s="501">
        <v>72.67</v>
      </c>
      <c r="DB10" s="502">
        <f t="shared" ref="DB10:DB40" si="33">+DA10/$E10</f>
        <v>3.8890078133361876</v>
      </c>
      <c r="DC10" s="503">
        <f>+DA10*$H$9</f>
        <v>0</v>
      </c>
      <c r="DD10" s="501"/>
      <c r="DE10" s="502">
        <f t="shared" ref="DE10:DE40" si="34">+DD10/$E10</f>
        <v>0</v>
      </c>
      <c r="DF10" s="503">
        <f>+DD10*$H$9</f>
        <v>0</v>
      </c>
      <c r="DG10" s="501"/>
      <c r="DH10" s="502">
        <f t="shared" ref="DH10:DH40" si="35">+DG10/$E10</f>
        <v>0</v>
      </c>
      <c r="DI10" s="503">
        <v>0</v>
      </c>
      <c r="DJ10" s="501"/>
      <c r="DK10" s="502">
        <f t="shared" ref="DK10:DK40" si="36">+DJ10/$E10</f>
        <v>0</v>
      </c>
      <c r="DL10" s="503">
        <f>+DJ10*$H$9</f>
        <v>0</v>
      </c>
      <c r="DM10" s="501"/>
      <c r="DN10" s="502">
        <f t="shared" ref="DN10:DN40" si="37">+DM10/$E10</f>
        <v>0</v>
      </c>
      <c r="DO10" s="503">
        <f>+DM10*$H$9</f>
        <v>0</v>
      </c>
      <c r="DP10" s="501"/>
      <c r="DQ10" s="502">
        <f t="shared" ref="DQ10:DQ40" si="38">+DP10/$E10</f>
        <v>0</v>
      </c>
      <c r="DR10" s="503">
        <f>+DP10*$H$9</f>
        <v>0</v>
      </c>
      <c r="DS10" s="501"/>
      <c r="DT10" s="502">
        <f t="shared" ref="DT10:DT40" si="39">+DS10/$E10</f>
        <v>0</v>
      </c>
      <c r="DU10" s="503">
        <f>+DS10*$H$9</f>
        <v>0</v>
      </c>
      <c r="DV10" s="501"/>
      <c r="DW10" s="502">
        <f t="shared" ref="DW10:DW40" si="40">+DV10/$E10</f>
        <v>0</v>
      </c>
      <c r="DX10" s="503">
        <f>+DV10*$H$9</f>
        <v>0</v>
      </c>
      <c r="DY10" s="501">
        <v>0</v>
      </c>
      <c r="DZ10" s="502">
        <f t="shared" ref="DZ10:DZ40" si="41">+DY10/$E10</f>
        <v>0</v>
      </c>
      <c r="EA10" s="503">
        <f>+DY10*$H$9</f>
        <v>0</v>
      </c>
      <c r="EB10" s="501">
        <v>14.534883720930111</v>
      </c>
      <c r="EC10" s="502">
        <f t="shared" ref="EC10:EC40" si="42">+EB10/$E10</f>
        <v>0.77784885587766839</v>
      </c>
      <c r="ED10" s="503">
        <f>+EB10*$H$9</f>
        <v>0</v>
      </c>
      <c r="EE10" s="501">
        <v>3</v>
      </c>
      <c r="EF10" s="502">
        <f t="shared" ref="EF10:EF40" si="43">+EE10/$E10</f>
        <v>0.1605480038531521</v>
      </c>
      <c r="EG10" s="503">
        <f>+EE10*$H$9</f>
        <v>0</v>
      </c>
      <c r="EH10" s="501"/>
      <c r="EI10" s="502">
        <f t="shared" ref="EI10:EI40" si="44">+EH10/$E10</f>
        <v>0</v>
      </c>
      <c r="EJ10" s="503">
        <f>+EH10*$H$9</f>
        <v>0</v>
      </c>
      <c r="EK10" s="501"/>
      <c r="EL10" s="502">
        <f t="shared" ref="EL10:EL40" si="45">+EK10/$E10</f>
        <v>0</v>
      </c>
      <c r="EM10" s="503">
        <f>+EK10*$H$9</f>
        <v>0</v>
      </c>
      <c r="EN10" s="501"/>
      <c r="EO10" s="502">
        <f t="shared" ref="EO10:EO40" si="46">+EN10/$E10</f>
        <v>0</v>
      </c>
      <c r="EP10" s="503">
        <f>+EN10*$H$9</f>
        <v>0</v>
      </c>
      <c r="EQ10" s="501"/>
      <c r="ER10" s="502">
        <f t="shared" ref="ER10:ER40" si="47">+EQ10/$E10</f>
        <v>0</v>
      </c>
      <c r="ES10" s="503">
        <f>+EQ10*$H$9</f>
        <v>0</v>
      </c>
      <c r="ET10" s="501"/>
      <c r="EU10" s="502">
        <f t="shared" ref="EU10:EU40" si="48">+ET10/$E10</f>
        <v>0</v>
      </c>
      <c r="EV10" s="503">
        <f>+ET10*$H$9</f>
        <v>0</v>
      </c>
      <c r="EW10" s="501"/>
      <c r="EX10" s="502">
        <f t="shared" ref="EX10:EX40" si="49">+EW10/$E10</f>
        <v>0</v>
      </c>
      <c r="EY10" s="503">
        <f>+EW10*$H$9</f>
        <v>0</v>
      </c>
      <c r="EZ10" s="501"/>
      <c r="FA10" s="502">
        <f t="shared" ref="FA10:FA40" si="50">+EZ10/$E10</f>
        <v>0</v>
      </c>
      <c r="FB10" s="503">
        <f>+EZ10*$H$9</f>
        <v>0</v>
      </c>
      <c r="FC10" s="501"/>
      <c r="FD10" s="502">
        <f t="shared" ref="FD10:FD40" si="51">+FC10/$E10</f>
        <v>0</v>
      </c>
      <c r="FE10" s="503">
        <f>+FC10*$H$9</f>
        <v>0</v>
      </c>
      <c r="FF10" s="501"/>
      <c r="FG10" s="502">
        <f t="shared" ref="FG10:FG40" si="52">+FF10/$E10</f>
        <v>0</v>
      </c>
      <c r="FH10" s="503">
        <f>+FF10*$H$9</f>
        <v>0</v>
      </c>
      <c r="FI10" s="501"/>
      <c r="FJ10" s="502">
        <f t="shared" ref="FJ10:FJ40" si="53">+FI10/$E10</f>
        <v>0</v>
      </c>
      <c r="FK10" s="503">
        <f>+FI10*$H$9</f>
        <v>0</v>
      </c>
      <c r="FL10" s="501"/>
      <c r="FM10" s="502">
        <f t="shared" ref="FM10:FM40" si="54">+FL10/$E10</f>
        <v>0</v>
      </c>
      <c r="FN10" s="503">
        <f>+FL10*$H$9</f>
        <v>0</v>
      </c>
      <c r="FO10" s="501"/>
      <c r="FP10" s="502">
        <f t="shared" ref="FP10:FP40" si="55">+FO10/$E10</f>
        <v>0</v>
      </c>
      <c r="FQ10" s="503">
        <f>+FO10*$H$9</f>
        <v>0</v>
      </c>
      <c r="FR10" s="501"/>
      <c r="FS10" s="502">
        <f t="shared" ref="FS10:FS40" si="56">+FR10/$E10</f>
        <v>0</v>
      </c>
      <c r="FT10" s="503">
        <f>+FR10*$H$9</f>
        <v>0</v>
      </c>
      <c r="FU10" s="501"/>
      <c r="FV10" s="502">
        <f t="shared" ref="FV10:FV40" si="57">+FU10/$E10</f>
        <v>0</v>
      </c>
      <c r="FW10" s="503">
        <f>+FU10*$H$9</f>
        <v>0</v>
      </c>
      <c r="FX10" s="501"/>
      <c r="FY10" s="502">
        <f t="shared" ref="FY10:FY40" si="58">+FX10/$E10</f>
        <v>0</v>
      </c>
      <c r="FZ10" s="503">
        <f>+FX10*$H$9</f>
        <v>0</v>
      </c>
      <c r="GA10" s="501"/>
      <c r="GB10" s="502">
        <f t="shared" ref="GB10:GB40" si="59">+GA10/$E10</f>
        <v>0</v>
      </c>
      <c r="GC10" s="503">
        <f>+GA10*$H$9</f>
        <v>0</v>
      </c>
      <c r="GD10" s="501"/>
      <c r="GE10" s="502">
        <f t="shared" ref="GE10:GE40" si="60">+GD10/$E10</f>
        <v>0</v>
      </c>
      <c r="GF10" s="503">
        <f>+GD10*$H$9</f>
        <v>0</v>
      </c>
      <c r="GG10" s="501"/>
      <c r="GH10" s="502">
        <f t="shared" ref="GH10:GH40" si="61">+GG10/$E10</f>
        <v>0</v>
      </c>
      <c r="GI10" s="503">
        <f>+GG10*$H$9</f>
        <v>0</v>
      </c>
      <c r="GJ10" s="501"/>
      <c r="GK10" s="502">
        <f t="shared" ref="GK10:GK40" si="62">+GJ10/$E10</f>
        <v>0</v>
      </c>
      <c r="GL10" s="503">
        <f>+GJ10*$H$9</f>
        <v>0</v>
      </c>
      <c r="GM10" s="501"/>
      <c r="GN10" s="502">
        <f t="shared" ref="GN10:GN40" si="63">+GM10/$E10</f>
        <v>0</v>
      </c>
      <c r="GO10" s="503">
        <f>+GM10*$H$9</f>
        <v>0</v>
      </c>
      <c r="GP10" s="501"/>
      <c r="GQ10" s="502">
        <f t="shared" ref="GQ10:GQ40" si="64">+GP10/$E10</f>
        <v>0</v>
      </c>
      <c r="GR10" s="503">
        <f>+GP10*$H$9</f>
        <v>0</v>
      </c>
      <c r="GS10" s="501"/>
      <c r="GT10" s="502">
        <f t="shared" ref="GT10:GT40" si="65">+GS10/$E10</f>
        <v>0</v>
      </c>
      <c r="GU10" s="503">
        <f>+GS10*$H$9</f>
        <v>0</v>
      </c>
      <c r="GV10" s="501"/>
      <c r="GW10" s="502">
        <f t="shared" ref="GW10:GW40" si="66">+GV10/$E10</f>
        <v>0</v>
      </c>
      <c r="GX10" s="503">
        <f>+GV10*$H$9</f>
        <v>0</v>
      </c>
      <c r="GY10" s="501"/>
      <c r="GZ10" s="502">
        <f t="shared" ref="GZ10:GZ40" si="67">+GY10/$E10</f>
        <v>0</v>
      </c>
      <c r="HA10" s="503">
        <f>+GY10*$H$9</f>
        <v>0</v>
      </c>
      <c r="HB10" s="501"/>
      <c r="HC10" s="502">
        <f t="shared" ref="HC10:HC40" si="68">+HB10/$E10</f>
        <v>0</v>
      </c>
      <c r="HD10" s="503">
        <f>+HB10*$H$9</f>
        <v>0</v>
      </c>
      <c r="HE10" s="501"/>
      <c r="HF10" s="502">
        <f t="shared" ref="HF10:HF40" si="69">+HE10/$E10</f>
        <v>0</v>
      </c>
      <c r="HG10" s="503">
        <f>+HE10*$H$9</f>
        <v>0</v>
      </c>
      <c r="HH10" s="501"/>
      <c r="HI10" s="502">
        <f t="shared" ref="HI10:HI40" si="70">+HH10/$E10</f>
        <v>0</v>
      </c>
      <c r="HJ10" s="503">
        <f>+HH10*$H$9</f>
        <v>0</v>
      </c>
      <c r="HK10" s="501"/>
      <c r="HL10" s="502">
        <f t="shared" ref="HL10:HL40" si="71">+HK10/$E10</f>
        <v>0</v>
      </c>
      <c r="HM10" s="503">
        <f>+HK10*$H$9</f>
        <v>0</v>
      </c>
      <c r="HN10" s="501"/>
      <c r="HO10" s="502">
        <f t="shared" ref="HO10:HO40" si="72">+HN10/$E10</f>
        <v>0</v>
      </c>
      <c r="HP10" s="503">
        <f>+HN10*$H$9</f>
        <v>0</v>
      </c>
      <c r="HQ10" s="501"/>
      <c r="HR10" s="502">
        <f t="shared" ref="HR10:HR40" si="73">+HQ10/$E10</f>
        <v>0</v>
      </c>
      <c r="HS10" s="503">
        <f>+HQ10*$H$9</f>
        <v>0</v>
      </c>
      <c r="HT10" s="501"/>
      <c r="HU10" s="502">
        <f t="shared" ref="HU10:HU40" si="74">+HT10/$E10</f>
        <v>0</v>
      </c>
      <c r="HV10" s="503">
        <f>+HT10*$H$9</f>
        <v>0</v>
      </c>
      <c r="HW10" s="501"/>
      <c r="HX10" s="502">
        <f t="shared" ref="HX10:HX40" si="75">+HW10/$E10</f>
        <v>0</v>
      </c>
      <c r="HY10" s="503">
        <f>+HW10*$H$9</f>
        <v>0</v>
      </c>
      <c r="HZ10" s="501"/>
      <c r="IA10" s="502">
        <f t="shared" ref="IA10:IA40" si="76">+HZ10/$E10</f>
        <v>0</v>
      </c>
      <c r="IB10" s="503">
        <f>+HZ10*$H$9</f>
        <v>0</v>
      </c>
      <c r="IC10" s="501"/>
      <c r="ID10" s="502">
        <f t="shared" ref="ID10:ID40" si="77">+IC10/$E10</f>
        <v>0</v>
      </c>
      <c r="IE10" s="503">
        <f>+IC10*$H$9</f>
        <v>0</v>
      </c>
      <c r="IF10" s="501"/>
      <c r="IG10" s="502">
        <f t="shared" ref="IG10:IG40" si="78">+IF10/$E10</f>
        <v>0</v>
      </c>
      <c r="IH10" s="503">
        <f>+IF10*$H$9</f>
        <v>0</v>
      </c>
      <c r="II10" s="501"/>
      <c r="IJ10" s="502">
        <f t="shared" ref="IJ10:IJ40" si="79">+II10/$E10</f>
        <v>0</v>
      </c>
      <c r="IK10" s="503">
        <f>+II10*$H$9</f>
        <v>0</v>
      </c>
      <c r="IL10" s="501"/>
      <c r="IM10" s="502">
        <f t="shared" ref="IM10:IM40" si="80">+IL10/$E10</f>
        <v>0</v>
      </c>
      <c r="IN10" s="503">
        <f>+IL10*$H$9</f>
        <v>0</v>
      </c>
      <c r="IO10" s="501"/>
      <c r="IP10" s="502">
        <f t="shared" ref="IP10:IP40" si="81">+IO10/$E10</f>
        <v>0</v>
      </c>
      <c r="IQ10" s="503">
        <f>+IO10*$H$9</f>
        <v>0</v>
      </c>
      <c r="IR10" s="501"/>
      <c r="IS10" s="502">
        <f t="shared" ref="IS10:IS40" si="82">+IR10/$E10</f>
        <v>0</v>
      </c>
      <c r="IT10" s="503">
        <f>+IR10*$H$9</f>
        <v>0</v>
      </c>
      <c r="IU10" s="501"/>
      <c r="IV10" s="502">
        <f t="shared" ref="IV10:IV40" si="83">+IU10/$E10</f>
        <v>0</v>
      </c>
      <c r="IW10" s="503">
        <f>+IU10*$H$9</f>
        <v>0</v>
      </c>
      <c r="IX10" s="501"/>
      <c r="IY10" s="502">
        <f t="shared" ref="IY10:IY40" si="84">+IX10/$E10</f>
        <v>0</v>
      </c>
      <c r="IZ10" s="503">
        <f>+IX10*$H$9</f>
        <v>0</v>
      </c>
      <c r="JA10" s="501"/>
      <c r="JB10" s="502">
        <f t="shared" ref="JB10:JB40" si="85">+JA10/$E10</f>
        <v>0</v>
      </c>
      <c r="JC10" s="503">
        <f>+JA10*$H$9</f>
        <v>0</v>
      </c>
      <c r="JD10" s="501"/>
      <c r="JE10" s="502">
        <f t="shared" ref="JE10:JE40" si="86">+JD10/$E10</f>
        <v>0</v>
      </c>
      <c r="JF10" s="503">
        <f>+JD10*$H$9</f>
        <v>0</v>
      </c>
      <c r="JG10" s="501"/>
      <c r="JH10" s="502">
        <f t="shared" ref="JH10:JH40" si="87">+JG10/$E10</f>
        <v>0</v>
      </c>
      <c r="JI10" s="503">
        <f>+JG10*$H$9</f>
        <v>0</v>
      </c>
      <c r="JJ10" s="501"/>
      <c r="JK10" s="503" t="str">
        <f t="shared" ref="JK10:JK40" si="88">IFERROR((JJ10/$L10),"0")</f>
        <v>0</v>
      </c>
      <c r="JL10" s="503" t="str">
        <f t="shared" ref="JL10:JL40" si="89">IFERROR(((JJ10*JL$9)/$L10),"0")</f>
        <v>0</v>
      </c>
      <c r="JM10" s="501"/>
      <c r="JN10" s="503" t="str">
        <f t="shared" ref="JN10:JN40" si="90">IFERROR((JM10/$L10),"0")</f>
        <v>0</v>
      </c>
      <c r="JO10" s="503" t="str">
        <f t="shared" ref="JO10:JO40" si="91">IFERROR(((JM10*JO$9)/$L10),"0")</f>
        <v>0</v>
      </c>
      <c r="JP10" s="501"/>
      <c r="JQ10" s="503" t="str">
        <f t="shared" ref="JQ10:JQ40" si="92">IFERROR((JP10/$L10),"0")</f>
        <v>0</v>
      </c>
      <c r="JR10" s="503" t="str">
        <f t="shared" ref="JR10:JR40" si="93">IFERROR(((JP10*JR$9)/$L10),"0")</f>
        <v>0</v>
      </c>
      <c r="JS10" s="501"/>
      <c r="JT10" s="503" t="str">
        <f t="shared" ref="JT10:JT40" si="94">IFERROR((JS10/$L10),"0")</f>
        <v>0</v>
      </c>
      <c r="JU10" s="503" t="str">
        <f t="shared" ref="JU10:JU40" si="95">IFERROR(((JS10*JU$9)/$L10),"0")</f>
        <v>0</v>
      </c>
      <c r="JV10" s="501"/>
      <c r="JW10" s="503" t="str">
        <f t="shared" ref="JW10:JW40" si="96">IFERROR((JV10/$L10),"0")</f>
        <v>0</v>
      </c>
      <c r="JX10" s="503" t="str">
        <f t="shared" ref="JX10:JX40" si="97">IFERROR(((JV10*JX$9)/$L10),"0")</f>
        <v>0</v>
      </c>
      <c r="JY10" s="501"/>
      <c r="JZ10" s="503" t="str">
        <f t="shared" ref="JZ10:JZ40" si="98">IFERROR((JY10/$L10),"0")</f>
        <v>0</v>
      </c>
      <c r="KA10" s="503" t="str">
        <f t="shared" ref="KA10:KA40" si="99">IFERROR(((JY10*KA$9)/$L10),"0")</f>
        <v>0</v>
      </c>
      <c r="KB10" s="501"/>
      <c r="KC10" s="503" t="str">
        <f t="shared" ref="KC10:KC40" si="100">IFERROR((KB10/$L10),"0")</f>
        <v>0</v>
      </c>
      <c r="KD10" s="503" t="str">
        <f t="shared" ref="KD10:KD40" si="101">IFERROR(((KB10*KD$9)/$L10),"0")</f>
        <v>0</v>
      </c>
      <c r="KE10" s="501"/>
      <c r="KF10" s="503" t="str">
        <f t="shared" ref="KF10:KF40" si="102">IFERROR((KE10/$L10),"0")</f>
        <v>0</v>
      </c>
      <c r="KG10" s="503" t="str">
        <f t="shared" ref="KG10:KG40" si="103">IFERROR(((KE10*KG$9)/$L10),"0")</f>
        <v>0</v>
      </c>
      <c r="KH10" s="501"/>
      <c r="KI10" s="503" t="str">
        <f t="shared" ref="KI10:KI40" si="104">IFERROR((KH10/$L10),"0")</f>
        <v>0</v>
      </c>
      <c r="KJ10" s="503" t="str">
        <f t="shared" ref="KJ10:KJ40" si="105">IFERROR(((KH10*KJ$9)/$L10),"0")</f>
        <v>0</v>
      </c>
      <c r="KK10" s="501"/>
      <c r="KL10" s="503" t="str">
        <f t="shared" ref="KL10:KL40" si="106">IFERROR((KK10/$L10),"0")</f>
        <v>0</v>
      </c>
      <c r="KM10" s="503" t="str">
        <f t="shared" ref="KM10:KM40" si="107">IFERROR(((KK10*KM$9)/$L10),"0")</f>
        <v>0</v>
      </c>
      <c r="KN10" s="501"/>
      <c r="KO10" s="503" t="str">
        <f t="shared" ref="KO10:KO40" si="108">IFERROR((KN10/$L10),"0")</f>
        <v>0</v>
      </c>
      <c r="KP10" s="503" t="str">
        <f t="shared" ref="KP10:KP40" si="109">IFERROR(((KN10*KP$9)/$L10),"0")</f>
        <v>0</v>
      </c>
      <c r="KQ10" s="501"/>
      <c r="KR10" s="503" t="str">
        <f t="shared" ref="KR10:KR40" si="110">IFERROR((KQ10/$L10),"0")</f>
        <v>0</v>
      </c>
      <c r="KS10" s="503" t="str">
        <f t="shared" ref="KS10:KS40" si="111">IFERROR(((KQ10*KS$9)/$L10),"0")</f>
        <v>0</v>
      </c>
      <c r="KT10" s="503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03">
        <f>GF10+GI10+GL10+GO10+GR10+GU10+GX10+HA10+HD10+HG10+HJ10+HM10+HP10+HS10+HV10+HY10+IB10+IE10+IH10+IK10+IN10+IQ10+IT10+IW10+IZ10+JC10+JF10+JI10+JL10+JO10+JR10+JU10+JX10++KA10+KD10+KG10+KJ10++KM10+KP10+KS10</f>
        <v>0</v>
      </c>
      <c r="KV10" s="264">
        <f>+F10+I10+L10+O10+R10+U10+X10+AA10+AD10+AG10+AJ10+AM10+AP10+AS10+AV10+AY10+BB10+BE10+BH10+BK10+BN10+BQ10+BT10+BW10+BZ10+CC10+CF10+CI10+CL10+CO10+CR10+CU10+CX10+DA10+DD10+DJ10+DM10+DP10+DS10+DV10+DY10+EB10+EE10+EH10+EK10+EN10</f>
        <v>223.71354667726752</v>
      </c>
    </row>
    <row r="11" spans="1:308" ht="15" customHeight="1">
      <c r="A11" s="266">
        <f>+A10+1</f>
        <v>45932</v>
      </c>
      <c r="B11" s="267" t="str">
        <f>+Report1!B10</f>
        <v>Toilet</v>
      </c>
      <c r="C11" s="395" t="str">
        <f>+Report1!C10</f>
        <v>15/14,5</v>
      </c>
      <c r="D11" s="268">
        <f>+Report1!P10</f>
        <v>50.265999999999998</v>
      </c>
      <c r="E11" s="269">
        <f>+Report1!R10</f>
        <v>50.273000000000003</v>
      </c>
      <c r="F11" s="501">
        <v>0</v>
      </c>
      <c r="G11" s="502">
        <f t="shared" si="0"/>
        <v>0</v>
      </c>
      <c r="H11" s="503">
        <f t="shared" ref="H11:H40" si="112">+F11*$H$9</f>
        <v>0</v>
      </c>
      <c r="I11" s="501">
        <v>162.79069767441865</v>
      </c>
      <c r="J11" s="502">
        <f t="shared" si="1"/>
        <v>3.2381337432502266</v>
      </c>
      <c r="K11" s="503">
        <f t="shared" ref="K11:K40" si="113">+I11*$H$9</f>
        <v>0</v>
      </c>
      <c r="L11" s="501"/>
      <c r="M11" s="502">
        <f t="shared" si="2"/>
        <v>0</v>
      </c>
      <c r="N11" s="503">
        <f t="shared" ref="N11:N40" si="114">+L11*$H$9</f>
        <v>0</v>
      </c>
      <c r="O11" s="501">
        <v>9.0000000000000142</v>
      </c>
      <c r="P11" s="502">
        <f t="shared" si="3"/>
        <v>0.17902253694826276</v>
      </c>
      <c r="Q11" s="503">
        <f t="shared" ref="Q11:Q40" si="115">+O11*$H$9</f>
        <v>0</v>
      </c>
      <c r="R11" s="501">
        <v>5.1249999999999929</v>
      </c>
      <c r="S11" s="502">
        <f t="shared" si="4"/>
        <v>0.10194338909553821</v>
      </c>
      <c r="T11" s="503">
        <f t="shared" ref="T11:T40" si="116">+R11*$H$9</f>
        <v>0</v>
      </c>
      <c r="U11" s="501">
        <v>6.2499999999999858</v>
      </c>
      <c r="V11" s="502">
        <f t="shared" si="5"/>
        <v>0.12432120621407088</v>
      </c>
      <c r="W11" s="503">
        <f t="shared" ref="W11:W40" si="117">+U11*$H$9</f>
        <v>0</v>
      </c>
      <c r="X11" s="501"/>
      <c r="Y11" s="502">
        <f t="shared" si="6"/>
        <v>0</v>
      </c>
      <c r="Z11" s="503">
        <f t="shared" ref="Z11:Z40" si="118">+X11*$H$9</f>
        <v>0</v>
      </c>
      <c r="AA11" s="501"/>
      <c r="AB11" s="502">
        <f t="shared" si="7"/>
        <v>0</v>
      </c>
      <c r="AC11" s="503">
        <f t="shared" ref="AC11:AC40" si="119">+AA11*$H$9</f>
        <v>0</v>
      </c>
      <c r="AD11" s="501"/>
      <c r="AE11" s="502">
        <f t="shared" si="8"/>
        <v>0</v>
      </c>
      <c r="AF11" s="503">
        <f t="shared" ref="AF11:AF40" si="120">+AD11*$H$9</f>
        <v>0</v>
      </c>
      <c r="AG11" s="501"/>
      <c r="AH11" s="502">
        <f t="shared" si="9"/>
        <v>0</v>
      </c>
      <c r="AI11" s="503">
        <f t="shared" ref="AI11:AI40" si="121">+AG11*$H$9</f>
        <v>0</v>
      </c>
      <c r="AJ11" s="501"/>
      <c r="AK11" s="502">
        <f t="shared" si="10"/>
        <v>0</v>
      </c>
      <c r="AL11" s="503">
        <f t="shared" ref="AL11:AL40" si="122">+AJ11*$H$9</f>
        <v>0</v>
      </c>
      <c r="AM11" s="501">
        <v>0</v>
      </c>
      <c r="AN11" s="502">
        <f t="shared" si="11"/>
        <v>0</v>
      </c>
      <c r="AO11" s="503">
        <f t="shared" ref="AO11:AO40" si="123">+AM11*$H$9</f>
        <v>0</v>
      </c>
      <c r="AP11" s="501">
        <v>40.384615384615415</v>
      </c>
      <c r="AQ11" s="502">
        <f t="shared" si="12"/>
        <v>0.8033062555370758</v>
      </c>
      <c r="AR11" s="503">
        <f t="shared" ref="AR11:AR40" si="124">+AP11*$H$9</f>
        <v>0</v>
      </c>
      <c r="AS11" s="501"/>
      <c r="AT11" s="502">
        <f t="shared" si="13"/>
        <v>0</v>
      </c>
      <c r="AU11" s="503">
        <f t="shared" ref="AU11:AU40" si="125">+AS11*$H$9</f>
        <v>0</v>
      </c>
      <c r="AV11" s="501">
        <v>13.874999999999943</v>
      </c>
      <c r="AW11" s="502">
        <f t="shared" si="14"/>
        <v>0.27599307779523685</v>
      </c>
      <c r="AX11" s="503">
        <f t="shared" ref="AX11:AX40" si="126">+AV11*$H$9</f>
        <v>0</v>
      </c>
      <c r="AY11" s="501">
        <v>39.666666666666629</v>
      </c>
      <c r="AZ11" s="502">
        <f t="shared" si="15"/>
        <v>0.78902525543863755</v>
      </c>
      <c r="BA11" s="503">
        <f t="shared" ref="BA11:BA40" si="127">+AY11*$H$9</f>
        <v>0</v>
      </c>
      <c r="BB11" s="501"/>
      <c r="BC11" s="502">
        <f t="shared" si="16"/>
        <v>0</v>
      </c>
      <c r="BD11" s="503">
        <f t="shared" ref="BD11:BD40" si="128">+BB11*$H$9</f>
        <v>0</v>
      </c>
      <c r="BE11" s="501"/>
      <c r="BF11" s="502">
        <f t="shared" si="17"/>
        <v>0</v>
      </c>
      <c r="BG11" s="503">
        <f t="shared" ref="BG11:BG40" si="129">+BE11*$H$9</f>
        <v>0</v>
      </c>
      <c r="BH11" s="501"/>
      <c r="BI11" s="502">
        <f t="shared" si="18"/>
        <v>0</v>
      </c>
      <c r="BJ11" s="503">
        <f t="shared" ref="BJ11:BJ40" si="130">+BH11*$H$9</f>
        <v>0</v>
      </c>
      <c r="BK11" s="501"/>
      <c r="BL11" s="502">
        <f t="shared" si="19"/>
        <v>0</v>
      </c>
      <c r="BM11" s="503">
        <f t="shared" ref="BM11:BM40" si="131">+BK11*$H$9</f>
        <v>0</v>
      </c>
      <c r="BN11" s="501">
        <v>10.123456790123456</v>
      </c>
      <c r="BO11" s="502">
        <f t="shared" si="20"/>
        <v>0.20136965747266833</v>
      </c>
      <c r="BP11" s="503">
        <f t="shared" ref="BP11:BP40" si="132">+BN11*$H$9</f>
        <v>0</v>
      </c>
      <c r="BQ11" s="501">
        <v>2.5641025641025692</v>
      </c>
      <c r="BR11" s="502">
        <f t="shared" si="21"/>
        <v>5.1003571780131859E-2</v>
      </c>
      <c r="BS11" s="503">
        <f t="shared" ref="BS11:BS40" si="133">+BQ11*$H$9</f>
        <v>0</v>
      </c>
      <c r="BT11" s="501"/>
      <c r="BU11" s="502">
        <f t="shared" si="22"/>
        <v>0</v>
      </c>
      <c r="BV11" s="503">
        <f t="shared" ref="BV11:BV40" si="134">+BT11*$H$9</f>
        <v>0</v>
      </c>
      <c r="BW11" s="501"/>
      <c r="BX11" s="502">
        <f t="shared" si="23"/>
        <v>0</v>
      </c>
      <c r="BY11" s="503">
        <f t="shared" ref="BY11:BY40" si="135">+BW11*$H$9</f>
        <v>0</v>
      </c>
      <c r="BZ11" s="501"/>
      <c r="CA11" s="502">
        <f t="shared" si="24"/>
        <v>0</v>
      </c>
      <c r="CB11" s="503">
        <f t="shared" ref="CB11:CB40" si="136">+BZ11*$H$9</f>
        <v>0</v>
      </c>
      <c r="CC11" s="501"/>
      <c r="CD11" s="502">
        <f t="shared" si="25"/>
        <v>0</v>
      </c>
      <c r="CE11" s="503">
        <f t="shared" ref="CE11:CE40" si="137">+CC11*$H$9</f>
        <v>0</v>
      </c>
      <c r="CF11" s="501">
        <v>8</v>
      </c>
      <c r="CG11" s="502">
        <f t="shared" si="26"/>
        <v>0.1591311439540111</v>
      </c>
      <c r="CH11" s="503">
        <f t="shared" ref="CH11:CH40" si="138">+CF11*$H$9</f>
        <v>0</v>
      </c>
      <c r="CI11" s="501"/>
      <c r="CJ11" s="502">
        <f t="shared" si="27"/>
        <v>0</v>
      </c>
      <c r="CK11" s="503">
        <f t="shared" ref="CK11:CK40" si="139">+CI11*$H$9</f>
        <v>0</v>
      </c>
      <c r="CL11" s="501"/>
      <c r="CM11" s="502">
        <f t="shared" si="28"/>
        <v>0</v>
      </c>
      <c r="CN11" s="503">
        <f t="shared" ref="CN11:CN40" si="140">+CL11*$H$9</f>
        <v>0</v>
      </c>
      <c r="CO11" s="501"/>
      <c r="CP11" s="502">
        <f t="shared" si="29"/>
        <v>0</v>
      </c>
      <c r="CQ11" s="503">
        <f t="shared" ref="CQ11:CQ40" si="141">+CO11*$H$9</f>
        <v>0</v>
      </c>
      <c r="CR11" s="501"/>
      <c r="CS11" s="502">
        <f t="shared" si="30"/>
        <v>0</v>
      </c>
      <c r="CT11" s="503">
        <f t="shared" ref="CT11:CT40" si="142">+CR11*$H$9</f>
        <v>0</v>
      </c>
      <c r="CU11" s="501"/>
      <c r="CV11" s="502">
        <f t="shared" si="31"/>
        <v>0</v>
      </c>
      <c r="CW11" s="503">
        <f t="shared" ref="CW11:CW40" si="143">+CU11*$H$9</f>
        <v>0</v>
      </c>
      <c r="CX11" s="501"/>
      <c r="CY11" s="502">
        <f t="shared" si="32"/>
        <v>0</v>
      </c>
      <c r="CZ11" s="503">
        <f t="shared" ref="CZ11:CZ40" si="144">+CX11*$H$9</f>
        <v>0</v>
      </c>
      <c r="DA11" s="501">
        <v>0</v>
      </c>
      <c r="DB11" s="502">
        <f t="shared" si="33"/>
        <v>0</v>
      </c>
      <c r="DC11" s="503">
        <f t="shared" ref="DC11:DC40" si="145">+DA11*$H$9</f>
        <v>0</v>
      </c>
      <c r="DD11" s="501"/>
      <c r="DE11" s="502">
        <f t="shared" si="34"/>
        <v>0</v>
      </c>
      <c r="DF11" s="503">
        <f t="shared" ref="DF11:DF40" si="146">+DD11*$H$9</f>
        <v>0</v>
      </c>
      <c r="DG11" s="501"/>
      <c r="DH11" s="502">
        <f t="shared" si="35"/>
        <v>0</v>
      </c>
      <c r="DI11" s="503">
        <v>0</v>
      </c>
      <c r="DJ11" s="501"/>
      <c r="DK11" s="502">
        <f t="shared" si="36"/>
        <v>0</v>
      </c>
      <c r="DL11" s="503">
        <f t="shared" ref="DL11:DL40" si="147">+DJ11*$H$9</f>
        <v>0</v>
      </c>
      <c r="DM11" s="501"/>
      <c r="DN11" s="502">
        <f t="shared" si="37"/>
        <v>0</v>
      </c>
      <c r="DO11" s="503">
        <f t="shared" ref="DO11:DO40" si="148">+DM11*$H$9</f>
        <v>0</v>
      </c>
      <c r="DP11" s="501"/>
      <c r="DQ11" s="502">
        <f t="shared" si="38"/>
        <v>0</v>
      </c>
      <c r="DR11" s="503">
        <f t="shared" ref="DR11:DR40" si="149">+DP11*$H$9</f>
        <v>0</v>
      </c>
      <c r="DS11" s="501"/>
      <c r="DT11" s="502">
        <f t="shared" si="39"/>
        <v>0</v>
      </c>
      <c r="DU11" s="503">
        <f t="shared" ref="DU11:DU40" si="150">+DS11*$H$9</f>
        <v>0</v>
      </c>
      <c r="DV11" s="501"/>
      <c r="DW11" s="502">
        <f t="shared" si="40"/>
        <v>0</v>
      </c>
      <c r="DX11" s="503">
        <f t="shared" ref="DX11:DX40" si="151">+DV11*$H$9</f>
        <v>0</v>
      </c>
      <c r="DY11" s="501">
        <v>0</v>
      </c>
      <c r="DZ11" s="502">
        <f t="shared" si="41"/>
        <v>0</v>
      </c>
      <c r="EA11" s="503">
        <f t="shared" ref="EA11:EA40" si="152">+DY11*$H$9</f>
        <v>0</v>
      </c>
      <c r="EB11" s="501">
        <v>14.534883720930338</v>
      </c>
      <c r="EC11" s="502">
        <f t="shared" si="42"/>
        <v>0.28911908421877225</v>
      </c>
      <c r="ED11" s="503">
        <f t="shared" ref="ED11:ED40" si="153">+EB11*$H$9</f>
        <v>0</v>
      </c>
      <c r="EE11" s="501">
        <v>3</v>
      </c>
      <c r="EF11" s="502">
        <f t="shared" si="43"/>
        <v>5.9674178982754157E-2</v>
      </c>
      <c r="EG11" s="503">
        <f t="shared" ref="EG11:EG40" si="154">+EE11*$H$9</f>
        <v>0</v>
      </c>
      <c r="EH11" s="501"/>
      <c r="EI11" s="502">
        <f t="shared" si="44"/>
        <v>0</v>
      </c>
      <c r="EJ11" s="503">
        <f t="shared" ref="EJ11:EJ40" si="155">+EH11*$H$9</f>
        <v>0</v>
      </c>
      <c r="EK11" s="501"/>
      <c r="EL11" s="502">
        <f t="shared" si="45"/>
        <v>0</v>
      </c>
      <c r="EM11" s="503">
        <f t="shared" ref="EM11:EM40" si="156">+EK11*$H$9</f>
        <v>0</v>
      </c>
      <c r="EN11" s="501"/>
      <c r="EO11" s="502">
        <f t="shared" si="46"/>
        <v>0</v>
      </c>
      <c r="EP11" s="503">
        <f t="shared" ref="EP11:EP40" si="157">+EN11*$H$9</f>
        <v>0</v>
      </c>
      <c r="EQ11" s="501"/>
      <c r="ER11" s="502">
        <f t="shared" si="47"/>
        <v>0</v>
      </c>
      <c r="ES11" s="503">
        <f t="shared" ref="ES11:ES40" si="158">+EQ11*$H$9</f>
        <v>0</v>
      </c>
      <c r="ET11" s="501"/>
      <c r="EU11" s="502">
        <f t="shared" si="48"/>
        <v>0</v>
      </c>
      <c r="EV11" s="503">
        <f t="shared" ref="EV11:EV40" si="159">+ET11*$H$9</f>
        <v>0</v>
      </c>
      <c r="EW11" s="501"/>
      <c r="EX11" s="502">
        <f t="shared" si="49"/>
        <v>0</v>
      </c>
      <c r="EY11" s="503">
        <f t="shared" ref="EY11:EY40" si="160">+EW11*$H$9</f>
        <v>0</v>
      </c>
      <c r="EZ11" s="501"/>
      <c r="FA11" s="502">
        <f t="shared" si="50"/>
        <v>0</v>
      </c>
      <c r="FB11" s="503">
        <f t="shared" ref="FB11:FB40" si="161">+EZ11*$H$9</f>
        <v>0</v>
      </c>
      <c r="FC11" s="501"/>
      <c r="FD11" s="502">
        <f t="shared" si="51"/>
        <v>0</v>
      </c>
      <c r="FE11" s="503">
        <f t="shared" ref="FE11:FE40" si="162">+FC11*$H$9</f>
        <v>0</v>
      </c>
      <c r="FF11" s="501"/>
      <c r="FG11" s="502">
        <f t="shared" si="52"/>
        <v>0</v>
      </c>
      <c r="FH11" s="503">
        <f t="shared" ref="FH11:FH40" si="163">+FF11*$H$9</f>
        <v>0</v>
      </c>
      <c r="FI11" s="501"/>
      <c r="FJ11" s="502">
        <f t="shared" si="53"/>
        <v>0</v>
      </c>
      <c r="FK11" s="503">
        <f t="shared" ref="FK11:FK40" si="164">+FI11*$H$9</f>
        <v>0</v>
      </c>
      <c r="FL11" s="501"/>
      <c r="FM11" s="502">
        <f t="shared" si="54"/>
        <v>0</v>
      </c>
      <c r="FN11" s="503">
        <f t="shared" ref="FN11:FN40" si="165">+FL11*$H$9</f>
        <v>0</v>
      </c>
      <c r="FO11" s="501"/>
      <c r="FP11" s="502">
        <f t="shared" si="55"/>
        <v>0</v>
      </c>
      <c r="FQ11" s="503">
        <f t="shared" ref="FQ11:FQ40" si="166">+FO11*$H$9</f>
        <v>0</v>
      </c>
      <c r="FR11" s="501"/>
      <c r="FS11" s="502">
        <f t="shared" si="56"/>
        <v>0</v>
      </c>
      <c r="FT11" s="503">
        <f t="shared" ref="FT11:FT40" si="167">+FR11*$H$9</f>
        <v>0</v>
      </c>
      <c r="FU11" s="501"/>
      <c r="FV11" s="502">
        <f t="shared" si="57"/>
        <v>0</v>
      </c>
      <c r="FW11" s="503">
        <f t="shared" ref="FW11:FW40" si="168">+FU11*$H$9</f>
        <v>0</v>
      </c>
      <c r="FX11" s="501"/>
      <c r="FY11" s="502">
        <f t="shared" si="58"/>
        <v>0</v>
      </c>
      <c r="FZ11" s="503">
        <f t="shared" ref="FZ11:FZ40" si="169">+FX11*$H$9</f>
        <v>0</v>
      </c>
      <c r="GA11" s="501"/>
      <c r="GB11" s="502">
        <f t="shared" si="59"/>
        <v>0</v>
      </c>
      <c r="GC11" s="503">
        <f t="shared" ref="GC11:GC40" si="170">+GA11*$H$9</f>
        <v>0</v>
      </c>
      <c r="GD11" s="501"/>
      <c r="GE11" s="502">
        <f t="shared" si="60"/>
        <v>0</v>
      </c>
      <c r="GF11" s="503">
        <f t="shared" ref="GF11:GF40" si="171">+GD11*$H$9</f>
        <v>0</v>
      </c>
      <c r="GG11" s="501"/>
      <c r="GH11" s="502">
        <f t="shared" si="61"/>
        <v>0</v>
      </c>
      <c r="GI11" s="503">
        <f t="shared" ref="GI11:GI40" si="172">+GG11*$H$9</f>
        <v>0</v>
      </c>
      <c r="GJ11" s="501"/>
      <c r="GK11" s="502">
        <f t="shared" si="62"/>
        <v>0</v>
      </c>
      <c r="GL11" s="503">
        <f t="shared" ref="GL11:GL40" si="173">+GJ11*$H$9</f>
        <v>0</v>
      </c>
      <c r="GM11" s="501"/>
      <c r="GN11" s="502">
        <f t="shared" si="63"/>
        <v>0</v>
      </c>
      <c r="GO11" s="503">
        <f t="shared" ref="GO11:GO40" si="174">+GM11*$H$9</f>
        <v>0</v>
      </c>
      <c r="GP11" s="501"/>
      <c r="GQ11" s="502">
        <f t="shared" si="64"/>
        <v>0</v>
      </c>
      <c r="GR11" s="503">
        <f t="shared" ref="GR11:GR40" si="175">+GP11*$H$9</f>
        <v>0</v>
      </c>
      <c r="GS11" s="501"/>
      <c r="GT11" s="502">
        <f t="shared" si="65"/>
        <v>0</v>
      </c>
      <c r="GU11" s="503">
        <f t="shared" ref="GU11:GU40" si="176">+GS11*$H$9</f>
        <v>0</v>
      </c>
      <c r="GV11" s="501"/>
      <c r="GW11" s="502">
        <f t="shared" si="66"/>
        <v>0</v>
      </c>
      <c r="GX11" s="503">
        <f t="shared" ref="GX11:GX40" si="177">+GV11*$H$9</f>
        <v>0</v>
      </c>
      <c r="GY11" s="501"/>
      <c r="GZ11" s="502">
        <f t="shared" si="67"/>
        <v>0</v>
      </c>
      <c r="HA11" s="503">
        <f t="shared" ref="HA11:HA40" si="178">+GY11*$H$9</f>
        <v>0</v>
      </c>
      <c r="HB11" s="501"/>
      <c r="HC11" s="502">
        <f t="shared" si="68"/>
        <v>0</v>
      </c>
      <c r="HD11" s="503">
        <f t="shared" ref="HD11:HD40" si="179">+HB11*$H$9</f>
        <v>0</v>
      </c>
      <c r="HE11" s="501"/>
      <c r="HF11" s="502">
        <f t="shared" si="69"/>
        <v>0</v>
      </c>
      <c r="HG11" s="503">
        <f t="shared" ref="HG11:HG40" si="180">+HE11*$H$9</f>
        <v>0</v>
      </c>
      <c r="HH11" s="501"/>
      <c r="HI11" s="502">
        <f t="shared" si="70"/>
        <v>0</v>
      </c>
      <c r="HJ11" s="503">
        <f t="shared" ref="HJ11:HJ40" si="181">+HH11*$H$9</f>
        <v>0</v>
      </c>
      <c r="HK11" s="501"/>
      <c r="HL11" s="502">
        <f t="shared" si="71"/>
        <v>0</v>
      </c>
      <c r="HM11" s="503">
        <f t="shared" ref="HM11:HM40" si="182">+HK11*$H$9</f>
        <v>0</v>
      </c>
      <c r="HN11" s="501"/>
      <c r="HO11" s="502">
        <f t="shared" si="72"/>
        <v>0</v>
      </c>
      <c r="HP11" s="503">
        <f t="shared" ref="HP11:HP40" si="183">+HN11*$H$9</f>
        <v>0</v>
      </c>
      <c r="HQ11" s="501"/>
      <c r="HR11" s="502">
        <f t="shared" si="73"/>
        <v>0</v>
      </c>
      <c r="HS11" s="503">
        <f t="shared" ref="HS11:HS40" si="184">+HQ11*$H$9</f>
        <v>0</v>
      </c>
      <c r="HT11" s="501"/>
      <c r="HU11" s="502">
        <f t="shared" si="74"/>
        <v>0</v>
      </c>
      <c r="HV11" s="503">
        <f t="shared" ref="HV11:HV40" si="185">+HT11*$H$9</f>
        <v>0</v>
      </c>
      <c r="HW11" s="501"/>
      <c r="HX11" s="502">
        <f t="shared" si="75"/>
        <v>0</v>
      </c>
      <c r="HY11" s="503">
        <f t="shared" ref="HY11:HY40" si="186">+HW11*$H$9</f>
        <v>0</v>
      </c>
      <c r="HZ11" s="501"/>
      <c r="IA11" s="502">
        <f t="shared" si="76"/>
        <v>0</v>
      </c>
      <c r="IB11" s="503">
        <f t="shared" ref="IB11:IB40" si="187">+HZ11*$H$9</f>
        <v>0</v>
      </c>
      <c r="IC11" s="501"/>
      <c r="ID11" s="502">
        <f t="shared" si="77"/>
        <v>0</v>
      </c>
      <c r="IE11" s="503">
        <f t="shared" ref="IE11:IE40" si="188">+IC11*$H$9</f>
        <v>0</v>
      </c>
      <c r="IF11" s="501"/>
      <c r="IG11" s="502">
        <f t="shared" si="78"/>
        <v>0</v>
      </c>
      <c r="IH11" s="503">
        <f t="shared" ref="IH11:IH40" si="189">+IF11*$H$9</f>
        <v>0</v>
      </c>
      <c r="II11" s="501"/>
      <c r="IJ11" s="502">
        <f t="shared" si="79"/>
        <v>0</v>
      </c>
      <c r="IK11" s="503">
        <f t="shared" ref="IK11:IK40" si="190">+II11*$H$9</f>
        <v>0</v>
      </c>
      <c r="IL11" s="501"/>
      <c r="IM11" s="502">
        <f t="shared" si="80"/>
        <v>0</v>
      </c>
      <c r="IN11" s="503">
        <f t="shared" ref="IN11:IN40" si="191">+IL11*$H$9</f>
        <v>0</v>
      </c>
      <c r="IO11" s="501"/>
      <c r="IP11" s="502">
        <f t="shared" si="81"/>
        <v>0</v>
      </c>
      <c r="IQ11" s="503">
        <f t="shared" ref="IQ11:IQ40" si="192">+IO11*$H$9</f>
        <v>0</v>
      </c>
      <c r="IR11" s="501"/>
      <c r="IS11" s="502">
        <f t="shared" si="82"/>
        <v>0</v>
      </c>
      <c r="IT11" s="503">
        <f t="shared" ref="IT11:IT40" si="193">+IR11*$H$9</f>
        <v>0</v>
      </c>
      <c r="IU11" s="501"/>
      <c r="IV11" s="502">
        <f t="shared" si="83"/>
        <v>0</v>
      </c>
      <c r="IW11" s="503">
        <f t="shared" ref="IW11:IW40" si="194">+IU11*$H$9</f>
        <v>0</v>
      </c>
      <c r="IX11" s="501"/>
      <c r="IY11" s="502">
        <f t="shared" si="84"/>
        <v>0</v>
      </c>
      <c r="IZ11" s="503">
        <f t="shared" ref="IZ11:IZ40" si="195">+IX11*$H$9</f>
        <v>0</v>
      </c>
      <c r="JA11" s="501"/>
      <c r="JB11" s="502">
        <f t="shared" si="85"/>
        <v>0</v>
      </c>
      <c r="JC11" s="503">
        <f t="shared" ref="JC11:JC40" si="196">+JA11*$H$9</f>
        <v>0</v>
      </c>
      <c r="JD11" s="501"/>
      <c r="JE11" s="502">
        <f t="shared" si="86"/>
        <v>0</v>
      </c>
      <c r="JF11" s="503">
        <f t="shared" ref="JF11:JF40" si="197">+JD11*$H$9</f>
        <v>0</v>
      </c>
      <c r="JG11" s="501"/>
      <c r="JH11" s="502">
        <f t="shared" si="87"/>
        <v>0</v>
      </c>
      <c r="JI11" s="503">
        <f t="shared" ref="JI11:JI40" si="198">+JG11*$H$9</f>
        <v>0</v>
      </c>
      <c r="JJ11" s="501"/>
      <c r="JK11" s="503" t="str">
        <f t="shared" si="88"/>
        <v>0</v>
      </c>
      <c r="JL11" s="503" t="str">
        <f t="shared" si="89"/>
        <v>0</v>
      </c>
      <c r="JM11" s="501"/>
      <c r="JN11" s="503" t="str">
        <f t="shared" si="90"/>
        <v>0</v>
      </c>
      <c r="JO11" s="503" t="str">
        <f t="shared" si="91"/>
        <v>0</v>
      </c>
      <c r="JP11" s="501"/>
      <c r="JQ11" s="503" t="str">
        <f t="shared" si="92"/>
        <v>0</v>
      </c>
      <c r="JR11" s="503" t="str">
        <f t="shared" si="93"/>
        <v>0</v>
      </c>
      <c r="JS11" s="501"/>
      <c r="JT11" s="503" t="str">
        <f t="shared" si="94"/>
        <v>0</v>
      </c>
      <c r="JU11" s="503" t="str">
        <f t="shared" si="95"/>
        <v>0</v>
      </c>
      <c r="JV11" s="501"/>
      <c r="JW11" s="503" t="str">
        <f t="shared" si="96"/>
        <v>0</v>
      </c>
      <c r="JX11" s="503" t="str">
        <f t="shared" si="97"/>
        <v>0</v>
      </c>
      <c r="JY11" s="501"/>
      <c r="JZ11" s="503" t="str">
        <f t="shared" si="98"/>
        <v>0</v>
      </c>
      <c r="KA11" s="503" t="str">
        <f t="shared" si="99"/>
        <v>0</v>
      </c>
      <c r="KB11" s="501"/>
      <c r="KC11" s="503" t="str">
        <f t="shared" si="100"/>
        <v>0</v>
      </c>
      <c r="KD11" s="503" t="str">
        <f t="shared" si="101"/>
        <v>0</v>
      </c>
      <c r="KE11" s="501"/>
      <c r="KF11" s="503" t="str">
        <f t="shared" si="102"/>
        <v>0</v>
      </c>
      <c r="KG11" s="503" t="str">
        <f t="shared" si="103"/>
        <v>0</v>
      </c>
      <c r="KH11" s="501"/>
      <c r="KI11" s="503" t="str">
        <f t="shared" si="104"/>
        <v>0</v>
      </c>
      <c r="KJ11" s="503" t="str">
        <f t="shared" si="105"/>
        <v>0</v>
      </c>
      <c r="KK11" s="501"/>
      <c r="KL11" s="503" t="str">
        <f t="shared" si="106"/>
        <v>0</v>
      </c>
      <c r="KM11" s="503" t="str">
        <f t="shared" si="107"/>
        <v>0</v>
      </c>
      <c r="KN11" s="501"/>
      <c r="KO11" s="503" t="str">
        <f t="shared" si="108"/>
        <v>0</v>
      </c>
      <c r="KP11" s="503" t="str">
        <f t="shared" si="109"/>
        <v>0</v>
      </c>
      <c r="KQ11" s="501"/>
      <c r="KR11" s="503" t="str">
        <f t="shared" si="110"/>
        <v>0</v>
      </c>
      <c r="KS11" s="503" t="str">
        <f t="shared" si="111"/>
        <v>0</v>
      </c>
      <c r="KT11" s="503">
        <f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03">
        <f>GF11+GI11+GL11+GO11+GR11+GU11+GX11+HA11+HD11+HG11+HJ11+HM11+HP11+HS11+HV11+HY11+IB11+IE11+IH11+IK11+IN11+IQ11+IT11+IW11+IZ11+JC11+JF11+JI11+JL11+JO11+JR11+JU11+JX11++KA11+KD11+KG11+KJ11++KM11+KP11+KS11</f>
        <v>0</v>
      </c>
      <c r="KV11" s="264">
        <f t="shared" ref="KV11:KV40" si="199">+F11+I11+L11+O11+R11+U11+X11+AA11+AD11+AG11+AJ11+AM11+AP11+AS11+AV11+AY11+BB11+BE11+BH11+BK11+BN11+BQ11+BT11+BW11+BZ11+CC11+CF11+CI11+CL11+CO11+CR11+CU11+CX11+DA11+DD11+DJ11+DM11+DP11+DS11+DV11+DY11+EB11+EE11+EH11+EK11+EN11</f>
        <v>315.31442280085696</v>
      </c>
    </row>
    <row r="12" spans="1:308" ht="15" customHeight="1">
      <c r="A12" s="266">
        <f t="shared" ref="A12:A40" si="200">+A11+1</f>
        <v>45933</v>
      </c>
      <c r="B12" s="267" t="str">
        <f>+Report1!B11</f>
        <v>Toilet</v>
      </c>
      <c r="C12" s="395" t="str">
        <f>+Report1!C11</f>
        <v>14,5/12,5</v>
      </c>
      <c r="D12" s="268">
        <f>+Report1!P11</f>
        <v>49.029000000000003</v>
      </c>
      <c r="E12" s="269">
        <f>+Report1!R11</f>
        <v>42.622</v>
      </c>
      <c r="F12" s="501">
        <v>0</v>
      </c>
      <c r="G12" s="502">
        <f t="shared" si="0"/>
        <v>0</v>
      </c>
      <c r="H12" s="503">
        <f t="shared" si="112"/>
        <v>0</v>
      </c>
      <c r="I12" s="501">
        <v>0</v>
      </c>
      <c r="J12" s="502">
        <f t="shared" si="1"/>
        <v>0</v>
      </c>
      <c r="K12" s="503">
        <f t="shared" si="113"/>
        <v>0</v>
      </c>
      <c r="L12" s="501"/>
      <c r="M12" s="502">
        <f t="shared" si="2"/>
        <v>0</v>
      </c>
      <c r="N12" s="503">
        <f t="shared" si="114"/>
        <v>0</v>
      </c>
      <c r="O12" s="501">
        <v>9</v>
      </c>
      <c r="P12" s="502">
        <f t="shared" si="3"/>
        <v>0.21115855661395525</v>
      </c>
      <c r="Q12" s="503">
        <f t="shared" si="115"/>
        <v>0</v>
      </c>
      <c r="R12" s="501">
        <v>5.1250000000000071</v>
      </c>
      <c r="S12" s="502">
        <f t="shared" si="4"/>
        <v>0.12024306696072468</v>
      </c>
      <c r="T12" s="503">
        <f t="shared" si="116"/>
        <v>0</v>
      </c>
      <c r="U12" s="501">
        <v>7.8125000000000142</v>
      </c>
      <c r="V12" s="502">
        <f t="shared" si="5"/>
        <v>0.18329735817183648</v>
      </c>
      <c r="W12" s="503">
        <f t="shared" si="117"/>
        <v>0</v>
      </c>
      <c r="X12" s="501"/>
      <c r="Y12" s="502">
        <f t="shared" si="6"/>
        <v>0</v>
      </c>
      <c r="Z12" s="503">
        <f t="shared" si="118"/>
        <v>0</v>
      </c>
      <c r="AA12" s="501"/>
      <c r="AB12" s="502">
        <f t="shared" si="7"/>
        <v>0</v>
      </c>
      <c r="AC12" s="503">
        <f t="shared" si="119"/>
        <v>0</v>
      </c>
      <c r="AD12" s="501"/>
      <c r="AE12" s="502">
        <f t="shared" si="8"/>
        <v>0</v>
      </c>
      <c r="AF12" s="503">
        <f t="shared" si="120"/>
        <v>0</v>
      </c>
      <c r="AG12" s="501"/>
      <c r="AH12" s="502">
        <f t="shared" si="9"/>
        <v>0</v>
      </c>
      <c r="AI12" s="503">
        <f t="shared" si="121"/>
        <v>0</v>
      </c>
      <c r="AJ12" s="501"/>
      <c r="AK12" s="502">
        <f t="shared" si="10"/>
        <v>0</v>
      </c>
      <c r="AL12" s="503">
        <f t="shared" si="122"/>
        <v>0</v>
      </c>
      <c r="AM12" s="501">
        <v>0</v>
      </c>
      <c r="AN12" s="502">
        <f t="shared" si="11"/>
        <v>0</v>
      </c>
      <c r="AO12" s="503">
        <f t="shared" si="123"/>
        <v>0</v>
      </c>
      <c r="AP12" s="501">
        <v>49.038461538461604</v>
      </c>
      <c r="AQ12" s="502">
        <f t="shared" si="12"/>
        <v>1.1505434174478346</v>
      </c>
      <c r="AR12" s="503">
        <f t="shared" si="124"/>
        <v>0</v>
      </c>
      <c r="AS12" s="501"/>
      <c r="AT12" s="502">
        <f t="shared" si="13"/>
        <v>0</v>
      </c>
      <c r="AU12" s="503">
        <f t="shared" si="125"/>
        <v>0</v>
      </c>
      <c r="AV12" s="501">
        <v>13.875</v>
      </c>
      <c r="AW12" s="502">
        <f t="shared" si="14"/>
        <v>0.32553610811318101</v>
      </c>
      <c r="AX12" s="503">
        <f t="shared" si="126"/>
        <v>0</v>
      </c>
      <c r="AY12" s="501">
        <v>42.000000000000057</v>
      </c>
      <c r="AZ12" s="502">
        <f t="shared" si="15"/>
        <v>0.98540659753179238</v>
      </c>
      <c r="BA12" s="503">
        <f t="shared" si="127"/>
        <v>0</v>
      </c>
      <c r="BB12" s="501"/>
      <c r="BC12" s="502">
        <f t="shared" si="16"/>
        <v>0</v>
      </c>
      <c r="BD12" s="503">
        <f t="shared" si="128"/>
        <v>0</v>
      </c>
      <c r="BE12" s="501"/>
      <c r="BF12" s="502">
        <f t="shared" si="17"/>
        <v>0</v>
      </c>
      <c r="BG12" s="503">
        <f t="shared" si="129"/>
        <v>0</v>
      </c>
      <c r="BH12" s="501"/>
      <c r="BI12" s="502">
        <f t="shared" si="18"/>
        <v>0</v>
      </c>
      <c r="BJ12" s="503">
        <f t="shared" si="130"/>
        <v>0</v>
      </c>
      <c r="BK12" s="501"/>
      <c r="BL12" s="502">
        <f t="shared" si="19"/>
        <v>0</v>
      </c>
      <c r="BM12" s="503">
        <f t="shared" si="131"/>
        <v>0</v>
      </c>
      <c r="BN12" s="501">
        <v>10.123456790123456</v>
      </c>
      <c r="BO12" s="502">
        <f t="shared" si="20"/>
        <v>0.23751716930513481</v>
      </c>
      <c r="BP12" s="503">
        <f t="shared" si="132"/>
        <v>0</v>
      </c>
      <c r="BQ12" s="501">
        <v>20.512820512820511</v>
      </c>
      <c r="BR12" s="502">
        <f t="shared" si="21"/>
        <v>0.48127306350759025</v>
      </c>
      <c r="BS12" s="503">
        <f t="shared" si="133"/>
        <v>0</v>
      </c>
      <c r="BT12" s="501"/>
      <c r="BU12" s="502">
        <f t="shared" si="22"/>
        <v>0</v>
      </c>
      <c r="BV12" s="503">
        <f t="shared" si="134"/>
        <v>0</v>
      </c>
      <c r="BW12" s="501"/>
      <c r="BX12" s="502">
        <f t="shared" si="23"/>
        <v>0</v>
      </c>
      <c r="BY12" s="503">
        <f t="shared" si="135"/>
        <v>0</v>
      </c>
      <c r="BZ12" s="501"/>
      <c r="CA12" s="502">
        <f t="shared" si="24"/>
        <v>0</v>
      </c>
      <c r="CB12" s="503">
        <f t="shared" si="136"/>
        <v>0</v>
      </c>
      <c r="CC12" s="501"/>
      <c r="CD12" s="502">
        <f t="shared" si="25"/>
        <v>0</v>
      </c>
      <c r="CE12" s="503">
        <f t="shared" si="137"/>
        <v>0</v>
      </c>
      <c r="CF12" s="501">
        <v>9</v>
      </c>
      <c r="CG12" s="502">
        <f t="shared" si="26"/>
        <v>0.21115855661395525</v>
      </c>
      <c r="CH12" s="503">
        <f t="shared" si="138"/>
        <v>0</v>
      </c>
      <c r="CI12" s="501"/>
      <c r="CJ12" s="502">
        <f t="shared" si="27"/>
        <v>0</v>
      </c>
      <c r="CK12" s="503">
        <f t="shared" si="139"/>
        <v>0</v>
      </c>
      <c r="CL12" s="501"/>
      <c r="CM12" s="502">
        <f t="shared" si="28"/>
        <v>0</v>
      </c>
      <c r="CN12" s="503">
        <f t="shared" si="140"/>
        <v>0</v>
      </c>
      <c r="CO12" s="501"/>
      <c r="CP12" s="502">
        <f t="shared" si="29"/>
        <v>0</v>
      </c>
      <c r="CQ12" s="503">
        <f t="shared" si="141"/>
        <v>0</v>
      </c>
      <c r="CR12" s="501"/>
      <c r="CS12" s="502">
        <f t="shared" si="30"/>
        <v>0</v>
      </c>
      <c r="CT12" s="503">
        <f t="shared" si="142"/>
        <v>0</v>
      </c>
      <c r="CU12" s="501"/>
      <c r="CV12" s="502">
        <f t="shared" si="31"/>
        <v>0</v>
      </c>
      <c r="CW12" s="503">
        <f t="shared" si="143"/>
        <v>0</v>
      </c>
      <c r="CX12" s="501"/>
      <c r="CY12" s="502">
        <f t="shared" si="32"/>
        <v>0</v>
      </c>
      <c r="CZ12" s="503">
        <f t="shared" si="144"/>
        <v>0</v>
      </c>
      <c r="DA12" s="501">
        <v>0</v>
      </c>
      <c r="DB12" s="502">
        <f t="shared" si="33"/>
        <v>0</v>
      </c>
      <c r="DC12" s="503">
        <f t="shared" si="145"/>
        <v>0</v>
      </c>
      <c r="DD12" s="501"/>
      <c r="DE12" s="502">
        <f t="shared" si="34"/>
        <v>0</v>
      </c>
      <c r="DF12" s="503">
        <f t="shared" si="146"/>
        <v>0</v>
      </c>
      <c r="DG12" s="501"/>
      <c r="DH12" s="502">
        <f t="shared" si="35"/>
        <v>0</v>
      </c>
      <c r="DI12" s="503">
        <v>0</v>
      </c>
      <c r="DJ12" s="501"/>
      <c r="DK12" s="502">
        <f t="shared" si="36"/>
        <v>0</v>
      </c>
      <c r="DL12" s="503">
        <f t="shared" si="147"/>
        <v>0</v>
      </c>
      <c r="DM12" s="501"/>
      <c r="DN12" s="502">
        <f t="shared" si="37"/>
        <v>0</v>
      </c>
      <c r="DO12" s="503">
        <f t="shared" si="148"/>
        <v>0</v>
      </c>
      <c r="DP12" s="501"/>
      <c r="DQ12" s="502">
        <f t="shared" si="38"/>
        <v>0</v>
      </c>
      <c r="DR12" s="503">
        <f t="shared" si="149"/>
        <v>0</v>
      </c>
      <c r="DS12" s="501"/>
      <c r="DT12" s="502">
        <f t="shared" si="39"/>
        <v>0</v>
      </c>
      <c r="DU12" s="503">
        <f t="shared" si="150"/>
        <v>0</v>
      </c>
      <c r="DV12" s="501"/>
      <c r="DW12" s="502">
        <f t="shared" si="40"/>
        <v>0</v>
      </c>
      <c r="DX12" s="503">
        <f t="shared" si="151"/>
        <v>0</v>
      </c>
      <c r="DY12" s="501">
        <v>0</v>
      </c>
      <c r="DZ12" s="502">
        <f t="shared" si="41"/>
        <v>0</v>
      </c>
      <c r="EA12" s="503">
        <f t="shared" si="152"/>
        <v>0</v>
      </c>
      <c r="EB12" s="501">
        <v>14.534883720930225</v>
      </c>
      <c r="EC12" s="502">
        <f t="shared" si="42"/>
        <v>0.34101834078481125</v>
      </c>
      <c r="ED12" s="503">
        <f t="shared" si="153"/>
        <v>0</v>
      </c>
      <c r="EE12" s="501">
        <v>3</v>
      </c>
      <c r="EF12" s="502">
        <f t="shared" si="43"/>
        <v>7.0386185537985077E-2</v>
      </c>
      <c r="EG12" s="503">
        <f t="shared" si="154"/>
        <v>0</v>
      </c>
      <c r="EH12" s="501"/>
      <c r="EI12" s="502">
        <f t="shared" si="44"/>
        <v>0</v>
      </c>
      <c r="EJ12" s="503">
        <f t="shared" si="155"/>
        <v>0</v>
      </c>
      <c r="EK12" s="501"/>
      <c r="EL12" s="502">
        <f t="shared" si="45"/>
        <v>0</v>
      </c>
      <c r="EM12" s="503">
        <f t="shared" si="156"/>
        <v>0</v>
      </c>
      <c r="EN12" s="501"/>
      <c r="EO12" s="502">
        <f t="shared" si="46"/>
        <v>0</v>
      </c>
      <c r="EP12" s="503">
        <f t="shared" si="157"/>
        <v>0</v>
      </c>
      <c r="EQ12" s="501"/>
      <c r="ER12" s="502">
        <f t="shared" si="47"/>
        <v>0</v>
      </c>
      <c r="ES12" s="503">
        <f t="shared" si="158"/>
        <v>0</v>
      </c>
      <c r="ET12" s="501"/>
      <c r="EU12" s="502">
        <f t="shared" si="48"/>
        <v>0</v>
      </c>
      <c r="EV12" s="503">
        <f t="shared" si="159"/>
        <v>0</v>
      </c>
      <c r="EW12" s="501"/>
      <c r="EX12" s="502">
        <f t="shared" si="49"/>
        <v>0</v>
      </c>
      <c r="EY12" s="503">
        <f t="shared" si="160"/>
        <v>0</v>
      </c>
      <c r="EZ12" s="501"/>
      <c r="FA12" s="502">
        <f t="shared" si="50"/>
        <v>0</v>
      </c>
      <c r="FB12" s="503">
        <f t="shared" si="161"/>
        <v>0</v>
      </c>
      <c r="FC12" s="501"/>
      <c r="FD12" s="502">
        <f t="shared" si="51"/>
        <v>0</v>
      </c>
      <c r="FE12" s="503">
        <f t="shared" si="162"/>
        <v>0</v>
      </c>
      <c r="FF12" s="501"/>
      <c r="FG12" s="502">
        <f t="shared" si="52"/>
        <v>0</v>
      </c>
      <c r="FH12" s="503">
        <f t="shared" si="163"/>
        <v>0</v>
      </c>
      <c r="FI12" s="501"/>
      <c r="FJ12" s="502">
        <f t="shared" si="53"/>
        <v>0</v>
      </c>
      <c r="FK12" s="503">
        <f t="shared" si="164"/>
        <v>0</v>
      </c>
      <c r="FL12" s="501"/>
      <c r="FM12" s="502">
        <f t="shared" si="54"/>
        <v>0</v>
      </c>
      <c r="FN12" s="503">
        <f t="shared" si="165"/>
        <v>0</v>
      </c>
      <c r="FO12" s="501"/>
      <c r="FP12" s="502">
        <f t="shared" si="55"/>
        <v>0</v>
      </c>
      <c r="FQ12" s="503">
        <f t="shared" si="166"/>
        <v>0</v>
      </c>
      <c r="FR12" s="501"/>
      <c r="FS12" s="502">
        <f t="shared" si="56"/>
        <v>0</v>
      </c>
      <c r="FT12" s="503">
        <f t="shared" si="167"/>
        <v>0</v>
      </c>
      <c r="FU12" s="501"/>
      <c r="FV12" s="502">
        <f t="shared" si="57"/>
        <v>0</v>
      </c>
      <c r="FW12" s="503">
        <f t="shared" si="168"/>
        <v>0</v>
      </c>
      <c r="FX12" s="501"/>
      <c r="FY12" s="502">
        <f t="shared" si="58"/>
        <v>0</v>
      </c>
      <c r="FZ12" s="503">
        <f t="shared" si="169"/>
        <v>0</v>
      </c>
      <c r="GA12" s="501"/>
      <c r="GB12" s="502">
        <f t="shared" si="59"/>
        <v>0</v>
      </c>
      <c r="GC12" s="503">
        <f t="shared" si="170"/>
        <v>0</v>
      </c>
      <c r="GD12" s="501"/>
      <c r="GE12" s="502">
        <f t="shared" si="60"/>
        <v>0</v>
      </c>
      <c r="GF12" s="503">
        <f t="shared" si="171"/>
        <v>0</v>
      </c>
      <c r="GG12" s="501"/>
      <c r="GH12" s="502">
        <f t="shared" si="61"/>
        <v>0</v>
      </c>
      <c r="GI12" s="503">
        <f t="shared" si="172"/>
        <v>0</v>
      </c>
      <c r="GJ12" s="501"/>
      <c r="GK12" s="502">
        <f t="shared" si="62"/>
        <v>0</v>
      </c>
      <c r="GL12" s="503">
        <f t="shared" si="173"/>
        <v>0</v>
      </c>
      <c r="GM12" s="501"/>
      <c r="GN12" s="502">
        <f t="shared" si="63"/>
        <v>0</v>
      </c>
      <c r="GO12" s="503">
        <f t="shared" si="174"/>
        <v>0</v>
      </c>
      <c r="GP12" s="501"/>
      <c r="GQ12" s="502">
        <f t="shared" si="64"/>
        <v>0</v>
      </c>
      <c r="GR12" s="503">
        <f t="shared" si="175"/>
        <v>0</v>
      </c>
      <c r="GS12" s="501"/>
      <c r="GT12" s="502">
        <f t="shared" si="65"/>
        <v>0</v>
      </c>
      <c r="GU12" s="503">
        <f t="shared" si="176"/>
        <v>0</v>
      </c>
      <c r="GV12" s="501"/>
      <c r="GW12" s="502">
        <f t="shared" si="66"/>
        <v>0</v>
      </c>
      <c r="GX12" s="503">
        <f t="shared" si="177"/>
        <v>0</v>
      </c>
      <c r="GY12" s="501"/>
      <c r="GZ12" s="502">
        <f t="shared" si="67"/>
        <v>0</v>
      </c>
      <c r="HA12" s="503">
        <f t="shared" si="178"/>
        <v>0</v>
      </c>
      <c r="HB12" s="501"/>
      <c r="HC12" s="502">
        <f t="shared" si="68"/>
        <v>0</v>
      </c>
      <c r="HD12" s="503">
        <f t="shared" si="179"/>
        <v>0</v>
      </c>
      <c r="HE12" s="501"/>
      <c r="HF12" s="502">
        <f t="shared" si="69"/>
        <v>0</v>
      </c>
      <c r="HG12" s="503">
        <f t="shared" si="180"/>
        <v>0</v>
      </c>
      <c r="HH12" s="501"/>
      <c r="HI12" s="502">
        <f t="shared" si="70"/>
        <v>0</v>
      </c>
      <c r="HJ12" s="503">
        <f t="shared" si="181"/>
        <v>0</v>
      </c>
      <c r="HK12" s="501"/>
      <c r="HL12" s="502">
        <f t="shared" si="71"/>
        <v>0</v>
      </c>
      <c r="HM12" s="503">
        <f t="shared" si="182"/>
        <v>0</v>
      </c>
      <c r="HN12" s="501"/>
      <c r="HO12" s="502">
        <f t="shared" si="72"/>
        <v>0</v>
      </c>
      <c r="HP12" s="503">
        <f t="shared" si="183"/>
        <v>0</v>
      </c>
      <c r="HQ12" s="501"/>
      <c r="HR12" s="502">
        <f t="shared" si="73"/>
        <v>0</v>
      </c>
      <c r="HS12" s="503">
        <f t="shared" si="184"/>
        <v>0</v>
      </c>
      <c r="HT12" s="501"/>
      <c r="HU12" s="502">
        <f t="shared" si="74"/>
        <v>0</v>
      </c>
      <c r="HV12" s="503">
        <f t="shared" si="185"/>
        <v>0</v>
      </c>
      <c r="HW12" s="501"/>
      <c r="HX12" s="502">
        <f t="shared" si="75"/>
        <v>0</v>
      </c>
      <c r="HY12" s="503">
        <f t="shared" si="186"/>
        <v>0</v>
      </c>
      <c r="HZ12" s="501"/>
      <c r="IA12" s="502">
        <f t="shared" si="76"/>
        <v>0</v>
      </c>
      <c r="IB12" s="503">
        <f t="shared" si="187"/>
        <v>0</v>
      </c>
      <c r="IC12" s="501"/>
      <c r="ID12" s="502">
        <f t="shared" si="77"/>
        <v>0</v>
      </c>
      <c r="IE12" s="503">
        <f t="shared" si="188"/>
        <v>0</v>
      </c>
      <c r="IF12" s="501"/>
      <c r="IG12" s="502">
        <f t="shared" si="78"/>
        <v>0</v>
      </c>
      <c r="IH12" s="503">
        <f t="shared" si="189"/>
        <v>0</v>
      </c>
      <c r="II12" s="501"/>
      <c r="IJ12" s="502">
        <f t="shared" si="79"/>
        <v>0</v>
      </c>
      <c r="IK12" s="503">
        <f t="shared" si="190"/>
        <v>0</v>
      </c>
      <c r="IL12" s="501"/>
      <c r="IM12" s="502">
        <f t="shared" si="80"/>
        <v>0</v>
      </c>
      <c r="IN12" s="503">
        <f t="shared" si="191"/>
        <v>0</v>
      </c>
      <c r="IO12" s="501"/>
      <c r="IP12" s="502">
        <f t="shared" si="81"/>
        <v>0</v>
      </c>
      <c r="IQ12" s="503">
        <f t="shared" si="192"/>
        <v>0</v>
      </c>
      <c r="IR12" s="501"/>
      <c r="IS12" s="502">
        <f t="shared" si="82"/>
        <v>0</v>
      </c>
      <c r="IT12" s="503">
        <f t="shared" si="193"/>
        <v>0</v>
      </c>
      <c r="IU12" s="501"/>
      <c r="IV12" s="502">
        <f t="shared" si="83"/>
        <v>0</v>
      </c>
      <c r="IW12" s="503">
        <f t="shared" si="194"/>
        <v>0</v>
      </c>
      <c r="IX12" s="501"/>
      <c r="IY12" s="502">
        <f t="shared" si="84"/>
        <v>0</v>
      </c>
      <c r="IZ12" s="503">
        <f t="shared" si="195"/>
        <v>0</v>
      </c>
      <c r="JA12" s="501"/>
      <c r="JB12" s="502">
        <f t="shared" si="85"/>
        <v>0</v>
      </c>
      <c r="JC12" s="503">
        <f t="shared" si="196"/>
        <v>0</v>
      </c>
      <c r="JD12" s="501"/>
      <c r="JE12" s="502">
        <f t="shared" si="86"/>
        <v>0</v>
      </c>
      <c r="JF12" s="503">
        <f t="shared" si="197"/>
        <v>0</v>
      </c>
      <c r="JG12" s="501"/>
      <c r="JH12" s="502">
        <f t="shared" si="87"/>
        <v>0</v>
      </c>
      <c r="JI12" s="503">
        <f t="shared" si="198"/>
        <v>0</v>
      </c>
      <c r="JJ12" s="501"/>
      <c r="JK12" s="503" t="str">
        <f t="shared" si="88"/>
        <v>0</v>
      </c>
      <c r="JL12" s="503" t="str">
        <f t="shared" si="89"/>
        <v>0</v>
      </c>
      <c r="JM12" s="501"/>
      <c r="JN12" s="503" t="str">
        <f t="shared" si="90"/>
        <v>0</v>
      </c>
      <c r="JO12" s="503" t="str">
        <f t="shared" si="91"/>
        <v>0</v>
      </c>
      <c r="JP12" s="501"/>
      <c r="JQ12" s="503" t="str">
        <f t="shared" si="92"/>
        <v>0</v>
      </c>
      <c r="JR12" s="503" t="str">
        <f t="shared" si="93"/>
        <v>0</v>
      </c>
      <c r="JS12" s="501"/>
      <c r="JT12" s="503" t="str">
        <f t="shared" si="94"/>
        <v>0</v>
      </c>
      <c r="JU12" s="503" t="str">
        <f t="shared" si="95"/>
        <v>0</v>
      </c>
      <c r="JV12" s="501"/>
      <c r="JW12" s="503" t="str">
        <f t="shared" si="96"/>
        <v>0</v>
      </c>
      <c r="JX12" s="503" t="str">
        <f t="shared" si="97"/>
        <v>0</v>
      </c>
      <c r="JY12" s="501"/>
      <c r="JZ12" s="503" t="str">
        <f t="shared" si="98"/>
        <v>0</v>
      </c>
      <c r="KA12" s="503" t="str">
        <f t="shared" si="99"/>
        <v>0</v>
      </c>
      <c r="KB12" s="501"/>
      <c r="KC12" s="503" t="str">
        <f t="shared" si="100"/>
        <v>0</v>
      </c>
      <c r="KD12" s="503" t="str">
        <f t="shared" si="101"/>
        <v>0</v>
      </c>
      <c r="KE12" s="501"/>
      <c r="KF12" s="503" t="str">
        <f t="shared" si="102"/>
        <v>0</v>
      </c>
      <c r="KG12" s="503" t="str">
        <f t="shared" si="103"/>
        <v>0</v>
      </c>
      <c r="KH12" s="501"/>
      <c r="KI12" s="503" t="str">
        <f t="shared" si="104"/>
        <v>0</v>
      </c>
      <c r="KJ12" s="503" t="str">
        <f t="shared" si="105"/>
        <v>0</v>
      </c>
      <c r="KK12" s="501"/>
      <c r="KL12" s="503" t="str">
        <f t="shared" si="106"/>
        <v>0</v>
      </c>
      <c r="KM12" s="503" t="str">
        <f t="shared" si="107"/>
        <v>0</v>
      </c>
      <c r="KN12" s="501"/>
      <c r="KO12" s="503" t="str">
        <f t="shared" si="108"/>
        <v>0</v>
      </c>
      <c r="KP12" s="503" t="str">
        <f t="shared" si="109"/>
        <v>0</v>
      </c>
      <c r="KQ12" s="501"/>
      <c r="KR12" s="503" t="str">
        <f t="shared" si="110"/>
        <v>0</v>
      </c>
      <c r="KS12" s="503" t="str">
        <f t="shared" si="111"/>
        <v>0</v>
      </c>
      <c r="KT12" s="503">
        <f t="shared" ref="KT12:KT42" si="201">H12+K12+N12+Q12+T12+W12+Z12+AC12+AF12+AI12+AL12+AO12+AR12+AU12+AX12+BA12+BD12+BG12+BJ12+BM12+BP12+BS12+BV12+BY12+CB12+CE12+CH12+CK12+CN12+CQ12+CT12+CW12+CZ12+DC12+DF12+DI12+DL12+DO12+DR12+DU12+DX12+EA12+ED12+EG12+EJ12+EM12+EP12+ES12+EV12+EY12+FB12+FE12+FH12+FK12+FN12+FQ12+FT12+FW12+FZ12+GC12</f>
        <v>0</v>
      </c>
      <c r="KU12" s="503">
        <f t="shared" ref="KU12:KU42" si="202">GF12+GI12+GL12+GO12+GR12+GU12+GX12+HA12+HD12+HG12+HJ12+HM12+HP12+HS12+HV12+HY12+IB12+IE12+IH12+IK12+IN12+IQ12+IT12+IW12+IZ12+JC12+JF12+JI12+JL12+JO12+JR12+JU12+JX12++KA12+KD12+KG12+KJ12++KM12+KP12+KS12</f>
        <v>0</v>
      </c>
      <c r="KV12" s="264">
        <f t="shared" si="199"/>
        <v>184.02212256233588</v>
      </c>
    </row>
    <row r="13" spans="1:308" ht="15" customHeight="1">
      <c r="A13" s="266">
        <f t="shared" si="200"/>
        <v>45934</v>
      </c>
      <c r="B13" s="267" t="str">
        <f>+Report1!B12</f>
        <v>Toilet/Facial</v>
      </c>
      <c r="C13" s="395" t="str">
        <f>+Report1!C12</f>
        <v>12,5/12/13,5/12</v>
      </c>
      <c r="D13" s="268">
        <f>+Report1!P12</f>
        <v>48.988</v>
      </c>
      <c r="E13" s="269">
        <f>+Report1!R12</f>
        <v>46.850999999999999</v>
      </c>
      <c r="F13" s="501">
        <v>0</v>
      </c>
      <c r="G13" s="502">
        <f t="shared" si="0"/>
        <v>0</v>
      </c>
      <c r="H13" s="503">
        <f t="shared" si="112"/>
        <v>0</v>
      </c>
      <c r="I13" s="501">
        <v>289.1213860465117</v>
      </c>
      <c r="J13" s="502">
        <f t="shared" si="1"/>
        <v>6.171082496563824</v>
      </c>
      <c r="K13" s="503">
        <f t="shared" si="113"/>
        <v>0</v>
      </c>
      <c r="L13" s="501"/>
      <c r="M13" s="502">
        <f t="shared" si="2"/>
        <v>0</v>
      </c>
      <c r="N13" s="503">
        <f t="shared" si="114"/>
        <v>0</v>
      </c>
      <c r="O13" s="501">
        <v>10.499999999999986</v>
      </c>
      <c r="P13" s="502">
        <f t="shared" si="3"/>
        <v>0.22411474675033588</v>
      </c>
      <c r="Q13" s="503">
        <f t="shared" si="115"/>
        <v>0</v>
      </c>
      <c r="R13" s="501">
        <v>5.1249999999999929</v>
      </c>
      <c r="S13" s="502">
        <f t="shared" si="4"/>
        <v>0.10938934067575917</v>
      </c>
      <c r="T13" s="503">
        <f t="shared" si="116"/>
        <v>0</v>
      </c>
      <c r="U13" s="501">
        <v>6.25</v>
      </c>
      <c r="V13" s="502">
        <f t="shared" si="5"/>
        <v>0.13340163497043819</v>
      </c>
      <c r="W13" s="503">
        <f t="shared" si="117"/>
        <v>0</v>
      </c>
      <c r="X13" s="501"/>
      <c r="Y13" s="502">
        <f t="shared" si="6"/>
        <v>0</v>
      </c>
      <c r="Z13" s="503">
        <f t="shared" si="118"/>
        <v>0</v>
      </c>
      <c r="AA13" s="501"/>
      <c r="AB13" s="502">
        <f t="shared" si="7"/>
        <v>0</v>
      </c>
      <c r="AC13" s="503">
        <f t="shared" si="119"/>
        <v>0</v>
      </c>
      <c r="AD13" s="501"/>
      <c r="AE13" s="502">
        <f t="shared" si="8"/>
        <v>0</v>
      </c>
      <c r="AF13" s="503">
        <f t="shared" si="120"/>
        <v>0</v>
      </c>
      <c r="AG13" s="501"/>
      <c r="AH13" s="502">
        <f t="shared" si="9"/>
        <v>0</v>
      </c>
      <c r="AI13" s="503">
        <f t="shared" si="121"/>
        <v>0</v>
      </c>
      <c r="AJ13" s="501"/>
      <c r="AK13" s="502">
        <f t="shared" si="10"/>
        <v>0</v>
      </c>
      <c r="AL13" s="503">
        <f t="shared" si="122"/>
        <v>0</v>
      </c>
      <c r="AM13" s="501">
        <v>43.331738461538407</v>
      </c>
      <c r="AN13" s="502">
        <f t="shared" si="11"/>
        <v>0.92488396110090298</v>
      </c>
      <c r="AO13" s="503">
        <f t="shared" si="123"/>
        <v>0</v>
      </c>
      <c r="AP13" s="501">
        <v>0</v>
      </c>
      <c r="AQ13" s="502">
        <f t="shared" si="12"/>
        <v>0</v>
      </c>
      <c r="AR13" s="503">
        <f t="shared" si="124"/>
        <v>0</v>
      </c>
      <c r="AS13" s="501"/>
      <c r="AT13" s="502">
        <f t="shared" si="13"/>
        <v>0</v>
      </c>
      <c r="AU13" s="503">
        <f t="shared" si="125"/>
        <v>0</v>
      </c>
      <c r="AV13" s="501">
        <v>13.875</v>
      </c>
      <c r="AW13" s="502">
        <f t="shared" si="14"/>
        <v>0.2961516296343728</v>
      </c>
      <c r="AX13" s="503">
        <f t="shared" si="126"/>
        <v>0</v>
      </c>
      <c r="AY13" s="501">
        <v>61.640399999999943</v>
      </c>
      <c r="AZ13" s="502">
        <f t="shared" si="15"/>
        <v>1.3156688224370865</v>
      </c>
      <c r="BA13" s="503">
        <f t="shared" si="127"/>
        <v>0</v>
      </c>
      <c r="BB13" s="501"/>
      <c r="BC13" s="502">
        <f t="shared" si="16"/>
        <v>0</v>
      </c>
      <c r="BD13" s="503">
        <f t="shared" si="128"/>
        <v>0</v>
      </c>
      <c r="BE13" s="501"/>
      <c r="BF13" s="502">
        <f t="shared" si="17"/>
        <v>0</v>
      </c>
      <c r="BG13" s="503">
        <f t="shared" si="129"/>
        <v>0</v>
      </c>
      <c r="BH13" s="501"/>
      <c r="BI13" s="502">
        <f t="shared" si="18"/>
        <v>0</v>
      </c>
      <c r="BJ13" s="503">
        <f t="shared" si="130"/>
        <v>0</v>
      </c>
      <c r="BK13" s="501"/>
      <c r="BL13" s="502">
        <f t="shared" si="19"/>
        <v>0</v>
      </c>
      <c r="BM13" s="503">
        <f t="shared" si="131"/>
        <v>0</v>
      </c>
      <c r="BN13" s="501">
        <v>10.123456790123441</v>
      </c>
      <c r="BO13" s="502">
        <f t="shared" si="20"/>
        <v>0.21607770997680822</v>
      </c>
      <c r="BP13" s="503">
        <f t="shared" si="132"/>
        <v>0</v>
      </c>
      <c r="BQ13" s="501">
        <v>10.256410256410248</v>
      </c>
      <c r="BR13" s="502">
        <f t="shared" si="21"/>
        <v>0.21891550354123174</v>
      </c>
      <c r="BS13" s="503">
        <f t="shared" si="133"/>
        <v>0</v>
      </c>
      <c r="BT13" s="501"/>
      <c r="BU13" s="502">
        <f t="shared" si="22"/>
        <v>0</v>
      </c>
      <c r="BV13" s="503">
        <f t="shared" si="134"/>
        <v>0</v>
      </c>
      <c r="BW13" s="501"/>
      <c r="BX13" s="502">
        <f t="shared" si="23"/>
        <v>0</v>
      </c>
      <c r="BY13" s="503">
        <f t="shared" si="135"/>
        <v>0</v>
      </c>
      <c r="BZ13" s="501"/>
      <c r="CA13" s="502">
        <f t="shared" si="24"/>
        <v>0</v>
      </c>
      <c r="CB13" s="503">
        <f t="shared" si="136"/>
        <v>0</v>
      </c>
      <c r="CC13" s="501"/>
      <c r="CD13" s="502">
        <f t="shared" si="25"/>
        <v>0</v>
      </c>
      <c r="CE13" s="503">
        <f t="shared" si="137"/>
        <v>0</v>
      </c>
      <c r="CF13" s="501">
        <v>7</v>
      </c>
      <c r="CG13" s="502">
        <f t="shared" si="26"/>
        <v>0.14940983116689077</v>
      </c>
      <c r="CH13" s="503">
        <f t="shared" si="138"/>
        <v>0</v>
      </c>
      <c r="CI13" s="501"/>
      <c r="CJ13" s="502">
        <f t="shared" si="27"/>
        <v>0</v>
      </c>
      <c r="CK13" s="503">
        <f t="shared" si="139"/>
        <v>0</v>
      </c>
      <c r="CL13" s="501"/>
      <c r="CM13" s="502">
        <f t="shared" si="28"/>
        <v>0</v>
      </c>
      <c r="CN13" s="503">
        <f t="shared" si="140"/>
        <v>0</v>
      </c>
      <c r="CO13" s="501"/>
      <c r="CP13" s="502">
        <f t="shared" si="29"/>
        <v>0</v>
      </c>
      <c r="CQ13" s="503">
        <f t="shared" si="141"/>
        <v>0</v>
      </c>
      <c r="CR13" s="501"/>
      <c r="CS13" s="502">
        <f t="shared" si="30"/>
        <v>0</v>
      </c>
      <c r="CT13" s="503">
        <f t="shared" si="142"/>
        <v>0</v>
      </c>
      <c r="CU13" s="501"/>
      <c r="CV13" s="502">
        <f t="shared" si="31"/>
        <v>0</v>
      </c>
      <c r="CW13" s="503">
        <f t="shared" si="143"/>
        <v>0</v>
      </c>
      <c r="CX13" s="501"/>
      <c r="CY13" s="502">
        <f t="shared" si="32"/>
        <v>0</v>
      </c>
      <c r="CZ13" s="503">
        <f t="shared" si="144"/>
        <v>0</v>
      </c>
      <c r="DA13" s="501">
        <v>0</v>
      </c>
      <c r="DB13" s="502">
        <f t="shared" si="33"/>
        <v>0</v>
      </c>
      <c r="DC13" s="503">
        <f t="shared" si="145"/>
        <v>0</v>
      </c>
      <c r="DD13" s="501"/>
      <c r="DE13" s="502">
        <f t="shared" si="34"/>
        <v>0</v>
      </c>
      <c r="DF13" s="503">
        <f t="shared" si="146"/>
        <v>0</v>
      </c>
      <c r="DG13" s="501"/>
      <c r="DH13" s="502">
        <f t="shared" si="35"/>
        <v>0</v>
      </c>
      <c r="DI13" s="503">
        <v>0</v>
      </c>
      <c r="DJ13" s="501"/>
      <c r="DK13" s="502">
        <f t="shared" si="36"/>
        <v>0</v>
      </c>
      <c r="DL13" s="503">
        <f t="shared" si="147"/>
        <v>0</v>
      </c>
      <c r="DM13" s="501"/>
      <c r="DN13" s="502">
        <f t="shared" si="37"/>
        <v>0</v>
      </c>
      <c r="DO13" s="503">
        <f t="shared" si="148"/>
        <v>0</v>
      </c>
      <c r="DP13" s="501"/>
      <c r="DQ13" s="502">
        <f t="shared" si="38"/>
        <v>0</v>
      </c>
      <c r="DR13" s="503">
        <f t="shared" si="149"/>
        <v>0</v>
      </c>
      <c r="DS13" s="501"/>
      <c r="DT13" s="502">
        <f t="shared" si="39"/>
        <v>0</v>
      </c>
      <c r="DU13" s="503">
        <f t="shared" si="150"/>
        <v>0</v>
      </c>
      <c r="DV13" s="501"/>
      <c r="DW13" s="502">
        <f t="shared" si="40"/>
        <v>0</v>
      </c>
      <c r="DX13" s="503">
        <f t="shared" si="151"/>
        <v>0</v>
      </c>
      <c r="DY13" s="501">
        <v>0</v>
      </c>
      <c r="DZ13" s="502">
        <f t="shared" si="41"/>
        <v>0</v>
      </c>
      <c r="EA13" s="503">
        <f t="shared" si="152"/>
        <v>0</v>
      </c>
      <c r="EB13" s="501">
        <v>10.90116279069764</v>
      </c>
      <c r="EC13" s="502">
        <f t="shared" si="42"/>
        <v>0.2326772702972752</v>
      </c>
      <c r="ED13" s="503">
        <f t="shared" si="153"/>
        <v>0</v>
      </c>
      <c r="EE13" s="501">
        <v>3</v>
      </c>
      <c r="EF13" s="502">
        <f t="shared" si="43"/>
        <v>6.4032784785810343E-2</v>
      </c>
      <c r="EG13" s="503">
        <f t="shared" si="154"/>
        <v>0</v>
      </c>
      <c r="EH13" s="501"/>
      <c r="EI13" s="502">
        <f t="shared" si="44"/>
        <v>0</v>
      </c>
      <c r="EJ13" s="503">
        <f t="shared" si="155"/>
        <v>0</v>
      </c>
      <c r="EK13" s="501"/>
      <c r="EL13" s="502">
        <f t="shared" si="45"/>
        <v>0</v>
      </c>
      <c r="EM13" s="503">
        <f t="shared" si="156"/>
        <v>0</v>
      </c>
      <c r="EN13" s="501"/>
      <c r="EO13" s="502">
        <f t="shared" si="46"/>
        <v>0</v>
      </c>
      <c r="EP13" s="503">
        <f t="shared" si="157"/>
        <v>0</v>
      </c>
      <c r="EQ13" s="501"/>
      <c r="ER13" s="502">
        <f t="shared" si="47"/>
        <v>0</v>
      </c>
      <c r="ES13" s="503">
        <f t="shared" si="158"/>
        <v>0</v>
      </c>
      <c r="ET13" s="501"/>
      <c r="EU13" s="502">
        <f t="shared" si="48"/>
        <v>0</v>
      </c>
      <c r="EV13" s="503">
        <f t="shared" si="159"/>
        <v>0</v>
      </c>
      <c r="EW13" s="501"/>
      <c r="EX13" s="502">
        <f t="shared" si="49"/>
        <v>0</v>
      </c>
      <c r="EY13" s="503">
        <f t="shared" si="160"/>
        <v>0</v>
      </c>
      <c r="EZ13" s="501"/>
      <c r="FA13" s="502">
        <f t="shared" si="50"/>
        <v>0</v>
      </c>
      <c r="FB13" s="503">
        <f t="shared" si="161"/>
        <v>0</v>
      </c>
      <c r="FC13" s="501"/>
      <c r="FD13" s="502">
        <f t="shared" si="51"/>
        <v>0</v>
      </c>
      <c r="FE13" s="503">
        <f t="shared" si="162"/>
        <v>0</v>
      </c>
      <c r="FF13" s="501"/>
      <c r="FG13" s="502">
        <f t="shared" si="52"/>
        <v>0</v>
      </c>
      <c r="FH13" s="503">
        <f t="shared" si="163"/>
        <v>0</v>
      </c>
      <c r="FI13" s="501"/>
      <c r="FJ13" s="502">
        <f t="shared" si="53"/>
        <v>0</v>
      </c>
      <c r="FK13" s="503">
        <f t="shared" si="164"/>
        <v>0</v>
      </c>
      <c r="FL13" s="501"/>
      <c r="FM13" s="502">
        <f t="shared" si="54"/>
        <v>0</v>
      </c>
      <c r="FN13" s="503">
        <f t="shared" si="165"/>
        <v>0</v>
      </c>
      <c r="FO13" s="501"/>
      <c r="FP13" s="502">
        <f t="shared" si="55"/>
        <v>0</v>
      </c>
      <c r="FQ13" s="503">
        <f t="shared" si="166"/>
        <v>0</v>
      </c>
      <c r="FR13" s="501"/>
      <c r="FS13" s="502">
        <f t="shared" si="56"/>
        <v>0</v>
      </c>
      <c r="FT13" s="503">
        <f t="shared" si="167"/>
        <v>0</v>
      </c>
      <c r="FU13" s="501"/>
      <c r="FV13" s="502">
        <f t="shared" si="57"/>
        <v>0</v>
      </c>
      <c r="FW13" s="503">
        <f t="shared" si="168"/>
        <v>0</v>
      </c>
      <c r="FX13" s="501"/>
      <c r="FY13" s="502">
        <f t="shared" si="58"/>
        <v>0</v>
      </c>
      <c r="FZ13" s="503">
        <f t="shared" si="169"/>
        <v>0</v>
      </c>
      <c r="GA13" s="501"/>
      <c r="GB13" s="502">
        <f t="shared" si="59"/>
        <v>0</v>
      </c>
      <c r="GC13" s="503">
        <f t="shared" si="170"/>
        <v>0</v>
      </c>
      <c r="GD13" s="501"/>
      <c r="GE13" s="502">
        <f t="shared" si="60"/>
        <v>0</v>
      </c>
      <c r="GF13" s="503">
        <f t="shared" si="171"/>
        <v>0</v>
      </c>
      <c r="GG13" s="501"/>
      <c r="GH13" s="502">
        <f t="shared" si="61"/>
        <v>0</v>
      </c>
      <c r="GI13" s="503">
        <f t="shared" si="172"/>
        <v>0</v>
      </c>
      <c r="GJ13" s="501"/>
      <c r="GK13" s="502">
        <f t="shared" si="62"/>
        <v>0</v>
      </c>
      <c r="GL13" s="503">
        <f t="shared" si="173"/>
        <v>0</v>
      </c>
      <c r="GM13" s="501"/>
      <c r="GN13" s="502">
        <f t="shared" si="63"/>
        <v>0</v>
      </c>
      <c r="GO13" s="503">
        <f t="shared" si="174"/>
        <v>0</v>
      </c>
      <c r="GP13" s="501"/>
      <c r="GQ13" s="502">
        <f t="shared" si="64"/>
        <v>0</v>
      </c>
      <c r="GR13" s="503">
        <f t="shared" si="175"/>
        <v>0</v>
      </c>
      <c r="GS13" s="501"/>
      <c r="GT13" s="502">
        <f t="shared" si="65"/>
        <v>0</v>
      </c>
      <c r="GU13" s="503">
        <f t="shared" si="176"/>
        <v>0</v>
      </c>
      <c r="GV13" s="501"/>
      <c r="GW13" s="502">
        <f t="shared" si="66"/>
        <v>0</v>
      </c>
      <c r="GX13" s="503">
        <f t="shared" si="177"/>
        <v>0</v>
      </c>
      <c r="GY13" s="501"/>
      <c r="GZ13" s="502">
        <f t="shared" si="67"/>
        <v>0</v>
      </c>
      <c r="HA13" s="503">
        <f t="shared" si="178"/>
        <v>0</v>
      </c>
      <c r="HB13" s="501"/>
      <c r="HC13" s="502">
        <f t="shared" si="68"/>
        <v>0</v>
      </c>
      <c r="HD13" s="503">
        <f t="shared" si="179"/>
        <v>0</v>
      </c>
      <c r="HE13" s="501"/>
      <c r="HF13" s="502">
        <f t="shared" si="69"/>
        <v>0</v>
      </c>
      <c r="HG13" s="503">
        <f t="shared" si="180"/>
        <v>0</v>
      </c>
      <c r="HH13" s="501"/>
      <c r="HI13" s="502">
        <f t="shared" si="70"/>
        <v>0</v>
      </c>
      <c r="HJ13" s="503">
        <f t="shared" si="181"/>
        <v>0</v>
      </c>
      <c r="HK13" s="501"/>
      <c r="HL13" s="502">
        <f t="shared" si="71"/>
        <v>0</v>
      </c>
      <c r="HM13" s="503">
        <f t="shared" si="182"/>
        <v>0</v>
      </c>
      <c r="HN13" s="501"/>
      <c r="HO13" s="502">
        <f t="shared" si="72"/>
        <v>0</v>
      </c>
      <c r="HP13" s="503">
        <f t="shared" si="183"/>
        <v>0</v>
      </c>
      <c r="HQ13" s="501"/>
      <c r="HR13" s="502">
        <f t="shared" si="73"/>
        <v>0</v>
      </c>
      <c r="HS13" s="503">
        <f t="shared" si="184"/>
        <v>0</v>
      </c>
      <c r="HT13" s="501"/>
      <c r="HU13" s="502">
        <f t="shared" si="74"/>
        <v>0</v>
      </c>
      <c r="HV13" s="503">
        <f t="shared" si="185"/>
        <v>0</v>
      </c>
      <c r="HW13" s="501"/>
      <c r="HX13" s="502">
        <f t="shared" si="75"/>
        <v>0</v>
      </c>
      <c r="HY13" s="503">
        <f t="shared" si="186"/>
        <v>0</v>
      </c>
      <c r="HZ13" s="501"/>
      <c r="IA13" s="502">
        <f t="shared" si="76"/>
        <v>0</v>
      </c>
      <c r="IB13" s="503">
        <f t="shared" si="187"/>
        <v>0</v>
      </c>
      <c r="IC13" s="501"/>
      <c r="ID13" s="502">
        <f t="shared" si="77"/>
        <v>0</v>
      </c>
      <c r="IE13" s="503">
        <f t="shared" si="188"/>
        <v>0</v>
      </c>
      <c r="IF13" s="501"/>
      <c r="IG13" s="502">
        <f t="shared" si="78"/>
        <v>0</v>
      </c>
      <c r="IH13" s="503">
        <f t="shared" si="189"/>
        <v>0</v>
      </c>
      <c r="II13" s="501"/>
      <c r="IJ13" s="502">
        <f t="shared" si="79"/>
        <v>0</v>
      </c>
      <c r="IK13" s="503">
        <f t="shared" si="190"/>
        <v>0</v>
      </c>
      <c r="IL13" s="501"/>
      <c r="IM13" s="502">
        <f t="shared" si="80"/>
        <v>0</v>
      </c>
      <c r="IN13" s="503">
        <f t="shared" si="191"/>
        <v>0</v>
      </c>
      <c r="IO13" s="501"/>
      <c r="IP13" s="502">
        <f t="shared" si="81"/>
        <v>0</v>
      </c>
      <c r="IQ13" s="503">
        <f t="shared" si="192"/>
        <v>0</v>
      </c>
      <c r="IR13" s="501"/>
      <c r="IS13" s="502">
        <f t="shared" si="82"/>
        <v>0</v>
      </c>
      <c r="IT13" s="503">
        <f t="shared" si="193"/>
        <v>0</v>
      </c>
      <c r="IU13" s="501"/>
      <c r="IV13" s="502">
        <f t="shared" si="83"/>
        <v>0</v>
      </c>
      <c r="IW13" s="503">
        <f t="shared" si="194"/>
        <v>0</v>
      </c>
      <c r="IX13" s="501"/>
      <c r="IY13" s="502">
        <f t="shared" si="84"/>
        <v>0</v>
      </c>
      <c r="IZ13" s="503">
        <f t="shared" si="195"/>
        <v>0</v>
      </c>
      <c r="JA13" s="501"/>
      <c r="JB13" s="502">
        <f t="shared" si="85"/>
        <v>0</v>
      </c>
      <c r="JC13" s="503">
        <f t="shared" si="196"/>
        <v>0</v>
      </c>
      <c r="JD13" s="501"/>
      <c r="JE13" s="502">
        <f t="shared" si="86"/>
        <v>0</v>
      </c>
      <c r="JF13" s="503">
        <f t="shared" si="197"/>
        <v>0</v>
      </c>
      <c r="JG13" s="501"/>
      <c r="JH13" s="502">
        <f t="shared" si="87"/>
        <v>0</v>
      </c>
      <c r="JI13" s="503">
        <f t="shared" si="198"/>
        <v>0</v>
      </c>
      <c r="JJ13" s="501"/>
      <c r="JK13" s="503" t="str">
        <f t="shared" si="88"/>
        <v>0</v>
      </c>
      <c r="JL13" s="503" t="str">
        <f t="shared" si="89"/>
        <v>0</v>
      </c>
      <c r="JM13" s="501"/>
      <c r="JN13" s="503" t="str">
        <f t="shared" si="90"/>
        <v>0</v>
      </c>
      <c r="JO13" s="503" t="str">
        <f t="shared" si="91"/>
        <v>0</v>
      </c>
      <c r="JP13" s="501"/>
      <c r="JQ13" s="503" t="str">
        <f t="shared" si="92"/>
        <v>0</v>
      </c>
      <c r="JR13" s="503" t="str">
        <f t="shared" si="93"/>
        <v>0</v>
      </c>
      <c r="JS13" s="501"/>
      <c r="JT13" s="503" t="str">
        <f t="shared" si="94"/>
        <v>0</v>
      </c>
      <c r="JU13" s="503" t="str">
        <f t="shared" si="95"/>
        <v>0</v>
      </c>
      <c r="JV13" s="501"/>
      <c r="JW13" s="503" t="str">
        <f t="shared" si="96"/>
        <v>0</v>
      </c>
      <c r="JX13" s="503" t="str">
        <f t="shared" si="97"/>
        <v>0</v>
      </c>
      <c r="JY13" s="501"/>
      <c r="JZ13" s="503" t="str">
        <f t="shared" si="98"/>
        <v>0</v>
      </c>
      <c r="KA13" s="503" t="str">
        <f t="shared" si="99"/>
        <v>0</v>
      </c>
      <c r="KB13" s="501"/>
      <c r="KC13" s="503" t="str">
        <f t="shared" si="100"/>
        <v>0</v>
      </c>
      <c r="KD13" s="503" t="str">
        <f t="shared" si="101"/>
        <v>0</v>
      </c>
      <c r="KE13" s="501"/>
      <c r="KF13" s="503" t="str">
        <f t="shared" si="102"/>
        <v>0</v>
      </c>
      <c r="KG13" s="503" t="str">
        <f t="shared" si="103"/>
        <v>0</v>
      </c>
      <c r="KH13" s="501"/>
      <c r="KI13" s="503" t="str">
        <f t="shared" si="104"/>
        <v>0</v>
      </c>
      <c r="KJ13" s="503" t="str">
        <f t="shared" si="105"/>
        <v>0</v>
      </c>
      <c r="KK13" s="501"/>
      <c r="KL13" s="503" t="str">
        <f t="shared" si="106"/>
        <v>0</v>
      </c>
      <c r="KM13" s="503" t="str">
        <f t="shared" si="107"/>
        <v>0</v>
      </c>
      <c r="KN13" s="501"/>
      <c r="KO13" s="503" t="str">
        <f t="shared" si="108"/>
        <v>0</v>
      </c>
      <c r="KP13" s="503" t="str">
        <f t="shared" si="109"/>
        <v>0</v>
      </c>
      <c r="KQ13" s="501"/>
      <c r="KR13" s="503" t="str">
        <f t="shared" si="110"/>
        <v>0</v>
      </c>
      <c r="KS13" s="503" t="str">
        <f t="shared" si="111"/>
        <v>0</v>
      </c>
      <c r="KT13" s="503">
        <f t="shared" si="201"/>
        <v>0</v>
      </c>
      <c r="KU13" s="503">
        <f t="shared" si="202"/>
        <v>0</v>
      </c>
      <c r="KV13" s="264">
        <f t="shared" si="199"/>
        <v>471.12455434528135</v>
      </c>
    </row>
    <row r="14" spans="1:308" ht="15" customHeight="1">
      <c r="A14" s="266">
        <f t="shared" si="200"/>
        <v>45935</v>
      </c>
      <c r="B14" s="267" t="str">
        <f>+Report1!B13</f>
        <v>Facial</v>
      </c>
      <c r="C14" s="395" t="str">
        <f>+Report1!C13</f>
        <v>12/12,5</v>
      </c>
      <c r="D14" s="268">
        <f>+Report1!P13</f>
        <v>45.582000000000001</v>
      </c>
      <c r="E14" s="269">
        <f>+Report1!R13</f>
        <v>42.722000000000001</v>
      </c>
      <c r="F14" s="501">
        <v>0</v>
      </c>
      <c r="G14" s="502">
        <f t="shared" si="0"/>
        <v>0</v>
      </c>
      <c r="H14" s="503">
        <f t="shared" si="112"/>
        <v>0</v>
      </c>
      <c r="I14" s="501">
        <v>269.01479999999998</v>
      </c>
      <c r="J14" s="502">
        <f t="shared" si="1"/>
        <v>6.2968681241514908</v>
      </c>
      <c r="K14" s="503">
        <f t="shared" si="113"/>
        <v>0</v>
      </c>
      <c r="L14" s="501"/>
      <c r="M14" s="502">
        <f t="shared" si="2"/>
        <v>0</v>
      </c>
      <c r="N14" s="503">
        <f t="shared" si="114"/>
        <v>0</v>
      </c>
      <c r="O14" s="501">
        <v>10.5</v>
      </c>
      <c r="P14" s="502">
        <f t="shared" si="3"/>
        <v>0.24577501053321474</v>
      </c>
      <c r="Q14" s="503">
        <f t="shared" si="115"/>
        <v>0</v>
      </c>
      <c r="R14" s="501">
        <v>5.1250000000000036</v>
      </c>
      <c r="S14" s="502">
        <f t="shared" si="4"/>
        <v>0.11996161228406918</v>
      </c>
      <c r="T14" s="503">
        <f t="shared" si="116"/>
        <v>0</v>
      </c>
      <c r="U14" s="501">
        <v>6.25</v>
      </c>
      <c r="V14" s="502">
        <f t="shared" si="5"/>
        <v>0.14629464912691353</v>
      </c>
      <c r="W14" s="503">
        <f t="shared" si="117"/>
        <v>0</v>
      </c>
      <c r="X14" s="501"/>
      <c r="Y14" s="502">
        <f t="shared" si="6"/>
        <v>0</v>
      </c>
      <c r="Z14" s="503">
        <f t="shared" si="118"/>
        <v>0</v>
      </c>
      <c r="AA14" s="501"/>
      <c r="AB14" s="502">
        <f t="shared" si="7"/>
        <v>0</v>
      </c>
      <c r="AC14" s="503">
        <f t="shared" si="119"/>
        <v>0</v>
      </c>
      <c r="AD14" s="501"/>
      <c r="AE14" s="502">
        <f t="shared" si="8"/>
        <v>0</v>
      </c>
      <c r="AF14" s="503">
        <f t="shared" si="120"/>
        <v>0</v>
      </c>
      <c r="AG14" s="501"/>
      <c r="AH14" s="502">
        <f t="shared" si="9"/>
        <v>0</v>
      </c>
      <c r="AI14" s="503">
        <f t="shared" si="121"/>
        <v>0</v>
      </c>
      <c r="AJ14" s="501"/>
      <c r="AK14" s="502">
        <f t="shared" si="10"/>
        <v>0</v>
      </c>
      <c r="AL14" s="503">
        <f t="shared" si="122"/>
        <v>0</v>
      </c>
      <c r="AM14" s="501">
        <v>40.31759999999997</v>
      </c>
      <c r="AN14" s="502">
        <f t="shared" si="11"/>
        <v>0.94371986330227908</v>
      </c>
      <c r="AO14" s="503">
        <f t="shared" si="123"/>
        <v>0</v>
      </c>
      <c r="AP14" s="501">
        <v>0</v>
      </c>
      <c r="AQ14" s="502">
        <f t="shared" si="12"/>
        <v>0</v>
      </c>
      <c r="AR14" s="503">
        <f t="shared" si="124"/>
        <v>0</v>
      </c>
      <c r="AS14" s="501"/>
      <c r="AT14" s="502">
        <f t="shared" si="13"/>
        <v>0</v>
      </c>
      <c r="AU14" s="503">
        <f t="shared" si="125"/>
        <v>0</v>
      </c>
      <c r="AV14" s="501">
        <v>13.875</v>
      </c>
      <c r="AW14" s="502">
        <f t="shared" si="14"/>
        <v>0.32477412106174802</v>
      </c>
      <c r="AX14" s="503">
        <f t="shared" si="126"/>
        <v>0</v>
      </c>
      <c r="AY14" s="501">
        <v>57.362000000000023</v>
      </c>
      <c r="AZ14" s="502">
        <f t="shared" si="15"/>
        <v>1.3426805861148827</v>
      </c>
      <c r="BA14" s="503">
        <f t="shared" si="127"/>
        <v>0</v>
      </c>
      <c r="BB14" s="501"/>
      <c r="BC14" s="502">
        <f t="shared" si="16"/>
        <v>0</v>
      </c>
      <c r="BD14" s="503">
        <f t="shared" si="128"/>
        <v>0</v>
      </c>
      <c r="BE14" s="501"/>
      <c r="BF14" s="502">
        <f t="shared" si="17"/>
        <v>0</v>
      </c>
      <c r="BG14" s="503">
        <f t="shared" si="129"/>
        <v>0</v>
      </c>
      <c r="BH14" s="501"/>
      <c r="BI14" s="502">
        <f t="shared" si="18"/>
        <v>0</v>
      </c>
      <c r="BJ14" s="503">
        <f t="shared" si="130"/>
        <v>0</v>
      </c>
      <c r="BK14" s="501"/>
      <c r="BL14" s="502">
        <f t="shared" si="19"/>
        <v>0</v>
      </c>
      <c r="BM14" s="503">
        <f t="shared" si="131"/>
        <v>0</v>
      </c>
      <c r="BN14" s="501">
        <v>10.12345679012347</v>
      </c>
      <c r="BO14" s="502">
        <f t="shared" si="20"/>
        <v>0.23696120945001334</v>
      </c>
      <c r="BP14" s="503">
        <f t="shared" si="132"/>
        <v>0</v>
      </c>
      <c r="BQ14" s="501">
        <v>0</v>
      </c>
      <c r="BR14" s="502">
        <f t="shared" si="21"/>
        <v>0</v>
      </c>
      <c r="BS14" s="503">
        <f t="shared" si="133"/>
        <v>0</v>
      </c>
      <c r="BT14" s="501"/>
      <c r="BU14" s="502">
        <f t="shared" si="22"/>
        <v>0</v>
      </c>
      <c r="BV14" s="503">
        <f t="shared" si="134"/>
        <v>0</v>
      </c>
      <c r="BW14" s="501"/>
      <c r="BX14" s="502">
        <f t="shared" si="23"/>
        <v>0</v>
      </c>
      <c r="BY14" s="503">
        <f t="shared" si="135"/>
        <v>0</v>
      </c>
      <c r="BZ14" s="501"/>
      <c r="CA14" s="502">
        <f t="shared" si="24"/>
        <v>0</v>
      </c>
      <c r="CB14" s="503">
        <f t="shared" si="136"/>
        <v>0</v>
      </c>
      <c r="CC14" s="501"/>
      <c r="CD14" s="502">
        <f t="shared" si="25"/>
        <v>0</v>
      </c>
      <c r="CE14" s="503">
        <f t="shared" si="137"/>
        <v>0</v>
      </c>
      <c r="CF14" s="501">
        <v>7</v>
      </c>
      <c r="CG14" s="502">
        <f t="shared" si="26"/>
        <v>0.16385000702214314</v>
      </c>
      <c r="CH14" s="503">
        <f t="shared" si="138"/>
        <v>0</v>
      </c>
      <c r="CI14" s="501"/>
      <c r="CJ14" s="502">
        <f t="shared" si="27"/>
        <v>0</v>
      </c>
      <c r="CK14" s="503">
        <f t="shared" si="139"/>
        <v>0</v>
      </c>
      <c r="CL14" s="501"/>
      <c r="CM14" s="502">
        <f t="shared" si="28"/>
        <v>0</v>
      </c>
      <c r="CN14" s="503">
        <f t="shared" si="140"/>
        <v>0</v>
      </c>
      <c r="CO14" s="501"/>
      <c r="CP14" s="502">
        <f t="shared" si="29"/>
        <v>0</v>
      </c>
      <c r="CQ14" s="503">
        <f t="shared" si="141"/>
        <v>0</v>
      </c>
      <c r="CR14" s="501"/>
      <c r="CS14" s="502">
        <f t="shared" si="30"/>
        <v>0</v>
      </c>
      <c r="CT14" s="503">
        <f t="shared" si="142"/>
        <v>0</v>
      </c>
      <c r="CU14" s="501"/>
      <c r="CV14" s="502">
        <f t="shared" si="31"/>
        <v>0</v>
      </c>
      <c r="CW14" s="503">
        <f t="shared" si="143"/>
        <v>0</v>
      </c>
      <c r="CX14" s="501"/>
      <c r="CY14" s="502">
        <f t="shared" si="32"/>
        <v>0</v>
      </c>
      <c r="CZ14" s="503">
        <f t="shared" si="144"/>
        <v>0</v>
      </c>
      <c r="DA14" s="501">
        <v>0</v>
      </c>
      <c r="DB14" s="502">
        <f t="shared" si="33"/>
        <v>0</v>
      </c>
      <c r="DC14" s="503">
        <f t="shared" si="145"/>
        <v>0</v>
      </c>
      <c r="DD14" s="501"/>
      <c r="DE14" s="502">
        <f t="shared" si="34"/>
        <v>0</v>
      </c>
      <c r="DF14" s="503">
        <f t="shared" si="146"/>
        <v>0</v>
      </c>
      <c r="DG14" s="501"/>
      <c r="DH14" s="502">
        <f t="shared" si="35"/>
        <v>0</v>
      </c>
      <c r="DI14" s="503">
        <v>0</v>
      </c>
      <c r="DJ14" s="501"/>
      <c r="DK14" s="502">
        <f t="shared" si="36"/>
        <v>0</v>
      </c>
      <c r="DL14" s="503">
        <f t="shared" si="147"/>
        <v>0</v>
      </c>
      <c r="DM14" s="501"/>
      <c r="DN14" s="502">
        <f t="shared" si="37"/>
        <v>0</v>
      </c>
      <c r="DO14" s="503">
        <f t="shared" si="148"/>
        <v>0</v>
      </c>
      <c r="DP14" s="501"/>
      <c r="DQ14" s="502">
        <f t="shared" si="38"/>
        <v>0</v>
      </c>
      <c r="DR14" s="503">
        <f t="shared" si="149"/>
        <v>0</v>
      </c>
      <c r="DS14" s="501"/>
      <c r="DT14" s="502">
        <f t="shared" si="39"/>
        <v>0</v>
      </c>
      <c r="DU14" s="503">
        <f t="shared" si="150"/>
        <v>0</v>
      </c>
      <c r="DV14" s="501"/>
      <c r="DW14" s="502">
        <f t="shared" si="40"/>
        <v>0</v>
      </c>
      <c r="DX14" s="503">
        <f t="shared" si="151"/>
        <v>0</v>
      </c>
      <c r="DY14" s="501">
        <v>0</v>
      </c>
      <c r="DZ14" s="502">
        <f t="shared" si="41"/>
        <v>0</v>
      </c>
      <c r="EA14" s="503">
        <f t="shared" si="152"/>
        <v>0</v>
      </c>
      <c r="EB14" s="501">
        <v>10.90116279069764</v>
      </c>
      <c r="EC14" s="502">
        <f t="shared" si="42"/>
        <v>0.25516508568647628</v>
      </c>
      <c r="ED14" s="503">
        <f t="shared" si="153"/>
        <v>0</v>
      </c>
      <c r="EE14" s="501">
        <v>3</v>
      </c>
      <c r="EF14" s="502">
        <f t="shared" si="43"/>
        <v>7.0221431580918495E-2</v>
      </c>
      <c r="EG14" s="503">
        <f t="shared" si="154"/>
        <v>0</v>
      </c>
      <c r="EH14" s="501"/>
      <c r="EI14" s="502">
        <f t="shared" si="44"/>
        <v>0</v>
      </c>
      <c r="EJ14" s="503">
        <f t="shared" si="155"/>
        <v>0</v>
      </c>
      <c r="EK14" s="501"/>
      <c r="EL14" s="502">
        <f t="shared" si="45"/>
        <v>0</v>
      </c>
      <c r="EM14" s="503">
        <f t="shared" si="156"/>
        <v>0</v>
      </c>
      <c r="EN14" s="501"/>
      <c r="EO14" s="502">
        <f t="shared" si="46"/>
        <v>0</v>
      </c>
      <c r="EP14" s="503">
        <f t="shared" si="157"/>
        <v>0</v>
      </c>
      <c r="EQ14" s="501"/>
      <c r="ER14" s="502">
        <f t="shared" si="47"/>
        <v>0</v>
      </c>
      <c r="ES14" s="503">
        <f t="shared" si="158"/>
        <v>0</v>
      </c>
      <c r="ET14" s="501"/>
      <c r="EU14" s="502">
        <f t="shared" si="48"/>
        <v>0</v>
      </c>
      <c r="EV14" s="503">
        <f t="shared" si="159"/>
        <v>0</v>
      </c>
      <c r="EW14" s="501"/>
      <c r="EX14" s="502">
        <f t="shared" si="49"/>
        <v>0</v>
      </c>
      <c r="EY14" s="503">
        <f t="shared" si="160"/>
        <v>0</v>
      </c>
      <c r="EZ14" s="501"/>
      <c r="FA14" s="502">
        <f t="shared" si="50"/>
        <v>0</v>
      </c>
      <c r="FB14" s="503">
        <f t="shared" si="161"/>
        <v>0</v>
      </c>
      <c r="FC14" s="501"/>
      <c r="FD14" s="502">
        <f t="shared" si="51"/>
        <v>0</v>
      </c>
      <c r="FE14" s="503">
        <f t="shared" si="162"/>
        <v>0</v>
      </c>
      <c r="FF14" s="501"/>
      <c r="FG14" s="502">
        <f t="shared" si="52"/>
        <v>0</v>
      </c>
      <c r="FH14" s="503">
        <f t="shared" si="163"/>
        <v>0</v>
      </c>
      <c r="FI14" s="501"/>
      <c r="FJ14" s="502">
        <f t="shared" si="53"/>
        <v>0</v>
      </c>
      <c r="FK14" s="503">
        <f t="shared" si="164"/>
        <v>0</v>
      </c>
      <c r="FL14" s="501"/>
      <c r="FM14" s="502">
        <f t="shared" si="54"/>
        <v>0</v>
      </c>
      <c r="FN14" s="503">
        <f t="shared" si="165"/>
        <v>0</v>
      </c>
      <c r="FO14" s="501"/>
      <c r="FP14" s="502">
        <f t="shared" si="55"/>
        <v>0</v>
      </c>
      <c r="FQ14" s="503">
        <f t="shared" si="166"/>
        <v>0</v>
      </c>
      <c r="FR14" s="501"/>
      <c r="FS14" s="502">
        <f t="shared" si="56"/>
        <v>0</v>
      </c>
      <c r="FT14" s="503">
        <f t="shared" si="167"/>
        <v>0</v>
      </c>
      <c r="FU14" s="501"/>
      <c r="FV14" s="502">
        <f t="shared" si="57"/>
        <v>0</v>
      </c>
      <c r="FW14" s="503">
        <f t="shared" si="168"/>
        <v>0</v>
      </c>
      <c r="FX14" s="501"/>
      <c r="FY14" s="502">
        <f t="shared" si="58"/>
        <v>0</v>
      </c>
      <c r="FZ14" s="503">
        <f t="shared" si="169"/>
        <v>0</v>
      </c>
      <c r="GA14" s="501"/>
      <c r="GB14" s="502">
        <f t="shared" si="59"/>
        <v>0</v>
      </c>
      <c r="GC14" s="503">
        <f t="shared" si="170"/>
        <v>0</v>
      </c>
      <c r="GD14" s="501"/>
      <c r="GE14" s="502">
        <f t="shared" si="60"/>
        <v>0</v>
      </c>
      <c r="GF14" s="503">
        <f t="shared" si="171"/>
        <v>0</v>
      </c>
      <c r="GG14" s="501"/>
      <c r="GH14" s="502">
        <f t="shared" si="61"/>
        <v>0</v>
      </c>
      <c r="GI14" s="503">
        <f t="shared" si="172"/>
        <v>0</v>
      </c>
      <c r="GJ14" s="501"/>
      <c r="GK14" s="502">
        <f t="shared" si="62"/>
        <v>0</v>
      </c>
      <c r="GL14" s="503">
        <f t="shared" si="173"/>
        <v>0</v>
      </c>
      <c r="GM14" s="501"/>
      <c r="GN14" s="502">
        <f t="shared" si="63"/>
        <v>0</v>
      </c>
      <c r="GO14" s="503">
        <f t="shared" si="174"/>
        <v>0</v>
      </c>
      <c r="GP14" s="501"/>
      <c r="GQ14" s="502">
        <f t="shared" si="64"/>
        <v>0</v>
      </c>
      <c r="GR14" s="503">
        <f t="shared" si="175"/>
        <v>0</v>
      </c>
      <c r="GS14" s="501"/>
      <c r="GT14" s="502">
        <f t="shared" si="65"/>
        <v>0</v>
      </c>
      <c r="GU14" s="503">
        <f t="shared" si="176"/>
        <v>0</v>
      </c>
      <c r="GV14" s="501"/>
      <c r="GW14" s="502">
        <f t="shared" si="66"/>
        <v>0</v>
      </c>
      <c r="GX14" s="503">
        <f t="shared" si="177"/>
        <v>0</v>
      </c>
      <c r="GY14" s="501"/>
      <c r="GZ14" s="502">
        <f t="shared" si="67"/>
        <v>0</v>
      </c>
      <c r="HA14" s="503">
        <f t="shared" si="178"/>
        <v>0</v>
      </c>
      <c r="HB14" s="501"/>
      <c r="HC14" s="502">
        <f t="shared" si="68"/>
        <v>0</v>
      </c>
      <c r="HD14" s="503">
        <f t="shared" si="179"/>
        <v>0</v>
      </c>
      <c r="HE14" s="501"/>
      <c r="HF14" s="502">
        <f t="shared" si="69"/>
        <v>0</v>
      </c>
      <c r="HG14" s="503">
        <f t="shared" si="180"/>
        <v>0</v>
      </c>
      <c r="HH14" s="501"/>
      <c r="HI14" s="502">
        <f t="shared" si="70"/>
        <v>0</v>
      </c>
      <c r="HJ14" s="503">
        <f t="shared" si="181"/>
        <v>0</v>
      </c>
      <c r="HK14" s="501"/>
      <c r="HL14" s="502">
        <f t="shared" si="71"/>
        <v>0</v>
      </c>
      <c r="HM14" s="503">
        <f t="shared" si="182"/>
        <v>0</v>
      </c>
      <c r="HN14" s="501"/>
      <c r="HO14" s="502">
        <f t="shared" si="72"/>
        <v>0</v>
      </c>
      <c r="HP14" s="503">
        <f t="shared" si="183"/>
        <v>0</v>
      </c>
      <c r="HQ14" s="501"/>
      <c r="HR14" s="502">
        <f t="shared" si="73"/>
        <v>0</v>
      </c>
      <c r="HS14" s="503">
        <f t="shared" si="184"/>
        <v>0</v>
      </c>
      <c r="HT14" s="501"/>
      <c r="HU14" s="502">
        <f t="shared" si="74"/>
        <v>0</v>
      </c>
      <c r="HV14" s="503">
        <f t="shared" si="185"/>
        <v>0</v>
      </c>
      <c r="HW14" s="501"/>
      <c r="HX14" s="502">
        <f t="shared" si="75"/>
        <v>0</v>
      </c>
      <c r="HY14" s="503">
        <f t="shared" si="186"/>
        <v>0</v>
      </c>
      <c r="HZ14" s="501"/>
      <c r="IA14" s="502">
        <f t="shared" si="76"/>
        <v>0</v>
      </c>
      <c r="IB14" s="503">
        <f t="shared" si="187"/>
        <v>0</v>
      </c>
      <c r="IC14" s="501"/>
      <c r="ID14" s="502">
        <f t="shared" si="77"/>
        <v>0</v>
      </c>
      <c r="IE14" s="503">
        <f t="shared" si="188"/>
        <v>0</v>
      </c>
      <c r="IF14" s="501"/>
      <c r="IG14" s="502">
        <f t="shared" si="78"/>
        <v>0</v>
      </c>
      <c r="IH14" s="503">
        <f t="shared" si="189"/>
        <v>0</v>
      </c>
      <c r="II14" s="501"/>
      <c r="IJ14" s="502">
        <f t="shared" si="79"/>
        <v>0</v>
      </c>
      <c r="IK14" s="503">
        <f t="shared" si="190"/>
        <v>0</v>
      </c>
      <c r="IL14" s="501"/>
      <c r="IM14" s="502">
        <f t="shared" si="80"/>
        <v>0</v>
      </c>
      <c r="IN14" s="503">
        <f t="shared" si="191"/>
        <v>0</v>
      </c>
      <c r="IO14" s="501"/>
      <c r="IP14" s="502">
        <f t="shared" si="81"/>
        <v>0</v>
      </c>
      <c r="IQ14" s="503">
        <f t="shared" si="192"/>
        <v>0</v>
      </c>
      <c r="IR14" s="501"/>
      <c r="IS14" s="502">
        <f t="shared" si="82"/>
        <v>0</v>
      </c>
      <c r="IT14" s="503">
        <f t="shared" si="193"/>
        <v>0</v>
      </c>
      <c r="IU14" s="501"/>
      <c r="IV14" s="502">
        <f t="shared" si="83"/>
        <v>0</v>
      </c>
      <c r="IW14" s="503">
        <f t="shared" si="194"/>
        <v>0</v>
      </c>
      <c r="IX14" s="501"/>
      <c r="IY14" s="502">
        <f t="shared" si="84"/>
        <v>0</v>
      </c>
      <c r="IZ14" s="503">
        <f t="shared" si="195"/>
        <v>0</v>
      </c>
      <c r="JA14" s="501"/>
      <c r="JB14" s="502">
        <f t="shared" si="85"/>
        <v>0</v>
      </c>
      <c r="JC14" s="503">
        <f t="shared" si="196"/>
        <v>0</v>
      </c>
      <c r="JD14" s="501"/>
      <c r="JE14" s="502">
        <f t="shared" si="86"/>
        <v>0</v>
      </c>
      <c r="JF14" s="503">
        <f t="shared" si="197"/>
        <v>0</v>
      </c>
      <c r="JG14" s="501"/>
      <c r="JH14" s="502">
        <f t="shared" si="87"/>
        <v>0</v>
      </c>
      <c r="JI14" s="503">
        <f t="shared" si="198"/>
        <v>0</v>
      </c>
      <c r="JJ14" s="501"/>
      <c r="JK14" s="503" t="str">
        <f t="shared" si="88"/>
        <v>0</v>
      </c>
      <c r="JL14" s="503" t="str">
        <f t="shared" si="89"/>
        <v>0</v>
      </c>
      <c r="JM14" s="501"/>
      <c r="JN14" s="503" t="str">
        <f t="shared" si="90"/>
        <v>0</v>
      </c>
      <c r="JO14" s="503" t="str">
        <f t="shared" si="91"/>
        <v>0</v>
      </c>
      <c r="JP14" s="501"/>
      <c r="JQ14" s="503" t="str">
        <f t="shared" si="92"/>
        <v>0</v>
      </c>
      <c r="JR14" s="503" t="str">
        <f t="shared" si="93"/>
        <v>0</v>
      </c>
      <c r="JS14" s="501"/>
      <c r="JT14" s="503" t="str">
        <f t="shared" si="94"/>
        <v>0</v>
      </c>
      <c r="JU14" s="503" t="str">
        <f t="shared" si="95"/>
        <v>0</v>
      </c>
      <c r="JV14" s="501"/>
      <c r="JW14" s="503" t="str">
        <f t="shared" si="96"/>
        <v>0</v>
      </c>
      <c r="JX14" s="503" t="str">
        <f t="shared" si="97"/>
        <v>0</v>
      </c>
      <c r="JY14" s="501"/>
      <c r="JZ14" s="503" t="str">
        <f t="shared" si="98"/>
        <v>0</v>
      </c>
      <c r="KA14" s="503" t="str">
        <f t="shared" si="99"/>
        <v>0</v>
      </c>
      <c r="KB14" s="501"/>
      <c r="KC14" s="503" t="str">
        <f t="shared" si="100"/>
        <v>0</v>
      </c>
      <c r="KD14" s="503" t="str">
        <f t="shared" si="101"/>
        <v>0</v>
      </c>
      <c r="KE14" s="501"/>
      <c r="KF14" s="503" t="str">
        <f t="shared" si="102"/>
        <v>0</v>
      </c>
      <c r="KG14" s="503" t="str">
        <f t="shared" si="103"/>
        <v>0</v>
      </c>
      <c r="KH14" s="501"/>
      <c r="KI14" s="503" t="str">
        <f t="shared" si="104"/>
        <v>0</v>
      </c>
      <c r="KJ14" s="503" t="str">
        <f t="shared" si="105"/>
        <v>0</v>
      </c>
      <c r="KK14" s="501"/>
      <c r="KL14" s="503" t="str">
        <f t="shared" si="106"/>
        <v>0</v>
      </c>
      <c r="KM14" s="503" t="str">
        <f t="shared" si="107"/>
        <v>0</v>
      </c>
      <c r="KN14" s="501"/>
      <c r="KO14" s="503" t="str">
        <f t="shared" si="108"/>
        <v>0</v>
      </c>
      <c r="KP14" s="503" t="str">
        <f t="shared" si="109"/>
        <v>0</v>
      </c>
      <c r="KQ14" s="501"/>
      <c r="KR14" s="503" t="str">
        <f t="shared" si="110"/>
        <v>0</v>
      </c>
      <c r="KS14" s="503" t="str">
        <f t="shared" si="111"/>
        <v>0</v>
      </c>
      <c r="KT14" s="503">
        <f t="shared" si="201"/>
        <v>0</v>
      </c>
      <c r="KU14" s="503">
        <f t="shared" si="202"/>
        <v>0</v>
      </c>
      <c r="KV14" s="264">
        <f t="shared" si="199"/>
        <v>433.46901958082105</v>
      </c>
    </row>
    <row r="15" spans="1:308" ht="15" customHeight="1">
      <c r="A15" s="266">
        <f t="shared" si="200"/>
        <v>45936</v>
      </c>
      <c r="B15" s="267" t="str">
        <f>+Report1!B14</f>
        <v>Facial</v>
      </c>
      <c r="C15" s="395" t="str">
        <f>+Report1!C14</f>
        <v>12,5</v>
      </c>
      <c r="D15" s="268">
        <f>+Report1!P14</f>
        <v>45.805999999999997</v>
      </c>
      <c r="E15" s="269">
        <f>+Report1!R14</f>
        <v>44.848999999999997</v>
      </c>
      <c r="F15" s="501">
        <v>0</v>
      </c>
      <c r="G15" s="502">
        <f t="shared" si="0"/>
        <v>0</v>
      </c>
      <c r="H15" s="503">
        <f t="shared" si="112"/>
        <v>0</v>
      </c>
      <c r="I15" s="501">
        <v>418.60799999999995</v>
      </c>
      <c r="J15" s="502">
        <f t="shared" si="1"/>
        <v>9.3337198153804977</v>
      </c>
      <c r="K15" s="503">
        <f t="shared" si="113"/>
        <v>0</v>
      </c>
      <c r="L15" s="501"/>
      <c r="M15" s="502">
        <f t="shared" si="2"/>
        <v>0</v>
      </c>
      <c r="N15" s="503">
        <f t="shared" si="114"/>
        <v>0</v>
      </c>
      <c r="O15" s="501">
        <v>6</v>
      </c>
      <c r="P15" s="502">
        <f t="shared" si="3"/>
        <v>0.13378224709581041</v>
      </c>
      <c r="Q15" s="503">
        <f t="shared" si="115"/>
        <v>0</v>
      </c>
      <c r="R15" s="501">
        <v>5.125</v>
      </c>
      <c r="S15" s="502">
        <f t="shared" si="4"/>
        <v>0.11427233606100472</v>
      </c>
      <c r="T15" s="503">
        <f t="shared" si="116"/>
        <v>0</v>
      </c>
      <c r="U15" s="501">
        <v>6.25</v>
      </c>
      <c r="V15" s="502">
        <f t="shared" si="5"/>
        <v>0.13935650739146915</v>
      </c>
      <c r="W15" s="503">
        <f t="shared" si="117"/>
        <v>0</v>
      </c>
      <c r="X15" s="501"/>
      <c r="Y15" s="502">
        <f t="shared" si="6"/>
        <v>0</v>
      </c>
      <c r="Z15" s="503">
        <f t="shared" si="118"/>
        <v>0</v>
      </c>
      <c r="AA15" s="501"/>
      <c r="AB15" s="502">
        <f t="shared" si="7"/>
        <v>0</v>
      </c>
      <c r="AC15" s="503">
        <f t="shared" si="119"/>
        <v>0</v>
      </c>
      <c r="AD15" s="501"/>
      <c r="AE15" s="502">
        <f t="shared" si="8"/>
        <v>0</v>
      </c>
      <c r="AF15" s="503">
        <f t="shared" si="120"/>
        <v>0</v>
      </c>
      <c r="AG15" s="501"/>
      <c r="AH15" s="502">
        <f t="shared" si="9"/>
        <v>0</v>
      </c>
      <c r="AI15" s="503">
        <f t="shared" si="121"/>
        <v>0</v>
      </c>
      <c r="AJ15" s="501"/>
      <c r="AK15" s="502">
        <f t="shared" si="10"/>
        <v>0</v>
      </c>
      <c r="AL15" s="503">
        <f t="shared" si="122"/>
        <v>0</v>
      </c>
      <c r="AM15" s="501">
        <v>40.389123076923283</v>
      </c>
      <c r="AN15" s="502">
        <f t="shared" si="11"/>
        <v>0.90055794057667471</v>
      </c>
      <c r="AO15" s="503">
        <f t="shared" si="123"/>
        <v>0</v>
      </c>
      <c r="AP15" s="501">
        <v>0</v>
      </c>
      <c r="AQ15" s="502">
        <f t="shared" si="12"/>
        <v>0</v>
      </c>
      <c r="AR15" s="503">
        <f t="shared" si="124"/>
        <v>0</v>
      </c>
      <c r="AS15" s="501"/>
      <c r="AT15" s="502">
        <f t="shared" si="13"/>
        <v>0</v>
      </c>
      <c r="AU15" s="503">
        <f t="shared" si="125"/>
        <v>0</v>
      </c>
      <c r="AV15" s="501">
        <v>13.875000000000057</v>
      </c>
      <c r="AW15" s="502">
        <f t="shared" si="14"/>
        <v>0.30937144640906283</v>
      </c>
      <c r="AX15" s="503">
        <f t="shared" si="126"/>
        <v>0</v>
      </c>
      <c r="AY15" s="501">
        <v>60.664266666666549</v>
      </c>
      <c r="AZ15" s="502">
        <f t="shared" si="15"/>
        <v>1.3526336521810198</v>
      </c>
      <c r="BA15" s="503">
        <f t="shared" si="127"/>
        <v>0</v>
      </c>
      <c r="BB15" s="501"/>
      <c r="BC15" s="502">
        <f t="shared" si="16"/>
        <v>0</v>
      </c>
      <c r="BD15" s="503">
        <f t="shared" si="128"/>
        <v>0</v>
      </c>
      <c r="BE15" s="501"/>
      <c r="BF15" s="502">
        <f t="shared" si="17"/>
        <v>0</v>
      </c>
      <c r="BG15" s="503">
        <f t="shared" si="129"/>
        <v>0</v>
      </c>
      <c r="BH15" s="501"/>
      <c r="BI15" s="502">
        <f t="shared" si="18"/>
        <v>0</v>
      </c>
      <c r="BJ15" s="503">
        <f t="shared" si="130"/>
        <v>0</v>
      </c>
      <c r="BK15" s="501"/>
      <c r="BL15" s="502">
        <f t="shared" si="19"/>
        <v>0</v>
      </c>
      <c r="BM15" s="503">
        <f t="shared" si="131"/>
        <v>0</v>
      </c>
      <c r="BN15" s="501">
        <v>7.5925925925925952</v>
      </c>
      <c r="BO15" s="502">
        <f t="shared" si="20"/>
        <v>0.16929234972000703</v>
      </c>
      <c r="BP15" s="503">
        <f t="shared" si="132"/>
        <v>0</v>
      </c>
      <c r="BQ15" s="501">
        <v>0</v>
      </c>
      <c r="BR15" s="502">
        <f t="shared" si="21"/>
        <v>0</v>
      </c>
      <c r="BS15" s="503">
        <f t="shared" si="133"/>
        <v>0</v>
      </c>
      <c r="BT15" s="501"/>
      <c r="BU15" s="502">
        <f t="shared" si="22"/>
        <v>0</v>
      </c>
      <c r="BV15" s="503">
        <f t="shared" si="134"/>
        <v>0</v>
      </c>
      <c r="BW15" s="501"/>
      <c r="BX15" s="502">
        <f t="shared" si="23"/>
        <v>0</v>
      </c>
      <c r="BY15" s="503">
        <f t="shared" si="135"/>
        <v>0</v>
      </c>
      <c r="BZ15" s="501"/>
      <c r="CA15" s="502">
        <f t="shared" si="24"/>
        <v>0</v>
      </c>
      <c r="CB15" s="503">
        <f t="shared" si="136"/>
        <v>0</v>
      </c>
      <c r="CC15" s="501"/>
      <c r="CD15" s="502">
        <f t="shared" si="25"/>
        <v>0</v>
      </c>
      <c r="CE15" s="503">
        <f t="shared" si="137"/>
        <v>0</v>
      </c>
      <c r="CF15" s="501">
        <v>6</v>
      </c>
      <c r="CG15" s="502">
        <f t="shared" si="26"/>
        <v>0.13378224709581041</v>
      </c>
      <c r="CH15" s="503">
        <f t="shared" si="138"/>
        <v>0</v>
      </c>
      <c r="CI15" s="501"/>
      <c r="CJ15" s="502">
        <f t="shared" si="27"/>
        <v>0</v>
      </c>
      <c r="CK15" s="503">
        <f t="shared" si="139"/>
        <v>0</v>
      </c>
      <c r="CL15" s="501"/>
      <c r="CM15" s="502">
        <f t="shared" si="28"/>
        <v>0</v>
      </c>
      <c r="CN15" s="503">
        <f t="shared" si="140"/>
        <v>0</v>
      </c>
      <c r="CO15" s="501"/>
      <c r="CP15" s="502">
        <f t="shared" si="29"/>
        <v>0</v>
      </c>
      <c r="CQ15" s="503">
        <f t="shared" si="141"/>
        <v>0</v>
      </c>
      <c r="CR15" s="501"/>
      <c r="CS15" s="502">
        <f t="shared" si="30"/>
        <v>0</v>
      </c>
      <c r="CT15" s="503">
        <f t="shared" si="142"/>
        <v>0</v>
      </c>
      <c r="CU15" s="501"/>
      <c r="CV15" s="502">
        <f t="shared" si="31"/>
        <v>0</v>
      </c>
      <c r="CW15" s="503">
        <f t="shared" si="143"/>
        <v>0</v>
      </c>
      <c r="CX15" s="501"/>
      <c r="CY15" s="502">
        <f t="shared" si="32"/>
        <v>0</v>
      </c>
      <c r="CZ15" s="503">
        <f t="shared" si="144"/>
        <v>0</v>
      </c>
      <c r="DA15" s="501">
        <v>0</v>
      </c>
      <c r="DB15" s="502">
        <f t="shared" si="33"/>
        <v>0</v>
      </c>
      <c r="DC15" s="503">
        <f t="shared" si="145"/>
        <v>0</v>
      </c>
      <c r="DD15" s="501"/>
      <c r="DE15" s="502">
        <f t="shared" si="34"/>
        <v>0</v>
      </c>
      <c r="DF15" s="503">
        <f t="shared" si="146"/>
        <v>0</v>
      </c>
      <c r="DG15" s="501"/>
      <c r="DH15" s="502">
        <f t="shared" si="35"/>
        <v>0</v>
      </c>
      <c r="DI15" s="503">
        <f t="shared" ref="DI15:DI40" si="203">+DG15*$H$9</f>
        <v>0</v>
      </c>
      <c r="DJ15" s="501"/>
      <c r="DK15" s="502">
        <f t="shared" si="36"/>
        <v>0</v>
      </c>
      <c r="DL15" s="503">
        <f t="shared" si="147"/>
        <v>0</v>
      </c>
      <c r="DM15" s="501"/>
      <c r="DN15" s="502">
        <f t="shared" si="37"/>
        <v>0</v>
      </c>
      <c r="DO15" s="503">
        <f t="shared" si="148"/>
        <v>0</v>
      </c>
      <c r="DP15" s="501"/>
      <c r="DQ15" s="502">
        <f t="shared" si="38"/>
        <v>0</v>
      </c>
      <c r="DR15" s="503">
        <f t="shared" si="149"/>
        <v>0</v>
      </c>
      <c r="DS15" s="501"/>
      <c r="DT15" s="502">
        <f t="shared" si="39"/>
        <v>0</v>
      </c>
      <c r="DU15" s="503">
        <f t="shared" si="150"/>
        <v>0</v>
      </c>
      <c r="DV15" s="501"/>
      <c r="DW15" s="502">
        <f t="shared" si="40"/>
        <v>0</v>
      </c>
      <c r="DX15" s="503">
        <f t="shared" si="151"/>
        <v>0</v>
      </c>
      <c r="DY15" s="501">
        <v>0</v>
      </c>
      <c r="DZ15" s="502">
        <f t="shared" si="41"/>
        <v>0</v>
      </c>
      <c r="EA15" s="503">
        <f t="shared" si="152"/>
        <v>0</v>
      </c>
      <c r="EB15" s="501">
        <v>7.2674418604651692</v>
      </c>
      <c r="EC15" s="502">
        <f t="shared" si="42"/>
        <v>0.16204245045519788</v>
      </c>
      <c r="ED15" s="503">
        <f t="shared" si="153"/>
        <v>0</v>
      </c>
      <c r="EE15" s="501">
        <v>3</v>
      </c>
      <c r="EF15" s="502">
        <f t="shared" si="43"/>
        <v>6.6891123547905204E-2</v>
      </c>
      <c r="EG15" s="503">
        <f t="shared" si="154"/>
        <v>0</v>
      </c>
      <c r="EH15" s="501"/>
      <c r="EI15" s="502">
        <f t="shared" si="44"/>
        <v>0</v>
      </c>
      <c r="EJ15" s="503">
        <f t="shared" si="155"/>
        <v>0</v>
      </c>
      <c r="EK15" s="501"/>
      <c r="EL15" s="502">
        <f t="shared" si="45"/>
        <v>0</v>
      </c>
      <c r="EM15" s="503">
        <f t="shared" si="156"/>
        <v>0</v>
      </c>
      <c r="EN15" s="501"/>
      <c r="EO15" s="502">
        <f t="shared" si="46"/>
        <v>0</v>
      </c>
      <c r="EP15" s="503">
        <f t="shared" si="157"/>
        <v>0</v>
      </c>
      <c r="EQ15" s="501"/>
      <c r="ER15" s="502">
        <f t="shared" si="47"/>
        <v>0</v>
      </c>
      <c r="ES15" s="503">
        <f t="shared" si="158"/>
        <v>0</v>
      </c>
      <c r="ET15" s="501"/>
      <c r="EU15" s="502">
        <f t="shared" si="48"/>
        <v>0</v>
      </c>
      <c r="EV15" s="503">
        <f t="shared" si="159"/>
        <v>0</v>
      </c>
      <c r="EW15" s="501"/>
      <c r="EX15" s="502">
        <f t="shared" si="49"/>
        <v>0</v>
      </c>
      <c r="EY15" s="503">
        <f t="shared" si="160"/>
        <v>0</v>
      </c>
      <c r="EZ15" s="501"/>
      <c r="FA15" s="502">
        <f t="shared" si="50"/>
        <v>0</v>
      </c>
      <c r="FB15" s="503">
        <f t="shared" si="161"/>
        <v>0</v>
      </c>
      <c r="FC15" s="501"/>
      <c r="FD15" s="502">
        <f t="shared" si="51"/>
        <v>0</v>
      </c>
      <c r="FE15" s="503">
        <f t="shared" si="162"/>
        <v>0</v>
      </c>
      <c r="FF15" s="501"/>
      <c r="FG15" s="502">
        <f t="shared" si="52"/>
        <v>0</v>
      </c>
      <c r="FH15" s="503">
        <f t="shared" si="163"/>
        <v>0</v>
      </c>
      <c r="FI15" s="501"/>
      <c r="FJ15" s="502">
        <f t="shared" si="53"/>
        <v>0</v>
      </c>
      <c r="FK15" s="503">
        <f t="shared" si="164"/>
        <v>0</v>
      </c>
      <c r="FL15" s="501"/>
      <c r="FM15" s="502">
        <f t="shared" si="54"/>
        <v>0</v>
      </c>
      <c r="FN15" s="503">
        <f t="shared" si="165"/>
        <v>0</v>
      </c>
      <c r="FO15" s="501"/>
      <c r="FP15" s="502">
        <f t="shared" si="55"/>
        <v>0</v>
      </c>
      <c r="FQ15" s="503">
        <f t="shared" si="166"/>
        <v>0</v>
      </c>
      <c r="FR15" s="501"/>
      <c r="FS15" s="502">
        <f t="shared" si="56"/>
        <v>0</v>
      </c>
      <c r="FT15" s="503">
        <f t="shared" si="167"/>
        <v>0</v>
      </c>
      <c r="FU15" s="501"/>
      <c r="FV15" s="502">
        <f t="shared" si="57"/>
        <v>0</v>
      </c>
      <c r="FW15" s="503">
        <f t="shared" si="168"/>
        <v>0</v>
      </c>
      <c r="FX15" s="501"/>
      <c r="FY15" s="502">
        <f t="shared" si="58"/>
        <v>0</v>
      </c>
      <c r="FZ15" s="503">
        <f t="shared" si="169"/>
        <v>0</v>
      </c>
      <c r="GA15" s="501"/>
      <c r="GB15" s="502">
        <f t="shared" si="59"/>
        <v>0</v>
      </c>
      <c r="GC15" s="503">
        <f t="shared" si="170"/>
        <v>0</v>
      </c>
      <c r="GD15" s="501"/>
      <c r="GE15" s="502">
        <f t="shared" si="60"/>
        <v>0</v>
      </c>
      <c r="GF15" s="503">
        <f t="shared" si="171"/>
        <v>0</v>
      </c>
      <c r="GG15" s="501"/>
      <c r="GH15" s="502">
        <f t="shared" si="61"/>
        <v>0</v>
      </c>
      <c r="GI15" s="503">
        <f t="shared" si="172"/>
        <v>0</v>
      </c>
      <c r="GJ15" s="501"/>
      <c r="GK15" s="502">
        <f t="shared" si="62"/>
        <v>0</v>
      </c>
      <c r="GL15" s="503">
        <f t="shared" si="173"/>
        <v>0</v>
      </c>
      <c r="GM15" s="501"/>
      <c r="GN15" s="502">
        <f t="shared" si="63"/>
        <v>0</v>
      </c>
      <c r="GO15" s="503">
        <f t="shared" si="174"/>
        <v>0</v>
      </c>
      <c r="GP15" s="501"/>
      <c r="GQ15" s="502">
        <f t="shared" si="64"/>
        <v>0</v>
      </c>
      <c r="GR15" s="503">
        <f t="shared" si="175"/>
        <v>0</v>
      </c>
      <c r="GS15" s="501"/>
      <c r="GT15" s="502">
        <f t="shared" si="65"/>
        <v>0</v>
      </c>
      <c r="GU15" s="503">
        <f t="shared" si="176"/>
        <v>0</v>
      </c>
      <c r="GV15" s="501"/>
      <c r="GW15" s="502">
        <f t="shared" si="66"/>
        <v>0</v>
      </c>
      <c r="GX15" s="503">
        <f t="shared" si="177"/>
        <v>0</v>
      </c>
      <c r="GY15" s="501"/>
      <c r="GZ15" s="502">
        <f t="shared" si="67"/>
        <v>0</v>
      </c>
      <c r="HA15" s="503">
        <f t="shared" si="178"/>
        <v>0</v>
      </c>
      <c r="HB15" s="501"/>
      <c r="HC15" s="502">
        <f t="shared" si="68"/>
        <v>0</v>
      </c>
      <c r="HD15" s="503">
        <f t="shared" si="179"/>
        <v>0</v>
      </c>
      <c r="HE15" s="501"/>
      <c r="HF15" s="502">
        <f t="shared" si="69"/>
        <v>0</v>
      </c>
      <c r="HG15" s="503">
        <f t="shared" si="180"/>
        <v>0</v>
      </c>
      <c r="HH15" s="501"/>
      <c r="HI15" s="502">
        <f t="shared" si="70"/>
        <v>0</v>
      </c>
      <c r="HJ15" s="503">
        <f t="shared" si="181"/>
        <v>0</v>
      </c>
      <c r="HK15" s="501"/>
      <c r="HL15" s="502">
        <f t="shared" si="71"/>
        <v>0</v>
      </c>
      <c r="HM15" s="503">
        <f t="shared" si="182"/>
        <v>0</v>
      </c>
      <c r="HN15" s="501"/>
      <c r="HO15" s="502">
        <f t="shared" si="72"/>
        <v>0</v>
      </c>
      <c r="HP15" s="503">
        <f t="shared" si="183"/>
        <v>0</v>
      </c>
      <c r="HQ15" s="501"/>
      <c r="HR15" s="502">
        <f t="shared" si="73"/>
        <v>0</v>
      </c>
      <c r="HS15" s="503">
        <f t="shared" si="184"/>
        <v>0</v>
      </c>
      <c r="HT15" s="501"/>
      <c r="HU15" s="502">
        <f t="shared" si="74"/>
        <v>0</v>
      </c>
      <c r="HV15" s="503">
        <f t="shared" si="185"/>
        <v>0</v>
      </c>
      <c r="HW15" s="501"/>
      <c r="HX15" s="502">
        <f t="shared" si="75"/>
        <v>0</v>
      </c>
      <c r="HY15" s="503">
        <f t="shared" si="186"/>
        <v>0</v>
      </c>
      <c r="HZ15" s="501"/>
      <c r="IA15" s="502">
        <f t="shared" si="76"/>
        <v>0</v>
      </c>
      <c r="IB15" s="503">
        <f t="shared" si="187"/>
        <v>0</v>
      </c>
      <c r="IC15" s="501"/>
      <c r="ID15" s="502">
        <f t="shared" si="77"/>
        <v>0</v>
      </c>
      <c r="IE15" s="503">
        <f t="shared" si="188"/>
        <v>0</v>
      </c>
      <c r="IF15" s="501"/>
      <c r="IG15" s="502">
        <f t="shared" si="78"/>
        <v>0</v>
      </c>
      <c r="IH15" s="503">
        <f t="shared" si="189"/>
        <v>0</v>
      </c>
      <c r="II15" s="501"/>
      <c r="IJ15" s="502">
        <f t="shared" si="79"/>
        <v>0</v>
      </c>
      <c r="IK15" s="503">
        <f t="shared" si="190"/>
        <v>0</v>
      </c>
      <c r="IL15" s="501"/>
      <c r="IM15" s="502">
        <f t="shared" si="80"/>
        <v>0</v>
      </c>
      <c r="IN15" s="503">
        <f t="shared" si="191"/>
        <v>0</v>
      </c>
      <c r="IO15" s="501"/>
      <c r="IP15" s="502">
        <f t="shared" si="81"/>
        <v>0</v>
      </c>
      <c r="IQ15" s="503">
        <f t="shared" si="192"/>
        <v>0</v>
      </c>
      <c r="IR15" s="501"/>
      <c r="IS15" s="502">
        <f t="shared" si="82"/>
        <v>0</v>
      </c>
      <c r="IT15" s="503">
        <f t="shared" si="193"/>
        <v>0</v>
      </c>
      <c r="IU15" s="501"/>
      <c r="IV15" s="502">
        <f t="shared" si="83"/>
        <v>0</v>
      </c>
      <c r="IW15" s="503">
        <f t="shared" si="194"/>
        <v>0</v>
      </c>
      <c r="IX15" s="501"/>
      <c r="IY15" s="502">
        <f t="shared" si="84"/>
        <v>0</v>
      </c>
      <c r="IZ15" s="503">
        <f t="shared" si="195"/>
        <v>0</v>
      </c>
      <c r="JA15" s="501"/>
      <c r="JB15" s="502">
        <f t="shared" si="85"/>
        <v>0</v>
      </c>
      <c r="JC15" s="503">
        <f t="shared" si="196"/>
        <v>0</v>
      </c>
      <c r="JD15" s="501"/>
      <c r="JE15" s="502">
        <f t="shared" si="86"/>
        <v>0</v>
      </c>
      <c r="JF15" s="503">
        <f t="shared" si="197"/>
        <v>0</v>
      </c>
      <c r="JG15" s="501"/>
      <c r="JH15" s="502">
        <f t="shared" si="87"/>
        <v>0</v>
      </c>
      <c r="JI15" s="503">
        <f t="shared" si="198"/>
        <v>0</v>
      </c>
      <c r="JJ15" s="501"/>
      <c r="JK15" s="503" t="str">
        <f t="shared" si="88"/>
        <v>0</v>
      </c>
      <c r="JL15" s="503" t="str">
        <f t="shared" si="89"/>
        <v>0</v>
      </c>
      <c r="JM15" s="501"/>
      <c r="JN15" s="503" t="str">
        <f t="shared" si="90"/>
        <v>0</v>
      </c>
      <c r="JO15" s="503" t="str">
        <f t="shared" si="91"/>
        <v>0</v>
      </c>
      <c r="JP15" s="501"/>
      <c r="JQ15" s="503" t="str">
        <f t="shared" si="92"/>
        <v>0</v>
      </c>
      <c r="JR15" s="503" t="str">
        <f t="shared" si="93"/>
        <v>0</v>
      </c>
      <c r="JS15" s="501"/>
      <c r="JT15" s="503" t="str">
        <f t="shared" si="94"/>
        <v>0</v>
      </c>
      <c r="JU15" s="503" t="str">
        <f t="shared" si="95"/>
        <v>0</v>
      </c>
      <c r="JV15" s="501"/>
      <c r="JW15" s="503" t="str">
        <f t="shared" si="96"/>
        <v>0</v>
      </c>
      <c r="JX15" s="503" t="str">
        <f t="shared" si="97"/>
        <v>0</v>
      </c>
      <c r="JY15" s="501"/>
      <c r="JZ15" s="503" t="str">
        <f t="shared" si="98"/>
        <v>0</v>
      </c>
      <c r="KA15" s="503" t="str">
        <f t="shared" si="99"/>
        <v>0</v>
      </c>
      <c r="KB15" s="501"/>
      <c r="KC15" s="503" t="str">
        <f t="shared" si="100"/>
        <v>0</v>
      </c>
      <c r="KD15" s="503" t="str">
        <f t="shared" si="101"/>
        <v>0</v>
      </c>
      <c r="KE15" s="501"/>
      <c r="KF15" s="503" t="str">
        <f t="shared" si="102"/>
        <v>0</v>
      </c>
      <c r="KG15" s="503" t="str">
        <f t="shared" si="103"/>
        <v>0</v>
      </c>
      <c r="KH15" s="501"/>
      <c r="KI15" s="503" t="str">
        <f t="shared" si="104"/>
        <v>0</v>
      </c>
      <c r="KJ15" s="503" t="str">
        <f t="shared" si="105"/>
        <v>0</v>
      </c>
      <c r="KK15" s="501"/>
      <c r="KL15" s="503" t="str">
        <f t="shared" si="106"/>
        <v>0</v>
      </c>
      <c r="KM15" s="503" t="str">
        <f t="shared" si="107"/>
        <v>0</v>
      </c>
      <c r="KN15" s="501"/>
      <c r="KO15" s="503" t="str">
        <f t="shared" si="108"/>
        <v>0</v>
      </c>
      <c r="KP15" s="503" t="str">
        <f t="shared" si="109"/>
        <v>0</v>
      </c>
      <c r="KQ15" s="501"/>
      <c r="KR15" s="503" t="str">
        <f t="shared" si="110"/>
        <v>0</v>
      </c>
      <c r="KS15" s="503" t="str">
        <f t="shared" si="111"/>
        <v>0</v>
      </c>
      <c r="KT15" s="503">
        <f t="shared" si="201"/>
        <v>0</v>
      </c>
      <c r="KU15" s="503">
        <f t="shared" si="202"/>
        <v>0</v>
      </c>
      <c r="KV15" s="264">
        <f t="shared" si="199"/>
        <v>574.77142419664756</v>
      </c>
    </row>
    <row r="16" spans="1:308" ht="15" customHeight="1">
      <c r="A16" s="266">
        <f t="shared" si="200"/>
        <v>45937</v>
      </c>
      <c r="B16" s="267" t="str">
        <f>+Report1!B15</f>
        <v>Facial/Toilet</v>
      </c>
      <c r="C16" s="395" t="str">
        <f>+Report1!C15</f>
        <v>12,5/12/13/12,5</v>
      </c>
      <c r="D16" s="268">
        <f>+Report1!P15</f>
        <v>46.744999999999997</v>
      </c>
      <c r="E16" s="269">
        <f>+Report1!R15</f>
        <v>44.094999999999999</v>
      </c>
      <c r="F16" s="501">
        <v>0</v>
      </c>
      <c r="G16" s="502">
        <f t="shared" si="0"/>
        <v>0</v>
      </c>
      <c r="H16" s="503">
        <f t="shared" si="112"/>
        <v>0</v>
      </c>
      <c r="I16" s="501">
        <v>348.8372093023255</v>
      </c>
      <c r="J16" s="502">
        <f t="shared" si="1"/>
        <v>7.9110377435610726</v>
      </c>
      <c r="K16" s="503">
        <f t="shared" si="113"/>
        <v>0</v>
      </c>
      <c r="L16" s="501"/>
      <c r="M16" s="502">
        <f t="shared" si="2"/>
        <v>0</v>
      </c>
      <c r="N16" s="503">
        <f t="shared" si="114"/>
        <v>0</v>
      </c>
      <c r="O16" s="501">
        <v>9</v>
      </c>
      <c r="P16" s="502">
        <f t="shared" si="3"/>
        <v>0.20410477378387573</v>
      </c>
      <c r="Q16" s="503">
        <f t="shared" si="115"/>
        <v>0</v>
      </c>
      <c r="R16" s="501">
        <v>7.6875</v>
      </c>
      <c r="S16" s="502">
        <f t="shared" si="4"/>
        <v>0.17433949427372719</v>
      </c>
      <c r="T16" s="503">
        <f t="shared" si="116"/>
        <v>0</v>
      </c>
      <c r="U16" s="501">
        <v>6.2499999999999858</v>
      </c>
      <c r="V16" s="502">
        <f t="shared" si="5"/>
        <v>0.14173942623880226</v>
      </c>
      <c r="W16" s="503">
        <f t="shared" si="117"/>
        <v>0</v>
      </c>
      <c r="X16" s="501"/>
      <c r="Y16" s="502">
        <f t="shared" si="6"/>
        <v>0</v>
      </c>
      <c r="Z16" s="503">
        <f t="shared" si="118"/>
        <v>0</v>
      </c>
      <c r="AA16" s="501"/>
      <c r="AB16" s="502">
        <f t="shared" si="7"/>
        <v>0</v>
      </c>
      <c r="AC16" s="503">
        <f t="shared" si="119"/>
        <v>0</v>
      </c>
      <c r="AD16" s="501"/>
      <c r="AE16" s="502">
        <f t="shared" si="8"/>
        <v>0</v>
      </c>
      <c r="AF16" s="503">
        <f t="shared" si="120"/>
        <v>0</v>
      </c>
      <c r="AG16" s="501"/>
      <c r="AH16" s="502">
        <f t="shared" si="9"/>
        <v>0</v>
      </c>
      <c r="AI16" s="503">
        <f t="shared" si="121"/>
        <v>0</v>
      </c>
      <c r="AJ16" s="501"/>
      <c r="AK16" s="502">
        <f t="shared" si="10"/>
        <v>0</v>
      </c>
      <c r="AL16" s="503">
        <f t="shared" si="122"/>
        <v>0</v>
      </c>
      <c r="AM16" s="501">
        <v>40.384615384615245</v>
      </c>
      <c r="AN16" s="502">
        <f t="shared" si="11"/>
        <v>0.91585475415841355</v>
      </c>
      <c r="AO16" s="503">
        <f t="shared" si="123"/>
        <v>0</v>
      </c>
      <c r="AP16" s="501">
        <v>0</v>
      </c>
      <c r="AQ16" s="502">
        <f t="shared" si="12"/>
        <v>0</v>
      </c>
      <c r="AR16" s="503">
        <f t="shared" si="124"/>
        <v>0</v>
      </c>
      <c r="AS16" s="501"/>
      <c r="AT16" s="502">
        <f t="shared" si="13"/>
        <v>0</v>
      </c>
      <c r="AU16" s="503">
        <f t="shared" si="125"/>
        <v>0</v>
      </c>
      <c r="AV16" s="501">
        <v>13.874999999999943</v>
      </c>
      <c r="AW16" s="502">
        <f t="shared" si="14"/>
        <v>0.31466152625014043</v>
      </c>
      <c r="AX16" s="503">
        <f t="shared" si="126"/>
        <v>0</v>
      </c>
      <c r="AY16" s="501">
        <v>49</v>
      </c>
      <c r="AZ16" s="502">
        <f t="shared" si="15"/>
        <v>1.1112371017122122</v>
      </c>
      <c r="BA16" s="503">
        <f t="shared" si="127"/>
        <v>0</v>
      </c>
      <c r="BB16" s="501"/>
      <c r="BC16" s="502">
        <f t="shared" si="16"/>
        <v>0</v>
      </c>
      <c r="BD16" s="503">
        <f t="shared" si="128"/>
        <v>0</v>
      </c>
      <c r="BE16" s="501"/>
      <c r="BF16" s="502">
        <f t="shared" si="17"/>
        <v>0</v>
      </c>
      <c r="BG16" s="503">
        <f t="shared" si="129"/>
        <v>0</v>
      </c>
      <c r="BH16" s="501"/>
      <c r="BI16" s="502">
        <f t="shared" si="18"/>
        <v>0</v>
      </c>
      <c r="BJ16" s="503">
        <f t="shared" si="130"/>
        <v>0</v>
      </c>
      <c r="BK16" s="501"/>
      <c r="BL16" s="502">
        <f t="shared" si="19"/>
        <v>0</v>
      </c>
      <c r="BM16" s="503">
        <f t="shared" si="131"/>
        <v>0</v>
      </c>
      <c r="BN16" s="501">
        <v>7.592592592592581</v>
      </c>
      <c r="BO16" s="502">
        <f t="shared" si="20"/>
        <v>0.17218715483824881</v>
      </c>
      <c r="BP16" s="503">
        <f t="shared" si="132"/>
        <v>0</v>
      </c>
      <c r="BQ16" s="501">
        <v>0</v>
      </c>
      <c r="BR16" s="502">
        <f t="shared" si="21"/>
        <v>0</v>
      </c>
      <c r="BS16" s="503">
        <f t="shared" si="133"/>
        <v>0</v>
      </c>
      <c r="BT16" s="501"/>
      <c r="BU16" s="502">
        <f t="shared" si="22"/>
        <v>0</v>
      </c>
      <c r="BV16" s="503">
        <f t="shared" si="134"/>
        <v>0</v>
      </c>
      <c r="BW16" s="501"/>
      <c r="BX16" s="502">
        <f t="shared" si="23"/>
        <v>0</v>
      </c>
      <c r="BY16" s="503">
        <f t="shared" si="135"/>
        <v>0</v>
      </c>
      <c r="BZ16" s="501"/>
      <c r="CA16" s="502">
        <f t="shared" si="24"/>
        <v>0</v>
      </c>
      <c r="CB16" s="503">
        <f t="shared" si="136"/>
        <v>0</v>
      </c>
      <c r="CC16" s="501"/>
      <c r="CD16" s="502">
        <f t="shared" si="25"/>
        <v>0</v>
      </c>
      <c r="CE16" s="503">
        <f t="shared" si="137"/>
        <v>0</v>
      </c>
      <c r="CF16" s="501">
        <v>5</v>
      </c>
      <c r="CG16" s="502">
        <f t="shared" si="26"/>
        <v>0.11339154099104207</v>
      </c>
      <c r="CH16" s="503">
        <f t="shared" si="138"/>
        <v>0</v>
      </c>
      <c r="CI16" s="501"/>
      <c r="CJ16" s="502">
        <f t="shared" si="27"/>
        <v>0</v>
      </c>
      <c r="CK16" s="503">
        <f t="shared" si="139"/>
        <v>0</v>
      </c>
      <c r="CL16" s="501"/>
      <c r="CM16" s="502">
        <f t="shared" si="28"/>
        <v>0</v>
      </c>
      <c r="CN16" s="503">
        <f t="shared" si="140"/>
        <v>0</v>
      </c>
      <c r="CO16" s="501"/>
      <c r="CP16" s="502">
        <f t="shared" si="29"/>
        <v>0</v>
      </c>
      <c r="CQ16" s="503">
        <f t="shared" si="141"/>
        <v>0</v>
      </c>
      <c r="CR16" s="501"/>
      <c r="CS16" s="502">
        <f t="shared" si="30"/>
        <v>0</v>
      </c>
      <c r="CT16" s="503">
        <f t="shared" si="142"/>
        <v>0</v>
      </c>
      <c r="CU16" s="501"/>
      <c r="CV16" s="502">
        <f t="shared" si="31"/>
        <v>0</v>
      </c>
      <c r="CW16" s="503">
        <f t="shared" si="143"/>
        <v>0</v>
      </c>
      <c r="CX16" s="501"/>
      <c r="CY16" s="502">
        <f t="shared" si="32"/>
        <v>0</v>
      </c>
      <c r="CZ16" s="503">
        <f t="shared" si="144"/>
        <v>0</v>
      </c>
      <c r="DA16" s="501">
        <v>0</v>
      </c>
      <c r="DB16" s="502">
        <f t="shared" si="33"/>
        <v>0</v>
      </c>
      <c r="DC16" s="503">
        <f t="shared" si="145"/>
        <v>0</v>
      </c>
      <c r="DD16" s="501"/>
      <c r="DE16" s="502">
        <f t="shared" si="34"/>
        <v>0</v>
      </c>
      <c r="DF16" s="503">
        <f t="shared" si="146"/>
        <v>0</v>
      </c>
      <c r="DG16" s="501"/>
      <c r="DH16" s="502">
        <f t="shared" si="35"/>
        <v>0</v>
      </c>
      <c r="DI16" s="503">
        <f t="shared" si="203"/>
        <v>0</v>
      </c>
      <c r="DJ16" s="501"/>
      <c r="DK16" s="502">
        <f t="shared" si="36"/>
        <v>0</v>
      </c>
      <c r="DL16" s="503">
        <f t="shared" si="147"/>
        <v>0</v>
      </c>
      <c r="DM16" s="501"/>
      <c r="DN16" s="502">
        <f t="shared" si="37"/>
        <v>0</v>
      </c>
      <c r="DO16" s="503">
        <f t="shared" si="148"/>
        <v>0</v>
      </c>
      <c r="DP16" s="501"/>
      <c r="DQ16" s="502">
        <f t="shared" si="38"/>
        <v>0</v>
      </c>
      <c r="DR16" s="503">
        <f t="shared" si="149"/>
        <v>0</v>
      </c>
      <c r="DS16" s="501"/>
      <c r="DT16" s="502">
        <f t="shared" si="39"/>
        <v>0</v>
      </c>
      <c r="DU16" s="503">
        <f t="shared" si="150"/>
        <v>0</v>
      </c>
      <c r="DV16" s="501"/>
      <c r="DW16" s="502">
        <f t="shared" si="40"/>
        <v>0</v>
      </c>
      <c r="DX16" s="503">
        <f t="shared" si="151"/>
        <v>0</v>
      </c>
      <c r="DY16" s="501">
        <v>0</v>
      </c>
      <c r="DZ16" s="502">
        <f t="shared" si="41"/>
        <v>0</v>
      </c>
      <c r="EA16" s="503">
        <f t="shared" si="152"/>
        <v>0</v>
      </c>
      <c r="EB16" s="501">
        <v>14.534883720930225</v>
      </c>
      <c r="EC16" s="502">
        <f t="shared" si="42"/>
        <v>0.32962657264837791</v>
      </c>
      <c r="ED16" s="503">
        <f t="shared" si="153"/>
        <v>0</v>
      </c>
      <c r="EE16" s="501">
        <v>3</v>
      </c>
      <c r="EF16" s="502">
        <f t="shared" si="43"/>
        <v>6.8034924594625248E-2</v>
      </c>
      <c r="EG16" s="503">
        <f t="shared" si="154"/>
        <v>0</v>
      </c>
      <c r="EH16" s="501"/>
      <c r="EI16" s="502">
        <f t="shared" si="44"/>
        <v>0</v>
      </c>
      <c r="EJ16" s="503">
        <f t="shared" si="155"/>
        <v>0</v>
      </c>
      <c r="EK16" s="501"/>
      <c r="EL16" s="502">
        <f t="shared" si="45"/>
        <v>0</v>
      </c>
      <c r="EM16" s="503">
        <f t="shared" si="156"/>
        <v>0</v>
      </c>
      <c r="EN16" s="501"/>
      <c r="EO16" s="502">
        <f t="shared" si="46"/>
        <v>0</v>
      </c>
      <c r="EP16" s="503">
        <f t="shared" si="157"/>
        <v>0</v>
      </c>
      <c r="EQ16" s="501"/>
      <c r="ER16" s="502">
        <f t="shared" si="47"/>
        <v>0</v>
      </c>
      <c r="ES16" s="503">
        <f t="shared" si="158"/>
        <v>0</v>
      </c>
      <c r="ET16" s="501"/>
      <c r="EU16" s="502">
        <f t="shared" si="48"/>
        <v>0</v>
      </c>
      <c r="EV16" s="503">
        <f t="shared" si="159"/>
        <v>0</v>
      </c>
      <c r="EW16" s="501"/>
      <c r="EX16" s="502">
        <f t="shared" si="49"/>
        <v>0</v>
      </c>
      <c r="EY16" s="503">
        <f t="shared" si="160"/>
        <v>0</v>
      </c>
      <c r="EZ16" s="501"/>
      <c r="FA16" s="502">
        <f t="shared" si="50"/>
        <v>0</v>
      </c>
      <c r="FB16" s="503">
        <f t="shared" si="161"/>
        <v>0</v>
      </c>
      <c r="FC16" s="501"/>
      <c r="FD16" s="502">
        <f t="shared" si="51"/>
        <v>0</v>
      </c>
      <c r="FE16" s="503">
        <f t="shared" si="162"/>
        <v>0</v>
      </c>
      <c r="FF16" s="501"/>
      <c r="FG16" s="502">
        <f t="shared" si="52"/>
        <v>0</v>
      </c>
      <c r="FH16" s="503">
        <f t="shared" si="163"/>
        <v>0</v>
      </c>
      <c r="FI16" s="501"/>
      <c r="FJ16" s="502">
        <f t="shared" si="53"/>
        <v>0</v>
      </c>
      <c r="FK16" s="503">
        <f t="shared" si="164"/>
        <v>0</v>
      </c>
      <c r="FL16" s="501"/>
      <c r="FM16" s="502">
        <f t="shared" si="54"/>
        <v>0</v>
      </c>
      <c r="FN16" s="503">
        <f t="shared" si="165"/>
        <v>0</v>
      </c>
      <c r="FO16" s="501"/>
      <c r="FP16" s="502">
        <f t="shared" si="55"/>
        <v>0</v>
      </c>
      <c r="FQ16" s="503">
        <f t="shared" si="166"/>
        <v>0</v>
      </c>
      <c r="FR16" s="501"/>
      <c r="FS16" s="502">
        <f t="shared" si="56"/>
        <v>0</v>
      </c>
      <c r="FT16" s="503">
        <f t="shared" si="167"/>
        <v>0</v>
      </c>
      <c r="FU16" s="501"/>
      <c r="FV16" s="502">
        <f t="shared" si="57"/>
        <v>0</v>
      </c>
      <c r="FW16" s="503">
        <f t="shared" si="168"/>
        <v>0</v>
      </c>
      <c r="FX16" s="501"/>
      <c r="FY16" s="502">
        <f t="shared" si="58"/>
        <v>0</v>
      </c>
      <c r="FZ16" s="503">
        <f t="shared" si="169"/>
        <v>0</v>
      </c>
      <c r="GA16" s="501"/>
      <c r="GB16" s="502">
        <f t="shared" si="59"/>
        <v>0</v>
      </c>
      <c r="GC16" s="503">
        <f t="shared" si="170"/>
        <v>0</v>
      </c>
      <c r="GD16" s="501"/>
      <c r="GE16" s="502">
        <f t="shared" si="60"/>
        <v>0</v>
      </c>
      <c r="GF16" s="503">
        <f t="shared" si="171"/>
        <v>0</v>
      </c>
      <c r="GG16" s="501"/>
      <c r="GH16" s="502">
        <f t="shared" si="61"/>
        <v>0</v>
      </c>
      <c r="GI16" s="503">
        <f t="shared" si="172"/>
        <v>0</v>
      </c>
      <c r="GJ16" s="501"/>
      <c r="GK16" s="502">
        <f t="shared" si="62"/>
        <v>0</v>
      </c>
      <c r="GL16" s="503">
        <f t="shared" si="173"/>
        <v>0</v>
      </c>
      <c r="GM16" s="501"/>
      <c r="GN16" s="502">
        <f t="shared" si="63"/>
        <v>0</v>
      </c>
      <c r="GO16" s="503">
        <f t="shared" si="174"/>
        <v>0</v>
      </c>
      <c r="GP16" s="501"/>
      <c r="GQ16" s="502">
        <f t="shared" si="64"/>
        <v>0</v>
      </c>
      <c r="GR16" s="503">
        <f t="shared" si="175"/>
        <v>0</v>
      </c>
      <c r="GS16" s="501"/>
      <c r="GT16" s="502">
        <f t="shared" si="65"/>
        <v>0</v>
      </c>
      <c r="GU16" s="503">
        <f t="shared" si="176"/>
        <v>0</v>
      </c>
      <c r="GV16" s="501"/>
      <c r="GW16" s="502">
        <f t="shared" si="66"/>
        <v>0</v>
      </c>
      <c r="GX16" s="503">
        <f t="shared" si="177"/>
        <v>0</v>
      </c>
      <c r="GY16" s="501"/>
      <c r="GZ16" s="502">
        <f t="shared" si="67"/>
        <v>0</v>
      </c>
      <c r="HA16" s="503">
        <f t="shared" si="178"/>
        <v>0</v>
      </c>
      <c r="HB16" s="501"/>
      <c r="HC16" s="502">
        <f t="shared" si="68"/>
        <v>0</v>
      </c>
      <c r="HD16" s="503">
        <f t="shared" si="179"/>
        <v>0</v>
      </c>
      <c r="HE16" s="501"/>
      <c r="HF16" s="502">
        <f t="shared" si="69"/>
        <v>0</v>
      </c>
      <c r="HG16" s="503">
        <f t="shared" si="180"/>
        <v>0</v>
      </c>
      <c r="HH16" s="501"/>
      <c r="HI16" s="502">
        <f t="shared" si="70"/>
        <v>0</v>
      </c>
      <c r="HJ16" s="503">
        <f t="shared" si="181"/>
        <v>0</v>
      </c>
      <c r="HK16" s="501"/>
      <c r="HL16" s="502">
        <f t="shared" si="71"/>
        <v>0</v>
      </c>
      <c r="HM16" s="503">
        <f t="shared" si="182"/>
        <v>0</v>
      </c>
      <c r="HN16" s="501"/>
      <c r="HO16" s="502">
        <f t="shared" si="72"/>
        <v>0</v>
      </c>
      <c r="HP16" s="503">
        <f t="shared" si="183"/>
        <v>0</v>
      </c>
      <c r="HQ16" s="501"/>
      <c r="HR16" s="502">
        <f t="shared" si="73"/>
        <v>0</v>
      </c>
      <c r="HS16" s="503">
        <f t="shared" si="184"/>
        <v>0</v>
      </c>
      <c r="HT16" s="501"/>
      <c r="HU16" s="502">
        <f t="shared" si="74"/>
        <v>0</v>
      </c>
      <c r="HV16" s="503">
        <f t="shared" si="185"/>
        <v>0</v>
      </c>
      <c r="HW16" s="501"/>
      <c r="HX16" s="502">
        <f t="shared" si="75"/>
        <v>0</v>
      </c>
      <c r="HY16" s="503">
        <f t="shared" si="186"/>
        <v>0</v>
      </c>
      <c r="HZ16" s="501"/>
      <c r="IA16" s="502">
        <f t="shared" si="76"/>
        <v>0</v>
      </c>
      <c r="IB16" s="503">
        <f t="shared" si="187"/>
        <v>0</v>
      </c>
      <c r="IC16" s="501"/>
      <c r="ID16" s="502">
        <f t="shared" si="77"/>
        <v>0</v>
      </c>
      <c r="IE16" s="503">
        <f t="shared" si="188"/>
        <v>0</v>
      </c>
      <c r="IF16" s="501"/>
      <c r="IG16" s="502">
        <f t="shared" si="78"/>
        <v>0</v>
      </c>
      <c r="IH16" s="503">
        <f t="shared" si="189"/>
        <v>0</v>
      </c>
      <c r="II16" s="501"/>
      <c r="IJ16" s="502">
        <f t="shared" si="79"/>
        <v>0</v>
      </c>
      <c r="IK16" s="503">
        <f t="shared" si="190"/>
        <v>0</v>
      </c>
      <c r="IL16" s="501"/>
      <c r="IM16" s="502">
        <f t="shared" si="80"/>
        <v>0</v>
      </c>
      <c r="IN16" s="503">
        <f t="shared" si="191"/>
        <v>0</v>
      </c>
      <c r="IO16" s="501"/>
      <c r="IP16" s="502">
        <f t="shared" si="81"/>
        <v>0</v>
      </c>
      <c r="IQ16" s="503">
        <f t="shared" si="192"/>
        <v>0</v>
      </c>
      <c r="IR16" s="501"/>
      <c r="IS16" s="502">
        <f t="shared" si="82"/>
        <v>0</v>
      </c>
      <c r="IT16" s="503">
        <f t="shared" si="193"/>
        <v>0</v>
      </c>
      <c r="IU16" s="501"/>
      <c r="IV16" s="502">
        <f t="shared" si="83"/>
        <v>0</v>
      </c>
      <c r="IW16" s="503">
        <f t="shared" si="194"/>
        <v>0</v>
      </c>
      <c r="IX16" s="501"/>
      <c r="IY16" s="502">
        <f t="shared" si="84"/>
        <v>0</v>
      </c>
      <c r="IZ16" s="503">
        <f t="shared" si="195"/>
        <v>0</v>
      </c>
      <c r="JA16" s="501"/>
      <c r="JB16" s="502">
        <f t="shared" si="85"/>
        <v>0</v>
      </c>
      <c r="JC16" s="503">
        <f t="shared" si="196"/>
        <v>0</v>
      </c>
      <c r="JD16" s="501"/>
      <c r="JE16" s="502">
        <f t="shared" si="86"/>
        <v>0</v>
      </c>
      <c r="JF16" s="503">
        <f t="shared" si="197"/>
        <v>0</v>
      </c>
      <c r="JG16" s="501"/>
      <c r="JH16" s="502">
        <f t="shared" si="87"/>
        <v>0</v>
      </c>
      <c r="JI16" s="503">
        <f t="shared" si="198"/>
        <v>0</v>
      </c>
      <c r="JJ16" s="501"/>
      <c r="JK16" s="503" t="str">
        <f t="shared" si="88"/>
        <v>0</v>
      </c>
      <c r="JL16" s="503" t="str">
        <f t="shared" si="89"/>
        <v>0</v>
      </c>
      <c r="JM16" s="501"/>
      <c r="JN16" s="503" t="str">
        <f t="shared" si="90"/>
        <v>0</v>
      </c>
      <c r="JO16" s="503" t="str">
        <f t="shared" si="91"/>
        <v>0</v>
      </c>
      <c r="JP16" s="501"/>
      <c r="JQ16" s="503" t="str">
        <f t="shared" si="92"/>
        <v>0</v>
      </c>
      <c r="JR16" s="503" t="str">
        <f t="shared" si="93"/>
        <v>0</v>
      </c>
      <c r="JS16" s="501"/>
      <c r="JT16" s="503" t="str">
        <f t="shared" si="94"/>
        <v>0</v>
      </c>
      <c r="JU16" s="503" t="str">
        <f t="shared" si="95"/>
        <v>0</v>
      </c>
      <c r="JV16" s="501"/>
      <c r="JW16" s="503" t="str">
        <f t="shared" si="96"/>
        <v>0</v>
      </c>
      <c r="JX16" s="503" t="str">
        <f t="shared" si="97"/>
        <v>0</v>
      </c>
      <c r="JY16" s="501"/>
      <c r="JZ16" s="503" t="str">
        <f t="shared" si="98"/>
        <v>0</v>
      </c>
      <c r="KA16" s="503" t="str">
        <f t="shared" si="99"/>
        <v>0</v>
      </c>
      <c r="KB16" s="501"/>
      <c r="KC16" s="503" t="str">
        <f t="shared" si="100"/>
        <v>0</v>
      </c>
      <c r="KD16" s="503" t="str">
        <f t="shared" si="101"/>
        <v>0</v>
      </c>
      <c r="KE16" s="501"/>
      <c r="KF16" s="503" t="str">
        <f t="shared" si="102"/>
        <v>0</v>
      </c>
      <c r="KG16" s="503" t="str">
        <f t="shared" si="103"/>
        <v>0</v>
      </c>
      <c r="KH16" s="501"/>
      <c r="KI16" s="503" t="str">
        <f t="shared" si="104"/>
        <v>0</v>
      </c>
      <c r="KJ16" s="503" t="str">
        <f t="shared" si="105"/>
        <v>0</v>
      </c>
      <c r="KK16" s="501"/>
      <c r="KL16" s="503" t="str">
        <f t="shared" si="106"/>
        <v>0</v>
      </c>
      <c r="KM16" s="503" t="str">
        <f t="shared" si="107"/>
        <v>0</v>
      </c>
      <c r="KN16" s="501"/>
      <c r="KO16" s="503" t="str">
        <f t="shared" si="108"/>
        <v>0</v>
      </c>
      <c r="KP16" s="503" t="str">
        <f t="shared" si="109"/>
        <v>0</v>
      </c>
      <c r="KQ16" s="501"/>
      <c r="KR16" s="503" t="str">
        <f t="shared" si="110"/>
        <v>0</v>
      </c>
      <c r="KS16" s="503" t="str">
        <f t="shared" si="111"/>
        <v>0</v>
      </c>
      <c r="KT16" s="503">
        <f t="shared" si="201"/>
        <v>0</v>
      </c>
      <c r="KU16" s="503">
        <f t="shared" si="202"/>
        <v>0</v>
      </c>
      <c r="KV16" s="264">
        <f t="shared" si="199"/>
        <v>505.16180100046347</v>
      </c>
    </row>
    <row r="17" spans="1:308" ht="15" customHeight="1">
      <c r="A17" s="266">
        <f t="shared" si="200"/>
        <v>45938</v>
      </c>
      <c r="B17" s="267" t="str">
        <f>+Report1!B16</f>
        <v>Toilet</v>
      </c>
      <c r="C17" s="395" t="str">
        <f>+Report1!C16</f>
        <v>12,5</v>
      </c>
      <c r="D17" s="268">
        <f>+Report1!P16</f>
        <v>50.239999999999995</v>
      </c>
      <c r="E17" s="269">
        <f>+Report1!R16</f>
        <v>47.835000000000001</v>
      </c>
      <c r="F17" s="501">
        <v>0</v>
      </c>
      <c r="G17" s="502">
        <f t="shared" si="0"/>
        <v>0</v>
      </c>
      <c r="H17" s="503">
        <f t="shared" si="112"/>
        <v>0</v>
      </c>
      <c r="I17" s="501">
        <v>0</v>
      </c>
      <c r="J17" s="502">
        <f t="shared" si="1"/>
        <v>0</v>
      </c>
      <c r="K17" s="503">
        <f t="shared" si="113"/>
        <v>0</v>
      </c>
      <c r="L17" s="501"/>
      <c r="M17" s="502">
        <f t="shared" si="2"/>
        <v>0</v>
      </c>
      <c r="N17" s="503">
        <f t="shared" si="114"/>
        <v>0</v>
      </c>
      <c r="O17" s="501">
        <v>9</v>
      </c>
      <c r="P17" s="502">
        <f t="shared" si="3"/>
        <v>0.18814675446848542</v>
      </c>
      <c r="Q17" s="503">
        <f t="shared" si="115"/>
        <v>0</v>
      </c>
      <c r="R17" s="501">
        <v>5.125</v>
      </c>
      <c r="S17" s="502">
        <f t="shared" si="4"/>
        <v>0.10713912407233198</v>
      </c>
      <c r="T17" s="503">
        <f t="shared" si="116"/>
        <v>0</v>
      </c>
      <c r="U17" s="501">
        <v>6.25</v>
      </c>
      <c r="V17" s="502">
        <f t="shared" si="5"/>
        <v>0.13065746838089265</v>
      </c>
      <c r="W17" s="503">
        <f t="shared" si="117"/>
        <v>0</v>
      </c>
      <c r="X17" s="501"/>
      <c r="Y17" s="502">
        <f t="shared" si="6"/>
        <v>0</v>
      </c>
      <c r="Z17" s="503">
        <f t="shared" si="118"/>
        <v>0</v>
      </c>
      <c r="AA17" s="501"/>
      <c r="AB17" s="502">
        <f t="shared" si="7"/>
        <v>0</v>
      </c>
      <c r="AC17" s="503">
        <f t="shared" si="119"/>
        <v>0</v>
      </c>
      <c r="AD17" s="501"/>
      <c r="AE17" s="502">
        <f t="shared" si="8"/>
        <v>0</v>
      </c>
      <c r="AF17" s="503">
        <f t="shared" si="120"/>
        <v>0</v>
      </c>
      <c r="AG17" s="501"/>
      <c r="AH17" s="502">
        <f t="shared" si="9"/>
        <v>0</v>
      </c>
      <c r="AI17" s="503">
        <f t="shared" si="121"/>
        <v>0</v>
      </c>
      <c r="AJ17" s="501"/>
      <c r="AK17" s="502">
        <f t="shared" si="10"/>
        <v>0</v>
      </c>
      <c r="AL17" s="503">
        <f t="shared" si="122"/>
        <v>0</v>
      </c>
      <c r="AM17" s="501">
        <v>34.615384615384642</v>
      </c>
      <c r="AN17" s="502">
        <f t="shared" si="11"/>
        <v>0.72364136334032902</v>
      </c>
      <c r="AO17" s="503">
        <f t="shared" si="123"/>
        <v>0</v>
      </c>
      <c r="AP17" s="501">
        <v>0</v>
      </c>
      <c r="AQ17" s="502">
        <f t="shared" si="12"/>
        <v>0</v>
      </c>
      <c r="AR17" s="503">
        <f t="shared" si="124"/>
        <v>0</v>
      </c>
      <c r="AS17" s="501"/>
      <c r="AT17" s="502">
        <f t="shared" si="13"/>
        <v>0</v>
      </c>
      <c r="AU17" s="503">
        <f t="shared" si="125"/>
        <v>0</v>
      </c>
      <c r="AV17" s="501">
        <v>13.875</v>
      </c>
      <c r="AW17" s="502">
        <f t="shared" si="14"/>
        <v>0.29005957980558167</v>
      </c>
      <c r="AX17" s="503">
        <f t="shared" si="126"/>
        <v>0</v>
      </c>
      <c r="AY17" s="501">
        <v>58.333333333333428</v>
      </c>
      <c r="AZ17" s="502">
        <f t="shared" si="15"/>
        <v>1.2194697048883334</v>
      </c>
      <c r="BA17" s="503">
        <f t="shared" si="127"/>
        <v>0</v>
      </c>
      <c r="BB17" s="501"/>
      <c r="BC17" s="502">
        <f t="shared" si="16"/>
        <v>0</v>
      </c>
      <c r="BD17" s="503">
        <f t="shared" si="128"/>
        <v>0</v>
      </c>
      <c r="BE17" s="501"/>
      <c r="BF17" s="502">
        <f t="shared" si="17"/>
        <v>0</v>
      </c>
      <c r="BG17" s="503">
        <f t="shared" si="129"/>
        <v>0</v>
      </c>
      <c r="BH17" s="501"/>
      <c r="BI17" s="502">
        <f t="shared" si="18"/>
        <v>0</v>
      </c>
      <c r="BJ17" s="503">
        <f t="shared" si="130"/>
        <v>0</v>
      </c>
      <c r="BK17" s="501"/>
      <c r="BL17" s="502">
        <f t="shared" si="19"/>
        <v>0</v>
      </c>
      <c r="BM17" s="503">
        <f t="shared" si="131"/>
        <v>0</v>
      </c>
      <c r="BN17" s="501">
        <v>10.12345679012347</v>
      </c>
      <c r="BO17" s="502">
        <f t="shared" si="20"/>
        <v>0.21163283767374244</v>
      </c>
      <c r="BP17" s="503">
        <f t="shared" si="132"/>
        <v>0</v>
      </c>
      <c r="BQ17" s="501">
        <v>0</v>
      </c>
      <c r="BR17" s="502">
        <f t="shared" si="21"/>
        <v>0</v>
      </c>
      <c r="BS17" s="503">
        <f t="shared" si="133"/>
        <v>0</v>
      </c>
      <c r="BT17" s="501"/>
      <c r="BU17" s="502">
        <f t="shared" si="22"/>
        <v>0</v>
      </c>
      <c r="BV17" s="503">
        <f t="shared" si="134"/>
        <v>0</v>
      </c>
      <c r="BW17" s="501"/>
      <c r="BX17" s="502">
        <f t="shared" si="23"/>
        <v>0</v>
      </c>
      <c r="BY17" s="503">
        <f t="shared" si="135"/>
        <v>0</v>
      </c>
      <c r="BZ17" s="501"/>
      <c r="CA17" s="502">
        <f t="shared" si="24"/>
        <v>0</v>
      </c>
      <c r="CB17" s="503">
        <f t="shared" si="136"/>
        <v>0</v>
      </c>
      <c r="CC17" s="501"/>
      <c r="CD17" s="502">
        <f t="shared" si="25"/>
        <v>0</v>
      </c>
      <c r="CE17" s="503">
        <f t="shared" si="137"/>
        <v>0</v>
      </c>
      <c r="CF17" s="501">
        <v>5</v>
      </c>
      <c r="CG17" s="502">
        <f t="shared" si="26"/>
        <v>0.10452597470471411</v>
      </c>
      <c r="CH17" s="503">
        <f t="shared" si="138"/>
        <v>0</v>
      </c>
      <c r="CI17" s="501"/>
      <c r="CJ17" s="502">
        <f t="shared" si="27"/>
        <v>0</v>
      </c>
      <c r="CK17" s="503">
        <f t="shared" si="139"/>
        <v>0</v>
      </c>
      <c r="CL17" s="501"/>
      <c r="CM17" s="502">
        <f t="shared" si="28"/>
        <v>0</v>
      </c>
      <c r="CN17" s="503">
        <f t="shared" si="140"/>
        <v>0</v>
      </c>
      <c r="CO17" s="501"/>
      <c r="CP17" s="502">
        <f t="shared" si="29"/>
        <v>0</v>
      </c>
      <c r="CQ17" s="503">
        <f t="shared" si="141"/>
        <v>0</v>
      </c>
      <c r="CR17" s="501"/>
      <c r="CS17" s="502">
        <f t="shared" si="30"/>
        <v>0</v>
      </c>
      <c r="CT17" s="503">
        <f t="shared" si="142"/>
        <v>0</v>
      </c>
      <c r="CU17" s="501"/>
      <c r="CV17" s="502">
        <f t="shared" si="31"/>
        <v>0</v>
      </c>
      <c r="CW17" s="503">
        <f t="shared" si="143"/>
        <v>0</v>
      </c>
      <c r="CX17" s="501"/>
      <c r="CY17" s="502">
        <f t="shared" si="32"/>
        <v>0</v>
      </c>
      <c r="CZ17" s="503">
        <f t="shared" si="144"/>
        <v>0</v>
      </c>
      <c r="DA17" s="501">
        <v>174.41953488372087</v>
      </c>
      <c r="DB17" s="502">
        <f t="shared" si="33"/>
        <v>3.646274378252762</v>
      </c>
      <c r="DC17" s="503">
        <f t="shared" si="145"/>
        <v>0</v>
      </c>
      <c r="DD17" s="501"/>
      <c r="DE17" s="502">
        <f t="shared" si="34"/>
        <v>0</v>
      </c>
      <c r="DF17" s="503">
        <f t="shared" si="146"/>
        <v>0</v>
      </c>
      <c r="DG17" s="501"/>
      <c r="DH17" s="502">
        <f t="shared" si="35"/>
        <v>0</v>
      </c>
      <c r="DI17" s="503">
        <f t="shared" si="203"/>
        <v>0</v>
      </c>
      <c r="DJ17" s="501"/>
      <c r="DK17" s="502">
        <f t="shared" si="36"/>
        <v>0</v>
      </c>
      <c r="DL17" s="503">
        <f t="shared" si="147"/>
        <v>0</v>
      </c>
      <c r="DM17" s="501"/>
      <c r="DN17" s="502">
        <f t="shared" si="37"/>
        <v>0</v>
      </c>
      <c r="DO17" s="503">
        <f t="shared" si="148"/>
        <v>0</v>
      </c>
      <c r="DP17" s="501"/>
      <c r="DQ17" s="502">
        <f t="shared" si="38"/>
        <v>0</v>
      </c>
      <c r="DR17" s="503">
        <f t="shared" si="149"/>
        <v>0</v>
      </c>
      <c r="DS17" s="501"/>
      <c r="DT17" s="502">
        <f t="shared" si="39"/>
        <v>0</v>
      </c>
      <c r="DU17" s="503">
        <f t="shared" si="150"/>
        <v>0</v>
      </c>
      <c r="DV17" s="501"/>
      <c r="DW17" s="502">
        <f t="shared" si="40"/>
        <v>0</v>
      </c>
      <c r="DX17" s="503">
        <f t="shared" si="151"/>
        <v>0</v>
      </c>
      <c r="DY17" s="501">
        <v>0</v>
      </c>
      <c r="DZ17" s="502">
        <f t="shared" si="41"/>
        <v>0</v>
      </c>
      <c r="EA17" s="503">
        <f t="shared" si="152"/>
        <v>0</v>
      </c>
      <c r="EB17" s="501">
        <v>14.534883720930225</v>
      </c>
      <c r="EC17" s="502">
        <f t="shared" si="42"/>
        <v>0.30385457762998275</v>
      </c>
      <c r="ED17" s="503">
        <f t="shared" si="153"/>
        <v>0</v>
      </c>
      <c r="EE17" s="501">
        <v>4</v>
      </c>
      <c r="EF17" s="502">
        <f t="shared" si="43"/>
        <v>8.3620779763771302E-2</v>
      </c>
      <c r="EG17" s="503">
        <f t="shared" si="154"/>
        <v>0</v>
      </c>
      <c r="EH17" s="501"/>
      <c r="EI17" s="502">
        <f t="shared" si="44"/>
        <v>0</v>
      </c>
      <c r="EJ17" s="503">
        <f t="shared" si="155"/>
        <v>0</v>
      </c>
      <c r="EK17" s="501"/>
      <c r="EL17" s="502">
        <f t="shared" si="45"/>
        <v>0</v>
      </c>
      <c r="EM17" s="503">
        <f t="shared" si="156"/>
        <v>0</v>
      </c>
      <c r="EN17" s="501"/>
      <c r="EO17" s="502">
        <f t="shared" si="46"/>
        <v>0</v>
      </c>
      <c r="EP17" s="503">
        <f t="shared" si="157"/>
        <v>0</v>
      </c>
      <c r="EQ17" s="501"/>
      <c r="ER17" s="502">
        <f t="shared" si="47"/>
        <v>0</v>
      </c>
      <c r="ES17" s="503">
        <f t="shared" si="158"/>
        <v>0</v>
      </c>
      <c r="ET17" s="501"/>
      <c r="EU17" s="502">
        <f t="shared" si="48"/>
        <v>0</v>
      </c>
      <c r="EV17" s="503">
        <f t="shared" si="159"/>
        <v>0</v>
      </c>
      <c r="EW17" s="501"/>
      <c r="EX17" s="502">
        <f t="shared" si="49"/>
        <v>0</v>
      </c>
      <c r="EY17" s="503">
        <f t="shared" si="160"/>
        <v>0</v>
      </c>
      <c r="EZ17" s="501"/>
      <c r="FA17" s="502">
        <f t="shared" si="50"/>
        <v>0</v>
      </c>
      <c r="FB17" s="503">
        <f t="shared" si="161"/>
        <v>0</v>
      </c>
      <c r="FC17" s="501"/>
      <c r="FD17" s="502">
        <f t="shared" si="51"/>
        <v>0</v>
      </c>
      <c r="FE17" s="503">
        <f t="shared" si="162"/>
        <v>0</v>
      </c>
      <c r="FF17" s="501"/>
      <c r="FG17" s="502">
        <f t="shared" si="52"/>
        <v>0</v>
      </c>
      <c r="FH17" s="503">
        <f t="shared" si="163"/>
        <v>0</v>
      </c>
      <c r="FI17" s="501"/>
      <c r="FJ17" s="502">
        <f t="shared" si="53"/>
        <v>0</v>
      </c>
      <c r="FK17" s="503">
        <f t="shared" si="164"/>
        <v>0</v>
      </c>
      <c r="FL17" s="501"/>
      <c r="FM17" s="502">
        <f t="shared" si="54"/>
        <v>0</v>
      </c>
      <c r="FN17" s="503">
        <f t="shared" si="165"/>
        <v>0</v>
      </c>
      <c r="FO17" s="501"/>
      <c r="FP17" s="502">
        <f t="shared" si="55"/>
        <v>0</v>
      </c>
      <c r="FQ17" s="503">
        <f t="shared" si="166"/>
        <v>0</v>
      </c>
      <c r="FR17" s="501"/>
      <c r="FS17" s="502">
        <f t="shared" si="56"/>
        <v>0</v>
      </c>
      <c r="FT17" s="503">
        <f t="shared" si="167"/>
        <v>0</v>
      </c>
      <c r="FU17" s="501"/>
      <c r="FV17" s="502">
        <f t="shared" si="57"/>
        <v>0</v>
      </c>
      <c r="FW17" s="503">
        <f t="shared" si="168"/>
        <v>0</v>
      </c>
      <c r="FX17" s="501"/>
      <c r="FY17" s="502">
        <f t="shared" si="58"/>
        <v>0</v>
      </c>
      <c r="FZ17" s="503">
        <f t="shared" si="169"/>
        <v>0</v>
      </c>
      <c r="GA17" s="501"/>
      <c r="GB17" s="502">
        <f t="shared" si="59"/>
        <v>0</v>
      </c>
      <c r="GC17" s="503">
        <f t="shared" si="170"/>
        <v>0</v>
      </c>
      <c r="GD17" s="501"/>
      <c r="GE17" s="502">
        <f t="shared" si="60"/>
        <v>0</v>
      </c>
      <c r="GF17" s="503">
        <f t="shared" si="171"/>
        <v>0</v>
      </c>
      <c r="GG17" s="501"/>
      <c r="GH17" s="502">
        <f t="shared" si="61"/>
        <v>0</v>
      </c>
      <c r="GI17" s="503">
        <f t="shared" si="172"/>
        <v>0</v>
      </c>
      <c r="GJ17" s="501"/>
      <c r="GK17" s="502">
        <f t="shared" si="62"/>
        <v>0</v>
      </c>
      <c r="GL17" s="503">
        <f t="shared" si="173"/>
        <v>0</v>
      </c>
      <c r="GM17" s="501"/>
      <c r="GN17" s="502">
        <f t="shared" si="63"/>
        <v>0</v>
      </c>
      <c r="GO17" s="503">
        <f t="shared" si="174"/>
        <v>0</v>
      </c>
      <c r="GP17" s="501"/>
      <c r="GQ17" s="502">
        <f t="shared" si="64"/>
        <v>0</v>
      </c>
      <c r="GR17" s="503">
        <f t="shared" si="175"/>
        <v>0</v>
      </c>
      <c r="GS17" s="501"/>
      <c r="GT17" s="502">
        <f t="shared" si="65"/>
        <v>0</v>
      </c>
      <c r="GU17" s="503">
        <f t="shared" si="176"/>
        <v>0</v>
      </c>
      <c r="GV17" s="501"/>
      <c r="GW17" s="502">
        <f t="shared" si="66"/>
        <v>0</v>
      </c>
      <c r="GX17" s="503">
        <f t="shared" si="177"/>
        <v>0</v>
      </c>
      <c r="GY17" s="501"/>
      <c r="GZ17" s="502">
        <f t="shared" si="67"/>
        <v>0</v>
      </c>
      <c r="HA17" s="503">
        <f t="shared" si="178"/>
        <v>0</v>
      </c>
      <c r="HB17" s="501"/>
      <c r="HC17" s="502">
        <f t="shared" si="68"/>
        <v>0</v>
      </c>
      <c r="HD17" s="503">
        <f t="shared" si="179"/>
        <v>0</v>
      </c>
      <c r="HE17" s="501"/>
      <c r="HF17" s="502">
        <f t="shared" si="69"/>
        <v>0</v>
      </c>
      <c r="HG17" s="503">
        <f t="shared" si="180"/>
        <v>0</v>
      </c>
      <c r="HH17" s="501"/>
      <c r="HI17" s="502">
        <f t="shared" si="70"/>
        <v>0</v>
      </c>
      <c r="HJ17" s="503">
        <f t="shared" si="181"/>
        <v>0</v>
      </c>
      <c r="HK17" s="501"/>
      <c r="HL17" s="502">
        <f t="shared" si="71"/>
        <v>0</v>
      </c>
      <c r="HM17" s="503">
        <f t="shared" si="182"/>
        <v>0</v>
      </c>
      <c r="HN17" s="501"/>
      <c r="HO17" s="502">
        <f t="shared" si="72"/>
        <v>0</v>
      </c>
      <c r="HP17" s="503">
        <f t="shared" si="183"/>
        <v>0</v>
      </c>
      <c r="HQ17" s="501"/>
      <c r="HR17" s="502">
        <f t="shared" si="73"/>
        <v>0</v>
      </c>
      <c r="HS17" s="503">
        <f t="shared" si="184"/>
        <v>0</v>
      </c>
      <c r="HT17" s="501"/>
      <c r="HU17" s="502">
        <f t="shared" si="74"/>
        <v>0</v>
      </c>
      <c r="HV17" s="503">
        <f t="shared" si="185"/>
        <v>0</v>
      </c>
      <c r="HW17" s="501"/>
      <c r="HX17" s="502">
        <f t="shared" si="75"/>
        <v>0</v>
      </c>
      <c r="HY17" s="503">
        <f t="shared" si="186"/>
        <v>0</v>
      </c>
      <c r="HZ17" s="501"/>
      <c r="IA17" s="502">
        <f t="shared" si="76"/>
        <v>0</v>
      </c>
      <c r="IB17" s="503">
        <f t="shared" si="187"/>
        <v>0</v>
      </c>
      <c r="IC17" s="501"/>
      <c r="ID17" s="502">
        <f t="shared" si="77"/>
        <v>0</v>
      </c>
      <c r="IE17" s="503">
        <f t="shared" si="188"/>
        <v>0</v>
      </c>
      <c r="IF17" s="501"/>
      <c r="IG17" s="502">
        <f t="shared" si="78"/>
        <v>0</v>
      </c>
      <c r="IH17" s="503">
        <f t="shared" si="189"/>
        <v>0</v>
      </c>
      <c r="II17" s="501"/>
      <c r="IJ17" s="502">
        <f t="shared" si="79"/>
        <v>0</v>
      </c>
      <c r="IK17" s="503">
        <f t="shared" si="190"/>
        <v>0</v>
      </c>
      <c r="IL17" s="501"/>
      <c r="IM17" s="502">
        <f t="shared" si="80"/>
        <v>0</v>
      </c>
      <c r="IN17" s="503">
        <f t="shared" si="191"/>
        <v>0</v>
      </c>
      <c r="IO17" s="501"/>
      <c r="IP17" s="502">
        <f t="shared" si="81"/>
        <v>0</v>
      </c>
      <c r="IQ17" s="503">
        <f t="shared" si="192"/>
        <v>0</v>
      </c>
      <c r="IR17" s="501"/>
      <c r="IS17" s="502">
        <f t="shared" si="82"/>
        <v>0</v>
      </c>
      <c r="IT17" s="503">
        <f t="shared" si="193"/>
        <v>0</v>
      </c>
      <c r="IU17" s="501"/>
      <c r="IV17" s="502">
        <f t="shared" si="83"/>
        <v>0</v>
      </c>
      <c r="IW17" s="503">
        <f t="shared" si="194"/>
        <v>0</v>
      </c>
      <c r="IX17" s="501"/>
      <c r="IY17" s="502">
        <f t="shared" si="84"/>
        <v>0</v>
      </c>
      <c r="IZ17" s="503">
        <f t="shared" si="195"/>
        <v>0</v>
      </c>
      <c r="JA17" s="501"/>
      <c r="JB17" s="502">
        <f t="shared" si="85"/>
        <v>0</v>
      </c>
      <c r="JC17" s="503">
        <f t="shared" si="196"/>
        <v>0</v>
      </c>
      <c r="JD17" s="501"/>
      <c r="JE17" s="502">
        <f t="shared" si="86"/>
        <v>0</v>
      </c>
      <c r="JF17" s="503">
        <f t="shared" si="197"/>
        <v>0</v>
      </c>
      <c r="JG17" s="501"/>
      <c r="JH17" s="502">
        <f t="shared" si="87"/>
        <v>0</v>
      </c>
      <c r="JI17" s="503">
        <f t="shared" si="198"/>
        <v>0</v>
      </c>
      <c r="JJ17" s="501"/>
      <c r="JK17" s="503" t="str">
        <f t="shared" si="88"/>
        <v>0</v>
      </c>
      <c r="JL17" s="503" t="str">
        <f t="shared" si="89"/>
        <v>0</v>
      </c>
      <c r="JM17" s="501"/>
      <c r="JN17" s="503" t="str">
        <f t="shared" si="90"/>
        <v>0</v>
      </c>
      <c r="JO17" s="503" t="str">
        <f t="shared" si="91"/>
        <v>0</v>
      </c>
      <c r="JP17" s="501"/>
      <c r="JQ17" s="503" t="str">
        <f t="shared" si="92"/>
        <v>0</v>
      </c>
      <c r="JR17" s="503" t="str">
        <f t="shared" si="93"/>
        <v>0</v>
      </c>
      <c r="JS17" s="501"/>
      <c r="JT17" s="503" t="str">
        <f t="shared" si="94"/>
        <v>0</v>
      </c>
      <c r="JU17" s="503" t="str">
        <f t="shared" si="95"/>
        <v>0</v>
      </c>
      <c r="JV17" s="501"/>
      <c r="JW17" s="503" t="str">
        <f t="shared" si="96"/>
        <v>0</v>
      </c>
      <c r="JX17" s="503" t="str">
        <f t="shared" si="97"/>
        <v>0</v>
      </c>
      <c r="JY17" s="501"/>
      <c r="JZ17" s="503" t="str">
        <f t="shared" si="98"/>
        <v>0</v>
      </c>
      <c r="KA17" s="503" t="str">
        <f t="shared" si="99"/>
        <v>0</v>
      </c>
      <c r="KB17" s="501"/>
      <c r="KC17" s="503" t="str">
        <f t="shared" si="100"/>
        <v>0</v>
      </c>
      <c r="KD17" s="503" t="str">
        <f t="shared" si="101"/>
        <v>0</v>
      </c>
      <c r="KE17" s="501"/>
      <c r="KF17" s="503" t="str">
        <f t="shared" si="102"/>
        <v>0</v>
      </c>
      <c r="KG17" s="503" t="str">
        <f t="shared" si="103"/>
        <v>0</v>
      </c>
      <c r="KH17" s="501"/>
      <c r="KI17" s="503" t="str">
        <f t="shared" si="104"/>
        <v>0</v>
      </c>
      <c r="KJ17" s="503" t="str">
        <f t="shared" si="105"/>
        <v>0</v>
      </c>
      <c r="KK17" s="501"/>
      <c r="KL17" s="503" t="str">
        <f t="shared" si="106"/>
        <v>0</v>
      </c>
      <c r="KM17" s="503" t="str">
        <f t="shared" si="107"/>
        <v>0</v>
      </c>
      <c r="KN17" s="501"/>
      <c r="KO17" s="503" t="str">
        <f t="shared" si="108"/>
        <v>0</v>
      </c>
      <c r="KP17" s="503" t="str">
        <f t="shared" si="109"/>
        <v>0</v>
      </c>
      <c r="KQ17" s="501"/>
      <c r="KR17" s="503" t="str">
        <f t="shared" si="110"/>
        <v>0</v>
      </c>
      <c r="KS17" s="503" t="str">
        <f t="shared" si="111"/>
        <v>0</v>
      </c>
      <c r="KT17" s="503">
        <f t="shared" si="201"/>
        <v>0</v>
      </c>
      <c r="KU17" s="503">
        <f t="shared" si="202"/>
        <v>0</v>
      </c>
      <c r="KV17" s="264">
        <f t="shared" si="199"/>
        <v>335.27659334349266</v>
      </c>
    </row>
    <row r="18" spans="1:308" ht="15" customHeight="1">
      <c r="A18" s="266">
        <f t="shared" si="200"/>
        <v>45939</v>
      </c>
      <c r="B18" s="267" t="str">
        <f>+Report1!B17</f>
        <v>Toilet</v>
      </c>
      <c r="C18" s="395" t="str">
        <f>+Report1!C17</f>
        <v>12,5</v>
      </c>
      <c r="D18" s="268">
        <f>+Report1!P17</f>
        <v>53.849000000000004</v>
      </c>
      <c r="E18" s="269">
        <f>+Report1!R17</f>
        <v>56.942999999999998</v>
      </c>
      <c r="F18" s="501">
        <v>0</v>
      </c>
      <c r="G18" s="502">
        <f t="shared" si="0"/>
        <v>0</v>
      </c>
      <c r="H18" s="503">
        <f t="shared" si="112"/>
        <v>0</v>
      </c>
      <c r="I18" s="501">
        <v>0</v>
      </c>
      <c r="J18" s="502">
        <f t="shared" si="1"/>
        <v>0</v>
      </c>
      <c r="K18" s="503">
        <f t="shared" si="113"/>
        <v>0</v>
      </c>
      <c r="L18" s="501"/>
      <c r="M18" s="502">
        <f t="shared" si="2"/>
        <v>0</v>
      </c>
      <c r="N18" s="503">
        <f t="shared" si="114"/>
        <v>0</v>
      </c>
      <c r="O18" s="501">
        <v>9</v>
      </c>
      <c r="P18" s="502">
        <f t="shared" si="3"/>
        <v>0.158052789631737</v>
      </c>
      <c r="Q18" s="503">
        <f t="shared" si="115"/>
        <v>0</v>
      </c>
      <c r="R18" s="501">
        <v>10.25</v>
      </c>
      <c r="S18" s="502">
        <f t="shared" si="4"/>
        <v>0.18000456596947825</v>
      </c>
      <c r="T18" s="503">
        <f t="shared" si="116"/>
        <v>0</v>
      </c>
      <c r="U18" s="501">
        <v>6.25</v>
      </c>
      <c r="V18" s="502">
        <f t="shared" si="5"/>
        <v>0.10975888168870625</v>
      </c>
      <c r="W18" s="503">
        <f t="shared" si="117"/>
        <v>0</v>
      </c>
      <c r="X18" s="501"/>
      <c r="Y18" s="502">
        <f t="shared" si="6"/>
        <v>0</v>
      </c>
      <c r="Z18" s="503">
        <f t="shared" si="118"/>
        <v>0</v>
      </c>
      <c r="AA18" s="501"/>
      <c r="AB18" s="502">
        <f t="shared" si="7"/>
        <v>0</v>
      </c>
      <c r="AC18" s="503">
        <f t="shared" si="119"/>
        <v>0</v>
      </c>
      <c r="AD18" s="501"/>
      <c r="AE18" s="502">
        <f t="shared" si="8"/>
        <v>0</v>
      </c>
      <c r="AF18" s="503">
        <f t="shared" si="120"/>
        <v>0</v>
      </c>
      <c r="AG18" s="501"/>
      <c r="AH18" s="502">
        <f t="shared" si="9"/>
        <v>0</v>
      </c>
      <c r="AI18" s="503">
        <f t="shared" si="121"/>
        <v>0</v>
      </c>
      <c r="AJ18" s="501"/>
      <c r="AK18" s="502">
        <f t="shared" si="10"/>
        <v>0</v>
      </c>
      <c r="AL18" s="503">
        <f t="shared" si="122"/>
        <v>0</v>
      </c>
      <c r="AM18" s="501">
        <v>31.730769230769283</v>
      </c>
      <c r="AN18" s="502">
        <f t="shared" si="11"/>
        <v>0.55723739934266348</v>
      </c>
      <c r="AO18" s="503">
        <f t="shared" si="123"/>
        <v>0</v>
      </c>
      <c r="AP18" s="501">
        <v>0</v>
      </c>
      <c r="AQ18" s="502">
        <f t="shared" si="12"/>
        <v>0</v>
      </c>
      <c r="AR18" s="503">
        <f t="shared" si="124"/>
        <v>0</v>
      </c>
      <c r="AS18" s="501"/>
      <c r="AT18" s="502">
        <f t="shared" si="13"/>
        <v>0</v>
      </c>
      <c r="AU18" s="503">
        <f t="shared" si="125"/>
        <v>0</v>
      </c>
      <c r="AV18" s="501">
        <v>13.875000000000057</v>
      </c>
      <c r="AW18" s="502">
        <f t="shared" si="14"/>
        <v>0.24366471734892889</v>
      </c>
      <c r="AX18" s="503">
        <f t="shared" si="126"/>
        <v>0</v>
      </c>
      <c r="AY18" s="501">
        <v>60.666666666666629</v>
      </c>
      <c r="AZ18" s="502">
        <f t="shared" si="15"/>
        <v>1.0653928782583748</v>
      </c>
      <c r="BA18" s="503">
        <f t="shared" si="127"/>
        <v>0</v>
      </c>
      <c r="BB18" s="501"/>
      <c r="BC18" s="502">
        <f t="shared" si="16"/>
        <v>0</v>
      </c>
      <c r="BD18" s="503">
        <f t="shared" si="128"/>
        <v>0</v>
      </c>
      <c r="BE18" s="501"/>
      <c r="BF18" s="502">
        <f t="shared" si="17"/>
        <v>0</v>
      </c>
      <c r="BG18" s="503">
        <f t="shared" si="129"/>
        <v>0</v>
      </c>
      <c r="BH18" s="501"/>
      <c r="BI18" s="502">
        <f t="shared" si="18"/>
        <v>0</v>
      </c>
      <c r="BJ18" s="503">
        <f t="shared" si="130"/>
        <v>0</v>
      </c>
      <c r="BK18" s="501"/>
      <c r="BL18" s="502">
        <f t="shared" si="19"/>
        <v>0</v>
      </c>
      <c r="BM18" s="503">
        <f t="shared" si="131"/>
        <v>0</v>
      </c>
      <c r="BN18" s="501">
        <v>10.123456790123456</v>
      </c>
      <c r="BO18" s="502">
        <f t="shared" si="20"/>
        <v>0.17778228737726245</v>
      </c>
      <c r="BP18" s="503">
        <f t="shared" si="132"/>
        <v>0</v>
      </c>
      <c r="BQ18" s="501">
        <v>82.051282051282058</v>
      </c>
      <c r="BR18" s="502">
        <f t="shared" si="21"/>
        <v>1.4409371134517335</v>
      </c>
      <c r="BS18" s="503">
        <f t="shared" si="133"/>
        <v>0</v>
      </c>
      <c r="BT18" s="501"/>
      <c r="BU18" s="502">
        <f t="shared" si="22"/>
        <v>0</v>
      </c>
      <c r="BV18" s="503">
        <f t="shared" si="134"/>
        <v>0</v>
      </c>
      <c r="BW18" s="501"/>
      <c r="BX18" s="502">
        <f t="shared" si="23"/>
        <v>0</v>
      </c>
      <c r="BY18" s="503">
        <f t="shared" si="135"/>
        <v>0</v>
      </c>
      <c r="BZ18" s="501"/>
      <c r="CA18" s="502">
        <f t="shared" si="24"/>
        <v>0</v>
      </c>
      <c r="CB18" s="503">
        <f t="shared" si="136"/>
        <v>0</v>
      </c>
      <c r="CC18" s="501"/>
      <c r="CD18" s="502">
        <f t="shared" si="25"/>
        <v>0</v>
      </c>
      <c r="CE18" s="503">
        <f t="shared" si="137"/>
        <v>0</v>
      </c>
      <c r="CF18" s="501">
        <v>8</v>
      </c>
      <c r="CG18" s="502">
        <f t="shared" si="26"/>
        <v>0.14049136856154401</v>
      </c>
      <c r="CH18" s="503">
        <f t="shared" si="138"/>
        <v>0</v>
      </c>
      <c r="CI18" s="501"/>
      <c r="CJ18" s="502">
        <f t="shared" si="27"/>
        <v>0</v>
      </c>
      <c r="CK18" s="503">
        <f t="shared" si="139"/>
        <v>0</v>
      </c>
      <c r="CL18" s="501"/>
      <c r="CM18" s="502">
        <f t="shared" si="28"/>
        <v>0</v>
      </c>
      <c r="CN18" s="503">
        <f t="shared" si="140"/>
        <v>0</v>
      </c>
      <c r="CO18" s="501"/>
      <c r="CP18" s="502">
        <f t="shared" si="29"/>
        <v>0</v>
      </c>
      <c r="CQ18" s="503">
        <f t="shared" si="141"/>
        <v>0</v>
      </c>
      <c r="CR18" s="501"/>
      <c r="CS18" s="502">
        <f t="shared" si="30"/>
        <v>0</v>
      </c>
      <c r="CT18" s="503">
        <f t="shared" si="142"/>
        <v>0</v>
      </c>
      <c r="CU18" s="501"/>
      <c r="CV18" s="502">
        <f t="shared" si="31"/>
        <v>0</v>
      </c>
      <c r="CW18" s="503">
        <f t="shared" si="143"/>
        <v>0</v>
      </c>
      <c r="CX18" s="501"/>
      <c r="CY18" s="502">
        <f t="shared" si="32"/>
        <v>0</v>
      </c>
      <c r="CZ18" s="503">
        <f t="shared" si="144"/>
        <v>0</v>
      </c>
      <c r="DA18" s="501">
        <v>116.27906976744191</v>
      </c>
      <c r="DB18" s="502">
        <f t="shared" si="33"/>
        <v>2.0420257058363962</v>
      </c>
      <c r="DC18" s="503">
        <f t="shared" si="145"/>
        <v>0</v>
      </c>
      <c r="DD18" s="501"/>
      <c r="DE18" s="502">
        <f t="shared" si="34"/>
        <v>0</v>
      </c>
      <c r="DF18" s="503">
        <f t="shared" si="146"/>
        <v>0</v>
      </c>
      <c r="DG18" s="501"/>
      <c r="DH18" s="502">
        <f t="shared" si="35"/>
        <v>0</v>
      </c>
      <c r="DI18" s="503">
        <f t="shared" si="203"/>
        <v>0</v>
      </c>
      <c r="DJ18" s="501"/>
      <c r="DK18" s="502">
        <f t="shared" si="36"/>
        <v>0</v>
      </c>
      <c r="DL18" s="503">
        <f t="shared" si="147"/>
        <v>0</v>
      </c>
      <c r="DM18" s="501"/>
      <c r="DN18" s="502">
        <f t="shared" si="37"/>
        <v>0</v>
      </c>
      <c r="DO18" s="503">
        <f t="shared" si="148"/>
        <v>0</v>
      </c>
      <c r="DP18" s="501"/>
      <c r="DQ18" s="502">
        <f t="shared" si="38"/>
        <v>0</v>
      </c>
      <c r="DR18" s="503">
        <f t="shared" si="149"/>
        <v>0</v>
      </c>
      <c r="DS18" s="501"/>
      <c r="DT18" s="502">
        <f t="shared" si="39"/>
        <v>0</v>
      </c>
      <c r="DU18" s="503">
        <f t="shared" si="150"/>
        <v>0</v>
      </c>
      <c r="DV18" s="501"/>
      <c r="DW18" s="502">
        <f t="shared" si="40"/>
        <v>0</v>
      </c>
      <c r="DX18" s="503">
        <f t="shared" si="151"/>
        <v>0</v>
      </c>
      <c r="DY18" s="501">
        <v>0</v>
      </c>
      <c r="DZ18" s="502">
        <f t="shared" si="41"/>
        <v>0</v>
      </c>
      <c r="EA18" s="503">
        <f t="shared" si="152"/>
        <v>0</v>
      </c>
      <c r="EB18" s="501">
        <v>14.534883720930281</v>
      </c>
      <c r="EC18" s="502">
        <f t="shared" si="42"/>
        <v>0.2552532132295503</v>
      </c>
      <c r="ED18" s="503">
        <f t="shared" si="153"/>
        <v>0</v>
      </c>
      <c r="EE18" s="501">
        <v>4</v>
      </c>
      <c r="EF18" s="502">
        <f t="shared" si="43"/>
        <v>7.0245684280772006E-2</v>
      </c>
      <c r="EG18" s="503">
        <f t="shared" si="154"/>
        <v>0</v>
      </c>
      <c r="EH18" s="501"/>
      <c r="EI18" s="502">
        <f t="shared" si="44"/>
        <v>0</v>
      </c>
      <c r="EJ18" s="503">
        <f t="shared" si="155"/>
        <v>0</v>
      </c>
      <c r="EK18" s="501"/>
      <c r="EL18" s="502">
        <f t="shared" si="45"/>
        <v>0</v>
      </c>
      <c r="EM18" s="503">
        <f t="shared" si="156"/>
        <v>0</v>
      </c>
      <c r="EN18" s="501"/>
      <c r="EO18" s="502">
        <f t="shared" si="46"/>
        <v>0</v>
      </c>
      <c r="EP18" s="503">
        <f t="shared" si="157"/>
        <v>0</v>
      </c>
      <c r="EQ18" s="501"/>
      <c r="ER18" s="502">
        <f t="shared" si="47"/>
        <v>0</v>
      </c>
      <c r="ES18" s="503">
        <f t="shared" si="158"/>
        <v>0</v>
      </c>
      <c r="ET18" s="501"/>
      <c r="EU18" s="502">
        <f t="shared" si="48"/>
        <v>0</v>
      </c>
      <c r="EV18" s="503">
        <f t="shared" si="159"/>
        <v>0</v>
      </c>
      <c r="EW18" s="501"/>
      <c r="EX18" s="502">
        <f t="shared" si="49"/>
        <v>0</v>
      </c>
      <c r="EY18" s="503">
        <f t="shared" si="160"/>
        <v>0</v>
      </c>
      <c r="EZ18" s="501"/>
      <c r="FA18" s="502">
        <f t="shared" si="50"/>
        <v>0</v>
      </c>
      <c r="FB18" s="503">
        <f t="shared" si="161"/>
        <v>0</v>
      </c>
      <c r="FC18" s="501"/>
      <c r="FD18" s="502">
        <f t="shared" si="51"/>
        <v>0</v>
      </c>
      <c r="FE18" s="503">
        <f t="shared" si="162"/>
        <v>0</v>
      </c>
      <c r="FF18" s="501"/>
      <c r="FG18" s="502">
        <f t="shared" si="52"/>
        <v>0</v>
      </c>
      <c r="FH18" s="503">
        <f t="shared" si="163"/>
        <v>0</v>
      </c>
      <c r="FI18" s="501"/>
      <c r="FJ18" s="502">
        <f t="shared" si="53"/>
        <v>0</v>
      </c>
      <c r="FK18" s="503">
        <f t="shared" si="164"/>
        <v>0</v>
      </c>
      <c r="FL18" s="501"/>
      <c r="FM18" s="502">
        <f t="shared" si="54"/>
        <v>0</v>
      </c>
      <c r="FN18" s="503">
        <f t="shared" si="165"/>
        <v>0</v>
      </c>
      <c r="FO18" s="501"/>
      <c r="FP18" s="502">
        <f t="shared" si="55"/>
        <v>0</v>
      </c>
      <c r="FQ18" s="503">
        <f t="shared" si="166"/>
        <v>0</v>
      </c>
      <c r="FR18" s="501"/>
      <c r="FS18" s="502">
        <f t="shared" si="56"/>
        <v>0</v>
      </c>
      <c r="FT18" s="503">
        <f t="shared" si="167"/>
        <v>0</v>
      </c>
      <c r="FU18" s="501"/>
      <c r="FV18" s="502">
        <f t="shared" si="57"/>
        <v>0</v>
      </c>
      <c r="FW18" s="503">
        <f t="shared" si="168"/>
        <v>0</v>
      </c>
      <c r="FX18" s="501"/>
      <c r="FY18" s="502">
        <f t="shared" si="58"/>
        <v>0</v>
      </c>
      <c r="FZ18" s="503">
        <f t="shared" si="169"/>
        <v>0</v>
      </c>
      <c r="GA18" s="501"/>
      <c r="GB18" s="502">
        <f t="shared" si="59"/>
        <v>0</v>
      </c>
      <c r="GC18" s="503">
        <f t="shared" si="170"/>
        <v>0</v>
      </c>
      <c r="GD18" s="501"/>
      <c r="GE18" s="502">
        <f t="shared" si="60"/>
        <v>0</v>
      </c>
      <c r="GF18" s="503">
        <f t="shared" si="171"/>
        <v>0</v>
      </c>
      <c r="GG18" s="501"/>
      <c r="GH18" s="502">
        <f t="shared" si="61"/>
        <v>0</v>
      </c>
      <c r="GI18" s="503">
        <f t="shared" si="172"/>
        <v>0</v>
      </c>
      <c r="GJ18" s="501"/>
      <c r="GK18" s="502">
        <f t="shared" si="62"/>
        <v>0</v>
      </c>
      <c r="GL18" s="503">
        <f t="shared" si="173"/>
        <v>0</v>
      </c>
      <c r="GM18" s="501"/>
      <c r="GN18" s="502">
        <f t="shared" si="63"/>
        <v>0</v>
      </c>
      <c r="GO18" s="503">
        <f t="shared" si="174"/>
        <v>0</v>
      </c>
      <c r="GP18" s="501"/>
      <c r="GQ18" s="502">
        <f t="shared" si="64"/>
        <v>0</v>
      </c>
      <c r="GR18" s="503">
        <f t="shared" si="175"/>
        <v>0</v>
      </c>
      <c r="GS18" s="501"/>
      <c r="GT18" s="502">
        <f t="shared" si="65"/>
        <v>0</v>
      </c>
      <c r="GU18" s="503">
        <f t="shared" si="176"/>
        <v>0</v>
      </c>
      <c r="GV18" s="501"/>
      <c r="GW18" s="502">
        <f t="shared" si="66"/>
        <v>0</v>
      </c>
      <c r="GX18" s="503">
        <f t="shared" si="177"/>
        <v>0</v>
      </c>
      <c r="GY18" s="501"/>
      <c r="GZ18" s="502">
        <f t="shared" si="67"/>
        <v>0</v>
      </c>
      <c r="HA18" s="503">
        <f t="shared" si="178"/>
        <v>0</v>
      </c>
      <c r="HB18" s="501"/>
      <c r="HC18" s="502">
        <f t="shared" si="68"/>
        <v>0</v>
      </c>
      <c r="HD18" s="503">
        <f t="shared" si="179"/>
        <v>0</v>
      </c>
      <c r="HE18" s="501"/>
      <c r="HF18" s="502">
        <f t="shared" si="69"/>
        <v>0</v>
      </c>
      <c r="HG18" s="503">
        <f t="shared" si="180"/>
        <v>0</v>
      </c>
      <c r="HH18" s="501"/>
      <c r="HI18" s="502">
        <f t="shared" si="70"/>
        <v>0</v>
      </c>
      <c r="HJ18" s="503">
        <f t="shared" si="181"/>
        <v>0</v>
      </c>
      <c r="HK18" s="501"/>
      <c r="HL18" s="502">
        <f t="shared" si="71"/>
        <v>0</v>
      </c>
      <c r="HM18" s="503">
        <f t="shared" si="182"/>
        <v>0</v>
      </c>
      <c r="HN18" s="501"/>
      <c r="HO18" s="502">
        <f t="shared" si="72"/>
        <v>0</v>
      </c>
      <c r="HP18" s="503">
        <f t="shared" si="183"/>
        <v>0</v>
      </c>
      <c r="HQ18" s="501"/>
      <c r="HR18" s="502">
        <f t="shared" si="73"/>
        <v>0</v>
      </c>
      <c r="HS18" s="503">
        <f t="shared" si="184"/>
        <v>0</v>
      </c>
      <c r="HT18" s="501"/>
      <c r="HU18" s="502">
        <f t="shared" si="74"/>
        <v>0</v>
      </c>
      <c r="HV18" s="503">
        <f t="shared" si="185"/>
        <v>0</v>
      </c>
      <c r="HW18" s="501"/>
      <c r="HX18" s="502">
        <f t="shared" si="75"/>
        <v>0</v>
      </c>
      <c r="HY18" s="503">
        <f t="shared" si="186"/>
        <v>0</v>
      </c>
      <c r="HZ18" s="501"/>
      <c r="IA18" s="502">
        <f t="shared" si="76"/>
        <v>0</v>
      </c>
      <c r="IB18" s="503">
        <f t="shared" si="187"/>
        <v>0</v>
      </c>
      <c r="IC18" s="501"/>
      <c r="ID18" s="502">
        <f t="shared" si="77"/>
        <v>0</v>
      </c>
      <c r="IE18" s="503">
        <f t="shared" si="188"/>
        <v>0</v>
      </c>
      <c r="IF18" s="501"/>
      <c r="IG18" s="502">
        <f t="shared" si="78"/>
        <v>0</v>
      </c>
      <c r="IH18" s="503">
        <f t="shared" si="189"/>
        <v>0</v>
      </c>
      <c r="II18" s="501"/>
      <c r="IJ18" s="502">
        <f t="shared" si="79"/>
        <v>0</v>
      </c>
      <c r="IK18" s="503">
        <f t="shared" si="190"/>
        <v>0</v>
      </c>
      <c r="IL18" s="501"/>
      <c r="IM18" s="502">
        <f t="shared" si="80"/>
        <v>0</v>
      </c>
      <c r="IN18" s="503">
        <f t="shared" si="191"/>
        <v>0</v>
      </c>
      <c r="IO18" s="501"/>
      <c r="IP18" s="502">
        <f t="shared" si="81"/>
        <v>0</v>
      </c>
      <c r="IQ18" s="503">
        <f t="shared" si="192"/>
        <v>0</v>
      </c>
      <c r="IR18" s="501"/>
      <c r="IS18" s="502">
        <f t="shared" si="82"/>
        <v>0</v>
      </c>
      <c r="IT18" s="503">
        <f t="shared" si="193"/>
        <v>0</v>
      </c>
      <c r="IU18" s="501"/>
      <c r="IV18" s="502">
        <f t="shared" si="83"/>
        <v>0</v>
      </c>
      <c r="IW18" s="503">
        <f t="shared" si="194"/>
        <v>0</v>
      </c>
      <c r="IX18" s="501"/>
      <c r="IY18" s="502">
        <f t="shared" si="84"/>
        <v>0</v>
      </c>
      <c r="IZ18" s="503">
        <f t="shared" si="195"/>
        <v>0</v>
      </c>
      <c r="JA18" s="501"/>
      <c r="JB18" s="502">
        <f t="shared" si="85"/>
        <v>0</v>
      </c>
      <c r="JC18" s="503">
        <f t="shared" si="196"/>
        <v>0</v>
      </c>
      <c r="JD18" s="501"/>
      <c r="JE18" s="502">
        <f t="shared" si="86"/>
        <v>0</v>
      </c>
      <c r="JF18" s="503">
        <f t="shared" si="197"/>
        <v>0</v>
      </c>
      <c r="JG18" s="501"/>
      <c r="JH18" s="502">
        <f t="shared" si="87"/>
        <v>0</v>
      </c>
      <c r="JI18" s="503">
        <f t="shared" si="198"/>
        <v>0</v>
      </c>
      <c r="JJ18" s="501"/>
      <c r="JK18" s="503" t="str">
        <f t="shared" si="88"/>
        <v>0</v>
      </c>
      <c r="JL18" s="503" t="str">
        <f t="shared" si="89"/>
        <v>0</v>
      </c>
      <c r="JM18" s="501"/>
      <c r="JN18" s="503" t="str">
        <f t="shared" si="90"/>
        <v>0</v>
      </c>
      <c r="JO18" s="503" t="str">
        <f t="shared" si="91"/>
        <v>0</v>
      </c>
      <c r="JP18" s="501"/>
      <c r="JQ18" s="503" t="str">
        <f t="shared" si="92"/>
        <v>0</v>
      </c>
      <c r="JR18" s="503" t="str">
        <f t="shared" si="93"/>
        <v>0</v>
      </c>
      <c r="JS18" s="501"/>
      <c r="JT18" s="503" t="str">
        <f t="shared" si="94"/>
        <v>0</v>
      </c>
      <c r="JU18" s="503" t="str">
        <f t="shared" si="95"/>
        <v>0</v>
      </c>
      <c r="JV18" s="501"/>
      <c r="JW18" s="503" t="str">
        <f t="shared" si="96"/>
        <v>0</v>
      </c>
      <c r="JX18" s="503" t="str">
        <f t="shared" si="97"/>
        <v>0</v>
      </c>
      <c r="JY18" s="501"/>
      <c r="JZ18" s="503" t="str">
        <f t="shared" si="98"/>
        <v>0</v>
      </c>
      <c r="KA18" s="503" t="str">
        <f t="shared" si="99"/>
        <v>0</v>
      </c>
      <c r="KB18" s="501"/>
      <c r="KC18" s="503" t="str">
        <f t="shared" si="100"/>
        <v>0</v>
      </c>
      <c r="KD18" s="503" t="str">
        <f t="shared" si="101"/>
        <v>0</v>
      </c>
      <c r="KE18" s="501"/>
      <c r="KF18" s="503" t="str">
        <f t="shared" si="102"/>
        <v>0</v>
      </c>
      <c r="KG18" s="503" t="str">
        <f t="shared" si="103"/>
        <v>0</v>
      </c>
      <c r="KH18" s="501"/>
      <c r="KI18" s="503" t="str">
        <f t="shared" si="104"/>
        <v>0</v>
      </c>
      <c r="KJ18" s="503" t="str">
        <f t="shared" si="105"/>
        <v>0</v>
      </c>
      <c r="KK18" s="501"/>
      <c r="KL18" s="503" t="str">
        <f t="shared" si="106"/>
        <v>0</v>
      </c>
      <c r="KM18" s="503" t="str">
        <f t="shared" si="107"/>
        <v>0</v>
      </c>
      <c r="KN18" s="501"/>
      <c r="KO18" s="503" t="str">
        <f t="shared" si="108"/>
        <v>0</v>
      </c>
      <c r="KP18" s="503" t="str">
        <f t="shared" si="109"/>
        <v>0</v>
      </c>
      <c r="KQ18" s="501"/>
      <c r="KR18" s="503" t="str">
        <f t="shared" si="110"/>
        <v>0</v>
      </c>
      <c r="KS18" s="503" t="str">
        <f t="shared" si="111"/>
        <v>0</v>
      </c>
      <c r="KT18" s="503">
        <f t="shared" si="201"/>
        <v>0</v>
      </c>
      <c r="KU18" s="503">
        <f t="shared" si="202"/>
        <v>0</v>
      </c>
      <c r="KV18" s="264">
        <f t="shared" si="199"/>
        <v>366.76112822721365</v>
      </c>
    </row>
    <row r="19" spans="1:308" ht="15" customHeight="1">
      <c r="A19" s="266">
        <f t="shared" si="200"/>
        <v>45940</v>
      </c>
      <c r="B19" s="267" t="str">
        <f>+Report1!B18</f>
        <v>Toilet</v>
      </c>
      <c r="C19" s="395" t="str">
        <f>+Report1!C18</f>
        <v>12,5</v>
      </c>
      <c r="D19" s="268">
        <f>+Report1!P18</f>
        <v>49.89800000000001</v>
      </c>
      <c r="E19" s="269">
        <f>+Report1!R18</f>
        <v>40.125</v>
      </c>
      <c r="F19" s="501">
        <v>0</v>
      </c>
      <c r="G19" s="502">
        <f t="shared" si="0"/>
        <v>0</v>
      </c>
      <c r="H19" s="503">
        <f t="shared" si="112"/>
        <v>0</v>
      </c>
      <c r="I19" s="501">
        <v>0</v>
      </c>
      <c r="J19" s="502">
        <f t="shared" si="1"/>
        <v>0</v>
      </c>
      <c r="K19" s="503">
        <f t="shared" si="113"/>
        <v>0</v>
      </c>
      <c r="L19" s="501"/>
      <c r="M19" s="502">
        <f t="shared" si="2"/>
        <v>0</v>
      </c>
      <c r="N19" s="503">
        <f t="shared" si="114"/>
        <v>0</v>
      </c>
      <c r="O19" s="501">
        <v>9</v>
      </c>
      <c r="P19" s="502">
        <f t="shared" si="3"/>
        <v>0.22429906542056074</v>
      </c>
      <c r="Q19" s="503">
        <f t="shared" si="115"/>
        <v>0</v>
      </c>
      <c r="R19" s="501">
        <v>10.25</v>
      </c>
      <c r="S19" s="502">
        <f t="shared" si="4"/>
        <v>0.2554517133956386</v>
      </c>
      <c r="T19" s="503">
        <f t="shared" si="116"/>
        <v>0</v>
      </c>
      <c r="U19" s="501">
        <v>6.2500000000000142</v>
      </c>
      <c r="V19" s="502">
        <f t="shared" si="5"/>
        <v>0.15576323987538976</v>
      </c>
      <c r="W19" s="503">
        <f t="shared" si="117"/>
        <v>0</v>
      </c>
      <c r="X19" s="501"/>
      <c r="Y19" s="502">
        <f t="shared" si="6"/>
        <v>0</v>
      </c>
      <c r="Z19" s="503">
        <f t="shared" si="118"/>
        <v>0</v>
      </c>
      <c r="AA19" s="501"/>
      <c r="AB19" s="502">
        <f t="shared" si="7"/>
        <v>0</v>
      </c>
      <c r="AC19" s="503">
        <f t="shared" si="119"/>
        <v>0</v>
      </c>
      <c r="AD19" s="501"/>
      <c r="AE19" s="502">
        <f t="shared" si="8"/>
        <v>0</v>
      </c>
      <c r="AF19" s="503">
        <f t="shared" si="120"/>
        <v>0</v>
      </c>
      <c r="AG19" s="501"/>
      <c r="AH19" s="502">
        <f t="shared" si="9"/>
        <v>0</v>
      </c>
      <c r="AI19" s="503">
        <f t="shared" si="121"/>
        <v>0</v>
      </c>
      <c r="AJ19" s="501"/>
      <c r="AK19" s="502">
        <f t="shared" si="10"/>
        <v>0</v>
      </c>
      <c r="AL19" s="503">
        <f t="shared" si="122"/>
        <v>0</v>
      </c>
      <c r="AM19" s="501">
        <v>49.03846153846149</v>
      </c>
      <c r="AN19" s="502">
        <f t="shared" si="11"/>
        <v>1.2221423436376695</v>
      </c>
      <c r="AO19" s="503">
        <f t="shared" si="123"/>
        <v>0</v>
      </c>
      <c r="AP19" s="501">
        <v>0</v>
      </c>
      <c r="AQ19" s="502">
        <f t="shared" si="12"/>
        <v>0</v>
      </c>
      <c r="AR19" s="503">
        <f t="shared" si="124"/>
        <v>0</v>
      </c>
      <c r="AS19" s="501"/>
      <c r="AT19" s="502">
        <f t="shared" si="13"/>
        <v>0</v>
      </c>
      <c r="AU19" s="503">
        <f t="shared" si="125"/>
        <v>0</v>
      </c>
      <c r="AV19" s="501">
        <v>13.874999999999943</v>
      </c>
      <c r="AW19" s="502">
        <f t="shared" si="14"/>
        <v>0.34579439252336308</v>
      </c>
      <c r="AX19" s="503">
        <f t="shared" si="126"/>
        <v>0</v>
      </c>
      <c r="AY19" s="501">
        <v>65.333333333333371</v>
      </c>
      <c r="AZ19" s="502">
        <f t="shared" si="15"/>
        <v>1.6282450674974049</v>
      </c>
      <c r="BA19" s="503">
        <f t="shared" si="127"/>
        <v>0</v>
      </c>
      <c r="BB19" s="501"/>
      <c r="BC19" s="502">
        <f t="shared" si="16"/>
        <v>0</v>
      </c>
      <c r="BD19" s="503">
        <f t="shared" si="128"/>
        <v>0</v>
      </c>
      <c r="BE19" s="501"/>
      <c r="BF19" s="502">
        <f t="shared" si="17"/>
        <v>0</v>
      </c>
      <c r="BG19" s="503">
        <f t="shared" si="129"/>
        <v>0</v>
      </c>
      <c r="BH19" s="501"/>
      <c r="BI19" s="502">
        <f t="shared" si="18"/>
        <v>0</v>
      </c>
      <c r="BJ19" s="503">
        <f t="shared" si="130"/>
        <v>0</v>
      </c>
      <c r="BK19" s="501"/>
      <c r="BL19" s="502">
        <f t="shared" si="19"/>
        <v>0</v>
      </c>
      <c r="BM19" s="503">
        <f t="shared" si="131"/>
        <v>0</v>
      </c>
      <c r="BN19" s="501">
        <v>10.123456790123456</v>
      </c>
      <c r="BO19" s="502">
        <f t="shared" si="20"/>
        <v>0.25229798853890234</v>
      </c>
      <c r="BP19" s="503">
        <f t="shared" si="132"/>
        <v>0</v>
      </c>
      <c r="BQ19" s="501">
        <v>0</v>
      </c>
      <c r="BR19" s="502">
        <f t="shared" si="21"/>
        <v>0</v>
      </c>
      <c r="BS19" s="503">
        <f t="shared" si="133"/>
        <v>0</v>
      </c>
      <c r="BT19" s="501"/>
      <c r="BU19" s="502">
        <f t="shared" si="22"/>
        <v>0</v>
      </c>
      <c r="BV19" s="503">
        <f t="shared" si="134"/>
        <v>0</v>
      </c>
      <c r="BW19" s="501"/>
      <c r="BX19" s="502">
        <f t="shared" si="23"/>
        <v>0</v>
      </c>
      <c r="BY19" s="503">
        <f t="shared" si="135"/>
        <v>0</v>
      </c>
      <c r="BZ19" s="501"/>
      <c r="CA19" s="502">
        <f t="shared" si="24"/>
        <v>0</v>
      </c>
      <c r="CB19" s="503">
        <f t="shared" si="136"/>
        <v>0</v>
      </c>
      <c r="CC19" s="501"/>
      <c r="CD19" s="502">
        <f t="shared" si="25"/>
        <v>0</v>
      </c>
      <c r="CE19" s="503">
        <f t="shared" si="137"/>
        <v>0</v>
      </c>
      <c r="CF19" s="501">
        <v>8</v>
      </c>
      <c r="CG19" s="502">
        <f t="shared" si="26"/>
        <v>0.19937694704049844</v>
      </c>
      <c r="CH19" s="503">
        <f t="shared" si="138"/>
        <v>0</v>
      </c>
      <c r="CI19" s="501"/>
      <c r="CJ19" s="502">
        <f t="shared" si="27"/>
        <v>0</v>
      </c>
      <c r="CK19" s="503">
        <f t="shared" si="139"/>
        <v>0</v>
      </c>
      <c r="CL19" s="501"/>
      <c r="CM19" s="502">
        <f t="shared" si="28"/>
        <v>0</v>
      </c>
      <c r="CN19" s="503">
        <f t="shared" si="140"/>
        <v>0</v>
      </c>
      <c r="CO19" s="501"/>
      <c r="CP19" s="502">
        <f t="shared" si="29"/>
        <v>0</v>
      </c>
      <c r="CQ19" s="503">
        <f t="shared" si="141"/>
        <v>0</v>
      </c>
      <c r="CR19" s="501"/>
      <c r="CS19" s="502">
        <f t="shared" si="30"/>
        <v>0</v>
      </c>
      <c r="CT19" s="503">
        <f t="shared" si="142"/>
        <v>0</v>
      </c>
      <c r="CU19" s="501"/>
      <c r="CV19" s="502">
        <f t="shared" si="31"/>
        <v>0</v>
      </c>
      <c r="CW19" s="503">
        <f t="shared" si="143"/>
        <v>0</v>
      </c>
      <c r="CX19" s="501"/>
      <c r="CY19" s="502">
        <f t="shared" si="32"/>
        <v>0</v>
      </c>
      <c r="CZ19" s="503">
        <f t="shared" si="144"/>
        <v>0</v>
      </c>
      <c r="DA19" s="501">
        <v>130.81395348837208</v>
      </c>
      <c r="DB19" s="502">
        <f t="shared" si="33"/>
        <v>3.2601608346011735</v>
      </c>
      <c r="DC19" s="503">
        <f t="shared" si="145"/>
        <v>0</v>
      </c>
      <c r="DD19" s="501"/>
      <c r="DE19" s="502">
        <f t="shared" si="34"/>
        <v>0</v>
      </c>
      <c r="DF19" s="503">
        <f t="shared" si="146"/>
        <v>0</v>
      </c>
      <c r="DG19" s="501"/>
      <c r="DH19" s="502">
        <f t="shared" si="35"/>
        <v>0</v>
      </c>
      <c r="DI19" s="503">
        <f t="shared" si="203"/>
        <v>0</v>
      </c>
      <c r="DJ19" s="501"/>
      <c r="DK19" s="502">
        <f t="shared" si="36"/>
        <v>0</v>
      </c>
      <c r="DL19" s="503">
        <f t="shared" si="147"/>
        <v>0</v>
      </c>
      <c r="DM19" s="501"/>
      <c r="DN19" s="502">
        <f t="shared" si="37"/>
        <v>0</v>
      </c>
      <c r="DO19" s="503">
        <f t="shared" si="148"/>
        <v>0</v>
      </c>
      <c r="DP19" s="501"/>
      <c r="DQ19" s="502">
        <f t="shared" si="38"/>
        <v>0</v>
      </c>
      <c r="DR19" s="503">
        <f t="shared" si="149"/>
        <v>0</v>
      </c>
      <c r="DS19" s="501"/>
      <c r="DT19" s="502">
        <f t="shared" si="39"/>
        <v>0</v>
      </c>
      <c r="DU19" s="503">
        <f t="shared" si="150"/>
        <v>0</v>
      </c>
      <c r="DV19" s="501"/>
      <c r="DW19" s="502">
        <f t="shared" si="40"/>
        <v>0</v>
      </c>
      <c r="DX19" s="503">
        <f t="shared" si="151"/>
        <v>0</v>
      </c>
      <c r="DY19" s="501">
        <v>0</v>
      </c>
      <c r="DZ19" s="502">
        <f t="shared" si="41"/>
        <v>0</v>
      </c>
      <c r="EA19" s="503">
        <f t="shared" si="152"/>
        <v>0</v>
      </c>
      <c r="EB19" s="501">
        <v>14.534883720930225</v>
      </c>
      <c r="EC19" s="502">
        <f t="shared" si="42"/>
        <v>0.36224009273346353</v>
      </c>
      <c r="ED19" s="503">
        <f t="shared" si="153"/>
        <v>0</v>
      </c>
      <c r="EE19" s="501">
        <v>4</v>
      </c>
      <c r="EF19" s="502">
        <f t="shared" si="43"/>
        <v>9.9688473520249218E-2</v>
      </c>
      <c r="EG19" s="503">
        <f t="shared" si="154"/>
        <v>0</v>
      </c>
      <c r="EH19" s="501"/>
      <c r="EI19" s="502">
        <f t="shared" si="44"/>
        <v>0</v>
      </c>
      <c r="EJ19" s="503">
        <f t="shared" si="155"/>
        <v>0</v>
      </c>
      <c r="EK19" s="501"/>
      <c r="EL19" s="502">
        <f t="shared" si="45"/>
        <v>0</v>
      </c>
      <c r="EM19" s="503">
        <f t="shared" si="156"/>
        <v>0</v>
      </c>
      <c r="EN19" s="501"/>
      <c r="EO19" s="502">
        <f t="shared" si="46"/>
        <v>0</v>
      </c>
      <c r="EP19" s="503">
        <f t="shared" si="157"/>
        <v>0</v>
      </c>
      <c r="EQ19" s="501"/>
      <c r="ER19" s="502">
        <f t="shared" si="47"/>
        <v>0</v>
      </c>
      <c r="ES19" s="503">
        <f t="shared" si="158"/>
        <v>0</v>
      </c>
      <c r="ET19" s="501"/>
      <c r="EU19" s="502">
        <f t="shared" si="48"/>
        <v>0</v>
      </c>
      <c r="EV19" s="503">
        <f t="shared" si="159"/>
        <v>0</v>
      </c>
      <c r="EW19" s="501"/>
      <c r="EX19" s="502">
        <f t="shared" si="49"/>
        <v>0</v>
      </c>
      <c r="EY19" s="503">
        <f t="shared" si="160"/>
        <v>0</v>
      </c>
      <c r="EZ19" s="501"/>
      <c r="FA19" s="502">
        <f t="shared" si="50"/>
        <v>0</v>
      </c>
      <c r="FB19" s="503">
        <f t="shared" si="161"/>
        <v>0</v>
      </c>
      <c r="FC19" s="501"/>
      <c r="FD19" s="502">
        <f t="shared" si="51"/>
        <v>0</v>
      </c>
      <c r="FE19" s="503">
        <f t="shared" si="162"/>
        <v>0</v>
      </c>
      <c r="FF19" s="501"/>
      <c r="FG19" s="502">
        <f t="shared" si="52"/>
        <v>0</v>
      </c>
      <c r="FH19" s="503">
        <f t="shared" si="163"/>
        <v>0</v>
      </c>
      <c r="FI19" s="501"/>
      <c r="FJ19" s="502">
        <f t="shared" si="53"/>
        <v>0</v>
      </c>
      <c r="FK19" s="503">
        <f t="shared" si="164"/>
        <v>0</v>
      </c>
      <c r="FL19" s="501"/>
      <c r="FM19" s="502">
        <f t="shared" si="54"/>
        <v>0</v>
      </c>
      <c r="FN19" s="503">
        <f t="shared" si="165"/>
        <v>0</v>
      </c>
      <c r="FO19" s="501"/>
      <c r="FP19" s="502">
        <f t="shared" si="55"/>
        <v>0</v>
      </c>
      <c r="FQ19" s="503">
        <f t="shared" si="166"/>
        <v>0</v>
      </c>
      <c r="FR19" s="501"/>
      <c r="FS19" s="502">
        <f t="shared" si="56"/>
        <v>0</v>
      </c>
      <c r="FT19" s="503">
        <f t="shared" si="167"/>
        <v>0</v>
      </c>
      <c r="FU19" s="501"/>
      <c r="FV19" s="502">
        <f t="shared" si="57"/>
        <v>0</v>
      </c>
      <c r="FW19" s="503">
        <f t="shared" si="168"/>
        <v>0</v>
      </c>
      <c r="FX19" s="501"/>
      <c r="FY19" s="502">
        <f t="shared" si="58"/>
        <v>0</v>
      </c>
      <c r="FZ19" s="503">
        <f t="shared" si="169"/>
        <v>0</v>
      </c>
      <c r="GA19" s="501"/>
      <c r="GB19" s="502">
        <f t="shared" si="59"/>
        <v>0</v>
      </c>
      <c r="GC19" s="503">
        <f t="shared" si="170"/>
        <v>0</v>
      </c>
      <c r="GD19" s="501"/>
      <c r="GE19" s="502">
        <f t="shared" si="60"/>
        <v>0</v>
      </c>
      <c r="GF19" s="503">
        <f t="shared" si="171"/>
        <v>0</v>
      </c>
      <c r="GG19" s="501"/>
      <c r="GH19" s="502">
        <f t="shared" si="61"/>
        <v>0</v>
      </c>
      <c r="GI19" s="503">
        <f t="shared" si="172"/>
        <v>0</v>
      </c>
      <c r="GJ19" s="501"/>
      <c r="GK19" s="502">
        <f t="shared" si="62"/>
        <v>0</v>
      </c>
      <c r="GL19" s="503">
        <f t="shared" si="173"/>
        <v>0</v>
      </c>
      <c r="GM19" s="501"/>
      <c r="GN19" s="502">
        <f t="shared" si="63"/>
        <v>0</v>
      </c>
      <c r="GO19" s="503">
        <f t="shared" si="174"/>
        <v>0</v>
      </c>
      <c r="GP19" s="501"/>
      <c r="GQ19" s="502">
        <f t="shared" si="64"/>
        <v>0</v>
      </c>
      <c r="GR19" s="503">
        <f t="shared" si="175"/>
        <v>0</v>
      </c>
      <c r="GS19" s="501"/>
      <c r="GT19" s="502">
        <f t="shared" si="65"/>
        <v>0</v>
      </c>
      <c r="GU19" s="503">
        <f t="shared" si="176"/>
        <v>0</v>
      </c>
      <c r="GV19" s="501"/>
      <c r="GW19" s="502">
        <f t="shared" si="66"/>
        <v>0</v>
      </c>
      <c r="GX19" s="503">
        <f t="shared" si="177"/>
        <v>0</v>
      </c>
      <c r="GY19" s="501"/>
      <c r="GZ19" s="502">
        <f t="shared" si="67"/>
        <v>0</v>
      </c>
      <c r="HA19" s="503">
        <f t="shared" si="178"/>
        <v>0</v>
      </c>
      <c r="HB19" s="501"/>
      <c r="HC19" s="502">
        <f t="shared" si="68"/>
        <v>0</v>
      </c>
      <c r="HD19" s="503">
        <f t="shared" si="179"/>
        <v>0</v>
      </c>
      <c r="HE19" s="501"/>
      <c r="HF19" s="502">
        <f t="shared" si="69"/>
        <v>0</v>
      </c>
      <c r="HG19" s="503">
        <f t="shared" si="180"/>
        <v>0</v>
      </c>
      <c r="HH19" s="501"/>
      <c r="HI19" s="502">
        <f t="shared" si="70"/>
        <v>0</v>
      </c>
      <c r="HJ19" s="503">
        <f t="shared" si="181"/>
        <v>0</v>
      </c>
      <c r="HK19" s="501"/>
      <c r="HL19" s="502">
        <f t="shared" si="71"/>
        <v>0</v>
      </c>
      <c r="HM19" s="503">
        <f t="shared" si="182"/>
        <v>0</v>
      </c>
      <c r="HN19" s="501"/>
      <c r="HO19" s="502">
        <f t="shared" si="72"/>
        <v>0</v>
      </c>
      <c r="HP19" s="503">
        <f t="shared" si="183"/>
        <v>0</v>
      </c>
      <c r="HQ19" s="501"/>
      <c r="HR19" s="502">
        <f t="shared" si="73"/>
        <v>0</v>
      </c>
      <c r="HS19" s="503">
        <f t="shared" si="184"/>
        <v>0</v>
      </c>
      <c r="HT19" s="501"/>
      <c r="HU19" s="502">
        <f t="shared" si="74"/>
        <v>0</v>
      </c>
      <c r="HV19" s="503">
        <f t="shared" si="185"/>
        <v>0</v>
      </c>
      <c r="HW19" s="501"/>
      <c r="HX19" s="502">
        <f t="shared" si="75"/>
        <v>0</v>
      </c>
      <c r="HY19" s="503">
        <f t="shared" si="186"/>
        <v>0</v>
      </c>
      <c r="HZ19" s="501"/>
      <c r="IA19" s="502">
        <f t="shared" si="76"/>
        <v>0</v>
      </c>
      <c r="IB19" s="503">
        <f t="shared" si="187"/>
        <v>0</v>
      </c>
      <c r="IC19" s="501"/>
      <c r="ID19" s="502">
        <f t="shared" si="77"/>
        <v>0</v>
      </c>
      <c r="IE19" s="503">
        <f t="shared" si="188"/>
        <v>0</v>
      </c>
      <c r="IF19" s="501"/>
      <c r="IG19" s="502">
        <f t="shared" si="78"/>
        <v>0</v>
      </c>
      <c r="IH19" s="503">
        <f t="shared" si="189"/>
        <v>0</v>
      </c>
      <c r="II19" s="501"/>
      <c r="IJ19" s="502">
        <f t="shared" si="79"/>
        <v>0</v>
      </c>
      <c r="IK19" s="503">
        <f t="shared" si="190"/>
        <v>0</v>
      </c>
      <c r="IL19" s="501"/>
      <c r="IM19" s="502">
        <f t="shared" si="80"/>
        <v>0</v>
      </c>
      <c r="IN19" s="503">
        <f t="shared" si="191"/>
        <v>0</v>
      </c>
      <c r="IO19" s="501"/>
      <c r="IP19" s="502">
        <f t="shared" si="81"/>
        <v>0</v>
      </c>
      <c r="IQ19" s="503">
        <f t="shared" si="192"/>
        <v>0</v>
      </c>
      <c r="IR19" s="501"/>
      <c r="IS19" s="502">
        <f t="shared" si="82"/>
        <v>0</v>
      </c>
      <c r="IT19" s="503">
        <f t="shared" si="193"/>
        <v>0</v>
      </c>
      <c r="IU19" s="501"/>
      <c r="IV19" s="502">
        <f t="shared" si="83"/>
        <v>0</v>
      </c>
      <c r="IW19" s="503">
        <f t="shared" si="194"/>
        <v>0</v>
      </c>
      <c r="IX19" s="501"/>
      <c r="IY19" s="502">
        <f t="shared" si="84"/>
        <v>0</v>
      </c>
      <c r="IZ19" s="503">
        <f t="shared" si="195"/>
        <v>0</v>
      </c>
      <c r="JA19" s="501"/>
      <c r="JB19" s="502">
        <f t="shared" si="85"/>
        <v>0</v>
      </c>
      <c r="JC19" s="503">
        <f t="shared" si="196"/>
        <v>0</v>
      </c>
      <c r="JD19" s="501"/>
      <c r="JE19" s="502">
        <f t="shared" si="86"/>
        <v>0</v>
      </c>
      <c r="JF19" s="503">
        <f t="shared" si="197"/>
        <v>0</v>
      </c>
      <c r="JG19" s="501"/>
      <c r="JH19" s="502">
        <f t="shared" si="87"/>
        <v>0</v>
      </c>
      <c r="JI19" s="503">
        <f t="shared" si="198"/>
        <v>0</v>
      </c>
      <c r="JJ19" s="501"/>
      <c r="JK19" s="503" t="str">
        <f t="shared" si="88"/>
        <v>0</v>
      </c>
      <c r="JL19" s="503" t="str">
        <f t="shared" si="89"/>
        <v>0</v>
      </c>
      <c r="JM19" s="501"/>
      <c r="JN19" s="503" t="str">
        <f t="shared" si="90"/>
        <v>0</v>
      </c>
      <c r="JO19" s="503" t="str">
        <f t="shared" si="91"/>
        <v>0</v>
      </c>
      <c r="JP19" s="501"/>
      <c r="JQ19" s="503" t="str">
        <f t="shared" si="92"/>
        <v>0</v>
      </c>
      <c r="JR19" s="503" t="str">
        <f t="shared" si="93"/>
        <v>0</v>
      </c>
      <c r="JS19" s="501"/>
      <c r="JT19" s="503" t="str">
        <f t="shared" si="94"/>
        <v>0</v>
      </c>
      <c r="JU19" s="503" t="str">
        <f t="shared" si="95"/>
        <v>0</v>
      </c>
      <c r="JV19" s="501"/>
      <c r="JW19" s="503" t="str">
        <f t="shared" si="96"/>
        <v>0</v>
      </c>
      <c r="JX19" s="503" t="str">
        <f t="shared" si="97"/>
        <v>0</v>
      </c>
      <c r="JY19" s="501"/>
      <c r="JZ19" s="503" t="str">
        <f t="shared" si="98"/>
        <v>0</v>
      </c>
      <c r="KA19" s="503" t="str">
        <f t="shared" si="99"/>
        <v>0</v>
      </c>
      <c r="KB19" s="501"/>
      <c r="KC19" s="503" t="str">
        <f t="shared" si="100"/>
        <v>0</v>
      </c>
      <c r="KD19" s="503" t="str">
        <f t="shared" si="101"/>
        <v>0</v>
      </c>
      <c r="KE19" s="501"/>
      <c r="KF19" s="503" t="str">
        <f t="shared" si="102"/>
        <v>0</v>
      </c>
      <c r="KG19" s="503" t="str">
        <f t="shared" si="103"/>
        <v>0</v>
      </c>
      <c r="KH19" s="501"/>
      <c r="KI19" s="503" t="str">
        <f t="shared" si="104"/>
        <v>0</v>
      </c>
      <c r="KJ19" s="503" t="str">
        <f t="shared" si="105"/>
        <v>0</v>
      </c>
      <c r="KK19" s="501"/>
      <c r="KL19" s="503" t="str">
        <f t="shared" si="106"/>
        <v>0</v>
      </c>
      <c r="KM19" s="503" t="str">
        <f t="shared" si="107"/>
        <v>0</v>
      </c>
      <c r="KN19" s="501"/>
      <c r="KO19" s="503" t="str">
        <f t="shared" si="108"/>
        <v>0</v>
      </c>
      <c r="KP19" s="503" t="str">
        <f t="shared" si="109"/>
        <v>0</v>
      </c>
      <c r="KQ19" s="501"/>
      <c r="KR19" s="503" t="str">
        <f t="shared" si="110"/>
        <v>0</v>
      </c>
      <c r="KS19" s="503" t="str">
        <f t="shared" si="111"/>
        <v>0</v>
      </c>
      <c r="KT19" s="503">
        <f t="shared" si="201"/>
        <v>0</v>
      </c>
      <c r="KU19" s="503">
        <f t="shared" si="202"/>
        <v>0</v>
      </c>
      <c r="KV19" s="264">
        <f t="shared" si="199"/>
        <v>321.21908887122055</v>
      </c>
    </row>
    <row r="20" spans="1:308" ht="15" customHeight="1">
      <c r="A20" s="266">
        <f t="shared" si="200"/>
        <v>45941</v>
      </c>
      <c r="B20" s="267" t="str">
        <f>+Report1!B19</f>
        <v>Toilet</v>
      </c>
      <c r="C20" s="395" t="str">
        <f>+Report1!C19</f>
        <v>12,5/14</v>
      </c>
      <c r="D20" s="268">
        <f>+Report1!P19</f>
        <v>51.078000000000003</v>
      </c>
      <c r="E20" s="269">
        <f>+Report1!R19</f>
        <v>53.558</v>
      </c>
      <c r="F20" s="501">
        <v>0</v>
      </c>
      <c r="G20" s="502">
        <f t="shared" si="0"/>
        <v>0</v>
      </c>
      <c r="H20" s="503">
        <f t="shared" si="112"/>
        <v>0</v>
      </c>
      <c r="I20" s="501">
        <v>0</v>
      </c>
      <c r="J20" s="502">
        <f t="shared" si="1"/>
        <v>0</v>
      </c>
      <c r="K20" s="503">
        <f t="shared" si="113"/>
        <v>0</v>
      </c>
      <c r="L20" s="501"/>
      <c r="M20" s="502">
        <f t="shared" si="2"/>
        <v>0</v>
      </c>
      <c r="N20" s="503">
        <f t="shared" si="114"/>
        <v>0</v>
      </c>
      <c r="O20" s="501">
        <v>12</v>
      </c>
      <c r="P20" s="502">
        <f t="shared" si="3"/>
        <v>0.22405616341162851</v>
      </c>
      <c r="Q20" s="503">
        <f t="shared" si="115"/>
        <v>0</v>
      </c>
      <c r="R20" s="501">
        <v>7.6875</v>
      </c>
      <c r="S20" s="502">
        <f t="shared" si="4"/>
        <v>0.14353597968557452</v>
      </c>
      <c r="T20" s="503">
        <f t="shared" si="116"/>
        <v>0</v>
      </c>
      <c r="U20" s="501">
        <v>6.25</v>
      </c>
      <c r="V20" s="502">
        <f t="shared" si="5"/>
        <v>0.11669591844355652</v>
      </c>
      <c r="W20" s="503">
        <f t="shared" si="117"/>
        <v>0</v>
      </c>
      <c r="X20" s="501"/>
      <c r="Y20" s="502">
        <f t="shared" si="6"/>
        <v>0</v>
      </c>
      <c r="Z20" s="503">
        <f t="shared" si="118"/>
        <v>0</v>
      </c>
      <c r="AA20" s="501"/>
      <c r="AB20" s="502">
        <f t="shared" si="7"/>
        <v>0</v>
      </c>
      <c r="AC20" s="503">
        <f t="shared" si="119"/>
        <v>0</v>
      </c>
      <c r="AD20" s="501"/>
      <c r="AE20" s="502">
        <f t="shared" si="8"/>
        <v>0</v>
      </c>
      <c r="AF20" s="503">
        <f t="shared" si="120"/>
        <v>0</v>
      </c>
      <c r="AG20" s="501"/>
      <c r="AH20" s="502">
        <f t="shared" si="9"/>
        <v>0</v>
      </c>
      <c r="AI20" s="503">
        <f t="shared" si="121"/>
        <v>0</v>
      </c>
      <c r="AJ20" s="501"/>
      <c r="AK20" s="502">
        <f t="shared" si="10"/>
        <v>0</v>
      </c>
      <c r="AL20" s="503">
        <f t="shared" si="122"/>
        <v>0</v>
      </c>
      <c r="AM20" s="501">
        <v>58.117246153846111</v>
      </c>
      <c r="AN20" s="502">
        <f t="shared" si="11"/>
        <v>1.0851272667733318</v>
      </c>
      <c r="AO20" s="503">
        <f t="shared" si="123"/>
        <v>0</v>
      </c>
      <c r="AP20" s="501">
        <v>0</v>
      </c>
      <c r="AQ20" s="502">
        <f t="shared" si="12"/>
        <v>0</v>
      </c>
      <c r="AR20" s="503">
        <f t="shared" si="124"/>
        <v>0</v>
      </c>
      <c r="AS20" s="501"/>
      <c r="AT20" s="502">
        <f t="shared" si="13"/>
        <v>0</v>
      </c>
      <c r="AU20" s="503">
        <f t="shared" si="125"/>
        <v>0</v>
      </c>
      <c r="AV20" s="501">
        <v>13.875000000000057</v>
      </c>
      <c r="AW20" s="502">
        <f t="shared" si="14"/>
        <v>0.25906493894469651</v>
      </c>
      <c r="AX20" s="503">
        <f t="shared" si="126"/>
        <v>0</v>
      </c>
      <c r="AY20" s="501">
        <v>65.816399999999931</v>
      </c>
      <c r="AZ20" s="502">
        <f t="shared" si="15"/>
        <v>1.2288808394637576</v>
      </c>
      <c r="BA20" s="503">
        <f t="shared" si="127"/>
        <v>0</v>
      </c>
      <c r="BB20" s="501"/>
      <c r="BC20" s="502">
        <f t="shared" si="16"/>
        <v>0</v>
      </c>
      <c r="BD20" s="503">
        <f t="shared" si="128"/>
        <v>0</v>
      </c>
      <c r="BE20" s="501"/>
      <c r="BF20" s="502">
        <f t="shared" si="17"/>
        <v>0</v>
      </c>
      <c r="BG20" s="503">
        <f t="shared" si="129"/>
        <v>0</v>
      </c>
      <c r="BH20" s="501"/>
      <c r="BI20" s="502">
        <f t="shared" si="18"/>
        <v>0</v>
      </c>
      <c r="BJ20" s="503">
        <f t="shared" si="130"/>
        <v>0</v>
      </c>
      <c r="BK20" s="501"/>
      <c r="BL20" s="502">
        <f t="shared" si="19"/>
        <v>0</v>
      </c>
      <c r="BM20" s="503">
        <f t="shared" si="131"/>
        <v>0</v>
      </c>
      <c r="BN20" s="501">
        <v>10.123456790123456</v>
      </c>
      <c r="BO20" s="502">
        <f t="shared" si="20"/>
        <v>0.18901857407153844</v>
      </c>
      <c r="BP20" s="503">
        <f t="shared" si="132"/>
        <v>0</v>
      </c>
      <c r="BQ20" s="501">
        <v>0</v>
      </c>
      <c r="BR20" s="502">
        <f t="shared" si="21"/>
        <v>0</v>
      </c>
      <c r="BS20" s="503">
        <f t="shared" si="133"/>
        <v>0</v>
      </c>
      <c r="BT20" s="501"/>
      <c r="BU20" s="502">
        <f t="shared" si="22"/>
        <v>0</v>
      </c>
      <c r="BV20" s="503">
        <f t="shared" si="134"/>
        <v>0</v>
      </c>
      <c r="BW20" s="501"/>
      <c r="BX20" s="502">
        <f t="shared" si="23"/>
        <v>0</v>
      </c>
      <c r="BY20" s="503">
        <f t="shared" si="135"/>
        <v>0</v>
      </c>
      <c r="BZ20" s="501"/>
      <c r="CA20" s="502">
        <f t="shared" si="24"/>
        <v>0</v>
      </c>
      <c r="CB20" s="503">
        <f t="shared" si="136"/>
        <v>0</v>
      </c>
      <c r="CC20" s="501"/>
      <c r="CD20" s="502">
        <f t="shared" si="25"/>
        <v>0</v>
      </c>
      <c r="CE20" s="503">
        <f t="shared" si="137"/>
        <v>0</v>
      </c>
      <c r="CF20" s="501">
        <v>8</v>
      </c>
      <c r="CG20" s="502">
        <f t="shared" si="26"/>
        <v>0.14937077560775233</v>
      </c>
      <c r="CH20" s="503">
        <f t="shared" si="138"/>
        <v>0</v>
      </c>
      <c r="CI20" s="501"/>
      <c r="CJ20" s="502">
        <f t="shared" si="27"/>
        <v>0</v>
      </c>
      <c r="CK20" s="503">
        <f t="shared" si="139"/>
        <v>0</v>
      </c>
      <c r="CL20" s="501"/>
      <c r="CM20" s="502">
        <f t="shared" si="28"/>
        <v>0</v>
      </c>
      <c r="CN20" s="503">
        <f t="shared" si="140"/>
        <v>0</v>
      </c>
      <c r="CO20" s="501"/>
      <c r="CP20" s="502">
        <f t="shared" si="29"/>
        <v>0</v>
      </c>
      <c r="CQ20" s="503">
        <f t="shared" si="141"/>
        <v>0</v>
      </c>
      <c r="CR20" s="501"/>
      <c r="CS20" s="502">
        <f t="shared" si="30"/>
        <v>0</v>
      </c>
      <c r="CT20" s="503">
        <f t="shared" si="142"/>
        <v>0</v>
      </c>
      <c r="CU20" s="501"/>
      <c r="CV20" s="502">
        <f t="shared" si="31"/>
        <v>0</v>
      </c>
      <c r="CW20" s="503">
        <f t="shared" si="143"/>
        <v>0</v>
      </c>
      <c r="CX20" s="501"/>
      <c r="CY20" s="502">
        <f t="shared" si="32"/>
        <v>0</v>
      </c>
      <c r="CZ20" s="503">
        <f t="shared" si="144"/>
        <v>0</v>
      </c>
      <c r="DA20" s="501">
        <v>135.19920930232558</v>
      </c>
      <c r="DB20" s="502">
        <f t="shared" si="33"/>
        <v>2.5243513443804022</v>
      </c>
      <c r="DC20" s="503">
        <f t="shared" si="145"/>
        <v>0</v>
      </c>
      <c r="DD20" s="501"/>
      <c r="DE20" s="502">
        <f t="shared" si="34"/>
        <v>0</v>
      </c>
      <c r="DF20" s="503">
        <f t="shared" si="146"/>
        <v>0</v>
      </c>
      <c r="DG20" s="501"/>
      <c r="DH20" s="502">
        <f t="shared" si="35"/>
        <v>0</v>
      </c>
      <c r="DI20" s="503">
        <f t="shared" si="203"/>
        <v>0</v>
      </c>
      <c r="DJ20" s="501"/>
      <c r="DK20" s="502">
        <f t="shared" si="36"/>
        <v>0</v>
      </c>
      <c r="DL20" s="503">
        <f t="shared" si="147"/>
        <v>0</v>
      </c>
      <c r="DM20" s="501"/>
      <c r="DN20" s="502">
        <f t="shared" si="37"/>
        <v>0</v>
      </c>
      <c r="DO20" s="503">
        <f t="shared" si="148"/>
        <v>0</v>
      </c>
      <c r="DP20" s="501"/>
      <c r="DQ20" s="502">
        <f t="shared" si="38"/>
        <v>0</v>
      </c>
      <c r="DR20" s="503">
        <f t="shared" si="149"/>
        <v>0</v>
      </c>
      <c r="DS20" s="501"/>
      <c r="DT20" s="502">
        <f t="shared" si="39"/>
        <v>0</v>
      </c>
      <c r="DU20" s="503">
        <f t="shared" si="150"/>
        <v>0</v>
      </c>
      <c r="DV20" s="501"/>
      <c r="DW20" s="502">
        <f t="shared" si="40"/>
        <v>0</v>
      </c>
      <c r="DX20" s="503">
        <f t="shared" si="151"/>
        <v>0</v>
      </c>
      <c r="DY20" s="501">
        <v>0</v>
      </c>
      <c r="DZ20" s="502">
        <f t="shared" si="41"/>
        <v>0</v>
      </c>
      <c r="EA20" s="503">
        <f t="shared" si="152"/>
        <v>0</v>
      </c>
      <c r="EB20" s="501">
        <v>14.534883720930225</v>
      </c>
      <c r="EC20" s="502">
        <f t="shared" si="42"/>
        <v>0.27138585684548011</v>
      </c>
      <c r="ED20" s="503">
        <f t="shared" si="153"/>
        <v>0</v>
      </c>
      <c r="EE20" s="501">
        <v>4</v>
      </c>
      <c r="EF20" s="502">
        <f t="shared" si="43"/>
        <v>7.4685387803876166E-2</v>
      </c>
      <c r="EG20" s="503">
        <f t="shared" si="154"/>
        <v>0</v>
      </c>
      <c r="EH20" s="501"/>
      <c r="EI20" s="502">
        <f t="shared" si="44"/>
        <v>0</v>
      </c>
      <c r="EJ20" s="503">
        <f t="shared" si="155"/>
        <v>0</v>
      </c>
      <c r="EK20" s="501"/>
      <c r="EL20" s="502">
        <f t="shared" si="45"/>
        <v>0</v>
      </c>
      <c r="EM20" s="503">
        <f t="shared" si="156"/>
        <v>0</v>
      </c>
      <c r="EN20" s="501"/>
      <c r="EO20" s="502">
        <f t="shared" si="46"/>
        <v>0</v>
      </c>
      <c r="EP20" s="503">
        <f t="shared" si="157"/>
        <v>0</v>
      </c>
      <c r="EQ20" s="501"/>
      <c r="ER20" s="502">
        <f t="shared" si="47"/>
        <v>0</v>
      </c>
      <c r="ES20" s="503">
        <f t="shared" si="158"/>
        <v>0</v>
      </c>
      <c r="ET20" s="501"/>
      <c r="EU20" s="502">
        <f t="shared" si="48"/>
        <v>0</v>
      </c>
      <c r="EV20" s="503">
        <f t="shared" si="159"/>
        <v>0</v>
      </c>
      <c r="EW20" s="501"/>
      <c r="EX20" s="502">
        <f t="shared" si="49"/>
        <v>0</v>
      </c>
      <c r="EY20" s="503">
        <f t="shared" si="160"/>
        <v>0</v>
      </c>
      <c r="EZ20" s="501"/>
      <c r="FA20" s="502">
        <f t="shared" si="50"/>
        <v>0</v>
      </c>
      <c r="FB20" s="503">
        <f t="shared" si="161"/>
        <v>0</v>
      </c>
      <c r="FC20" s="501"/>
      <c r="FD20" s="502">
        <f t="shared" si="51"/>
        <v>0</v>
      </c>
      <c r="FE20" s="503">
        <f t="shared" si="162"/>
        <v>0</v>
      </c>
      <c r="FF20" s="501"/>
      <c r="FG20" s="502">
        <f t="shared" si="52"/>
        <v>0</v>
      </c>
      <c r="FH20" s="503">
        <f t="shared" si="163"/>
        <v>0</v>
      </c>
      <c r="FI20" s="501"/>
      <c r="FJ20" s="502">
        <f t="shared" si="53"/>
        <v>0</v>
      </c>
      <c r="FK20" s="503">
        <f t="shared" si="164"/>
        <v>0</v>
      </c>
      <c r="FL20" s="501"/>
      <c r="FM20" s="502">
        <f t="shared" si="54"/>
        <v>0</v>
      </c>
      <c r="FN20" s="503">
        <f t="shared" si="165"/>
        <v>0</v>
      </c>
      <c r="FO20" s="501"/>
      <c r="FP20" s="502">
        <f t="shared" si="55"/>
        <v>0</v>
      </c>
      <c r="FQ20" s="503">
        <f t="shared" si="166"/>
        <v>0</v>
      </c>
      <c r="FR20" s="501"/>
      <c r="FS20" s="502">
        <f t="shared" si="56"/>
        <v>0</v>
      </c>
      <c r="FT20" s="503">
        <f t="shared" si="167"/>
        <v>0</v>
      </c>
      <c r="FU20" s="501"/>
      <c r="FV20" s="502">
        <f t="shared" si="57"/>
        <v>0</v>
      </c>
      <c r="FW20" s="503">
        <f t="shared" si="168"/>
        <v>0</v>
      </c>
      <c r="FX20" s="501"/>
      <c r="FY20" s="502">
        <f t="shared" si="58"/>
        <v>0</v>
      </c>
      <c r="FZ20" s="503">
        <f t="shared" si="169"/>
        <v>0</v>
      </c>
      <c r="GA20" s="501"/>
      <c r="GB20" s="502">
        <f t="shared" si="59"/>
        <v>0</v>
      </c>
      <c r="GC20" s="503">
        <f t="shared" si="170"/>
        <v>0</v>
      </c>
      <c r="GD20" s="501"/>
      <c r="GE20" s="502">
        <f t="shared" si="60"/>
        <v>0</v>
      </c>
      <c r="GF20" s="503">
        <f t="shared" si="171"/>
        <v>0</v>
      </c>
      <c r="GG20" s="501"/>
      <c r="GH20" s="502">
        <f t="shared" si="61"/>
        <v>0</v>
      </c>
      <c r="GI20" s="503">
        <f t="shared" si="172"/>
        <v>0</v>
      </c>
      <c r="GJ20" s="501"/>
      <c r="GK20" s="502">
        <f t="shared" si="62"/>
        <v>0</v>
      </c>
      <c r="GL20" s="503">
        <f t="shared" si="173"/>
        <v>0</v>
      </c>
      <c r="GM20" s="501"/>
      <c r="GN20" s="502">
        <f t="shared" si="63"/>
        <v>0</v>
      </c>
      <c r="GO20" s="503">
        <f t="shared" si="174"/>
        <v>0</v>
      </c>
      <c r="GP20" s="501"/>
      <c r="GQ20" s="502">
        <f t="shared" si="64"/>
        <v>0</v>
      </c>
      <c r="GR20" s="503">
        <f t="shared" si="175"/>
        <v>0</v>
      </c>
      <c r="GS20" s="501"/>
      <c r="GT20" s="502">
        <f t="shared" si="65"/>
        <v>0</v>
      </c>
      <c r="GU20" s="503">
        <f t="shared" si="176"/>
        <v>0</v>
      </c>
      <c r="GV20" s="501"/>
      <c r="GW20" s="502">
        <f t="shared" si="66"/>
        <v>0</v>
      </c>
      <c r="GX20" s="503">
        <f t="shared" si="177"/>
        <v>0</v>
      </c>
      <c r="GY20" s="501"/>
      <c r="GZ20" s="502">
        <f t="shared" si="67"/>
        <v>0</v>
      </c>
      <c r="HA20" s="503">
        <f t="shared" si="178"/>
        <v>0</v>
      </c>
      <c r="HB20" s="501"/>
      <c r="HC20" s="502">
        <f t="shared" si="68"/>
        <v>0</v>
      </c>
      <c r="HD20" s="503">
        <f t="shared" si="179"/>
        <v>0</v>
      </c>
      <c r="HE20" s="501"/>
      <c r="HF20" s="502">
        <f t="shared" si="69"/>
        <v>0</v>
      </c>
      <c r="HG20" s="503">
        <f t="shared" si="180"/>
        <v>0</v>
      </c>
      <c r="HH20" s="501"/>
      <c r="HI20" s="502">
        <f t="shared" si="70"/>
        <v>0</v>
      </c>
      <c r="HJ20" s="503">
        <f t="shared" si="181"/>
        <v>0</v>
      </c>
      <c r="HK20" s="501"/>
      <c r="HL20" s="502">
        <f t="shared" si="71"/>
        <v>0</v>
      </c>
      <c r="HM20" s="503">
        <f t="shared" si="182"/>
        <v>0</v>
      </c>
      <c r="HN20" s="501"/>
      <c r="HO20" s="502">
        <f t="shared" si="72"/>
        <v>0</v>
      </c>
      <c r="HP20" s="503">
        <f t="shared" si="183"/>
        <v>0</v>
      </c>
      <c r="HQ20" s="501"/>
      <c r="HR20" s="502">
        <f t="shared" si="73"/>
        <v>0</v>
      </c>
      <c r="HS20" s="503">
        <f t="shared" si="184"/>
        <v>0</v>
      </c>
      <c r="HT20" s="501"/>
      <c r="HU20" s="502">
        <f t="shared" si="74"/>
        <v>0</v>
      </c>
      <c r="HV20" s="503">
        <f t="shared" si="185"/>
        <v>0</v>
      </c>
      <c r="HW20" s="501"/>
      <c r="HX20" s="502">
        <f t="shared" si="75"/>
        <v>0</v>
      </c>
      <c r="HY20" s="503">
        <f t="shared" si="186"/>
        <v>0</v>
      </c>
      <c r="HZ20" s="501"/>
      <c r="IA20" s="502">
        <f t="shared" si="76"/>
        <v>0</v>
      </c>
      <c r="IB20" s="503">
        <f t="shared" si="187"/>
        <v>0</v>
      </c>
      <c r="IC20" s="501"/>
      <c r="ID20" s="502">
        <f t="shared" si="77"/>
        <v>0</v>
      </c>
      <c r="IE20" s="503">
        <f t="shared" si="188"/>
        <v>0</v>
      </c>
      <c r="IF20" s="501"/>
      <c r="IG20" s="502">
        <f t="shared" si="78"/>
        <v>0</v>
      </c>
      <c r="IH20" s="503">
        <f t="shared" si="189"/>
        <v>0</v>
      </c>
      <c r="II20" s="501"/>
      <c r="IJ20" s="502">
        <f t="shared" si="79"/>
        <v>0</v>
      </c>
      <c r="IK20" s="503">
        <f t="shared" si="190"/>
        <v>0</v>
      </c>
      <c r="IL20" s="501"/>
      <c r="IM20" s="502">
        <f t="shared" si="80"/>
        <v>0</v>
      </c>
      <c r="IN20" s="503">
        <f t="shared" si="191"/>
        <v>0</v>
      </c>
      <c r="IO20" s="501"/>
      <c r="IP20" s="502">
        <f t="shared" si="81"/>
        <v>0</v>
      </c>
      <c r="IQ20" s="503">
        <f t="shared" si="192"/>
        <v>0</v>
      </c>
      <c r="IR20" s="501"/>
      <c r="IS20" s="502">
        <f t="shared" si="82"/>
        <v>0</v>
      </c>
      <c r="IT20" s="503">
        <f t="shared" si="193"/>
        <v>0</v>
      </c>
      <c r="IU20" s="501"/>
      <c r="IV20" s="502">
        <f t="shared" si="83"/>
        <v>0</v>
      </c>
      <c r="IW20" s="503">
        <f t="shared" si="194"/>
        <v>0</v>
      </c>
      <c r="IX20" s="501"/>
      <c r="IY20" s="502">
        <f t="shared" si="84"/>
        <v>0</v>
      </c>
      <c r="IZ20" s="503">
        <f t="shared" si="195"/>
        <v>0</v>
      </c>
      <c r="JA20" s="501"/>
      <c r="JB20" s="502">
        <f t="shared" si="85"/>
        <v>0</v>
      </c>
      <c r="JC20" s="503">
        <f t="shared" si="196"/>
        <v>0</v>
      </c>
      <c r="JD20" s="501"/>
      <c r="JE20" s="502">
        <f t="shared" si="86"/>
        <v>0</v>
      </c>
      <c r="JF20" s="503">
        <f t="shared" si="197"/>
        <v>0</v>
      </c>
      <c r="JG20" s="501"/>
      <c r="JH20" s="502">
        <f t="shared" si="87"/>
        <v>0</v>
      </c>
      <c r="JI20" s="503">
        <f t="shared" si="198"/>
        <v>0</v>
      </c>
      <c r="JJ20" s="501"/>
      <c r="JK20" s="503" t="str">
        <f t="shared" si="88"/>
        <v>0</v>
      </c>
      <c r="JL20" s="503" t="str">
        <f t="shared" si="89"/>
        <v>0</v>
      </c>
      <c r="JM20" s="501"/>
      <c r="JN20" s="503" t="str">
        <f t="shared" si="90"/>
        <v>0</v>
      </c>
      <c r="JO20" s="503" t="str">
        <f t="shared" si="91"/>
        <v>0</v>
      </c>
      <c r="JP20" s="501"/>
      <c r="JQ20" s="503" t="str">
        <f t="shared" si="92"/>
        <v>0</v>
      </c>
      <c r="JR20" s="503" t="str">
        <f t="shared" si="93"/>
        <v>0</v>
      </c>
      <c r="JS20" s="501"/>
      <c r="JT20" s="503" t="str">
        <f t="shared" si="94"/>
        <v>0</v>
      </c>
      <c r="JU20" s="503" t="str">
        <f t="shared" si="95"/>
        <v>0</v>
      </c>
      <c r="JV20" s="501"/>
      <c r="JW20" s="503" t="str">
        <f t="shared" si="96"/>
        <v>0</v>
      </c>
      <c r="JX20" s="503" t="str">
        <f t="shared" si="97"/>
        <v>0</v>
      </c>
      <c r="JY20" s="501"/>
      <c r="JZ20" s="503" t="str">
        <f t="shared" si="98"/>
        <v>0</v>
      </c>
      <c r="KA20" s="503" t="str">
        <f t="shared" si="99"/>
        <v>0</v>
      </c>
      <c r="KB20" s="501"/>
      <c r="KC20" s="503" t="str">
        <f t="shared" si="100"/>
        <v>0</v>
      </c>
      <c r="KD20" s="503" t="str">
        <f t="shared" si="101"/>
        <v>0</v>
      </c>
      <c r="KE20" s="501"/>
      <c r="KF20" s="503" t="str">
        <f t="shared" si="102"/>
        <v>0</v>
      </c>
      <c r="KG20" s="503" t="str">
        <f t="shared" si="103"/>
        <v>0</v>
      </c>
      <c r="KH20" s="501"/>
      <c r="KI20" s="503" t="str">
        <f t="shared" si="104"/>
        <v>0</v>
      </c>
      <c r="KJ20" s="503" t="str">
        <f t="shared" si="105"/>
        <v>0</v>
      </c>
      <c r="KK20" s="501"/>
      <c r="KL20" s="503" t="str">
        <f t="shared" si="106"/>
        <v>0</v>
      </c>
      <c r="KM20" s="503" t="str">
        <f t="shared" si="107"/>
        <v>0</v>
      </c>
      <c r="KN20" s="501"/>
      <c r="KO20" s="503" t="str">
        <f t="shared" si="108"/>
        <v>0</v>
      </c>
      <c r="KP20" s="503" t="str">
        <f t="shared" si="109"/>
        <v>0</v>
      </c>
      <c r="KQ20" s="501"/>
      <c r="KR20" s="503" t="str">
        <f t="shared" si="110"/>
        <v>0</v>
      </c>
      <c r="KS20" s="503" t="str">
        <f t="shared" si="111"/>
        <v>0</v>
      </c>
      <c r="KT20" s="503">
        <f t="shared" si="201"/>
        <v>0</v>
      </c>
      <c r="KU20" s="503">
        <f t="shared" si="202"/>
        <v>0</v>
      </c>
      <c r="KV20" s="264">
        <f t="shared" si="199"/>
        <v>335.60369596722535</v>
      </c>
    </row>
    <row r="21" spans="1:308" ht="15" customHeight="1">
      <c r="A21" s="266">
        <f t="shared" si="200"/>
        <v>45942</v>
      </c>
      <c r="B21" s="267" t="str">
        <f>+Report1!B20</f>
        <v>Toilet</v>
      </c>
      <c r="C21" s="395" t="str">
        <f>+Report1!C20</f>
        <v>14/15/12,5</v>
      </c>
      <c r="D21" s="268">
        <f>+Report1!P20</f>
        <v>50.325000000000003</v>
      </c>
      <c r="E21" s="269">
        <f>+Report1!R20</f>
        <v>50.863</v>
      </c>
      <c r="F21" s="501">
        <v>0</v>
      </c>
      <c r="G21" s="502">
        <f t="shared" si="0"/>
        <v>0</v>
      </c>
      <c r="H21" s="503">
        <f t="shared" si="112"/>
        <v>0</v>
      </c>
      <c r="I21" s="501">
        <v>0</v>
      </c>
      <c r="J21" s="502">
        <f t="shared" si="1"/>
        <v>0</v>
      </c>
      <c r="K21" s="503">
        <f t="shared" si="113"/>
        <v>0</v>
      </c>
      <c r="L21" s="501"/>
      <c r="M21" s="502">
        <f t="shared" si="2"/>
        <v>0</v>
      </c>
      <c r="N21" s="503">
        <f t="shared" si="114"/>
        <v>0</v>
      </c>
      <c r="O21" s="501">
        <v>12</v>
      </c>
      <c r="P21" s="502">
        <f t="shared" si="3"/>
        <v>0.235927884709907</v>
      </c>
      <c r="Q21" s="503">
        <f t="shared" si="115"/>
        <v>0</v>
      </c>
      <c r="R21" s="501">
        <v>7.6875</v>
      </c>
      <c r="S21" s="502">
        <f t="shared" si="4"/>
        <v>0.15114130114228419</v>
      </c>
      <c r="T21" s="503">
        <f t="shared" si="116"/>
        <v>0</v>
      </c>
      <c r="U21" s="501">
        <v>6.25</v>
      </c>
      <c r="V21" s="502">
        <f t="shared" si="5"/>
        <v>0.12287910661974323</v>
      </c>
      <c r="W21" s="503">
        <f t="shared" si="117"/>
        <v>0</v>
      </c>
      <c r="X21" s="501"/>
      <c r="Y21" s="502">
        <f t="shared" si="6"/>
        <v>0</v>
      </c>
      <c r="Z21" s="503">
        <f t="shared" si="118"/>
        <v>0</v>
      </c>
      <c r="AA21" s="501"/>
      <c r="AB21" s="502">
        <f t="shared" si="7"/>
        <v>0</v>
      </c>
      <c r="AC21" s="503">
        <f t="shared" si="119"/>
        <v>0</v>
      </c>
      <c r="AD21" s="501"/>
      <c r="AE21" s="502">
        <f t="shared" si="8"/>
        <v>0</v>
      </c>
      <c r="AF21" s="503">
        <f t="shared" si="120"/>
        <v>0</v>
      </c>
      <c r="AG21" s="501"/>
      <c r="AH21" s="502">
        <f t="shared" si="9"/>
        <v>0</v>
      </c>
      <c r="AI21" s="503">
        <f t="shared" si="121"/>
        <v>0</v>
      </c>
      <c r="AJ21" s="501"/>
      <c r="AK21" s="502">
        <f t="shared" si="10"/>
        <v>0</v>
      </c>
      <c r="AL21" s="503">
        <f t="shared" si="122"/>
        <v>0</v>
      </c>
      <c r="AM21" s="501">
        <v>57.266399999999976</v>
      </c>
      <c r="AN21" s="502">
        <f t="shared" si="11"/>
        <v>1.1258950514126178</v>
      </c>
      <c r="AO21" s="503">
        <f t="shared" si="123"/>
        <v>0</v>
      </c>
      <c r="AP21" s="501">
        <v>0</v>
      </c>
      <c r="AQ21" s="502">
        <f t="shared" si="12"/>
        <v>0</v>
      </c>
      <c r="AR21" s="503">
        <f t="shared" si="124"/>
        <v>0</v>
      </c>
      <c r="AS21" s="501"/>
      <c r="AT21" s="502">
        <f t="shared" si="13"/>
        <v>0</v>
      </c>
      <c r="AU21" s="503">
        <f t="shared" si="125"/>
        <v>0</v>
      </c>
      <c r="AV21" s="501">
        <v>13.874999999999943</v>
      </c>
      <c r="AW21" s="502">
        <f t="shared" si="14"/>
        <v>0.27279161669582885</v>
      </c>
      <c r="AX21" s="503">
        <f t="shared" si="126"/>
        <v>0</v>
      </c>
      <c r="AY21" s="501">
        <v>64.850800000000021</v>
      </c>
      <c r="AZ21" s="502">
        <f t="shared" si="15"/>
        <v>1.2750093388121035</v>
      </c>
      <c r="BA21" s="503">
        <f t="shared" si="127"/>
        <v>0</v>
      </c>
      <c r="BB21" s="501"/>
      <c r="BC21" s="502">
        <f t="shared" si="16"/>
        <v>0</v>
      </c>
      <c r="BD21" s="503">
        <f t="shared" si="128"/>
        <v>0</v>
      </c>
      <c r="BE21" s="501"/>
      <c r="BF21" s="502">
        <f t="shared" si="17"/>
        <v>0</v>
      </c>
      <c r="BG21" s="503">
        <f t="shared" si="129"/>
        <v>0</v>
      </c>
      <c r="BH21" s="501"/>
      <c r="BI21" s="502">
        <f t="shared" si="18"/>
        <v>0</v>
      </c>
      <c r="BJ21" s="503">
        <f t="shared" si="130"/>
        <v>0</v>
      </c>
      <c r="BK21" s="501"/>
      <c r="BL21" s="502">
        <f t="shared" si="19"/>
        <v>0</v>
      </c>
      <c r="BM21" s="503">
        <f t="shared" si="131"/>
        <v>0</v>
      </c>
      <c r="BN21" s="501">
        <v>10.123456790123456</v>
      </c>
      <c r="BO21" s="502">
        <f t="shared" si="20"/>
        <v>0.19903381220383098</v>
      </c>
      <c r="BP21" s="503">
        <f t="shared" si="132"/>
        <v>0</v>
      </c>
      <c r="BQ21" s="501">
        <v>0</v>
      </c>
      <c r="BR21" s="502">
        <f t="shared" si="21"/>
        <v>0</v>
      </c>
      <c r="BS21" s="503">
        <f t="shared" si="133"/>
        <v>0</v>
      </c>
      <c r="BT21" s="501"/>
      <c r="BU21" s="502">
        <f t="shared" si="22"/>
        <v>0</v>
      </c>
      <c r="BV21" s="503">
        <f t="shared" si="134"/>
        <v>0</v>
      </c>
      <c r="BW21" s="501"/>
      <c r="BX21" s="502">
        <f t="shared" si="23"/>
        <v>0</v>
      </c>
      <c r="BY21" s="503">
        <f t="shared" si="135"/>
        <v>0</v>
      </c>
      <c r="BZ21" s="501"/>
      <c r="CA21" s="502">
        <f t="shared" si="24"/>
        <v>0</v>
      </c>
      <c r="CB21" s="503">
        <f t="shared" si="136"/>
        <v>0</v>
      </c>
      <c r="CC21" s="501"/>
      <c r="CD21" s="502">
        <f t="shared" si="25"/>
        <v>0</v>
      </c>
      <c r="CE21" s="503">
        <f t="shared" si="137"/>
        <v>0</v>
      </c>
      <c r="CF21" s="501">
        <v>8</v>
      </c>
      <c r="CG21" s="502">
        <f t="shared" si="26"/>
        <v>0.15728525647327135</v>
      </c>
      <c r="CH21" s="503">
        <f t="shared" si="138"/>
        <v>0</v>
      </c>
      <c r="CI21" s="501"/>
      <c r="CJ21" s="502">
        <f t="shared" si="27"/>
        <v>0</v>
      </c>
      <c r="CK21" s="503">
        <f t="shared" si="139"/>
        <v>0</v>
      </c>
      <c r="CL21" s="501"/>
      <c r="CM21" s="502">
        <f t="shared" si="28"/>
        <v>0</v>
      </c>
      <c r="CN21" s="503">
        <f t="shared" si="140"/>
        <v>0</v>
      </c>
      <c r="CO21" s="501"/>
      <c r="CP21" s="502">
        <f t="shared" si="29"/>
        <v>0</v>
      </c>
      <c r="CQ21" s="503">
        <f t="shared" si="141"/>
        <v>0</v>
      </c>
      <c r="CR21" s="501"/>
      <c r="CS21" s="502">
        <f t="shared" si="30"/>
        <v>0</v>
      </c>
      <c r="CT21" s="503">
        <f t="shared" si="142"/>
        <v>0</v>
      </c>
      <c r="CU21" s="501"/>
      <c r="CV21" s="502">
        <f t="shared" si="31"/>
        <v>0</v>
      </c>
      <c r="CW21" s="503">
        <f t="shared" si="143"/>
        <v>0</v>
      </c>
      <c r="CX21" s="501"/>
      <c r="CY21" s="502">
        <f t="shared" si="32"/>
        <v>0</v>
      </c>
      <c r="CZ21" s="503">
        <f t="shared" si="144"/>
        <v>0</v>
      </c>
      <c r="DA21" s="501">
        <v>133.69613953488374</v>
      </c>
      <c r="DB21" s="502">
        <f t="shared" si="33"/>
        <v>2.6285539495288077</v>
      </c>
      <c r="DC21" s="503">
        <f t="shared" si="145"/>
        <v>0</v>
      </c>
      <c r="DD21" s="501"/>
      <c r="DE21" s="502">
        <f t="shared" si="34"/>
        <v>0</v>
      </c>
      <c r="DF21" s="503">
        <f t="shared" si="146"/>
        <v>0</v>
      </c>
      <c r="DG21" s="501"/>
      <c r="DH21" s="502">
        <f t="shared" si="35"/>
        <v>0</v>
      </c>
      <c r="DI21" s="503">
        <f t="shared" si="203"/>
        <v>0</v>
      </c>
      <c r="DJ21" s="501"/>
      <c r="DK21" s="502">
        <f t="shared" si="36"/>
        <v>0</v>
      </c>
      <c r="DL21" s="503">
        <f t="shared" si="147"/>
        <v>0</v>
      </c>
      <c r="DM21" s="501"/>
      <c r="DN21" s="502">
        <f t="shared" si="37"/>
        <v>0</v>
      </c>
      <c r="DO21" s="503">
        <f t="shared" si="148"/>
        <v>0</v>
      </c>
      <c r="DP21" s="501"/>
      <c r="DQ21" s="502">
        <f t="shared" si="38"/>
        <v>0</v>
      </c>
      <c r="DR21" s="503">
        <f t="shared" si="149"/>
        <v>0</v>
      </c>
      <c r="DS21" s="501"/>
      <c r="DT21" s="502">
        <f t="shared" si="39"/>
        <v>0</v>
      </c>
      <c r="DU21" s="503">
        <f t="shared" si="150"/>
        <v>0</v>
      </c>
      <c r="DV21" s="501"/>
      <c r="DW21" s="502">
        <f t="shared" si="40"/>
        <v>0</v>
      </c>
      <c r="DX21" s="503">
        <f t="shared" si="151"/>
        <v>0</v>
      </c>
      <c r="DY21" s="501">
        <v>0</v>
      </c>
      <c r="DZ21" s="502">
        <f t="shared" si="41"/>
        <v>0</v>
      </c>
      <c r="EA21" s="503">
        <f t="shared" si="152"/>
        <v>0</v>
      </c>
      <c r="EB21" s="501">
        <v>7.2674418604651123</v>
      </c>
      <c r="EC21" s="502">
        <f t="shared" si="42"/>
        <v>0.14288268211598043</v>
      </c>
      <c r="ED21" s="503">
        <f t="shared" si="153"/>
        <v>0</v>
      </c>
      <c r="EE21" s="501">
        <v>4</v>
      </c>
      <c r="EF21" s="502">
        <f t="shared" si="43"/>
        <v>7.8642628236635675E-2</v>
      </c>
      <c r="EG21" s="503">
        <f t="shared" si="154"/>
        <v>0</v>
      </c>
      <c r="EH21" s="501"/>
      <c r="EI21" s="502">
        <f t="shared" si="44"/>
        <v>0</v>
      </c>
      <c r="EJ21" s="503">
        <f t="shared" si="155"/>
        <v>0</v>
      </c>
      <c r="EK21" s="501"/>
      <c r="EL21" s="502">
        <f t="shared" si="45"/>
        <v>0</v>
      </c>
      <c r="EM21" s="503">
        <f t="shared" si="156"/>
        <v>0</v>
      </c>
      <c r="EN21" s="501"/>
      <c r="EO21" s="502">
        <f t="shared" si="46"/>
        <v>0</v>
      </c>
      <c r="EP21" s="503">
        <f t="shared" si="157"/>
        <v>0</v>
      </c>
      <c r="EQ21" s="501"/>
      <c r="ER21" s="502">
        <f t="shared" si="47"/>
        <v>0</v>
      </c>
      <c r="ES21" s="503">
        <f t="shared" si="158"/>
        <v>0</v>
      </c>
      <c r="ET21" s="501"/>
      <c r="EU21" s="502">
        <f t="shared" si="48"/>
        <v>0</v>
      </c>
      <c r="EV21" s="503">
        <f t="shared" si="159"/>
        <v>0</v>
      </c>
      <c r="EW21" s="501"/>
      <c r="EX21" s="502">
        <f t="shared" si="49"/>
        <v>0</v>
      </c>
      <c r="EY21" s="503">
        <f t="shared" si="160"/>
        <v>0</v>
      </c>
      <c r="EZ21" s="501"/>
      <c r="FA21" s="502">
        <f t="shared" si="50"/>
        <v>0</v>
      </c>
      <c r="FB21" s="503">
        <f t="shared" si="161"/>
        <v>0</v>
      </c>
      <c r="FC21" s="501"/>
      <c r="FD21" s="502">
        <f t="shared" si="51"/>
        <v>0</v>
      </c>
      <c r="FE21" s="503">
        <f t="shared" si="162"/>
        <v>0</v>
      </c>
      <c r="FF21" s="501"/>
      <c r="FG21" s="502">
        <f t="shared" si="52"/>
        <v>0</v>
      </c>
      <c r="FH21" s="503">
        <f t="shared" si="163"/>
        <v>0</v>
      </c>
      <c r="FI21" s="501"/>
      <c r="FJ21" s="502">
        <f t="shared" si="53"/>
        <v>0</v>
      </c>
      <c r="FK21" s="503">
        <f t="shared" si="164"/>
        <v>0</v>
      </c>
      <c r="FL21" s="501"/>
      <c r="FM21" s="502">
        <f t="shared" si="54"/>
        <v>0</v>
      </c>
      <c r="FN21" s="503">
        <f t="shared" si="165"/>
        <v>0</v>
      </c>
      <c r="FO21" s="501"/>
      <c r="FP21" s="502">
        <f t="shared" si="55"/>
        <v>0</v>
      </c>
      <c r="FQ21" s="503">
        <f t="shared" si="166"/>
        <v>0</v>
      </c>
      <c r="FR21" s="501"/>
      <c r="FS21" s="502">
        <f t="shared" si="56"/>
        <v>0</v>
      </c>
      <c r="FT21" s="503">
        <f t="shared" si="167"/>
        <v>0</v>
      </c>
      <c r="FU21" s="501"/>
      <c r="FV21" s="502">
        <f t="shared" si="57"/>
        <v>0</v>
      </c>
      <c r="FW21" s="503">
        <f t="shared" si="168"/>
        <v>0</v>
      </c>
      <c r="FX21" s="501"/>
      <c r="FY21" s="502">
        <f t="shared" si="58"/>
        <v>0</v>
      </c>
      <c r="FZ21" s="503">
        <f t="shared" si="169"/>
        <v>0</v>
      </c>
      <c r="GA21" s="501"/>
      <c r="GB21" s="502">
        <f t="shared" si="59"/>
        <v>0</v>
      </c>
      <c r="GC21" s="503">
        <f t="shared" si="170"/>
        <v>0</v>
      </c>
      <c r="GD21" s="501"/>
      <c r="GE21" s="502">
        <f t="shared" si="60"/>
        <v>0</v>
      </c>
      <c r="GF21" s="503">
        <f t="shared" si="171"/>
        <v>0</v>
      </c>
      <c r="GG21" s="501"/>
      <c r="GH21" s="502">
        <f t="shared" si="61"/>
        <v>0</v>
      </c>
      <c r="GI21" s="503">
        <f t="shared" si="172"/>
        <v>0</v>
      </c>
      <c r="GJ21" s="501"/>
      <c r="GK21" s="502">
        <f t="shared" si="62"/>
        <v>0</v>
      </c>
      <c r="GL21" s="503">
        <f t="shared" si="173"/>
        <v>0</v>
      </c>
      <c r="GM21" s="501"/>
      <c r="GN21" s="502">
        <f t="shared" si="63"/>
        <v>0</v>
      </c>
      <c r="GO21" s="503">
        <f t="shared" si="174"/>
        <v>0</v>
      </c>
      <c r="GP21" s="501"/>
      <c r="GQ21" s="502">
        <f t="shared" si="64"/>
        <v>0</v>
      </c>
      <c r="GR21" s="503">
        <f t="shared" si="175"/>
        <v>0</v>
      </c>
      <c r="GS21" s="501"/>
      <c r="GT21" s="502">
        <f t="shared" si="65"/>
        <v>0</v>
      </c>
      <c r="GU21" s="503">
        <f t="shared" si="176"/>
        <v>0</v>
      </c>
      <c r="GV21" s="501"/>
      <c r="GW21" s="502">
        <f t="shared" si="66"/>
        <v>0</v>
      </c>
      <c r="GX21" s="503">
        <f t="shared" si="177"/>
        <v>0</v>
      </c>
      <c r="GY21" s="501"/>
      <c r="GZ21" s="502">
        <f t="shared" si="67"/>
        <v>0</v>
      </c>
      <c r="HA21" s="503">
        <f t="shared" si="178"/>
        <v>0</v>
      </c>
      <c r="HB21" s="501"/>
      <c r="HC21" s="502">
        <f t="shared" si="68"/>
        <v>0</v>
      </c>
      <c r="HD21" s="503">
        <f t="shared" si="179"/>
        <v>0</v>
      </c>
      <c r="HE21" s="501"/>
      <c r="HF21" s="502">
        <f t="shared" si="69"/>
        <v>0</v>
      </c>
      <c r="HG21" s="503">
        <f t="shared" si="180"/>
        <v>0</v>
      </c>
      <c r="HH21" s="501"/>
      <c r="HI21" s="502">
        <f t="shared" si="70"/>
        <v>0</v>
      </c>
      <c r="HJ21" s="503">
        <f t="shared" si="181"/>
        <v>0</v>
      </c>
      <c r="HK21" s="501"/>
      <c r="HL21" s="502">
        <f t="shared" si="71"/>
        <v>0</v>
      </c>
      <c r="HM21" s="503">
        <f t="shared" si="182"/>
        <v>0</v>
      </c>
      <c r="HN21" s="501"/>
      <c r="HO21" s="502">
        <f t="shared" si="72"/>
        <v>0</v>
      </c>
      <c r="HP21" s="503">
        <f t="shared" si="183"/>
        <v>0</v>
      </c>
      <c r="HQ21" s="501"/>
      <c r="HR21" s="502">
        <f t="shared" si="73"/>
        <v>0</v>
      </c>
      <c r="HS21" s="503">
        <f t="shared" si="184"/>
        <v>0</v>
      </c>
      <c r="HT21" s="501"/>
      <c r="HU21" s="502">
        <f t="shared" si="74"/>
        <v>0</v>
      </c>
      <c r="HV21" s="503">
        <f t="shared" si="185"/>
        <v>0</v>
      </c>
      <c r="HW21" s="501"/>
      <c r="HX21" s="502">
        <f t="shared" si="75"/>
        <v>0</v>
      </c>
      <c r="HY21" s="503">
        <f t="shared" si="186"/>
        <v>0</v>
      </c>
      <c r="HZ21" s="501"/>
      <c r="IA21" s="502">
        <f t="shared" si="76"/>
        <v>0</v>
      </c>
      <c r="IB21" s="503">
        <f t="shared" si="187"/>
        <v>0</v>
      </c>
      <c r="IC21" s="501"/>
      <c r="ID21" s="502">
        <f t="shared" si="77"/>
        <v>0</v>
      </c>
      <c r="IE21" s="503">
        <f t="shared" si="188"/>
        <v>0</v>
      </c>
      <c r="IF21" s="501"/>
      <c r="IG21" s="502">
        <f t="shared" si="78"/>
        <v>0</v>
      </c>
      <c r="IH21" s="503">
        <f t="shared" si="189"/>
        <v>0</v>
      </c>
      <c r="II21" s="501"/>
      <c r="IJ21" s="502">
        <f t="shared" si="79"/>
        <v>0</v>
      </c>
      <c r="IK21" s="503">
        <f t="shared" si="190"/>
        <v>0</v>
      </c>
      <c r="IL21" s="501"/>
      <c r="IM21" s="502">
        <f t="shared" si="80"/>
        <v>0</v>
      </c>
      <c r="IN21" s="503">
        <f t="shared" si="191"/>
        <v>0</v>
      </c>
      <c r="IO21" s="501"/>
      <c r="IP21" s="502">
        <f t="shared" si="81"/>
        <v>0</v>
      </c>
      <c r="IQ21" s="503">
        <f t="shared" si="192"/>
        <v>0</v>
      </c>
      <c r="IR21" s="501"/>
      <c r="IS21" s="502">
        <f t="shared" si="82"/>
        <v>0</v>
      </c>
      <c r="IT21" s="503">
        <f t="shared" si="193"/>
        <v>0</v>
      </c>
      <c r="IU21" s="501"/>
      <c r="IV21" s="502">
        <f t="shared" si="83"/>
        <v>0</v>
      </c>
      <c r="IW21" s="503">
        <f t="shared" si="194"/>
        <v>0</v>
      </c>
      <c r="IX21" s="501"/>
      <c r="IY21" s="502">
        <f t="shared" si="84"/>
        <v>0</v>
      </c>
      <c r="IZ21" s="503">
        <f t="shared" si="195"/>
        <v>0</v>
      </c>
      <c r="JA21" s="501"/>
      <c r="JB21" s="502">
        <f t="shared" si="85"/>
        <v>0</v>
      </c>
      <c r="JC21" s="503">
        <f t="shared" si="196"/>
        <v>0</v>
      </c>
      <c r="JD21" s="501"/>
      <c r="JE21" s="502">
        <f t="shared" si="86"/>
        <v>0</v>
      </c>
      <c r="JF21" s="503">
        <f t="shared" si="197"/>
        <v>0</v>
      </c>
      <c r="JG21" s="501"/>
      <c r="JH21" s="502">
        <f t="shared" si="87"/>
        <v>0</v>
      </c>
      <c r="JI21" s="503">
        <f t="shared" si="198"/>
        <v>0</v>
      </c>
      <c r="JJ21" s="501"/>
      <c r="JK21" s="503" t="str">
        <f t="shared" si="88"/>
        <v>0</v>
      </c>
      <c r="JL21" s="503" t="str">
        <f t="shared" si="89"/>
        <v>0</v>
      </c>
      <c r="JM21" s="501"/>
      <c r="JN21" s="503" t="str">
        <f t="shared" si="90"/>
        <v>0</v>
      </c>
      <c r="JO21" s="503" t="str">
        <f t="shared" si="91"/>
        <v>0</v>
      </c>
      <c r="JP21" s="501"/>
      <c r="JQ21" s="503" t="str">
        <f t="shared" si="92"/>
        <v>0</v>
      </c>
      <c r="JR21" s="503" t="str">
        <f t="shared" si="93"/>
        <v>0</v>
      </c>
      <c r="JS21" s="501"/>
      <c r="JT21" s="503" t="str">
        <f t="shared" si="94"/>
        <v>0</v>
      </c>
      <c r="JU21" s="503" t="str">
        <f t="shared" si="95"/>
        <v>0</v>
      </c>
      <c r="JV21" s="501"/>
      <c r="JW21" s="503" t="str">
        <f t="shared" si="96"/>
        <v>0</v>
      </c>
      <c r="JX21" s="503" t="str">
        <f t="shared" si="97"/>
        <v>0</v>
      </c>
      <c r="JY21" s="501"/>
      <c r="JZ21" s="503" t="str">
        <f t="shared" si="98"/>
        <v>0</v>
      </c>
      <c r="KA21" s="503" t="str">
        <f t="shared" si="99"/>
        <v>0</v>
      </c>
      <c r="KB21" s="501"/>
      <c r="KC21" s="503" t="str">
        <f t="shared" si="100"/>
        <v>0</v>
      </c>
      <c r="KD21" s="503" t="str">
        <f t="shared" si="101"/>
        <v>0</v>
      </c>
      <c r="KE21" s="501"/>
      <c r="KF21" s="503" t="str">
        <f t="shared" si="102"/>
        <v>0</v>
      </c>
      <c r="KG21" s="503" t="str">
        <f t="shared" si="103"/>
        <v>0</v>
      </c>
      <c r="KH21" s="501"/>
      <c r="KI21" s="503" t="str">
        <f t="shared" si="104"/>
        <v>0</v>
      </c>
      <c r="KJ21" s="503" t="str">
        <f t="shared" si="105"/>
        <v>0</v>
      </c>
      <c r="KK21" s="501"/>
      <c r="KL21" s="503" t="str">
        <f t="shared" si="106"/>
        <v>0</v>
      </c>
      <c r="KM21" s="503" t="str">
        <f t="shared" si="107"/>
        <v>0</v>
      </c>
      <c r="KN21" s="501"/>
      <c r="KO21" s="503" t="str">
        <f t="shared" si="108"/>
        <v>0</v>
      </c>
      <c r="KP21" s="503" t="str">
        <f t="shared" si="109"/>
        <v>0</v>
      </c>
      <c r="KQ21" s="501"/>
      <c r="KR21" s="503" t="str">
        <f t="shared" si="110"/>
        <v>0</v>
      </c>
      <c r="KS21" s="503" t="str">
        <f t="shared" si="111"/>
        <v>0</v>
      </c>
      <c r="KT21" s="503">
        <f t="shared" si="201"/>
        <v>0</v>
      </c>
      <c r="KU21" s="503">
        <f t="shared" si="202"/>
        <v>0</v>
      </c>
      <c r="KV21" s="264">
        <f t="shared" si="199"/>
        <v>325.01673818547226</v>
      </c>
    </row>
    <row r="22" spans="1:308" ht="15" customHeight="1">
      <c r="A22" s="266">
        <f t="shared" si="200"/>
        <v>45943</v>
      </c>
      <c r="B22" s="267" t="str">
        <f>+Report1!B21</f>
        <v>Toilet</v>
      </c>
      <c r="C22" s="395" t="str">
        <f>+Report1!C21</f>
        <v>12,5/14</v>
      </c>
      <c r="D22" s="268">
        <f>+Report1!P21</f>
        <v>51.091999999999999</v>
      </c>
      <c r="E22" s="269">
        <f>+Report1!R21</f>
        <v>47.128</v>
      </c>
      <c r="F22" s="501">
        <v>34.883720930232471</v>
      </c>
      <c r="G22" s="502">
        <f t="shared" si="0"/>
        <v>0.74019098901359004</v>
      </c>
      <c r="H22" s="503">
        <f t="shared" si="112"/>
        <v>0</v>
      </c>
      <c r="I22" s="501">
        <v>0</v>
      </c>
      <c r="J22" s="502">
        <f t="shared" si="1"/>
        <v>0</v>
      </c>
      <c r="K22" s="503">
        <f t="shared" si="113"/>
        <v>0</v>
      </c>
      <c r="L22" s="501"/>
      <c r="M22" s="502">
        <f t="shared" si="2"/>
        <v>0</v>
      </c>
      <c r="N22" s="503">
        <f t="shared" si="114"/>
        <v>0</v>
      </c>
      <c r="O22" s="501">
        <v>12.000000000000028</v>
      </c>
      <c r="P22" s="502">
        <f t="shared" si="3"/>
        <v>0.25462570022067621</v>
      </c>
      <c r="Q22" s="503">
        <f t="shared" si="115"/>
        <v>0</v>
      </c>
      <c r="R22" s="501">
        <v>5.1249999999999716</v>
      </c>
      <c r="S22" s="502">
        <f t="shared" si="4"/>
        <v>0.1087463928025796</v>
      </c>
      <c r="T22" s="503">
        <f t="shared" si="116"/>
        <v>0</v>
      </c>
      <c r="U22" s="501">
        <v>6.25</v>
      </c>
      <c r="V22" s="502">
        <f t="shared" si="5"/>
        <v>0.13261755219826854</v>
      </c>
      <c r="W22" s="503">
        <f t="shared" si="117"/>
        <v>0</v>
      </c>
      <c r="X22" s="501"/>
      <c r="Y22" s="502">
        <f t="shared" si="6"/>
        <v>0</v>
      </c>
      <c r="Z22" s="503">
        <f t="shared" si="118"/>
        <v>0</v>
      </c>
      <c r="AA22" s="501"/>
      <c r="AB22" s="502">
        <f t="shared" si="7"/>
        <v>0</v>
      </c>
      <c r="AC22" s="503">
        <f t="shared" si="119"/>
        <v>0</v>
      </c>
      <c r="AD22" s="501"/>
      <c r="AE22" s="502">
        <f t="shared" si="8"/>
        <v>0</v>
      </c>
      <c r="AF22" s="503">
        <f t="shared" si="120"/>
        <v>0</v>
      </c>
      <c r="AG22" s="501"/>
      <c r="AH22" s="502">
        <f t="shared" si="9"/>
        <v>0</v>
      </c>
      <c r="AI22" s="503">
        <f t="shared" si="121"/>
        <v>0</v>
      </c>
      <c r="AJ22" s="501"/>
      <c r="AK22" s="502">
        <f t="shared" si="10"/>
        <v>0</v>
      </c>
      <c r="AL22" s="503">
        <f t="shared" si="122"/>
        <v>0</v>
      </c>
      <c r="AM22" s="501">
        <v>46.154815384615404</v>
      </c>
      <c r="AN22" s="502">
        <f t="shared" si="11"/>
        <v>0.979350182155309</v>
      </c>
      <c r="AO22" s="503">
        <f t="shared" si="123"/>
        <v>0</v>
      </c>
      <c r="AP22" s="501">
        <v>0</v>
      </c>
      <c r="AQ22" s="502">
        <f t="shared" si="12"/>
        <v>0</v>
      </c>
      <c r="AR22" s="503">
        <f t="shared" si="124"/>
        <v>0</v>
      </c>
      <c r="AS22" s="501"/>
      <c r="AT22" s="502">
        <f t="shared" si="13"/>
        <v>0</v>
      </c>
      <c r="AU22" s="503">
        <f t="shared" si="125"/>
        <v>0</v>
      </c>
      <c r="AV22" s="501">
        <v>13.875000000000057</v>
      </c>
      <c r="AW22" s="502">
        <f t="shared" si="14"/>
        <v>0.29441096588015736</v>
      </c>
      <c r="AX22" s="503">
        <f t="shared" si="126"/>
        <v>0</v>
      </c>
      <c r="AY22" s="501">
        <v>58.332800000000134</v>
      </c>
      <c r="AZ22" s="502">
        <f t="shared" si="15"/>
        <v>1.2377525038193884</v>
      </c>
      <c r="BA22" s="503">
        <f t="shared" si="127"/>
        <v>0</v>
      </c>
      <c r="BB22" s="501"/>
      <c r="BC22" s="502">
        <f t="shared" si="16"/>
        <v>0</v>
      </c>
      <c r="BD22" s="503">
        <f t="shared" si="128"/>
        <v>0</v>
      </c>
      <c r="BE22" s="501"/>
      <c r="BF22" s="502">
        <f t="shared" si="17"/>
        <v>0</v>
      </c>
      <c r="BG22" s="503">
        <f t="shared" si="129"/>
        <v>0</v>
      </c>
      <c r="BH22" s="501"/>
      <c r="BI22" s="502">
        <f t="shared" si="18"/>
        <v>0</v>
      </c>
      <c r="BJ22" s="503">
        <f t="shared" si="130"/>
        <v>0</v>
      </c>
      <c r="BK22" s="501"/>
      <c r="BL22" s="502">
        <f t="shared" si="19"/>
        <v>0</v>
      </c>
      <c r="BM22" s="503">
        <f t="shared" si="131"/>
        <v>0</v>
      </c>
      <c r="BN22" s="501">
        <v>10.123456790123441</v>
      </c>
      <c r="BO22" s="502">
        <f t="shared" si="20"/>
        <v>0.21480768948657786</v>
      </c>
      <c r="BP22" s="503">
        <f t="shared" si="132"/>
        <v>0</v>
      </c>
      <c r="BQ22" s="501">
        <v>35.897435897435884</v>
      </c>
      <c r="BR22" s="502">
        <f t="shared" si="21"/>
        <v>0.76170081262595235</v>
      </c>
      <c r="BS22" s="503">
        <f t="shared" si="133"/>
        <v>0</v>
      </c>
      <c r="BT22" s="501"/>
      <c r="BU22" s="502">
        <f t="shared" si="22"/>
        <v>0</v>
      </c>
      <c r="BV22" s="503">
        <f t="shared" si="134"/>
        <v>0</v>
      </c>
      <c r="BW22" s="501"/>
      <c r="BX22" s="502">
        <f t="shared" si="23"/>
        <v>0</v>
      </c>
      <c r="BY22" s="503">
        <f t="shared" si="135"/>
        <v>0</v>
      </c>
      <c r="BZ22" s="501"/>
      <c r="CA22" s="502">
        <f t="shared" si="24"/>
        <v>0</v>
      </c>
      <c r="CB22" s="503">
        <f t="shared" si="136"/>
        <v>0</v>
      </c>
      <c r="CC22" s="501"/>
      <c r="CD22" s="502">
        <f t="shared" si="25"/>
        <v>0</v>
      </c>
      <c r="CE22" s="503">
        <f t="shared" si="137"/>
        <v>0</v>
      </c>
      <c r="CF22" s="501">
        <v>8</v>
      </c>
      <c r="CG22" s="502">
        <f t="shared" si="26"/>
        <v>0.16975046681378375</v>
      </c>
      <c r="CH22" s="503">
        <f t="shared" si="138"/>
        <v>0</v>
      </c>
      <c r="CI22" s="501"/>
      <c r="CJ22" s="502">
        <f t="shared" si="27"/>
        <v>0</v>
      </c>
      <c r="CK22" s="503">
        <f t="shared" si="139"/>
        <v>0</v>
      </c>
      <c r="CL22" s="501"/>
      <c r="CM22" s="502">
        <f t="shared" si="28"/>
        <v>0</v>
      </c>
      <c r="CN22" s="503">
        <f t="shared" si="140"/>
        <v>0</v>
      </c>
      <c r="CO22" s="501"/>
      <c r="CP22" s="502">
        <f t="shared" si="29"/>
        <v>0</v>
      </c>
      <c r="CQ22" s="503">
        <f t="shared" si="141"/>
        <v>0</v>
      </c>
      <c r="CR22" s="501"/>
      <c r="CS22" s="502">
        <f t="shared" si="30"/>
        <v>0</v>
      </c>
      <c r="CT22" s="503">
        <f t="shared" si="142"/>
        <v>0</v>
      </c>
      <c r="CU22" s="501"/>
      <c r="CV22" s="502">
        <f t="shared" si="31"/>
        <v>0</v>
      </c>
      <c r="CW22" s="503">
        <f t="shared" si="143"/>
        <v>0</v>
      </c>
      <c r="CX22" s="501"/>
      <c r="CY22" s="502">
        <f t="shared" si="32"/>
        <v>0</v>
      </c>
      <c r="CZ22" s="503">
        <f t="shared" si="144"/>
        <v>0</v>
      </c>
      <c r="DA22" s="501">
        <v>123.54651162790697</v>
      </c>
      <c r="DB22" s="502">
        <f t="shared" si="33"/>
        <v>2.621509752756471</v>
      </c>
      <c r="DC22" s="503">
        <f t="shared" si="145"/>
        <v>0</v>
      </c>
      <c r="DD22" s="501"/>
      <c r="DE22" s="502">
        <f t="shared" si="34"/>
        <v>0</v>
      </c>
      <c r="DF22" s="503">
        <f t="shared" si="146"/>
        <v>0</v>
      </c>
      <c r="DG22" s="501"/>
      <c r="DH22" s="502">
        <f t="shared" si="35"/>
        <v>0</v>
      </c>
      <c r="DI22" s="503">
        <f t="shared" si="203"/>
        <v>0</v>
      </c>
      <c r="DJ22" s="501"/>
      <c r="DK22" s="502">
        <f t="shared" si="36"/>
        <v>0</v>
      </c>
      <c r="DL22" s="503">
        <f t="shared" si="147"/>
        <v>0</v>
      </c>
      <c r="DM22" s="501"/>
      <c r="DN22" s="502">
        <f t="shared" si="37"/>
        <v>0</v>
      </c>
      <c r="DO22" s="503">
        <f t="shared" si="148"/>
        <v>0</v>
      </c>
      <c r="DP22" s="501"/>
      <c r="DQ22" s="502">
        <f t="shared" si="38"/>
        <v>0</v>
      </c>
      <c r="DR22" s="503">
        <f t="shared" si="149"/>
        <v>0</v>
      </c>
      <c r="DS22" s="501"/>
      <c r="DT22" s="502">
        <f t="shared" si="39"/>
        <v>0</v>
      </c>
      <c r="DU22" s="503">
        <f t="shared" si="150"/>
        <v>0</v>
      </c>
      <c r="DV22" s="501"/>
      <c r="DW22" s="502">
        <f t="shared" si="40"/>
        <v>0</v>
      </c>
      <c r="DX22" s="503">
        <f t="shared" si="151"/>
        <v>0</v>
      </c>
      <c r="DY22" s="501">
        <v>0</v>
      </c>
      <c r="DZ22" s="502">
        <f t="shared" si="41"/>
        <v>0</v>
      </c>
      <c r="EA22" s="503">
        <f t="shared" si="152"/>
        <v>0</v>
      </c>
      <c r="EB22" s="501">
        <v>7.2674418604651123</v>
      </c>
      <c r="EC22" s="502">
        <f t="shared" si="42"/>
        <v>0.15420645604449823</v>
      </c>
      <c r="ED22" s="503">
        <f t="shared" si="153"/>
        <v>0</v>
      </c>
      <c r="EE22" s="501">
        <v>3</v>
      </c>
      <c r="EF22" s="502">
        <f t="shared" si="43"/>
        <v>6.36564250551689E-2</v>
      </c>
      <c r="EG22" s="503">
        <f t="shared" si="154"/>
        <v>0</v>
      </c>
      <c r="EH22" s="501"/>
      <c r="EI22" s="502">
        <f t="shared" si="44"/>
        <v>0</v>
      </c>
      <c r="EJ22" s="503">
        <f t="shared" si="155"/>
        <v>0</v>
      </c>
      <c r="EK22" s="501"/>
      <c r="EL22" s="502">
        <f t="shared" si="45"/>
        <v>0</v>
      </c>
      <c r="EM22" s="503">
        <f t="shared" si="156"/>
        <v>0</v>
      </c>
      <c r="EN22" s="501"/>
      <c r="EO22" s="502">
        <f t="shared" si="46"/>
        <v>0</v>
      </c>
      <c r="EP22" s="503">
        <f t="shared" si="157"/>
        <v>0</v>
      </c>
      <c r="EQ22" s="501"/>
      <c r="ER22" s="502">
        <f t="shared" si="47"/>
        <v>0</v>
      </c>
      <c r="ES22" s="503">
        <f t="shared" si="158"/>
        <v>0</v>
      </c>
      <c r="ET22" s="501"/>
      <c r="EU22" s="502">
        <f t="shared" si="48"/>
        <v>0</v>
      </c>
      <c r="EV22" s="503">
        <f t="shared" si="159"/>
        <v>0</v>
      </c>
      <c r="EW22" s="501"/>
      <c r="EX22" s="502">
        <f t="shared" si="49"/>
        <v>0</v>
      </c>
      <c r="EY22" s="503">
        <f t="shared" si="160"/>
        <v>0</v>
      </c>
      <c r="EZ22" s="501"/>
      <c r="FA22" s="502">
        <f t="shared" si="50"/>
        <v>0</v>
      </c>
      <c r="FB22" s="503">
        <f t="shared" si="161"/>
        <v>0</v>
      </c>
      <c r="FC22" s="501"/>
      <c r="FD22" s="502">
        <f t="shared" si="51"/>
        <v>0</v>
      </c>
      <c r="FE22" s="503">
        <f t="shared" si="162"/>
        <v>0</v>
      </c>
      <c r="FF22" s="501"/>
      <c r="FG22" s="502">
        <f t="shared" si="52"/>
        <v>0</v>
      </c>
      <c r="FH22" s="503">
        <f t="shared" si="163"/>
        <v>0</v>
      </c>
      <c r="FI22" s="501"/>
      <c r="FJ22" s="502">
        <f t="shared" si="53"/>
        <v>0</v>
      </c>
      <c r="FK22" s="503">
        <f t="shared" si="164"/>
        <v>0</v>
      </c>
      <c r="FL22" s="501"/>
      <c r="FM22" s="502">
        <f t="shared" si="54"/>
        <v>0</v>
      </c>
      <c r="FN22" s="503">
        <f t="shared" si="165"/>
        <v>0</v>
      </c>
      <c r="FO22" s="501"/>
      <c r="FP22" s="502">
        <f t="shared" si="55"/>
        <v>0</v>
      </c>
      <c r="FQ22" s="503">
        <f t="shared" si="166"/>
        <v>0</v>
      </c>
      <c r="FR22" s="501"/>
      <c r="FS22" s="502">
        <f t="shared" si="56"/>
        <v>0</v>
      </c>
      <c r="FT22" s="503">
        <f t="shared" si="167"/>
        <v>0</v>
      </c>
      <c r="FU22" s="501"/>
      <c r="FV22" s="502">
        <f t="shared" si="57"/>
        <v>0</v>
      </c>
      <c r="FW22" s="503">
        <f t="shared" si="168"/>
        <v>0</v>
      </c>
      <c r="FX22" s="501"/>
      <c r="FY22" s="502">
        <f t="shared" si="58"/>
        <v>0</v>
      </c>
      <c r="FZ22" s="503">
        <f t="shared" si="169"/>
        <v>0</v>
      </c>
      <c r="GA22" s="501"/>
      <c r="GB22" s="502">
        <f t="shared" si="59"/>
        <v>0</v>
      </c>
      <c r="GC22" s="503">
        <f t="shared" si="170"/>
        <v>0</v>
      </c>
      <c r="GD22" s="501"/>
      <c r="GE22" s="502">
        <f t="shared" si="60"/>
        <v>0</v>
      </c>
      <c r="GF22" s="503">
        <f t="shared" si="171"/>
        <v>0</v>
      </c>
      <c r="GG22" s="501"/>
      <c r="GH22" s="502">
        <f t="shared" si="61"/>
        <v>0</v>
      </c>
      <c r="GI22" s="503">
        <f t="shared" si="172"/>
        <v>0</v>
      </c>
      <c r="GJ22" s="501"/>
      <c r="GK22" s="502">
        <f t="shared" si="62"/>
        <v>0</v>
      </c>
      <c r="GL22" s="503">
        <f t="shared" si="173"/>
        <v>0</v>
      </c>
      <c r="GM22" s="501"/>
      <c r="GN22" s="502">
        <f t="shared" si="63"/>
        <v>0</v>
      </c>
      <c r="GO22" s="503">
        <f t="shared" si="174"/>
        <v>0</v>
      </c>
      <c r="GP22" s="501"/>
      <c r="GQ22" s="502">
        <f t="shared" si="64"/>
        <v>0</v>
      </c>
      <c r="GR22" s="503">
        <f t="shared" si="175"/>
        <v>0</v>
      </c>
      <c r="GS22" s="501"/>
      <c r="GT22" s="502">
        <f t="shared" si="65"/>
        <v>0</v>
      </c>
      <c r="GU22" s="503">
        <f t="shared" si="176"/>
        <v>0</v>
      </c>
      <c r="GV22" s="501"/>
      <c r="GW22" s="502">
        <f t="shared" si="66"/>
        <v>0</v>
      </c>
      <c r="GX22" s="503">
        <f t="shared" si="177"/>
        <v>0</v>
      </c>
      <c r="GY22" s="501"/>
      <c r="GZ22" s="502">
        <f t="shared" si="67"/>
        <v>0</v>
      </c>
      <c r="HA22" s="503">
        <f t="shared" si="178"/>
        <v>0</v>
      </c>
      <c r="HB22" s="501"/>
      <c r="HC22" s="502">
        <f t="shared" si="68"/>
        <v>0</v>
      </c>
      <c r="HD22" s="503">
        <f t="shared" si="179"/>
        <v>0</v>
      </c>
      <c r="HE22" s="501"/>
      <c r="HF22" s="502">
        <f t="shared" si="69"/>
        <v>0</v>
      </c>
      <c r="HG22" s="503">
        <f t="shared" si="180"/>
        <v>0</v>
      </c>
      <c r="HH22" s="501"/>
      <c r="HI22" s="502">
        <f t="shared" si="70"/>
        <v>0</v>
      </c>
      <c r="HJ22" s="503">
        <f t="shared" si="181"/>
        <v>0</v>
      </c>
      <c r="HK22" s="501"/>
      <c r="HL22" s="502">
        <f t="shared" si="71"/>
        <v>0</v>
      </c>
      <c r="HM22" s="503">
        <f t="shared" si="182"/>
        <v>0</v>
      </c>
      <c r="HN22" s="501"/>
      <c r="HO22" s="502">
        <f t="shared" si="72"/>
        <v>0</v>
      </c>
      <c r="HP22" s="503">
        <f t="shared" si="183"/>
        <v>0</v>
      </c>
      <c r="HQ22" s="501"/>
      <c r="HR22" s="502">
        <f t="shared" si="73"/>
        <v>0</v>
      </c>
      <c r="HS22" s="503">
        <f t="shared" si="184"/>
        <v>0</v>
      </c>
      <c r="HT22" s="501"/>
      <c r="HU22" s="502">
        <f t="shared" si="74"/>
        <v>0</v>
      </c>
      <c r="HV22" s="503">
        <f t="shared" si="185"/>
        <v>0</v>
      </c>
      <c r="HW22" s="501"/>
      <c r="HX22" s="502">
        <f t="shared" si="75"/>
        <v>0</v>
      </c>
      <c r="HY22" s="503">
        <f t="shared" si="186"/>
        <v>0</v>
      </c>
      <c r="HZ22" s="501"/>
      <c r="IA22" s="502">
        <f t="shared" si="76"/>
        <v>0</v>
      </c>
      <c r="IB22" s="503">
        <f t="shared" si="187"/>
        <v>0</v>
      </c>
      <c r="IC22" s="501"/>
      <c r="ID22" s="502">
        <f t="shared" si="77"/>
        <v>0</v>
      </c>
      <c r="IE22" s="503">
        <f t="shared" si="188"/>
        <v>0</v>
      </c>
      <c r="IF22" s="501"/>
      <c r="IG22" s="502">
        <f t="shared" si="78"/>
        <v>0</v>
      </c>
      <c r="IH22" s="503">
        <f t="shared" si="189"/>
        <v>0</v>
      </c>
      <c r="II22" s="501"/>
      <c r="IJ22" s="502">
        <f t="shared" si="79"/>
        <v>0</v>
      </c>
      <c r="IK22" s="503">
        <f t="shared" si="190"/>
        <v>0</v>
      </c>
      <c r="IL22" s="501"/>
      <c r="IM22" s="502">
        <f t="shared" si="80"/>
        <v>0</v>
      </c>
      <c r="IN22" s="503">
        <f t="shared" si="191"/>
        <v>0</v>
      </c>
      <c r="IO22" s="501"/>
      <c r="IP22" s="502">
        <f t="shared" si="81"/>
        <v>0</v>
      </c>
      <c r="IQ22" s="503">
        <f t="shared" si="192"/>
        <v>0</v>
      </c>
      <c r="IR22" s="501"/>
      <c r="IS22" s="502">
        <f t="shared" si="82"/>
        <v>0</v>
      </c>
      <c r="IT22" s="503">
        <f t="shared" si="193"/>
        <v>0</v>
      </c>
      <c r="IU22" s="501"/>
      <c r="IV22" s="502">
        <f t="shared" si="83"/>
        <v>0</v>
      </c>
      <c r="IW22" s="503">
        <f t="shared" si="194"/>
        <v>0</v>
      </c>
      <c r="IX22" s="501"/>
      <c r="IY22" s="502">
        <f t="shared" si="84"/>
        <v>0</v>
      </c>
      <c r="IZ22" s="503">
        <f t="shared" si="195"/>
        <v>0</v>
      </c>
      <c r="JA22" s="501"/>
      <c r="JB22" s="502">
        <f t="shared" si="85"/>
        <v>0</v>
      </c>
      <c r="JC22" s="503">
        <f t="shared" si="196"/>
        <v>0</v>
      </c>
      <c r="JD22" s="501"/>
      <c r="JE22" s="502">
        <f t="shared" si="86"/>
        <v>0</v>
      </c>
      <c r="JF22" s="503">
        <f t="shared" si="197"/>
        <v>0</v>
      </c>
      <c r="JG22" s="501"/>
      <c r="JH22" s="502">
        <f t="shared" si="87"/>
        <v>0</v>
      </c>
      <c r="JI22" s="503">
        <f t="shared" si="198"/>
        <v>0</v>
      </c>
      <c r="JJ22" s="501"/>
      <c r="JK22" s="503" t="str">
        <f t="shared" si="88"/>
        <v>0</v>
      </c>
      <c r="JL22" s="503" t="str">
        <f t="shared" si="89"/>
        <v>0</v>
      </c>
      <c r="JM22" s="501"/>
      <c r="JN22" s="503" t="str">
        <f t="shared" si="90"/>
        <v>0</v>
      </c>
      <c r="JO22" s="503" t="str">
        <f t="shared" si="91"/>
        <v>0</v>
      </c>
      <c r="JP22" s="501"/>
      <c r="JQ22" s="503" t="str">
        <f t="shared" si="92"/>
        <v>0</v>
      </c>
      <c r="JR22" s="503" t="str">
        <f t="shared" si="93"/>
        <v>0</v>
      </c>
      <c r="JS22" s="501"/>
      <c r="JT22" s="503" t="str">
        <f t="shared" si="94"/>
        <v>0</v>
      </c>
      <c r="JU22" s="503" t="str">
        <f t="shared" si="95"/>
        <v>0</v>
      </c>
      <c r="JV22" s="501"/>
      <c r="JW22" s="503" t="str">
        <f t="shared" si="96"/>
        <v>0</v>
      </c>
      <c r="JX22" s="503" t="str">
        <f t="shared" si="97"/>
        <v>0</v>
      </c>
      <c r="JY22" s="501"/>
      <c r="JZ22" s="503" t="str">
        <f t="shared" si="98"/>
        <v>0</v>
      </c>
      <c r="KA22" s="503" t="str">
        <f t="shared" si="99"/>
        <v>0</v>
      </c>
      <c r="KB22" s="501"/>
      <c r="KC22" s="503" t="str">
        <f t="shared" si="100"/>
        <v>0</v>
      </c>
      <c r="KD22" s="503" t="str">
        <f t="shared" si="101"/>
        <v>0</v>
      </c>
      <c r="KE22" s="501"/>
      <c r="KF22" s="503" t="str">
        <f t="shared" si="102"/>
        <v>0</v>
      </c>
      <c r="KG22" s="503" t="str">
        <f t="shared" si="103"/>
        <v>0</v>
      </c>
      <c r="KH22" s="501"/>
      <c r="KI22" s="503" t="str">
        <f t="shared" si="104"/>
        <v>0</v>
      </c>
      <c r="KJ22" s="503" t="str">
        <f t="shared" si="105"/>
        <v>0</v>
      </c>
      <c r="KK22" s="501"/>
      <c r="KL22" s="503" t="str">
        <f t="shared" si="106"/>
        <v>0</v>
      </c>
      <c r="KM22" s="503" t="str">
        <f t="shared" si="107"/>
        <v>0</v>
      </c>
      <c r="KN22" s="501"/>
      <c r="KO22" s="503" t="str">
        <f t="shared" si="108"/>
        <v>0</v>
      </c>
      <c r="KP22" s="503" t="str">
        <f t="shared" si="109"/>
        <v>0</v>
      </c>
      <c r="KQ22" s="501"/>
      <c r="KR22" s="503" t="str">
        <f t="shared" si="110"/>
        <v>0</v>
      </c>
      <c r="KS22" s="503" t="str">
        <f t="shared" si="111"/>
        <v>0</v>
      </c>
      <c r="KT22" s="503">
        <f t="shared" si="201"/>
        <v>0</v>
      </c>
      <c r="KU22" s="503">
        <f t="shared" si="202"/>
        <v>0</v>
      </c>
      <c r="KV22" s="264">
        <f t="shared" si="199"/>
        <v>364.45618249077944</v>
      </c>
    </row>
    <row r="23" spans="1:308" ht="15" customHeight="1">
      <c r="A23" s="266">
        <f t="shared" si="200"/>
        <v>45944</v>
      </c>
      <c r="B23" s="267" t="str">
        <f>+Report1!B22</f>
        <v>Toilet</v>
      </c>
      <c r="C23" s="395" t="str">
        <f>+Report1!C22</f>
        <v>14/15</v>
      </c>
      <c r="D23" s="268">
        <f>+Report1!P22</f>
        <v>55.013000000000005</v>
      </c>
      <c r="E23" s="269">
        <f>+Report1!R22</f>
        <v>42.247999999999998</v>
      </c>
      <c r="F23" s="501">
        <v>0</v>
      </c>
      <c r="G23" s="502">
        <f t="shared" si="0"/>
        <v>0</v>
      </c>
      <c r="H23" s="503">
        <f t="shared" si="112"/>
        <v>0</v>
      </c>
      <c r="I23" s="501">
        <v>0</v>
      </c>
      <c r="J23" s="502">
        <f t="shared" si="1"/>
        <v>0</v>
      </c>
      <c r="K23" s="503">
        <f t="shared" si="113"/>
        <v>0</v>
      </c>
      <c r="L23" s="501"/>
      <c r="M23" s="502">
        <f t="shared" si="2"/>
        <v>0</v>
      </c>
      <c r="N23" s="503">
        <f t="shared" si="114"/>
        <v>0</v>
      </c>
      <c r="O23" s="501">
        <v>11.999999999999972</v>
      </c>
      <c r="P23" s="502">
        <f t="shared" si="3"/>
        <v>0.28403711418291927</v>
      </c>
      <c r="Q23" s="503">
        <f t="shared" si="115"/>
        <v>0</v>
      </c>
      <c r="R23" s="501">
        <v>12.812500000000028</v>
      </c>
      <c r="S23" s="502">
        <f t="shared" si="4"/>
        <v>0.3032687937890558</v>
      </c>
      <c r="T23" s="503">
        <f t="shared" si="116"/>
        <v>0</v>
      </c>
      <c r="U23" s="501">
        <v>4.6875</v>
      </c>
      <c r="V23" s="502">
        <f t="shared" si="5"/>
        <v>0.11095199772770309</v>
      </c>
      <c r="W23" s="503">
        <f t="shared" si="117"/>
        <v>0</v>
      </c>
      <c r="X23" s="501"/>
      <c r="Y23" s="502">
        <f t="shared" si="6"/>
        <v>0</v>
      </c>
      <c r="Z23" s="503">
        <f t="shared" si="118"/>
        <v>0</v>
      </c>
      <c r="AA23" s="501"/>
      <c r="AB23" s="502">
        <f t="shared" si="7"/>
        <v>0</v>
      </c>
      <c r="AC23" s="503">
        <f t="shared" si="119"/>
        <v>0</v>
      </c>
      <c r="AD23" s="501"/>
      <c r="AE23" s="502">
        <f t="shared" si="8"/>
        <v>0</v>
      </c>
      <c r="AF23" s="503">
        <f t="shared" si="120"/>
        <v>0</v>
      </c>
      <c r="AG23" s="501"/>
      <c r="AH23" s="502">
        <f t="shared" si="9"/>
        <v>0</v>
      </c>
      <c r="AI23" s="503">
        <f t="shared" si="121"/>
        <v>0</v>
      </c>
      <c r="AJ23" s="501"/>
      <c r="AK23" s="502">
        <f t="shared" si="10"/>
        <v>0</v>
      </c>
      <c r="AL23" s="503">
        <f t="shared" si="122"/>
        <v>0</v>
      </c>
      <c r="AM23" s="501">
        <v>54.807692307692321</v>
      </c>
      <c r="AN23" s="502">
        <f t="shared" si="11"/>
        <v>1.2972848965085289</v>
      </c>
      <c r="AO23" s="503">
        <f t="shared" si="123"/>
        <v>0</v>
      </c>
      <c r="AP23" s="501">
        <v>0</v>
      </c>
      <c r="AQ23" s="502">
        <f t="shared" si="12"/>
        <v>0</v>
      </c>
      <c r="AR23" s="503">
        <f t="shared" si="124"/>
        <v>0</v>
      </c>
      <c r="AS23" s="501"/>
      <c r="AT23" s="502">
        <f t="shared" si="13"/>
        <v>0</v>
      </c>
      <c r="AU23" s="503">
        <f t="shared" si="125"/>
        <v>0</v>
      </c>
      <c r="AV23" s="501">
        <v>11.099999999999966</v>
      </c>
      <c r="AW23" s="502">
        <f t="shared" si="14"/>
        <v>0.2627343306192001</v>
      </c>
      <c r="AX23" s="503">
        <f t="shared" si="126"/>
        <v>0</v>
      </c>
      <c r="AY23" s="501">
        <v>44.333333333333258</v>
      </c>
      <c r="AZ23" s="502">
        <f t="shared" si="15"/>
        <v>1.0493593385091191</v>
      </c>
      <c r="BA23" s="503">
        <f t="shared" si="127"/>
        <v>0</v>
      </c>
      <c r="BB23" s="501"/>
      <c r="BC23" s="502">
        <f t="shared" si="16"/>
        <v>0</v>
      </c>
      <c r="BD23" s="503">
        <f t="shared" si="128"/>
        <v>0</v>
      </c>
      <c r="BE23" s="501"/>
      <c r="BF23" s="502">
        <f t="shared" si="17"/>
        <v>0</v>
      </c>
      <c r="BG23" s="503">
        <f t="shared" si="129"/>
        <v>0</v>
      </c>
      <c r="BH23" s="501"/>
      <c r="BI23" s="502">
        <f t="shared" si="18"/>
        <v>0</v>
      </c>
      <c r="BJ23" s="503">
        <f t="shared" si="130"/>
        <v>0</v>
      </c>
      <c r="BK23" s="501"/>
      <c r="BL23" s="502">
        <f t="shared" si="19"/>
        <v>0</v>
      </c>
      <c r="BM23" s="503">
        <f t="shared" si="131"/>
        <v>0</v>
      </c>
      <c r="BN23" s="501">
        <v>15.185185185185219</v>
      </c>
      <c r="BO23" s="502">
        <f t="shared" si="20"/>
        <v>0.35942968152776983</v>
      </c>
      <c r="BP23" s="503">
        <f t="shared" si="132"/>
        <v>0</v>
      </c>
      <c r="BQ23" s="501">
        <v>0</v>
      </c>
      <c r="BR23" s="502">
        <f t="shared" si="21"/>
        <v>0</v>
      </c>
      <c r="BS23" s="503">
        <f t="shared" si="133"/>
        <v>0</v>
      </c>
      <c r="BT23" s="501"/>
      <c r="BU23" s="502">
        <f t="shared" si="22"/>
        <v>0</v>
      </c>
      <c r="BV23" s="503">
        <f t="shared" si="134"/>
        <v>0</v>
      </c>
      <c r="BW23" s="501"/>
      <c r="BX23" s="502">
        <f t="shared" si="23"/>
        <v>0</v>
      </c>
      <c r="BY23" s="503">
        <f t="shared" si="135"/>
        <v>0</v>
      </c>
      <c r="BZ23" s="501"/>
      <c r="CA23" s="502">
        <f t="shared" si="24"/>
        <v>0</v>
      </c>
      <c r="CB23" s="503">
        <f t="shared" si="136"/>
        <v>0</v>
      </c>
      <c r="CC23" s="501"/>
      <c r="CD23" s="502">
        <f t="shared" si="25"/>
        <v>0</v>
      </c>
      <c r="CE23" s="503">
        <f t="shared" si="137"/>
        <v>0</v>
      </c>
      <c r="CF23" s="501">
        <v>9</v>
      </c>
      <c r="CG23" s="502">
        <f t="shared" si="26"/>
        <v>0.21302783563718994</v>
      </c>
      <c r="CH23" s="503">
        <f t="shared" si="138"/>
        <v>0</v>
      </c>
      <c r="CI23" s="501"/>
      <c r="CJ23" s="502">
        <f t="shared" si="27"/>
        <v>0</v>
      </c>
      <c r="CK23" s="503">
        <f t="shared" si="139"/>
        <v>0</v>
      </c>
      <c r="CL23" s="501"/>
      <c r="CM23" s="502">
        <f t="shared" si="28"/>
        <v>0</v>
      </c>
      <c r="CN23" s="503">
        <f t="shared" si="140"/>
        <v>0</v>
      </c>
      <c r="CO23" s="501"/>
      <c r="CP23" s="502">
        <f t="shared" si="29"/>
        <v>0</v>
      </c>
      <c r="CQ23" s="503">
        <f t="shared" si="141"/>
        <v>0</v>
      </c>
      <c r="CR23" s="501"/>
      <c r="CS23" s="502">
        <f t="shared" si="30"/>
        <v>0</v>
      </c>
      <c r="CT23" s="503">
        <f t="shared" si="142"/>
        <v>0</v>
      </c>
      <c r="CU23" s="501"/>
      <c r="CV23" s="502">
        <f t="shared" si="31"/>
        <v>0</v>
      </c>
      <c r="CW23" s="503">
        <f t="shared" si="143"/>
        <v>0</v>
      </c>
      <c r="CX23" s="501"/>
      <c r="CY23" s="502">
        <f t="shared" si="32"/>
        <v>0</v>
      </c>
      <c r="CZ23" s="503">
        <f t="shared" si="144"/>
        <v>0</v>
      </c>
      <c r="DA23" s="501">
        <v>87.209302325581405</v>
      </c>
      <c r="DB23" s="502">
        <f t="shared" si="33"/>
        <v>2.0642232135386624</v>
      </c>
      <c r="DC23" s="503">
        <f t="shared" si="145"/>
        <v>0</v>
      </c>
      <c r="DD23" s="501"/>
      <c r="DE23" s="502">
        <f t="shared" si="34"/>
        <v>0</v>
      </c>
      <c r="DF23" s="503">
        <f t="shared" si="146"/>
        <v>0</v>
      </c>
      <c r="DG23" s="501"/>
      <c r="DH23" s="502">
        <f t="shared" si="35"/>
        <v>0</v>
      </c>
      <c r="DI23" s="503">
        <f t="shared" si="203"/>
        <v>0</v>
      </c>
      <c r="DJ23" s="501"/>
      <c r="DK23" s="502">
        <f t="shared" si="36"/>
        <v>0</v>
      </c>
      <c r="DL23" s="503">
        <f t="shared" si="147"/>
        <v>0</v>
      </c>
      <c r="DM23" s="501"/>
      <c r="DN23" s="502">
        <f t="shared" si="37"/>
        <v>0</v>
      </c>
      <c r="DO23" s="503">
        <f t="shared" si="148"/>
        <v>0</v>
      </c>
      <c r="DP23" s="501"/>
      <c r="DQ23" s="502">
        <f t="shared" si="38"/>
        <v>0</v>
      </c>
      <c r="DR23" s="503">
        <f t="shared" si="149"/>
        <v>0</v>
      </c>
      <c r="DS23" s="501"/>
      <c r="DT23" s="502">
        <f t="shared" si="39"/>
        <v>0</v>
      </c>
      <c r="DU23" s="503">
        <f t="shared" si="150"/>
        <v>0</v>
      </c>
      <c r="DV23" s="501"/>
      <c r="DW23" s="502">
        <f t="shared" si="40"/>
        <v>0</v>
      </c>
      <c r="DX23" s="503">
        <f t="shared" si="151"/>
        <v>0</v>
      </c>
      <c r="DY23" s="501">
        <v>0</v>
      </c>
      <c r="DZ23" s="502">
        <f t="shared" si="41"/>
        <v>0</v>
      </c>
      <c r="EA23" s="503">
        <f t="shared" si="152"/>
        <v>0</v>
      </c>
      <c r="EB23" s="501">
        <v>14.534883720930281</v>
      </c>
      <c r="EC23" s="502">
        <f t="shared" si="42"/>
        <v>0.34403720225644485</v>
      </c>
      <c r="ED23" s="503">
        <f t="shared" si="153"/>
        <v>0</v>
      </c>
      <c r="EE23" s="501">
        <v>3</v>
      </c>
      <c r="EF23" s="502">
        <f t="shared" si="43"/>
        <v>7.1009278545729984E-2</v>
      </c>
      <c r="EG23" s="503">
        <f t="shared" si="154"/>
        <v>0</v>
      </c>
      <c r="EH23" s="501"/>
      <c r="EI23" s="502">
        <f t="shared" si="44"/>
        <v>0</v>
      </c>
      <c r="EJ23" s="503">
        <f t="shared" si="155"/>
        <v>0</v>
      </c>
      <c r="EK23" s="501"/>
      <c r="EL23" s="502">
        <f t="shared" si="45"/>
        <v>0</v>
      </c>
      <c r="EM23" s="503">
        <f t="shared" si="156"/>
        <v>0</v>
      </c>
      <c r="EN23" s="501"/>
      <c r="EO23" s="502">
        <f t="shared" si="46"/>
        <v>0</v>
      </c>
      <c r="EP23" s="503">
        <f t="shared" si="157"/>
        <v>0</v>
      </c>
      <c r="EQ23" s="501"/>
      <c r="ER23" s="502">
        <f t="shared" si="47"/>
        <v>0</v>
      </c>
      <c r="ES23" s="503">
        <f t="shared" si="158"/>
        <v>0</v>
      </c>
      <c r="ET23" s="501"/>
      <c r="EU23" s="502">
        <f t="shared" si="48"/>
        <v>0</v>
      </c>
      <c r="EV23" s="503">
        <f t="shared" si="159"/>
        <v>0</v>
      </c>
      <c r="EW23" s="501"/>
      <c r="EX23" s="502">
        <f t="shared" si="49"/>
        <v>0</v>
      </c>
      <c r="EY23" s="503">
        <f t="shared" si="160"/>
        <v>0</v>
      </c>
      <c r="EZ23" s="501"/>
      <c r="FA23" s="502">
        <f t="shared" si="50"/>
        <v>0</v>
      </c>
      <c r="FB23" s="503">
        <f t="shared" si="161"/>
        <v>0</v>
      </c>
      <c r="FC23" s="501"/>
      <c r="FD23" s="502">
        <f t="shared" si="51"/>
        <v>0</v>
      </c>
      <c r="FE23" s="503">
        <f t="shared" si="162"/>
        <v>0</v>
      </c>
      <c r="FF23" s="501"/>
      <c r="FG23" s="502">
        <f t="shared" si="52"/>
        <v>0</v>
      </c>
      <c r="FH23" s="503">
        <f t="shared" si="163"/>
        <v>0</v>
      </c>
      <c r="FI23" s="501"/>
      <c r="FJ23" s="502">
        <f t="shared" si="53"/>
        <v>0</v>
      </c>
      <c r="FK23" s="503">
        <f t="shared" si="164"/>
        <v>0</v>
      </c>
      <c r="FL23" s="501"/>
      <c r="FM23" s="502">
        <f t="shared" si="54"/>
        <v>0</v>
      </c>
      <c r="FN23" s="503">
        <f t="shared" si="165"/>
        <v>0</v>
      </c>
      <c r="FO23" s="501"/>
      <c r="FP23" s="502">
        <f t="shared" si="55"/>
        <v>0</v>
      </c>
      <c r="FQ23" s="503">
        <f t="shared" si="166"/>
        <v>0</v>
      </c>
      <c r="FR23" s="501"/>
      <c r="FS23" s="502">
        <f t="shared" si="56"/>
        <v>0</v>
      </c>
      <c r="FT23" s="503">
        <f t="shared" si="167"/>
        <v>0</v>
      </c>
      <c r="FU23" s="501"/>
      <c r="FV23" s="502">
        <f t="shared" si="57"/>
        <v>0</v>
      </c>
      <c r="FW23" s="503">
        <f t="shared" si="168"/>
        <v>0</v>
      </c>
      <c r="FX23" s="501"/>
      <c r="FY23" s="502">
        <f t="shared" si="58"/>
        <v>0</v>
      </c>
      <c r="FZ23" s="503">
        <f t="shared" si="169"/>
        <v>0</v>
      </c>
      <c r="GA23" s="501"/>
      <c r="GB23" s="502">
        <f t="shared" si="59"/>
        <v>0</v>
      </c>
      <c r="GC23" s="503">
        <f t="shared" si="170"/>
        <v>0</v>
      </c>
      <c r="GD23" s="501"/>
      <c r="GE23" s="502">
        <f t="shared" si="60"/>
        <v>0</v>
      </c>
      <c r="GF23" s="503">
        <f t="shared" si="171"/>
        <v>0</v>
      </c>
      <c r="GG23" s="501"/>
      <c r="GH23" s="502">
        <f t="shared" si="61"/>
        <v>0</v>
      </c>
      <c r="GI23" s="503">
        <f t="shared" si="172"/>
        <v>0</v>
      </c>
      <c r="GJ23" s="501"/>
      <c r="GK23" s="502">
        <f t="shared" si="62"/>
        <v>0</v>
      </c>
      <c r="GL23" s="503">
        <f t="shared" si="173"/>
        <v>0</v>
      </c>
      <c r="GM23" s="501"/>
      <c r="GN23" s="502">
        <f t="shared" si="63"/>
        <v>0</v>
      </c>
      <c r="GO23" s="503">
        <f t="shared" si="174"/>
        <v>0</v>
      </c>
      <c r="GP23" s="501"/>
      <c r="GQ23" s="502">
        <f t="shared" si="64"/>
        <v>0</v>
      </c>
      <c r="GR23" s="503">
        <f t="shared" si="175"/>
        <v>0</v>
      </c>
      <c r="GS23" s="501"/>
      <c r="GT23" s="502">
        <f t="shared" si="65"/>
        <v>0</v>
      </c>
      <c r="GU23" s="503">
        <f t="shared" si="176"/>
        <v>0</v>
      </c>
      <c r="GV23" s="501"/>
      <c r="GW23" s="502">
        <f t="shared" si="66"/>
        <v>0</v>
      </c>
      <c r="GX23" s="503">
        <f t="shared" si="177"/>
        <v>0</v>
      </c>
      <c r="GY23" s="501"/>
      <c r="GZ23" s="502">
        <f t="shared" si="67"/>
        <v>0</v>
      </c>
      <c r="HA23" s="503">
        <f t="shared" si="178"/>
        <v>0</v>
      </c>
      <c r="HB23" s="501"/>
      <c r="HC23" s="502">
        <f t="shared" si="68"/>
        <v>0</v>
      </c>
      <c r="HD23" s="503">
        <f t="shared" si="179"/>
        <v>0</v>
      </c>
      <c r="HE23" s="501"/>
      <c r="HF23" s="502">
        <f t="shared" si="69"/>
        <v>0</v>
      </c>
      <c r="HG23" s="503">
        <f t="shared" si="180"/>
        <v>0</v>
      </c>
      <c r="HH23" s="501"/>
      <c r="HI23" s="502">
        <f t="shared" si="70"/>
        <v>0</v>
      </c>
      <c r="HJ23" s="503">
        <f t="shared" si="181"/>
        <v>0</v>
      </c>
      <c r="HK23" s="501"/>
      <c r="HL23" s="502">
        <f t="shared" si="71"/>
        <v>0</v>
      </c>
      <c r="HM23" s="503">
        <f t="shared" si="182"/>
        <v>0</v>
      </c>
      <c r="HN23" s="501"/>
      <c r="HO23" s="502">
        <f t="shared" si="72"/>
        <v>0</v>
      </c>
      <c r="HP23" s="503">
        <f t="shared" si="183"/>
        <v>0</v>
      </c>
      <c r="HQ23" s="501"/>
      <c r="HR23" s="502">
        <f t="shared" si="73"/>
        <v>0</v>
      </c>
      <c r="HS23" s="503">
        <f t="shared" si="184"/>
        <v>0</v>
      </c>
      <c r="HT23" s="501"/>
      <c r="HU23" s="502">
        <f t="shared" si="74"/>
        <v>0</v>
      </c>
      <c r="HV23" s="503">
        <f t="shared" si="185"/>
        <v>0</v>
      </c>
      <c r="HW23" s="501"/>
      <c r="HX23" s="502">
        <f t="shared" si="75"/>
        <v>0</v>
      </c>
      <c r="HY23" s="503">
        <f t="shared" si="186"/>
        <v>0</v>
      </c>
      <c r="HZ23" s="501"/>
      <c r="IA23" s="502">
        <f t="shared" si="76"/>
        <v>0</v>
      </c>
      <c r="IB23" s="503">
        <f t="shared" si="187"/>
        <v>0</v>
      </c>
      <c r="IC23" s="501"/>
      <c r="ID23" s="502">
        <f t="shared" si="77"/>
        <v>0</v>
      </c>
      <c r="IE23" s="503">
        <f t="shared" si="188"/>
        <v>0</v>
      </c>
      <c r="IF23" s="501"/>
      <c r="IG23" s="502">
        <f t="shared" si="78"/>
        <v>0</v>
      </c>
      <c r="IH23" s="503">
        <f t="shared" si="189"/>
        <v>0</v>
      </c>
      <c r="II23" s="501"/>
      <c r="IJ23" s="502">
        <f t="shared" si="79"/>
        <v>0</v>
      </c>
      <c r="IK23" s="503">
        <f t="shared" si="190"/>
        <v>0</v>
      </c>
      <c r="IL23" s="501"/>
      <c r="IM23" s="502">
        <f t="shared" si="80"/>
        <v>0</v>
      </c>
      <c r="IN23" s="503">
        <f t="shared" si="191"/>
        <v>0</v>
      </c>
      <c r="IO23" s="501"/>
      <c r="IP23" s="502">
        <f t="shared" si="81"/>
        <v>0</v>
      </c>
      <c r="IQ23" s="503">
        <f t="shared" si="192"/>
        <v>0</v>
      </c>
      <c r="IR23" s="501"/>
      <c r="IS23" s="502">
        <f t="shared" si="82"/>
        <v>0</v>
      </c>
      <c r="IT23" s="503">
        <f t="shared" si="193"/>
        <v>0</v>
      </c>
      <c r="IU23" s="501"/>
      <c r="IV23" s="502">
        <f t="shared" si="83"/>
        <v>0</v>
      </c>
      <c r="IW23" s="503">
        <f t="shared" si="194"/>
        <v>0</v>
      </c>
      <c r="IX23" s="501"/>
      <c r="IY23" s="502">
        <f t="shared" si="84"/>
        <v>0</v>
      </c>
      <c r="IZ23" s="503">
        <f t="shared" si="195"/>
        <v>0</v>
      </c>
      <c r="JA23" s="501"/>
      <c r="JB23" s="502">
        <f t="shared" si="85"/>
        <v>0</v>
      </c>
      <c r="JC23" s="503">
        <f t="shared" si="196"/>
        <v>0</v>
      </c>
      <c r="JD23" s="501"/>
      <c r="JE23" s="502">
        <f t="shared" si="86"/>
        <v>0</v>
      </c>
      <c r="JF23" s="503">
        <f t="shared" si="197"/>
        <v>0</v>
      </c>
      <c r="JG23" s="501"/>
      <c r="JH23" s="502">
        <f t="shared" si="87"/>
        <v>0</v>
      </c>
      <c r="JI23" s="503">
        <f t="shared" si="198"/>
        <v>0</v>
      </c>
      <c r="JJ23" s="501"/>
      <c r="JK23" s="503" t="str">
        <f t="shared" si="88"/>
        <v>0</v>
      </c>
      <c r="JL23" s="503" t="str">
        <f t="shared" si="89"/>
        <v>0</v>
      </c>
      <c r="JM23" s="501"/>
      <c r="JN23" s="503" t="str">
        <f t="shared" si="90"/>
        <v>0</v>
      </c>
      <c r="JO23" s="503" t="str">
        <f t="shared" si="91"/>
        <v>0</v>
      </c>
      <c r="JP23" s="501"/>
      <c r="JQ23" s="503" t="str">
        <f t="shared" si="92"/>
        <v>0</v>
      </c>
      <c r="JR23" s="503" t="str">
        <f t="shared" si="93"/>
        <v>0</v>
      </c>
      <c r="JS23" s="501"/>
      <c r="JT23" s="503" t="str">
        <f t="shared" si="94"/>
        <v>0</v>
      </c>
      <c r="JU23" s="503" t="str">
        <f t="shared" si="95"/>
        <v>0</v>
      </c>
      <c r="JV23" s="501"/>
      <c r="JW23" s="503" t="str">
        <f t="shared" si="96"/>
        <v>0</v>
      </c>
      <c r="JX23" s="503" t="str">
        <f t="shared" si="97"/>
        <v>0</v>
      </c>
      <c r="JY23" s="501"/>
      <c r="JZ23" s="503" t="str">
        <f t="shared" si="98"/>
        <v>0</v>
      </c>
      <c r="KA23" s="503" t="str">
        <f t="shared" si="99"/>
        <v>0</v>
      </c>
      <c r="KB23" s="501"/>
      <c r="KC23" s="503" t="str">
        <f t="shared" si="100"/>
        <v>0</v>
      </c>
      <c r="KD23" s="503" t="str">
        <f t="shared" si="101"/>
        <v>0</v>
      </c>
      <c r="KE23" s="501"/>
      <c r="KF23" s="503" t="str">
        <f t="shared" si="102"/>
        <v>0</v>
      </c>
      <c r="KG23" s="503" t="str">
        <f t="shared" si="103"/>
        <v>0</v>
      </c>
      <c r="KH23" s="501"/>
      <c r="KI23" s="503" t="str">
        <f t="shared" si="104"/>
        <v>0</v>
      </c>
      <c r="KJ23" s="503" t="str">
        <f t="shared" si="105"/>
        <v>0</v>
      </c>
      <c r="KK23" s="501"/>
      <c r="KL23" s="503" t="str">
        <f t="shared" si="106"/>
        <v>0</v>
      </c>
      <c r="KM23" s="503" t="str">
        <f t="shared" si="107"/>
        <v>0</v>
      </c>
      <c r="KN23" s="501"/>
      <c r="KO23" s="503" t="str">
        <f t="shared" si="108"/>
        <v>0</v>
      </c>
      <c r="KP23" s="503" t="str">
        <f t="shared" si="109"/>
        <v>0</v>
      </c>
      <c r="KQ23" s="501"/>
      <c r="KR23" s="503" t="str">
        <f t="shared" si="110"/>
        <v>0</v>
      </c>
      <c r="KS23" s="503" t="str">
        <f t="shared" si="111"/>
        <v>0</v>
      </c>
      <c r="KT23" s="503">
        <f t="shared" si="201"/>
        <v>0</v>
      </c>
      <c r="KU23" s="503">
        <f t="shared" si="202"/>
        <v>0</v>
      </c>
      <c r="KV23" s="264">
        <f t="shared" si="199"/>
        <v>268.67039687272245</v>
      </c>
    </row>
    <row r="24" spans="1:308" ht="15" customHeight="1">
      <c r="A24" s="266">
        <f t="shared" si="200"/>
        <v>45945</v>
      </c>
      <c r="B24" s="267" t="str">
        <f>+Report1!B23</f>
        <v>Toilet</v>
      </c>
      <c r="C24" s="395" t="str">
        <f>+Report1!C23</f>
        <v>15/14/17</v>
      </c>
      <c r="D24" s="268">
        <f>+Report1!P23</f>
        <v>51.058</v>
      </c>
      <c r="E24" s="269">
        <f>+Report1!R23</f>
        <v>47.104999999999997</v>
      </c>
      <c r="F24" s="501">
        <v>0</v>
      </c>
      <c r="G24" s="502">
        <f t="shared" si="0"/>
        <v>0</v>
      </c>
      <c r="H24" s="503">
        <f t="shared" si="112"/>
        <v>0</v>
      </c>
      <c r="I24" s="501">
        <v>0</v>
      </c>
      <c r="J24" s="502">
        <f t="shared" si="1"/>
        <v>0</v>
      </c>
      <c r="K24" s="503">
        <f t="shared" si="113"/>
        <v>0</v>
      </c>
      <c r="L24" s="501"/>
      <c r="M24" s="502">
        <f t="shared" si="2"/>
        <v>0</v>
      </c>
      <c r="N24" s="503">
        <f t="shared" si="114"/>
        <v>0</v>
      </c>
      <c r="O24" s="501">
        <v>12</v>
      </c>
      <c r="P24" s="502">
        <f t="shared" si="3"/>
        <v>0.25475002653646112</v>
      </c>
      <c r="Q24" s="503">
        <f t="shared" si="115"/>
        <v>0</v>
      </c>
      <c r="R24" s="501">
        <v>5.1249999999999716</v>
      </c>
      <c r="S24" s="502">
        <f t="shared" si="4"/>
        <v>0.10879949049994633</v>
      </c>
      <c r="T24" s="503">
        <f t="shared" si="116"/>
        <v>0</v>
      </c>
      <c r="U24" s="501">
        <v>6.2499999999999716</v>
      </c>
      <c r="V24" s="502">
        <f t="shared" si="5"/>
        <v>0.13268230548773957</v>
      </c>
      <c r="W24" s="503">
        <f t="shared" si="117"/>
        <v>0</v>
      </c>
      <c r="X24" s="501"/>
      <c r="Y24" s="502">
        <f t="shared" si="6"/>
        <v>0</v>
      </c>
      <c r="Z24" s="503">
        <f t="shared" si="118"/>
        <v>0</v>
      </c>
      <c r="AA24" s="501"/>
      <c r="AB24" s="502">
        <f t="shared" si="7"/>
        <v>0</v>
      </c>
      <c r="AC24" s="503">
        <f t="shared" si="119"/>
        <v>0</v>
      </c>
      <c r="AD24" s="501"/>
      <c r="AE24" s="502">
        <f t="shared" si="8"/>
        <v>0</v>
      </c>
      <c r="AF24" s="503">
        <f t="shared" si="120"/>
        <v>0</v>
      </c>
      <c r="AG24" s="501"/>
      <c r="AH24" s="502">
        <f t="shared" si="9"/>
        <v>0</v>
      </c>
      <c r="AI24" s="503">
        <f t="shared" si="121"/>
        <v>0</v>
      </c>
      <c r="AJ24" s="501"/>
      <c r="AK24" s="502">
        <f t="shared" si="10"/>
        <v>0</v>
      </c>
      <c r="AL24" s="503">
        <f t="shared" si="122"/>
        <v>0</v>
      </c>
      <c r="AM24" s="501">
        <v>37.5</v>
      </c>
      <c r="AN24" s="502">
        <f t="shared" si="11"/>
        <v>0.79609383292644098</v>
      </c>
      <c r="AO24" s="503">
        <f t="shared" si="123"/>
        <v>0</v>
      </c>
      <c r="AP24" s="501">
        <v>0</v>
      </c>
      <c r="AQ24" s="502">
        <f t="shared" si="12"/>
        <v>0</v>
      </c>
      <c r="AR24" s="503">
        <f t="shared" si="124"/>
        <v>0</v>
      </c>
      <c r="AS24" s="501"/>
      <c r="AT24" s="502">
        <f t="shared" si="13"/>
        <v>0</v>
      </c>
      <c r="AU24" s="503">
        <f t="shared" si="125"/>
        <v>0</v>
      </c>
      <c r="AV24" s="501">
        <v>2.7749999999999773</v>
      </c>
      <c r="AW24" s="502">
        <f t="shared" si="14"/>
        <v>5.8910943636556148E-2</v>
      </c>
      <c r="AX24" s="503">
        <f t="shared" si="126"/>
        <v>0</v>
      </c>
      <c r="AY24" s="501">
        <v>44.333333333333314</v>
      </c>
      <c r="AZ24" s="502">
        <f t="shared" si="15"/>
        <v>0.94115982025970313</v>
      </c>
      <c r="BA24" s="503">
        <f t="shared" si="127"/>
        <v>0</v>
      </c>
      <c r="BB24" s="501"/>
      <c r="BC24" s="502">
        <f t="shared" si="16"/>
        <v>0</v>
      </c>
      <c r="BD24" s="503">
        <f t="shared" si="128"/>
        <v>0</v>
      </c>
      <c r="BE24" s="501"/>
      <c r="BF24" s="502">
        <f t="shared" si="17"/>
        <v>0</v>
      </c>
      <c r="BG24" s="503">
        <f t="shared" si="129"/>
        <v>0</v>
      </c>
      <c r="BH24" s="501"/>
      <c r="BI24" s="502">
        <f t="shared" si="18"/>
        <v>0</v>
      </c>
      <c r="BJ24" s="503">
        <f t="shared" si="130"/>
        <v>0</v>
      </c>
      <c r="BK24" s="501"/>
      <c r="BL24" s="502">
        <f t="shared" si="19"/>
        <v>0</v>
      </c>
      <c r="BM24" s="503">
        <f t="shared" si="131"/>
        <v>0</v>
      </c>
      <c r="BN24" s="501">
        <v>30.370370370370352</v>
      </c>
      <c r="BO24" s="502">
        <f t="shared" si="20"/>
        <v>0.64473772148116659</v>
      </c>
      <c r="BP24" s="503">
        <f t="shared" si="132"/>
        <v>0</v>
      </c>
      <c r="BQ24" s="501">
        <v>0</v>
      </c>
      <c r="BR24" s="502">
        <f t="shared" si="21"/>
        <v>0</v>
      </c>
      <c r="BS24" s="503">
        <f t="shared" si="133"/>
        <v>0</v>
      </c>
      <c r="BT24" s="501"/>
      <c r="BU24" s="502">
        <f t="shared" si="22"/>
        <v>0</v>
      </c>
      <c r="BV24" s="503">
        <f t="shared" si="134"/>
        <v>0</v>
      </c>
      <c r="BW24" s="501"/>
      <c r="BX24" s="502">
        <f t="shared" si="23"/>
        <v>0</v>
      </c>
      <c r="BY24" s="503">
        <f t="shared" si="135"/>
        <v>0</v>
      </c>
      <c r="BZ24" s="501"/>
      <c r="CA24" s="502">
        <f t="shared" si="24"/>
        <v>0</v>
      </c>
      <c r="CB24" s="503">
        <f t="shared" si="136"/>
        <v>0</v>
      </c>
      <c r="CC24" s="501"/>
      <c r="CD24" s="502">
        <f t="shared" si="25"/>
        <v>0</v>
      </c>
      <c r="CE24" s="503">
        <f t="shared" si="137"/>
        <v>0</v>
      </c>
      <c r="CF24" s="501">
        <v>9.5</v>
      </c>
      <c r="CG24" s="502">
        <f t="shared" si="26"/>
        <v>0.20167710434136504</v>
      </c>
      <c r="CH24" s="503">
        <f t="shared" si="138"/>
        <v>0</v>
      </c>
      <c r="CI24" s="501"/>
      <c r="CJ24" s="502">
        <f t="shared" si="27"/>
        <v>0</v>
      </c>
      <c r="CK24" s="503">
        <f t="shared" si="139"/>
        <v>0</v>
      </c>
      <c r="CL24" s="501"/>
      <c r="CM24" s="502">
        <f t="shared" si="28"/>
        <v>0</v>
      </c>
      <c r="CN24" s="503">
        <f t="shared" si="140"/>
        <v>0</v>
      </c>
      <c r="CO24" s="501"/>
      <c r="CP24" s="502">
        <f t="shared" si="29"/>
        <v>0</v>
      </c>
      <c r="CQ24" s="503">
        <f t="shared" si="141"/>
        <v>0</v>
      </c>
      <c r="CR24" s="501"/>
      <c r="CS24" s="502">
        <f t="shared" si="30"/>
        <v>0</v>
      </c>
      <c r="CT24" s="503">
        <f t="shared" si="142"/>
        <v>0</v>
      </c>
      <c r="CU24" s="501"/>
      <c r="CV24" s="502">
        <f t="shared" si="31"/>
        <v>0</v>
      </c>
      <c r="CW24" s="503">
        <f t="shared" si="143"/>
        <v>0</v>
      </c>
      <c r="CX24" s="501"/>
      <c r="CY24" s="502">
        <f t="shared" si="32"/>
        <v>0</v>
      </c>
      <c r="CZ24" s="503">
        <f t="shared" si="144"/>
        <v>0</v>
      </c>
      <c r="DA24" s="501">
        <v>0</v>
      </c>
      <c r="DB24" s="502">
        <f t="shared" si="33"/>
        <v>0</v>
      </c>
      <c r="DC24" s="503">
        <f t="shared" si="145"/>
        <v>0</v>
      </c>
      <c r="DD24" s="501"/>
      <c r="DE24" s="502">
        <f t="shared" si="34"/>
        <v>0</v>
      </c>
      <c r="DF24" s="503">
        <f t="shared" si="146"/>
        <v>0</v>
      </c>
      <c r="DG24" s="501"/>
      <c r="DH24" s="502">
        <f t="shared" si="35"/>
        <v>0</v>
      </c>
      <c r="DI24" s="503">
        <f t="shared" si="203"/>
        <v>0</v>
      </c>
      <c r="DJ24" s="501"/>
      <c r="DK24" s="502">
        <f t="shared" si="36"/>
        <v>0</v>
      </c>
      <c r="DL24" s="503">
        <f t="shared" si="147"/>
        <v>0</v>
      </c>
      <c r="DM24" s="501"/>
      <c r="DN24" s="502">
        <f t="shared" si="37"/>
        <v>0</v>
      </c>
      <c r="DO24" s="503">
        <f t="shared" si="148"/>
        <v>0</v>
      </c>
      <c r="DP24" s="501"/>
      <c r="DQ24" s="502">
        <f t="shared" si="38"/>
        <v>0</v>
      </c>
      <c r="DR24" s="503">
        <f t="shared" si="149"/>
        <v>0</v>
      </c>
      <c r="DS24" s="501"/>
      <c r="DT24" s="502">
        <f t="shared" si="39"/>
        <v>0</v>
      </c>
      <c r="DU24" s="503">
        <f t="shared" si="150"/>
        <v>0</v>
      </c>
      <c r="DV24" s="501"/>
      <c r="DW24" s="502">
        <f t="shared" si="40"/>
        <v>0</v>
      </c>
      <c r="DX24" s="503">
        <f t="shared" si="151"/>
        <v>0</v>
      </c>
      <c r="DY24" s="501">
        <v>0</v>
      </c>
      <c r="DZ24" s="502">
        <f t="shared" si="41"/>
        <v>0</v>
      </c>
      <c r="EA24" s="503">
        <f t="shared" si="152"/>
        <v>0</v>
      </c>
      <c r="EB24" s="501">
        <v>14.534883720930225</v>
      </c>
      <c r="EC24" s="502">
        <f t="shared" si="42"/>
        <v>0.30856350113427927</v>
      </c>
      <c r="ED24" s="503">
        <f t="shared" si="153"/>
        <v>0</v>
      </c>
      <c r="EE24" s="501">
        <v>3</v>
      </c>
      <c r="EF24" s="502">
        <f t="shared" si="43"/>
        <v>6.3687506634115279E-2</v>
      </c>
      <c r="EG24" s="503">
        <f t="shared" si="154"/>
        <v>0</v>
      </c>
      <c r="EH24" s="501"/>
      <c r="EI24" s="502">
        <f t="shared" si="44"/>
        <v>0</v>
      </c>
      <c r="EJ24" s="503">
        <f t="shared" si="155"/>
        <v>0</v>
      </c>
      <c r="EK24" s="501"/>
      <c r="EL24" s="502">
        <f t="shared" si="45"/>
        <v>0</v>
      </c>
      <c r="EM24" s="503">
        <f t="shared" si="156"/>
        <v>0</v>
      </c>
      <c r="EN24" s="501"/>
      <c r="EO24" s="502">
        <f t="shared" si="46"/>
        <v>0</v>
      </c>
      <c r="EP24" s="503">
        <f t="shared" si="157"/>
        <v>0</v>
      </c>
      <c r="EQ24" s="501"/>
      <c r="ER24" s="502">
        <f t="shared" si="47"/>
        <v>0</v>
      </c>
      <c r="ES24" s="503">
        <f t="shared" si="158"/>
        <v>0</v>
      </c>
      <c r="ET24" s="501"/>
      <c r="EU24" s="502">
        <f t="shared" si="48"/>
        <v>0</v>
      </c>
      <c r="EV24" s="503">
        <f t="shared" si="159"/>
        <v>0</v>
      </c>
      <c r="EW24" s="501"/>
      <c r="EX24" s="502">
        <f t="shared" si="49"/>
        <v>0</v>
      </c>
      <c r="EY24" s="503">
        <f t="shared" si="160"/>
        <v>0</v>
      </c>
      <c r="EZ24" s="501"/>
      <c r="FA24" s="502">
        <f t="shared" si="50"/>
        <v>0</v>
      </c>
      <c r="FB24" s="503">
        <f t="shared" si="161"/>
        <v>0</v>
      </c>
      <c r="FC24" s="501"/>
      <c r="FD24" s="502">
        <f t="shared" si="51"/>
        <v>0</v>
      </c>
      <c r="FE24" s="503">
        <f t="shared" si="162"/>
        <v>0</v>
      </c>
      <c r="FF24" s="501"/>
      <c r="FG24" s="502">
        <f t="shared" si="52"/>
        <v>0</v>
      </c>
      <c r="FH24" s="503">
        <f t="shared" si="163"/>
        <v>0</v>
      </c>
      <c r="FI24" s="501"/>
      <c r="FJ24" s="502">
        <f t="shared" si="53"/>
        <v>0</v>
      </c>
      <c r="FK24" s="503">
        <f t="shared" si="164"/>
        <v>0</v>
      </c>
      <c r="FL24" s="501"/>
      <c r="FM24" s="502">
        <f t="shared" si="54"/>
        <v>0</v>
      </c>
      <c r="FN24" s="503">
        <f t="shared" si="165"/>
        <v>0</v>
      </c>
      <c r="FO24" s="501"/>
      <c r="FP24" s="502">
        <f t="shared" si="55"/>
        <v>0</v>
      </c>
      <c r="FQ24" s="503">
        <f t="shared" si="166"/>
        <v>0</v>
      </c>
      <c r="FR24" s="501"/>
      <c r="FS24" s="502">
        <f t="shared" si="56"/>
        <v>0</v>
      </c>
      <c r="FT24" s="503">
        <f t="shared" si="167"/>
        <v>0</v>
      </c>
      <c r="FU24" s="501"/>
      <c r="FV24" s="502">
        <f t="shared" si="57"/>
        <v>0</v>
      </c>
      <c r="FW24" s="503">
        <f t="shared" si="168"/>
        <v>0</v>
      </c>
      <c r="FX24" s="501"/>
      <c r="FY24" s="502">
        <f t="shared" si="58"/>
        <v>0</v>
      </c>
      <c r="FZ24" s="503">
        <f t="shared" si="169"/>
        <v>0</v>
      </c>
      <c r="GA24" s="501"/>
      <c r="GB24" s="502">
        <f t="shared" si="59"/>
        <v>0</v>
      </c>
      <c r="GC24" s="503">
        <f t="shared" si="170"/>
        <v>0</v>
      </c>
      <c r="GD24" s="501"/>
      <c r="GE24" s="502">
        <f t="shared" si="60"/>
        <v>0</v>
      </c>
      <c r="GF24" s="503">
        <f t="shared" si="171"/>
        <v>0</v>
      </c>
      <c r="GG24" s="501"/>
      <c r="GH24" s="502">
        <f t="shared" si="61"/>
        <v>0</v>
      </c>
      <c r="GI24" s="503">
        <f t="shared" si="172"/>
        <v>0</v>
      </c>
      <c r="GJ24" s="501"/>
      <c r="GK24" s="502">
        <f t="shared" si="62"/>
        <v>0</v>
      </c>
      <c r="GL24" s="503">
        <f t="shared" si="173"/>
        <v>0</v>
      </c>
      <c r="GM24" s="501"/>
      <c r="GN24" s="502">
        <f t="shared" si="63"/>
        <v>0</v>
      </c>
      <c r="GO24" s="503">
        <f t="shared" si="174"/>
        <v>0</v>
      </c>
      <c r="GP24" s="501"/>
      <c r="GQ24" s="502">
        <f t="shared" si="64"/>
        <v>0</v>
      </c>
      <c r="GR24" s="503">
        <f t="shared" si="175"/>
        <v>0</v>
      </c>
      <c r="GS24" s="501"/>
      <c r="GT24" s="502">
        <f t="shared" si="65"/>
        <v>0</v>
      </c>
      <c r="GU24" s="503">
        <f t="shared" si="176"/>
        <v>0</v>
      </c>
      <c r="GV24" s="501"/>
      <c r="GW24" s="502">
        <f t="shared" si="66"/>
        <v>0</v>
      </c>
      <c r="GX24" s="503">
        <f t="shared" si="177"/>
        <v>0</v>
      </c>
      <c r="GY24" s="501"/>
      <c r="GZ24" s="502">
        <f t="shared" si="67"/>
        <v>0</v>
      </c>
      <c r="HA24" s="503">
        <f t="shared" si="178"/>
        <v>0</v>
      </c>
      <c r="HB24" s="501"/>
      <c r="HC24" s="502">
        <f t="shared" si="68"/>
        <v>0</v>
      </c>
      <c r="HD24" s="503">
        <f t="shared" si="179"/>
        <v>0</v>
      </c>
      <c r="HE24" s="501"/>
      <c r="HF24" s="502">
        <f t="shared" si="69"/>
        <v>0</v>
      </c>
      <c r="HG24" s="503">
        <f t="shared" si="180"/>
        <v>0</v>
      </c>
      <c r="HH24" s="501"/>
      <c r="HI24" s="502">
        <f t="shared" si="70"/>
        <v>0</v>
      </c>
      <c r="HJ24" s="503">
        <f t="shared" si="181"/>
        <v>0</v>
      </c>
      <c r="HK24" s="501"/>
      <c r="HL24" s="502">
        <f t="shared" si="71"/>
        <v>0</v>
      </c>
      <c r="HM24" s="503">
        <f t="shared" si="182"/>
        <v>0</v>
      </c>
      <c r="HN24" s="501"/>
      <c r="HO24" s="502">
        <f t="shared" si="72"/>
        <v>0</v>
      </c>
      <c r="HP24" s="503">
        <f t="shared" si="183"/>
        <v>0</v>
      </c>
      <c r="HQ24" s="501"/>
      <c r="HR24" s="502">
        <f t="shared" si="73"/>
        <v>0</v>
      </c>
      <c r="HS24" s="503">
        <f t="shared" si="184"/>
        <v>0</v>
      </c>
      <c r="HT24" s="501"/>
      <c r="HU24" s="502">
        <f t="shared" si="74"/>
        <v>0</v>
      </c>
      <c r="HV24" s="503">
        <f t="shared" si="185"/>
        <v>0</v>
      </c>
      <c r="HW24" s="501"/>
      <c r="HX24" s="502">
        <f t="shared" si="75"/>
        <v>0</v>
      </c>
      <c r="HY24" s="503">
        <f t="shared" si="186"/>
        <v>0</v>
      </c>
      <c r="HZ24" s="501"/>
      <c r="IA24" s="502">
        <f t="shared" si="76"/>
        <v>0</v>
      </c>
      <c r="IB24" s="503">
        <f t="shared" si="187"/>
        <v>0</v>
      </c>
      <c r="IC24" s="501"/>
      <c r="ID24" s="502">
        <f t="shared" si="77"/>
        <v>0</v>
      </c>
      <c r="IE24" s="503">
        <f t="shared" si="188"/>
        <v>0</v>
      </c>
      <c r="IF24" s="501"/>
      <c r="IG24" s="502">
        <f t="shared" si="78"/>
        <v>0</v>
      </c>
      <c r="IH24" s="503">
        <f t="shared" si="189"/>
        <v>0</v>
      </c>
      <c r="II24" s="501"/>
      <c r="IJ24" s="502">
        <f t="shared" si="79"/>
        <v>0</v>
      </c>
      <c r="IK24" s="503">
        <f t="shared" si="190"/>
        <v>0</v>
      </c>
      <c r="IL24" s="501"/>
      <c r="IM24" s="502">
        <f t="shared" si="80"/>
        <v>0</v>
      </c>
      <c r="IN24" s="503">
        <f t="shared" si="191"/>
        <v>0</v>
      </c>
      <c r="IO24" s="501"/>
      <c r="IP24" s="502">
        <f t="shared" si="81"/>
        <v>0</v>
      </c>
      <c r="IQ24" s="503">
        <f t="shared" si="192"/>
        <v>0</v>
      </c>
      <c r="IR24" s="501"/>
      <c r="IS24" s="502">
        <f t="shared" si="82"/>
        <v>0</v>
      </c>
      <c r="IT24" s="503">
        <f t="shared" si="193"/>
        <v>0</v>
      </c>
      <c r="IU24" s="501"/>
      <c r="IV24" s="502">
        <f t="shared" si="83"/>
        <v>0</v>
      </c>
      <c r="IW24" s="503">
        <f t="shared" si="194"/>
        <v>0</v>
      </c>
      <c r="IX24" s="501"/>
      <c r="IY24" s="502">
        <f t="shared" si="84"/>
        <v>0</v>
      </c>
      <c r="IZ24" s="503">
        <f t="shared" si="195"/>
        <v>0</v>
      </c>
      <c r="JA24" s="501"/>
      <c r="JB24" s="502">
        <f t="shared" si="85"/>
        <v>0</v>
      </c>
      <c r="JC24" s="503">
        <f t="shared" si="196"/>
        <v>0</v>
      </c>
      <c r="JD24" s="501"/>
      <c r="JE24" s="502">
        <f t="shared" si="86"/>
        <v>0</v>
      </c>
      <c r="JF24" s="503">
        <f t="shared" si="197"/>
        <v>0</v>
      </c>
      <c r="JG24" s="501"/>
      <c r="JH24" s="502">
        <f t="shared" si="87"/>
        <v>0</v>
      </c>
      <c r="JI24" s="503">
        <f t="shared" si="198"/>
        <v>0</v>
      </c>
      <c r="JJ24" s="501"/>
      <c r="JK24" s="503" t="str">
        <f t="shared" si="88"/>
        <v>0</v>
      </c>
      <c r="JL24" s="503" t="str">
        <f t="shared" si="89"/>
        <v>0</v>
      </c>
      <c r="JM24" s="501"/>
      <c r="JN24" s="503" t="str">
        <f t="shared" si="90"/>
        <v>0</v>
      </c>
      <c r="JO24" s="503" t="str">
        <f t="shared" si="91"/>
        <v>0</v>
      </c>
      <c r="JP24" s="501"/>
      <c r="JQ24" s="503" t="str">
        <f t="shared" si="92"/>
        <v>0</v>
      </c>
      <c r="JR24" s="503" t="str">
        <f t="shared" si="93"/>
        <v>0</v>
      </c>
      <c r="JS24" s="501"/>
      <c r="JT24" s="503" t="str">
        <f t="shared" si="94"/>
        <v>0</v>
      </c>
      <c r="JU24" s="503" t="str">
        <f t="shared" si="95"/>
        <v>0</v>
      </c>
      <c r="JV24" s="501"/>
      <c r="JW24" s="503" t="str">
        <f t="shared" si="96"/>
        <v>0</v>
      </c>
      <c r="JX24" s="503" t="str">
        <f t="shared" si="97"/>
        <v>0</v>
      </c>
      <c r="JY24" s="501"/>
      <c r="JZ24" s="503" t="str">
        <f t="shared" si="98"/>
        <v>0</v>
      </c>
      <c r="KA24" s="503" t="str">
        <f t="shared" si="99"/>
        <v>0</v>
      </c>
      <c r="KB24" s="501"/>
      <c r="KC24" s="503" t="str">
        <f t="shared" si="100"/>
        <v>0</v>
      </c>
      <c r="KD24" s="503" t="str">
        <f t="shared" si="101"/>
        <v>0</v>
      </c>
      <c r="KE24" s="501"/>
      <c r="KF24" s="503" t="str">
        <f t="shared" si="102"/>
        <v>0</v>
      </c>
      <c r="KG24" s="503" t="str">
        <f t="shared" si="103"/>
        <v>0</v>
      </c>
      <c r="KH24" s="501"/>
      <c r="KI24" s="503" t="str">
        <f t="shared" si="104"/>
        <v>0</v>
      </c>
      <c r="KJ24" s="503" t="str">
        <f t="shared" si="105"/>
        <v>0</v>
      </c>
      <c r="KK24" s="501"/>
      <c r="KL24" s="503" t="str">
        <f t="shared" si="106"/>
        <v>0</v>
      </c>
      <c r="KM24" s="503" t="str">
        <f t="shared" si="107"/>
        <v>0</v>
      </c>
      <c r="KN24" s="501"/>
      <c r="KO24" s="503" t="str">
        <f t="shared" si="108"/>
        <v>0</v>
      </c>
      <c r="KP24" s="503" t="str">
        <f t="shared" si="109"/>
        <v>0</v>
      </c>
      <c r="KQ24" s="501"/>
      <c r="KR24" s="503" t="str">
        <f t="shared" si="110"/>
        <v>0</v>
      </c>
      <c r="KS24" s="503" t="str">
        <f t="shared" si="111"/>
        <v>0</v>
      </c>
      <c r="KT24" s="503">
        <f t="shared" si="201"/>
        <v>0</v>
      </c>
      <c r="KU24" s="503">
        <f t="shared" si="202"/>
        <v>0</v>
      </c>
      <c r="KV24" s="264">
        <f t="shared" si="199"/>
        <v>165.38858742463381</v>
      </c>
    </row>
    <row r="25" spans="1:308" ht="15" customHeight="1">
      <c r="A25" s="266">
        <f t="shared" si="200"/>
        <v>45946</v>
      </c>
      <c r="B25" s="267" t="str">
        <f>+Report1!B24</f>
        <v>Toilet/Facial</v>
      </c>
      <c r="C25" s="395" t="str">
        <f>+Report1!C24</f>
        <v>17/13</v>
      </c>
      <c r="D25" s="268">
        <f>+Report1!P24</f>
        <v>49.244</v>
      </c>
      <c r="E25" s="269">
        <f>+Report1!R24</f>
        <v>51.912999999999997</v>
      </c>
      <c r="F25" s="501">
        <v>0</v>
      </c>
      <c r="G25" s="502">
        <f t="shared" si="0"/>
        <v>0</v>
      </c>
      <c r="H25" s="503">
        <f t="shared" si="112"/>
        <v>0</v>
      </c>
      <c r="I25" s="501">
        <v>220.93023255813978</v>
      </c>
      <c r="J25" s="502">
        <f t="shared" si="1"/>
        <v>4.2557785633297982</v>
      </c>
      <c r="K25" s="503">
        <f t="shared" si="113"/>
        <v>0</v>
      </c>
      <c r="L25" s="501"/>
      <c r="M25" s="502">
        <f t="shared" si="2"/>
        <v>0</v>
      </c>
      <c r="N25" s="503">
        <f t="shared" si="114"/>
        <v>0</v>
      </c>
      <c r="O25" s="501">
        <v>9</v>
      </c>
      <c r="P25" s="502">
        <f t="shared" si="3"/>
        <v>0.17336697936932946</v>
      </c>
      <c r="Q25" s="503">
        <f t="shared" si="115"/>
        <v>0</v>
      </c>
      <c r="R25" s="501">
        <v>7.6875</v>
      </c>
      <c r="S25" s="502">
        <f t="shared" si="4"/>
        <v>0.14808429487796892</v>
      </c>
      <c r="T25" s="503">
        <f t="shared" si="116"/>
        <v>0</v>
      </c>
      <c r="U25" s="501">
        <v>6.2500000000000284</v>
      </c>
      <c r="V25" s="502">
        <f t="shared" si="5"/>
        <v>0.12039373567314601</v>
      </c>
      <c r="W25" s="503">
        <f t="shared" si="117"/>
        <v>0</v>
      </c>
      <c r="X25" s="501"/>
      <c r="Y25" s="502">
        <f t="shared" si="6"/>
        <v>0</v>
      </c>
      <c r="Z25" s="503">
        <f t="shared" si="118"/>
        <v>0</v>
      </c>
      <c r="AA25" s="501"/>
      <c r="AB25" s="502">
        <f t="shared" si="7"/>
        <v>0</v>
      </c>
      <c r="AC25" s="503">
        <f t="shared" si="119"/>
        <v>0</v>
      </c>
      <c r="AD25" s="501"/>
      <c r="AE25" s="502">
        <f t="shared" si="8"/>
        <v>0</v>
      </c>
      <c r="AF25" s="503">
        <f t="shared" si="120"/>
        <v>0</v>
      </c>
      <c r="AG25" s="501"/>
      <c r="AH25" s="502">
        <f t="shared" si="9"/>
        <v>0</v>
      </c>
      <c r="AI25" s="503">
        <f t="shared" si="121"/>
        <v>0</v>
      </c>
      <c r="AJ25" s="501"/>
      <c r="AK25" s="502">
        <f t="shared" si="10"/>
        <v>0</v>
      </c>
      <c r="AL25" s="503">
        <f t="shared" si="122"/>
        <v>0</v>
      </c>
      <c r="AM25" s="501">
        <v>40.384615384615415</v>
      </c>
      <c r="AN25" s="502">
        <f t="shared" si="11"/>
        <v>0.77792875358032509</v>
      </c>
      <c r="AO25" s="503">
        <f t="shared" si="123"/>
        <v>0</v>
      </c>
      <c r="AP25" s="501">
        <v>0</v>
      </c>
      <c r="AQ25" s="502">
        <f t="shared" si="12"/>
        <v>0</v>
      </c>
      <c r="AR25" s="503">
        <f t="shared" si="124"/>
        <v>0</v>
      </c>
      <c r="AS25" s="501"/>
      <c r="AT25" s="502">
        <f t="shared" si="13"/>
        <v>0</v>
      </c>
      <c r="AU25" s="503">
        <f t="shared" si="125"/>
        <v>0</v>
      </c>
      <c r="AV25" s="501">
        <v>2.7750000000000341</v>
      </c>
      <c r="AW25" s="502">
        <f t="shared" si="14"/>
        <v>5.3454818638877244E-2</v>
      </c>
      <c r="AX25" s="503">
        <f t="shared" si="126"/>
        <v>0</v>
      </c>
      <c r="AY25" s="501">
        <v>53.666666666666572</v>
      </c>
      <c r="AZ25" s="502">
        <f t="shared" si="15"/>
        <v>1.0337808769800738</v>
      </c>
      <c r="BA25" s="503">
        <f t="shared" si="127"/>
        <v>0</v>
      </c>
      <c r="BB25" s="501"/>
      <c r="BC25" s="502">
        <f t="shared" si="16"/>
        <v>0</v>
      </c>
      <c r="BD25" s="503">
        <f t="shared" si="128"/>
        <v>0</v>
      </c>
      <c r="BE25" s="501"/>
      <c r="BF25" s="502">
        <f t="shared" si="17"/>
        <v>0</v>
      </c>
      <c r="BG25" s="503">
        <f t="shared" si="129"/>
        <v>0</v>
      </c>
      <c r="BH25" s="501"/>
      <c r="BI25" s="502">
        <f t="shared" si="18"/>
        <v>0</v>
      </c>
      <c r="BJ25" s="503">
        <f t="shared" si="130"/>
        <v>0</v>
      </c>
      <c r="BK25" s="501"/>
      <c r="BL25" s="502">
        <f t="shared" si="19"/>
        <v>0</v>
      </c>
      <c r="BM25" s="503">
        <f t="shared" si="131"/>
        <v>0</v>
      </c>
      <c r="BN25" s="501">
        <v>30.370370370370381</v>
      </c>
      <c r="BO25" s="502">
        <f t="shared" si="20"/>
        <v>0.58502437482654412</v>
      </c>
      <c r="BP25" s="503">
        <f t="shared" si="132"/>
        <v>0</v>
      </c>
      <c r="BQ25" s="501">
        <v>0</v>
      </c>
      <c r="BR25" s="502">
        <f t="shared" si="21"/>
        <v>0</v>
      </c>
      <c r="BS25" s="503">
        <f t="shared" si="133"/>
        <v>0</v>
      </c>
      <c r="BT25" s="501"/>
      <c r="BU25" s="502">
        <f t="shared" si="22"/>
        <v>0</v>
      </c>
      <c r="BV25" s="503">
        <f t="shared" si="134"/>
        <v>0</v>
      </c>
      <c r="BW25" s="501"/>
      <c r="BX25" s="502">
        <f t="shared" si="23"/>
        <v>0</v>
      </c>
      <c r="BY25" s="503">
        <f t="shared" si="135"/>
        <v>0</v>
      </c>
      <c r="BZ25" s="501"/>
      <c r="CA25" s="502">
        <f t="shared" si="24"/>
        <v>0</v>
      </c>
      <c r="CB25" s="503">
        <f t="shared" si="136"/>
        <v>0</v>
      </c>
      <c r="CC25" s="501"/>
      <c r="CD25" s="502">
        <f t="shared" si="25"/>
        <v>0</v>
      </c>
      <c r="CE25" s="503">
        <f t="shared" si="137"/>
        <v>0</v>
      </c>
      <c r="CF25" s="501">
        <v>8</v>
      </c>
      <c r="CG25" s="502">
        <f t="shared" si="26"/>
        <v>0.1541039816616262</v>
      </c>
      <c r="CH25" s="503">
        <f t="shared" si="138"/>
        <v>0</v>
      </c>
      <c r="CI25" s="501"/>
      <c r="CJ25" s="502">
        <f t="shared" si="27"/>
        <v>0</v>
      </c>
      <c r="CK25" s="503">
        <f t="shared" si="139"/>
        <v>0</v>
      </c>
      <c r="CL25" s="501"/>
      <c r="CM25" s="502">
        <f t="shared" si="28"/>
        <v>0</v>
      </c>
      <c r="CN25" s="503">
        <f t="shared" si="140"/>
        <v>0</v>
      </c>
      <c r="CO25" s="501"/>
      <c r="CP25" s="502">
        <f t="shared" si="29"/>
        <v>0</v>
      </c>
      <c r="CQ25" s="503">
        <f t="shared" si="141"/>
        <v>0</v>
      </c>
      <c r="CR25" s="501"/>
      <c r="CS25" s="502">
        <f t="shared" si="30"/>
        <v>0</v>
      </c>
      <c r="CT25" s="503">
        <f t="shared" si="142"/>
        <v>0</v>
      </c>
      <c r="CU25" s="501"/>
      <c r="CV25" s="502">
        <f t="shared" si="31"/>
        <v>0</v>
      </c>
      <c r="CW25" s="503">
        <f t="shared" si="143"/>
        <v>0</v>
      </c>
      <c r="CX25" s="501"/>
      <c r="CY25" s="502">
        <f t="shared" si="32"/>
        <v>0</v>
      </c>
      <c r="CZ25" s="503">
        <f t="shared" si="144"/>
        <v>0</v>
      </c>
      <c r="DA25" s="501">
        <v>0</v>
      </c>
      <c r="DB25" s="502">
        <f t="shared" si="33"/>
        <v>0</v>
      </c>
      <c r="DC25" s="503">
        <f t="shared" si="145"/>
        <v>0</v>
      </c>
      <c r="DD25" s="501"/>
      <c r="DE25" s="502">
        <f t="shared" si="34"/>
        <v>0</v>
      </c>
      <c r="DF25" s="503">
        <f t="shared" si="146"/>
        <v>0</v>
      </c>
      <c r="DG25" s="501"/>
      <c r="DH25" s="502">
        <f t="shared" si="35"/>
        <v>0</v>
      </c>
      <c r="DI25" s="503">
        <f t="shared" si="203"/>
        <v>0</v>
      </c>
      <c r="DJ25" s="501"/>
      <c r="DK25" s="502">
        <f t="shared" si="36"/>
        <v>0</v>
      </c>
      <c r="DL25" s="503">
        <f t="shared" si="147"/>
        <v>0</v>
      </c>
      <c r="DM25" s="501"/>
      <c r="DN25" s="502">
        <f t="shared" si="37"/>
        <v>0</v>
      </c>
      <c r="DO25" s="503">
        <f t="shared" si="148"/>
        <v>0</v>
      </c>
      <c r="DP25" s="501"/>
      <c r="DQ25" s="502">
        <f t="shared" si="38"/>
        <v>0</v>
      </c>
      <c r="DR25" s="503">
        <f t="shared" si="149"/>
        <v>0</v>
      </c>
      <c r="DS25" s="501"/>
      <c r="DT25" s="502">
        <f t="shared" si="39"/>
        <v>0</v>
      </c>
      <c r="DU25" s="503">
        <f t="shared" si="150"/>
        <v>0</v>
      </c>
      <c r="DV25" s="501"/>
      <c r="DW25" s="502">
        <f t="shared" si="40"/>
        <v>0</v>
      </c>
      <c r="DX25" s="503">
        <f t="shared" si="151"/>
        <v>0</v>
      </c>
      <c r="DY25" s="501">
        <v>0</v>
      </c>
      <c r="DZ25" s="502">
        <f t="shared" si="41"/>
        <v>0</v>
      </c>
      <c r="EA25" s="503">
        <f t="shared" si="152"/>
        <v>0</v>
      </c>
      <c r="EB25" s="501">
        <v>14.534883720930225</v>
      </c>
      <c r="EC25" s="502">
        <f t="shared" si="42"/>
        <v>0.27998543179801255</v>
      </c>
      <c r="ED25" s="503">
        <f t="shared" si="153"/>
        <v>0</v>
      </c>
      <c r="EE25" s="501">
        <v>3</v>
      </c>
      <c r="EF25" s="502">
        <f t="shared" si="43"/>
        <v>5.7788993123109825E-2</v>
      </c>
      <c r="EG25" s="503">
        <f t="shared" si="154"/>
        <v>0</v>
      </c>
      <c r="EH25" s="501"/>
      <c r="EI25" s="502">
        <f t="shared" si="44"/>
        <v>0</v>
      </c>
      <c r="EJ25" s="503">
        <f t="shared" si="155"/>
        <v>0</v>
      </c>
      <c r="EK25" s="501"/>
      <c r="EL25" s="502">
        <f t="shared" si="45"/>
        <v>0</v>
      </c>
      <c r="EM25" s="503">
        <f t="shared" si="156"/>
        <v>0</v>
      </c>
      <c r="EN25" s="501"/>
      <c r="EO25" s="502">
        <f t="shared" si="46"/>
        <v>0</v>
      </c>
      <c r="EP25" s="503">
        <f t="shared" si="157"/>
        <v>0</v>
      </c>
      <c r="EQ25" s="501"/>
      <c r="ER25" s="502">
        <f t="shared" si="47"/>
        <v>0</v>
      </c>
      <c r="ES25" s="503">
        <f t="shared" si="158"/>
        <v>0</v>
      </c>
      <c r="ET25" s="501"/>
      <c r="EU25" s="502">
        <f t="shared" si="48"/>
        <v>0</v>
      </c>
      <c r="EV25" s="503">
        <f t="shared" si="159"/>
        <v>0</v>
      </c>
      <c r="EW25" s="501"/>
      <c r="EX25" s="502">
        <f t="shared" si="49"/>
        <v>0</v>
      </c>
      <c r="EY25" s="503">
        <f t="shared" si="160"/>
        <v>0</v>
      </c>
      <c r="EZ25" s="501"/>
      <c r="FA25" s="502">
        <f t="shared" si="50"/>
        <v>0</v>
      </c>
      <c r="FB25" s="503">
        <f t="shared" si="161"/>
        <v>0</v>
      </c>
      <c r="FC25" s="501"/>
      <c r="FD25" s="502">
        <f t="shared" si="51"/>
        <v>0</v>
      </c>
      <c r="FE25" s="503">
        <f t="shared" si="162"/>
        <v>0</v>
      </c>
      <c r="FF25" s="501"/>
      <c r="FG25" s="502">
        <f t="shared" si="52"/>
        <v>0</v>
      </c>
      <c r="FH25" s="503">
        <f t="shared" si="163"/>
        <v>0</v>
      </c>
      <c r="FI25" s="501"/>
      <c r="FJ25" s="502">
        <f t="shared" si="53"/>
        <v>0</v>
      </c>
      <c r="FK25" s="503">
        <f t="shared" si="164"/>
        <v>0</v>
      </c>
      <c r="FL25" s="501"/>
      <c r="FM25" s="502">
        <f t="shared" si="54"/>
        <v>0</v>
      </c>
      <c r="FN25" s="503">
        <f t="shared" si="165"/>
        <v>0</v>
      </c>
      <c r="FO25" s="501"/>
      <c r="FP25" s="502">
        <f t="shared" si="55"/>
        <v>0</v>
      </c>
      <c r="FQ25" s="503">
        <f t="shared" si="166"/>
        <v>0</v>
      </c>
      <c r="FR25" s="501"/>
      <c r="FS25" s="502">
        <f t="shared" si="56"/>
        <v>0</v>
      </c>
      <c r="FT25" s="503">
        <f t="shared" si="167"/>
        <v>0</v>
      </c>
      <c r="FU25" s="501"/>
      <c r="FV25" s="502">
        <f t="shared" si="57"/>
        <v>0</v>
      </c>
      <c r="FW25" s="503">
        <f t="shared" si="168"/>
        <v>0</v>
      </c>
      <c r="FX25" s="501"/>
      <c r="FY25" s="502">
        <f t="shared" si="58"/>
        <v>0</v>
      </c>
      <c r="FZ25" s="503">
        <f t="shared" si="169"/>
        <v>0</v>
      </c>
      <c r="GA25" s="501"/>
      <c r="GB25" s="502">
        <f t="shared" si="59"/>
        <v>0</v>
      </c>
      <c r="GC25" s="503">
        <f t="shared" si="170"/>
        <v>0</v>
      </c>
      <c r="GD25" s="501"/>
      <c r="GE25" s="502">
        <f t="shared" si="60"/>
        <v>0</v>
      </c>
      <c r="GF25" s="503">
        <f t="shared" si="171"/>
        <v>0</v>
      </c>
      <c r="GG25" s="501"/>
      <c r="GH25" s="502">
        <f t="shared" si="61"/>
        <v>0</v>
      </c>
      <c r="GI25" s="503">
        <f t="shared" si="172"/>
        <v>0</v>
      </c>
      <c r="GJ25" s="501"/>
      <c r="GK25" s="502">
        <f t="shared" si="62"/>
        <v>0</v>
      </c>
      <c r="GL25" s="503">
        <f t="shared" si="173"/>
        <v>0</v>
      </c>
      <c r="GM25" s="501"/>
      <c r="GN25" s="502">
        <f t="shared" si="63"/>
        <v>0</v>
      </c>
      <c r="GO25" s="503">
        <f t="shared" si="174"/>
        <v>0</v>
      </c>
      <c r="GP25" s="501"/>
      <c r="GQ25" s="502">
        <f t="shared" si="64"/>
        <v>0</v>
      </c>
      <c r="GR25" s="503">
        <f t="shared" si="175"/>
        <v>0</v>
      </c>
      <c r="GS25" s="501"/>
      <c r="GT25" s="502">
        <f t="shared" si="65"/>
        <v>0</v>
      </c>
      <c r="GU25" s="503">
        <f t="shared" si="176"/>
        <v>0</v>
      </c>
      <c r="GV25" s="501"/>
      <c r="GW25" s="502">
        <f t="shared" si="66"/>
        <v>0</v>
      </c>
      <c r="GX25" s="503">
        <f t="shared" si="177"/>
        <v>0</v>
      </c>
      <c r="GY25" s="501"/>
      <c r="GZ25" s="502">
        <f t="shared" si="67"/>
        <v>0</v>
      </c>
      <c r="HA25" s="503">
        <f t="shared" si="178"/>
        <v>0</v>
      </c>
      <c r="HB25" s="501"/>
      <c r="HC25" s="502">
        <f t="shared" si="68"/>
        <v>0</v>
      </c>
      <c r="HD25" s="503">
        <f t="shared" si="179"/>
        <v>0</v>
      </c>
      <c r="HE25" s="501"/>
      <c r="HF25" s="502">
        <f t="shared" si="69"/>
        <v>0</v>
      </c>
      <c r="HG25" s="503">
        <f t="shared" si="180"/>
        <v>0</v>
      </c>
      <c r="HH25" s="501"/>
      <c r="HI25" s="502">
        <f t="shared" si="70"/>
        <v>0</v>
      </c>
      <c r="HJ25" s="503">
        <f t="shared" si="181"/>
        <v>0</v>
      </c>
      <c r="HK25" s="501"/>
      <c r="HL25" s="502">
        <f t="shared" si="71"/>
        <v>0</v>
      </c>
      <c r="HM25" s="503">
        <f t="shared" si="182"/>
        <v>0</v>
      </c>
      <c r="HN25" s="501"/>
      <c r="HO25" s="502">
        <f t="shared" si="72"/>
        <v>0</v>
      </c>
      <c r="HP25" s="503">
        <f t="shared" si="183"/>
        <v>0</v>
      </c>
      <c r="HQ25" s="501"/>
      <c r="HR25" s="502">
        <f t="shared" si="73"/>
        <v>0</v>
      </c>
      <c r="HS25" s="503">
        <f t="shared" si="184"/>
        <v>0</v>
      </c>
      <c r="HT25" s="501"/>
      <c r="HU25" s="502">
        <f t="shared" si="74"/>
        <v>0</v>
      </c>
      <c r="HV25" s="503">
        <f t="shared" si="185"/>
        <v>0</v>
      </c>
      <c r="HW25" s="501"/>
      <c r="HX25" s="502">
        <f t="shared" si="75"/>
        <v>0</v>
      </c>
      <c r="HY25" s="503">
        <f t="shared" si="186"/>
        <v>0</v>
      </c>
      <c r="HZ25" s="501"/>
      <c r="IA25" s="502">
        <f t="shared" si="76"/>
        <v>0</v>
      </c>
      <c r="IB25" s="503">
        <f t="shared" si="187"/>
        <v>0</v>
      </c>
      <c r="IC25" s="501"/>
      <c r="ID25" s="502">
        <f t="shared" si="77"/>
        <v>0</v>
      </c>
      <c r="IE25" s="503">
        <f t="shared" si="188"/>
        <v>0</v>
      </c>
      <c r="IF25" s="501"/>
      <c r="IG25" s="502">
        <f t="shared" si="78"/>
        <v>0</v>
      </c>
      <c r="IH25" s="503">
        <f t="shared" si="189"/>
        <v>0</v>
      </c>
      <c r="II25" s="501"/>
      <c r="IJ25" s="502">
        <f t="shared" si="79"/>
        <v>0</v>
      </c>
      <c r="IK25" s="503">
        <f t="shared" si="190"/>
        <v>0</v>
      </c>
      <c r="IL25" s="501"/>
      <c r="IM25" s="502">
        <f t="shared" si="80"/>
        <v>0</v>
      </c>
      <c r="IN25" s="503">
        <f t="shared" si="191"/>
        <v>0</v>
      </c>
      <c r="IO25" s="501"/>
      <c r="IP25" s="502">
        <f t="shared" si="81"/>
        <v>0</v>
      </c>
      <c r="IQ25" s="503">
        <f t="shared" si="192"/>
        <v>0</v>
      </c>
      <c r="IR25" s="501"/>
      <c r="IS25" s="502">
        <f t="shared" si="82"/>
        <v>0</v>
      </c>
      <c r="IT25" s="503">
        <f t="shared" si="193"/>
        <v>0</v>
      </c>
      <c r="IU25" s="501"/>
      <c r="IV25" s="502">
        <f t="shared" si="83"/>
        <v>0</v>
      </c>
      <c r="IW25" s="503">
        <f t="shared" si="194"/>
        <v>0</v>
      </c>
      <c r="IX25" s="501"/>
      <c r="IY25" s="502">
        <f t="shared" si="84"/>
        <v>0</v>
      </c>
      <c r="IZ25" s="503">
        <f t="shared" si="195"/>
        <v>0</v>
      </c>
      <c r="JA25" s="501"/>
      <c r="JB25" s="502">
        <f t="shared" si="85"/>
        <v>0</v>
      </c>
      <c r="JC25" s="503">
        <f t="shared" si="196"/>
        <v>0</v>
      </c>
      <c r="JD25" s="501"/>
      <c r="JE25" s="502">
        <f t="shared" si="86"/>
        <v>0</v>
      </c>
      <c r="JF25" s="503">
        <f t="shared" si="197"/>
        <v>0</v>
      </c>
      <c r="JG25" s="501"/>
      <c r="JH25" s="502">
        <f t="shared" si="87"/>
        <v>0</v>
      </c>
      <c r="JI25" s="503">
        <f t="shared" si="198"/>
        <v>0</v>
      </c>
      <c r="JJ25" s="501"/>
      <c r="JK25" s="503" t="str">
        <f t="shared" si="88"/>
        <v>0</v>
      </c>
      <c r="JL25" s="503" t="str">
        <f t="shared" si="89"/>
        <v>0</v>
      </c>
      <c r="JM25" s="501"/>
      <c r="JN25" s="503" t="str">
        <f t="shared" si="90"/>
        <v>0</v>
      </c>
      <c r="JO25" s="503" t="str">
        <f t="shared" si="91"/>
        <v>0</v>
      </c>
      <c r="JP25" s="501"/>
      <c r="JQ25" s="503" t="str">
        <f t="shared" si="92"/>
        <v>0</v>
      </c>
      <c r="JR25" s="503" t="str">
        <f t="shared" si="93"/>
        <v>0</v>
      </c>
      <c r="JS25" s="501"/>
      <c r="JT25" s="503" t="str">
        <f t="shared" si="94"/>
        <v>0</v>
      </c>
      <c r="JU25" s="503" t="str">
        <f t="shared" si="95"/>
        <v>0</v>
      </c>
      <c r="JV25" s="501"/>
      <c r="JW25" s="503" t="str">
        <f t="shared" si="96"/>
        <v>0</v>
      </c>
      <c r="JX25" s="503" t="str">
        <f t="shared" si="97"/>
        <v>0</v>
      </c>
      <c r="JY25" s="501"/>
      <c r="JZ25" s="503" t="str">
        <f t="shared" si="98"/>
        <v>0</v>
      </c>
      <c r="KA25" s="503" t="str">
        <f t="shared" si="99"/>
        <v>0</v>
      </c>
      <c r="KB25" s="501"/>
      <c r="KC25" s="503" t="str">
        <f t="shared" si="100"/>
        <v>0</v>
      </c>
      <c r="KD25" s="503" t="str">
        <f t="shared" si="101"/>
        <v>0</v>
      </c>
      <c r="KE25" s="501"/>
      <c r="KF25" s="503" t="str">
        <f t="shared" si="102"/>
        <v>0</v>
      </c>
      <c r="KG25" s="503" t="str">
        <f t="shared" si="103"/>
        <v>0</v>
      </c>
      <c r="KH25" s="501"/>
      <c r="KI25" s="503" t="str">
        <f t="shared" si="104"/>
        <v>0</v>
      </c>
      <c r="KJ25" s="503" t="str">
        <f t="shared" si="105"/>
        <v>0</v>
      </c>
      <c r="KK25" s="501"/>
      <c r="KL25" s="503" t="str">
        <f t="shared" si="106"/>
        <v>0</v>
      </c>
      <c r="KM25" s="503" t="str">
        <f t="shared" si="107"/>
        <v>0</v>
      </c>
      <c r="KN25" s="501"/>
      <c r="KO25" s="503" t="str">
        <f t="shared" si="108"/>
        <v>0</v>
      </c>
      <c r="KP25" s="503" t="str">
        <f t="shared" si="109"/>
        <v>0</v>
      </c>
      <c r="KQ25" s="501"/>
      <c r="KR25" s="503" t="str">
        <f t="shared" si="110"/>
        <v>0</v>
      </c>
      <c r="KS25" s="503" t="str">
        <f t="shared" si="111"/>
        <v>0</v>
      </c>
      <c r="KT25" s="503">
        <f t="shared" si="201"/>
        <v>0</v>
      </c>
      <c r="KU25" s="503">
        <f t="shared" si="202"/>
        <v>0</v>
      </c>
      <c r="KV25" s="264">
        <f t="shared" si="199"/>
        <v>396.59926870072246</v>
      </c>
    </row>
    <row r="26" spans="1:308" ht="15" customHeight="1">
      <c r="A26" s="266">
        <f t="shared" si="200"/>
        <v>45947</v>
      </c>
      <c r="B26" s="267" t="str">
        <f>+Report1!B25</f>
        <v>Facial</v>
      </c>
      <c r="C26" s="395" t="str">
        <f>+Report1!C25</f>
        <v>13/12</v>
      </c>
      <c r="D26" s="268">
        <f>+Report1!P25</f>
        <v>49.757000000000005</v>
      </c>
      <c r="E26" s="269">
        <f>+Report1!R25</f>
        <v>46.854999999999997</v>
      </c>
      <c r="F26" s="501">
        <v>0</v>
      </c>
      <c r="G26" s="502">
        <f t="shared" si="0"/>
        <v>0</v>
      </c>
      <c r="H26" s="503">
        <f t="shared" si="112"/>
        <v>0</v>
      </c>
      <c r="I26" s="501">
        <v>360.46511627906966</v>
      </c>
      <c r="J26" s="502">
        <f t="shared" si="1"/>
        <v>7.6932049147170991</v>
      </c>
      <c r="K26" s="503">
        <f t="shared" si="113"/>
        <v>0</v>
      </c>
      <c r="L26" s="501"/>
      <c r="M26" s="502">
        <f t="shared" si="2"/>
        <v>0</v>
      </c>
      <c r="N26" s="503">
        <f t="shared" si="114"/>
        <v>0</v>
      </c>
      <c r="O26" s="501">
        <v>6.0000000000000284</v>
      </c>
      <c r="P26" s="502">
        <f t="shared" si="3"/>
        <v>0.12805463664496913</v>
      </c>
      <c r="Q26" s="503">
        <f t="shared" si="115"/>
        <v>0</v>
      </c>
      <c r="R26" s="501">
        <v>7.6875</v>
      </c>
      <c r="S26" s="502">
        <f t="shared" si="4"/>
        <v>0.16407000320136592</v>
      </c>
      <c r="T26" s="503">
        <f t="shared" si="116"/>
        <v>0</v>
      </c>
      <c r="U26" s="501">
        <v>7.8124999999999716</v>
      </c>
      <c r="V26" s="502">
        <f t="shared" si="5"/>
        <v>0.16673780813146882</v>
      </c>
      <c r="W26" s="503">
        <f t="shared" si="117"/>
        <v>0</v>
      </c>
      <c r="X26" s="501"/>
      <c r="Y26" s="502">
        <f t="shared" si="6"/>
        <v>0</v>
      </c>
      <c r="Z26" s="503">
        <f t="shared" si="118"/>
        <v>0</v>
      </c>
      <c r="AA26" s="501"/>
      <c r="AB26" s="502">
        <f t="shared" si="7"/>
        <v>0</v>
      </c>
      <c r="AC26" s="503">
        <f t="shared" si="119"/>
        <v>0</v>
      </c>
      <c r="AD26" s="501"/>
      <c r="AE26" s="502">
        <f t="shared" si="8"/>
        <v>0</v>
      </c>
      <c r="AF26" s="503">
        <f t="shared" si="120"/>
        <v>0</v>
      </c>
      <c r="AG26" s="501"/>
      <c r="AH26" s="502">
        <f t="shared" si="9"/>
        <v>0</v>
      </c>
      <c r="AI26" s="503">
        <f t="shared" si="121"/>
        <v>0</v>
      </c>
      <c r="AJ26" s="501"/>
      <c r="AK26" s="502">
        <f t="shared" si="10"/>
        <v>0</v>
      </c>
      <c r="AL26" s="503">
        <f t="shared" si="122"/>
        <v>0</v>
      </c>
      <c r="AM26" s="501">
        <v>51.923076923076906</v>
      </c>
      <c r="AN26" s="502">
        <f t="shared" si="11"/>
        <v>1.1081651248122273</v>
      </c>
      <c r="AO26" s="503">
        <f t="shared" si="123"/>
        <v>0</v>
      </c>
      <c r="AP26" s="501">
        <v>0</v>
      </c>
      <c r="AQ26" s="502">
        <f t="shared" si="12"/>
        <v>0</v>
      </c>
      <c r="AR26" s="503">
        <f t="shared" si="124"/>
        <v>0</v>
      </c>
      <c r="AS26" s="501"/>
      <c r="AT26" s="502">
        <f t="shared" si="13"/>
        <v>0</v>
      </c>
      <c r="AU26" s="503">
        <f t="shared" si="125"/>
        <v>0</v>
      </c>
      <c r="AV26" s="501">
        <v>5.5500000000000114</v>
      </c>
      <c r="AW26" s="502">
        <f t="shared" si="14"/>
        <v>0.11845053889659612</v>
      </c>
      <c r="AX26" s="503">
        <f t="shared" si="126"/>
        <v>0</v>
      </c>
      <c r="AY26" s="501">
        <v>65.333333333333371</v>
      </c>
      <c r="AZ26" s="502">
        <f t="shared" si="15"/>
        <v>1.3943727101341026</v>
      </c>
      <c r="BA26" s="503">
        <f t="shared" si="127"/>
        <v>0</v>
      </c>
      <c r="BB26" s="501"/>
      <c r="BC26" s="502">
        <f t="shared" si="16"/>
        <v>0</v>
      </c>
      <c r="BD26" s="503">
        <f t="shared" si="128"/>
        <v>0</v>
      </c>
      <c r="BE26" s="501"/>
      <c r="BF26" s="502">
        <f t="shared" si="17"/>
        <v>0</v>
      </c>
      <c r="BG26" s="503">
        <f t="shared" si="129"/>
        <v>0</v>
      </c>
      <c r="BH26" s="501"/>
      <c r="BI26" s="502">
        <f t="shared" si="18"/>
        <v>0</v>
      </c>
      <c r="BJ26" s="503">
        <f t="shared" si="130"/>
        <v>0</v>
      </c>
      <c r="BK26" s="501"/>
      <c r="BL26" s="502">
        <f t="shared" si="19"/>
        <v>0</v>
      </c>
      <c r="BM26" s="503">
        <f t="shared" si="131"/>
        <v>0</v>
      </c>
      <c r="BN26" s="501">
        <v>25.308641975308646</v>
      </c>
      <c r="BO26" s="502">
        <f t="shared" si="20"/>
        <v>0.54014815868762456</v>
      </c>
      <c r="BP26" s="503">
        <f t="shared" si="132"/>
        <v>0</v>
      </c>
      <c r="BQ26" s="501">
        <v>7.6923076923077076</v>
      </c>
      <c r="BR26" s="502">
        <f t="shared" si="21"/>
        <v>0.16417261108329331</v>
      </c>
      <c r="BS26" s="503">
        <f t="shared" si="133"/>
        <v>0</v>
      </c>
      <c r="BT26" s="501"/>
      <c r="BU26" s="502">
        <f t="shared" si="22"/>
        <v>0</v>
      </c>
      <c r="BV26" s="503">
        <f t="shared" si="134"/>
        <v>0</v>
      </c>
      <c r="BW26" s="501"/>
      <c r="BX26" s="502">
        <f t="shared" si="23"/>
        <v>0</v>
      </c>
      <c r="BY26" s="503">
        <f t="shared" si="135"/>
        <v>0</v>
      </c>
      <c r="BZ26" s="501"/>
      <c r="CA26" s="502">
        <f t="shared" si="24"/>
        <v>0</v>
      </c>
      <c r="CB26" s="503">
        <f t="shared" si="136"/>
        <v>0</v>
      </c>
      <c r="CC26" s="501"/>
      <c r="CD26" s="502">
        <f t="shared" si="25"/>
        <v>0</v>
      </c>
      <c r="CE26" s="503">
        <f t="shared" si="137"/>
        <v>0</v>
      </c>
      <c r="CF26" s="501">
        <v>8</v>
      </c>
      <c r="CG26" s="502">
        <f t="shared" si="26"/>
        <v>0.1707395155266247</v>
      </c>
      <c r="CH26" s="503">
        <f t="shared" si="138"/>
        <v>0</v>
      </c>
      <c r="CI26" s="501"/>
      <c r="CJ26" s="502">
        <f t="shared" si="27"/>
        <v>0</v>
      </c>
      <c r="CK26" s="503">
        <f t="shared" si="139"/>
        <v>0</v>
      </c>
      <c r="CL26" s="501"/>
      <c r="CM26" s="502">
        <f t="shared" si="28"/>
        <v>0</v>
      </c>
      <c r="CN26" s="503">
        <f t="shared" si="140"/>
        <v>0</v>
      </c>
      <c r="CO26" s="501"/>
      <c r="CP26" s="502">
        <f t="shared" si="29"/>
        <v>0</v>
      </c>
      <c r="CQ26" s="503">
        <f t="shared" si="141"/>
        <v>0</v>
      </c>
      <c r="CR26" s="501"/>
      <c r="CS26" s="502">
        <f t="shared" si="30"/>
        <v>0</v>
      </c>
      <c r="CT26" s="503">
        <f t="shared" si="142"/>
        <v>0</v>
      </c>
      <c r="CU26" s="501"/>
      <c r="CV26" s="502">
        <f t="shared" si="31"/>
        <v>0</v>
      </c>
      <c r="CW26" s="503">
        <f t="shared" si="143"/>
        <v>0</v>
      </c>
      <c r="CX26" s="501"/>
      <c r="CY26" s="502">
        <f t="shared" si="32"/>
        <v>0</v>
      </c>
      <c r="CZ26" s="503">
        <f t="shared" si="144"/>
        <v>0</v>
      </c>
      <c r="DA26" s="501">
        <v>0</v>
      </c>
      <c r="DB26" s="502">
        <f t="shared" si="33"/>
        <v>0</v>
      </c>
      <c r="DC26" s="503">
        <f t="shared" si="145"/>
        <v>0</v>
      </c>
      <c r="DD26" s="501"/>
      <c r="DE26" s="502">
        <f t="shared" si="34"/>
        <v>0</v>
      </c>
      <c r="DF26" s="503">
        <f t="shared" si="146"/>
        <v>0</v>
      </c>
      <c r="DG26" s="501"/>
      <c r="DH26" s="502">
        <f t="shared" si="35"/>
        <v>0</v>
      </c>
      <c r="DI26" s="503">
        <f t="shared" si="203"/>
        <v>0</v>
      </c>
      <c r="DJ26" s="501"/>
      <c r="DK26" s="502">
        <f t="shared" si="36"/>
        <v>0</v>
      </c>
      <c r="DL26" s="503">
        <f t="shared" si="147"/>
        <v>0</v>
      </c>
      <c r="DM26" s="501"/>
      <c r="DN26" s="502">
        <f t="shared" si="37"/>
        <v>0</v>
      </c>
      <c r="DO26" s="503">
        <f t="shared" si="148"/>
        <v>0</v>
      </c>
      <c r="DP26" s="501"/>
      <c r="DQ26" s="502">
        <f t="shared" si="38"/>
        <v>0</v>
      </c>
      <c r="DR26" s="503">
        <f t="shared" si="149"/>
        <v>0</v>
      </c>
      <c r="DS26" s="501"/>
      <c r="DT26" s="502">
        <f t="shared" si="39"/>
        <v>0</v>
      </c>
      <c r="DU26" s="503">
        <f t="shared" si="150"/>
        <v>0</v>
      </c>
      <c r="DV26" s="501"/>
      <c r="DW26" s="502">
        <f t="shared" si="40"/>
        <v>0</v>
      </c>
      <c r="DX26" s="503">
        <f t="shared" si="151"/>
        <v>0</v>
      </c>
      <c r="DY26" s="501">
        <v>0</v>
      </c>
      <c r="DZ26" s="502">
        <f t="shared" si="41"/>
        <v>0</v>
      </c>
      <c r="EA26" s="503">
        <f t="shared" si="152"/>
        <v>0</v>
      </c>
      <c r="EB26" s="501">
        <v>14.534883720930225</v>
      </c>
      <c r="EC26" s="502">
        <f t="shared" si="42"/>
        <v>0.31020987559343133</v>
      </c>
      <c r="ED26" s="503">
        <f t="shared" si="153"/>
        <v>0</v>
      </c>
      <c r="EE26" s="501">
        <v>2</v>
      </c>
      <c r="EF26" s="502">
        <f t="shared" si="43"/>
        <v>4.2684878881656174E-2</v>
      </c>
      <c r="EG26" s="503">
        <f t="shared" si="154"/>
        <v>0</v>
      </c>
      <c r="EH26" s="501"/>
      <c r="EI26" s="502">
        <f t="shared" si="44"/>
        <v>0</v>
      </c>
      <c r="EJ26" s="503">
        <f t="shared" si="155"/>
        <v>0</v>
      </c>
      <c r="EK26" s="501"/>
      <c r="EL26" s="502">
        <f t="shared" si="45"/>
        <v>0</v>
      </c>
      <c r="EM26" s="503">
        <f t="shared" si="156"/>
        <v>0</v>
      </c>
      <c r="EN26" s="501"/>
      <c r="EO26" s="502">
        <f t="shared" si="46"/>
        <v>0</v>
      </c>
      <c r="EP26" s="503">
        <f t="shared" si="157"/>
        <v>0</v>
      </c>
      <c r="EQ26" s="501"/>
      <c r="ER26" s="502">
        <f t="shared" si="47"/>
        <v>0</v>
      </c>
      <c r="ES26" s="503">
        <f t="shared" si="158"/>
        <v>0</v>
      </c>
      <c r="ET26" s="501"/>
      <c r="EU26" s="502">
        <f t="shared" si="48"/>
        <v>0</v>
      </c>
      <c r="EV26" s="503">
        <f t="shared" si="159"/>
        <v>0</v>
      </c>
      <c r="EW26" s="501"/>
      <c r="EX26" s="502">
        <f t="shared" si="49"/>
        <v>0</v>
      </c>
      <c r="EY26" s="503">
        <f t="shared" si="160"/>
        <v>0</v>
      </c>
      <c r="EZ26" s="501"/>
      <c r="FA26" s="502">
        <f t="shared" si="50"/>
        <v>0</v>
      </c>
      <c r="FB26" s="503">
        <f t="shared" si="161"/>
        <v>0</v>
      </c>
      <c r="FC26" s="501"/>
      <c r="FD26" s="502">
        <f t="shared" si="51"/>
        <v>0</v>
      </c>
      <c r="FE26" s="503">
        <f t="shared" si="162"/>
        <v>0</v>
      </c>
      <c r="FF26" s="501"/>
      <c r="FG26" s="502">
        <f t="shared" si="52"/>
        <v>0</v>
      </c>
      <c r="FH26" s="503">
        <f t="shared" si="163"/>
        <v>0</v>
      </c>
      <c r="FI26" s="501"/>
      <c r="FJ26" s="502">
        <f t="shared" si="53"/>
        <v>0</v>
      </c>
      <c r="FK26" s="503">
        <f t="shared" si="164"/>
        <v>0</v>
      </c>
      <c r="FL26" s="501"/>
      <c r="FM26" s="502">
        <f t="shared" si="54"/>
        <v>0</v>
      </c>
      <c r="FN26" s="503">
        <f t="shared" si="165"/>
        <v>0</v>
      </c>
      <c r="FO26" s="501"/>
      <c r="FP26" s="502">
        <f t="shared" si="55"/>
        <v>0</v>
      </c>
      <c r="FQ26" s="503">
        <f t="shared" si="166"/>
        <v>0</v>
      </c>
      <c r="FR26" s="501"/>
      <c r="FS26" s="502">
        <f t="shared" si="56"/>
        <v>0</v>
      </c>
      <c r="FT26" s="503">
        <f t="shared" si="167"/>
        <v>0</v>
      </c>
      <c r="FU26" s="501"/>
      <c r="FV26" s="502">
        <f t="shared" si="57"/>
        <v>0</v>
      </c>
      <c r="FW26" s="503">
        <f t="shared" si="168"/>
        <v>0</v>
      </c>
      <c r="FX26" s="501"/>
      <c r="FY26" s="502">
        <f t="shared" si="58"/>
        <v>0</v>
      </c>
      <c r="FZ26" s="503">
        <f t="shared" si="169"/>
        <v>0</v>
      </c>
      <c r="GA26" s="501"/>
      <c r="GB26" s="502">
        <f t="shared" si="59"/>
        <v>0</v>
      </c>
      <c r="GC26" s="503">
        <f t="shared" si="170"/>
        <v>0</v>
      </c>
      <c r="GD26" s="501"/>
      <c r="GE26" s="502">
        <f t="shared" si="60"/>
        <v>0</v>
      </c>
      <c r="GF26" s="503">
        <f t="shared" si="171"/>
        <v>0</v>
      </c>
      <c r="GG26" s="501"/>
      <c r="GH26" s="502">
        <f t="shared" si="61"/>
        <v>0</v>
      </c>
      <c r="GI26" s="503">
        <f t="shared" si="172"/>
        <v>0</v>
      </c>
      <c r="GJ26" s="501"/>
      <c r="GK26" s="502">
        <f t="shared" si="62"/>
        <v>0</v>
      </c>
      <c r="GL26" s="503">
        <f t="shared" si="173"/>
        <v>0</v>
      </c>
      <c r="GM26" s="501"/>
      <c r="GN26" s="502">
        <f t="shared" si="63"/>
        <v>0</v>
      </c>
      <c r="GO26" s="503">
        <f t="shared" si="174"/>
        <v>0</v>
      </c>
      <c r="GP26" s="501"/>
      <c r="GQ26" s="502">
        <f t="shared" si="64"/>
        <v>0</v>
      </c>
      <c r="GR26" s="503">
        <f t="shared" si="175"/>
        <v>0</v>
      </c>
      <c r="GS26" s="501"/>
      <c r="GT26" s="502">
        <f t="shared" si="65"/>
        <v>0</v>
      </c>
      <c r="GU26" s="503">
        <f t="shared" si="176"/>
        <v>0</v>
      </c>
      <c r="GV26" s="501"/>
      <c r="GW26" s="502">
        <f t="shared" si="66"/>
        <v>0</v>
      </c>
      <c r="GX26" s="503">
        <f t="shared" si="177"/>
        <v>0</v>
      </c>
      <c r="GY26" s="501"/>
      <c r="GZ26" s="502">
        <f t="shared" si="67"/>
        <v>0</v>
      </c>
      <c r="HA26" s="503">
        <f t="shared" si="178"/>
        <v>0</v>
      </c>
      <c r="HB26" s="501"/>
      <c r="HC26" s="502">
        <f t="shared" si="68"/>
        <v>0</v>
      </c>
      <c r="HD26" s="503">
        <f t="shared" si="179"/>
        <v>0</v>
      </c>
      <c r="HE26" s="501"/>
      <c r="HF26" s="502">
        <f t="shared" si="69"/>
        <v>0</v>
      </c>
      <c r="HG26" s="503">
        <f t="shared" si="180"/>
        <v>0</v>
      </c>
      <c r="HH26" s="501"/>
      <c r="HI26" s="502">
        <f t="shared" si="70"/>
        <v>0</v>
      </c>
      <c r="HJ26" s="503">
        <f t="shared" si="181"/>
        <v>0</v>
      </c>
      <c r="HK26" s="501"/>
      <c r="HL26" s="502">
        <f t="shared" si="71"/>
        <v>0</v>
      </c>
      <c r="HM26" s="503">
        <f t="shared" si="182"/>
        <v>0</v>
      </c>
      <c r="HN26" s="501"/>
      <c r="HO26" s="502">
        <f t="shared" si="72"/>
        <v>0</v>
      </c>
      <c r="HP26" s="503">
        <f t="shared" si="183"/>
        <v>0</v>
      </c>
      <c r="HQ26" s="501"/>
      <c r="HR26" s="502">
        <f t="shared" si="73"/>
        <v>0</v>
      </c>
      <c r="HS26" s="503">
        <f t="shared" si="184"/>
        <v>0</v>
      </c>
      <c r="HT26" s="501"/>
      <c r="HU26" s="502">
        <f t="shared" si="74"/>
        <v>0</v>
      </c>
      <c r="HV26" s="503">
        <f t="shared" si="185"/>
        <v>0</v>
      </c>
      <c r="HW26" s="501"/>
      <c r="HX26" s="502">
        <f t="shared" si="75"/>
        <v>0</v>
      </c>
      <c r="HY26" s="503">
        <f t="shared" si="186"/>
        <v>0</v>
      </c>
      <c r="HZ26" s="501"/>
      <c r="IA26" s="502">
        <f t="shared" si="76"/>
        <v>0</v>
      </c>
      <c r="IB26" s="503">
        <f t="shared" si="187"/>
        <v>0</v>
      </c>
      <c r="IC26" s="501"/>
      <c r="ID26" s="502">
        <f t="shared" si="77"/>
        <v>0</v>
      </c>
      <c r="IE26" s="503">
        <f t="shared" si="188"/>
        <v>0</v>
      </c>
      <c r="IF26" s="501"/>
      <c r="IG26" s="502">
        <f t="shared" si="78"/>
        <v>0</v>
      </c>
      <c r="IH26" s="503">
        <f t="shared" si="189"/>
        <v>0</v>
      </c>
      <c r="II26" s="501"/>
      <c r="IJ26" s="502">
        <f t="shared" si="79"/>
        <v>0</v>
      </c>
      <c r="IK26" s="503">
        <f t="shared" si="190"/>
        <v>0</v>
      </c>
      <c r="IL26" s="501"/>
      <c r="IM26" s="502">
        <f t="shared" si="80"/>
        <v>0</v>
      </c>
      <c r="IN26" s="503">
        <f t="shared" si="191"/>
        <v>0</v>
      </c>
      <c r="IO26" s="501"/>
      <c r="IP26" s="502">
        <f t="shared" si="81"/>
        <v>0</v>
      </c>
      <c r="IQ26" s="503">
        <f t="shared" si="192"/>
        <v>0</v>
      </c>
      <c r="IR26" s="501"/>
      <c r="IS26" s="502">
        <f t="shared" si="82"/>
        <v>0</v>
      </c>
      <c r="IT26" s="503">
        <f t="shared" si="193"/>
        <v>0</v>
      </c>
      <c r="IU26" s="501"/>
      <c r="IV26" s="502">
        <f t="shared" si="83"/>
        <v>0</v>
      </c>
      <c r="IW26" s="503">
        <f t="shared" si="194"/>
        <v>0</v>
      </c>
      <c r="IX26" s="501"/>
      <c r="IY26" s="502">
        <f t="shared" si="84"/>
        <v>0</v>
      </c>
      <c r="IZ26" s="503">
        <f t="shared" si="195"/>
        <v>0</v>
      </c>
      <c r="JA26" s="501"/>
      <c r="JB26" s="502">
        <f t="shared" si="85"/>
        <v>0</v>
      </c>
      <c r="JC26" s="503">
        <f t="shared" si="196"/>
        <v>0</v>
      </c>
      <c r="JD26" s="501"/>
      <c r="JE26" s="502">
        <f t="shared" si="86"/>
        <v>0</v>
      </c>
      <c r="JF26" s="503">
        <f t="shared" si="197"/>
        <v>0</v>
      </c>
      <c r="JG26" s="501"/>
      <c r="JH26" s="502">
        <f t="shared" si="87"/>
        <v>0</v>
      </c>
      <c r="JI26" s="503">
        <f t="shared" si="198"/>
        <v>0</v>
      </c>
      <c r="JJ26" s="501"/>
      <c r="JK26" s="503" t="str">
        <f t="shared" si="88"/>
        <v>0</v>
      </c>
      <c r="JL26" s="503" t="str">
        <f t="shared" si="89"/>
        <v>0</v>
      </c>
      <c r="JM26" s="501"/>
      <c r="JN26" s="503" t="str">
        <f t="shared" si="90"/>
        <v>0</v>
      </c>
      <c r="JO26" s="503" t="str">
        <f t="shared" si="91"/>
        <v>0</v>
      </c>
      <c r="JP26" s="501"/>
      <c r="JQ26" s="503" t="str">
        <f t="shared" si="92"/>
        <v>0</v>
      </c>
      <c r="JR26" s="503" t="str">
        <f t="shared" si="93"/>
        <v>0</v>
      </c>
      <c r="JS26" s="501"/>
      <c r="JT26" s="503" t="str">
        <f t="shared" si="94"/>
        <v>0</v>
      </c>
      <c r="JU26" s="503" t="str">
        <f t="shared" si="95"/>
        <v>0</v>
      </c>
      <c r="JV26" s="501"/>
      <c r="JW26" s="503" t="str">
        <f t="shared" si="96"/>
        <v>0</v>
      </c>
      <c r="JX26" s="503" t="str">
        <f t="shared" si="97"/>
        <v>0</v>
      </c>
      <c r="JY26" s="501"/>
      <c r="JZ26" s="503" t="str">
        <f t="shared" si="98"/>
        <v>0</v>
      </c>
      <c r="KA26" s="503" t="str">
        <f t="shared" si="99"/>
        <v>0</v>
      </c>
      <c r="KB26" s="501"/>
      <c r="KC26" s="503" t="str">
        <f t="shared" si="100"/>
        <v>0</v>
      </c>
      <c r="KD26" s="503" t="str">
        <f t="shared" si="101"/>
        <v>0</v>
      </c>
      <c r="KE26" s="501"/>
      <c r="KF26" s="503" t="str">
        <f t="shared" si="102"/>
        <v>0</v>
      </c>
      <c r="KG26" s="503" t="str">
        <f t="shared" si="103"/>
        <v>0</v>
      </c>
      <c r="KH26" s="501"/>
      <c r="KI26" s="503" t="str">
        <f t="shared" si="104"/>
        <v>0</v>
      </c>
      <c r="KJ26" s="503" t="str">
        <f t="shared" si="105"/>
        <v>0</v>
      </c>
      <c r="KK26" s="501"/>
      <c r="KL26" s="503" t="str">
        <f t="shared" si="106"/>
        <v>0</v>
      </c>
      <c r="KM26" s="503" t="str">
        <f t="shared" si="107"/>
        <v>0</v>
      </c>
      <c r="KN26" s="501"/>
      <c r="KO26" s="503" t="str">
        <f t="shared" si="108"/>
        <v>0</v>
      </c>
      <c r="KP26" s="503" t="str">
        <f t="shared" si="109"/>
        <v>0</v>
      </c>
      <c r="KQ26" s="501"/>
      <c r="KR26" s="503" t="str">
        <f t="shared" si="110"/>
        <v>0</v>
      </c>
      <c r="KS26" s="503" t="str">
        <f t="shared" si="111"/>
        <v>0</v>
      </c>
      <c r="KT26" s="503">
        <f t="shared" si="201"/>
        <v>0</v>
      </c>
      <c r="KU26" s="503">
        <f t="shared" si="202"/>
        <v>0</v>
      </c>
      <c r="KV26" s="264">
        <f t="shared" si="199"/>
        <v>562.30735992402651</v>
      </c>
    </row>
    <row r="27" spans="1:308" ht="15" customHeight="1">
      <c r="A27" s="266">
        <f t="shared" si="200"/>
        <v>45948</v>
      </c>
      <c r="B27" s="267" t="str">
        <f>+Report1!B26</f>
        <v>Facial</v>
      </c>
      <c r="C27" s="395" t="str">
        <f>+Report1!C26</f>
        <v>12</v>
      </c>
      <c r="D27" s="268">
        <f>+Report1!P26</f>
        <v>45.534999999999997</v>
      </c>
      <c r="E27" s="269">
        <f>+Report1!R26</f>
        <v>44.656999999999996</v>
      </c>
      <c r="F27" s="501">
        <v>0</v>
      </c>
      <c r="G27" s="502">
        <f t="shared" si="0"/>
        <v>0</v>
      </c>
      <c r="H27" s="503">
        <f t="shared" si="112"/>
        <v>0</v>
      </c>
      <c r="I27" s="501">
        <v>286.10364186046513</v>
      </c>
      <c r="J27" s="502">
        <f t="shared" si="1"/>
        <v>6.4066919376685663</v>
      </c>
      <c r="K27" s="503">
        <f t="shared" si="113"/>
        <v>0</v>
      </c>
      <c r="L27" s="501"/>
      <c r="M27" s="502">
        <f t="shared" si="2"/>
        <v>0</v>
      </c>
      <c r="N27" s="503">
        <f t="shared" si="114"/>
        <v>0</v>
      </c>
      <c r="O27" s="501">
        <v>10.499999999999972</v>
      </c>
      <c r="P27" s="502">
        <f t="shared" si="3"/>
        <v>0.23512551223772246</v>
      </c>
      <c r="Q27" s="503">
        <f t="shared" si="115"/>
        <v>0</v>
      </c>
      <c r="R27" s="501">
        <v>6.4062500000000284</v>
      </c>
      <c r="S27" s="502">
        <f t="shared" si="4"/>
        <v>0.14345455359742099</v>
      </c>
      <c r="T27" s="503">
        <f t="shared" si="116"/>
        <v>0</v>
      </c>
      <c r="U27" s="501">
        <v>4.6875000000000284</v>
      </c>
      <c r="V27" s="502">
        <f t="shared" si="5"/>
        <v>0.10496674653469845</v>
      </c>
      <c r="W27" s="503">
        <f t="shared" si="117"/>
        <v>0</v>
      </c>
      <c r="X27" s="501"/>
      <c r="Y27" s="502">
        <f t="shared" si="6"/>
        <v>0</v>
      </c>
      <c r="Z27" s="503">
        <f t="shared" si="118"/>
        <v>0</v>
      </c>
      <c r="AA27" s="501"/>
      <c r="AB27" s="502">
        <f t="shared" si="7"/>
        <v>0</v>
      </c>
      <c r="AC27" s="503">
        <f t="shared" si="119"/>
        <v>0</v>
      </c>
      <c r="AD27" s="501"/>
      <c r="AE27" s="502">
        <f t="shared" si="8"/>
        <v>0</v>
      </c>
      <c r="AF27" s="503">
        <f t="shared" si="120"/>
        <v>0</v>
      </c>
      <c r="AG27" s="501"/>
      <c r="AH27" s="502">
        <f t="shared" si="9"/>
        <v>0</v>
      </c>
      <c r="AI27" s="503">
        <f t="shared" si="121"/>
        <v>0</v>
      </c>
      <c r="AJ27" s="501"/>
      <c r="AK27" s="502">
        <f t="shared" si="10"/>
        <v>0</v>
      </c>
      <c r="AL27" s="503">
        <f t="shared" si="122"/>
        <v>0</v>
      </c>
      <c r="AM27" s="501">
        <v>51.496199999999988</v>
      </c>
      <c r="AN27" s="502">
        <f t="shared" si="11"/>
        <v>1.1531495622186889</v>
      </c>
      <c r="AO27" s="503">
        <f t="shared" si="123"/>
        <v>0</v>
      </c>
      <c r="AP27" s="501">
        <v>0</v>
      </c>
      <c r="AQ27" s="502">
        <f t="shared" si="12"/>
        <v>0</v>
      </c>
      <c r="AR27" s="503">
        <f t="shared" si="124"/>
        <v>0</v>
      </c>
      <c r="AS27" s="501"/>
      <c r="AT27" s="502">
        <f t="shared" si="13"/>
        <v>0</v>
      </c>
      <c r="AU27" s="503">
        <f t="shared" si="125"/>
        <v>0</v>
      </c>
      <c r="AV27" s="501">
        <v>4.1624999999999659</v>
      </c>
      <c r="AW27" s="502">
        <f t="shared" si="14"/>
        <v>9.3210470922810901E-2</v>
      </c>
      <c r="AX27" s="503">
        <f t="shared" si="126"/>
        <v>0</v>
      </c>
      <c r="AY27" s="501">
        <v>65.294533333333334</v>
      </c>
      <c r="AZ27" s="502">
        <f t="shared" si="15"/>
        <v>1.4621343425069606</v>
      </c>
      <c r="BA27" s="503">
        <f t="shared" si="127"/>
        <v>0</v>
      </c>
      <c r="BB27" s="501"/>
      <c r="BC27" s="502">
        <f t="shared" si="16"/>
        <v>0</v>
      </c>
      <c r="BD27" s="503">
        <f t="shared" si="128"/>
        <v>0</v>
      </c>
      <c r="BE27" s="501"/>
      <c r="BF27" s="502">
        <f t="shared" si="17"/>
        <v>0</v>
      </c>
      <c r="BG27" s="503">
        <f t="shared" si="129"/>
        <v>0</v>
      </c>
      <c r="BH27" s="501"/>
      <c r="BI27" s="502">
        <f t="shared" si="18"/>
        <v>0</v>
      </c>
      <c r="BJ27" s="503">
        <f t="shared" si="130"/>
        <v>0</v>
      </c>
      <c r="BK27" s="501"/>
      <c r="BL27" s="502">
        <f t="shared" si="19"/>
        <v>0</v>
      </c>
      <c r="BM27" s="503">
        <f t="shared" si="131"/>
        <v>0</v>
      </c>
      <c r="BN27" s="501">
        <v>29.104938271604937</v>
      </c>
      <c r="BO27" s="502">
        <f t="shared" si="20"/>
        <v>0.6517441447388973</v>
      </c>
      <c r="BP27" s="503">
        <f t="shared" si="132"/>
        <v>0</v>
      </c>
      <c r="BQ27" s="501">
        <v>0</v>
      </c>
      <c r="BR27" s="502">
        <f t="shared" si="21"/>
        <v>0</v>
      </c>
      <c r="BS27" s="503">
        <f t="shared" si="133"/>
        <v>0</v>
      </c>
      <c r="BT27" s="501"/>
      <c r="BU27" s="502">
        <f t="shared" si="22"/>
        <v>0</v>
      </c>
      <c r="BV27" s="503">
        <f t="shared" si="134"/>
        <v>0</v>
      </c>
      <c r="BW27" s="501"/>
      <c r="BX27" s="502">
        <f t="shared" si="23"/>
        <v>0</v>
      </c>
      <c r="BY27" s="503">
        <f t="shared" si="135"/>
        <v>0</v>
      </c>
      <c r="BZ27" s="501"/>
      <c r="CA27" s="502">
        <f t="shared" si="24"/>
        <v>0</v>
      </c>
      <c r="CB27" s="503">
        <f t="shared" si="136"/>
        <v>0</v>
      </c>
      <c r="CC27" s="501"/>
      <c r="CD27" s="502">
        <f t="shared" si="25"/>
        <v>0</v>
      </c>
      <c r="CE27" s="503">
        <f t="shared" si="137"/>
        <v>0</v>
      </c>
      <c r="CF27" s="501">
        <v>8</v>
      </c>
      <c r="CG27" s="502">
        <f t="shared" si="26"/>
        <v>0.17914324741921761</v>
      </c>
      <c r="CH27" s="503">
        <f t="shared" si="138"/>
        <v>0</v>
      </c>
      <c r="CI27" s="501"/>
      <c r="CJ27" s="502">
        <f t="shared" si="27"/>
        <v>0</v>
      </c>
      <c r="CK27" s="503">
        <f t="shared" si="139"/>
        <v>0</v>
      </c>
      <c r="CL27" s="501"/>
      <c r="CM27" s="502">
        <f t="shared" si="28"/>
        <v>0</v>
      </c>
      <c r="CN27" s="503">
        <f t="shared" si="140"/>
        <v>0</v>
      </c>
      <c r="CO27" s="501"/>
      <c r="CP27" s="502">
        <f t="shared" si="29"/>
        <v>0</v>
      </c>
      <c r="CQ27" s="503">
        <f t="shared" si="141"/>
        <v>0</v>
      </c>
      <c r="CR27" s="501"/>
      <c r="CS27" s="502">
        <f t="shared" si="30"/>
        <v>0</v>
      </c>
      <c r="CT27" s="503">
        <f t="shared" si="142"/>
        <v>0</v>
      </c>
      <c r="CU27" s="501"/>
      <c r="CV27" s="502">
        <f t="shared" si="31"/>
        <v>0</v>
      </c>
      <c r="CW27" s="503">
        <f t="shared" si="143"/>
        <v>0</v>
      </c>
      <c r="CX27" s="501"/>
      <c r="CY27" s="502">
        <f t="shared" si="32"/>
        <v>0</v>
      </c>
      <c r="CZ27" s="503">
        <f t="shared" si="144"/>
        <v>0</v>
      </c>
      <c r="DA27" s="501">
        <v>0</v>
      </c>
      <c r="DB27" s="502">
        <f t="shared" si="33"/>
        <v>0</v>
      </c>
      <c r="DC27" s="503">
        <f t="shared" si="145"/>
        <v>0</v>
      </c>
      <c r="DD27" s="501"/>
      <c r="DE27" s="502">
        <f t="shared" si="34"/>
        <v>0</v>
      </c>
      <c r="DF27" s="503">
        <f t="shared" si="146"/>
        <v>0</v>
      </c>
      <c r="DG27" s="501"/>
      <c r="DH27" s="502">
        <f t="shared" si="35"/>
        <v>0</v>
      </c>
      <c r="DI27" s="503">
        <f t="shared" si="203"/>
        <v>0</v>
      </c>
      <c r="DJ27" s="501"/>
      <c r="DK27" s="502">
        <f t="shared" si="36"/>
        <v>0</v>
      </c>
      <c r="DL27" s="503">
        <f t="shared" si="147"/>
        <v>0</v>
      </c>
      <c r="DM27" s="501"/>
      <c r="DN27" s="502">
        <f t="shared" si="37"/>
        <v>0</v>
      </c>
      <c r="DO27" s="503">
        <f t="shared" si="148"/>
        <v>0</v>
      </c>
      <c r="DP27" s="501"/>
      <c r="DQ27" s="502">
        <f t="shared" si="38"/>
        <v>0</v>
      </c>
      <c r="DR27" s="503">
        <f t="shared" si="149"/>
        <v>0</v>
      </c>
      <c r="DS27" s="501"/>
      <c r="DT27" s="502">
        <f t="shared" si="39"/>
        <v>0</v>
      </c>
      <c r="DU27" s="503">
        <f t="shared" si="150"/>
        <v>0</v>
      </c>
      <c r="DV27" s="501"/>
      <c r="DW27" s="502">
        <f t="shared" si="40"/>
        <v>0</v>
      </c>
      <c r="DX27" s="503">
        <f t="shared" si="151"/>
        <v>0</v>
      </c>
      <c r="DY27" s="501">
        <v>10.783132530120483</v>
      </c>
      <c r="DZ27" s="502">
        <f t="shared" si="41"/>
        <v>0.24146567234969846</v>
      </c>
      <c r="EA27" s="503">
        <f t="shared" si="152"/>
        <v>0</v>
      </c>
      <c r="EB27" s="501">
        <v>14.534883720930225</v>
      </c>
      <c r="EC27" s="502">
        <f t="shared" si="42"/>
        <v>0.32547828382852018</v>
      </c>
      <c r="ED27" s="503">
        <f t="shared" si="153"/>
        <v>0</v>
      </c>
      <c r="EE27" s="501">
        <v>2</v>
      </c>
      <c r="EF27" s="502">
        <f t="shared" si="43"/>
        <v>4.4785811854804403E-2</v>
      </c>
      <c r="EG27" s="503">
        <f t="shared" si="154"/>
        <v>0</v>
      </c>
      <c r="EH27" s="501"/>
      <c r="EI27" s="502">
        <f t="shared" si="44"/>
        <v>0</v>
      </c>
      <c r="EJ27" s="503">
        <f t="shared" si="155"/>
        <v>0</v>
      </c>
      <c r="EK27" s="501"/>
      <c r="EL27" s="502">
        <f t="shared" si="45"/>
        <v>0</v>
      </c>
      <c r="EM27" s="503">
        <f t="shared" si="156"/>
        <v>0</v>
      </c>
      <c r="EN27" s="501"/>
      <c r="EO27" s="502">
        <f t="shared" si="46"/>
        <v>0</v>
      </c>
      <c r="EP27" s="503">
        <f t="shared" si="157"/>
        <v>0</v>
      </c>
      <c r="EQ27" s="501"/>
      <c r="ER27" s="502">
        <f t="shared" si="47"/>
        <v>0</v>
      </c>
      <c r="ES27" s="503">
        <f t="shared" si="158"/>
        <v>0</v>
      </c>
      <c r="ET27" s="501"/>
      <c r="EU27" s="502">
        <f t="shared" si="48"/>
        <v>0</v>
      </c>
      <c r="EV27" s="503">
        <f t="shared" si="159"/>
        <v>0</v>
      </c>
      <c r="EW27" s="501"/>
      <c r="EX27" s="502">
        <f t="shared" si="49"/>
        <v>0</v>
      </c>
      <c r="EY27" s="503">
        <f t="shared" si="160"/>
        <v>0</v>
      </c>
      <c r="EZ27" s="501"/>
      <c r="FA27" s="502">
        <f t="shared" si="50"/>
        <v>0</v>
      </c>
      <c r="FB27" s="503">
        <f t="shared" si="161"/>
        <v>0</v>
      </c>
      <c r="FC27" s="501"/>
      <c r="FD27" s="502">
        <f t="shared" si="51"/>
        <v>0</v>
      </c>
      <c r="FE27" s="503">
        <f t="shared" si="162"/>
        <v>0</v>
      </c>
      <c r="FF27" s="501"/>
      <c r="FG27" s="502">
        <f t="shared" si="52"/>
        <v>0</v>
      </c>
      <c r="FH27" s="503">
        <f t="shared" si="163"/>
        <v>0</v>
      </c>
      <c r="FI27" s="501"/>
      <c r="FJ27" s="502">
        <f t="shared" si="53"/>
        <v>0</v>
      </c>
      <c r="FK27" s="503">
        <f t="shared" si="164"/>
        <v>0</v>
      </c>
      <c r="FL27" s="501"/>
      <c r="FM27" s="502">
        <f t="shared" si="54"/>
        <v>0</v>
      </c>
      <c r="FN27" s="503">
        <f t="shared" si="165"/>
        <v>0</v>
      </c>
      <c r="FO27" s="501"/>
      <c r="FP27" s="502">
        <f t="shared" si="55"/>
        <v>0</v>
      </c>
      <c r="FQ27" s="503">
        <f t="shared" si="166"/>
        <v>0</v>
      </c>
      <c r="FR27" s="501"/>
      <c r="FS27" s="502">
        <f t="shared" si="56"/>
        <v>0</v>
      </c>
      <c r="FT27" s="503">
        <f t="shared" si="167"/>
        <v>0</v>
      </c>
      <c r="FU27" s="501"/>
      <c r="FV27" s="502">
        <f t="shared" si="57"/>
        <v>0</v>
      </c>
      <c r="FW27" s="503">
        <f t="shared" si="168"/>
        <v>0</v>
      </c>
      <c r="FX27" s="501"/>
      <c r="FY27" s="502">
        <f t="shared" si="58"/>
        <v>0</v>
      </c>
      <c r="FZ27" s="503">
        <f t="shared" si="169"/>
        <v>0</v>
      </c>
      <c r="GA27" s="501"/>
      <c r="GB27" s="502">
        <f t="shared" si="59"/>
        <v>0</v>
      </c>
      <c r="GC27" s="503">
        <f t="shared" si="170"/>
        <v>0</v>
      </c>
      <c r="GD27" s="501"/>
      <c r="GE27" s="502">
        <f t="shared" si="60"/>
        <v>0</v>
      </c>
      <c r="GF27" s="503">
        <f t="shared" si="171"/>
        <v>0</v>
      </c>
      <c r="GG27" s="501"/>
      <c r="GH27" s="502">
        <f t="shared" si="61"/>
        <v>0</v>
      </c>
      <c r="GI27" s="503">
        <f t="shared" si="172"/>
        <v>0</v>
      </c>
      <c r="GJ27" s="501"/>
      <c r="GK27" s="502">
        <f t="shared" si="62"/>
        <v>0</v>
      </c>
      <c r="GL27" s="503">
        <f t="shared" si="173"/>
        <v>0</v>
      </c>
      <c r="GM27" s="501"/>
      <c r="GN27" s="502">
        <f t="shared" si="63"/>
        <v>0</v>
      </c>
      <c r="GO27" s="503">
        <f t="shared" si="174"/>
        <v>0</v>
      </c>
      <c r="GP27" s="501"/>
      <c r="GQ27" s="502">
        <f t="shared" si="64"/>
        <v>0</v>
      </c>
      <c r="GR27" s="503">
        <f t="shared" si="175"/>
        <v>0</v>
      </c>
      <c r="GS27" s="501"/>
      <c r="GT27" s="502">
        <f t="shared" si="65"/>
        <v>0</v>
      </c>
      <c r="GU27" s="503">
        <f t="shared" si="176"/>
        <v>0</v>
      </c>
      <c r="GV27" s="501"/>
      <c r="GW27" s="502">
        <f t="shared" si="66"/>
        <v>0</v>
      </c>
      <c r="GX27" s="503">
        <f t="shared" si="177"/>
        <v>0</v>
      </c>
      <c r="GY27" s="501"/>
      <c r="GZ27" s="502">
        <f t="shared" si="67"/>
        <v>0</v>
      </c>
      <c r="HA27" s="503">
        <f t="shared" si="178"/>
        <v>0</v>
      </c>
      <c r="HB27" s="501"/>
      <c r="HC27" s="502">
        <f t="shared" si="68"/>
        <v>0</v>
      </c>
      <c r="HD27" s="503">
        <f t="shared" si="179"/>
        <v>0</v>
      </c>
      <c r="HE27" s="501"/>
      <c r="HF27" s="502">
        <f t="shared" si="69"/>
        <v>0</v>
      </c>
      <c r="HG27" s="503">
        <f t="shared" si="180"/>
        <v>0</v>
      </c>
      <c r="HH27" s="501"/>
      <c r="HI27" s="502">
        <f t="shared" si="70"/>
        <v>0</v>
      </c>
      <c r="HJ27" s="503">
        <f t="shared" si="181"/>
        <v>0</v>
      </c>
      <c r="HK27" s="501"/>
      <c r="HL27" s="502">
        <f t="shared" si="71"/>
        <v>0</v>
      </c>
      <c r="HM27" s="503">
        <f t="shared" si="182"/>
        <v>0</v>
      </c>
      <c r="HN27" s="501"/>
      <c r="HO27" s="502">
        <f t="shared" si="72"/>
        <v>0</v>
      </c>
      <c r="HP27" s="503">
        <f t="shared" si="183"/>
        <v>0</v>
      </c>
      <c r="HQ27" s="501"/>
      <c r="HR27" s="502">
        <f t="shared" si="73"/>
        <v>0</v>
      </c>
      <c r="HS27" s="503">
        <f t="shared" si="184"/>
        <v>0</v>
      </c>
      <c r="HT27" s="501"/>
      <c r="HU27" s="502">
        <f t="shared" si="74"/>
        <v>0</v>
      </c>
      <c r="HV27" s="503">
        <f t="shared" si="185"/>
        <v>0</v>
      </c>
      <c r="HW27" s="501"/>
      <c r="HX27" s="502">
        <f t="shared" si="75"/>
        <v>0</v>
      </c>
      <c r="HY27" s="503">
        <f t="shared" si="186"/>
        <v>0</v>
      </c>
      <c r="HZ27" s="501"/>
      <c r="IA27" s="502">
        <f t="shared" si="76"/>
        <v>0</v>
      </c>
      <c r="IB27" s="503">
        <f t="shared" si="187"/>
        <v>0</v>
      </c>
      <c r="IC27" s="501"/>
      <c r="ID27" s="502">
        <f t="shared" si="77"/>
        <v>0</v>
      </c>
      <c r="IE27" s="503">
        <f t="shared" si="188"/>
        <v>0</v>
      </c>
      <c r="IF27" s="501"/>
      <c r="IG27" s="502">
        <f t="shared" si="78"/>
        <v>0</v>
      </c>
      <c r="IH27" s="503">
        <f t="shared" si="189"/>
        <v>0</v>
      </c>
      <c r="II27" s="501"/>
      <c r="IJ27" s="502">
        <f t="shared" si="79"/>
        <v>0</v>
      </c>
      <c r="IK27" s="503">
        <f t="shared" si="190"/>
        <v>0</v>
      </c>
      <c r="IL27" s="501"/>
      <c r="IM27" s="502">
        <f t="shared" si="80"/>
        <v>0</v>
      </c>
      <c r="IN27" s="503">
        <f t="shared" si="191"/>
        <v>0</v>
      </c>
      <c r="IO27" s="501"/>
      <c r="IP27" s="502">
        <f t="shared" si="81"/>
        <v>0</v>
      </c>
      <c r="IQ27" s="503">
        <f t="shared" si="192"/>
        <v>0</v>
      </c>
      <c r="IR27" s="501"/>
      <c r="IS27" s="502">
        <f t="shared" si="82"/>
        <v>0</v>
      </c>
      <c r="IT27" s="503">
        <f t="shared" si="193"/>
        <v>0</v>
      </c>
      <c r="IU27" s="501"/>
      <c r="IV27" s="502">
        <f t="shared" si="83"/>
        <v>0</v>
      </c>
      <c r="IW27" s="503">
        <f t="shared" si="194"/>
        <v>0</v>
      </c>
      <c r="IX27" s="501"/>
      <c r="IY27" s="502">
        <f t="shared" si="84"/>
        <v>0</v>
      </c>
      <c r="IZ27" s="503">
        <f t="shared" si="195"/>
        <v>0</v>
      </c>
      <c r="JA27" s="501"/>
      <c r="JB27" s="502">
        <f t="shared" si="85"/>
        <v>0</v>
      </c>
      <c r="JC27" s="503">
        <f t="shared" si="196"/>
        <v>0</v>
      </c>
      <c r="JD27" s="501"/>
      <c r="JE27" s="502">
        <f t="shared" si="86"/>
        <v>0</v>
      </c>
      <c r="JF27" s="503">
        <f t="shared" si="197"/>
        <v>0</v>
      </c>
      <c r="JG27" s="501"/>
      <c r="JH27" s="502">
        <f t="shared" si="87"/>
        <v>0</v>
      </c>
      <c r="JI27" s="503">
        <f t="shared" si="198"/>
        <v>0</v>
      </c>
      <c r="JJ27" s="501"/>
      <c r="JK27" s="503" t="str">
        <f t="shared" si="88"/>
        <v>0</v>
      </c>
      <c r="JL27" s="503" t="str">
        <f t="shared" si="89"/>
        <v>0</v>
      </c>
      <c r="JM27" s="501"/>
      <c r="JN27" s="503" t="str">
        <f t="shared" si="90"/>
        <v>0</v>
      </c>
      <c r="JO27" s="503" t="str">
        <f t="shared" si="91"/>
        <v>0</v>
      </c>
      <c r="JP27" s="501"/>
      <c r="JQ27" s="503" t="str">
        <f t="shared" si="92"/>
        <v>0</v>
      </c>
      <c r="JR27" s="503" t="str">
        <f t="shared" si="93"/>
        <v>0</v>
      </c>
      <c r="JS27" s="501"/>
      <c r="JT27" s="503" t="str">
        <f t="shared" si="94"/>
        <v>0</v>
      </c>
      <c r="JU27" s="503" t="str">
        <f t="shared" si="95"/>
        <v>0</v>
      </c>
      <c r="JV27" s="501"/>
      <c r="JW27" s="503" t="str">
        <f t="shared" si="96"/>
        <v>0</v>
      </c>
      <c r="JX27" s="503" t="str">
        <f t="shared" si="97"/>
        <v>0</v>
      </c>
      <c r="JY27" s="501"/>
      <c r="JZ27" s="503" t="str">
        <f t="shared" si="98"/>
        <v>0</v>
      </c>
      <c r="KA27" s="503" t="str">
        <f t="shared" si="99"/>
        <v>0</v>
      </c>
      <c r="KB27" s="501"/>
      <c r="KC27" s="503" t="str">
        <f t="shared" si="100"/>
        <v>0</v>
      </c>
      <c r="KD27" s="503" t="str">
        <f t="shared" si="101"/>
        <v>0</v>
      </c>
      <c r="KE27" s="501"/>
      <c r="KF27" s="503" t="str">
        <f t="shared" si="102"/>
        <v>0</v>
      </c>
      <c r="KG27" s="503" t="str">
        <f t="shared" si="103"/>
        <v>0</v>
      </c>
      <c r="KH27" s="501"/>
      <c r="KI27" s="503" t="str">
        <f t="shared" si="104"/>
        <v>0</v>
      </c>
      <c r="KJ27" s="503" t="str">
        <f t="shared" si="105"/>
        <v>0</v>
      </c>
      <c r="KK27" s="501"/>
      <c r="KL27" s="503" t="str">
        <f t="shared" si="106"/>
        <v>0</v>
      </c>
      <c r="KM27" s="503" t="str">
        <f t="shared" si="107"/>
        <v>0</v>
      </c>
      <c r="KN27" s="501"/>
      <c r="KO27" s="503" t="str">
        <f t="shared" si="108"/>
        <v>0</v>
      </c>
      <c r="KP27" s="503" t="str">
        <f t="shared" si="109"/>
        <v>0</v>
      </c>
      <c r="KQ27" s="501"/>
      <c r="KR27" s="503" t="str">
        <f t="shared" si="110"/>
        <v>0</v>
      </c>
      <c r="KS27" s="503" t="str">
        <f t="shared" si="111"/>
        <v>0</v>
      </c>
      <c r="KT27" s="503">
        <f t="shared" si="201"/>
        <v>0</v>
      </c>
      <c r="KU27" s="503">
        <f t="shared" si="202"/>
        <v>0</v>
      </c>
      <c r="KV27" s="264">
        <f t="shared" si="199"/>
        <v>493.07357971645411</v>
      </c>
    </row>
    <row r="28" spans="1:308" ht="15" customHeight="1">
      <c r="A28" s="266">
        <f t="shared" si="200"/>
        <v>45949</v>
      </c>
      <c r="B28" s="267" t="str">
        <f>+Report1!B27</f>
        <v>Facial</v>
      </c>
      <c r="C28" s="395" t="str">
        <f>+Report1!C27</f>
        <v>12</v>
      </c>
      <c r="D28" s="268">
        <f>+Report1!P27</f>
        <v>48.846999999999994</v>
      </c>
      <c r="E28" s="269">
        <f>+Report1!R27</f>
        <v>46.783999999999999</v>
      </c>
      <c r="F28" s="501">
        <v>0</v>
      </c>
      <c r="G28" s="502">
        <f t="shared" si="0"/>
        <v>0</v>
      </c>
      <c r="H28" s="503">
        <f t="shared" si="112"/>
        <v>0</v>
      </c>
      <c r="I28" s="501">
        <v>306.91800000000012</v>
      </c>
      <c r="J28" s="502">
        <f t="shared" si="1"/>
        <v>6.5603197674418636</v>
      </c>
      <c r="K28" s="503">
        <f t="shared" si="113"/>
        <v>0</v>
      </c>
      <c r="L28" s="501"/>
      <c r="M28" s="502">
        <f t="shared" si="2"/>
        <v>0</v>
      </c>
      <c r="N28" s="503">
        <f t="shared" si="114"/>
        <v>0</v>
      </c>
      <c r="O28" s="501">
        <v>10.5</v>
      </c>
      <c r="P28" s="502">
        <f t="shared" si="3"/>
        <v>0.2244357045143639</v>
      </c>
      <c r="Q28" s="503">
        <f t="shared" si="115"/>
        <v>0</v>
      </c>
      <c r="R28" s="501">
        <v>6.40625</v>
      </c>
      <c r="S28" s="502">
        <f t="shared" si="4"/>
        <v>0.13693249829001369</v>
      </c>
      <c r="T28" s="503">
        <f t="shared" si="116"/>
        <v>0</v>
      </c>
      <c r="U28" s="501">
        <v>6.25</v>
      </c>
      <c r="V28" s="502">
        <f t="shared" si="5"/>
        <v>0.13359268125854992</v>
      </c>
      <c r="W28" s="503">
        <f t="shared" si="117"/>
        <v>0</v>
      </c>
      <c r="X28" s="501"/>
      <c r="Y28" s="502">
        <f t="shared" si="6"/>
        <v>0</v>
      </c>
      <c r="Z28" s="503">
        <f t="shared" si="118"/>
        <v>0</v>
      </c>
      <c r="AA28" s="501"/>
      <c r="AB28" s="502">
        <f t="shared" si="7"/>
        <v>0</v>
      </c>
      <c r="AC28" s="503">
        <f t="shared" si="119"/>
        <v>0</v>
      </c>
      <c r="AD28" s="501"/>
      <c r="AE28" s="502">
        <f t="shared" si="8"/>
        <v>0</v>
      </c>
      <c r="AF28" s="503">
        <f t="shared" si="120"/>
        <v>0</v>
      </c>
      <c r="AG28" s="501"/>
      <c r="AH28" s="502">
        <f t="shared" si="9"/>
        <v>0</v>
      </c>
      <c r="AI28" s="503">
        <f t="shared" si="121"/>
        <v>0</v>
      </c>
      <c r="AJ28" s="501"/>
      <c r="AK28" s="502">
        <f t="shared" si="10"/>
        <v>0</v>
      </c>
      <c r="AL28" s="503">
        <f t="shared" si="122"/>
        <v>0</v>
      </c>
      <c r="AM28" s="501">
        <v>55.233400000000017</v>
      </c>
      <c r="AN28" s="502">
        <f t="shared" si="11"/>
        <v>1.1806044801641591</v>
      </c>
      <c r="AO28" s="503">
        <f t="shared" si="123"/>
        <v>0</v>
      </c>
      <c r="AP28" s="501">
        <v>0</v>
      </c>
      <c r="AQ28" s="502">
        <f t="shared" si="12"/>
        <v>0</v>
      </c>
      <c r="AR28" s="503">
        <f t="shared" si="124"/>
        <v>0</v>
      </c>
      <c r="AS28" s="501"/>
      <c r="AT28" s="502">
        <f t="shared" si="13"/>
        <v>0</v>
      </c>
      <c r="AU28" s="503">
        <f t="shared" si="125"/>
        <v>0</v>
      </c>
      <c r="AV28" s="501">
        <v>4.1625000000000227</v>
      </c>
      <c r="AW28" s="502">
        <f t="shared" si="14"/>
        <v>8.8972725718194742E-2</v>
      </c>
      <c r="AX28" s="503">
        <f t="shared" si="126"/>
        <v>0</v>
      </c>
      <c r="AY28" s="501">
        <v>70.039599999999979</v>
      </c>
      <c r="AZ28" s="502">
        <f t="shared" si="15"/>
        <v>1.497084473324213</v>
      </c>
      <c r="BA28" s="503">
        <f t="shared" si="127"/>
        <v>0</v>
      </c>
      <c r="BB28" s="501"/>
      <c r="BC28" s="502">
        <f t="shared" si="16"/>
        <v>0</v>
      </c>
      <c r="BD28" s="503">
        <f t="shared" si="128"/>
        <v>0</v>
      </c>
      <c r="BE28" s="501"/>
      <c r="BF28" s="502">
        <f t="shared" si="17"/>
        <v>0</v>
      </c>
      <c r="BG28" s="503">
        <f t="shared" si="129"/>
        <v>0</v>
      </c>
      <c r="BH28" s="501"/>
      <c r="BI28" s="502">
        <f t="shared" si="18"/>
        <v>0</v>
      </c>
      <c r="BJ28" s="503">
        <f t="shared" si="130"/>
        <v>0</v>
      </c>
      <c r="BK28" s="501"/>
      <c r="BL28" s="502">
        <f t="shared" si="19"/>
        <v>0</v>
      </c>
      <c r="BM28" s="503">
        <f t="shared" si="131"/>
        <v>0</v>
      </c>
      <c r="BN28" s="501">
        <v>29.104938271604944</v>
      </c>
      <c r="BO28" s="502">
        <f t="shared" si="20"/>
        <v>0.62211307865092647</v>
      </c>
      <c r="BP28" s="503">
        <f t="shared" si="132"/>
        <v>0</v>
      </c>
      <c r="BQ28" s="501">
        <v>0</v>
      </c>
      <c r="BR28" s="502">
        <f t="shared" si="21"/>
        <v>0</v>
      </c>
      <c r="BS28" s="503">
        <f t="shared" si="133"/>
        <v>0</v>
      </c>
      <c r="BT28" s="501"/>
      <c r="BU28" s="502">
        <f t="shared" si="22"/>
        <v>0</v>
      </c>
      <c r="BV28" s="503">
        <f t="shared" si="134"/>
        <v>0</v>
      </c>
      <c r="BW28" s="501"/>
      <c r="BX28" s="502">
        <f t="shared" si="23"/>
        <v>0</v>
      </c>
      <c r="BY28" s="503">
        <f t="shared" si="135"/>
        <v>0</v>
      </c>
      <c r="BZ28" s="501"/>
      <c r="CA28" s="502">
        <f t="shared" si="24"/>
        <v>0</v>
      </c>
      <c r="CB28" s="503">
        <f t="shared" si="136"/>
        <v>0</v>
      </c>
      <c r="CC28" s="501"/>
      <c r="CD28" s="502">
        <f t="shared" si="25"/>
        <v>0</v>
      </c>
      <c r="CE28" s="503">
        <f t="shared" si="137"/>
        <v>0</v>
      </c>
      <c r="CF28" s="501">
        <v>8</v>
      </c>
      <c r="CG28" s="502">
        <f t="shared" si="26"/>
        <v>0.17099863201094392</v>
      </c>
      <c r="CH28" s="503">
        <f t="shared" si="138"/>
        <v>0</v>
      </c>
      <c r="CI28" s="501"/>
      <c r="CJ28" s="502">
        <f t="shared" si="27"/>
        <v>0</v>
      </c>
      <c r="CK28" s="503">
        <f t="shared" si="139"/>
        <v>0</v>
      </c>
      <c r="CL28" s="501"/>
      <c r="CM28" s="502">
        <f t="shared" si="28"/>
        <v>0</v>
      </c>
      <c r="CN28" s="503">
        <f t="shared" si="140"/>
        <v>0</v>
      </c>
      <c r="CO28" s="501"/>
      <c r="CP28" s="502">
        <f t="shared" si="29"/>
        <v>0</v>
      </c>
      <c r="CQ28" s="503">
        <f t="shared" si="141"/>
        <v>0</v>
      </c>
      <c r="CR28" s="501"/>
      <c r="CS28" s="502">
        <f t="shared" si="30"/>
        <v>0</v>
      </c>
      <c r="CT28" s="503">
        <f t="shared" si="142"/>
        <v>0</v>
      </c>
      <c r="CU28" s="501"/>
      <c r="CV28" s="502">
        <f t="shared" si="31"/>
        <v>0</v>
      </c>
      <c r="CW28" s="503">
        <f t="shared" si="143"/>
        <v>0</v>
      </c>
      <c r="CX28" s="501"/>
      <c r="CY28" s="502">
        <f t="shared" si="32"/>
        <v>0</v>
      </c>
      <c r="CZ28" s="503">
        <f t="shared" si="144"/>
        <v>0</v>
      </c>
      <c r="DA28" s="501">
        <v>0</v>
      </c>
      <c r="DB28" s="502">
        <f t="shared" si="33"/>
        <v>0</v>
      </c>
      <c r="DC28" s="503">
        <f t="shared" si="145"/>
        <v>0</v>
      </c>
      <c r="DD28" s="501"/>
      <c r="DE28" s="502">
        <f t="shared" si="34"/>
        <v>0</v>
      </c>
      <c r="DF28" s="503">
        <f t="shared" si="146"/>
        <v>0</v>
      </c>
      <c r="DG28" s="501"/>
      <c r="DH28" s="502">
        <f t="shared" si="35"/>
        <v>0</v>
      </c>
      <c r="DI28" s="503">
        <f t="shared" si="203"/>
        <v>0</v>
      </c>
      <c r="DJ28" s="501"/>
      <c r="DK28" s="502">
        <f t="shared" si="36"/>
        <v>0</v>
      </c>
      <c r="DL28" s="503">
        <f t="shared" si="147"/>
        <v>0</v>
      </c>
      <c r="DM28" s="501"/>
      <c r="DN28" s="502">
        <f t="shared" si="37"/>
        <v>0</v>
      </c>
      <c r="DO28" s="503">
        <f t="shared" si="148"/>
        <v>0</v>
      </c>
      <c r="DP28" s="501"/>
      <c r="DQ28" s="502">
        <f t="shared" si="38"/>
        <v>0</v>
      </c>
      <c r="DR28" s="503">
        <f t="shared" si="149"/>
        <v>0</v>
      </c>
      <c r="DS28" s="501"/>
      <c r="DT28" s="502">
        <f t="shared" si="39"/>
        <v>0</v>
      </c>
      <c r="DU28" s="503">
        <f t="shared" si="150"/>
        <v>0</v>
      </c>
      <c r="DV28" s="501"/>
      <c r="DW28" s="502">
        <f t="shared" si="40"/>
        <v>0</v>
      </c>
      <c r="DX28" s="503">
        <f t="shared" si="151"/>
        <v>0</v>
      </c>
      <c r="DY28" s="501">
        <v>0</v>
      </c>
      <c r="DZ28" s="502">
        <f t="shared" si="41"/>
        <v>0</v>
      </c>
      <c r="EA28" s="503">
        <f t="shared" si="152"/>
        <v>0</v>
      </c>
      <c r="EB28" s="501">
        <v>14.534883720930281</v>
      </c>
      <c r="EC28" s="502">
        <f t="shared" si="42"/>
        <v>0.31068065408965206</v>
      </c>
      <c r="ED28" s="503">
        <f t="shared" si="153"/>
        <v>0</v>
      </c>
      <c r="EE28" s="501">
        <v>2</v>
      </c>
      <c r="EF28" s="502">
        <f t="shared" si="43"/>
        <v>4.2749658002735981E-2</v>
      </c>
      <c r="EG28" s="503">
        <f t="shared" si="154"/>
        <v>0</v>
      </c>
      <c r="EH28" s="501"/>
      <c r="EI28" s="502">
        <f t="shared" si="44"/>
        <v>0</v>
      </c>
      <c r="EJ28" s="503">
        <f t="shared" si="155"/>
        <v>0</v>
      </c>
      <c r="EK28" s="501"/>
      <c r="EL28" s="502">
        <f t="shared" si="45"/>
        <v>0</v>
      </c>
      <c r="EM28" s="503">
        <f t="shared" si="156"/>
        <v>0</v>
      </c>
      <c r="EN28" s="501"/>
      <c r="EO28" s="502">
        <f t="shared" si="46"/>
        <v>0</v>
      </c>
      <c r="EP28" s="503">
        <f t="shared" si="157"/>
        <v>0</v>
      </c>
      <c r="EQ28" s="501"/>
      <c r="ER28" s="502">
        <f t="shared" si="47"/>
        <v>0</v>
      </c>
      <c r="ES28" s="503">
        <f t="shared" si="158"/>
        <v>0</v>
      </c>
      <c r="ET28" s="501"/>
      <c r="EU28" s="502">
        <f t="shared" si="48"/>
        <v>0</v>
      </c>
      <c r="EV28" s="503">
        <f t="shared" si="159"/>
        <v>0</v>
      </c>
      <c r="EW28" s="501"/>
      <c r="EX28" s="502">
        <f t="shared" si="49"/>
        <v>0</v>
      </c>
      <c r="EY28" s="503">
        <f t="shared" si="160"/>
        <v>0</v>
      </c>
      <c r="EZ28" s="501"/>
      <c r="FA28" s="502">
        <f t="shared" si="50"/>
        <v>0</v>
      </c>
      <c r="FB28" s="503">
        <f t="shared" si="161"/>
        <v>0</v>
      </c>
      <c r="FC28" s="501"/>
      <c r="FD28" s="502">
        <f t="shared" si="51"/>
        <v>0</v>
      </c>
      <c r="FE28" s="503">
        <f t="shared" si="162"/>
        <v>0</v>
      </c>
      <c r="FF28" s="501"/>
      <c r="FG28" s="502">
        <f t="shared" si="52"/>
        <v>0</v>
      </c>
      <c r="FH28" s="503">
        <f t="shared" si="163"/>
        <v>0</v>
      </c>
      <c r="FI28" s="501"/>
      <c r="FJ28" s="502">
        <f t="shared" si="53"/>
        <v>0</v>
      </c>
      <c r="FK28" s="503">
        <f t="shared" si="164"/>
        <v>0</v>
      </c>
      <c r="FL28" s="501"/>
      <c r="FM28" s="502">
        <f t="shared" si="54"/>
        <v>0</v>
      </c>
      <c r="FN28" s="503">
        <f t="shared" si="165"/>
        <v>0</v>
      </c>
      <c r="FO28" s="501"/>
      <c r="FP28" s="502">
        <f t="shared" si="55"/>
        <v>0</v>
      </c>
      <c r="FQ28" s="503">
        <f t="shared" si="166"/>
        <v>0</v>
      </c>
      <c r="FR28" s="501"/>
      <c r="FS28" s="502">
        <f t="shared" si="56"/>
        <v>0</v>
      </c>
      <c r="FT28" s="503">
        <f t="shared" si="167"/>
        <v>0</v>
      </c>
      <c r="FU28" s="501"/>
      <c r="FV28" s="502">
        <f t="shared" si="57"/>
        <v>0</v>
      </c>
      <c r="FW28" s="503">
        <f t="shared" si="168"/>
        <v>0</v>
      </c>
      <c r="FX28" s="501"/>
      <c r="FY28" s="502">
        <f t="shared" si="58"/>
        <v>0</v>
      </c>
      <c r="FZ28" s="503">
        <f t="shared" si="169"/>
        <v>0</v>
      </c>
      <c r="GA28" s="501"/>
      <c r="GB28" s="502">
        <f t="shared" si="59"/>
        <v>0</v>
      </c>
      <c r="GC28" s="503">
        <f t="shared" si="170"/>
        <v>0</v>
      </c>
      <c r="GD28" s="501"/>
      <c r="GE28" s="502">
        <f t="shared" si="60"/>
        <v>0</v>
      </c>
      <c r="GF28" s="503">
        <f t="shared" si="171"/>
        <v>0</v>
      </c>
      <c r="GG28" s="501"/>
      <c r="GH28" s="502">
        <f t="shared" si="61"/>
        <v>0</v>
      </c>
      <c r="GI28" s="503">
        <f t="shared" si="172"/>
        <v>0</v>
      </c>
      <c r="GJ28" s="501"/>
      <c r="GK28" s="502">
        <f t="shared" si="62"/>
        <v>0</v>
      </c>
      <c r="GL28" s="503">
        <f t="shared" si="173"/>
        <v>0</v>
      </c>
      <c r="GM28" s="501"/>
      <c r="GN28" s="502">
        <f t="shared" si="63"/>
        <v>0</v>
      </c>
      <c r="GO28" s="503">
        <f t="shared" si="174"/>
        <v>0</v>
      </c>
      <c r="GP28" s="501"/>
      <c r="GQ28" s="502">
        <f t="shared" si="64"/>
        <v>0</v>
      </c>
      <c r="GR28" s="503">
        <f t="shared" si="175"/>
        <v>0</v>
      </c>
      <c r="GS28" s="501"/>
      <c r="GT28" s="502">
        <f t="shared" si="65"/>
        <v>0</v>
      </c>
      <c r="GU28" s="503">
        <f t="shared" si="176"/>
        <v>0</v>
      </c>
      <c r="GV28" s="501"/>
      <c r="GW28" s="502">
        <f t="shared" si="66"/>
        <v>0</v>
      </c>
      <c r="GX28" s="503">
        <f t="shared" si="177"/>
        <v>0</v>
      </c>
      <c r="GY28" s="501"/>
      <c r="GZ28" s="502">
        <f t="shared" si="67"/>
        <v>0</v>
      </c>
      <c r="HA28" s="503">
        <f t="shared" si="178"/>
        <v>0</v>
      </c>
      <c r="HB28" s="501"/>
      <c r="HC28" s="502">
        <f t="shared" si="68"/>
        <v>0</v>
      </c>
      <c r="HD28" s="503">
        <f t="shared" si="179"/>
        <v>0</v>
      </c>
      <c r="HE28" s="501"/>
      <c r="HF28" s="502">
        <f t="shared" si="69"/>
        <v>0</v>
      </c>
      <c r="HG28" s="503">
        <f t="shared" si="180"/>
        <v>0</v>
      </c>
      <c r="HH28" s="501"/>
      <c r="HI28" s="502">
        <f t="shared" si="70"/>
        <v>0</v>
      </c>
      <c r="HJ28" s="503">
        <f t="shared" si="181"/>
        <v>0</v>
      </c>
      <c r="HK28" s="501"/>
      <c r="HL28" s="502">
        <f t="shared" si="71"/>
        <v>0</v>
      </c>
      <c r="HM28" s="503">
        <f t="shared" si="182"/>
        <v>0</v>
      </c>
      <c r="HN28" s="501"/>
      <c r="HO28" s="502">
        <f t="shared" si="72"/>
        <v>0</v>
      </c>
      <c r="HP28" s="503">
        <f t="shared" si="183"/>
        <v>0</v>
      </c>
      <c r="HQ28" s="501"/>
      <c r="HR28" s="502">
        <f t="shared" si="73"/>
        <v>0</v>
      </c>
      <c r="HS28" s="503">
        <f t="shared" si="184"/>
        <v>0</v>
      </c>
      <c r="HT28" s="501"/>
      <c r="HU28" s="502">
        <f t="shared" si="74"/>
        <v>0</v>
      </c>
      <c r="HV28" s="503">
        <f t="shared" si="185"/>
        <v>0</v>
      </c>
      <c r="HW28" s="501"/>
      <c r="HX28" s="502">
        <f t="shared" si="75"/>
        <v>0</v>
      </c>
      <c r="HY28" s="503">
        <f t="shared" si="186"/>
        <v>0</v>
      </c>
      <c r="HZ28" s="501"/>
      <c r="IA28" s="502">
        <f t="shared" si="76"/>
        <v>0</v>
      </c>
      <c r="IB28" s="503">
        <f t="shared" si="187"/>
        <v>0</v>
      </c>
      <c r="IC28" s="501"/>
      <c r="ID28" s="502">
        <f t="shared" si="77"/>
        <v>0</v>
      </c>
      <c r="IE28" s="503">
        <f t="shared" si="188"/>
        <v>0</v>
      </c>
      <c r="IF28" s="501"/>
      <c r="IG28" s="502">
        <f t="shared" si="78"/>
        <v>0</v>
      </c>
      <c r="IH28" s="503">
        <f t="shared" si="189"/>
        <v>0</v>
      </c>
      <c r="II28" s="501"/>
      <c r="IJ28" s="502">
        <f t="shared" si="79"/>
        <v>0</v>
      </c>
      <c r="IK28" s="503">
        <f t="shared" si="190"/>
        <v>0</v>
      </c>
      <c r="IL28" s="501"/>
      <c r="IM28" s="502">
        <f t="shared" si="80"/>
        <v>0</v>
      </c>
      <c r="IN28" s="503">
        <f t="shared" si="191"/>
        <v>0</v>
      </c>
      <c r="IO28" s="501"/>
      <c r="IP28" s="502">
        <f t="shared" si="81"/>
        <v>0</v>
      </c>
      <c r="IQ28" s="503">
        <f t="shared" si="192"/>
        <v>0</v>
      </c>
      <c r="IR28" s="501"/>
      <c r="IS28" s="502">
        <f t="shared" si="82"/>
        <v>0</v>
      </c>
      <c r="IT28" s="503">
        <f t="shared" si="193"/>
        <v>0</v>
      </c>
      <c r="IU28" s="501"/>
      <c r="IV28" s="502">
        <f t="shared" si="83"/>
        <v>0</v>
      </c>
      <c r="IW28" s="503">
        <f t="shared" si="194"/>
        <v>0</v>
      </c>
      <c r="IX28" s="501"/>
      <c r="IY28" s="502">
        <f t="shared" si="84"/>
        <v>0</v>
      </c>
      <c r="IZ28" s="503">
        <f t="shared" si="195"/>
        <v>0</v>
      </c>
      <c r="JA28" s="501"/>
      <c r="JB28" s="502">
        <f t="shared" si="85"/>
        <v>0</v>
      </c>
      <c r="JC28" s="503">
        <f t="shared" si="196"/>
        <v>0</v>
      </c>
      <c r="JD28" s="501"/>
      <c r="JE28" s="502">
        <f t="shared" si="86"/>
        <v>0</v>
      </c>
      <c r="JF28" s="503">
        <f t="shared" si="197"/>
        <v>0</v>
      </c>
      <c r="JG28" s="501"/>
      <c r="JH28" s="502">
        <f t="shared" si="87"/>
        <v>0</v>
      </c>
      <c r="JI28" s="503">
        <f t="shared" si="198"/>
        <v>0</v>
      </c>
      <c r="JJ28" s="501"/>
      <c r="JK28" s="503" t="str">
        <f t="shared" si="88"/>
        <v>0</v>
      </c>
      <c r="JL28" s="503" t="str">
        <f t="shared" si="89"/>
        <v>0</v>
      </c>
      <c r="JM28" s="501"/>
      <c r="JN28" s="503" t="str">
        <f t="shared" si="90"/>
        <v>0</v>
      </c>
      <c r="JO28" s="503" t="str">
        <f t="shared" si="91"/>
        <v>0</v>
      </c>
      <c r="JP28" s="501"/>
      <c r="JQ28" s="503" t="str">
        <f t="shared" si="92"/>
        <v>0</v>
      </c>
      <c r="JR28" s="503" t="str">
        <f t="shared" si="93"/>
        <v>0</v>
      </c>
      <c r="JS28" s="501"/>
      <c r="JT28" s="503" t="str">
        <f t="shared" si="94"/>
        <v>0</v>
      </c>
      <c r="JU28" s="503" t="str">
        <f t="shared" si="95"/>
        <v>0</v>
      </c>
      <c r="JV28" s="501"/>
      <c r="JW28" s="503" t="str">
        <f t="shared" si="96"/>
        <v>0</v>
      </c>
      <c r="JX28" s="503" t="str">
        <f t="shared" si="97"/>
        <v>0</v>
      </c>
      <c r="JY28" s="501"/>
      <c r="JZ28" s="503" t="str">
        <f t="shared" si="98"/>
        <v>0</v>
      </c>
      <c r="KA28" s="503" t="str">
        <f t="shared" si="99"/>
        <v>0</v>
      </c>
      <c r="KB28" s="501"/>
      <c r="KC28" s="503" t="str">
        <f t="shared" si="100"/>
        <v>0</v>
      </c>
      <c r="KD28" s="503" t="str">
        <f t="shared" si="101"/>
        <v>0</v>
      </c>
      <c r="KE28" s="501"/>
      <c r="KF28" s="503" t="str">
        <f t="shared" si="102"/>
        <v>0</v>
      </c>
      <c r="KG28" s="503" t="str">
        <f t="shared" si="103"/>
        <v>0</v>
      </c>
      <c r="KH28" s="501"/>
      <c r="KI28" s="503" t="str">
        <f t="shared" si="104"/>
        <v>0</v>
      </c>
      <c r="KJ28" s="503" t="str">
        <f t="shared" si="105"/>
        <v>0</v>
      </c>
      <c r="KK28" s="501"/>
      <c r="KL28" s="503" t="str">
        <f t="shared" si="106"/>
        <v>0</v>
      </c>
      <c r="KM28" s="503" t="str">
        <f t="shared" si="107"/>
        <v>0</v>
      </c>
      <c r="KN28" s="501"/>
      <c r="KO28" s="503" t="str">
        <f t="shared" si="108"/>
        <v>0</v>
      </c>
      <c r="KP28" s="503" t="str">
        <f t="shared" si="109"/>
        <v>0</v>
      </c>
      <c r="KQ28" s="501"/>
      <c r="KR28" s="503" t="str">
        <f t="shared" si="110"/>
        <v>0</v>
      </c>
      <c r="KS28" s="503" t="str">
        <f t="shared" si="111"/>
        <v>0</v>
      </c>
      <c r="KT28" s="503">
        <f t="shared" si="201"/>
        <v>0</v>
      </c>
      <c r="KU28" s="503">
        <f t="shared" si="202"/>
        <v>0</v>
      </c>
      <c r="KV28" s="264">
        <f t="shared" si="199"/>
        <v>513.14957199253536</v>
      </c>
    </row>
    <row r="29" spans="1:308" ht="15" customHeight="1">
      <c r="A29" s="266">
        <f t="shared" si="200"/>
        <v>45950</v>
      </c>
      <c r="B29" s="267" t="str">
        <f>+Report1!B28</f>
        <v>Facial</v>
      </c>
      <c r="C29" s="395" t="str">
        <f>+Report1!C28</f>
        <v>12</v>
      </c>
      <c r="D29" s="268">
        <f>+Report1!P28</f>
        <v>50.716999999999999</v>
      </c>
      <c r="E29" s="269">
        <f>+Report1!R28</f>
        <v>50.112000000000002</v>
      </c>
      <c r="F29" s="501">
        <v>0</v>
      </c>
      <c r="G29" s="502">
        <f t="shared" si="0"/>
        <v>0</v>
      </c>
      <c r="H29" s="503">
        <f t="shared" si="112"/>
        <v>0</v>
      </c>
      <c r="I29" s="501">
        <v>267.44347441860464</v>
      </c>
      <c r="J29" s="502">
        <f t="shared" si="1"/>
        <v>5.3369147992218355</v>
      </c>
      <c r="K29" s="503">
        <f t="shared" si="113"/>
        <v>0</v>
      </c>
      <c r="L29" s="501"/>
      <c r="M29" s="502">
        <f t="shared" si="2"/>
        <v>0</v>
      </c>
      <c r="N29" s="503">
        <f t="shared" si="114"/>
        <v>0</v>
      </c>
      <c r="O29" s="501">
        <v>9</v>
      </c>
      <c r="P29" s="502">
        <f t="shared" si="3"/>
        <v>0.17959770114942528</v>
      </c>
      <c r="Q29" s="503">
        <f t="shared" si="115"/>
        <v>0</v>
      </c>
      <c r="R29" s="501">
        <v>5.1249999999999858</v>
      </c>
      <c r="S29" s="502">
        <f t="shared" si="4"/>
        <v>0.10227091315453356</v>
      </c>
      <c r="T29" s="503">
        <f t="shared" si="116"/>
        <v>0</v>
      </c>
      <c r="U29" s="501">
        <v>7.8125</v>
      </c>
      <c r="V29" s="502">
        <f t="shared" si="5"/>
        <v>0.15590078224776499</v>
      </c>
      <c r="W29" s="503">
        <f t="shared" si="117"/>
        <v>0</v>
      </c>
      <c r="X29" s="501"/>
      <c r="Y29" s="502">
        <f t="shared" si="6"/>
        <v>0</v>
      </c>
      <c r="Z29" s="503">
        <f t="shared" si="118"/>
        <v>0</v>
      </c>
      <c r="AA29" s="501"/>
      <c r="AB29" s="502">
        <f t="shared" si="7"/>
        <v>0</v>
      </c>
      <c r="AC29" s="503">
        <f t="shared" si="119"/>
        <v>0</v>
      </c>
      <c r="AD29" s="501"/>
      <c r="AE29" s="502">
        <f t="shared" si="8"/>
        <v>0</v>
      </c>
      <c r="AF29" s="503">
        <f t="shared" si="120"/>
        <v>0</v>
      </c>
      <c r="AG29" s="501"/>
      <c r="AH29" s="502">
        <f t="shared" si="9"/>
        <v>0</v>
      </c>
      <c r="AI29" s="503">
        <f t="shared" si="121"/>
        <v>0</v>
      </c>
      <c r="AJ29" s="501"/>
      <c r="AK29" s="502">
        <f t="shared" si="10"/>
        <v>0</v>
      </c>
      <c r="AL29" s="503">
        <f t="shared" si="122"/>
        <v>0</v>
      </c>
      <c r="AM29" s="501">
        <v>54.808861538461656</v>
      </c>
      <c r="AN29" s="502">
        <f t="shared" si="11"/>
        <v>1.0937272816583183</v>
      </c>
      <c r="AO29" s="503">
        <f t="shared" si="123"/>
        <v>0</v>
      </c>
      <c r="AP29" s="501">
        <v>0</v>
      </c>
      <c r="AQ29" s="502">
        <f t="shared" si="12"/>
        <v>0</v>
      </c>
      <c r="AR29" s="503">
        <f t="shared" si="124"/>
        <v>0</v>
      </c>
      <c r="AS29" s="501"/>
      <c r="AT29" s="502">
        <f t="shared" si="13"/>
        <v>0</v>
      </c>
      <c r="AU29" s="503">
        <f t="shared" si="125"/>
        <v>0</v>
      </c>
      <c r="AV29" s="501">
        <v>2.7750000000000057</v>
      </c>
      <c r="AW29" s="502">
        <f t="shared" si="14"/>
        <v>5.5375957854406244E-2</v>
      </c>
      <c r="AX29" s="503">
        <f t="shared" si="126"/>
        <v>0</v>
      </c>
      <c r="AY29" s="501">
        <v>65.332533333333345</v>
      </c>
      <c r="AZ29" s="502">
        <f t="shared" si="15"/>
        <v>1.3037303107705409</v>
      </c>
      <c r="BA29" s="503">
        <f t="shared" si="127"/>
        <v>0</v>
      </c>
      <c r="BB29" s="501"/>
      <c r="BC29" s="502">
        <f t="shared" si="16"/>
        <v>0</v>
      </c>
      <c r="BD29" s="503">
        <f t="shared" si="128"/>
        <v>0</v>
      </c>
      <c r="BE29" s="501"/>
      <c r="BF29" s="502">
        <f t="shared" si="17"/>
        <v>0</v>
      </c>
      <c r="BG29" s="503">
        <f t="shared" si="129"/>
        <v>0</v>
      </c>
      <c r="BH29" s="501"/>
      <c r="BI29" s="502">
        <f t="shared" si="18"/>
        <v>0</v>
      </c>
      <c r="BJ29" s="503">
        <f t="shared" si="130"/>
        <v>0</v>
      </c>
      <c r="BK29" s="501"/>
      <c r="BL29" s="502">
        <f t="shared" si="19"/>
        <v>0</v>
      </c>
      <c r="BM29" s="503">
        <f t="shared" si="131"/>
        <v>0</v>
      </c>
      <c r="BN29" s="501">
        <v>27.839506172839506</v>
      </c>
      <c r="BO29" s="502">
        <f t="shared" si="20"/>
        <v>0.5555457010863567</v>
      </c>
      <c r="BP29" s="503">
        <f t="shared" si="132"/>
        <v>0</v>
      </c>
      <c r="BQ29" s="501">
        <v>0</v>
      </c>
      <c r="BR29" s="502">
        <f t="shared" si="21"/>
        <v>0</v>
      </c>
      <c r="BS29" s="503">
        <f t="shared" si="133"/>
        <v>0</v>
      </c>
      <c r="BT29" s="501"/>
      <c r="BU29" s="502">
        <f t="shared" si="22"/>
        <v>0</v>
      </c>
      <c r="BV29" s="503">
        <f t="shared" si="134"/>
        <v>0</v>
      </c>
      <c r="BW29" s="501"/>
      <c r="BX29" s="502">
        <f t="shared" si="23"/>
        <v>0</v>
      </c>
      <c r="BY29" s="503">
        <f t="shared" si="135"/>
        <v>0</v>
      </c>
      <c r="BZ29" s="501"/>
      <c r="CA29" s="502">
        <f t="shared" si="24"/>
        <v>0</v>
      </c>
      <c r="CB29" s="503">
        <f t="shared" si="136"/>
        <v>0</v>
      </c>
      <c r="CC29" s="501"/>
      <c r="CD29" s="502">
        <f t="shared" si="25"/>
        <v>0</v>
      </c>
      <c r="CE29" s="503">
        <f t="shared" si="137"/>
        <v>0</v>
      </c>
      <c r="CF29" s="501">
        <v>8</v>
      </c>
      <c r="CG29" s="502">
        <f t="shared" si="26"/>
        <v>0.15964240102171137</v>
      </c>
      <c r="CH29" s="503">
        <f t="shared" si="138"/>
        <v>0</v>
      </c>
      <c r="CI29" s="501"/>
      <c r="CJ29" s="502">
        <f t="shared" si="27"/>
        <v>0</v>
      </c>
      <c r="CK29" s="503">
        <f t="shared" si="139"/>
        <v>0</v>
      </c>
      <c r="CL29" s="501"/>
      <c r="CM29" s="502">
        <f t="shared" si="28"/>
        <v>0</v>
      </c>
      <c r="CN29" s="503">
        <f t="shared" si="140"/>
        <v>0</v>
      </c>
      <c r="CO29" s="501"/>
      <c r="CP29" s="502">
        <f t="shared" si="29"/>
        <v>0</v>
      </c>
      <c r="CQ29" s="503">
        <f t="shared" si="141"/>
        <v>0</v>
      </c>
      <c r="CR29" s="501"/>
      <c r="CS29" s="502">
        <f t="shared" si="30"/>
        <v>0</v>
      </c>
      <c r="CT29" s="503">
        <f t="shared" si="142"/>
        <v>0</v>
      </c>
      <c r="CU29" s="501"/>
      <c r="CV29" s="502">
        <f t="shared" si="31"/>
        <v>0</v>
      </c>
      <c r="CW29" s="503">
        <f t="shared" si="143"/>
        <v>0</v>
      </c>
      <c r="CX29" s="501"/>
      <c r="CY29" s="502">
        <f t="shared" si="32"/>
        <v>0</v>
      </c>
      <c r="CZ29" s="503">
        <f t="shared" si="144"/>
        <v>0</v>
      </c>
      <c r="DA29" s="501">
        <v>0</v>
      </c>
      <c r="DB29" s="502">
        <f t="shared" si="33"/>
        <v>0</v>
      </c>
      <c r="DC29" s="503">
        <f t="shared" si="145"/>
        <v>0</v>
      </c>
      <c r="DD29" s="501"/>
      <c r="DE29" s="502">
        <f t="shared" si="34"/>
        <v>0</v>
      </c>
      <c r="DF29" s="503">
        <f t="shared" si="146"/>
        <v>0</v>
      </c>
      <c r="DG29" s="501"/>
      <c r="DH29" s="502">
        <f t="shared" si="35"/>
        <v>0</v>
      </c>
      <c r="DI29" s="503">
        <f t="shared" si="203"/>
        <v>0</v>
      </c>
      <c r="DJ29" s="501"/>
      <c r="DK29" s="502">
        <f t="shared" si="36"/>
        <v>0</v>
      </c>
      <c r="DL29" s="503">
        <f t="shared" si="147"/>
        <v>0</v>
      </c>
      <c r="DM29" s="501"/>
      <c r="DN29" s="502">
        <f t="shared" si="37"/>
        <v>0</v>
      </c>
      <c r="DO29" s="503">
        <f t="shared" si="148"/>
        <v>0</v>
      </c>
      <c r="DP29" s="501"/>
      <c r="DQ29" s="502">
        <f t="shared" si="38"/>
        <v>0</v>
      </c>
      <c r="DR29" s="503">
        <f t="shared" si="149"/>
        <v>0</v>
      </c>
      <c r="DS29" s="501"/>
      <c r="DT29" s="502">
        <f t="shared" si="39"/>
        <v>0</v>
      </c>
      <c r="DU29" s="503">
        <f t="shared" si="150"/>
        <v>0</v>
      </c>
      <c r="DV29" s="501"/>
      <c r="DW29" s="502">
        <f t="shared" si="40"/>
        <v>0</v>
      </c>
      <c r="DX29" s="503">
        <f t="shared" si="151"/>
        <v>0</v>
      </c>
      <c r="DY29" s="501">
        <v>0</v>
      </c>
      <c r="DZ29" s="502">
        <f t="shared" si="41"/>
        <v>0</v>
      </c>
      <c r="EA29" s="503">
        <f t="shared" si="152"/>
        <v>0</v>
      </c>
      <c r="EB29" s="501">
        <v>14.534883720930168</v>
      </c>
      <c r="EC29" s="502">
        <f t="shared" si="42"/>
        <v>0.29004796697258478</v>
      </c>
      <c r="ED29" s="503">
        <f t="shared" si="153"/>
        <v>0</v>
      </c>
      <c r="EE29" s="501">
        <v>2</v>
      </c>
      <c r="EF29" s="502">
        <f t="shared" si="43"/>
        <v>3.9910600255427843E-2</v>
      </c>
      <c r="EG29" s="503">
        <f t="shared" si="154"/>
        <v>0</v>
      </c>
      <c r="EH29" s="501"/>
      <c r="EI29" s="502">
        <f t="shared" si="44"/>
        <v>0</v>
      </c>
      <c r="EJ29" s="503">
        <f t="shared" si="155"/>
        <v>0</v>
      </c>
      <c r="EK29" s="501"/>
      <c r="EL29" s="502">
        <f t="shared" si="45"/>
        <v>0</v>
      </c>
      <c r="EM29" s="503">
        <f t="shared" si="156"/>
        <v>0</v>
      </c>
      <c r="EN29" s="501"/>
      <c r="EO29" s="502">
        <f t="shared" si="46"/>
        <v>0</v>
      </c>
      <c r="EP29" s="503">
        <f t="shared" si="157"/>
        <v>0</v>
      </c>
      <c r="EQ29" s="501"/>
      <c r="ER29" s="502">
        <f t="shared" si="47"/>
        <v>0</v>
      </c>
      <c r="ES29" s="503">
        <f t="shared" si="158"/>
        <v>0</v>
      </c>
      <c r="ET29" s="501"/>
      <c r="EU29" s="502">
        <f t="shared" si="48"/>
        <v>0</v>
      </c>
      <c r="EV29" s="503">
        <f t="shared" si="159"/>
        <v>0</v>
      </c>
      <c r="EW29" s="501"/>
      <c r="EX29" s="502">
        <f t="shared" si="49"/>
        <v>0</v>
      </c>
      <c r="EY29" s="503">
        <f t="shared" si="160"/>
        <v>0</v>
      </c>
      <c r="EZ29" s="501"/>
      <c r="FA29" s="502">
        <f t="shared" si="50"/>
        <v>0</v>
      </c>
      <c r="FB29" s="503">
        <f t="shared" si="161"/>
        <v>0</v>
      </c>
      <c r="FC29" s="501"/>
      <c r="FD29" s="502">
        <f t="shared" si="51"/>
        <v>0</v>
      </c>
      <c r="FE29" s="503">
        <f t="shared" si="162"/>
        <v>0</v>
      </c>
      <c r="FF29" s="501"/>
      <c r="FG29" s="502">
        <f t="shared" si="52"/>
        <v>0</v>
      </c>
      <c r="FH29" s="503">
        <f t="shared" si="163"/>
        <v>0</v>
      </c>
      <c r="FI29" s="501"/>
      <c r="FJ29" s="502">
        <f t="shared" si="53"/>
        <v>0</v>
      </c>
      <c r="FK29" s="503">
        <f t="shared" si="164"/>
        <v>0</v>
      </c>
      <c r="FL29" s="501"/>
      <c r="FM29" s="502">
        <f t="shared" si="54"/>
        <v>0</v>
      </c>
      <c r="FN29" s="503">
        <f t="shared" si="165"/>
        <v>0</v>
      </c>
      <c r="FO29" s="501"/>
      <c r="FP29" s="502">
        <f t="shared" si="55"/>
        <v>0</v>
      </c>
      <c r="FQ29" s="503">
        <f t="shared" si="166"/>
        <v>0</v>
      </c>
      <c r="FR29" s="501"/>
      <c r="FS29" s="502">
        <f t="shared" si="56"/>
        <v>0</v>
      </c>
      <c r="FT29" s="503">
        <f t="shared" si="167"/>
        <v>0</v>
      </c>
      <c r="FU29" s="501"/>
      <c r="FV29" s="502">
        <f t="shared" si="57"/>
        <v>0</v>
      </c>
      <c r="FW29" s="503">
        <f t="shared" si="168"/>
        <v>0</v>
      </c>
      <c r="FX29" s="501"/>
      <c r="FY29" s="502">
        <f t="shared" si="58"/>
        <v>0</v>
      </c>
      <c r="FZ29" s="503">
        <f t="shared" si="169"/>
        <v>0</v>
      </c>
      <c r="GA29" s="501"/>
      <c r="GB29" s="502">
        <f t="shared" si="59"/>
        <v>0</v>
      </c>
      <c r="GC29" s="503">
        <f t="shared" si="170"/>
        <v>0</v>
      </c>
      <c r="GD29" s="501"/>
      <c r="GE29" s="502">
        <f t="shared" si="60"/>
        <v>0</v>
      </c>
      <c r="GF29" s="503">
        <f t="shared" si="171"/>
        <v>0</v>
      </c>
      <c r="GG29" s="501"/>
      <c r="GH29" s="502">
        <f t="shared" si="61"/>
        <v>0</v>
      </c>
      <c r="GI29" s="503">
        <f t="shared" si="172"/>
        <v>0</v>
      </c>
      <c r="GJ29" s="501"/>
      <c r="GK29" s="502">
        <f t="shared" si="62"/>
        <v>0</v>
      </c>
      <c r="GL29" s="503">
        <f t="shared" si="173"/>
        <v>0</v>
      </c>
      <c r="GM29" s="501"/>
      <c r="GN29" s="502">
        <f t="shared" si="63"/>
        <v>0</v>
      </c>
      <c r="GO29" s="503">
        <f t="shared" si="174"/>
        <v>0</v>
      </c>
      <c r="GP29" s="501"/>
      <c r="GQ29" s="502">
        <f t="shared" si="64"/>
        <v>0</v>
      </c>
      <c r="GR29" s="503">
        <f t="shared" si="175"/>
        <v>0</v>
      </c>
      <c r="GS29" s="501"/>
      <c r="GT29" s="502">
        <f t="shared" si="65"/>
        <v>0</v>
      </c>
      <c r="GU29" s="503">
        <f t="shared" si="176"/>
        <v>0</v>
      </c>
      <c r="GV29" s="501"/>
      <c r="GW29" s="502">
        <f t="shared" si="66"/>
        <v>0</v>
      </c>
      <c r="GX29" s="503">
        <f t="shared" si="177"/>
        <v>0</v>
      </c>
      <c r="GY29" s="501"/>
      <c r="GZ29" s="502">
        <f t="shared" si="67"/>
        <v>0</v>
      </c>
      <c r="HA29" s="503">
        <f t="shared" si="178"/>
        <v>0</v>
      </c>
      <c r="HB29" s="501"/>
      <c r="HC29" s="502">
        <f t="shared" si="68"/>
        <v>0</v>
      </c>
      <c r="HD29" s="503">
        <f t="shared" si="179"/>
        <v>0</v>
      </c>
      <c r="HE29" s="501"/>
      <c r="HF29" s="502">
        <f t="shared" si="69"/>
        <v>0</v>
      </c>
      <c r="HG29" s="503">
        <f t="shared" si="180"/>
        <v>0</v>
      </c>
      <c r="HH29" s="501"/>
      <c r="HI29" s="502">
        <f t="shared" si="70"/>
        <v>0</v>
      </c>
      <c r="HJ29" s="503">
        <f t="shared" si="181"/>
        <v>0</v>
      </c>
      <c r="HK29" s="501"/>
      <c r="HL29" s="502">
        <f t="shared" si="71"/>
        <v>0</v>
      </c>
      <c r="HM29" s="503">
        <f t="shared" si="182"/>
        <v>0</v>
      </c>
      <c r="HN29" s="501"/>
      <c r="HO29" s="502">
        <f t="shared" si="72"/>
        <v>0</v>
      </c>
      <c r="HP29" s="503">
        <f t="shared" si="183"/>
        <v>0</v>
      </c>
      <c r="HQ29" s="501"/>
      <c r="HR29" s="502">
        <f t="shared" si="73"/>
        <v>0</v>
      </c>
      <c r="HS29" s="503">
        <f t="shared" si="184"/>
        <v>0</v>
      </c>
      <c r="HT29" s="501"/>
      <c r="HU29" s="502">
        <f t="shared" si="74"/>
        <v>0</v>
      </c>
      <c r="HV29" s="503">
        <f t="shared" si="185"/>
        <v>0</v>
      </c>
      <c r="HW29" s="501"/>
      <c r="HX29" s="502">
        <f t="shared" si="75"/>
        <v>0</v>
      </c>
      <c r="HY29" s="503">
        <f t="shared" si="186"/>
        <v>0</v>
      </c>
      <c r="HZ29" s="501"/>
      <c r="IA29" s="502">
        <f t="shared" si="76"/>
        <v>0</v>
      </c>
      <c r="IB29" s="503">
        <f t="shared" si="187"/>
        <v>0</v>
      </c>
      <c r="IC29" s="501"/>
      <c r="ID29" s="502">
        <f t="shared" si="77"/>
        <v>0</v>
      </c>
      <c r="IE29" s="503">
        <f t="shared" si="188"/>
        <v>0</v>
      </c>
      <c r="IF29" s="501"/>
      <c r="IG29" s="502">
        <f t="shared" si="78"/>
        <v>0</v>
      </c>
      <c r="IH29" s="503">
        <f t="shared" si="189"/>
        <v>0</v>
      </c>
      <c r="II29" s="501"/>
      <c r="IJ29" s="502">
        <f t="shared" si="79"/>
        <v>0</v>
      </c>
      <c r="IK29" s="503">
        <f t="shared" si="190"/>
        <v>0</v>
      </c>
      <c r="IL29" s="501"/>
      <c r="IM29" s="502">
        <f t="shared" si="80"/>
        <v>0</v>
      </c>
      <c r="IN29" s="503">
        <f t="shared" si="191"/>
        <v>0</v>
      </c>
      <c r="IO29" s="501"/>
      <c r="IP29" s="502">
        <f t="shared" si="81"/>
        <v>0</v>
      </c>
      <c r="IQ29" s="503">
        <f t="shared" si="192"/>
        <v>0</v>
      </c>
      <c r="IR29" s="501"/>
      <c r="IS29" s="502">
        <f t="shared" si="82"/>
        <v>0</v>
      </c>
      <c r="IT29" s="503">
        <f t="shared" si="193"/>
        <v>0</v>
      </c>
      <c r="IU29" s="501"/>
      <c r="IV29" s="502">
        <f t="shared" si="83"/>
        <v>0</v>
      </c>
      <c r="IW29" s="503">
        <f t="shared" si="194"/>
        <v>0</v>
      </c>
      <c r="IX29" s="501"/>
      <c r="IY29" s="502">
        <f t="shared" si="84"/>
        <v>0</v>
      </c>
      <c r="IZ29" s="503">
        <f t="shared" si="195"/>
        <v>0</v>
      </c>
      <c r="JA29" s="501"/>
      <c r="JB29" s="502">
        <f t="shared" si="85"/>
        <v>0</v>
      </c>
      <c r="JC29" s="503">
        <f t="shared" si="196"/>
        <v>0</v>
      </c>
      <c r="JD29" s="501"/>
      <c r="JE29" s="502">
        <f t="shared" si="86"/>
        <v>0</v>
      </c>
      <c r="JF29" s="503">
        <f t="shared" si="197"/>
        <v>0</v>
      </c>
      <c r="JG29" s="501"/>
      <c r="JH29" s="502">
        <f t="shared" si="87"/>
        <v>0</v>
      </c>
      <c r="JI29" s="503">
        <f t="shared" si="198"/>
        <v>0</v>
      </c>
      <c r="JJ29" s="501"/>
      <c r="JK29" s="503" t="str">
        <f t="shared" si="88"/>
        <v>0</v>
      </c>
      <c r="JL29" s="503" t="str">
        <f t="shared" si="89"/>
        <v>0</v>
      </c>
      <c r="JM29" s="501"/>
      <c r="JN29" s="503" t="str">
        <f t="shared" si="90"/>
        <v>0</v>
      </c>
      <c r="JO29" s="503" t="str">
        <f t="shared" si="91"/>
        <v>0</v>
      </c>
      <c r="JP29" s="501"/>
      <c r="JQ29" s="503" t="str">
        <f t="shared" si="92"/>
        <v>0</v>
      </c>
      <c r="JR29" s="503" t="str">
        <f t="shared" si="93"/>
        <v>0</v>
      </c>
      <c r="JS29" s="501"/>
      <c r="JT29" s="503" t="str">
        <f t="shared" si="94"/>
        <v>0</v>
      </c>
      <c r="JU29" s="503" t="str">
        <f t="shared" si="95"/>
        <v>0</v>
      </c>
      <c r="JV29" s="501"/>
      <c r="JW29" s="503" t="str">
        <f t="shared" si="96"/>
        <v>0</v>
      </c>
      <c r="JX29" s="503" t="str">
        <f t="shared" si="97"/>
        <v>0</v>
      </c>
      <c r="JY29" s="501"/>
      <c r="JZ29" s="503" t="str">
        <f t="shared" si="98"/>
        <v>0</v>
      </c>
      <c r="KA29" s="503" t="str">
        <f t="shared" si="99"/>
        <v>0</v>
      </c>
      <c r="KB29" s="501"/>
      <c r="KC29" s="503" t="str">
        <f t="shared" si="100"/>
        <v>0</v>
      </c>
      <c r="KD29" s="503" t="str">
        <f t="shared" si="101"/>
        <v>0</v>
      </c>
      <c r="KE29" s="501"/>
      <c r="KF29" s="503" t="str">
        <f t="shared" si="102"/>
        <v>0</v>
      </c>
      <c r="KG29" s="503" t="str">
        <f t="shared" si="103"/>
        <v>0</v>
      </c>
      <c r="KH29" s="501"/>
      <c r="KI29" s="503" t="str">
        <f t="shared" si="104"/>
        <v>0</v>
      </c>
      <c r="KJ29" s="503" t="str">
        <f t="shared" si="105"/>
        <v>0</v>
      </c>
      <c r="KK29" s="501"/>
      <c r="KL29" s="503" t="str">
        <f t="shared" si="106"/>
        <v>0</v>
      </c>
      <c r="KM29" s="503" t="str">
        <f t="shared" si="107"/>
        <v>0</v>
      </c>
      <c r="KN29" s="501"/>
      <c r="KO29" s="503" t="str">
        <f t="shared" si="108"/>
        <v>0</v>
      </c>
      <c r="KP29" s="503" t="str">
        <f t="shared" si="109"/>
        <v>0</v>
      </c>
      <c r="KQ29" s="501"/>
      <c r="KR29" s="503" t="str">
        <f t="shared" si="110"/>
        <v>0</v>
      </c>
      <c r="KS29" s="503" t="str">
        <f t="shared" si="111"/>
        <v>0</v>
      </c>
      <c r="KT29" s="503">
        <f t="shared" si="201"/>
        <v>0</v>
      </c>
      <c r="KU29" s="503">
        <f t="shared" si="202"/>
        <v>0</v>
      </c>
      <c r="KV29" s="264">
        <f t="shared" si="199"/>
        <v>464.67175918416928</v>
      </c>
    </row>
    <row r="30" spans="1:308" ht="15" customHeight="1">
      <c r="A30" s="266">
        <f t="shared" si="200"/>
        <v>45951</v>
      </c>
      <c r="B30" s="267" t="str">
        <f>+Report1!B29</f>
        <v>Facial/Toilet</v>
      </c>
      <c r="C30" s="395" t="str">
        <f>+Report1!C29</f>
        <v>12/12,5</v>
      </c>
      <c r="D30" s="268">
        <f>+Report1!P29</f>
        <v>46.879000000000005</v>
      </c>
      <c r="E30" s="269">
        <f>+Report1!R29</f>
        <v>42.328000000000003</v>
      </c>
      <c r="F30" s="501">
        <v>0</v>
      </c>
      <c r="G30" s="502">
        <f t="shared" si="0"/>
        <v>0</v>
      </c>
      <c r="H30" s="503">
        <f t="shared" si="112"/>
        <v>0</v>
      </c>
      <c r="I30" s="501">
        <v>139.53488372093011</v>
      </c>
      <c r="J30" s="502">
        <f t="shared" si="1"/>
        <v>3.2965149244218979</v>
      </c>
      <c r="K30" s="503">
        <f t="shared" si="113"/>
        <v>0</v>
      </c>
      <c r="L30" s="501"/>
      <c r="M30" s="502">
        <f t="shared" si="2"/>
        <v>0</v>
      </c>
      <c r="N30" s="503">
        <f t="shared" si="114"/>
        <v>0</v>
      </c>
      <c r="O30" s="501">
        <v>9</v>
      </c>
      <c r="P30" s="502">
        <f t="shared" si="3"/>
        <v>0.21262521262521261</v>
      </c>
      <c r="Q30" s="503">
        <f t="shared" si="115"/>
        <v>0</v>
      </c>
      <c r="R30" s="501">
        <v>7.6875000000000142</v>
      </c>
      <c r="S30" s="502">
        <f t="shared" si="4"/>
        <v>0.18161736911736945</v>
      </c>
      <c r="T30" s="503">
        <f t="shared" si="116"/>
        <v>0</v>
      </c>
      <c r="U30" s="501">
        <v>6.25</v>
      </c>
      <c r="V30" s="502">
        <f t="shared" si="5"/>
        <v>0.14765639765639765</v>
      </c>
      <c r="W30" s="503">
        <f t="shared" si="117"/>
        <v>0</v>
      </c>
      <c r="X30" s="501"/>
      <c r="Y30" s="502">
        <f t="shared" si="6"/>
        <v>0</v>
      </c>
      <c r="Z30" s="503">
        <f t="shared" si="118"/>
        <v>0</v>
      </c>
      <c r="AA30" s="501"/>
      <c r="AB30" s="502">
        <f t="shared" si="7"/>
        <v>0</v>
      </c>
      <c r="AC30" s="503">
        <f t="shared" si="119"/>
        <v>0</v>
      </c>
      <c r="AD30" s="501"/>
      <c r="AE30" s="502">
        <f t="shared" si="8"/>
        <v>0</v>
      </c>
      <c r="AF30" s="503">
        <f t="shared" si="120"/>
        <v>0</v>
      </c>
      <c r="AG30" s="501"/>
      <c r="AH30" s="502">
        <f t="shared" si="9"/>
        <v>0</v>
      </c>
      <c r="AI30" s="503">
        <f t="shared" si="121"/>
        <v>0</v>
      </c>
      <c r="AJ30" s="501"/>
      <c r="AK30" s="502">
        <f t="shared" si="10"/>
        <v>0</v>
      </c>
      <c r="AL30" s="503">
        <f t="shared" si="122"/>
        <v>0</v>
      </c>
      <c r="AM30" s="501">
        <v>28.846153846153697</v>
      </c>
      <c r="AN30" s="502">
        <f t="shared" si="11"/>
        <v>0.68149106610644716</v>
      </c>
      <c r="AO30" s="503">
        <f t="shared" si="123"/>
        <v>0</v>
      </c>
      <c r="AP30" s="501">
        <v>0</v>
      </c>
      <c r="AQ30" s="502">
        <f t="shared" si="12"/>
        <v>0</v>
      </c>
      <c r="AR30" s="503">
        <f t="shared" si="124"/>
        <v>0</v>
      </c>
      <c r="AS30" s="501"/>
      <c r="AT30" s="502">
        <f t="shared" si="13"/>
        <v>0</v>
      </c>
      <c r="AU30" s="503">
        <f t="shared" si="125"/>
        <v>0</v>
      </c>
      <c r="AV30" s="501">
        <v>5.5499999999999545</v>
      </c>
      <c r="AW30" s="502">
        <f t="shared" si="14"/>
        <v>0.13111888111888004</v>
      </c>
      <c r="AX30" s="503">
        <f t="shared" si="126"/>
        <v>0</v>
      </c>
      <c r="AY30" s="501">
        <v>49</v>
      </c>
      <c r="AZ30" s="502">
        <f t="shared" si="15"/>
        <v>1.1576261576261575</v>
      </c>
      <c r="BA30" s="503">
        <f t="shared" si="127"/>
        <v>0</v>
      </c>
      <c r="BB30" s="501"/>
      <c r="BC30" s="502">
        <f t="shared" si="16"/>
        <v>0</v>
      </c>
      <c r="BD30" s="503">
        <f t="shared" si="128"/>
        <v>0</v>
      </c>
      <c r="BE30" s="501"/>
      <c r="BF30" s="502">
        <f t="shared" si="17"/>
        <v>0</v>
      </c>
      <c r="BG30" s="503">
        <f t="shared" si="129"/>
        <v>0</v>
      </c>
      <c r="BH30" s="501"/>
      <c r="BI30" s="502">
        <f t="shared" si="18"/>
        <v>0</v>
      </c>
      <c r="BJ30" s="503">
        <f t="shared" si="130"/>
        <v>0</v>
      </c>
      <c r="BK30" s="501"/>
      <c r="BL30" s="502">
        <f t="shared" si="19"/>
        <v>0</v>
      </c>
      <c r="BM30" s="503">
        <f t="shared" si="131"/>
        <v>0</v>
      </c>
      <c r="BN30" s="501">
        <v>30.370370370370352</v>
      </c>
      <c r="BO30" s="502">
        <f t="shared" si="20"/>
        <v>0.71750071750071698</v>
      </c>
      <c r="BP30" s="503">
        <f t="shared" si="132"/>
        <v>0</v>
      </c>
      <c r="BQ30" s="501">
        <v>0</v>
      </c>
      <c r="BR30" s="502">
        <f t="shared" si="21"/>
        <v>0</v>
      </c>
      <c r="BS30" s="503">
        <f t="shared" si="133"/>
        <v>0</v>
      </c>
      <c r="BT30" s="501"/>
      <c r="BU30" s="502">
        <f t="shared" si="22"/>
        <v>0</v>
      </c>
      <c r="BV30" s="503">
        <f t="shared" si="134"/>
        <v>0</v>
      </c>
      <c r="BW30" s="501"/>
      <c r="BX30" s="502">
        <f t="shared" si="23"/>
        <v>0</v>
      </c>
      <c r="BY30" s="503">
        <f t="shared" si="135"/>
        <v>0</v>
      </c>
      <c r="BZ30" s="501"/>
      <c r="CA30" s="502">
        <f t="shared" si="24"/>
        <v>0</v>
      </c>
      <c r="CB30" s="503">
        <f t="shared" si="136"/>
        <v>0</v>
      </c>
      <c r="CC30" s="501"/>
      <c r="CD30" s="502">
        <f t="shared" si="25"/>
        <v>0</v>
      </c>
      <c r="CE30" s="503">
        <f t="shared" si="137"/>
        <v>0</v>
      </c>
      <c r="CF30" s="501">
        <v>8</v>
      </c>
      <c r="CG30" s="502">
        <f t="shared" si="26"/>
        <v>0.189000189000189</v>
      </c>
      <c r="CH30" s="503">
        <f t="shared" si="138"/>
        <v>0</v>
      </c>
      <c r="CI30" s="501"/>
      <c r="CJ30" s="502">
        <f t="shared" si="27"/>
        <v>0</v>
      </c>
      <c r="CK30" s="503">
        <f t="shared" si="139"/>
        <v>0</v>
      </c>
      <c r="CL30" s="501"/>
      <c r="CM30" s="502">
        <f t="shared" si="28"/>
        <v>0</v>
      </c>
      <c r="CN30" s="503">
        <f t="shared" si="140"/>
        <v>0</v>
      </c>
      <c r="CO30" s="501"/>
      <c r="CP30" s="502">
        <f t="shared" si="29"/>
        <v>0</v>
      </c>
      <c r="CQ30" s="503">
        <f t="shared" si="141"/>
        <v>0</v>
      </c>
      <c r="CR30" s="501"/>
      <c r="CS30" s="502">
        <f t="shared" si="30"/>
        <v>0</v>
      </c>
      <c r="CT30" s="503">
        <f t="shared" si="142"/>
        <v>0</v>
      </c>
      <c r="CU30" s="501"/>
      <c r="CV30" s="502">
        <f t="shared" si="31"/>
        <v>0</v>
      </c>
      <c r="CW30" s="503">
        <f t="shared" si="143"/>
        <v>0</v>
      </c>
      <c r="CX30" s="501"/>
      <c r="CY30" s="502">
        <f t="shared" si="32"/>
        <v>0</v>
      </c>
      <c r="CZ30" s="503">
        <f t="shared" si="144"/>
        <v>0</v>
      </c>
      <c r="DA30" s="501">
        <v>0</v>
      </c>
      <c r="DB30" s="502">
        <f t="shared" si="33"/>
        <v>0</v>
      </c>
      <c r="DC30" s="503">
        <f t="shared" si="145"/>
        <v>0</v>
      </c>
      <c r="DD30" s="501"/>
      <c r="DE30" s="502">
        <f t="shared" si="34"/>
        <v>0</v>
      </c>
      <c r="DF30" s="503">
        <f t="shared" si="146"/>
        <v>0</v>
      </c>
      <c r="DG30" s="501"/>
      <c r="DH30" s="502">
        <f t="shared" si="35"/>
        <v>0</v>
      </c>
      <c r="DI30" s="503">
        <f t="shared" si="203"/>
        <v>0</v>
      </c>
      <c r="DJ30" s="501"/>
      <c r="DK30" s="502">
        <f t="shared" si="36"/>
        <v>0</v>
      </c>
      <c r="DL30" s="503">
        <f t="shared" si="147"/>
        <v>0</v>
      </c>
      <c r="DM30" s="501"/>
      <c r="DN30" s="502">
        <f t="shared" si="37"/>
        <v>0</v>
      </c>
      <c r="DO30" s="503">
        <f t="shared" si="148"/>
        <v>0</v>
      </c>
      <c r="DP30" s="501"/>
      <c r="DQ30" s="502">
        <f t="shared" si="38"/>
        <v>0</v>
      </c>
      <c r="DR30" s="503">
        <f t="shared" si="149"/>
        <v>0</v>
      </c>
      <c r="DS30" s="501"/>
      <c r="DT30" s="502">
        <f t="shared" si="39"/>
        <v>0</v>
      </c>
      <c r="DU30" s="503">
        <f t="shared" si="150"/>
        <v>0</v>
      </c>
      <c r="DV30" s="501"/>
      <c r="DW30" s="502">
        <f t="shared" si="40"/>
        <v>0</v>
      </c>
      <c r="DX30" s="503">
        <f t="shared" si="151"/>
        <v>0</v>
      </c>
      <c r="DY30" s="501">
        <v>0</v>
      </c>
      <c r="DZ30" s="502">
        <f t="shared" si="41"/>
        <v>0</v>
      </c>
      <c r="EA30" s="503">
        <f t="shared" si="152"/>
        <v>0</v>
      </c>
      <c r="EB30" s="501">
        <v>14.534883720930225</v>
      </c>
      <c r="EC30" s="502">
        <f t="shared" si="42"/>
        <v>0.34338697129394785</v>
      </c>
      <c r="ED30" s="503">
        <f t="shared" si="153"/>
        <v>0</v>
      </c>
      <c r="EE30" s="501">
        <v>2</v>
      </c>
      <c r="EF30" s="502">
        <f t="shared" si="43"/>
        <v>4.725004725004725E-2</v>
      </c>
      <c r="EG30" s="503">
        <f t="shared" si="154"/>
        <v>0</v>
      </c>
      <c r="EH30" s="501"/>
      <c r="EI30" s="502">
        <f t="shared" si="44"/>
        <v>0</v>
      </c>
      <c r="EJ30" s="503">
        <f t="shared" si="155"/>
        <v>0</v>
      </c>
      <c r="EK30" s="501"/>
      <c r="EL30" s="502">
        <f t="shared" si="45"/>
        <v>0</v>
      </c>
      <c r="EM30" s="503">
        <f t="shared" si="156"/>
        <v>0</v>
      </c>
      <c r="EN30" s="501"/>
      <c r="EO30" s="502">
        <f t="shared" si="46"/>
        <v>0</v>
      </c>
      <c r="EP30" s="503">
        <f t="shared" si="157"/>
        <v>0</v>
      </c>
      <c r="EQ30" s="501"/>
      <c r="ER30" s="502">
        <f t="shared" si="47"/>
        <v>0</v>
      </c>
      <c r="ES30" s="503">
        <f t="shared" si="158"/>
        <v>0</v>
      </c>
      <c r="ET30" s="501"/>
      <c r="EU30" s="502">
        <f t="shared" si="48"/>
        <v>0</v>
      </c>
      <c r="EV30" s="503">
        <f t="shared" si="159"/>
        <v>0</v>
      </c>
      <c r="EW30" s="501"/>
      <c r="EX30" s="502">
        <f t="shared" si="49"/>
        <v>0</v>
      </c>
      <c r="EY30" s="503">
        <f t="shared" si="160"/>
        <v>0</v>
      </c>
      <c r="EZ30" s="501"/>
      <c r="FA30" s="502">
        <f t="shared" si="50"/>
        <v>0</v>
      </c>
      <c r="FB30" s="503">
        <f t="shared" si="161"/>
        <v>0</v>
      </c>
      <c r="FC30" s="501"/>
      <c r="FD30" s="502">
        <f t="shared" si="51"/>
        <v>0</v>
      </c>
      <c r="FE30" s="503">
        <f t="shared" si="162"/>
        <v>0</v>
      </c>
      <c r="FF30" s="501"/>
      <c r="FG30" s="502">
        <f t="shared" si="52"/>
        <v>0</v>
      </c>
      <c r="FH30" s="503">
        <f t="shared" si="163"/>
        <v>0</v>
      </c>
      <c r="FI30" s="501"/>
      <c r="FJ30" s="502">
        <f t="shared" si="53"/>
        <v>0</v>
      </c>
      <c r="FK30" s="503">
        <f t="shared" si="164"/>
        <v>0</v>
      </c>
      <c r="FL30" s="501"/>
      <c r="FM30" s="502">
        <f t="shared" si="54"/>
        <v>0</v>
      </c>
      <c r="FN30" s="503">
        <f t="shared" si="165"/>
        <v>0</v>
      </c>
      <c r="FO30" s="501"/>
      <c r="FP30" s="502">
        <f t="shared" si="55"/>
        <v>0</v>
      </c>
      <c r="FQ30" s="503">
        <f t="shared" si="166"/>
        <v>0</v>
      </c>
      <c r="FR30" s="501"/>
      <c r="FS30" s="502">
        <f t="shared" si="56"/>
        <v>0</v>
      </c>
      <c r="FT30" s="503">
        <f t="shared" si="167"/>
        <v>0</v>
      </c>
      <c r="FU30" s="501"/>
      <c r="FV30" s="502">
        <f t="shared" si="57"/>
        <v>0</v>
      </c>
      <c r="FW30" s="503">
        <f t="shared" si="168"/>
        <v>0</v>
      </c>
      <c r="FX30" s="501"/>
      <c r="FY30" s="502">
        <f t="shared" si="58"/>
        <v>0</v>
      </c>
      <c r="FZ30" s="503">
        <f t="shared" si="169"/>
        <v>0</v>
      </c>
      <c r="GA30" s="501"/>
      <c r="GB30" s="502">
        <f t="shared" si="59"/>
        <v>0</v>
      </c>
      <c r="GC30" s="503">
        <f t="shared" si="170"/>
        <v>0</v>
      </c>
      <c r="GD30" s="501"/>
      <c r="GE30" s="502">
        <f t="shared" si="60"/>
        <v>0</v>
      </c>
      <c r="GF30" s="503">
        <f t="shared" si="171"/>
        <v>0</v>
      </c>
      <c r="GG30" s="501"/>
      <c r="GH30" s="502">
        <f t="shared" si="61"/>
        <v>0</v>
      </c>
      <c r="GI30" s="503">
        <f t="shared" si="172"/>
        <v>0</v>
      </c>
      <c r="GJ30" s="501"/>
      <c r="GK30" s="502">
        <f t="shared" si="62"/>
        <v>0</v>
      </c>
      <c r="GL30" s="503">
        <f t="shared" si="173"/>
        <v>0</v>
      </c>
      <c r="GM30" s="501"/>
      <c r="GN30" s="502">
        <f t="shared" si="63"/>
        <v>0</v>
      </c>
      <c r="GO30" s="503">
        <f t="shared" si="174"/>
        <v>0</v>
      </c>
      <c r="GP30" s="501"/>
      <c r="GQ30" s="502">
        <f t="shared" si="64"/>
        <v>0</v>
      </c>
      <c r="GR30" s="503">
        <f t="shared" si="175"/>
        <v>0</v>
      </c>
      <c r="GS30" s="501"/>
      <c r="GT30" s="502">
        <f t="shared" si="65"/>
        <v>0</v>
      </c>
      <c r="GU30" s="503">
        <f t="shared" si="176"/>
        <v>0</v>
      </c>
      <c r="GV30" s="501"/>
      <c r="GW30" s="502">
        <f t="shared" si="66"/>
        <v>0</v>
      </c>
      <c r="GX30" s="503">
        <f t="shared" si="177"/>
        <v>0</v>
      </c>
      <c r="GY30" s="501"/>
      <c r="GZ30" s="502">
        <f t="shared" si="67"/>
        <v>0</v>
      </c>
      <c r="HA30" s="503">
        <f t="shared" si="178"/>
        <v>0</v>
      </c>
      <c r="HB30" s="501"/>
      <c r="HC30" s="502">
        <f t="shared" si="68"/>
        <v>0</v>
      </c>
      <c r="HD30" s="503">
        <f t="shared" si="179"/>
        <v>0</v>
      </c>
      <c r="HE30" s="501"/>
      <c r="HF30" s="502">
        <f t="shared" si="69"/>
        <v>0</v>
      </c>
      <c r="HG30" s="503">
        <f t="shared" si="180"/>
        <v>0</v>
      </c>
      <c r="HH30" s="501"/>
      <c r="HI30" s="502">
        <f t="shared" si="70"/>
        <v>0</v>
      </c>
      <c r="HJ30" s="503">
        <f t="shared" si="181"/>
        <v>0</v>
      </c>
      <c r="HK30" s="501"/>
      <c r="HL30" s="502">
        <f t="shared" si="71"/>
        <v>0</v>
      </c>
      <c r="HM30" s="503">
        <f t="shared" si="182"/>
        <v>0</v>
      </c>
      <c r="HN30" s="501"/>
      <c r="HO30" s="502">
        <f t="shared" si="72"/>
        <v>0</v>
      </c>
      <c r="HP30" s="503">
        <f t="shared" si="183"/>
        <v>0</v>
      </c>
      <c r="HQ30" s="501"/>
      <c r="HR30" s="502">
        <f t="shared" si="73"/>
        <v>0</v>
      </c>
      <c r="HS30" s="503">
        <f t="shared" si="184"/>
        <v>0</v>
      </c>
      <c r="HT30" s="501"/>
      <c r="HU30" s="502">
        <f t="shared" si="74"/>
        <v>0</v>
      </c>
      <c r="HV30" s="503">
        <f t="shared" si="185"/>
        <v>0</v>
      </c>
      <c r="HW30" s="501"/>
      <c r="HX30" s="502">
        <f t="shared" si="75"/>
        <v>0</v>
      </c>
      <c r="HY30" s="503">
        <f t="shared" si="186"/>
        <v>0</v>
      </c>
      <c r="HZ30" s="501"/>
      <c r="IA30" s="502">
        <f t="shared" si="76"/>
        <v>0</v>
      </c>
      <c r="IB30" s="503">
        <f t="shared" si="187"/>
        <v>0</v>
      </c>
      <c r="IC30" s="501"/>
      <c r="ID30" s="502">
        <f t="shared" si="77"/>
        <v>0</v>
      </c>
      <c r="IE30" s="503">
        <f t="shared" si="188"/>
        <v>0</v>
      </c>
      <c r="IF30" s="501"/>
      <c r="IG30" s="502">
        <f t="shared" si="78"/>
        <v>0</v>
      </c>
      <c r="IH30" s="503">
        <f t="shared" si="189"/>
        <v>0</v>
      </c>
      <c r="II30" s="501"/>
      <c r="IJ30" s="502">
        <f t="shared" si="79"/>
        <v>0</v>
      </c>
      <c r="IK30" s="503">
        <f t="shared" si="190"/>
        <v>0</v>
      </c>
      <c r="IL30" s="501"/>
      <c r="IM30" s="502">
        <f t="shared" si="80"/>
        <v>0</v>
      </c>
      <c r="IN30" s="503">
        <f t="shared" si="191"/>
        <v>0</v>
      </c>
      <c r="IO30" s="501"/>
      <c r="IP30" s="502">
        <f t="shared" si="81"/>
        <v>0</v>
      </c>
      <c r="IQ30" s="503">
        <f t="shared" si="192"/>
        <v>0</v>
      </c>
      <c r="IR30" s="501"/>
      <c r="IS30" s="502">
        <f t="shared" si="82"/>
        <v>0</v>
      </c>
      <c r="IT30" s="503">
        <f t="shared" si="193"/>
        <v>0</v>
      </c>
      <c r="IU30" s="501"/>
      <c r="IV30" s="502">
        <f t="shared" si="83"/>
        <v>0</v>
      </c>
      <c r="IW30" s="503">
        <f t="shared" si="194"/>
        <v>0</v>
      </c>
      <c r="IX30" s="501"/>
      <c r="IY30" s="502">
        <f t="shared" si="84"/>
        <v>0</v>
      </c>
      <c r="IZ30" s="503">
        <f t="shared" si="195"/>
        <v>0</v>
      </c>
      <c r="JA30" s="501"/>
      <c r="JB30" s="502">
        <f t="shared" si="85"/>
        <v>0</v>
      </c>
      <c r="JC30" s="503">
        <f t="shared" si="196"/>
        <v>0</v>
      </c>
      <c r="JD30" s="501"/>
      <c r="JE30" s="502">
        <f t="shared" si="86"/>
        <v>0</v>
      </c>
      <c r="JF30" s="503">
        <f t="shared" si="197"/>
        <v>0</v>
      </c>
      <c r="JG30" s="501"/>
      <c r="JH30" s="502">
        <f t="shared" si="87"/>
        <v>0</v>
      </c>
      <c r="JI30" s="503">
        <f t="shared" si="198"/>
        <v>0</v>
      </c>
      <c r="JJ30" s="501"/>
      <c r="JK30" s="503" t="str">
        <f t="shared" si="88"/>
        <v>0</v>
      </c>
      <c r="JL30" s="503" t="str">
        <f t="shared" si="89"/>
        <v>0</v>
      </c>
      <c r="JM30" s="501"/>
      <c r="JN30" s="503" t="str">
        <f t="shared" si="90"/>
        <v>0</v>
      </c>
      <c r="JO30" s="503" t="str">
        <f t="shared" si="91"/>
        <v>0</v>
      </c>
      <c r="JP30" s="501"/>
      <c r="JQ30" s="503" t="str">
        <f t="shared" si="92"/>
        <v>0</v>
      </c>
      <c r="JR30" s="503" t="str">
        <f t="shared" si="93"/>
        <v>0</v>
      </c>
      <c r="JS30" s="501"/>
      <c r="JT30" s="503" t="str">
        <f t="shared" si="94"/>
        <v>0</v>
      </c>
      <c r="JU30" s="503" t="str">
        <f t="shared" si="95"/>
        <v>0</v>
      </c>
      <c r="JV30" s="501"/>
      <c r="JW30" s="503" t="str">
        <f t="shared" si="96"/>
        <v>0</v>
      </c>
      <c r="JX30" s="503" t="str">
        <f t="shared" si="97"/>
        <v>0</v>
      </c>
      <c r="JY30" s="501"/>
      <c r="JZ30" s="503" t="str">
        <f t="shared" si="98"/>
        <v>0</v>
      </c>
      <c r="KA30" s="503" t="str">
        <f t="shared" si="99"/>
        <v>0</v>
      </c>
      <c r="KB30" s="501"/>
      <c r="KC30" s="503" t="str">
        <f t="shared" si="100"/>
        <v>0</v>
      </c>
      <c r="KD30" s="503" t="str">
        <f t="shared" si="101"/>
        <v>0</v>
      </c>
      <c r="KE30" s="501"/>
      <c r="KF30" s="503" t="str">
        <f t="shared" si="102"/>
        <v>0</v>
      </c>
      <c r="KG30" s="503" t="str">
        <f t="shared" si="103"/>
        <v>0</v>
      </c>
      <c r="KH30" s="501"/>
      <c r="KI30" s="503" t="str">
        <f t="shared" si="104"/>
        <v>0</v>
      </c>
      <c r="KJ30" s="503" t="str">
        <f t="shared" si="105"/>
        <v>0</v>
      </c>
      <c r="KK30" s="501"/>
      <c r="KL30" s="503" t="str">
        <f t="shared" si="106"/>
        <v>0</v>
      </c>
      <c r="KM30" s="503" t="str">
        <f t="shared" si="107"/>
        <v>0</v>
      </c>
      <c r="KN30" s="501"/>
      <c r="KO30" s="503" t="str">
        <f t="shared" si="108"/>
        <v>0</v>
      </c>
      <c r="KP30" s="503" t="str">
        <f t="shared" si="109"/>
        <v>0</v>
      </c>
      <c r="KQ30" s="501"/>
      <c r="KR30" s="503" t="str">
        <f t="shared" si="110"/>
        <v>0</v>
      </c>
      <c r="KS30" s="503" t="str">
        <f t="shared" si="111"/>
        <v>0</v>
      </c>
      <c r="KT30" s="503">
        <f t="shared" si="201"/>
        <v>0</v>
      </c>
      <c r="KU30" s="503">
        <f t="shared" si="202"/>
        <v>0</v>
      </c>
      <c r="KV30" s="264">
        <f t="shared" si="199"/>
        <v>300.77379165838431</v>
      </c>
    </row>
    <row r="31" spans="1:308" ht="15" customHeight="1">
      <c r="A31" s="266">
        <f t="shared" si="200"/>
        <v>45952</v>
      </c>
      <c r="B31" s="267" t="str">
        <f>+Report1!B30</f>
        <v>Toilet</v>
      </c>
      <c r="C31" s="395" t="str">
        <f>+Report1!C30</f>
        <v>12,5/14,5/18</v>
      </c>
      <c r="D31" s="268">
        <f>+Report1!P30</f>
        <v>54.420999999999992</v>
      </c>
      <c r="E31" s="269">
        <f>+Report1!R30</f>
        <v>53.258000000000003</v>
      </c>
      <c r="F31" s="501">
        <v>0</v>
      </c>
      <c r="G31" s="502">
        <f t="shared" si="0"/>
        <v>0</v>
      </c>
      <c r="H31" s="503">
        <f t="shared" si="112"/>
        <v>0</v>
      </c>
      <c r="I31" s="501">
        <v>0</v>
      </c>
      <c r="J31" s="502">
        <f t="shared" si="1"/>
        <v>0</v>
      </c>
      <c r="K31" s="503">
        <f t="shared" si="113"/>
        <v>0</v>
      </c>
      <c r="L31" s="501"/>
      <c r="M31" s="502">
        <f t="shared" si="2"/>
        <v>0</v>
      </c>
      <c r="N31" s="503">
        <f t="shared" si="114"/>
        <v>0</v>
      </c>
      <c r="O31" s="501">
        <v>9.0000000000000284</v>
      </c>
      <c r="P31" s="502">
        <f t="shared" si="3"/>
        <v>0.16898869653385459</v>
      </c>
      <c r="Q31" s="503">
        <f t="shared" si="115"/>
        <v>0</v>
      </c>
      <c r="R31" s="501">
        <v>5.125</v>
      </c>
      <c r="S31" s="502">
        <f t="shared" si="4"/>
        <v>9.6229674415111335E-2</v>
      </c>
      <c r="T31" s="503">
        <f t="shared" si="116"/>
        <v>0</v>
      </c>
      <c r="U31" s="501">
        <v>6.2499999999999858</v>
      </c>
      <c r="V31" s="502">
        <f t="shared" si="5"/>
        <v>0.11735326148184283</v>
      </c>
      <c r="W31" s="503">
        <f t="shared" si="117"/>
        <v>0</v>
      </c>
      <c r="X31" s="501"/>
      <c r="Y31" s="502">
        <f t="shared" si="6"/>
        <v>0</v>
      </c>
      <c r="Z31" s="503">
        <f t="shared" si="118"/>
        <v>0</v>
      </c>
      <c r="AA31" s="501"/>
      <c r="AB31" s="502">
        <f t="shared" si="7"/>
        <v>0</v>
      </c>
      <c r="AC31" s="503">
        <f t="shared" si="119"/>
        <v>0</v>
      </c>
      <c r="AD31" s="501"/>
      <c r="AE31" s="502">
        <f t="shared" si="8"/>
        <v>0</v>
      </c>
      <c r="AF31" s="503">
        <f t="shared" si="120"/>
        <v>0</v>
      </c>
      <c r="AG31" s="501"/>
      <c r="AH31" s="502">
        <f t="shared" si="9"/>
        <v>0</v>
      </c>
      <c r="AI31" s="503">
        <f t="shared" si="121"/>
        <v>0</v>
      </c>
      <c r="AJ31" s="501"/>
      <c r="AK31" s="502">
        <f t="shared" si="10"/>
        <v>0</v>
      </c>
      <c r="AL31" s="503">
        <f t="shared" si="122"/>
        <v>0</v>
      </c>
      <c r="AM31" s="501">
        <v>46.153846153846189</v>
      </c>
      <c r="AN31" s="502">
        <f t="shared" si="11"/>
        <v>0.86660870017361125</v>
      </c>
      <c r="AO31" s="503">
        <f t="shared" si="123"/>
        <v>0</v>
      </c>
      <c r="AP31" s="501">
        <v>0</v>
      </c>
      <c r="AQ31" s="502">
        <f t="shared" si="12"/>
        <v>0</v>
      </c>
      <c r="AR31" s="503">
        <f t="shared" si="124"/>
        <v>0</v>
      </c>
      <c r="AS31" s="501"/>
      <c r="AT31" s="502">
        <f t="shared" si="13"/>
        <v>0</v>
      </c>
      <c r="AU31" s="503">
        <f t="shared" si="125"/>
        <v>0</v>
      </c>
      <c r="AV31" s="501">
        <v>5.5500000000000114</v>
      </c>
      <c r="AW31" s="502">
        <f t="shared" si="14"/>
        <v>0.10420969619587689</v>
      </c>
      <c r="AX31" s="503">
        <f t="shared" si="126"/>
        <v>0</v>
      </c>
      <c r="AY31" s="501">
        <v>51.333333333333314</v>
      </c>
      <c r="AZ31" s="502">
        <f t="shared" si="15"/>
        <v>0.96386145430420433</v>
      </c>
      <c r="BA31" s="503">
        <f t="shared" si="127"/>
        <v>0</v>
      </c>
      <c r="BB31" s="501"/>
      <c r="BC31" s="502">
        <f t="shared" si="16"/>
        <v>0</v>
      </c>
      <c r="BD31" s="503">
        <f t="shared" si="128"/>
        <v>0</v>
      </c>
      <c r="BE31" s="501"/>
      <c r="BF31" s="502">
        <f t="shared" si="17"/>
        <v>0</v>
      </c>
      <c r="BG31" s="503">
        <f t="shared" si="129"/>
        <v>0</v>
      </c>
      <c r="BH31" s="501"/>
      <c r="BI31" s="502">
        <f t="shared" si="18"/>
        <v>0</v>
      </c>
      <c r="BJ31" s="503">
        <f t="shared" si="130"/>
        <v>0</v>
      </c>
      <c r="BK31" s="501"/>
      <c r="BL31" s="502">
        <f t="shared" si="19"/>
        <v>0</v>
      </c>
      <c r="BM31" s="503">
        <f t="shared" si="131"/>
        <v>0</v>
      </c>
      <c r="BN31" s="501">
        <v>30.370370370370381</v>
      </c>
      <c r="BO31" s="502">
        <f t="shared" si="20"/>
        <v>0.57024992245991923</v>
      </c>
      <c r="BP31" s="503">
        <f t="shared" si="132"/>
        <v>0</v>
      </c>
      <c r="BQ31" s="501">
        <v>35.897435897435884</v>
      </c>
      <c r="BR31" s="502">
        <f t="shared" si="21"/>
        <v>0.67402898902391906</v>
      </c>
      <c r="BS31" s="503">
        <f t="shared" si="133"/>
        <v>0</v>
      </c>
      <c r="BT31" s="501"/>
      <c r="BU31" s="502">
        <f t="shared" si="22"/>
        <v>0</v>
      </c>
      <c r="BV31" s="503">
        <f t="shared" si="134"/>
        <v>0</v>
      </c>
      <c r="BW31" s="501"/>
      <c r="BX31" s="502">
        <f t="shared" si="23"/>
        <v>0</v>
      </c>
      <c r="BY31" s="503">
        <f t="shared" si="135"/>
        <v>0</v>
      </c>
      <c r="BZ31" s="501"/>
      <c r="CA31" s="502">
        <f t="shared" si="24"/>
        <v>0</v>
      </c>
      <c r="CB31" s="503">
        <f t="shared" si="136"/>
        <v>0</v>
      </c>
      <c r="CC31" s="501"/>
      <c r="CD31" s="502">
        <f t="shared" si="25"/>
        <v>0</v>
      </c>
      <c r="CE31" s="503">
        <f t="shared" si="137"/>
        <v>0</v>
      </c>
      <c r="CF31" s="501">
        <v>9</v>
      </c>
      <c r="CG31" s="502">
        <f t="shared" si="26"/>
        <v>0.16898869653385407</v>
      </c>
      <c r="CH31" s="503">
        <f t="shared" si="138"/>
        <v>0</v>
      </c>
      <c r="CI31" s="501"/>
      <c r="CJ31" s="502">
        <f t="shared" si="27"/>
        <v>0</v>
      </c>
      <c r="CK31" s="503">
        <f t="shared" si="139"/>
        <v>0</v>
      </c>
      <c r="CL31" s="501"/>
      <c r="CM31" s="502">
        <f t="shared" si="28"/>
        <v>0</v>
      </c>
      <c r="CN31" s="503">
        <f t="shared" si="140"/>
        <v>0</v>
      </c>
      <c r="CO31" s="501"/>
      <c r="CP31" s="502">
        <f t="shared" si="29"/>
        <v>0</v>
      </c>
      <c r="CQ31" s="503">
        <f t="shared" si="141"/>
        <v>0</v>
      </c>
      <c r="CR31" s="501"/>
      <c r="CS31" s="502">
        <f t="shared" si="30"/>
        <v>0</v>
      </c>
      <c r="CT31" s="503">
        <f t="shared" si="142"/>
        <v>0</v>
      </c>
      <c r="CU31" s="501"/>
      <c r="CV31" s="502">
        <f t="shared" si="31"/>
        <v>0</v>
      </c>
      <c r="CW31" s="503">
        <f t="shared" si="143"/>
        <v>0</v>
      </c>
      <c r="CX31" s="501"/>
      <c r="CY31" s="502">
        <f t="shared" si="32"/>
        <v>0</v>
      </c>
      <c r="CZ31" s="503">
        <f t="shared" si="144"/>
        <v>0</v>
      </c>
      <c r="DA31" s="501">
        <v>0</v>
      </c>
      <c r="DB31" s="502">
        <f t="shared" si="33"/>
        <v>0</v>
      </c>
      <c r="DC31" s="503">
        <f t="shared" si="145"/>
        <v>0</v>
      </c>
      <c r="DD31" s="501"/>
      <c r="DE31" s="502">
        <f t="shared" si="34"/>
        <v>0</v>
      </c>
      <c r="DF31" s="503">
        <f t="shared" si="146"/>
        <v>0</v>
      </c>
      <c r="DG31" s="501"/>
      <c r="DH31" s="502">
        <f t="shared" si="35"/>
        <v>0</v>
      </c>
      <c r="DI31" s="503">
        <f t="shared" si="203"/>
        <v>0</v>
      </c>
      <c r="DJ31" s="501"/>
      <c r="DK31" s="502">
        <f t="shared" si="36"/>
        <v>0</v>
      </c>
      <c r="DL31" s="503">
        <f t="shared" si="147"/>
        <v>0</v>
      </c>
      <c r="DM31" s="501"/>
      <c r="DN31" s="502">
        <f t="shared" si="37"/>
        <v>0</v>
      </c>
      <c r="DO31" s="503">
        <f t="shared" si="148"/>
        <v>0</v>
      </c>
      <c r="DP31" s="501"/>
      <c r="DQ31" s="502">
        <f t="shared" si="38"/>
        <v>0</v>
      </c>
      <c r="DR31" s="503">
        <f t="shared" si="149"/>
        <v>0</v>
      </c>
      <c r="DS31" s="501"/>
      <c r="DT31" s="502">
        <f t="shared" si="39"/>
        <v>0</v>
      </c>
      <c r="DU31" s="503">
        <f t="shared" si="150"/>
        <v>0</v>
      </c>
      <c r="DV31" s="501"/>
      <c r="DW31" s="502">
        <f t="shared" si="40"/>
        <v>0</v>
      </c>
      <c r="DX31" s="503">
        <f t="shared" si="151"/>
        <v>0</v>
      </c>
      <c r="DY31" s="501">
        <v>0</v>
      </c>
      <c r="DZ31" s="502">
        <f t="shared" si="41"/>
        <v>0</v>
      </c>
      <c r="EA31" s="503">
        <f t="shared" si="152"/>
        <v>0</v>
      </c>
      <c r="EB31" s="501">
        <v>7.2674418604651123</v>
      </c>
      <c r="EC31" s="502">
        <f t="shared" si="42"/>
        <v>0.13645728079284072</v>
      </c>
      <c r="ED31" s="503">
        <f t="shared" si="153"/>
        <v>0</v>
      </c>
      <c r="EE31" s="501">
        <v>3</v>
      </c>
      <c r="EF31" s="502">
        <f t="shared" si="43"/>
        <v>5.6329565511284686E-2</v>
      </c>
      <c r="EG31" s="503">
        <f t="shared" si="154"/>
        <v>0</v>
      </c>
      <c r="EH31" s="501"/>
      <c r="EI31" s="502">
        <f t="shared" si="44"/>
        <v>0</v>
      </c>
      <c r="EJ31" s="503">
        <f t="shared" si="155"/>
        <v>0</v>
      </c>
      <c r="EK31" s="501"/>
      <c r="EL31" s="502">
        <f t="shared" si="45"/>
        <v>0</v>
      </c>
      <c r="EM31" s="503">
        <f t="shared" si="156"/>
        <v>0</v>
      </c>
      <c r="EN31" s="501"/>
      <c r="EO31" s="502">
        <f t="shared" si="46"/>
        <v>0</v>
      </c>
      <c r="EP31" s="503">
        <f t="shared" si="157"/>
        <v>0</v>
      </c>
      <c r="EQ31" s="501"/>
      <c r="ER31" s="502">
        <f t="shared" si="47"/>
        <v>0</v>
      </c>
      <c r="ES31" s="503">
        <f t="shared" si="158"/>
        <v>0</v>
      </c>
      <c r="ET31" s="501"/>
      <c r="EU31" s="502">
        <f t="shared" si="48"/>
        <v>0</v>
      </c>
      <c r="EV31" s="503">
        <f t="shared" si="159"/>
        <v>0</v>
      </c>
      <c r="EW31" s="501"/>
      <c r="EX31" s="502">
        <f t="shared" si="49"/>
        <v>0</v>
      </c>
      <c r="EY31" s="503">
        <f t="shared" si="160"/>
        <v>0</v>
      </c>
      <c r="EZ31" s="501"/>
      <c r="FA31" s="502">
        <f t="shared" si="50"/>
        <v>0</v>
      </c>
      <c r="FB31" s="503">
        <f t="shared" si="161"/>
        <v>0</v>
      </c>
      <c r="FC31" s="501"/>
      <c r="FD31" s="502">
        <f t="shared" si="51"/>
        <v>0</v>
      </c>
      <c r="FE31" s="503">
        <f t="shared" si="162"/>
        <v>0</v>
      </c>
      <c r="FF31" s="501"/>
      <c r="FG31" s="502">
        <f t="shared" si="52"/>
        <v>0</v>
      </c>
      <c r="FH31" s="503">
        <f t="shared" si="163"/>
        <v>0</v>
      </c>
      <c r="FI31" s="501"/>
      <c r="FJ31" s="502">
        <f t="shared" si="53"/>
        <v>0</v>
      </c>
      <c r="FK31" s="503">
        <f t="shared" si="164"/>
        <v>0</v>
      </c>
      <c r="FL31" s="501"/>
      <c r="FM31" s="502">
        <f t="shared" si="54"/>
        <v>0</v>
      </c>
      <c r="FN31" s="503">
        <f t="shared" si="165"/>
        <v>0</v>
      </c>
      <c r="FO31" s="501"/>
      <c r="FP31" s="502">
        <f t="shared" si="55"/>
        <v>0</v>
      </c>
      <c r="FQ31" s="503">
        <f t="shared" si="166"/>
        <v>0</v>
      </c>
      <c r="FR31" s="501"/>
      <c r="FS31" s="502">
        <f t="shared" si="56"/>
        <v>0</v>
      </c>
      <c r="FT31" s="503">
        <f t="shared" si="167"/>
        <v>0</v>
      </c>
      <c r="FU31" s="501"/>
      <c r="FV31" s="502">
        <f t="shared" si="57"/>
        <v>0</v>
      </c>
      <c r="FW31" s="503">
        <f t="shared" si="168"/>
        <v>0</v>
      </c>
      <c r="FX31" s="501"/>
      <c r="FY31" s="502">
        <f t="shared" si="58"/>
        <v>0</v>
      </c>
      <c r="FZ31" s="503">
        <f t="shared" si="169"/>
        <v>0</v>
      </c>
      <c r="GA31" s="501"/>
      <c r="GB31" s="502">
        <f t="shared" si="59"/>
        <v>0</v>
      </c>
      <c r="GC31" s="503">
        <f t="shared" si="170"/>
        <v>0</v>
      </c>
      <c r="GD31" s="501"/>
      <c r="GE31" s="502">
        <f t="shared" si="60"/>
        <v>0</v>
      </c>
      <c r="GF31" s="503">
        <f t="shared" si="171"/>
        <v>0</v>
      </c>
      <c r="GG31" s="501"/>
      <c r="GH31" s="502">
        <f t="shared" si="61"/>
        <v>0</v>
      </c>
      <c r="GI31" s="503">
        <f t="shared" si="172"/>
        <v>0</v>
      </c>
      <c r="GJ31" s="501"/>
      <c r="GK31" s="502">
        <f t="shared" si="62"/>
        <v>0</v>
      </c>
      <c r="GL31" s="503">
        <f t="shared" si="173"/>
        <v>0</v>
      </c>
      <c r="GM31" s="501"/>
      <c r="GN31" s="502">
        <f t="shared" si="63"/>
        <v>0</v>
      </c>
      <c r="GO31" s="503">
        <f t="shared" si="174"/>
        <v>0</v>
      </c>
      <c r="GP31" s="501"/>
      <c r="GQ31" s="502">
        <f t="shared" si="64"/>
        <v>0</v>
      </c>
      <c r="GR31" s="503">
        <f t="shared" si="175"/>
        <v>0</v>
      </c>
      <c r="GS31" s="501"/>
      <c r="GT31" s="502">
        <f t="shared" si="65"/>
        <v>0</v>
      </c>
      <c r="GU31" s="503">
        <f t="shared" si="176"/>
        <v>0</v>
      </c>
      <c r="GV31" s="501"/>
      <c r="GW31" s="502">
        <f t="shared" si="66"/>
        <v>0</v>
      </c>
      <c r="GX31" s="503">
        <f t="shared" si="177"/>
        <v>0</v>
      </c>
      <c r="GY31" s="501"/>
      <c r="GZ31" s="502">
        <f t="shared" si="67"/>
        <v>0</v>
      </c>
      <c r="HA31" s="503">
        <f t="shared" si="178"/>
        <v>0</v>
      </c>
      <c r="HB31" s="501"/>
      <c r="HC31" s="502">
        <f t="shared" si="68"/>
        <v>0</v>
      </c>
      <c r="HD31" s="503">
        <f t="shared" si="179"/>
        <v>0</v>
      </c>
      <c r="HE31" s="501"/>
      <c r="HF31" s="502">
        <f t="shared" si="69"/>
        <v>0</v>
      </c>
      <c r="HG31" s="503">
        <f t="shared" si="180"/>
        <v>0</v>
      </c>
      <c r="HH31" s="501"/>
      <c r="HI31" s="502">
        <f t="shared" si="70"/>
        <v>0</v>
      </c>
      <c r="HJ31" s="503">
        <f t="shared" si="181"/>
        <v>0</v>
      </c>
      <c r="HK31" s="501"/>
      <c r="HL31" s="502">
        <f t="shared" si="71"/>
        <v>0</v>
      </c>
      <c r="HM31" s="503">
        <f t="shared" si="182"/>
        <v>0</v>
      </c>
      <c r="HN31" s="501"/>
      <c r="HO31" s="502">
        <f t="shared" si="72"/>
        <v>0</v>
      </c>
      <c r="HP31" s="503">
        <f t="shared" si="183"/>
        <v>0</v>
      </c>
      <c r="HQ31" s="501"/>
      <c r="HR31" s="502">
        <f t="shared" si="73"/>
        <v>0</v>
      </c>
      <c r="HS31" s="503">
        <f t="shared" si="184"/>
        <v>0</v>
      </c>
      <c r="HT31" s="501"/>
      <c r="HU31" s="502">
        <f t="shared" si="74"/>
        <v>0</v>
      </c>
      <c r="HV31" s="503">
        <f t="shared" si="185"/>
        <v>0</v>
      </c>
      <c r="HW31" s="501"/>
      <c r="HX31" s="502">
        <f t="shared" si="75"/>
        <v>0</v>
      </c>
      <c r="HY31" s="503">
        <f t="shared" si="186"/>
        <v>0</v>
      </c>
      <c r="HZ31" s="501"/>
      <c r="IA31" s="502">
        <f t="shared" si="76"/>
        <v>0</v>
      </c>
      <c r="IB31" s="503">
        <f t="shared" si="187"/>
        <v>0</v>
      </c>
      <c r="IC31" s="501"/>
      <c r="ID31" s="502">
        <f t="shared" si="77"/>
        <v>0</v>
      </c>
      <c r="IE31" s="503">
        <f t="shared" si="188"/>
        <v>0</v>
      </c>
      <c r="IF31" s="501"/>
      <c r="IG31" s="502">
        <f t="shared" si="78"/>
        <v>0</v>
      </c>
      <c r="IH31" s="503">
        <f t="shared" si="189"/>
        <v>0</v>
      </c>
      <c r="II31" s="501"/>
      <c r="IJ31" s="502">
        <f t="shared" si="79"/>
        <v>0</v>
      </c>
      <c r="IK31" s="503">
        <f t="shared" si="190"/>
        <v>0</v>
      </c>
      <c r="IL31" s="501"/>
      <c r="IM31" s="502">
        <f t="shared" si="80"/>
        <v>0</v>
      </c>
      <c r="IN31" s="503">
        <f t="shared" si="191"/>
        <v>0</v>
      </c>
      <c r="IO31" s="501"/>
      <c r="IP31" s="502">
        <f t="shared" si="81"/>
        <v>0</v>
      </c>
      <c r="IQ31" s="503">
        <f t="shared" si="192"/>
        <v>0</v>
      </c>
      <c r="IR31" s="501"/>
      <c r="IS31" s="502">
        <f t="shared" si="82"/>
        <v>0</v>
      </c>
      <c r="IT31" s="503">
        <f t="shared" si="193"/>
        <v>0</v>
      </c>
      <c r="IU31" s="501"/>
      <c r="IV31" s="502">
        <f t="shared" si="83"/>
        <v>0</v>
      </c>
      <c r="IW31" s="503">
        <f t="shared" si="194"/>
        <v>0</v>
      </c>
      <c r="IX31" s="501"/>
      <c r="IY31" s="502">
        <f t="shared" si="84"/>
        <v>0</v>
      </c>
      <c r="IZ31" s="503">
        <f t="shared" si="195"/>
        <v>0</v>
      </c>
      <c r="JA31" s="501"/>
      <c r="JB31" s="502">
        <f t="shared" si="85"/>
        <v>0</v>
      </c>
      <c r="JC31" s="503">
        <f t="shared" si="196"/>
        <v>0</v>
      </c>
      <c r="JD31" s="501"/>
      <c r="JE31" s="502">
        <f t="shared" si="86"/>
        <v>0</v>
      </c>
      <c r="JF31" s="503">
        <f t="shared" si="197"/>
        <v>0</v>
      </c>
      <c r="JG31" s="501"/>
      <c r="JH31" s="502">
        <f t="shared" si="87"/>
        <v>0</v>
      </c>
      <c r="JI31" s="503">
        <f t="shared" si="198"/>
        <v>0</v>
      </c>
      <c r="JJ31" s="501"/>
      <c r="JK31" s="503" t="str">
        <f t="shared" si="88"/>
        <v>0</v>
      </c>
      <c r="JL31" s="503" t="str">
        <f t="shared" si="89"/>
        <v>0</v>
      </c>
      <c r="JM31" s="501"/>
      <c r="JN31" s="503" t="str">
        <f t="shared" si="90"/>
        <v>0</v>
      </c>
      <c r="JO31" s="503" t="str">
        <f t="shared" si="91"/>
        <v>0</v>
      </c>
      <c r="JP31" s="501"/>
      <c r="JQ31" s="503" t="str">
        <f t="shared" si="92"/>
        <v>0</v>
      </c>
      <c r="JR31" s="503" t="str">
        <f t="shared" si="93"/>
        <v>0</v>
      </c>
      <c r="JS31" s="501"/>
      <c r="JT31" s="503" t="str">
        <f t="shared" si="94"/>
        <v>0</v>
      </c>
      <c r="JU31" s="503" t="str">
        <f t="shared" si="95"/>
        <v>0</v>
      </c>
      <c r="JV31" s="501"/>
      <c r="JW31" s="503" t="str">
        <f t="shared" si="96"/>
        <v>0</v>
      </c>
      <c r="JX31" s="503" t="str">
        <f t="shared" si="97"/>
        <v>0</v>
      </c>
      <c r="JY31" s="501"/>
      <c r="JZ31" s="503" t="str">
        <f t="shared" si="98"/>
        <v>0</v>
      </c>
      <c r="KA31" s="503" t="str">
        <f t="shared" si="99"/>
        <v>0</v>
      </c>
      <c r="KB31" s="501"/>
      <c r="KC31" s="503" t="str">
        <f t="shared" si="100"/>
        <v>0</v>
      </c>
      <c r="KD31" s="503" t="str">
        <f t="shared" si="101"/>
        <v>0</v>
      </c>
      <c r="KE31" s="501"/>
      <c r="KF31" s="503" t="str">
        <f t="shared" si="102"/>
        <v>0</v>
      </c>
      <c r="KG31" s="503" t="str">
        <f t="shared" si="103"/>
        <v>0</v>
      </c>
      <c r="KH31" s="501"/>
      <c r="KI31" s="503" t="str">
        <f t="shared" si="104"/>
        <v>0</v>
      </c>
      <c r="KJ31" s="503" t="str">
        <f t="shared" si="105"/>
        <v>0</v>
      </c>
      <c r="KK31" s="501"/>
      <c r="KL31" s="503" t="str">
        <f t="shared" si="106"/>
        <v>0</v>
      </c>
      <c r="KM31" s="503" t="str">
        <f t="shared" si="107"/>
        <v>0</v>
      </c>
      <c r="KN31" s="501"/>
      <c r="KO31" s="503" t="str">
        <f t="shared" si="108"/>
        <v>0</v>
      </c>
      <c r="KP31" s="503" t="str">
        <f t="shared" si="109"/>
        <v>0</v>
      </c>
      <c r="KQ31" s="501"/>
      <c r="KR31" s="503" t="str">
        <f t="shared" si="110"/>
        <v>0</v>
      </c>
      <c r="KS31" s="503" t="str">
        <f t="shared" si="111"/>
        <v>0</v>
      </c>
      <c r="KT31" s="503">
        <f t="shared" si="201"/>
        <v>0</v>
      </c>
      <c r="KU31" s="503">
        <f t="shared" si="202"/>
        <v>0</v>
      </c>
      <c r="KV31" s="264">
        <f t="shared" si="199"/>
        <v>208.94742761545089</v>
      </c>
    </row>
    <row r="32" spans="1:308" ht="15" customHeight="1">
      <c r="A32" s="266">
        <f t="shared" si="200"/>
        <v>45953</v>
      </c>
      <c r="B32" s="267" t="str">
        <f>+Report1!B31</f>
        <v>Toilet</v>
      </c>
      <c r="C32" s="395" t="str">
        <f>+Report1!C31</f>
        <v>18/14,5/12,5</v>
      </c>
      <c r="D32" s="268">
        <f>+Report1!P31</f>
        <v>54.435999999999993</v>
      </c>
      <c r="E32" s="269">
        <f>+Report1!R31</f>
        <v>37.82</v>
      </c>
      <c r="F32" s="501">
        <v>0</v>
      </c>
      <c r="G32" s="502">
        <f t="shared" si="0"/>
        <v>0</v>
      </c>
      <c r="H32" s="503">
        <f t="shared" si="112"/>
        <v>0</v>
      </c>
      <c r="I32" s="501">
        <v>0</v>
      </c>
      <c r="J32" s="502">
        <f t="shared" si="1"/>
        <v>0</v>
      </c>
      <c r="K32" s="503">
        <f t="shared" si="113"/>
        <v>0</v>
      </c>
      <c r="L32" s="501"/>
      <c r="M32" s="502">
        <f t="shared" si="2"/>
        <v>0</v>
      </c>
      <c r="N32" s="503">
        <f t="shared" si="114"/>
        <v>0</v>
      </c>
      <c r="O32" s="501">
        <v>11.999999999999972</v>
      </c>
      <c r="P32" s="502">
        <f t="shared" si="3"/>
        <v>0.31729243786356348</v>
      </c>
      <c r="Q32" s="503">
        <f t="shared" si="115"/>
        <v>0</v>
      </c>
      <c r="R32" s="501">
        <v>5.1249999999999858</v>
      </c>
      <c r="S32" s="502">
        <f t="shared" si="4"/>
        <v>0.13551031200423019</v>
      </c>
      <c r="T32" s="503">
        <f t="shared" si="116"/>
        <v>0</v>
      </c>
      <c r="U32" s="501">
        <v>7.8125000000000142</v>
      </c>
      <c r="V32" s="502">
        <f t="shared" si="5"/>
        <v>0.20657059756742502</v>
      </c>
      <c r="W32" s="503">
        <f t="shared" si="117"/>
        <v>0</v>
      </c>
      <c r="X32" s="501"/>
      <c r="Y32" s="502">
        <f t="shared" si="6"/>
        <v>0</v>
      </c>
      <c r="Z32" s="503">
        <f t="shared" si="118"/>
        <v>0</v>
      </c>
      <c r="AA32" s="501"/>
      <c r="AB32" s="502">
        <f t="shared" si="7"/>
        <v>0</v>
      </c>
      <c r="AC32" s="503">
        <f t="shared" si="119"/>
        <v>0</v>
      </c>
      <c r="AD32" s="501"/>
      <c r="AE32" s="502">
        <f t="shared" si="8"/>
        <v>0</v>
      </c>
      <c r="AF32" s="503">
        <f t="shared" si="120"/>
        <v>0</v>
      </c>
      <c r="AG32" s="501"/>
      <c r="AH32" s="502">
        <f t="shared" si="9"/>
        <v>0</v>
      </c>
      <c r="AI32" s="503">
        <f t="shared" si="121"/>
        <v>0</v>
      </c>
      <c r="AJ32" s="501"/>
      <c r="AK32" s="502">
        <f t="shared" si="10"/>
        <v>0</v>
      </c>
      <c r="AL32" s="503">
        <f t="shared" si="122"/>
        <v>0</v>
      </c>
      <c r="AM32" s="501">
        <v>66.346153846153925</v>
      </c>
      <c r="AN32" s="502">
        <f t="shared" si="11"/>
        <v>1.7542610747264391</v>
      </c>
      <c r="AO32" s="503">
        <f t="shared" si="123"/>
        <v>0</v>
      </c>
      <c r="AP32" s="501">
        <v>0</v>
      </c>
      <c r="AQ32" s="502">
        <f t="shared" si="12"/>
        <v>0</v>
      </c>
      <c r="AR32" s="503">
        <f t="shared" si="124"/>
        <v>0</v>
      </c>
      <c r="AS32" s="501"/>
      <c r="AT32" s="502">
        <f t="shared" si="13"/>
        <v>0</v>
      </c>
      <c r="AU32" s="503">
        <f t="shared" si="125"/>
        <v>0</v>
      </c>
      <c r="AV32" s="501">
        <v>8.3249999999999886</v>
      </c>
      <c r="AW32" s="502">
        <f t="shared" si="14"/>
        <v>0.22012162876784741</v>
      </c>
      <c r="AX32" s="503">
        <f t="shared" si="126"/>
        <v>0</v>
      </c>
      <c r="AY32" s="501">
        <v>48.999999999999886</v>
      </c>
      <c r="AZ32" s="502">
        <f t="shared" si="15"/>
        <v>1.2956107879428844</v>
      </c>
      <c r="BA32" s="503">
        <f t="shared" si="127"/>
        <v>0</v>
      </c>
      <c r="BB32" s="501"/>
      <c r="BC32" s="502">
        <f t="shared" si="16"/>
        <v>0</v>
      </c>
      <c r="BD32" s="503">
        <f t="shared" si="128"/>
        <v>0</v>
      </c>
      <c r="BE32" s="501"/>
      <c r="BF32" s="502">
        <f t="shared" si="17"/>
        <v>0</v>
      </c>
      <c r="BG32" s="503">
        <f t="shared" si="129"/>
        <v>0</v>
      </c>
      <c r="BH32" s="501"/>
      <c r="BI32" s="502">
        <f t="shared" si="18"/>
        <v>0</v>
      </c>
      <c r="BJ32" s="503">
        <f t="shared" si="130"/>
        <v>0</v>
      </c>
      <c r="BK32" s="501"/>
      <c r="BL32" s="502">
        <f t="shared" si="19"/>
        <v>0</v>
      </c>
      <c r="BM32" s="503">
        <f t="shared" si="131"/>
        <v>0</v>
      </c>
      <c r="BN32" s="501">
        <v>25.308641975308632</v>
      </c>
      <c r="BO32" s="502">
        <f t="shared" si="20"/>
        <v>0.66918672594681738</v>
      </c>
      <c r="BP32" s="503">
        <f t="shared" si="132"/>
        <v>0</v>
      </c>
      <c r="BQ32" s="501">
        <v>61.538461538461519</v>
      </c>
      <c r="BR32" s="502">
        <f t="shared" si="21"/>
        <v>1.6271407069926367</v>
      </c>
      <c r="BS32" s="503">
        <f t="shared" si="133"/>
        <v>0</v>
      </c>
      <c r="BT32" s="501"/>
      <c r="BU32" s="502">
        <f t="shared" si="22"/>
        <v>0</v>
      </c>
      <c r="BV32" s="503">
        <f t="shared" si="134"/>
        <v>0</v>
      </c>
      <c r="BW32" s="501"/>
      <c r="BX32" s="502">
        <f t="shared" si="23"/>
        <v>0</v>
      </c>
      <c r="BY32" s="503">
        <f t="shared" si="135"/>
        <v>0</v>
      </c>
      <c r="BZ32" s="501"/>
      <c r="CA32" s="502">
        <f t="shared" si="24"/>
        <v>0</v>
      </c>
      <c r="CB32" s="503">
        <f t="shared" si="136"/>
        <v>0</v>
      </c>
      <c r="CC32" s="501"/>
      <c r="CD32" s="502">
        <f t="shared" si="25"/>
        <v>0</v>
      </c>
      <c r="CE32" s="503">
        <f t="shared" si="137"/>
        <v>0</v>
      </c>
      <c r="CF32" s="501">
        <v>9</v>
      </c>
      <c r="CG32" s="502">
        <f t="shared" si="26"/>
        <v>0.23796932839767318</v>
      </c>
      <c r="CH32" s="503">
        <f t="shared" si="138"/>
        <v>0</v>
      </c>
      <c r="CI32" s="501"/>
      <c r="CJ32" s="502">
        <f t="shared" si="27"/>
        <v>0</v>
      </c>
      <c r="CK32" s="503">
        <f t="shared" si="139"/>
        <v>0</v>
      </c>
      <c r="CL32" s="501"/>
      <c r="CM32" s="502">
        <f t="shared" si="28"/>
        <v>0</v>
      </c>
      <c r="CN32" s="503">
        <f t="shared" si="140"/>
        <v>0</v>
      </c>
      <c r="CO32" s="501"/>
      <c r="CP32" s="502">
        <f t="shared" si="29"/>
        <v>0</v>
      </c>
      <c r="CQ32" s="503">
        <f t="shared" si="141"/>
        <v>0</v>
      </c>
      <c r="CR32" s="501"/>
      <c r="CS32" s="502">
        <f t="shared" si="30"/>
        <v>0</v>
      </c>
      <c r="CT32" s="503">
        <f t="shared" si="142"/>
        <v>0</v>
      </c>
      <c r="CU32" s="501"/>
      <c r="CV32" s="502">
        <f t="shared" si="31"/>
        <v>0</v>
      </c>
      <c r="CW32" s="503">
        <f t="shared" si="143"/>
        <v>0</v>
      </c>
      <c r="CX32" s="501"/>
      <c r="CY32" s="502">
        <f t="shared" si="32"/>
        <v>0</v>
      </c>
      <c r="CZ32" s="503">
        <f t="shared" si="144"/>
        <v>0</v>
      </c>
      <c r="DA32" s="501">
        <v>0</v>
      </c>
      <c r="DB32" s="502">
        <f t="shared" si="33"/>
        <v>0</v>
      </c>
      <c r="DC32" s="503">
        <f t="shared" si="145"/>
        <v>0</v>
      </c>
      <c r="DD32" s="501"/>
      <c r="DE32" s="502">
        <f t="shared" si="34"/>
        <v>0</v>
      </c>
      <c r="DF32" s="503">
        <f t="shared" si="146"/>
        <v>0</v>
      </c>
      <c r="DG32" s="501"/>
      <c r="DH32" s="502">
        <f t="shared" si="35"/>
        <v>0</v>
      </c>
      <c r="DI32" s="503">
        <f t="shared" si="203"/>
        <v>0</v>
      </c>
      <c r="DJ32" s="501"/>
      <c r="DK32" s="502">
        <f t="shared" si="36"/>
        <v>0</v>
      </c>
      <c r="DL32" s="503">
        <f t="shared" si="147"/>
        <v>0</v>
      </c>
      <c r="DM32" s="501"/>
      <c r="DN32" s="502">
        <f t="shared" si="37"/>
        <v>0</v>
      </c>
      <c r="DO32" s="503">
        <f t="shared" si="148"/>
        <v>0</v>
      </c>
      <c r="DP32" s="501"/>
      <c r="DQ32" s="502">
        <f t="shared" si="38"/>
        <v>0</v>
      </c>
      <c r="DR32" s="503">
        <f t="shared" si="149"/>
        <v>0</v>
      </c>
      <c r="DS32" s="501"/>
      <c r="DT32" s="502">
        <f t="shared" si="39"/>
        <v>0</v>
      </c>
      <c r="DU32" s="503">
        <f t="shared" si="150"/>
        <v>0</v>
      </c>
      <c r="DV32" s="501"/>
      <c r="DW32" s="502">
        <f t="shared" si="40"/>
        <v>0</v>
      </c>
      <c r="DX32" s="503">
        <f t="shared" si="151"/>
        <v>0</v>
      </c>
      <c r="DY32" s="501">
        <v>0</v>
      </c>
      <c r="DZ32" s="502">
        <f t="shared" si="41"/>
        <v>0</v>
      </c>
      <c r="EA32" s="503">
        <f t="shared" si="152"/>
        <v>0</v>
      </c>
      <c r="EB32" s="501">
        <v>14.534883720930281</v>
      </c>
      <c r="EC32" s="502">
        <f t="shared" si="42"/>
        <v>0.38431739082311689</v>
      </c>
      <c r="ED32" s="503">
        <f t="shared" si="153"/>
        <v>0</v>
      </c>
      <c r="EE32" s="501">
        <v>3</v>
      </c>
      <c r="EF32" s="502">
        <f t="shared" si="43"/>
        <v>7.9323109465891065E-2</v>
      </c>
      <c r="EG32" s="503">
        <f t="shared" si="154"/>
        <v>0</v>
      </c>
      <c r="EH32" s="501"/>
      <c r="EI32" s="502">
        <f t="shared" si="44"/>
        <v>0</v>
      </c>
      <c r="EJ32" s="503">
        <f t="shared" si="155"/>
        <v>0</v>
      </c>
      <c r="EK32" s="501"/>
      <c r="EL32" s="502">
        <f t="shared" si="45"/>
        <v>0</v>
      </c>
      <c r="EM32" s="503">
        <f t="shared" si="156"/>
        <v>0</v>
      </c>
      <c r="EN32" s="501"/>
      <c r="EO32" s="502">
        <f t="shared" si="46"/>
        <v>0</v>
      </c>
      <c r="EP32" s="503">
        <f t="shared" si="157"/>
        <v>0</v>
      </c>
      <c r="EQ32" s="501"/>
      <c r="ER32" s="502">
        <f t="shared" si="47"/>
        <v>0</v>
      </c>
      <c r="ES32" s="503">
        <f t="shared" si="158"/>
        <v>0</v>
      </c>
      <c r="ET32" s="501"/>
      <c r="EU32" s="502">
        <f t="shared" si="48"/>
        <v>0</v>
      </c>
      <c r="EV32" s="503">
        <f t="shared" si="159"/>
        <v>0</v>
      </c>
      <c r="EW32" s="501"/>
      <c r="EX32" s="502">
        <f t="shared" si="49"/>
        <v>0</v>
      </c>
      <c r="EY32" s="503">
        <f t="shared" si="160"/>
        <v>0</v>
      </c>
      <c r="EZ32" s="501"/>
      <c r="FA32" s="502">
        <f t="shared" si="50"/>
        <v>0</v>
      </c>
      <c r="FB32" s="503">
        <f t="shared" si="161"/>
        <v>0</v>
      </c>
      <c r="FC32" s="501"/>
      <c r="FD32" s="502">
        <f t="shared" si="51"/>
        <v>0</v>
      </c>
      <c r="FE32" s="503">
        <f t="shared" si="162"/>
        <v>0</v>
      </c>
      <c r="FF32" s="501"/>
      <c r="FG32" s="502">
        <f t="shared" si="52"/>
        <v>0</v>
      </c>
      <c r="FH32" s="503">
        <f t="shared" si="163"/>
        <v>0</v>
      </c>
      <c r="FI32" s="501"/>
      <c r="FJ32" s="502">
        <f t="shared" si="53"/>
        <v>0</v>
      </c>
      <c r="FK32" s="503">
        <f t="shared" si="164"/>
        <v>0</v>
      </c>
      <c r="FL32" s="501"/>
      <c r="FM32" s="502">
        <f t="shared" si="54"/>
        <v>0</v>
      </c>
      <c r="FN32" s="503">
        <f t="shared" si="165"/>
        <v>0</v>
      </c>
      <c r="FO32" s="501"/>
      <c r="FP32" s="502">
        <f t="shared" si="55"/>
        <v>0</v>
      </c>
      <c r="FQ32" s="503">
        <f t="shared" si="166"/>
        <v>0</v>
      </c>
      <c r="FR32" s="501"/>
      <c r="FS32" s="502">
        <f t="shared" si="56"/>
        <v>0</v>
      </c>
      <c r="FT32" s="503">
        <f t="shared" si="167"/>
        <v>0</v>
      </c>
      <c r="FU32" s="501"/>
      <c r="FV32" s="502">
        <f t="shared" si="57"/>
        <v>0</v>
      </c>
      <c r="FW32" s="503">
        <f t="shared" si="168"/>
        <v>0</v>
      </c>
      <c r="FX32" s="501"/>
      <c r="FY32" s="502">
        <f t="shared" si="58"/>
        <v>0</v>
      </c>
      <c r="FZ32" s="503">
        <f t="shared" si="169"/>
        <v>0</v>
      </c>
      <c r="GA32" s="501"/>
      <c r="GB32" s="502">
        <f t="shared" si="59"/>
        <v>0</v>
      </c>
      <c r="GC32" s="503">
        <f t="shared" si="170"/>
        <v>0</v>
      </c>
      <c r="GD32" s="501"/>
      <c r="GE32" s="502">
        <f t="shared" si="60"/>
        <v>0</v>
      </c>
      <c r="GF32" s="503">
        <f t="shared" si="171"/>
        <v>0</v>
      </c>
      <c r="GG32" s="501"/>
      <c r="GH32" s="502">
        <f t="shared" si="61"/>
        <v>0</v>
      </c>
      <c r="GI32" s="503">
        <f t="shared" si="172"/>
        <v>0</v>
      </c>
      <c r="GJ32" s="501"/>
      <c r="GK32" s="502">
        <f t="shared" si="62"/>
        <v>0</v>
      </c>
      <c r="GL32" s="503">
        <f t="shared" si="173"/>
        <v>0</v>
      </c>
      <c r="GM32" s="501"/>
      <c r="GN32" s="502">
        <f t="shared" si="63"/>
        <v>0</v>
      </c>
      <c r="GO32" s="503">
        <f t="shared" si="174"/>
        <v>0</v>
      </c>
      <c r="GP32" s="501"/>
      <c r="GQ32" s="502">
        <f t="shared" si="64"/>
        <v>0</v>
      </c>
      <c r="GR32" s="503">
        <f t="shared" si="175"/>
        <v>0</v>
      </c>
      <c r="GS32" s="501"/>
      <c r="GT32" s="502">
        <f t="shared" si="65"/>
        <v>0</v>
      </c>
      <c r="GU32" s="503">
        <f t="shared" si="176"/>
        <v>0</v>
      </c>
      <c r="GV32" s="501"/>
      <c r="GW32" s="502">
        <f t="shared" si="66"/>
        <v>0</v>
      </c>
      <c r="GX32" s="503">
        <f t="shared" si="177"/>
        <v>0</v>
      </c>
      <c r="GY32" s="501"/>
      <c r="GZ32" s="502">
        <f t="shared" si="67"/>
        <v>0</v>
      </c>
      <c r="HA32" s="503">
        <f t="shared" si="178"/>
        <v>0</v>
      </c>
      <c r="HB32" s="501"/>
      <c r="HC32" s="502">
        <f t="shared" si="68"/>
        <v>0</v>
      </c>
      <c r="HD32" s="503">
        <f t="shared" si="179"/>
        <v>0</v>
      </c>
      <c r="HE32" s="501"/>
      <c r="HF32" s="502">
        <f t="shared" si="69"/>
        <v>0</v>
      </c>
      <c r="HG32" s="503">
        <f t="shared" si="180"/>
        <v>0</v>
      </c>
      <c r="HH32" s="501"/>
      <c r="HI32" s="502">
        <f t="shared" si="70"/>
        <v>0</v>
      </c>
      <c r="HJ32" s="503">
        <f t="shared" si="181"/>
        <v>0</v>
      </c>
      <c r="HK32" s="501"/>
      <c r="HL32" s="502">
        <f t="shared" si="71"/>
        <v>0</v>
      </c>
      <c r="HM32" s="503">
        <f t="shared" si="182"/>
        <v>0</v>
      </c>
      <c r="HN32" s="501"/>
      <c r="HO32" s="502">
        <f t="shared" si="72"/>
        <v>0</v>
      </c>
      <c r="HP32" s="503">
        <f t="shared" si="183"/>
        <v>0</v>
      </c>
      <c r="HQ32" s="501"/>
      <c r="HR32" s="502">
        <f t="shared" si="73"/>
        <v>0</v>
      </c>
      <c r="HS32" s="503">
        <f t="shared" si="184"/>
        <v>0</v>
      </c>
      <c r="HT32" s="501"/>
      <c r="HU32" s="502">
        <f t="shared" si="74"/>
        <v>0</v>
      </c>
      <c r="HV32" s="503">
        <f t="shared" si="185"/>
        <v>0</v>
      </c>
      <c r="HW32" s="501"/>
      <c r="HX32" s="502">
        <f t="shared" si="75"/>
        <v>0</v>
      </c>
      <c r="HY32" s="503">
        <f t="shared" si="186"/>
        <v>0</v>
      </c>
      <c r="HZ32" s="501"/>
      <c r="IA32" s="502">
        <f t="shared" si="76"/>
        <v>0</v>
      </c>
      <c r="IB32" s="503">
        <f t="shared" si="187"/>
        <v>0</v>
      </c>
      <c r="IC32" s="501"/>
      <c r="ID32" s="502">
        <f t="shared" si="77"/>
        <v>0</v>
      </c>
      <c r="IE32" s="503">
        <f t="shared" si="188"/>
        <v>0</v>
      </c>
      <c r="IF32" s="501"/>
      <c r="IG32" s="502">
        <f t="shared" si="78"/>
        <v>0</v>
      </c>
      <c r="IH32" s="503">
        <f t="shared" si="189"/>
        <v>0</v>
      </c>
      <c r="II32" s="501"/>
      <c r="IJ32" s="502">
        <f t="shared" si="79"/>
        <v>0</v>
      </c>
      <c r="IK32" s="503">
        <f t="shared" si="190"/>
        <v>0</v>
      </c>
      <c r="IL32" s="501"/>
      <c r="IM32" s="502">
        <f t="shared" si="80"/>
        <v>0</v>
      </c>
      <c r="IN32" s="503">
        <f t="shared" si="191"/>
        <v>0</v>
      </c>
      <c r="IO32" s="501"/>
      <c r="IP32" s="502">
        <f t="shared" si="81"/>
        <v>0</v>
      </c>
      <c r="IQ32" s="503">
        <f t="shared" si="192"/>
        <v>0</v>
      </c>
      <c r="IR32" s="501"/>
      <c r="IS32" s="502">
        <f t="shared" si="82"/>
        <v>0</v>
      </c>
      <c r="IT32" s="503">
        <f t="shared" si="193"/>
        <v>0</v>
      </c>
      <c r="IU32" s="501"/>
      <c r="IV32" s="502">
        <f t="shared" si="83"/>
        <v>0</v>
      </c>
      <c r="IW32" s="503">
        <f t="shared" si="194"/>
        <v>0</v>
      </c>
      <c r="IX32" s="501"/>
      <c r="IY32" s="502">
        <f t="shared" si="84"/>
        <v>0</v>
      </c>
      <c r="IZ32" s="503">
        <f t="shared" si="195"/>
        <v>0</v>
      </c>
      <c r="JA32" s="501"/>
      <c r="JB32" s="502">
        <f t="shared" si="85"/>
        <v>0</v>
      </c>
      <c r="JC32" s="503">
        <f t="shared" si="196"/>
        <v>0</v>
      </c>
      <c r="JD32" s="501"/>
      <c r="JE32" s="502">
        <f t="shared" si="86"/>
        <v>0</v>
      </c>
      <c r="JF32" s="503">
        <f t="shared" si="197"/>
        <v>0</v>
      </c>
      <c r="JG32" s="501"/>
      <c r="JH32" s="502">
        <f t="shared" si="87"/>
        <v>0</v>
      </c>
      <c r="JI32" s="503">
        <f t="shared" si="198"/>
        <v>0</v>
      </c>
      <c r="JJ32" s="501"/>
      <c r="JK32" s="503" t="str">
        <f t="shared" si="88"/>
        <v>0</v>
      </c>
      <c r="JL32" s="503" t="str">
        <f t="shared" si="89"/>
        <v>0</v>
      </c>
      <c r="JM32" s="501"/>
      <c r="JN32" s="503" t="str">
        <f t="shared" si="90"/>
        <v>0</v>
      </c>
      <c r="JO32" s="503" t="str">
        <f t="shared" si="91"/>
        <v>0</v>
      </c>
      <c r="JP32" s="501"/>
      <c r="JQ32" s="503" t="str">
        <f t="shared" si="92"/>
        <v>0</v>
      </c>
      <c r="JR32" s="503" t="str">
        <f t="shared" si="93"/>
        <v>0</v>
      </c>
      <c r="JS32" s="501"/>
      <c r="JT32" s="503" t="str">
        <f t="shared" si="94"/>
        <v>0</v>
      </c>
      <c r="JU32" s="503" t="str">
        <f t="shared" si="95"/>
        <v>0</v>
      </c>
      <c r="JV32" s="501"/>
      <c r="JW32" s="503" t="str">
        <f t="shared" si="96"/>
        <v>0</v>
      </c>
      <c r="JX32" s="503" t="str">
        <f t="shared" si="97"/>
        <v>0</v>
      </c>
      <c r="JY32" s="501"/>
      <c r="JZ32" s="503" t="str">
        <f t="shared" si="98"/>
        <v>0</v>
      </c>
      <c r="KA32" s="503" t="str">
        <f t="shared" si="99"/>
        <v>0</v>
      </c>
      <c r="KB32" s="501"/>
      <c r="KC32" s="503" t="str">
        <f t="shared" si="100"/>
        <v>0</v>
      </c>
      <c r="KD32" s="503" t="str">
        <f t="shared" si="101"/>
        <v>0</v>
      </c>
      <c r="KE32" s="501"/>
      <c r="KF32" s="503" t="str">
        <f t="shared" si="102"/>
        <v>0</v>
      </c>
      <c r="KG32" s="503" t="str">
        <f t="shared" si="103"/>
        <v>0</v>
      </c>
      <c r="KH32" s="501"/>
      <c r="KI32" s="503" t="str">
        <f t="shared" si="104"/>
        <v>0</v>
      </c>
      <c r="KJ32" s="503" t="str">
        <f t="shared" si="105"/>
        <v>0</v>
      </c>
      <c r="KK32" s="501"/>
      <c r="KL32" s="503" t="str">
        <f t="shared" si="106"/>
        <v>0</v>
      </c>
      <c r="KM32" s="503" t="str">
        <f t="shared" si="107"/>
        <v>0</v>
      </c>
      <c r="KN32" s="501"/>
      <c r="KO32" s="503" t="str">
        <f t="shared" si="108"/>
        <v>0</v>
      </c>
      <c r="KP32" s="503" t="str">
        <f t="shared" si="109"/>
        <v>0</v>
      </c>
      <c r="KQ32" s="501"/>
      <c r="KR32" s="503" t="str">
        <f t="shared" si="110"/>
        <v>0</v>
      </c>
      <c r="KS32" s="503" t="str">
        <f t="shared" si="111"/>
        <v>0</v>
      </c>
      <c r="KT32" s="503">
        <f t="shared" si="201"/>
        <v>0</v>
      </c>
      <c r="KU32" s="503">
        <f t="shared" si="202"/>
        <v>0</v>
      </c>
      <c r="KV32" s="264">
        <f t="shared" si="199"/>
        <v>261.99064108085418</v>
      </c>
    </row>
    <row r="33" spans="1:308" ht="15" customHeight="1">
      <c r="A33" s="266">
        <f t="shared" si="200"/>
        <v>45954</v>
      </c>
      <c r="B33" s="267" t="str">
        <f>+Report1!B32</f>
        <v>Toilet</v>
      </c>
      <c r="C33" s="395" t="str">
        <f>+Report1!C32</f>
        <v>12,5/18/14,5/15</v>
      </c>
      <c r="D33" s="268">
        <f>+Report1!P32</f>
        <v>49.71</v>
      </c>
      <c r="E33" s="269">
        <f>+Report1!R32</f>
        <v>42.802999999999997</v>
      </c>
      <c r="F33" s="501">
        <v>0</v>
      </c>
      <c r="G33" s="502">
        <f t="shared" si="0"/>
        <v>0</v>
      </c>
      <c r="H33" s="503">
        <f t="shared" si="112"/>
        <v>0</v>
      </c>
      <c r="I33" s="501">
        <v>0</v>
      </c>
      <c r="J33" s="502">
        <f t="shared" si="1"/>
        <v>0</v>
      </c>
      <c r="K33" s="503">
        <f t="shared" si="113"/>
        <v>0</v>
      </c>
      <c r="L33" s="501"/>
      <c r="M33" s="502">
        <f t="shared" si="2"/>
        <v>0</v>
      </c>
      <c r="N33" s="503">
        <f t="shared" si="114"/>
        <v>0</v>
      </c>
      <c r="O33" s="501">
        <v>12</v>
      </c>
      <c r="P33" s="502">
        <f t="shared" si="3"/>
        <v>0.28035418078172092</v>
      </c>
      <c r="Q33" s="503">
        <f t="shared" si="115"/>
        <v>0</v>
      </c>
      <c r="R33" s="501">
        <v>5.125</v>
      </c>
      <c r="S33" s="502">
        <f t="shared" si="4"/>
        <v>0.11973459804219332</v>
      </c>
      <c r="T33" s="503">
        <f t="shared" si="116"/>
        <v>0</v>
      </c>
      <c r="U33" s="501">
        <v>7.8124999999999858</v>
      </c>
      <c r="V33" s="502">
        <f t="shared" si="5"/>
        <v>0.18252225311309922</v>
      </c>
      <c r="W33" s="503">
        <f t="shared" si="117"/>
        <v>0</v>
      </c>
      <c r="X33" s="501"/>
      <c r="Y33" s="502">
        <f t="shared" si="6"/>
        <v>0</v>
      </c>
      <c r="Z33" s="503">
        <f t="shared" si="118"/>
        <v>0</v>
      </c>
      <c r="AA33" s="501"/>
      <c r="AB33" s="502">
        <f t="shared" si="7"/>
        <v>0</v>
      </c>
      <c r="AC33" s="503">
        <f t="shared" si="119"/>
        <v>0</v>
      </c>
      <c r="AD33" s="501"/>
      <c r="AE33" s="502">
        <f t="shared" si="8"/>
        <v>0</v>
      </c>
      <c r="AF33" s="503">
        <f t="shared" si="120"/>
        <v>0</v>
      </c>
      <c r="AG33" s="501"/>
      <c r="AH33" s="502">
        <f t="shared" si="9"/>
        <v>0</v>
      </c>
      <c r="AI33" s="503">
        <f t="shared" si="121"/>
        <v>0</v>
      </c>
      <c r="AJ33" s="501"/>
      <c r="AK33" s="502">
        <f t="shared" si="10"/>
        <v>0</v>
      </c>
      <c r="AL33" s="503">
        <f t="shared" si="122"/>
        <v>0</v>
      </c>
      <c r="AM33" s="501">
        <v>77.884615384615302</v>
      </c>
      <c r="AN33" s="502">
        <f t="shared" si="11"/>
        <v>1.8196064618044367</v>
      </c>
      <c r="AO33" s="503">
        <f t="shared" si="123"/>
        <v>0</v>
      </c>
      <c r="AP33" s="501">
        <v>0</v>
      </c>
      <c r="AQ33" s="502">
        <f t="shared" si="12"/>
        <v>0</v>
      </c>
      <c r="AR33" s="503">
        <f t="shared" si="124"/>
        <v>0</v>
      </c>
      <c r="AS33" s="501"/>
      <c r="AT33" s="502">
        <f t="shared" si="13"/>
        <v>0</v>
      </c>
      <c r="AU33" s="503">
        <f t="shared" si="125"/>
        <v>0</v>
      </c>
      <c r="AV33" s="501">
        <v>2.7750000000000341</v>
      </c>
      <c r="AW33" s="502">
        <f t="shared" si="14"/>
        <v>6.4831904305773763E-2</v>
      </c>
      <c r="AX33" s="503">
        <f t="shared" si="126"/>
        <v>0</v>
      </c>
      <c r="AY33" s="501">
        <v>49</v>
      </c>
      <c r="AZ33" s="502">
        <f t="shared" si="15"/>
        <v>1.1447795715253604</v>
      </c>
      <c r="BA33" s="503">
        <f t="shared" si="127"/>
        <v>0</v>
      </c>
      <c r="BB33" s="501"/>
      <c r="BC33" s="502">
        <f t="shared" si="16"/>
        <v>0</v>
      </c>
      <c r="BD33" s="503">
        <f t="shared" si="128"/>
        <v>0</v>
      </c>
      <c r="BE33" s="501"/>
      <c r="BF33" s="502">
        <f t="shared" si="17"/>
        <v>0</v>
      </c>
      <c r="BG33" s="503">
        <f t="shared" si="129"/>
        <v>0</v>
      </c>
      <c r="BH33" s="501"/>
      <c r="BI33" s="502">
        <f t="shared" si="18"/>
        <v>0</v>
      </c>
      <c r="BJ33" s="503">
        <f t="shared" si="130"/>
        <v>0</v>
      </c>
      <c r="BK33" s="501"/>
      <c r="BL33" s="502">
        <f t="shared" si="19"/>
        <v>0</v>
      </c>
      <c r="BM33" s="503">
        <f t="shared" si="131"/>
        <v>0</v>
      </c>
      <c r="BN33" s="501">
        <v>27.839506172839521</v>
      </c>
      <c r="BO33" s="502">
        <f t="shared" si="20"/>
        <v>0.6504101622045072</v>
      </c>
      <c r="BP33" s="503">
        <f t="shared" si="132"/>
        <v>0</v>
      </c>
      <c r="BQ33" s="501">
        <v>0</v>
      </c>
      <c r="BR33" s="502">
        <f t="shared" si="21"/>
        <v>0</v>
      </c>
      <c r="BS33" s="503">
        <f t="shared" si="133"/>
        <v>0</v>
      </c>
      <c r="BT33" s="501"/>
      <c r="BU33" s="502">
        <f t="shared" si="22"/>
        <v>0</v>
      </c>
      <c r="BV33" s="503">
        <f t="shared" si="134"/>
        <v>0</v>
      </c>
      <c r="BW33" s="501"/>
      <c r="BX33" s="502">
        <f t="shared" si="23"/>
        <v>0</v>
      </c>
      <c r="BY33" s="503">
        <f t="shared" si="135"/>
        <v>0</v>
      </c>
      <c r="BZ33" s="501"/>
      <c r="CA33" s="502">
        <f t="shared" si="24"/>
        <v>0</v>
      </c>
      <c r="CB33" s="503">
        <f t="shared" si="136"/>
        <v>0</v>
      </c>
      <c r="CC33" s="501"/>
      <c r="CD33" s="502">
        <f t="shared" si="25"/>
        <v>0</v>
      </c>
      <c r="CE33" s="503">
        <f t="shared" si="137"/>
        <v>0</v>
      </c>
      <c r="CF33" s="501">
        <v>9</v>
      </c>
      <c r="CG33" s="502">
        <f t="shared" si="26"/>
        <v>0.21026563558629069</v>
      </c>
      <c r="CH33" s="503">
        <f t="shared" si="138"/>
        <v>0</v>
      </c>
      <c r="CI33" s="501"/>
      <c r="CJ33" s="502">
        <f t="shared" si="27"/>
        <v>0</v>
      </c>
      <c r="CK33" s="503">
        <f t="shared" si="139"/>
        <v>0</v>
      </c>
      <c r="CL33" s="501"/>
      <c r="CM33" s="502">
        <f t="shared" si="28"/>
        <v>0</v>
      </c>
      <c r="CN33" s="503">
        <f t="shared" si="140"/>
        <v>0</v>
      </c>
      <c r="CO33" s="501"/>
      <c r="CP33" s="502">
        <f t="shared" si="29"/>
        <v>0</v>
      </c>
      <c r="CQ33" s="503">
        <f t="shared" si="141"/>
        <v>0</v>
      </c>
      <c r="CR33" s="501"/>
      <c r="CS33" s="502">
        <f t="shared" si="30"/>
        <v>0</v>
      </c>
      <c r="CT33" s="503">
        <f t="shared" si="142"/>
        <v>0</v>
      </c>
      <c r="CU33" s="501"/>
      <c r="CV33" s="502">
        <f t="shared" si="31"/>
        <v>0</v>
      </c>
      <c r="CW33" s="503">
        <f t="shared" si="143"/>
        <v>0</v>
      </c>
      <c r="CX33" s="501"/>
      <c r="CY33" s="502">
        <f t="shared" si="32"/>
        <v>0</v>
      </c>
      <c r="CZ33" s="503">
        <f t="shared" si="144"/>
        <v>0</v>
      </c>
      <c r="DA33" s="501">
        <v>0</v>
      </c>
      <c r="DB33" s="502">
        <f t="shared" si="33"/>
        <v>0</v>
      </c>
      <c r="DC33" s="503">
        <f t="shared" si="145"/>
        <v>0</v>
      </c>
      <c r="DD33" s="501"/>
      <c r="DE33" s="502">
        <f t="shared" si="34"/>
        <v>0</v>
      </c>
      <c r="DF33" s="503">
        <f t="shared" si="146"/>
        <v>0</v>
      </c>
      <c r="DG33" s="501"/>
      <c r="DH33" s="502">
        <f t="shared" si="35"/>
        <v>0</v>
      </c>
      <c r="DI33" s="503">
        <f t="shared" si="203"/>
        <v>0</v>
      </c>
      <c r="DJ33" s="501"/>
      <c r="DK33" s="502">
        <f t="shared" si="36"/>
        <v>0</v>
      </c>
      <c r="DL33" s="503">
        <f t="shared" si="147"/>
        <v>0</v>
      </c>
      <c r="DM33" s="501"/>
      <c r="DN33" s="502">
        <f t="shared" si="37"/>
        <v>0</v>
      </c>
      <c r="DO33" s="503">
        <f t="shared" si="148"/>
        <v>0</v>
      </c>
      <c r="DP33" s="501"/>
      <c r="DQ33" s="502">
        <f t="shared" si="38"/>
        <v>0</v>
      </c>
      <c r="DR33" s="503">
        <f t="shared" si="149"/>
        <v>0</v>
      </c>
      <c r="DS33" s="501"/>
      <c r="DT33" s="502">
        <f t="shared" si="39"/>
        <v>0</v>
      </c>
      <c r="DU33" s="503">
        <f t="shared" si="150"/>
        <v>0</v>
      </c>
      <c r="DV33" s="501"/>
      <c r="DW33" s="502">
        <f t="shared" si="40"/>
        <v>0</v>
      </c>
      <c r="DX33" s="503">
        <f t="shared" si="151"/>
        <v>0</v>
      </c>
      <c r="DY33" s="501">
        <v>0</v>
      </c>
      <c r="DZ33" s="502">
        <f t="shared" si="41"/>
        <v>0</v>
      </c>
      <c r="EA33" s="503">
        <f t="shared" si="152"/>
        <v>0</v>
      </c>
      <c r="EB33" s="501">
        <v>7.2674418604651123</v>
      </c>
      <c r="EC33" s="502">
        <f t="shared" si="42"/>
        <v>0.16978814243079018</v>
      </c>
      <c r="ED33" s="503">
        <f t="shared" si="153"/>
        <v>0</v>
      </c>
      <c r="EE33" s="501">
        <v>3</v>
      </c>
      <c r="EF33" s="502">
        <f t="shared" si="43"/>
        <v>7.008854519543023E-2</v>
      </c>
      <c r="EG33" s="503">
        <f t="shared" si="154"/>
        <v>0</v>
      </c>
      <c r="EH33" s="501"/>
      <c r="EI33" s="502">
        <f t="shared" si="44"/>
        <v>0</v>
      </c>
      <c r="EJ33" s="503">
        <f t="shared" si="155"/>
        <v>0</v>
      </c>
      <c r="EK33" s="501"/>
      <c r="EL33" s="502">
        <f t="shared" si="45"/>
        <v>0</v>
      </c>
      <c r="EM33" s="503">
        <f t="shared" si="156"/>
        <v>0</v>
      </c>
      <c r="EN33" s="501"/>
      <c r="EO33" s="502">
        <f t="shared" si="46"/>
        <v>0</v>
      </c>
      <c r="EP33" s="503">
        <f t="shared" si="157"/>
        <v>0</v>
      </c>
      <c r="EQ33" s="501"/>
      <c r="ER33" s="502">
        <f t="shared" si="47"/>
        <v>0</v>
      </c>
      <c r="ES33" s="503">
        <f t="shared" si="158"/>
        <v>0</v>
      </c>
      <c r="ET33" s="501"/>
      <c r="EU33" s="502">
        <f t="shared" si="48"/>
        <v>0</v>
      </c>
      <c r="EV33" s="503">
        <f t="shared" si="159"/>
        <v>0</v>
      </c>
      <c r="EW33" s="501"/>
      <c r="EX33" s="502">
        <f t="shared" si="49"/>
        <v>0</v>
      </c>
      <c r="EY33" s="503">
        <f t="shared" si="160"/>
        <v>0</v>
      </c>
      <c r="EZ33" s="501"/>
      <c r="FA33" s="502">
        <f t="shared" si="50"/>
        <v>0</v>
      </c>
      <c r="FB33" s="503">
        <f t="shared" si="161"/>
        <v>0</v>
      </c>
      <c r="FC33" s="501"/>
      <c r="FD33" s="502">
        <f t="shared" si="51"/>
        <v>0</v>
      </c>
      <c r="FE33" s="503">
        <f t="shared" si="162"/>
        <v>0</v>
      </c>
      <c r="FF33" s="501"/>
      <c r="FG33" s="502">
        <f t="shared" si="52"/>
        <v>0</v>
      </c>
      <c r="FH33" s="503">
        <f t="shared" si="163"/>
        <v>0</v>
      </c>
      <c r="FI33" s="501"/>
      <c r="FJ33" s="502">
        <f t="shared" si="53"/>
        <v>0</v>
      </c>
      <c r="FK33" s="503">
        <f t="shared" si="164"/>
        <v>0</v>
      </c>
      <c r="FL33" s="501"/>
      <c r="FM33" s="502">
        <f t="shared" si="54"/>
        <v>0</v>
      </c>
      <c r="FN33" s="503">
        <f t="shared" si="165"/>
        <v>0</v>
      </c>
      <c r="FO33" s="501"/>
      <c r="FP33" s="502">
        <f t="shared" si="55"/>
        <v>0</v>
      </c>
      <c r="FQ33" s="503">
        <f t="shared" si="166"/>
        <v>0</v>
      </c>
      <c r="FR33" s="501"/>
      <c r="FS33" s="502">
        <f t="shared" si="56"/>
        <v>0</v>
      </c>
      <c r="FT33" s="503">
        <f t="shared" si="167"/>
        <v>0</v>
      </c>
      <c r="FU33" s="501"/>
      <c r="FV33" s="502">
        <f t="shared" si="57"/>
        <v>0</v>
      </c>
      <c r="FW33" s="503">
        <f t="shared" si="168"/>
        <v>0</v>
      </c>
      <c r="FX33" s="501"/>
      <c r="FY33" s="502">
        <f t="shared" si="58"/>
        <v>0</v>
      </c>
      <c r="FZ33" s="503">
        <f t="shared" si="169"/>
        <v>0</v>
      </c>
      <c r="GA33" s="501"/>
      <c r="GB33" s="502">
        <f t="shared" si="59"/>
        <v>0</v>
      </c>
      <c r="GC33" s="503">
        <f t="shared" si="170"/>
        <v>0</v>
      </c>
      <c r="GD33" s="501"/>
      <c r="GE33" s="502">
        <f t="shared" si="60"/>
        <v>0</v>
      </c>
      <c r="GF33" s="503">
        <f t="shared" si="171"/>
        <v>0</v>
      </c>
      <c r="GG33" s="501"/>
      <c r="GH33" s="502">
        <f t="shared" si="61"/>
        <v>0</v>
      </c>
      <c r="GI33" s="503">
        <f t="shared" si="172"/>
        <v>0</v>
      </c>
      <c r="GJ33" s="501"/>
      <c r="GK33" s="502">
        <f t="shared" si="62"/>
        <v>0</v>
      </c>
      <c r="GL33" s="503">
        <f t="shared" si="173"/>
        <v>0</v>
      </c>
      <c r="GM33" s="501"/>
      <c r="GN33" s="502">
        <f t="shared" si="63"/>
        <v>0</v>
      </c>
      <c r="GO33" s="503">
        <f t="shared" si="174"/>
        <v>0</v>
      </c>
      <c r="GP33" s="501"/>
      <c r="GQ33" s="502">
        <f t="shared" si="64"/>
        <v>0</v>
      </c>
      <c r="GR33" s="503">
        <f t="shared" si="175"/>
        <v>0</v>
      </c>
      <c r="GS33" s="501"/>
      <c r="GT33" s="502">
        <f t="shared" si="65"/>
        <v>0</v>
      </c>
      <c r="GU33" s="503">
        <f t="shared" si="176"/>
        <v>0</v>
      </c>
      <c r="GV33" s="501"/>
      <c r="GW33" s="502">
        <f t="shared" si="66"/>
        <v>0</v>
      </c>
      <c r="GX33" s="503">
        <f t="shared" si="177"/>
        <v>0</v>
      </c>
      <c r="GY33" s="501"/>
      <c r="GZ33" s="502">
        <f t="shared" si="67"/>
        <v>0</v>
      </c>
      <c r="HA33" s="503">
        <f t="shared" si="178"/>
        <v>0</v>
      </c>
      <c r="HB33" s="501"/>
      <c r="HC33" s="502">
        <f t="shared" si="68"/>
        <v>0</v>
      </c>
      <c r="HD33" s="503">
        <f t="shared" si="179"/>
        <v>0</v>
      </c>
      <c r="HE33" s="501"/>
      <c r="HF33" s="502">
        <f t="shared" si="69"/>
        <v>0</v>
      </c>
      <c r="HG33" s="503">
        <f t="shared" si="180"/>
        <v>0</v>
      </c>
      <c r="HH33" s="501"/>
      <c r="HI33" s="502">
        <f t="shared" si="70"/>
        <v>0</v>
      </c>
      <c r="HJ33" s="503">
        <f t="shared" si="181"/>
        <v>0</v>
      </c>
      <c r="HK33" s="501"/>
      <c r="HL33" s="502">
        <f t="shared" si="71"/>
        <v>0</v>
      </c>
      <c r="HM33" s="503">
        <f t="shared" si="182"/>
        <v>0</v>
      </c>
      <c r="HN33" s="501"/>
      <c r="HO33" s="502">
        <f t="shared" si="72"/>
        <v>0</v>
      </c>
      <c r="HP33" s="503">
        <f t="shared" si="183"/>
        <v>0</v>
      </c>
      <c r="HQ33" s="501"/>
      <c r="HR33" s="502">
        <f t="shared" si="73"/>
        <v>0</v>
      </c>
      <c r="HS33" s="503">
        <f t="shared" si="184"/>
        <v>0</v>
      </c>
      <c r="HT33" s="501"/>
      <c r="HU33" s="502">
        <f t="shared" si="74"/>
        <v>0</v>
      </c>
      <c r="HV33" s="503">
        <f t="shared" si="185"/>
        <v>0</v>
      </c>
      <c r="HW33" s="501"/>
      <c r="HX33" s="502">
        <f t="shared" si="75"/>
        <v>0</v>
      </c>
      <c r="HY33" s="503">
        <f t="shared" si="186"/>
        <v>0</v>
      </c>
      <c r="HZ33" s="501"/>
      <c r="IA33" s="502">
        <f t="shared" si="76"/>
        <v>0</v>
      </c>
      <c r="IB33" s="503">
        <f t="shared" si="187"/>
        <v>0</v>
      </c>
      <c r="IC33" s="501"/>
      <c r="ID33" s="502">
        <f t="shared" si="77"/>
        <v>0</v>
      </c>
      <c r="IE33" s="503">
        <f t="shared" si="188"/>
        <v>0</v>
      </c>
      <c r="IF33" s="501"/>
      <c r="IG33" s="502">
        <f t="shared" si="78"/>
        <v>0</v>
      </c>
      <c r="IH33" s="503">
        <f t="shared" si="189"/>
        <v>0</v>
      </c>
      <c r="II33" s="501"/>
      <c r="IJ33" s="502">
        <f t="shared" si="79"/>
        <v>0</v>
      </c>
      <c r="IK33" s="503">
        <f t="shared" si="190"/>
        <v>0</v>
      </c>
      <c r="IL33" s="501"/>
      <c r="IM33" s="502">
        <f t="shared" si="80"/>
        <v>0</v>
      </c>
      <c r="IN33" s="503">
        <f t="shared" si="191"/>
        <v>0</v>
      </c>
      <c r="IO33" s="501"/>
      <c r="IP33" s="502">
        <f t="shared" si="81"/>
        <v>0</v>
      </c>
      <c r="IQ33" s="503">
        <f t="shared" si="192"/>
        <v>0</v>
      </c>
      <c r="IR33" s="501"/>
      <c r="IS33" s="502">
        <f t="shared" si="82"/>
        <v>0</v>
      </c>
      <c r="IT33" s="503">
        <f t="shared" si="193"/>
        <v>0</v>
      </c>
      <c r="IU33" s="501"/>
      <c r="IV33" s="502">
        <f t="shared" si="83"/>
        <v>0</v>
      </c>
      <c r="IW33" s="503">
        <f t="shared" si="194"/>
        <v>0</v>
      </c>
      <c r="IX33" s="501"/>
      <c r="IY33" s="502">
        <f t="shared" si="84"/>
        <v>0</v>
      </c>
      <c r="IZ33" s="503">
        <f t="shared" si="195"/>
        <v>0</v>
      </c>
      <c r="JA33" s="501"/>
      <c r="JB33" s="502">
        <f t="shared" si="85"/>
        <v>0</v>
      </c>
      <c r="JC33" s="503">
        <f t="shared" si="196"/>
        <v>0</v>
      </c>
      <c r="JD33" s="501"/>
      <c r="JE33" s="502">
        <f t="shared" si="86"/>
        <v>0</v>
      </c>
      <c r="JF33" s="503">
        <f t="shared" si="197"/>
        <v>0</v>
      </c>
      <c r="JG33" s="501"/>
      <c r="JH33" s="502">
        <f t="shared" si="87"/>
        <v>0</v>
      </c>
      <c r="JI33" s="503">
        <f t="shared" si="198"/>
        <v>0</v>
      </c>
      <c r="JJ33" s="501"/>
      <c r="JK33" s="503" t="str">
        <f t="shared" si="88"/>
        <v>0</v>
      </c>
      <c r="JL33" s="503" t="str">
        <f t="shared" si="89"/>
        <v>0</v>
      </c>
      <c r="JM33" s="501"/>
      <c r="JN33" s="503" t="str">
        <f t="shared" si="90"/>
        <v>0</v>
      </c>
      <c r="JO33" s="503" t="str">
        <f t="shared" si="91"/>
        <v>0</v>
      </c>
      <c r="JP33" s="501"/>
      <c r="JQ33" s="503" t="str">
        <f t="shared" si="92"/>
        <v>0</v>
      </c>
      <c r="JR33" s="503" t="str">
        <f t="shared" si="93"/>
        <v>0</v>
      </c>
      <c r="JS33" s="501"/>
      <c r="JT33" s="503" t="str">
        <f t="shared" si="94"/>
        <v>0</v>
      </c>
      <c r="JU33" s="503" t="str">
        <f t="shared" si="95"/>
        <v>0</v>
      </c>
      <c r="JV33" s="501"/>
      <c r="JW33" s="503" t="str">
        <f t="shared" si="96"/>
        <v>0</v>
      </c>
      <c r="JX33" s="503" t="str">
        <f t="shared" si="97"/>
        <v>0</v>
      </c>
      <c r="JY33" s="501"/>
      <c r="JZ33" s="503" t="str">
        <f t="shared" si="98"/>
        <v>0</v>
      </c>
      <c r="KA33" s="503" t="str">
        <f t="shared" si="99"/>
        <v>0</v>
      </c>
      <c r="KB33" s="501"/>
      <c r="KC33" s="503" t="str">
        <f t="shared" si="100"/>
        <v>0</v>
      </c>
      <c r="KD33" s="503" t="str">
        <f t="shared" si="101"/>
        <v>0</v>
      </c>
      <c r="KE33" s="501"/>
      <c r="KF33" s="503" t="str">
        <f t="shared" si="102"/>
        <v>0</v>
      </c>
      <c r="KG33" s="503" t="str">
        <f t="shared" si="103"/>
        <v>0</v>
      </c>
      <c r="KH33" s="501"/>
      <c r="KI33" s="503" t="str">
        <f t="shared" si="104"/>
        <v>0</v>
      </c>
      <c r="KJ33" s="503" t="str">
        <f t="shared" si="105"/>
        <v>0</v>
      </c>
      <c r="KK33" s="501"/>
      <c r="KL33" s="503" t="str">
        <f t="shared" si="106"/>
        <v>0</v>
      </c>
      <c r="KM33" s="503" t="str">
        <f t="shared" si="107"/>
        <v>0</v>
      </c>
      <c r="KN33" s="501"/>
      <c r="KO33" s="503" t="str">
        <f t="shared" si="108"/>
        <v>0</v>
      </c>
      <c r="KP33" s="503" t="str">
        <f t="shared" si="109"/>
        <v>0</v>
      </c>
      <c r="KQ33" s="501"/>
      <c r="KR33" s="503" t="str">
        <f t="shared" si="110"/>
        <v>0</v>
      </c>
      <c r="KS33" s="503" t="str">
        <f t="shared" si="111"/>
        <v>0</v>
      </c>
      <c r="KT33" s="503">
        <f t="shared" si="201"/>
        <v>0</v>
      </c>
      <c r="KU33" s="503">
        <f t="shared" si="202"/>
        <v>0</v>
      </c>
      <c r="KV33" s="264">
        <f t="shared" si="199"/>
        <v>201.70406341791997</v>
      </c>
    </row>
    <row r="34" spans="1:308" ht="15" customHeight="1">
      <c r="A34" s="266">
        <f t="shared" si="200"/>
        <v>45955</v>
      </c>
      <c r="B34" s="267" t="str">
        <f>+Report1!B33</f>
        <v>Toilet</v>
      </c>
      <c r="C34" s="395" t="str">
        <f>+Report1!C33</f>
        <v>12,5</v>
      </c>
      <c r="D34" s="268">
        <f>+Report1!P33</f>
        <v>48.901000000000003</v>
      </c>
      <c r="E34" s="269">
        <f>+Report1!R33</f>
        <v>46.290999999999997</v>
      </c>
      <c r="F34" s="501">
        <v>0</v>
      </c>
      <c r="G34" s="502">
        <f t="shared" si="0"/>
        <v>0</v>
      </c>
      <c r="H34" s="503">
        <f t="shared" si="112"/>
        <v>0</v>
      </c>
      <c r="I34" s="501">
        <v>0</v>
      </c>
      <c r="J34" s="502">
        <f t="shared" si="1"/>
        <v>0</v>
      </c>
      <c r="K34" s="503">
        <f t="shared" si="113"/>
        <v>0</v>
      </c>
      <c r="L34" s="501"/>
      <c r="M34" s="502">
        <f t="shared" si="2"/>
        <v>0</v>
      </c>
      <c r="N34" s="503">
        <f t="shared" si="114"/>
        <v>0</v>
      </c>
      <c r="O34" s="501">
        <v>13.5</v>
      </c>
      <c r="P34" s="502">
        <f t="shared" si="3"/>
        <v>0.29163336285671082</v>
      </c>
      <c r="Q34" s="503">
        <f t="shared" si="115"/>
        <v>0</v>
      </c>
      <c r="R34" s="501">
        <v>6.40625</v>
      </c>
      <c r="S34" s="502">
        <f t="shared" si="4"/>
        <v>0.13839083191117066</v>
      </c>
      <c r="T34" s="503">
        <f t="shared" si="116"/>
        <v>0</v>
      </c>
      <c r="U34" s="501">
        <v>7.03125</v>
      </c>
      <c r="V34" s="502">
        <f t="shared" si="5"/>
        <v>0.15189237648787021</v>
      </c>
      <c r="W34" s="503">
        <f t="shared" si="117"/>
        <v>0</v>
      </c>
      <c r="X34" s="501"/>
      <c r="Y34" s="502">
        <f t="shared" si="6"/>
        <v>0</v>
      </c>
      <c r="Z34" s="503">
        <f t="shared" si="118"/>
        <v>0</v>
      </c>
      <c r="AA34" s="501"/>
      <c r="AB34" s="502">
        <f t="shared" si="7"/>
        <v>0</v>
      </c>
      <c r="AC34" s="503">
        <f t="shared" si="119"/>
        <v>0</v>
      </c>
      <c r="AD34" s="501"/>
      <c r="AE34" s="502">
        <f t="shared" si="8"/>
        <v>0</v>
      </c>
      <c r="AF34" s="503">
        <f t="shared" si="120"/>
        <v>0</v>
      </c>
      <c r="AG34" s="501"/>
      <c r="AH34" s="502">
        <f t="shared" si="9"/>
        <v>0</v>
      </c>
      <c r="AI34" s="503">
        <f t="shared" si="121"/>
        <v>0</v>
      </c>
      <c r="AJ34" s="501"/>
      <c r="AK34" s="502">
        <f t="shared" si="10"/>
        <v>0</v>
      </c>
      <c r="AL34" s="503">
        <f t="shared" si="122"/>
        <v>0</v>
      </c>
      <c r="AM34" s="501">
        <v>99.519230769230774</v>
      </c>
      <c r="AN34" s="502">
        <f t="shared" si="11"/>
        <v>2.1498613287513941</v>
      </c>
      <c r="AO34" s="503">
        <f t="shared" si="123"/>
        <v>0</v>
      </c>
      <c r="AP34" s="501">
        <v>0</v>
      </c>
      <c r="AQ34" s="502">
        <f t="shared" si="12"/>
        <v>0</v>
      </c>
      <c r="AR34" s="503">
        <f t="shared" si="124"/>
        <v>0</v>
      </c>
      <c r="AS34" s="501"/>
      <c r="AT34" s="502">
        <f t="shared" si="13"/>
        <v>0</v>
      </c>
      <c r="AU34" s="503">
        <f t="shared" si="125"/>
        <v>0</v>
      </c>
      <c r="AV34" s="501">
        <v>2.7749999999999488</v>
      </c>
      <c r="AW34" s="502">
        <f t="shared" si="14"/>
        <v>5.9946857920545008E-2</v>
      </c>
      <c r="AX34" s="503">
        <f t="shared" si="126"/>
        <v>0</v>
      </c>
      <c r="AY34" s="501">
        <v>57.166666666666714</v>
      </c>
      <c r="AZ34" s="502">
        <f t="shared" si="15"/>
        <v>1.2349412772821222</v>
      </c>
      <c r="BA34" s="503">
        <f t="shared" si="127"/>
        <v>0</v>
      </c>
      <c r="BB34" s="501"/>
      <c r="BC34" s="502">
        <f t="shared" si="16"/>
        <v>0</v>
      </c>
      <c r="BD34" s="503">
        <f t="shared" si="128"/>
        <v>0</v>
      </c>
      <c r="BE34" s="501"/>
      <c r="BF34" s="502">
        <f t="shared" si="17"/>
        <v>0</v>
      </c>
      <c r="BG34" s="503">
        <f t="shared" si="129"/>
        <v>0</v>
      </c>
      <c r="BH34" s="501"/>
      <c r="BI34" s="502">
        <f t="shared" si="18"/>
        <v>0</v>
      </c>
      <c r="BJ34" s="503">
        <f t="shared" si="130"/>
        <v>0</v>
      </c>
      <c r="BK34" s="501"/>
      <c r="BL34" s="502">
        <f t="shared" si="19"/>
        <v>0</v>
      </c>
      <c r="BM34" s="503">
        <f t="shared" si="131"/>
        <v>0</v>
      </c>
      <c r="BN34" s="501">
        <v>26.574074074074076</v>
      </c>
      <c r="BO34" s="502">
        <f t="shared" si="20"/>
        <v>0.57406567311300416</v>
      </c>
      <c r="BP34" s="503">
        <f t="shared" si="132"/>
        <v>0</v>
      </c>
      <c r="BQ34" s="501">
        <v>60.256410256410255</v>
      </c>
      <c r="BR34" s="502">
        <f t="shared" si="21"/>
        <v>1.3016873745741129</v>
      </c>
      <c r="BS34" s="503">
        <f t="shared" si="133"/>
        <v>0</v>
      </c>
      <c r="BT34" s="501"/>
      <c r="BU34" s="502">
        <f t="shared" si="22"/>
        <v>0</v>
      </c>
      <c r="BV34" s="503">
        <f t="shared" si="134"/>
        <v>0</v>
      </c>
      <c r="BW34" s="501"/>
      <c r="BX34" s="502">
        <f t="shared" si="23"/>
        <v>0</v>
      </c>
      <c r="BY34" s="503">
        <f t="shared" si="135"/>
        <v>0</v>
      </c>
      <c r="BZ34" s="501"/>
      <c r="CA34" s="502">
        <f t="shared" si="24"/>
        <v>0</v>
      </c>
      <c r="CB34" s="503">
        <f t="shared" si="136"/>
        <v>0</v>
      </c>
      <c r="CC34" s="501"/>
      <c r="CD34" s="502">
        <f t="shared" si="25"/>
        <v>0</v>
      </c>
      <c r="CE34" s="503">
        <f t="shared" si="137"/>
        <v>0</v>
      </c>
      <c r="CF34" s="501">
        <v>9</v>
      </c>
      <c r="CG34" s="502">
        <f t="shared" si="26"/>
        <v>0.19442224190447388</v>
      </c>
      <c r="CH34" s="503">
        <f t="shared" si="138"/>
        <v>0</v>
      </c>
      <c r="CI34" s="501"/>
      <c r="CJ34" s="502">
        <f t="shared" si="27"/>
        <v>0</v>
      </c>
      <c r="CK34" s="503">
        <f t="shared" si="139"/>
        <v>0</v>
      </c>
      <c r="CL34" s="501"/>
      <c r="CM34" s="502">
        <f t="shared" si="28"/>
        <v>0</v>
      </c>
      <c r="CN34" s="503">
        <f t="shared" si="140"/>
        <v>0</v>
      </c>
      <c r="CO34" s="501"/>
      <c r="CP34" s="502">
        <f t="shared" si="29"/>
        <v>0</v>
      </c>
      <c r="CQ34" s="503">
        <f t="shared" si="141"/>
        <v>0</v>
      </c>
      <c r="CR34" s="501"/>
      <c r="CS34" s="502">
        <f t="shared" si="30"/>
        <v>0</v>
      </c>
      <c r="CT34" s="503">
        <f t="shared" si="142"/>
        <v>0</v>
      </c>
      <c r="CU34" s="501"/>
      <c r="CV34" s="502">
        <f t="shared" si="31"/>
        <v>0</v>
      </c>
      <c r="CW34" s="503">
        <f t="shared" si="143"/>
        <v>0</v>
      </c>
      <c r="CX34" s="501"/>
      <c r="CY34" s="502">
        <f t="shared" si="32"/>
        <v>0</v>
      </c>
      <c r="CZ34" s="503">
        <f t="shared" si="144"/>
        <v>0</v>
      </c>
      <c r="DA34" s="501">
        <v>0</v>
      </c>
      <c r="DB34" s="502">
        <f t="shared" si="33"/>
        <v>0</v>
      </c>
      <c r="DC34" s="503">
        <f t="shared" si="145"/>
        <v>0</v>
      </c>
      <c r="DD34" s="501"/>
      <c r="DE34" s="502">
        <f t="shared" si="34"/>
        <v>0</v>
      </c>
      <c r="DF34" s="503">
        <f t="shared" si="146"/>
        <v>0</v>
      </c>
      <c r="DG34" s="501"/>
      <c r="DH34" s="502">
        <f t="shared" si="35"/>
        <v>0</v>
      </c>
      <c r="DI34" s="503">
        <f t="shared" si="203"/>
        <v>0</v>
      </c>
      <c r="DJ34" s="501"/>
      <c r="DK34" s="502">
        <f t="shared" si="36"/>
        <v>0</v>
      </c>
      <c r="DL34" s="503">
        <f t="shared" si="147"/>
        <v>0</v>
      </c>
      <c r="DM34" s="501"/>
      <c r="DN34" s="502">
        <f t="shared" si="37"/>
        <v>0</v>
      </c>
      <c r="DO34" s="503">
        <f t="shared" si="148"/>
        <v>0</v>
      </c>
      <c r="DP34" s="501"/>
      <c r="DQ34" s="502">
        <f t="shared" si="38"/>
        <v>0</v>
      </c>
      <c r="DR34" s="503">
        <f t="shared" si="149"/>
        <v>0</v>
      </c>
      <c r="DS34" s="501"/>
      <c r="DT34" s="502">
        <f t="shared" si="39"/>
        <v>0</v>
      </c>
      <c r="DU34" s="503">
        <f t="shared" si="150"/>
        <v>0</v>
      </c>
      <c r="DV34" s="501"/>
      <c r="DW34" s="502">
        <f t="shared" si="40"/>
        <v>0</v>
      </c>
      <c r="DX34" s="503">
        <f t="shared" si="151"/>
        <v>0</v>
      </c>
      <c r="DY34" s="501">
        <v>0</v>
      </c>
      <c r="DZ34" s="502">
        <f t="shared" si="41"/>
        <v>0</v>
      </c>
      <c r="EA34" s="503">
        <f t="shared" si="152"/>
        <v>0</v>
      </c>
      <c r="EB34" s="501">
        <v>14.534883720930225</v>
      </c>
      <c r="EC34" s="502">
        <f t="shared" si="42"/>
        <v>0.31398940876045506</v>
      </c>
      <c r="ED34" s="503">
        <f t="shared" si="153"/>
        <v>0</v>
      </c>
      <c r="EE34" s="501">
        <v>3</v>
      </c>
      <c r="EF34" s="502">
        <f t="shared" si="43"/>
        <v>6.4807413968157965E-2</v>
      </c>
      <c r="EG34" s="503">
        <f t="shared" si="154"/>
        <v>0</v>
      </c>
      <c r="EH34" s="501"/>
      <c r="EI34" s="502">
        <f t="shared" si="44"/>
        <v>0</v>
      </c>
      <c r="EJ34" s="503">
        <f t="shared" si="155"/>
        <v>0</v>
      </c>
      <c r="EK34" s="501"/>
      <c r="EL34" s="502">
        <f t="shared" si="45"/>
        <v>0</v>
      </c>
      <c r="EM34" s="503">
        <f t="shared" si="156"/>
        <v>0</v>
      </c>
      <c r="EN34" s="501"/>
      <c r="EO34" s="502">
        <f t="shared" si="46"/>
        <v>0</v>
      </c>
      <c r="EP34" s="503">
        <f t="shared" si="157"/>
        <v>0</v>
      </c>
      <c r="EQ34" s="501"/>
      <c r="ER34" s="502">
        <f t="shared" si="47"/>
        <v>0</v>
      </c>
      <c r="ES34" s="503">
        <f t="shared" si="158"/>
        <v>0</v>
      </c>
      <c r="ET34" s="501"/>
      <c r="EU34" s="502">
        <f t="shared" si="48"/>
        <v>0</v>
      </c>
      <c r="EV34" s="503">
        <f t="shared" si="159"/>
        <v>0</v>
      </c>
      <c r="EW34" s="501"/>
      <c r="EX34" s="502">
        <f t="shared" si="49"/>
        <v>0</v>
      </c>
      <c r="EY34" s="503">
        <f t="shared" si="160"/>
        <v>0</v>
      </c>
      <c r="EZ34" s="501"/>
      <c r="FA34" s="502">
        <f t="shared" si="50"/>
        <v>0</v>
      </c>
      <c r="FB34" s="503">
        <f t="shared" si="161"/>
        <v>0</v>
      </c>
      <c r="FC34" s="501"/>
      <c r="FD34" s="502">
        <f t="shared" si="51"/>
        <v>0</v>
      </c>
      <c r="FE34" s="503">
        <f t="shared" si="162"/>
        <v>0</v>
      </c>
      <c r="FF34" s="501"/>
      <c r="FG34" s="502">
        <f t="shared" si="52"/>
        <v>0</v>
      </c>
      <c r="FH34" s="503">
        <f t="shared" si="163"/>
        <v>0</v>
      </c>
      <c r="FI34" s="501"/>
      <c r="FJ34" s="502">
        <f t="shared" si="53"/>
        <v>0</v>
      </c>
      <c r="FK34" s="503">
        <f t="shared" si="164"/>
        <v>0</v>
      </c>
      <c r="FL34" s="501"/>
      <c r="FM34" s="502">
        <f t="shared" si="54"/>
        <v>0</v>
      </c>
      <c r="FN34" s="503">
        <f t="shared" si="165"/>
        <v>0</v>
      </c>
      <c r="FO34" s="501"/>
      <c r="FP34" s="502">
        <f t="shared" si="55"/>
        <v>0</v>
      </c>
      <c r="FQ34" s="503">
        <f t="shared" si="166"/>
        <v>0</v>
      </c>
      <c r="FR34" s="501"/>
      <c r="FS34" s="502">
        <f t="shared" si="56"/>
        <v>0</v>
      </c>
      <c r="FT34" s="503">
        <f t="shared" si="167"/>
        <v>0</v>
      </c>
      <c r="FU34" s="501"/>
      <c r="FV34" s="502">
        <f t="shared" si="57"/>
        <v>0</v>
      </c>
      <c r="FW34" s="503">
        <f t="shared" si="168"/>
        <v>0</v>
      </c>
      <c r="FX34" s="501"/>
      <c r="FY34" s="502">
        <f t="shared" si="58"/>
        <v>0</v>
      </c>
      <c r="FZ34" s="503">
        <f t="shared" si="169"/>
        <v>0</v>
      </c>
      <c r="GA34" s="501"/>
      <c r="GB34" s="502">
        <f t="shared" si="59"/>
        <v>0</v>
      </c>
      <c r="GC34" s="503">
        <f t="shared" si="170"/>
        <v>0</v>
      </c>
      <c r="GD34" s="501"/>
      <c r="GE34" s="502">
        <f t="shared" si="60"/>
        <v>0</v>
      </c>
      <c r="GF34" s="503">
        <f t="shared" si="171"/>
        <v>0</v>
      </c>
      <c r="GG34" s="501"/>
      <c r="GH34" s="502">
        <f t="shared" si="61"/>
        <v>0</v>
      </c>
      <c r="GI34" s="503">
        <f t="shared" si="172"/>
        <v>0</v>
      </c>
      <c r="GJ34" s="501"/>
      <c r="GK34" s="502">
        <f t="shared" si="62"/>
        <v>0</v>
      </c>
      <c r="GL34" s="503">
        <f t="shared" si="173"/>
        <v>0</v>
      </c>
      <c r="GM34" s="501"/>
      <c r="GN34" s="502">
        <f t="shared" si="63"/>
        <v>0</v>
      </c>
      <c r="GO34" s="503">
        <f t="shared" si="174"/>
        <v>0</v>
      </c>
      <c r="GP34" s="501"/>
      <c r="GQ34" s="502">
        <f t="shared" si="64"/>
        <v>0</v>
      </c>
      <c r="GR34" s="503">
        <f t="shared" si="175"/>
        <v>0</v>
      </c>
      <c r="GS34" s="501"/>
      <c r="GT34" s="502">
        <f t="shared" si="65"/>
        <v>0</v>
      </c>
      <c r="GU34" s="503">
        <f t="shared" si="176"/>
        <v>0</v>
      </c>
      <c r="GV34" s="501"/>
      <c r="GW34" s="502">
        <f t="shared" si="66"/>
        <v>0</v>
      </c>
      <c r="GX34" s="503">
        <f t="shared" si="177"/>
        <v>0</v>
      </c>
      <c r="GY34" s="501"/>
      <c r="GZ34" s="502">
        <f t="shared" si="67"/>
        <v>0</v>
      </c>
      <c r="HA34" s="503">
        <f t="shared" si="178"/>
        <v>0</v>
      </c>
      <c r="HB34" s="501"/>
      <c r="HC34" s="502">
        <f t="shared" si="68"/>
        <v>0</v>
      </c>
      <c r="HD34" s="503">
        <f t="shared" si="179"/>
        <v>0</v>
      </c>
      <c r="HE34" s="501"/>
      <c r="HF34" s="502">
        <f t="shared" si="69"/>
        <v>0</v>
      </c>
      <c r="HG34" s="503">
        <f t="shared" si="180"/>
        <v>0</v>
      </c>
      <c r="HH34" s="501"/>
      <c r="HI34" s="502">
        <f t="shared" si="70"/>
        <v>0</v>
      </c>
      <c r="HJ34" s="503">
        <f t="shared" si="181"/>
        <v>0</v>
      </c>
      <c r="HK34" s="501"/>
      <c r="HL34" s="502">
        <f t="shared" si="71"/>
        <v>0</v>
      </c>
      <c r="HM34" s="503">
        <f t="shared" si="182"/>
        <v>0</v>
      </c>
      <c r="HN34" s="501"/>
      <c r="HO34" s="502">
        <f t="shared" si="72"/>
        <v>0</v>
      </c>
      <c r="HP34" s="503">
        <f t="shared" si="183"/>
        <v>0</v>
      </c>
      <c r="HQ34" s="501"/>
      <c r="HR34" s="502">
        <f t="shared" si="73"/>
        <v>0</v>
      </c>
      <c r="HS34" s="503">
        <f t="shared" si="184"/>
        <v>0</v>
      </c>
      <c r="HT34" s="501"/>
      <c r="HU34" s="502">
        <f t="shared" si="74"/>
        <v>0</v>
      </c>
      <c r="HV34" s="503">
        <f t="shared" si="185"/>
        <v>0</v>
      </c>
      <c r="HW34" s="501"/>
      <c r="HX34" s="502">
        <f t="shared" si="75"/>
        <v>0</v>
      </c>
      <c r="HY34" s="503">
        <f t="shared" si="186"/>
        <v>0</v>
      </c>
      <c r="HZ34" s="501"/>
      <c r="IA34" s="502">
        <f t="shared" si="76"/>
        <v>0</v>
      </c>
      <c r="IB34" s="503">
        <f t="shared" si="187"/>
        <v>0</v>
      </c>
      <c r="IC34" s="501"/>
      <c r="ID34" s="502">
        <f t="shared" si="77"/>
        <v>0</v>
      </c>
      <c r="IE34" s="503">
        <f t="shared" si="188"/>
        <v>0</v>
      </c>
      <c r="IF34" s="501"/>
      <c r="IG34" s="502">
        <f t="shared" si="78"/>
        <v>0</v>
      </c>
      <c r="IH34" s="503">
        <f t="shared" si="189"/>
        <v>0</v>
      </c>
      <c r="II34" s="501"/>
      <c r="IJ34" s="502">
        <f t="shared" si="79"/>
        <v>0</v>
      </c>
      <c r="IK34" s="503">
        <f t="shared" si="190"/>
        <v>0</v>
      </c>
      <c r="IL34" s="501"/>
      <c r="IM34" s="502">
        <f t="shared" si="80"/>
        <v>0</v>
      </c>
      <c r="IN34" s="503">
        <f t="shared" si="191"/>
        <v>0</v>
      </c>
      <c r="IO34" s="501"/>
      <c r="IP34" s="502">
        <f t="shared" si="81"/>
        <v>0</v>
      </c>
      <c r="IQ34" s="503">
        <f t="shared" si="192"/>
        <v>0</v>
      </c>
      <c r="IR34" s="501"/>
      <c r="IS34" s="502">
        <f t="shared" si="82"/>
        <v>0</v>
      </c>
      <c r="IT34" s="503">
        <f t="shared" si="193"/>
        <v>0</v>
      </c>
      <c r="IU34" s="501"/>
      <c r="IV34" s="502">
        <f t="shared" si="83"/>
        <v>0</v>
      </c>
      <c r="IW34" s="503">
        <f t="shared" si="194"/>
        <v>0</v>
      </c>
      <c r="IX34" s="501"/>
      <c r="IY34" s="502">
        <f t="shared" si="84"/>
        <v>0</v>
      </c>
      <c r="IZ34" s="503">
        <f t="shared" si="195"/>
        <v>0</v>
      </c>
      <c r="JA34" s="501"/>
      <c r="JB34" s="502">
        <f t="shared" si="85"/>
        <v>0</v>
      </c>
      <c r="JC34" s="503">
        <f t="shared" si="196"/>
        <v>0</v>
      </c>
      <c r="JD34" s="501"/>
      <c r="JE34" s="502">
        <f t="shared" si="86"/>
        <v>0</v>
      </c>
      <c r="JF34" s="503">
        <f t="shared" si="197"/>
        <v>0</v>
      </c>
      <c r="JG34" s="501"/>
      <c r="JH34" s="502">
        <f t="shared" si="87"/>
        <v>0</v>
      </c>
      <c r="JI34" s="503">
        <f t="shared" si="198"/>
        <v>0</v>
      </c>
      <c r="JJ34" s="501"/>
      <c r="JK34" s="503" t="str">
        <f t="shared" si="88"/>
        <v>0</v>
      </c>
      <c r="JL34" s="503" t="str">
        <f t="shared" si="89"/>
        <v>0</v>
      </c>
      <c r="JM34" s="501"/>
      <c r="JN34" s="503" t="str">
        <f t="shared" si="90"/>
        <v>0</v>
      </c>
      <c r="JO34" s="503" t="str">
        <f t="shared" si="91"/>
        <v>0</v>
      </c>
      <c r="JP34" s="501"/>
      <c r="JQ34" s="503" t="str">
        <f t="shared" si="92"/>
        <v>0</v>
      </c>
      <c r="JR34" s="503" t="str">
        <f t="shared" si="93"/>
        <v>0</v>
      </c>
      <c r="JS34" s="501"/>
      <c r="JT34" s="503" t="str">
        <f t="shared" si="94"/>
        <v>0</v>
      </c>
      <c r="JU34" s="503" t="str">
        <f t="shared" si="95"/>
        <v>0</v>
      </c>
      <c r="JV34" s="501"/>
      <c r="JW34" s="503" t="str">
        <f t="shared" si="96"/>
        <v>0</v>
      </c>
      <c r="JX34" s="503" t="str">
        <f t="shared" si="97"/>
        <v>0</v>
      </c>
      <c r="JY34" s="501"/>
      <c r="JZ34" s="503" t="str">
        <f t="shared" si="98"/>
        <v>0</v>
      </c>
      <c r="KA34" s="503" t="str">
        <f t="shared" si="99"/>
        <v>0</v>
      </c>
      <c r="KB34" s="501"/>
      <c r="KC34" s="503" t="str">
        <f t="shared" si="100"/>
        <v>0</v>
      </c>
      <c r="KD34" s="503" t="str">
        <f t="shared" si="101"/>
        <v>0</v>
      </c>
      <c r="KE34" s="501"/>
      <c r="KF34" s="503" t="str">
        <f t="shared" si="102"/>
        <v>0</v>
      </c>
      <c r="KG34" s="503" t="str">
        <f t="shared" si="103"/>
        <v>0</v>
      </c>
      <c r="KH34" s="501"/>
      <c r="KI34" s="503" t="str">
        <f t="shared" si="104"/>
        <v>0</v>
      </c>
      <c r="KJ34" s="503" t="str">
        <f t="shared" si="105"/>
        <v>0</v>
      </c>
      <c r="KK34" s="501"/>
      <c r="KL34" s="503" t="str">
        <f t="shared" si="106"/>
        <v>0</v>
      </c>
      <c r="KM34" s="503" t="str">
        <f t="shared" si="107"/>
        <v>0</v>
      </c>
      <c r="KN34" s="501"/>
      <c r="KO34" s="503" t="str">
        <f t="shared" si="108"/>
        <v>0</v>
      </c>
      <c r="KP34" s="503" t="str">
        <f t="shared" si="109"/>
        <v>0</v>
      </c>
      <c r="KQ34" s="501"/>
      <c r="KR34" s="503" t="str">
        <f t="shared" si="110"/>
        <v>0</v>
      </c>
      <c r="KS34" s="503" t="str">
        <f t="shared" si="111"/>
        <v>0</v>
      </c>
      <c r="KT34" s="503">
        <f t="shared" si="201"/>
        <v>0</v>
      </c>
      <c r="KU34" s="503">
        <f t="shared" si="202"/>
        <v>0</v>
      </c>
      <c r="KV34" s="264">
        <f t="shared" si="199"/>
        <v>299.76376548731201</v>
      </c>
    </row>
    <row r="35" spans="1:308" ht="15" customHeight="1">
      <c r="A35" s="266">
        <f t="shared" si="200"/>
        <v>45956</v>
      </c>
      <c r="B35" s="267" t="str">
        <f>+Report1!B34</f>
        <v>Toilet</v>
      </c>
      <c r="C35" s="395" t="str">
        <f>+Report1!C34</f>
        <v>12,5</v>
      </c>
      <c r="D35" s="268">
        <f>+Report1!P34</f>
        <v>48.096000000000004</v>
      </c>
      <c r="E35" s="269">
        <f>+Report1!R34</f>
        <v>42.771000000000001</v>
      </c>
      <c r="F35" s="501">
        <v>0</v>
      </c>
      <c r="G35" s="502">
        <f t="shared" si="0"/>
        <v>0</v>
      </c>
      <c r="H35" s="503">
        <f t="shared" si="112"/>
        <v>0</v>
      </c>
      <c r="I35" s="501">
        <v>0</v>
      </c>
      <c r="J35" s="502">
        <f t="shared" si="1"/>
        <v>0</v>
      </c>
      <c r="K35" s="503">
        <f t="shared" si="113"/>
        <v>0</v>
      </c>
      <c r="L35" s="501"/>
      <c r="M35" s="502">
        <f t="shared" si="2"/>
        <v>0</v>
      </c>
      <c r="N35" s="503">
        <f t="shared" si="114"/>
        <v>0</v>
      </c>
      <c r="O35" s="501">
        <v>13.5</v>
      </c>
      <c r="P35" s="502">
        <f t="shared" ref="P35" si="204">+O35/$E35</f>
        <v>0.31563442519464124</v>
      </c>
      <c r="Q35" s="503">
        <f t="shared" ref="Q35" si="205">+O35*$H$9</f>
        <v>0</v>
      </c>
      <c r="R35" s="501">
        <v>6.40625</v>
      </c>
      <c r="S35" s="502">
        <f t="shared" ref="S35" si="206">+R35/$E35</f>
        <v>0.14978022491875337</v>
      </c>
      <c r="T35" s="503">
        <f t="shared" ref="T35" si="207">+R35*$H$9</f>
        <v>0</v>
      </c>
      <c r="U35" s="501">
        <v>7.03125</v>
      </c>
      <c r="V35" s="502">
        <f t="shared" ref="V35" si="208">+U35/$E35</f>
        <v>0.16439292978887562</v>
      </c>
      <c r="W35" s="503">
        <f t="shared" ref="W35" si="209">+U35*$H$9</f>
        <v>0</v>
      </c>
      <c r="X35" s="501"/>
      <c r="Y35" s="502">
        <f t="shared" ref="Y35" si="210">+X35/$E35</f>
        <v>0</v>
      </c>
      <c r="Z35" s="503">
        <f t="shared" ref="Z35" si="211">+X35*$H$9</f>
        <v>0</v>
      </c>
      <c r="AA35" s="501"/>
      <c r="AB35" s="502">
        <f t="shared" ref="AB35" si="212">+AA35/$E35</f>
        <v>0</v>
      </c>
      <c r="AC35" s="503">
        <f t="shared" ref="AC35" si="213">+AA35*$H$9</f>
        <v>0</v>
      </c>
      <c r="AD35" s="501"/>
      <c r="AE35" s="502">
        <f t="shared" ref="AE35" si="214">+AD35/$E35</f>
        <v>0</v>
      </c>
      <c r="AF35" s="503">
        <f t="shared" ref="AF35" si="215">+AD35*$H$9</f>
        <v>0</v>
      </c>
      <c r="AG35" s="501"/>
      <c r="AH35" s="502">
        <f t="shared" ref="AH35" si="216">+AG35/$E35</f>
        <v>0</v>
      </c>
      <c r="AI35" s="503">
        <f t="shared" ref="AI35" si="217">+AG35*$H$9</f>
        <v>0</v>
      </c>
      <c r="AJ35" s="501"/>
      <c r="AK35" s="502">
        <f t="shared" ref="AK35" si="218">+AJ35/$E35</f>
        <v>0</v>
      </c>
      <c r="AL35" s="503">
        <f t="shared" ref="AL35" si="219">+AJ35*$H$9</f>
        <v>0</v>
      </c>
      <c r="AM35" s="501">
        <v>99.519230769230774</v>
      </c>
      <c r="AN35" s="502">
        <f t="shared" ref="AN35" si="220">+AM35/$E35</f>
        <v>2.3267922370117784</v>
      </c>
      <c r="AO35" s="503">
        <f t="shared" ref="AO35" si="221">+AM35*$H$9</f>
        <v>0</v>
      </c>
      <c r="AP35" s="501">
        <v>0</v>
      </c>
      <c r="AQ35" s="502">
        <f t="shared" ref="AQ35" si="222">+AP35/$E35</f>
        <v>0</v>
      </c>
      <c r="AR35" s="503">
        <f t="shared" ref="AR35" si="223">+AP35*$H$9</f>
        <v>0</v>
      </c>
      <c r="AS35" s="501"/>
      <c r="AT35" s="502">
        <f t="shared" ref="AT35" si="224">+AS35/$E35</f>
        <v>0</v>
      </c>
      <c r="AU35" s="503">
        <f t="shared" ref="AU35" si="225">+AS35*$H$9</f>
        <v>0</v>
      </c>
      <c r="AV35" s="501">
        <v>2.7749999999999488</v>
      </c>
      <c r="AW35" s="502">
        <f t="shared" ref="AW35" si="226">+AV35/$E35</f>
        <v>6.4880409623341725E-2</v>
      </c>
      <c r="AX35" s="503">
        <f t="shared" ref="AX35" si="227">+AV35*$H$9</f>
        <v>0</v>
      </c>
      <c r="AY35" s="501">
        <v>57.166666666666714</v>
      </c>
      <c r="AZ35" s="502">
        <f t="shared" ref="AZ35" si="228">+AY35/$E35</f>
        <v>1.3365754054538521</v>
      </c>
      <c r="BA35" s="503">
        <f t="shared" ref="BA35" si="229">+AY35*$H$9</f>
        <v>0</v>
      </c>
      <c r="BB35" s="501"/>
      <c r="BC35" s="502">
        <f t="shared" ref="BC35" si="230">+BB35/$E35</f>
        <v>0</v>
      </c>
      <c r="BD35" s="503">
        <f t="shared" ref="BD35" si="231">+BB35*$H$9</f>
        <v>0</v>
      </c>
      <c r="BE35" s="501"/>
      <c r="BF35" s="502">
        <f t="shared" ref="BF35" si="232">+BE35/$E35</f>
        <v>0</v>
      </c>
      <c r="BG35" s="503">
        <f t="shared" ref="BG35" si="233">+BE35*$H$9</f>
        <v>0</v>
      </c>
      <c r="BH35" s="501"/>
      <c r="BI35" s="502">
        <f t="shared" ref="BI35" si="234">+BH35/$E35</f>
        <v>0</v>
      </c>
      <c r="BJ35" s="503">
        <f t="shared" ref="BJ35" si="235">+BH35*$H$9</f>
        <v>0</v>
      </c>
      <c r="BK35" s="501"/>
      <c r="BL35" s="502">
        <f t="shared" ref="BL35" si="236">+BK35/$E35</f>
        <v>0</v>
      </c>
      <c r="BM35" s="503">
        <f t="shared" ref="BM35" si="237">+BK35*$H$9</f>
        <v>0</v>
      </c>
      <c r="BN35" s="501">
        <v>26.574074074074076</v>
      </c>
      <c r="BO35" s="502">
        <f t="shared" ref="BO35" si="238">+BN35/$E35</f>
        <v>0.62131056262593987</v>
      </c>
      <c r="BP35" s="503">
        <f t="shared" ref="BP35" si="239">+BN35*$H$9</f>
        <v>0</v>
      </c>
      <c r="BQ35" s="501">
        <v>60.256410256410255</v>
      </c>
      <c r="BR35" s="502">
        <f t="shared" ref="BR35" si="240">+BQ35/$E35</f>
        <v>1.4088146233758916</v>
      </c>
      <c r="BS35" s="503">
        <f t="shared" ref="BS35" si="241">+BQ35*$H$9</f>
        <v>0</v>
      </c>
      <c r="BT35" s="501"/>
      <c r="BU35" s="502">
        <f t="shared" ref="BU35" si="242">+BT35/$E35</f>
        <v>0</v>
      </c>
      <c r="BV35" s="503">
        <f t="shared" ref="BV35" si="243">+BT35*$H$9</f>
        <v>0</v>
      </c>
      <c r="BW35" s="501"/>
      <c r="BX35" s="502">
        <f t="shared" ref="BX35" si="244">+BW35/$E35</f>
        <v>0</v>
      </c>
      <c r="BY35" s="503">
        <f t="shared" ref="BY35" si="245">+BW35*$H$9</f>
        <v>0</v>
      </c>
      <c r="BZ35" s="501"/>
      <c r="CA35" s="502">
        <f t="shared" ref="CA35" si="246">+BZ35/$E35</f>
        <v>0</v>
      </c>
      <c r="CB35" s="503">
        <f t="shared" ref="CB35" si="247">+BZ35*$H$9</f>
        <v>0</v>
      </c>
      <c r="CC35" s="501"/>
      <c r="CD35" s="502">
        <f t="shared" ref="CD35" si="248">+CC35/$E35</f>
        <v>0</v>
      </c>
      <c r="CE35" s="503">
        <f t="shared" ref="CE35" si="249">+CC35*$H$9</f>
        <v>0</v>
      </c>
      <c r="CF35" s="501">
        <v>9</v>
      </c>
      <c r="CG35" s="502">
        <f t="shared" ref="CG35" si="250">+CF35/$E35</f>
        <v>0.21042295012976081</v>
      </c>
      <c r="CH35" s="503">
        <f t="shared" ref="CH35" si="251">+CF35*$H$9</f>
        <v>0</v>
      </c>
      <c r="CI35" s="501"/>
      <c r="CJ35" s="502">
        <f t="shared" ref="CJ35" si="252">+CI35/$E35</f>
        <v>0</v>
      </c>
      <c r="CK35" s="503">
        <f t="shared" ref="CK35" si="253">+CI35*$H$9</f>
        <v>0</v>
      </c>
      <c r="CL35" s="501"/>
      <c r="CM35" s="502">
        <f t="shared" ref="CM35" si="254">+CL35/$E35</f>
        <v>0</v>
      </c>
      <c r="CN35" s="503">
        <f t="shared" ref="CN35" si="255">+CL35*$H$9</f>
        <v>0</v>
      </c>
      <c r="CO35" s="501"/>
      <c r="CP35" s="502">
        <f t="shared" ref="CP35" si="256">+CO35/$E35</f>
        <v>0</v>
      </c>
      <c r="CQ35" s="503">
        <f t="shared" ref="CQ35" si="257">+CO35*$H$9</f>
        <v>0</v>
      </c>
      <c r="CR35" s="501"/>
      <c r="CS35" s="502">
        <f t="shared" ref="CS35" si="258">+CR35/$E35</f>
        <v>0</v>
      </c>
      <c r="CT35" s="503">
        <f t="shared" ref="CT35" si="259">+CR35*$H$9</f>
        <v>0</v>
      </c>
      <c r="CU35" s="501"/>
      <c r="CV35" s="502">
        <f t="shared" ref="CV35" si="260">+CU35/$E35</f>
        <v>0</v>
      </c>
      <c r="CW35" s="503">
        <f t="shared" ref="CW35" si="261">+CU35*$H$9</f>
        <v>0</v>
      </c>
      <c r="CX35" s="501"/>
      <c r="CY35" s="502">
        <f t="shared" ref="CY35" si="262">+CX35/$E35</f>
        <v>0</v>
      </c>
      <c r="CZ35" s="503">
        <f t="shared" ref="CZ35" si="263">+CX35*$H$9</f>
        <v>0</v>
      </c>
      <c r="DA35" s="501">
        <v>0</v>
      </c>
      <c r="DB35" s="502">
        <f t="shared" ref="DB35" si="264">+DA35/$E35</f>
        <v>0</v>
      </c>
      <c r="DC35" s="503">
        <f t="shared" ref="DC35" si="265">+DA35*$H$9</f>
        <v>0</v>
      </c>
      <c r="DD35" s="501"/>
      <c r="DE35" s="502">
        <f t="shared" ref="DE35" si="266">+DD35/$E35</f>
        <v>0</v>
      </c>
      <c r="DF35" s="503">
        <f t="shared" ref="DF35" si="267">+DD35*$H$9</f>
        <v>0</v>
      </c>
      <c r="DG35" s="501"/>
      <c r="DH35" s="502">
        <f t="shared" ref="DH35" si="268">+DG35/$E35</f>
        <v>0</v>
      </c>
      <c r="DI35" s="503">
        <f t="shared" ref="DI35" si="269">+DG35*$H$9</f>
        <v>0</v>
      </c>
      <c r="DJ35" s="501"/>
      <c r="DK35" s="502">
        <f t="shared" ref="DK35" si="270">+DJ35/$E35</f>
        <v>0</v>
      </c>
      <c r="DL35" s="503">
        <f t="shared" ref="DL35" si="271">+DJ35*$H$9</f>
        <v>0</v>
      </c>
      <c r="DM35" s="501"/>
      <c r="DN35" s="502">
        <f t="shared" ref="DN35" si="272">+DM35/$E35</f>
        <v>0</v>
      </c>
      <c r="DO35" s="503">
        <f t="shared" ref="DO35" si="273">+DM35*$H$9</f>
        <v>0</v>
      </c>
      <c r="DP35" s="501"/>
      <c r="DQ35" s="502">
        <f t="shared" ref="DQ35" si="274">+DP35/$E35</f>
        <v>0</v>
      </c>
      <c r="DR35" s="503">
        <f t="shared" ref="DR35" si="275">+DP35*$H$9</f>
        <v>0</v>
      </c>
      <c r="DS35" s="501"/>
      <c r="DT35" s="502">
        <f t="shared" ref="DT35" si="276">+DS35/$E35</f>
        <v>0</v>
      </c>
      <c r="DU35" s="503">
        <f t="shared" ref="DU35" si="277">+DS35*$H$9</f>
        <v>0</v>
      </c>
      <c r="DV35" s="501"/>
      <c r="DW35" s="502">
        <f t="shared" ref="DW35" si="278">+DV35/$E35</f>
        <v>0</v>
      </c>
      <c r="DX35" s="503">
        <f t="shared" ref="DX35" si="279">+DV35*$H$9</f>
        <v>0</v>
      </c>
      <c r="DY35" s="501">
        <v>0</v>
      </c>
      <c r="DZ35" s="502">
        <f t="shared" ref="DZ35" si="280">+DY35/$E35</f>
        <v>0</v>
      </c>
      <c r="EA35" s="503">
        <f t="shared" ref="EA35" si="281">+DY35*$H$9</f>
        <v>0</v>
      </c>
      <c r="EB35" s="501">
        <v>14.534883720930225</v>
      </c>
      <c r="EC35" s="502">
        <f t="shared" ref="EC35" si="282">+EB35/$E35</f>
        <v>0.339830345816797</v>
      </c>
      <c r="ED35" s="503">
        <f t="shared" ref="ED35" si="283">+EB35*$H$9</f>
        <v>0</v>
      </c>
      <c r="EE35" s="501">
        <v>3</v>
      </c>
      <c r="EF35" s="502">
        <f t="shared" ref="EF35" si="284">+EE35/$E35</f>
        <v>7.0140983376586932E-2</v>
      </c>
      <c r="EG35" s="503">
        <f t="shared" ref="EG35" si="285">+EE35*$H$9</f>
        <v>0</v>
      </c>
      <c r="EH35" s="501"/>
      <c r="EI35" s="502">
        <f t="shared" ref="EI35" si="286">+EH35/$E35</f>
        <v>0</v>
      </c>
      <c r="EJ35" s="503">
        <f t="shared" ref="EJ35" si="287">+EH35*$H$9</f>
        <v>0</v>
      </c>
      <c r="EK35" s="501"/>
      <c r="EL35" s="502">
        <f t="shared" ref="EL35" si="288">+EK35/$E35</f>
        <v>0</v>
      </c>
      <c r="EM35" s="503">
        <f t="shared" ref="EM35" si="289">+EK35*$H$9</f>
        <v>0</v>
      </c>
      <c r="EN35" s="501"/>
      <c r="EO35" s="502">
        <f t="shared" ref="EO35" si="290">+EN35/$E35</f>
        <v>0</v>
      </c>
      <c r="EP35" s="503">
        <f t="shared" ref="EP35" si="291">+EN35*$H$9</f>
        <v>0</v>
      </c>
      <c r="EQ35" s="501"/>
      <c r="ER35" s="502">
        <f t="shared" ref="ER35" si="292">+EQ35/$E35</f>
        <v>0</v>
      </c>
      <c r="ES35" s="503">
        <f t="shared" ref="ES35" si="293">+EQ35*$H$9</f>
        <v>0</v>
      </c>
      <c r="ET35" s="501"/>
      <c r="EU35" s="502">
        <f t="shared" ref="EU35" si="294">+ET35/$E35</f>
        <v>0</v>
      </c>
      <c r="EV35" s="503">
        <f t="shared" ref="EV35" si="295">+ET35*$H$9</f>
        <v>0</v>
      </c>
      <c r="EW35" s="501"/>
      <c r="EX35" s="502">
        <f t="shared" ref="EX35" si="296">+EW35/$E35</f>
        <v>0</v>
      </c>
      <c r="EY35" s="503">
        <f t="shared" ref="EY35" si="297">+EW35*$H$9</f>
        <v>0</v>
      </c>
      <c r="EZ35" s="501"/>
      <c r="FA35" s="502">
        <f t="shared" ref="FA35" si="298">+EZ35/$E35</f>
        <v>0</v>
      </c>
      <c r="FB35" s="503">
        <f t="shared" ref="FB35" si="299">+EZ35*$H$9</f>
        <v>0</v>
      </c>
      <c r="FC35" s="501"/>
      <c r="FD35" s="502">
        <f t="shared" ref="FD35" si="300">+FC35/$E35</f>
        <v>0</v>
      </c>
      <c r="FE35" s="503">
        <f t="shared" ref="FE35" si="301">+FC35*$H$9</f>
        <v>0</v>
      </c>
      <c r="FF35" s="501"/>
      <c r="FG35" s="502">
        <f t="shared" ref="FG35" si="302">+FF35/$E35</f>
        <v>0</v>
      </c>
      <c r="FH35" s="503">
        <f t="shared" ref="FH35" si="303">+FF35*$H$9</f>
        <v>0</v>
      </c>
      <c r="FI35" s="501"/>
      <c r="FJ35" s="502">
        <f t="shared" ref="FJ35" si="304">+FI35/$E35</f>
        <v>0</v>
      </c>
      <c r="FK35" s="503">
        <f t="shared" ref="FK35" si="305">+FI35*$H$9</f>
        <v>0</v>
      </c>
      <c r="FL35" s="501"/>
      <c r="FM35" s="502">
        <f t="shared" ref="FM35" si="306">+FL35/$E35</f>
        <v>0</v>
      </c>
      <c r="FN35" s="503">
        <f t="shared" ref="FN35" si="307">+FL35*$H$9</f>
        <v>0</v>
      </c>
      <c r="FO35" s="501"/>
      <c r="FP35" s="502">
        <f t="shared" ref="FP35" si="308">+FO35/$E35</f>
        <v>0</v>
      </c>
      <c r="FQ35" s="503">
        <f t="shared" ref="FQ35" si="309">+FO35*$H$9</f>
        <v>0</v>
      </c>
      <c r="FR35" s="501"/>
      <c r="FS35" s="502">
        <f t="shared" ref="FS35" si="310">+FR35/$E35</f>
        <v>0</v>
      </c>
      <c r="FT35" s="503">
        <f t="shared" ref="FT35" si="311">+FR35*$H$9</f>
        <v>0</v>
      </c>
      <c r="FU35" s="501"/>
      <c r="FV35" s="502">
        <f t="shared" ref="FV35" si="312">+FU35/$E35</f>
        <v>0</v>
      </c>
      <c r="FW35" s="503">
        <f t="shared" ref="FW35" si="313">+FU35*$H$9</f>
        <v>0</v>
      </c>
      <c r="FX35" s="501"/>
      <c r="FY35" s="502">
        <f t="shared" ref="FY35" si="314">+FX35/$E35</f>
        <v>0</v>
      </c>
      <c r="FZ35" s="503">
        <f t="shared" ref="FZ35" si="315">+FX35*$H$9</f>
        <v>0</v>
      </c>
      <c r="GA35" s="501"/>
      <c r="GB35" s="502">
        <f t="shared" ref="GB35" si="316">+GA35/$E35</f>
        <v>0</v>
      </c>
      <c r="GC35" s="503">
        <f t="shared" ref="GC35" si="317">+GA35*$H$9</f>
        <v>0</v>
      </c>
      <c r="GD35" s="501"/>
      <c r="GE35" s="502">
        <f t="shared" ref="GE35" si="318">+GD35/$E35</f>
        <v>0</v>
      </c>
      <c r="GF35" s="503">
        <f t="shared" ref="GF35" si="319">+GD35*$H$9</f>
        <v>0</v>
      </c>
      <c r="GG35" s="501"/>
      <c r="GH35" s="502">
        <f t="shared" ref="GH35" si="320">+GG35/$E35</f>
        <v>0</v>
      </c>
      <c r="GI35" s="503">
        <f t="shared" ref="GI35" si="321">+GG35*$H$9</f>
        <v>0</v>
      </c>
      <c r="GJ35" s="501"/>
      <c r="GK35" s="502">
        <f t="shared" ref="GK35" si="322">+GJ35/$E35</f>
        <v>0</v>
      </c>
      <c r="GL35" s="503">
        <f t="shared" ref="GL35" si="323">+GJ35*$H$9</f>
        <v>0</v>
      </c>
      <c r="GM35" s="501"/>
      <c r="GN35" s="502">
        <f t="shared" ref="GN35" si="324">+GM35/$E35</f>
        <v>0</v>
      </c>
      <c r="GO35" s="503">
        <f t="shared" ref="GO35" si="325">+GM35*$H$9</f>
        <v>0</v>
      </c>
      <c r="GP35" s="501"/>
      <c r="GQ35" s="502">
        <f t="shared" ref="GQ35" si="326">+GP35/$E35</f>
        <v>0</v>
      </c>
      <c r="GR35" s="503">
        <f t="shared" ref="GR35" si="327">+GP35*$H$9</f>
        <v>0</v>
      </c>
      <c r="GS35" s="501"/>
      <c r="GT35" s="502">
        <f t="shared" ref="GT35" si="328">+GS35/$E35</f>
        <v>0</v>
      </c>
      <c r="GU35" s="503">
        <f t="shared" ref="GU35" si="329">+GS35*$H$9</f>
        <v>0</v>
      </c>
      <c r="GV35" s="501"/>
      <c r="GW35" s="502">
        <f t="shared" ref="GW35" si="330">+GV35/$E35</f>
        <v>0</v>
      </c>
      <c r="GX35" s="503">
        <f t="shared" ref="GX35" si="331">+GV35*$H$9</f>
        <v>0</v>
      </c>
      <c r="GY35" s="501"/>
      <c r="GZ35" s="502">
        <f t="shared" ref="GZ35" si="332">+GY35/$E35</f>
        <v>0</v>
      </c>
      <c r="HA35" s="503">
        <f t="shared" ref="HA35" si="333">+GY35*$H$9</f>
        <v>0</v>
      </c>
      <c r="HB35" s="501"/>
      <c r="HC35" s="502">
        <f t="shared" ref="HC35" si="334">+HB35/$E35</f>
        <v>0</v>
      </c>
      <c r="HD35" s="503">
        <f t="shared" ref="HD35" si="335">+HB35*$H$9</f>
        <v>0</v>
      </c>
      <c r="HE35" s="501"/>
      <c r="HF35" s="502">
        <f t="shared" ref="HF35" si="336">+HE35/$E35</f>
        <v>0</v>
      </c>
      <c r="HG35" s="503">
        <f t="shared" ref="HG35" si="337">+HE35*$H$9</f>
        <v>0</v>
      </c>
      <c r="HH35" s="501"/>
      <c r="HI35" s="502">
        <f t="shared" ref="HI35" si="338">+HH35/$E35</f>
        <v>0</v>
      </c>
      <c r="HJ35" s="503">
        <f t="shared" ref="HJ35" si="339">+HH35*$H$9</f>
        <v>0</v>
      </c>
      <c r="HK35" s="501"/>
      <c r="HL35" s="502">
        <f t="shared" ref="HL35" si="340">+HK35/$E35</f>
        <v>0</v>
      </c>
      <c r="HM35" s="503">
        <f t="shared" ref="HM35" si="341">+HK35*$H$9</f>
        <v>0</v>
      </c>
      <c r="HN35" s="501"/>
      <c r="HO35" s="502">
        <f t="shared" ref="HO35" si="342">+HN35/$E35</f>
        <v>0</v>
      </c>
      <c r="HP35" s="503">
        <f t="shared" ref="HP35" si="343">+HN35*$H$9</f>
        <v>0</v>
      </c>
      <c r="HQ35" s="501"/>
      <c r="HR35" s="502">
        <f t="shared" ref="HR35" si="344">+HQ35/$E35</f>
        <v>0</v>
      </c>
      <c r="HS35" s="503">
        <f t="shared" ref="HS35" si="345">+HQ35*$H$9</f>
        <v>0</v>
      </c>
      <c r="HT35" s="501"/>
      <c r="HU35" s="502">
        <f t="shared" ref="HU35" si="346">+HT35/$E35</f>
        <v>0</v>
      </c>
      <c r="HV35" s="503">
        <f t="shared" ref="HV35" si="347">+HT35*$H$9</f>
        <v>0</v>
      </c>
      <c r="HW35" s="501"/>
      <c r="HX35" s="502">
        <f t="shared" ref="HX35" si="348">+HW35/$E35</f>
        <v>0</v>
      </c>
      <c r="HY35" s="503">
        <f t="shared" ref="HY35" si="349">+HW35*$H$9</f>
        <v>0</v>
      </c>
      <c r="HZ35" s="501"/>
      <c r="IA35" s="502">
        <f t="shared" ref="IA35" si="350">+HZ35/$E35</f>
        <v>0</v>
      </c>
      <c r="IB35" s="503">
        <f t="shared" ref="IB35" si="351">+HZ35*$H$9</f>
        <v>0</v>
      </c>
      <c r="IC35" s="501"/>
      <c r="ID35" s="502">
        <f t="shared" ref="ID35" si="352">+IC35/$E35</f>
        <v>0</v>
      </c>
      <c r="IE35" s="503">
        <f t="shared" ref="IE35" si="353">+IC35*$H$9</f>
        <v>0</v>
      </c>
      <c r="IF35" s="501"/>
      <c r="IG35" s="502">
        <f t="shared" ref="IG35" si="354">+IF35/$E35</f>
        <v>0</v>
      </c>
      <c r="IH35" s="503">
        <f t="shared" ref="IH35" si="355">+IF35*$H$9</f>
        <v>0</v>
      </c>
      <c r="II35" s="501"/>
      <c r="IJ35" s="502">
        <f t="shared" ref="IJ35" si="356">+II35/$E35</f>
        <v>0</v>
      </c>
      <c r="IK35" s="503">
        <f t="shared" ref="IK35" si="357">+II35*$H$9</f>
        <v>0</v>
      </c>
      <c r="IL35" s="501"/>
      <c r="IM35" s="502">
        <f t="shared" ref="IM35" si="358">+IL35/$E35</f>
        <v>0</v>
      </c>
      <c r="IN35" s="503">
        <f t="shared" ref="IN35" si="359">+IL35*$H$9</f>
        <v>0</v>
      </c>
      <c r="IO35" s="501"/>
      <c r="IP35" s="502">
        <f t="shared" ref="IP35" si="360">+IO35/$E35</f>
        <v>0</v>
      </c>
      <c r="IQ35" s="503">
        <f t="shared" ref="IQ35" si="361">+IO35*$H$9</f>
        <v>0</v>
      </c>
      <c r="IR35" s="501"/>
      <c r="IS35" s="502">
        <f t="shared" ref="IS35" si="362">+IR35/$E35</f>
        <v>0</v>
      </c>
      <c r="IT35" s="503">
        <f t="shared" ref="IT35" si="363">+IR35*$H$9</f>
        <v>0</v>
      </c>
      <c r="IU35" s="501"/>
      <c r="IV35" s="502">
        <f t="shared" ref="IV35" si="364">+IU35/$E35</f>
        <v>0</v>
      </c>
      <c r="IW35" s="503">
        <f t="shared" ref="IW35" si="365">+IU35*$H$9</f>
        <v>0</v>
      </c>
      <c r="IX35" s="501"/>
      <c r="IY35" s="502">
        <f t="shared" ref="IY35" si="366">+IX35/$E35</f>
        <v>0</v>
      </c>
      <c r="IZ35" s="503">
        <f t="shared" ref="IZ35" si="367">+IX35*$H$9</f>
        <v>0</v>
      </c>
      <c r="JA35" s="501"/>
      <c r="JB35" s="502">
        <f t="shared" ref="JB35" si="368">+JA35/$E35</f>
        <v>0</v>
      </c>
      <c r="JC35" s="503">
        <f t="shared" ref="JC35" si="369">+JA35*$H$9</f>
        <v>0</v>
      </c>
      <c r="JD35" s="501"/>
      <c r="JE35" s="502">
        <f t="shared" ref="JE35" si="370">+JD35/$E35</f>
        <v>0</v>
      </c>
      <c r="JF35" s="503">
        <f t="shared" ref="JF35" si="371">+JD35*$H$9</f>
        <v>0</v>
      </c>
      <c r="JG35" s="501"/>
      <c r="JH35" s="502">
        <f t="shared" ref="JH35" si="372">+JG35/$E35</f>
        <v>0</v>
      </c>
      <c r="JI35" s="503">
        <f t="shared" ref="JI35" si="373">+JG35*$H$9</f>
        <v>0</v>
      </c>
      <c r="JJ35" s="501"/>
      <c r="JK35" s="503" t="str">
        <f t="shared" ref="JK35" si="374">IFERROR((JJ35/$L35),"0")</f>
        <v>0</v>
      </c>
      <c r="JL35" s="503" t="str">
        <f t="shared" ref="JL35" si="375">IFERROR(((JJ35*JL$9)/$L35),"0")</f>
        <v>0</v>
      </c>
      <c r="JM35" s="501"/>
      <c r="JN35" s="503" t="str">
        <f t="shared" ref="JN35" si="376">IFERROR((JM35/$L35),"0")</f>
        <v>0</v>
      </c>
      <c r="JO35" s="503" t="str">
        <f t="shared" ref="JO35" si="377">IFERROR(((JM35*JO$9)/$L35),"0")</f>
        <v>0</v>
      </c>
      <c r="JP35" s="501"/>
      <c r="JQ35" s="503" t="str">
        <f t="shared" ref="JQ35" si="378">IFERROR((JP35/$L35),"0")</f>
        <v>0</v>
      </c>
      <c r="JR35" s="503" t="str">
        <f t="shared" ref="JR35" si="379">IFERROR(((JP35*JR$9)/$L35),"0")</f>
        <v>0</v>
      </c>
      <c r="JS35" s="501"/>
      <c r="JT35" s="503" t="str">
        <f t="shared" ref="JT35" si="380">IFERROR((JS35/$L35),"0")</f>
        <v>0</v>
      </c>
      <c r="JU35" s="503" t="str">
        <f t="shared" ref="JU35" si="381">IFERROR(((JS35*JU$9)/$L35),"0")</f>
        <v>0</v>
      </c>
      <c r="JV35" s="501"/>
      <c r="JW35" s="503" t="str">
        <f t="shared" ref="JW35" si="382">IFERROR((JV35/$L35),"0")</f>
        <v>0</v>
      </c>
      <c r="JX35" s="503" t="str">
        <f t="shared" ref="JX35" si="383">IFERROR(((JV35*JX$9)/$L35),"0")</f>
        <v>0</v>
      </c>
      <c r="JY35" s="501"/>
      <c r="JZ35" s="503" t="str">
        <f t="shared" ref="JZ35" si="384">IFERROR((JY35/$L35),"0")</f>
        <v>0</v>
      </c>
      <c r="KA35" s="503" t="str">
        <f t="shared" ref="KA35" si="385">IFERROR(((JY35*KA$9)/$L35),"0")</f>
        <v>0</v>
      </c>
      <c r="KB35" s="501"/>
      <c r="KC35" s="503" t="str">
        <f t="shared" ref="KC35" si="386">IFERROR((KB35/$L35),"0")</f>
        <v>0</v>
      </c>
      <c r="KD35" s="503" t="str">
        <f t="shared" ref="KD35" si="387">IFERROR(((KB35*KD$9)/$L35),"0")</f>
        <v>0</v>
      </c>
      <c r="KE35" s="501"/>
      <c r="KF35" s="503" t="str">
        <f t="shared" ref="KF35" si="388">IFERROR((KE35/$L35),"0")</f>
        <v>0</v>
      </c>
      <c r="KG35" s="503" t="str">
        <f t="shared" ref="KG35" si="389">IFERROR(((KE35*KG$9)/$L35),"0")</f>
        <v>0</v>
      </c>
      <c r="KH35" s="501"/>
      <c r="KI35" s="503" t="str">
        <f t="shared" ref="KI35" si="390">IFERROR((KH35/$L35),"0")</f>
        <v>0</v>
      </c>
      <c r="KJ35" s="503" t="str">
        <f t="shared" ref="KJ35" si="391">IFERROR(((KH35*KJ$9)/$L35),"0")</f>
        <v>0</v>
      </c>
      <c r="KK35" s="501"/>
      <c r="KL35" s="503" t="str">
        <f t="shared" ref="KL35" si="392">IFERROR((KK35/$L35),"0")</f>
        <v>0</v>
      </c>
      <c r="KM35" s="503" t="str">
        <f t="shared" ref="KM35" si="393">IFERROR(((KK35*KM$9)/$L35),"0")</f>
        <v>0</v>
      </c>
      <c r="KN35" s="501"/>
      <c r="KO35" s="503" t="str">
        <f t="shared" ref="KO35" si="394">IFERROR((KN35/$L35),"0")</f>
        <v>0</v>
      </c>
      <c r="KP35" s="503" t="str">
        <f t="shared" ref="KP35" si="395">IFERROR(((KN35*KP$9)/$L35),"0")</f>
        <v>0</v>
      </c>
      <c r="KQ35" s="501"/>
      <c r="KR35" s="503" t="str">
        <f t="shared" ref="KR35" si="396">IFERROR((KQ35/$L35),"0")</f>
        <v>0</v>
      </c>
      <c r="KS35" s="503" t="str">
        <f t="shared" ref="KS35" si="397">IFERROR(((KQ35*KS$9)/$L35),"0")</f>
        <v>0</v>
      </c>
      <c r="KT35" s="503">
        <f t="shared" ref="KT35" si="398">H35+K35+N35+Q35+T35+W35+Z35+AC35+AF35+AI35+AL35+AO35+AR35+AU35+AX35+BA35+BD35+BG35+BJ35+BM35+BP35+BS35+BV35+BY35+CB35+CE35+CH35+CK35+CN35+CQ35+CT35+CW35+CZ35+DC35+DF35+DI35+DL35+DO35+DR35+DU35+DX35+EA35+ED35+EG35+EJ35+EM35+EP35+ES35+EV35+EY35+FB35+FE35+FH35+FK35+FN35+FQ35+FT35+FW35+FZ35+GC35</f>
        <v>0</v>
      </c>
      <c r="KU35" s="503">
        <f t="shared" ref="KU35" si="399">GF35+GI35+GL35+GO35+GR35+GU35+GX35+HA35+HD35+HG35+HJ35+HM35+HP35+HS35+HV35+HY35+IB35+IE35+IH35+IK35+IN35+IQ35+IT35+IW35+IZ35+JC35+JF35+JI35+JL35+JO35+JR35+JU35+JX35++KA35+KD35+KG35+KJ35++KM35+KP35+KS35</f>
        <v>0</v>
      </c>
      <c r="KV35" s="264">
        <f t="shared" si="199"/>
        <v>299.76376548731201</v>
      </c>
    </row>
    <row r="36" spans="1:308" ht="15" customHeight="1">
      <c r="A36" s="266">
        <f t="shared" si="200"/>
        <v>45957</v>
      </c>
      <c r="B36" s="267" t="str">
        <f>+Report1!B35</f>
        <v>Toilet/Facial</v>
      </c>
      <c r="C36" s="395" t="str">
        <f>+Report1!C35</f>
        <v>12,5/12</v>
      </c>
      <c r="D36" s="268">
        <f>+Report1!P35</f>
        <v>47.367999999999995</v>
      </c>
      <c r="E36" s="269">
        <f>+Report1!R35</f>
        <v>38.155000000000001</v>
      </c>
      <c r="F36" s="501">
        <v>0</v>
      </c>
      <c r="G36" s="502">
        <f t="shared" si="0"/>
        <v>0</v>
      </c>
      <c r="H36" s="503">
        <f t="shared" si="112"/>
        <v>0</v>
      </c>
      <c r="I36" s="501">
        <v>232.55813953488371</v>
      </c>
      <c r="J36" s="502">
        <f t="shared" si="1"/>
        <v>6.0950894911514535</v>
      </c>
      <c r="K36" s="503">
        <f t="shared" si="113"/>
        <v>0</v>
      </c>
      <c r="L36" s="501"/>
      <c r="M36" s="502">
        <f t="shared" si="2"/>
        <v>0</v>
      </c>
      <c r="N36" s="503">
        <f t="shared" si="114"/>
        <v>0</v>
      </c>
      <c r="O36" s="501">
        <v>9</v>
      </c>
      <c r="P36" s="502">
        <f t="shared" si="3"/>
        <v>0.23587996330756125</v>
      </c>
      <c r="Q36" s="503">
        <f t="shared" si="115"/>
        <v>0</v>
      </c>
      <c r="R36" s="501">
        <v>5.1250000000000142</v>
      </c>
      <c r="S36" s="502">
        <f t="shared" si="4"/>
        <v>0.13432053466125055</v>
      </c>
      <c r="T36" s="503">
        <f t="shared" si="116"/>
        <v>0</v>
      </c>
      <c r="U36" s="501">
        <v>6.2500000000000142</v>
      </c>
      <c r="V36" s="502">
        <f t="shared" si="5"/>
        <v>0.1638055300746957</v>
      </c>
      <c r="W36" s="503">
        <f t="shared" si="117"/>
        <v>0</v>
      </c>
      <c r="X36" s="501"/>
      <c r="Y36" s="502">
        <f t="shared" si="6"/>
        <v>0</v>
      </c>
      <c r="Z36" s="503">
        <f t="shared" si="118"/>
        <v>0</v>
      </c>
      <c r="AA36" s="501"/>
      <c r="AB36" s="502">
        <f t="shared" si="7"/>
        <v>0</v>
      </c>
      <c r="AC36" s="503">
        <f t="shared" si="119"/>
        <v>0</v>
      </c>
      <c r="AD36" s="501"/>
      <c r="AE36" s="502">
        <f t="shared" si="8"/>
        <v>0</v>
      </c>
      <c r="AF36" s="503">
        <f t="shared" si="120"/>
        <v>0</v>
      </c>
      <c r="AG36" s="501"/>
      <c r="AH36" s="502">
        <f t="shared" si="9"/>
        <v>0</v>
      </c>
      <c r="AI36" s="503">
        <f t="shared" si="121"/>
        <v>0</v>
      </c>
      <c r="AJ36" s="501"/>
      <c r="AK36" s="502">
        <f t="shared" si="10"/>
        <v>0</v>
      </c>
      <c r="AL36" s="503">
        <f t="shared" si="122"/>
        <v>0</v>
      </c>
      <c r="AM36" s="501">
        <v>51.923076923076962</v>
      </c>
      <c r="AN36" s="502">
        <f t="shared" si="11"/>
        <v>1.3608459421590082</v>
      </c>
      <c r="AO36" s="503">
        <f t="shared" si="123"/>
        <v>0</v>
      </c>
      <c r="AP36" s="501">
        <v>0</v>
      </c>
      <c r="AQ36" s="502">
        <f t="shared" si="12"/>
        <v>0</v>
      </c>
      <c r="AR36" s="503">
        <f t="shared" si="124"/>
        <v>0</v>
      </c>
      <c r="AS36" s="501"/>
      <c r="AT36" s="502">
        <f t="shared" si="13"/>
        <v>0</v>
      </c>
      <c r="AU36" s="503">
        <f t="shared" si="125"/>
        <v>0</v>
      </c>
      <c r="AV36" s="501">
        <v>2.7750000000000341</v>
      </c>
      <c r="AW36" s="502">
        <f t="shared" si="14"/>
        <v>7.2729655353165612E-2</v>
      </c>
      <c r="AX36" s="503">
        <f t="shared" si="126"/>
        <v>0</v>
      </c>
      <c r="AY36" s="501">
        <v>65.333333333333314</v>
      </c>
      <c r="AZ36" s="502">
        <f t="shared" si="15"/>
        <v>1.712313807714148</v>
      </c>
      <c r="BA36" s="503">
        <f t="shared" si="127"/>
        <v>0</v>
      </c>
      <c r="BB36" s="501"/>
      <c r="BC36" s="502">
        <f t="shared" si="16"/>
        <v>0</v>
      </c>
      <c r="BD36" s="503">
        <f t="shared" si="128"/>
        <v>0</v>
      </c>
      <c r="BE36" s="501"/>
      <c r="BF36" s="502">
        <f t="shared" si="17"/>
        <v>0</v>
      </c>
      <c r="BG36" s="503">
        <f t="shared" si="129"/>
        <v>0</v>
      </c>
      <c r="BH36" s="501"/>
      <c r="BI36" s="502">
        <f t="shared" si="18"/>
        <v>0</v>
      </c>
      <c r="BJ36" s="503">
        <f t="shared" si="130"/>
        <v>0</v>
      </c>
      <c r="BK36" s="501"/>
      <c r="BL36" s="502">
        <f t="shared" si="19"/>
        <v>0</v>
      </c>
      <c r="BM36" s="503">
        <f t="shared" si="131"/>
        <v>0</v>
      </c>
      <c r="BN36" s="501">
        <v>25.308641975308632</v>
      </c>
      <c r="BO36" s="502">
        <f t="shared" si="20"/>
        <v>0.66331128227777825</v>
      </c>
      <c r="BP36" s="503">
        <f t="shared" si="132"/>
        <v>0</v>
      </c>
      <c r="BQ36" s="501">
        <v>41.025641025641022</v>
      </c>
      <c r="BR36" s="502">
        <f t="shared" si="21"/>
        <v>1.0752362999774872</v>
      </c>
      <c r="BS36" s="503">
        <f t="shared" si="133"/>
        <v>0</v>
      </c>
      <c r="BT36" s="501"/>
      <c r="BU36" s="502">
        <f t="shared" si="22"/>
        <v>0</v>
      </c>
      <c r="BV36" s="503">
        <f t="shared" si="134"/>
        <v>0</v>
      </c>
      <c r="BW36" s="501"/>
      <c r="BX36" s="502">
        <f t="shared" si="23"/>
        <v>0</v>
      </c>
      <c r="BY36" s="503">
        <f t="shared" si="135"/>
        <v>0</v>
      </c>
      <c r="BZ36" s="501"/>
      <c r="CA36" s="502">
        <f t="shared" si="24"/>
        <v>0</v>
      </c>
      <c r="CB36" s="503">
        <f t="shared" si="136"/>
        <v>0</v>
      </c>
      <c r="CC36" s="501"/>
      <c r="CD36" s="502">
        <f t="shared" si="25"/>
        <v>0</v>
      </c>
      <c r="CE36" s="503">
        <f t="shared" si="137"/>
        <v>0</v>
      </c>
      <c r="CF36" s="501">
        <v>9</v>
      </c>
      <c r="CG36" s="502">
        <f t="shared" si="26"/>
        <v>0.23587996330756125</v>
      </c>
      <c r="CH36" s="503">
        <f t="shared" si="138"/>
        <v>0</v>
      </c>
      <c r="CI36" s="501"/>
      <c r="CJ36" s="502">
        <f t="shared" si="27"/>
        <v>0</v>
      </c>
      <c r="CK36" s="503">
        <f t="shared" si="139"/>
        <v>0</v>
      </c>
      <c r="CL36" s="501"/>
      <c r="CM36" s="502">
        <f t="shared" si="28"/>
        <v>0</v>
      </c>
      <c r="CN36" s="503">
        <f t="shared" si="140"/>
        <v>0</v>
      </c>
      <c r="CO36" s="501"/>
      <c r="CP36" s="502">
        <f t="shared" si="29"/>
        <v>0</v>
      </c>
      <c r="CQ36" s="503">
        <f t="shared" si="141"/>
        <v>0</v>
      </c>
      <c r="CR36" s="501"/>
      <c r="CS36" s="502">
        <f t="shared" si="30"/>
        <v>0</v>
      </c>
      <c r="CT36" s="503">
        <f t="shared" si="142"/>
        <v>0</v>
      </c>
      <c r="CU36" s="501"/>
      <c r="CV36" s="502">
        <f t="shared" si="31"/>
        <v>0</v>
      </c>
      <c r="CW36" s="503">
        <f t="shared" si="143"/>
        <v>0</v>
      </c>
      <c r="CX36" s="501"/>
      <c r="CY36" s="502">
        <f t="shared" si="32"/>
        <v>0</v>
      </c>
      <c r="CZ36" s="503">
        <f t="shared" si="144"/>
        <v>0</v>
      </c>
      <c r="DA36" s="501">
        <v>0</v>
      </c>
      <c r="DB36" s="502">
        <f t="shared" si="33"/>
        <v>0</v>
      </c>
      <c r="DC36" s="503">
        <f t="shared" si="145"/>
        <v>0</v>
      </c>
      <c r="DD36" s="501"/>
      <c r="DE36" s="502">
        <f t="shared" si="34"/>
        <v>0</v>
      </c>
      <c r="DF36" s="503">
        <f t="shared" si="146"/>
        <v>0</v>
      </c>
      <c r="DG36" s="501"/>
      <c r="DH36" s="502">
        <f t="shared" si="35"/>
        <v>0</v>
      </c>
      <c r="DI36" s="503">
        <f t="shared" si="203"/>
        <v>0</v>
      </c>
      <c r="DJ36" s="501"/>
      <c r="DK36" s="502">
        <f t="shared" si="36"/>
        <v>0</v>
      </c>
      <c r="DL36" s="503">
        <f t="shared" si="147"/>
        <v>0</v>
      </c>
      <c r="DM36" s="501"/>
      <c r="DN36" s="502">
        <f t="shared" si="37"/>
        <v>0</v>
      </c>
      <c r="DO36" s="503">
        <f t="shared" si="148"/>
        <v>0</v>
      </c>
      <c r="DP36" s="501"/>
      <c r="DQ36" s="502">
        <f t="shared" si="38"/>
        <v>0</v>
      </c>
      <c r="DR36" s="503">
        <f t="shared" si="149"/>
        <v>0</v>
      </c>
      <c r="DS36" s="501"/>
      <c r="DT36" s="502">
        <f t="shared" si="39"/>
        <v>0</v>
      </c>
      <c r="DU36" s="503">
        <f t="shared" si="150"/>
        <v>0</v>
      </c>
      <c r="DV36" s="501"/>
      <c r="DW36" s="502">
        <f t="shared" si="40"/>
        <v>0</v>
      </c>
      <c r="DX36" s="503">
        <f t="shared" si="151"/>
        <v>0</v>
      </c>
      <c r="DY36" s="501">
        <v>0</v>
      </c>
      <c r="DZ36" s="502">
        <f t="shared" si="41"/>
        <v>0</v>
      </c>
      <c r="EA36" s="503">
        <f t="shared" si="152"/>
        <v>0</v>
      </c>
      <c r="EB36" s="501">
        <v>7.2674418604651123</v>
      </c>
      <c r="EC36" s="502">
        <f t="shared" si="42"/>
        <v>0.19047154659848281</v>
      </c>
      <c r="ED36" s="503">
        <f t="shared" si="153"/>
        <v>0</v>
      </c>
      <c r="EE36" s="501">
        <v>3</v>
      </c>
      <c r="EF36" s="502">
        <f t="shared" si="43"/>
        <v>7.8626654435853746E-2</v>
      </c>
      <c r="EG36" s="503">
        <f t="shared" si="154"/>
        <v>0</v>
      </c>
      <c r="EH36" s="501"/>
      <c r="EI36" s="502">
        <f t="shared" si="44"/>
        <v>0</v>
      </c>
      <c r="EJ36" s="503">
        <f t="shared" si="155"/>
        <v>0</v>
      </c>
      <c r="EK36" s="501"/>
      <c r="EL36" s="502">
        <f t="shared" si="45"/>
        <v>0</v>
      </c>
      <c r="EM36" s="503">
        <f t="shared" si="156"/>
        <v>0</v>
      </c>
      <c r="EN36" s="501"/>
      <c r="EO36" s="502">
        <f t="shared" si="46"/>
        <v>0</v>
      </c>
      <c r="EP36" s="503">
        <f t="shared" si="157"/>
        <v>0</v>
      </c>
      <c r="EQ36" s="501"/>
      <c r="ER36" s="502">
        <f t="shared" si="47"/>
        <v>0</v>
      </c>
      <c r="ES36" s="503">
        <f t="shared" si="158"/>
        <v>0</v>
      </c>
      <c r="ET36" s="501"/>
      <c r="EU36" s="502">
        <f t="shared" si="48"/>
        <v>0</v>
      </c>
      <c r="EV36" s="503">
        <f t="shared" si="159"/>
        <v>0</v>
      </c>
      <c r="EW36" s="501"/>
      <c r="EX36" s="502">
        <f t="shared" si="49"/>
        <v>0</v>
      </c>
      <c r="EY36" s="503">
        <f t="shared" si="160"/>
        <v>0</v>
      </c>
      <c r="EZ36" s="501"/>
      <c r="FA36" s="502">
        <f t="shared" si="50"/>
        <v>0</v>
      </c>
      <c r="FB36" s="503">
        <f t="shared" si="161"/>
        <v>0</v>
      </c>
      <c r="FC36" s="501"/>
      <c r="FD36" s="502">
        <f t="shared" si="51"/>
        <v>0</v>
      </c>
      <c r="FE36" s="503">
        <f t="shared" si="162"/>
        <v>0</v>
      </c>
      <c r="FF36" s="501"/>
      <c r="FG36" s="502">
        <f t="shared" si="52"/>
        <v>0</v>
      </c>
      <c r="FH36" s="503">
        <f t="shared" si="163"/>
        <v>0</v>
      </c>
      <c r="FI36" s="501"/>
      <c r="FJ36" s="502">
        <f t="shared" si="53"/>
        <v>0</v>
      </c>
      <c r="FK36" s="503">
        <f t="shared" si="164"/>
        <v>0</v>
      </c>
      <c r="FL36" s="501"/>
      <c r="FM36" s="502">
        <f t="shared" si="54"/>
        <v>0</v>
      </c>
      <c r="FN36" s="503">
        <f t="shared" si="165"/>
        <v>0</v>
      </c>
      <c r="FO36" s="501"/>
      <c r="FP36" s="502">
        <f t="shared" si="55"/>
        <v>0</v>
      </c>
      <c r="FQ36" s="503">
        <f t="shared" si="166"/>
        <v>0</v>
      </c>
      <c r="FR36" s="501"/>
      <c r="FS36" s="502">
        <f t="shared" si="56"/>
        <v>0</v>
      </c>
      <c r="FT36" s="503">
        <f t="shared" si="167"/>
        <v>0</v>
      </c>
      <c r="FU36" s="501"/>
      <c r="FV36" s="502">
        <f t="shared" si="57"/>
        <v>0</v>
      </c>
      <c r="FW36" s="503">
        <f t="shared" si="168"/>
        <v>0</v>
      </c>
      <c r="FX36" s="501"/>
      <c r="FY36" s="502">
        <f t="shared" si="58"/>
        <v>0</v>
      </c>
      <c r="FZ36" s="503">
        <f t="shared" si="169"/>
        <v>0</v>
      </c>
      <c r="GA36" s="501"/>
      <c r="GB36" s="502">
        <f t="shared" si="59"/>
        <v>0</v>
      </c>
      <c r="GC36" s="503">
        <f t="shared" si="170"/>
        <v>0</v>
      </c>
      <c r="GD36" s="501"/>
      <c r="GE36" s="502">
        <f t="shared" si="60"/>
        <v>0</v>
      </c>
      <c r="GF36" s="503">
        <f t="shared" si="171"/>
        <v>0</v>
      </c>
      <c r="GG36" s="501"/>
      <c r="GH36" s="502">
        <f t="shared" si="61"/>
        <v>0</v>
      </c>
      <c r="GI36" s="503">
        <f t="shared" si="172"/>
        <v>0</v>
      </c>
      <c r="GJ36" s="501"/>
      <c r="GK36" s="502">
        <f t="shared" si="62"/>
        <v>0</v>
      </c>
      <c r="GL36" s="503">
        <f t="shared" si="173"/>
        <v>0</v>
      </c>
      <c r="GM36" s="501"/>
      <c r="GN36" s="502">
        <f t="shared" si="63"/>
        <v>0</v>
      </c>
      <c r="GO36" s="503">
        <f t="shared" si="174"/>
        <v>0</v>
      </c>
      <c r="GP36" s="501"/>
      <c r="GQ36" s="502">
        <f t="shared" si="64"/>
        <v>0</v>
      </c>
      <c r="GR36" s="503">
        <f t="shared" si="175"/>
        <v>0</v>
      </c>
      <c r="GS36" s="501"/>
      <c r="GT36" s="502">
        <f t="shared" si="65"/>
        <v>0</v>
      </c>
      <c r="GU36" s="503">
        <f t="shared" si="176"/>
        <v>0</v>
      </c>
      <c r="GV36" s="501"/>
      <c r="GW36" s="502">
        <f t="shared" si="66"/>
        <v>0</v>
      </c>
      <c r="GX36" s="503">
        <f t="shared" si="177"/>
        <v>0</v>
      </c>
      <c r="GY36" s="501"/>
      <c r="GZ36" s="502">
        <f t="shared" si="67"/>
        <v>0</v>
      </c>
      <c r="HA36" s="503">
        <f t="shared" si="178"/>
        <v>0</v>
      </c>
      <c r="HB36" s="501"/>
      <c r="HC36" s="502">
        <f t="shared" si="68"/>
        <v>0</v>
      </c>
      <c r="HD36" s="503">
        <f t="shared" si="179"/>
        <v>0</v>
      </c>
      <c r="HE36" s="501"/>
      <c r="HF36" s="502">
        <f t="shared" si="69"/>
        <v>0</v>
      </c>
      <c r="HG36" s="503">
        <f t="shared" si="180"/>
        <v>0</v>
      </c>
      <c r="HH36" s="501"/>
      <c r="HI36" s="502">
        <f t="shared" si="70"/>
        <v>0</v>
      </c>
      <c r="HJ36" s="503">
        <f t="shared" si="181"/>
        <v>0</v>
      </c>
      <c r="HK36" s="501"/>
      <c r="HL36" s="502">
        <f t="shared" si="71"/>
        <v>0</v>
      </c>
      <c r="HM36" s="503">
        <f t="shared" si="182"/>
        <v>0</v>
      </c>
      <c r="HN36" s="501"/>
      <c r="HO36" s="502">
        <f t="shared" si="72"/>
        <v>0</v>
      </c>
      <c r="HP36" s="503">
        <f t="shared" si="183"/>
        <v>0</v>
      </c>
      <c r="HQ36" s="501"/>
      <c r="HR36" s="502">
        <f t="shared" si="73"/>
        <v>0</v>
      </c>
      <c r="HS36" s="503">
        <f t="shared" si="184"/>
        <v>0</v>
      </c>
      <c r="HT36" s="501"/>
      <c r="HU36" s="502">
        <f t="shared" si="74"/>
        <v>0</v>
      </c>
      <c r="HV36" s="503">
        <f t="shared" si="185"/>
        <v>0</v>
      </c>
      <c r="HW36" s="501"/>
      <c r="HX36" s="502">
        <f t="shared" si="75"/>
        <v>0</v>
      </c>
      <c r="HY36" s="503">
        <f t="shared" si="186"/>
        <v>0</v>
      </c>
      <c r="HZ36" s="501"/>
      <c r="IA36" s="502">
        <f t="shared" si="76"/>
        <v>0</v>
      </c>
      <c r="IB36" s="503">
        <f t="shared" si="187"/>
        <v>0</v>
      </c>
      <c r="IC36" s="501"/>
      <c r="ID36" s="502">
        <f t="shared" si="77"/>
        <v>0</v>
      </c>
      <c r="IE36" s="503">
        <f t="shared" si="188"/>
        <v>0</v>
      </c>
      <c r="IF36" s="501"/>
      <c r="IG36" s="502">
        <f t="shared" si="78"/>
        <v>0</v>
      </c>
      <c r="IH36" s="503">
        <f t="shared" si="189"/>
        <v>0</v>
      </c>
      <c r="II36" s="501"/>
      <c r="IJ36" s="502">
        <f t="shared" si="79"/>
        <v>0</v>
      </c>
      <c r="IK36" s="503">
        <f t="shared" si="190"/>
        <v>0</v>
      </c>
      <c r="IL36" s="501"/>
      <c r="IM36" s="502">
        <f t="shared" si="80"/>
        <v>0</v>
      </c>
      <c r="IN36" s="503">
        <f t="shared" si="191"/>
        <v>0</v>
      </c>
      <c r="IO36" s="501"/>
      <c r="IP36" s="502">
        <f t="shared" si="81"/>
        <v>0</v>
      </c>
      <c r="IQ36" s="503">
        <f t="shared" si="192"/>
        <v>0</v>
      </c>
      <c r="IR36" s="501"/>
      <c r="IS36" s="502">
        <f t="shared" si="82"/>
        <v>0</v>
      </c>
      <c r="IT36" s="503">
        <f t="shared" si="193"/>
        <v>0</v>
      </c>
      <c r="IU36" s="501"/>
      <c r="IV36" s="502">
        <f t="shared" si="83"/>
        <v>0</v>
      </c>
      <c r="IW36" s="503">
        <f t="shared" si="194"/>
        <v>0</v>
      </c>
      <c r="IX36" s="501"/>
      <c r="IY36" s="502">
        <f t="shared" si="84"/>
        <v>0</v>
      </c>
      <c r="IZ36" s="503">
        <f t="shared" si="195"/>
        <v>0</v>
      </c>
      <c r="JA36" s="501"/>
      <c r="JB36" s="502">
        <f t="shared" si="85"/>
        <v>0</v>
      </c>
      <c r="JC36" s="503">
        <f t="shared" si="196"/>
        <v>0</v>
      </c>
      <c r="JD36" s="501"/>
      <c r="JE36" s="502">
        <f t="shared" si="86"/>
        <v>0</v>
      </c>
      <c r="JF36" s="503">
        <f t="shared" si="197"/>
        <v>0</v>
      </c>
      <c r="JG36" s="501"/>
      <c r="JH36" s="502">
        <f t="shared" si="87"/>
        <v>0</v>
      </c>
      <c r="JI36" s="503">
        <f t="shared" si="198"/>
        <v>0</v>
      </c>
      <c r="JJ36" s="501"/>
      <c r="JK36" s="503" t="str">
        <f t="shared" si="88"/>
        <v>0</v>
      </c>
      <c r="JL36" s="503" t="str">
        <f t="shared" si="89"/>
        <v>0</v>
      </c>
      <c r="JM36" s="501"/>
      <c r="JN36" s="503" t="str">
        <f t="shared" si="90"/>
        <v>0</v>
      </c>
      <c r="JO36" s="503" t="str">
        <f t="shared" si="91"/>
        <v>0</v>
      </c>
      <c r="JP36" s="501"/>
      <c r="JQ36" s="503" t="str">
        <f t="shared" si="92"/>
        <v>0</v>
      </c>
      <c r="JR36" s="503" t="str">
        <f t="shared" si="93"/>
        <v>0</v>
      </c>
      <c r="JS36" s="501"/>
      <c r="JT36" s="503" t="str">
        <f t="shared" si="94"/>
        <v>0</v>
      </c>
      <c r="JU36" s="503" t="str">
        <f t="shared" si="95"/>
        <v>0</v>
      </c>
      <c r="JV36" s="501"/>
      <c r="JW36" s="503" t="str">
        <f t="shared" si="96"/>
        <v>0</v>
      </c>
      <c r="JX36" s="503" t="str">
        <f t="shared" si="97"/>
        <v>0</v>
      </c>
      <c r="JY36" s="501"/>
      <c r="JZ36" s="503" t="str">
        <f t="shared" si="98"/>
        <v>0</v>
      </c>
      <c r="KA36" s="503" t="str">
        <f t="shared" si="99"/>
        <v>0</v>
      </c>
      <c r="KB36" s="501"/>
      <c r="KC36" s="503" t="str">
        <f t="shared" si="100"/>
        <v>0</v>
      </c>
      <c r="KD36" s="503" t="str">
        <f t="shared" si="101"/>
        <v>0</v>
      </c>
      <c r="KE36" s="501"/>
      <c r="KF36" s="503" t="str">
        <f t="shared" si="102"/>
        <v>0</v>
      </c>
      <c r="KG36" s="503" t="str">
        <f t="shared" si="103"/>
        <v>0</v>
      </c>
      <c r="KH36" s="501"/>
      <c r="KI36" s="503" t="str">
        <f t="shared" si="104"/>
        <v>0</v>
      </c>
      <c r="KJ36" s="503" t="str">
        <f t="shared" si="105"/>
        <v>0</v>
      </c>
      <c r="KK36" s="501"/>
      <c r="KL36" s="503" t="str">
        <f t="shared" si="106"/>
        <v>0</v>
      </c>
      <c r="KM36" s="503" t="str">
        <f t="shared" si="107"/>
        <v>0</v>
      </c>
      <c r="KN36" s="501"/>
      <c r="KO36" s="503" t="str">
        <f t="shared" si="108"/>
        <v>0</v>
      </c>
      <c r="KP36" s="503" t="str">
        <f t="shared" si="109"/>
        <v>0</v>
      </c>
      <c r="KQ36" s="501"/>
      <c r="KR36" s="503" t="str">
        <f t="shared" si="110"/>
        <v>0</v>
      </c>
      <c r="KS36" s="503" t="str">
        <f t="shared" si="111"/>
        <v>0</v>
      </c>
      <c r="KT36" s="503">
        <f t="shared" si="201"/>
        <v>0</v>
      </c>
      <c r="KU36" s="503">
        <f t="shared" si="202"/>
        <v>0</v>
      </c>
      <c r="KV36" s="264">
        <f t="shared" si="199"/>
        <v>458.56627465270873</v>
      </c>
    </row>
    <row r="37" spans="1:308" ht="15" customHeight="1">
      <c r="A37" s="266">
        <f t="shared" si="200"/>
        <v>45958</v>
      </c>
      <c r="B37" s="267" t="str">
        <f>+Report1!B36</f>
        <v>Facial</v>
      </c>
      <c r="C37" s="395" t="str">
        <f>+Report1!C36</f>
        <v>12/13</v>
      </c>
      <c r="D37" s="268">
        <f>+Report1!P36</f>
        <v>45.185000000000002</v>
      </c>
      <c r="E37" s="269">
        <f>+Report1!R36</f>
        <v>40.47</v>
      </c>
      <c r="F37" s="501">
        <v>0</v>
      </c>
      <c r="G37" s="502">
        <f t="shared" si="0"/>
        <v>0</v>
      </c>
      <c r="H37" s="503">
        <f t="shared" si="112"/>
        <v>0</v>
      </c>
      <c r="I37" s="501">
        <v>337.20930232558135</v>
      </c>
      <c r="J37" s="502">
        <f t="shared" si="1"/>
        <v>8.3323277075755211</v>
      </c>
      <c r="K37" s="503">
        <f t="shared" si="113"/>
        <v>0</v>
      </c>
      <c r="L37" s="501"/>
      <c r="M37" s="502">
        <f t="shared" si="2"/>
        <v>0</v>
      </c>
      <c r="N37" s="503">
        <f t="shared" si="114"/>
        <v>0</v>
      </c>
      <c r="O37" s="501">
        <v>12</v>
      </c>
      <c r="P37" s="502">
        <f t="shared" si="3"/>
        <v>0.29651593773165308</v>
      </c>
      <c r="Q37" s="503">
        <f t="shared" si="115"/>
        <v>0</v>
      </c>
      <c r="R37" s="501">
        <v>5.125</v>
      </c>
      <c r="S37" s="502">
        <f t="shared" si="4"/>
        <v>0.12663701507289352</v>
      </c>
      <c r="T37" s="503">
        <f t="shared" si="116"/>
        <v>0</v>
      </c>
      <c r="U37" s="501">
        <v>6.25</v>
      </c>
      <c r="V37" s="502">
        <f t="shared" si="5"/>
        <v>0.15443538423523598</v>
      </c>
      <c r="W37" s="503">
        <f t="shared" si="117"/>
        <v>0</v>
      </c>
      <c r="X37" s="501"/>
      <c r="Y37" s="502">
        <f t="shared" si="6"/>
        <v>0</v>
      </c>
      <c r="Z37" s="503">
        <f t="shared" si="118"/>
        <v>0</v>
      </c>
      <c r="AA37" s="501"/>
      <c r="AB37" s="502">
        <f t="shared" si="7"/>
        <v>0</v>
      </c>
      <c r="AC37" s="503">
        <f t="shared" si="119"/>
        <v>0</v>
      </c>
      <c r="AD37" s="501"/>
      <c r="AE37" s="502">
        <f t="shared" si="8"/>
        <v>0</v>
      </c>
      <c r="AF37" s="503">
        <f t="shared" si="120"/>
        <v>0</v>
      </c>
      <c r="AG37" s="501"/>
      <c r="AH37" s="502">
        <f t="shared" si="9"/>
        <v>0</v>
      </c>
      <c r="AI37" s="503">
        <f t="shared" si="121"/>
        <v>0</v>
      </c>
      <c r="AJ37" s="501"/>
      <c r="AK37" s="502">
        <f t="shared" si="10"/>
        <v>0</v>
      </c>
      <c r="AL37" s="503">
        <f t="shared" si="122"/>
        <v>0</v>
      </c>
      <c r="AM37" s="501">
        <v>77.884615384615358</v>
      </c>
      <c r="AN37" s="502">
        <f t="shared" si="11"/>
        <v>1.9245024804698632</v>
      </c>
      <c r="AO37" s="503">
        <f t="shared" si="123"/>
        <v>0</v>
      </c>
      <c r="AP37" s="501">
        <v>0</v>
      </c>
      <c r="AQ37" s="502">
        <f t="shared" si="12"/>
        <v>0</v>
      </c>
      <c r="AR37" s="503">
        <f t="shared" si="124"/>
        <v>0</v>
      </c>
      <c r="AS37" s="501"/>
      <c r="AT37" s="502">
        <f t="shared" si="13"/>
        <v>0</v>
      </c>
      <c r="AU37" s="503">
        <f t="shared" si="125"/>
        <v>0</v>
      </c>
      <c r="AV37" s="501">
        <v>2.7749999999999773</v>
      </c>
      <c r="AW37" s="502">
        <f t="shared" si="14"/>
        <v>6.8569310600444217E-2</v>
      </c>
      <c r="AX37" s="503">
        <f t="shared" si="126"/>
        <v>0</v>
      </c>
      <c r="AY37" s="501">
        <v>70</v>
      </c>
      <c r="AZ37" s="502">
        <f t="shared" si="15"/>
        <v>1.729676303434643</v>
      </c>
      <c r="BA37" s="503">
        <f t="shared" si="127"/>
        <v>0</v>
      </c>
      <c r="BB37" s="501"/>
      <c r="BC37" s="502">
        <f t="shared" si="16"/>
        <v>0</v>
      </c>
      <c r="BD37" s="503">
        <f t="shared" si="128"/>
        <v>0</v>
      </c>
      <c r="BE37" s="501"/>
      <c r="BF37" s="502">
        <f t="shared" si="17"/>
        <v>0</v>
      </c>
      <c r="BG37" s="503">
        <f t="shared" si="129"/>
        <v>0</v>
      </c>
      <c r="BH37" s="501"/>
      <c r="BI37" s="502">
        <f t="shared" si="18"/>
        <v>0</v>
      </c>
      <c r="BJ37" s="503">
        <f t="shared" si="130"/>
        <v>0</v>
      </c>
      <c r="BK37" s="501"/>
      <c r="BL37" s="502">
        <f t="shared" si="19"/>
        <v>0</v>
      </c>
      <c r="BM37" s="503">
        <f t="shared" si="131"/>
        <v>0</v>
      </c>
      <c r="BN37" s="501">
        <v>27.839506172839521</v>
      </c>
      <c r="BO37" s="502">
        <f t="shared" si="20"/>
        <v>0.68790477323547128</v>
      </c>
      <c r="BP37" s="503">
        <f t="shared" si="132"/>
        <v>0</v>
      </c>
      <c r="BQ37" s="501">
        <v>12.820512820512818</v>
      </c>
      <c r="BR37" s="502">
        <f t="shared" si="21"/>
        <v>0.31679053176458655</v>
      </c>
      <c r="BS37" s="503">
        <f t="shared" si="133"/>
        <v>0</v>
      </c>
      <c r="BT37" s="501"/>
      <c r="BU37" s="502">
        <f t="shared" si="22"/>
        <v>0</v>
      </c>
      <c r="BV37" s="503">
        <f t="shared" si="134"/>
        <v>0</v>
      </c>
      <c r="BW37" s="501"/>
      <c r="BX37" s="502">
        <f t="shared" si="23"/>
        <v>0</v>
      </c>
      <c r="BY37" s="503">
        <f t="shared" si="135"/>
        <v>0</v>
      </c>
      <c r="BZ37" s="501"/>
      <c r="CA37" s="502">
        <f t="shared" si="24"/>
        <v>0</v>
      </c>
      <c r="CB37" s="503">
        <f t="shared" si="136"/>
        <v>0</v>
      </c>
      <c r="CC37" s="501"/>
      <c r="CD37" s="502">
        <f t="shared" si="25"/>
        <v>0</v>
      </c>
      <c r="CE37" s="503">
        <f t="shared" si="137"/>
        <v>0</v>
      </c>
      <c r="CF37" s="501">
        <v>8</v>
      </c>
      <c r="CG37" s="502">
        <f t="shared" si="26"/>
        <v>0.19767729182110205</v>
      </c>
      <c r="CH37" s="503">
        <f t="shared" si="138"/>
        <v>0</v>
      </c>
      <c r="CI37" s="501"/>
      <c r="CJ37" s="502">
        <f t="shared" si="27"/>
        <v>0</v>
      </c>
      <c r="CK37" s="503">
        <f t="shared" si="139"/>
        <v>0</v>
      </c>
      <c r="CL37" s="501"/>
      <c r="CM37" s="502">
        <f t="shared" si="28"/>
        <v>0</v>
      </c>
      <c r="CN37" s="503">
        <f t="shared" si="140"/>
        <v>0</v>
      </c>
      <c r="CO37" s="501"/>
      <c r="CP37" s="502">
        <f t="shared" si="29"/>
        <v>0</v>
      </c>
      <c r="CQ37" s="503">
        <f t="shared" si="141"/>
        <v>0</v>
      </c>
      <c r="CR37" s="501"/>
      <c r="CS37" s="502">
        <f t="shared" si="30"/>
        <v>0</v>
      </c>
      <c r="CT37" s="503">
        <f t="shared" si="142"/>
        <v>0</v>
      </c>
      <c r="CU37" s="501"/>
      <c r="CV37" s="502">
        <f t="shared" si="31"/>
        <v>0</v>
      </c>
      <c r="CW37" s="503">
        <f t="shared" si="143"/>
        <v>0</v>
      </c>
      <c r="CX37" s="501"/>
      <c r="CY37" s="502">
        <f t="shared" si="32"/>
        <v>0</v>
      </c>
      <c r="CZ37" s="503">
        <f t="shared" si="144"/>
        <v>0</v>
      </c>
      <c r="DA37" s="501">
        <v>0</v>
      </c>
      <c r="DB37" s="502">
        <f t="shared" si="33"/>
        <v>0</v>
      </c>
      <c r="DC37" s="503">
        <f t="shared" si="145"/>
        <v>0</v>
      </c>
      <c r="DD37" s="501"/>
      <c r="DE37" s="502">
        <f t="shared" si="34"/>
        <v>0</v>
      </c>
      <c r="DF37" s="503">
        <f t="shared" si="146"/>
        <v>0</v>
      </c>
      <c r="DG37" s="501"/>
      <c r="DH37" s="502">
        <f t="shared" si="35"/>
        <v>0</v>
      </c>
      <c r="DI37" s="503">
        <f t="shared" si="203"/>
        <v>0</v>
      </c>
      <c r="DJ37" s="501"/>
      <c r="DK37" s="502">
        <f t="shared" si="36"/>
        <v>0</v>
      </c>
      <c r="DL37" s="503">
        <f t="shared" si="147"/>
        <v>0</v>
      </c>
      <c r="DM37" s="501"/>
      <c r="DN37" s="502">
        <f t="shared" si="37"/>
        <v>0</v>
      </c>
      <c r="DO37" s="503">
        <f t="shared" si="148"/>
        <v>0</v>
      </c>
      <c r="DP37" s="501"/>
      <c r="DQ37" s="502">
        <f t="shared" si="38"/>
        <v>0</v>
      </c>
      <c r="DR37" s="503">
        <f t="shared" si="149"/>
        <v>0</v>
      </c>
      <c r="DS37" s="501"/>
      <c r="DT37" s="502">
        <f t="shared" si="39"/>
        <v>0</v>
      </c>
      <c r="DU37" s="503">
        <f t="shared" si="150"/>
        <v>0</v>
      </c>
      <c r="DV37" s="501"/>
      <c r="DW37" s="502">
        <f t="shared" si="40"/>
        <v>0</v>
      </c>
      <c r="DX37" s="503">
        <f t="shared" si="151"/>
        <v>0</v>
      </c>
      <c r="DY37" s="501">
        <v>0</v>
      </c>
      <c r="DZ37" s="502">
        <f t="shared" si="41"/>
        <v>0</v>
      </c>
      <c r="EA37" s="503">
        <f t="shared" si="152"/>
        <v>0</v>
      </c>
      <c r="EB37" s="501">
        <v>14.534883720930225</v>
      </c>
      <c r="EC37" s="502">
        <f t="shared" si="42"/>
        <v>0.35915205636101372</v>
      </c>
      <c r="ED37" s="503">
        <f t="shared" si="153"/>
        <v>0</v>
      </c>
      <c r="EE37" s="501">
        <v>2</v>
      </c>
      <c r="EF37" s="502">
        <f t="shared" si="43"/>
        <v>4.9419322955275513E-2</v>
      </c>
      <c r="EG37" s="503">
        <f t="shared" si="154"/>
        <v>0</v>
      </c>
      <c r="EH37" s="501"/>
      <c r="EI37" s="502">
        <f t="shared" si="44"/>
        <v>0</v>
      </c>
      <c r="EJ37" s="503">
        <f t="shared" si="155"/>
        <v>0</v>
      </c>
      <c r="EK37" s="501"/>
      <c r="EL37" s="502">
        <f t="shared" si="45"/>
        <v>0</v>
      </c>
      <c r="EM37" s="503">
        <f t="shared" si="156"/>
        <v>0</v>
      </c>
      <c r="EN37" s="501"/>
      <c r="EO37" s="502">
        <f t="shared" si="46"/>
        <v>0</v>
      </c>
      <c r="EP37" s="503">
        <f t="shared" si="157"/>
        <v>0</v>
      </c>
      <c r="EQ37" s="501"/>
      <c r="ER37" s="502">
        <f t="shared" si="47"/>
        <v>0</v>
      </c>
      <c r="ES37" s="503">
        <f t="shared" si="158"/>
        <v>0</v>
      </c>
      <c r="ET37" s="501"/>
      <c r="EU37" s="502">
        <f t="shared" si="48"/>
        <v>0</v>
      </c>
      <c r="EV37" s="503">
        <f t="shared" si="159"/>
        <v>0</v>
      </c>
      <c r="EW37" s="501"/>
      <c r="EX37" s="502">
        <f t="shared" si="49"/>
        <v>0</v>
      </c>
      <c r="EY37" s="503">
        <f t="shared" si="160"/>
        <v>0</v>
      </c>
      <c r="EZ37" s="501"/>
      <c r="FA37" s="502">
        <f t="shared" si="50"/>
        <v>0</v>
      </c>
      <c r="FB37" s="503">
        <f t="shared" si="161"/>
        <v>0</v>
      </c>
      <c r="FC37" s="501"/>
      <c r="FD37" s="502">
        <f t="shared" si="51"/>
        <v>0</v>
      </c>
      <c r="FE37" s="503">
        <f t="shared" si="162"/>
        <v>0</v>
      </c>
      <c r="FF37" s="501"/>
      <c r="FG37" s="502">
        <f t="shared" si="52"/>
        <v>0</v>
      </c>
      <c r="FH37" s="503">
        <f t="shared" si="163"/>
        <v>0</v>
      </c>
      <c r="FI37" s="501"/>
      <c r="FJ37" s="502">
        <f t="shared" si="53"/>
        <v>0</v>
      </c>
      <c r="FK37" s="503">
        <f t="shared" si="164"/>
        <v>0</v>
      </c>
      <c r="FL37" s="501"/>
      <c r="FM37" s="502">
        <f t="shared" si="54"/>
        <v>0</v>
      </c>
      <c r="FN37" s="503">
        <f t="shared" si="165"/>
        <v>0</v>
      </c>
      <c r="FO37" s="501"/>
      <c r="FP37" s="502">
        <f t="shared" si="55"/>
        <v>0</v>
      </c>
      <c r="FQ37" s="503">
        <f t="shared" si="166"/>
        <v>0</v>
      </c>
      <c r="FR37" s="501"/>
      <c r="FS37" s="502">
        <f t="shared" si="56"/>
        <v>0</v>
      </c>
      <c r="FT37" s="503">
        <f t="shared" si="167"/>
        <v>0</v>
      </c>
      <c r="FU37" s="501"/>
      <c r="FV37" s="502">
        <f t="shared" si="57"/>
        <v>0</v>
      </c>
      <c r="FW37" s="503">
        <f t="shared" si="168"/>
        <v>0</v>
      </c>
      <c r="FX37" s="501"/>
      <c r="FY37" s="502">
        <f t="shared" si="58"/>
        <v>0</v>
      </c>
      <c r="FZ37" s="503">
        <f t="shared" si="169"/>
        <v>0</v>
      </c>
      <c r="GA37" s="501"/>
      <c r="GB37" s="502">
        <f t="shared" si="59"/>
        <v>0</v>
      </c>
      <c r="GC37" s="503">
        <f t="shared" si="170"/>
        <v>0</v>
      </c>
      <c r="GD37" s="501"/>
      <c r="GE37" s="502">
        <f t="shared" si="60"/>
        <v>0</v>
      </c>
      <c r="GF37" s="503">
        <f t="shared" si="171"/>
        <v>0</v>
      </c>
      <c r="GG37" s="501"/>
      <c r="GH37" s="502">
        <f t="shared" si="61"/>
        <v>0</v>
      </c>
      <c r="GI37" s="503">
        <f t="shared" si="172"/>
        <v>0</v>
      </c>
      <c r="GJ37" s="501"/>
      <c r="GK37" s="502">
        <f t="shared" si="62"/>
        <v>0</v>
      </c>
      <c r="GL37" s="503">
        <f t="shared" si="173"/>
        <v>0</v>
      </c>
      <c r="GM37" s="501"/>
      <c r="GN37" s="502">
        <f t="shared" si="63"/>
        <v>0</v>
      </c>
      <c r="GO37" s="503">
        <f t="shared" si="174"/>
        <v>0</v>
      </c>
      <c r="GP37" s="501"/>
      <c r="GQ37" s="502">
        <f t="shared" si="64"/>
        <v>0</v>
      </c>
      <c r="GR37" s="503">
        <f t="shared" si="175"/>
        <v>0</v>
      </c>
      <c r="GS37" s="501"/>
      <c r="GT37" s="502">
        <f t="shared" si="65"/>
        <v>0</v>
      </c>
      <c r="GU37" s="503">
        <f t="shared" si="176"/>
        <v>0</v>
      </c>
      <c r="GV37" s="501"/>
      <c r="GW37" s="502">
        <f t="shared" si="66"/>
        <v>0</v>
      </c>
      <c r="GX37" s="503">
        <f t="shared" si="177"/>
        <v>0</v>
      </c>
      <c r="GY37" s="501"/>
      <c r="GZ37" s="502">
        <f t="shared" si="67"/>
        <v>0</v>
      </c>
      <c r="HA37" s="503">
        <f t="shared" si="178"/>
        <v>0</v>
      </c>
      <c r="HB37" s="501"/>
      <c r="HC37" s="502">
        <f t="shared" si="68"/>
        <v>0</v>
      </c>
      <c r="HD37" s="503">
        <f t="shared" si="179"/>
        <v>0</v>
      </c>
      <c r="HE37" s="501"/>
      <c r="HF37" s="502">
        <f t="shared" si="69"/>
        <v>0</v>
      </c>
      <c r="HG37" s="503">
        <f t="shared" si="180"/>
        <v>0</v>
      </c>
      <c r="HH37" s="501"/>
      <c r="HI37" s="502">
        <f t="shared" si="70"/>
        <v>0</v>
      </c>
      <c r="HJ37" s="503">
        <f t="shared" si="181"/>
        <v>0</v>
      </c>
      <c r="HK37" s="501"/>
      <c r="HL37" s="502">
        <f t="shared" si="71"/>
        <v>0</v>
      </c>
      <c r="HM37" s="503">
        <f t="shared" si="182"/>
        <v>0</v>
      </c>
      <c r="HN37" s="501"/>
      <c r="HO37" s="502">
        <f t="shared" si="72"/>
        <v>0</v>
      </c>
      <c r="HP37" s="503">
        <f t="shared" si="183"/>
        <v>0</v>
      </c>
      <c r="HQ37" s="501"/>
      <c r="HR37" s="502">
        <f t="shared" si="73"/>
        <v>0</v>
      </c>
      <c r="HS37" s="503">
        <f t="shared" si="184"/>
        <v>0</v>
      </c>
      <c r="HT37" s="501"/>
      <c r="HU37" s="502">
        <f t="shared" si="74"/>
        <v>0</v>
      </c>
      <c r="HV37" s="503">
        <f t="shared" si="185"/>
        <v>0</v>
      </c>
      <c r="HW37" s="501"/>
      <c r="HX37" s="502">
        <f t="shared" si="75"/>
        <v>0</v>
      </c>
      <c r="HY37" s="503">
        <f t="shared" si="186"/>
        <v>0</v>
      </c>
      <c r="HZ37" s="501"/>
      <c r="IA37" s="502">
        <f t="shared" si="76"/>
        <v>0</v>
      </c>
      <c r="IB37" s="503">
        <f t="shared" si="187"/>
        <v>0</v>
      </c>
      <c r="IC37" s="501"/>
      <c r="ID37" s="502">
        <f t="shared" si="77"/>
        <v>0</v>
      </c>
      <c r="IE37" s="503">
        <f t="shared" si="188"/>
        <v>0</v>
      </c>
      <c r="IF37" s="501"/>
      <c r="IG37" s="502">
        <f t="shared" si="78"/>
        <v>0</v>
      </c>
      <c r="IH37" s="503">
        <f t="shared" si="189"/>
        <v>0</v>
      </c>
      <c r="II37" s="501"/>
      <c r="IJ37" s="502">
        <f t="shared" si="79"/>
        <v>0</v>
      </c>
      <c r="IK37" s="503">
        <f t="shared" si="190"/>
        <v>0</v>
      </c>
      <c r="IL37" s="501"/>
      <c r="IM37" s="502">
        <f t="shared" si="80"/>
        <v>0</v>
      </c>
      <c r="IN37" s="503">
        <f t="shared" si="191"/>
        <v>0</v>
      </c>
      <c r="IO37" s="501"/>
      <c r="IP37" s="502">
        <f t="shared" si="81"/>
        <v>0</v>
      </c>
      <c r="IQ37" s="503">
        <f t="shared" si="192"/>
        <v>0</v>
      </c>
      <c r="IR37" s="501"/>
      <c r="IS37" s="502">
        <f t="shared" si="82"/>
        <v>0</v>
      </c>
      <c r="IT37" s="503">
        <f t="shared" si="193"/>
        <v>0</v>
      </c>
      <c r="IU37" s="501"/>
      <c r="IV37" s="502">
        <f t="shared" si="83"/>
        <v>0</v>
      </c>
      <c r="IW37" s="503">
        <f t="shared" si="194"/>
        <v>0</v>
      </c>
      <c r="IX37" s="501"/>
      <c r="IY37" s="502">
        <f t="shared" si="84"/>
        <v>0</v>
      </c>
      <c r="IZ37" s="503">
        <f t="shared" si="195"/>
        <v>0</v>
      </c>
      <c r="JA37" s="501"/>
      <c r="JB37" s="502">
        <f t="shared" si="85"/>
        <v>0</v>
      </c>
      <c r="JC37" s="503">
        <f t="shared" si="196"/>
        <v>0</v>
      </c>
      <c r="JD37" s="501"/>
      <c r="JE37" s="502">
        <f t="shared" si="86"/>
        <v>0</v>
      </c>
      <c r="JF37" s="503">
        <f t="shared" si="197"/>
        <v>0</v>
      </c>
      <c r="JG37" s="501"/>
      <c r="JH37" s="502">
        <f t="shared" si="87"/>
        <v>0</v>
      </c>
      <c r="JI37" s="503">
        <f t="shared" si="198"/>
        <v>0</v>
      </c>
      <c r="JJ37" s="501"/>
      <c r="JK37" s="503" t="str">
        <f t="shared" si="88"/>
        <v>0</v>
      </c>
      <c r="JL37" s="503" t="str">
        <f t="shared" si="89"/>
        <v>0</v>
      </c>
      <c r="JM37" s="501"/>
      <c r="JN37" s="503" t="str">
        <f t="shared" si="90"/>
        <v>0</v>
      </c>
      <c r="JO37" s="503" t="str">
        <f t="shared" si="91"/>
        <v>0</v>
      </c>
      <c r="JP37" s="501"/>
      <c r="JQ37" s="503" t="str">
        <f t="shared" si="92"/>
        <v>0</v>
      </c>
      <c r="JR37" s="503" t="str">
        <f t="shared" si="93"/>
        <v>0</v>
      </c>
      <c r="JS37" s="501"/>
      <c r="JT37" s="503" t="str">
        <f t="shared" si="94"/>
        <v>0</v>
      </c>
      <c r="JU37" s="503" t="str">
        <f t="shared" si="95"/>
        <v>0</v>
      </c>
      <c r="JV37" s="501"/>
      <c r="JW37" s="503" t="str">
        <f t="shared" si="96"/>
        <v>0</v>
      </c>
      <c r="JX37" s="503" t="str">
        <f t="shared" si="97"/>
        <v>0</v>
      </c>
      <c r="JY37" s="501"/>
      <c r="JZ37" s="503" t="str">
        <f t="shared" si="98"/>
        <v>0</v>
      </c>
      <c r="KA37" s="503" t="str">
        <f t="shared" si="99"/>
        <v>0</v>
      </c>
      <c r="KB37" s="501"/>
      <c r="KC37" s="503" t="str">
        <f t="shared" si="100"/>
        <v>0</v>
      </c>
      <c r="KD37" s="503" t="str">
        <f t="shared" si="101"/>
        <v>0</v>
      </c>
      <c r="KE37" s="501"/>
      <c r="KF37" s="503" t="str">
        <f t="shared" si="102"/>
        <v>0</v>
      </c>
      <c r="KG37" s="503" t="str">
        <f t="shared" si="103"/>
        <v>0</v>
      </c>
      <c r="KH37" s="501"/>
      <c r="KI37" s="503" t="str">
        <f t="shared" si="104"/>
        <v>0</v>
      </c>
      <c r="KJ37" s="503" t="str">
        <f t="shared" si="105"/>
        <v>0</v>
      </c>
      <c r="KK37" s="501"/>
      <c r="KL37" s="503" t="str">
        <f t="shared" si="106"/>
        <v>0</v>
      </c>
      <c r="KM37" s="503" t="str">
        <f t="shared" si="107"/>
        <v>0</v>
      </c>
      <c r="KN37" s="501"/>
      <c r="KO37" s="503" t="str">
        <f t="shared" si="108"/>
        <v>0</v>
      </c>
      <c r="KP37" s="503" t="str">
        <f t="shared" si="109"/>
        <v>0</v>
      </c>
      <c r="KQ37" s="501"/>
      <c r="KR37" s="503" t="str">
        <f t="shared" si="110"/>
        <v>0</v>
      </c>
      <c r="KS37" s="503" t="str">
        <f t="shared" si="111"/>
        <v>0</v>
      </c>
      <c r="KT37" s="503">
        <f t="shared" si="201"/>
        <v>0</v>
      </c>
      <c r="KU37" s="503">
        <f t="shared" si="202"/>
        <v>0</v>
      </c>
      <c r="KV37" s="264">
        <f t="shared" si="199"/>
        <v>576.43882042447922</v>
      </c>
    </row>
    <row r="38" spans="1:308" ht="15" customHeight="1">
      <c r="A38" s="266">
        <f t="shared" si="200"/>
        <v>45959</v>
      </c>
      <c r="B38" s="267" t="str">
        <f>+Report1!B37</f>
        <v>Facial</v>
      </c>
      <c r="C38" s="395" t="str">
        <f>+Report1!C37</f>
        <v>13/12</v>
      </c>
      <c r="D38" s="268">
        <f>+Report1!P37</f>
        <v>47.158999999999999</v>
      </c>
      <c r="E38" s="269">
        <f>+Report1!R37</f>
        <v>43.073999999999998</v>
      </c>
      <c r="F38" s="501">
        <v>0</v>
      </c>
      <c r="G38" s="502">
        <f t="shared" si="0"/>
        <v>0</v>
      </c>
      <c r="H38" s="503">
        <f t="shared" si="112"/>
        <v>0</v>
      </c>
      <c r="I38" s="501">
        <v>337.20930232558158</v>
      </c>
      <c r="J38" s="502">
        <f t="shared" si="1"/>
        <v>7.8286043164224726</v>
      </c>
      <c r="K38" s="503">
        <f t="shared" si="113"/>
        <v>0</v>
      </c>
      <c r="L38" s="501"/>
      <c r="M38" s="502">
        <f t="shared" si="2"/>
        <v>0</v>
      </c>
      <c r="N38" s="503">
        <f t="shared" si="114"/>
        <v>0</v>
      </c>
      <c r="O38" s="501">
        <v>12</v>
      </c>
      <c r="P38" s="502">
        <f t="shared" si="3"/>
        <v>0.27859033291544782</v>
      </c>
      <c r="Q38" s="503">
        <f t="shared" si="115"/>
        <v>0</v>
      </c>
      <c r="R38" s="501">
        <v>5.125</v>
      </c>
      <c r="S38" s="502">
        <f t="shared" si="4"/>
        <v>0.11898128801597252</v>
      </c>
      <c r="T38" s="503">
        <f t="shared" si="116"/>
        <v>0</v>
      </c>
      <c r="U38" s="501">
        <v>6.25</v>
      </c>
      <c r="V38" s="502">
        <f t="shared" si="5"/>
        <v>0.14509913172679575</v>
      </c>
      <c r="W38" s="503">
        <f t="shared" si="117"/>
        <v>0</v>
      </c>
      <c r="X38" s="501"/>
      <c r="Y38" s="502">
        <f t="shared" si="6"/>
        <v>0</v>
      </c>
      <c r="Z38" s="503">
        <f t="shared" si="118"/>
        <v>0</v>
      </c>
      <c r="AA38" s="501"/>
      <c r="AB38" s="502">
        <f t="shared" si="7"/>
        <v>0</v>
      </c>
      <c r="AC38" s="503">
        <f t="shared" si="119"/>
        <v>0</v>
      </c>
      <c r="AD38" s="501"/>
      <c r="AE38" s="502">
        <f t="shared" si="8"/>
        <v>0</v>
      </c>
      <c r="AF38" s="503">
        <f t="shared" si="120"/>
        <v>0</v>
      </c>
      <c r="AG38" s="501"/>
      <c r="AH38" s="502">
        <f t="shared" si="9"/>
        <v>0</v>
      </c>
      <c r="AI38" s="503">
        <f t="shared" si="121"/>
        <v>0</v>
      </c>
      <c r="AJ38" s="501"/>
      <c r="AK38" s="502">
        <f t="shared" si="10"/>
        <v>0</v>
      </c>
      <c r="AL38" s="503">
        <f t="shared" si="122"/>
        <v>0</v>
      </c>
      <c r="AM38" s="501">
        <v>72.115384615384528</v>
      </c>
      <c r="AN38" s="502">
        <f t="shared" si="11"/>
        <v>1.6742207506937952</v>
      </c>
      <c r="AO38" s="503">
        <f t="shared" si="123"/>
        <v>0</v>
      </c>
      <c r="AP38" s="501">
        <v>0</v>
      </c>
      <c r="AQ38" s="502">
        <f t="shared" si="12"/>
        <v>0</v>
      </c>
      <c r="AR38" s="503">
        <f t="shared" si="124"/>
        <v>0</v>
      </c>
      <c r="AS38" s="501"/>
      <c r="AT38" s="502">
        <f t="shared" si="13"/>
        <v>0</v>
      </c>
      <c r="AU38" s="503">
        <f t="shared" si="125"/>
        <v>0</v>
      </c>
      <c r="AV38" s="501">
        <v>5.5500000000000114</v>
      </c>
      <c r="AW38" s="502">
        <f t="shared" si="14"/>
        <v>0.1288480289733949</v>
      </c>
      <c r="AX38" s="503">
        <f t="shared" si="126"/>
        <v>0</v>
      </c>
      <c r="AY38" s="501">
        <v>74.666666666666629</v>
      </c>
      <c r="AZ38" s="502">
        <f t="shared" si="15"/>
        <v>1.7334509603627857</v>
      </c>
      <c r="BA38" s="503">
        <f t="shared" si="127"/>
        <v>0</v>
      </c>
      <c r="BB38" s="501"/>
      <c r="BC38" s="502">
        <f t="shared" si="16"/>
        <v>0</v>
      </c>
      <c r="BD38" s="503">
        <f t="shared" si="128"/>
        <v>0</v>
      </c>
      <c r="BE38" s="501"/>
      <c r="BF38" s="502">
        <f t="shared" si="17"/>
        <v>0</v>
      </c>
      <c r="BG38" s="503">
        <f t="shared" si="129"/>
        <v>0</v>
      </c>
      <c r="BH38" s="501"/>
      <c r="BI38" s="502">
        <f t="shared" si="18"/>
        <v>0</v>
      </c>
      <c r="BJ38" s="503">
        <f t="shared" si="130"/>
        <v>0</v>
      </c>
      <c r="BK38" s="501"/>
      <c r="BL38" s="502">
        <f t="shared" si="19"/>
        <v>0</v>
      </c>
      <c r="BM38" s="503">
        <f t="shared" si="131"/>
        <v>0</v>
      </c>
      <c r="BN38" s="501">
        <v>32.901234567901213</v>
      </c>
      <c r="BO38" s="502">
        <f t="shared" si="20"/>
        <v>0.76383049096673661</v>
      </c>
      <c r="BP38" s="503">
        <f t="shared" si="132"/>
        <v>0</v>
      </c>
      <c r="BQ38" s="501">
        <v>0</v>
      </c>
      <c r="BR38" s="502">
        <f t="shared" si="21"/>
        <v>0</v>
      </c>
      <c r="BS38" s="503">
        <f t="shared" si="133"/>
        <v>0</v>
      </c>
      <c r="BT38" s="501"/>
      <c r="BU38" s="502">
        <f t="shared" si="22"/>
        <v>0</v>
      </c>
      <c r="BV38" s="503">
        <f t="shared" si="134"/>
        <v>0</v>
      </c>
      <c r="BW38" s="501"/>
      <c r="BX38" s="502">
        <f t="shared" si="23"/>
        <v>0</v>
      </c>
      <c r="BY38" s="503">
        <f t="shared" si="135"/>
        <v>0</v>
      </c>
      <c r="BZ38" s="501"/>
      <c r="CA38" s="502">
        <f t="shared" si="24"/>
        <v>0</v>
      </c>
      <c r="CB38" s="503">
        <f t="shared" si="136"/>
        <v>0</v>
      </c>
      <c r="CC38" s="501"/>
      <c r="CD38" s="502">
        <f t="shared" si="25"/>
        <v>0</v>
      </c>
      <c r="CE38" s="503">
        <f t="shared" si="137"/>
        <v>0</v>
      </c>
      <c r="CF38" s="501">
        <v>7</v>
      </c>
      <c r="CG38" s="502">
        <f t="shared" si="26"/>
        <v>0.16251102753401125</v>
      </c>
      <c r="CH38" s="503">
        <f t="shared" si="138"/>
        <v>0</v>
      </c>
      <c r="CI38" s="501"/>
      <c r="CJ38" s="502">
        <f t="shared" si="27"/>
        <v>0</v>
      </c>
      <c r="CK38" s="503">
        <f t="shared" si="139"/>
        <v>0</v>
      </c>
      <c r="CL38" s="501"/>
      <c r="CM38" s="502">
        <f t="shared" si="28"/>
        <v>0</v>
      </c>
      <c r="CN38" s="503">
        <f t="shared" si="140"/>
        <v>0</v>
      </c>
      <c r="CO38" s="501"/>
      <c r="CP38" s="502">
        <f t="shared" si="29"/>
        <v>0</v>
      </c>
      <c r="CQ38" s="503">
        <f t="shared" si="141"/>
        <v>0</v>
      </c>
      <c r="CR38" s="501"/>
      <c r="CS38" s="502">
        <f t="shared" si="30"/>
        <v>0</v>
      </c>
      <c r="CT38" s="503">
        <f t="shared" si="142"/>
        <v>0</v>
      </c>
      <c r="CU38" s="501"/>
      <c r="CV38" s="502">
        <f t="shared" si="31"/>
        <v>0</v>
      </c>
      <c r="CW38" s="503">
        <f t="shared" si="143"/>
        <v>0</v>
      </c>
      <c r="CX38" s="501"/>
      <c r="CY38" s="502">
        <f t="shared" si="32"/>
        <v>0</v>
      </c>
      <c r="CZ38" s="503">
        <f t="shared" si="144"/>
        <v>0</v>
      </c>
      <c r="DA38" s="501">
        <v>0</v>
      </c>
      <c r="DB38" s="502">
        <f t="shared" si="33"/>
        <v>0</v>
      </c>
      <c r="DC38" s="503">
        <f t="shared" si="145"/>
        <v>0</v>
      </c>
      <c r="DD38" s="501"/>
      <c r="DE38" s="502">
        <f t="shared" si="34"/>
        <v>0</v>
      </c>
      <c r="DF38" s="503">
        <f t="shared" si="146"/>
        <v>0</v>
      </c>
      <c r="DG38" s="501"/>
      <c r="DH38" s="502">
        <f t="shared" si="35"/>
        <v>0</v>
      </c>
      <c r="DI38" s="503">
        <f t="shared" si="203"/>
        <v>0</v>
      </c>
      <c r="DJ38" s="501"/>
      <c r="DK38" s="502">
        <f t="shared" si="36"/>
        <v>0</v>
      </c>
      <c r="DL38" s="503">
        <f t="shared" si="147"/>
        <v>0</v>
      </c>
      <c r="DM38" s="501"/>
      <c r="DN38" s="502">
        <f t="shared" si="37"/>
        <v>0</v>
      </c>
      <c r="DO38" s="503">
        <f t="shared" si="148"/>
        <v>0</v>
      </c>
      <c r="DP38" s="501"/>
      <c r="DQ38" s="502">
        <f t="shared" si="38"/>
        <v>0</v>
      </c>
      <c r="DR38" s="503">
        <f t="shared" si="149"/>
        <v>0</v>
      </c>
      <c r="DS38" s="501"/>
      <c r="DT38" s="502">
        <f t="shared" si="39"/>
        <v>0</v>
      </c>
      <c r="DU38" s="503">
        <f t="shared" si="150"/>
        <v>0</v>
      </c>
      <c r="DV38" s="501"/>
      <c r="DW38" s="502">
        <f t="shared" si="40"/>
        <v>0</v>
      </c>
      <c r="DX38" s="503">
        <f t="shared" si="151"/>
        <v>0</v>
      </c>
      <c r="DY38" s="501">
        <v>0</v>
      </c>
      <c r="DZ38" s="502">
        <f t="shared" si="41"/>
        <v>0</v>
      </c>
      <c r="EA38" s="503">
        <f t="shared" si="152"/>
        <v>0</v>
      </c>
      <c r="EB38" s="501">
        <v>7.2674418604651407</v>
      </c>
      <c r="EC38" s="502">
        <f t="shared" si="42"/>
        <v>0.16871992061255378</v>
      </c>
      <c r="ED38" s="503">
        <f t="shared" si="153"/>
        <v>0</v>
      </c>
      <c r="EE38" s="501">
        <v>2</v>
      </c>
      <c r="EF38" s="502">
        <f t="shared" si="43"/>
        <v>4.6431722152574642E-2</v>
      </c>
      <c r="EG38" s="503">
        <f t="shared" si="154"/>
        <v>0</v>
      </c>
      <c r="EH38" s="501"/>
      <c r="EI38" s="502">
        <f t="shared" si="44"/>
        <v>0</v>
      </c>
      <c r="EJ38" s="503">
        <f t="shared" si="155"/>
        <v>0</v>
      </c>
      <c r="EK38" s="501"/>
      <c r="EL38" s="502">
        <f t="shared" si="45"/>
        <v>0</v>
      </c>
      <c r="EM38" s="503">
        <f t="shared" si="156"/>
        <v>0</v>
      </c>
      <c r="EN38" s="501"/>
      <c r="EO38" s="502">
        <f t="shared" si="46"/>
        <v>0</v>
      </c>
      <c r="EP38" s="503">
        <f t="shared" si="157"/>
        <v>0</v>
      </c>
      <c r="EQ38" s="501"/>
      <c r="ER38" s="502">
        <f t="shared" si="47"/>
        <v>0</v>
      </c>
      <c r="ES38" s="503">
        <f t="shared" si="158"/>
        <v>0</v>
      </c>
      <c r="ET38" s="501"/>
      <c r="EU38" s="502">
        <f t="shared" si="48"/>
        <v>0</v>
      </c>
      <c r="EV38" s="503">
        <f t="shared" si="159"/>
        <v>0</v>
      </c>
      <c r="EW38" s="501"/>
      <c r="EX38" s="502">
        <f t="shared" si="49"/>
        <v>0</v>
      </c>
      <c r="EY38" s="503">
        <f t="shared" si="160"/>
        <v>0</v>
      </c>
      <c r="EZ38" s="501"/>
      <c r="FA38" s="502">
        <f t="shared" si="50"/>
        <v>0</v>
      </c>
      <c r="FB38" s="503">
        <f t="shared" si="161"/>
        <v>0</v>
      </c>
      <c r="FC38" s="501"/>
      <c r="FD38" s="502">
        <f t="shared" si="51"/>
        <v>0</v>
      </c>
      <c r="FE38" s="503">
        <f t="shared" si="162"/>
        <v>0</v>
      </c>
      <c r="FF38" s="501"/>
      <c r="FG38" s="502">
        <f t="shared" si="52"/>
        <v>0</v>
      </c>
      <c r="FH38" s="503">
        <f t="shared" si="163"/>
        <v>0</v>
      </c>
      <c r="FI38" s="501"/>
      <c r="FJ38" s="502">
        <f t="shared" si="53"/>
        <v>0</v>
      </c>
      <c r="FK38" s="503">
        <f t="shared" si="164"/>
        <v>0</v>
      </c>
      <c r="FL38" s="501"/>
      <c r="FM38" s="502">
        <f t="shared" si="54"/>
        <v>0</v>
      </c>
      <c r="FN38" s="503">
        <f t="shared" si="165"/>
        <v>0</v>
      </c>
      <c r="FO38" s="501"/>
      <c r="FP38" s="502">
        <f t="shared" si="55"/>
        <v>0</v>
      </c>
      <c r="FQ38" s="503">
        <f t="shared" si="166"/>
        <v>0</v>
      </c>
      <c r="FR38" s="501"/>
      <c r="FS38" s="502">
        <f t="shared" si="56"/>
        <v>0</v>
      </c>
      <c r="FT38" s="503">
        <f t="shared" si="167"/>
        <v>0</v>
      </c>
      <c r="FU38" s="501"/>
      <c r="FV38" s="502">
        <f t="shared" si="57"/>
        <v>0</v>
      </c>
      <c r="FW38" s="503">
        <f t="shared" si="168"/>
        <v>0</v>
      </c>
      <c r="FX38" s="501"/>
      <c r="FY38" s="502">
        <f t="shared" si="58"/>
        <v>0</v>
      </c>
      <c r="FZ38" s="503">
        <f t="shared" si="169"/>
        <v>0</v>
      </c>
      <c r="GA38" s="501"/>
      <c r="GB38" s="502">
        <f t="shared" si="59"/>
        <v>0</v>
      </c>
      <c r="GC38" s="503">
        <f t="shared" si="170"/>
        <v>0</v>
      </c>
      <c r="GD38" s="501"/>
      <c r="GE38" s="502">
        <f t="shared" si="60"/>
        <v>0</v>
      </c>
      <c r="GF38" s="503">
        <f t="shared" si="171"/>
        <v>0</v>
      </c>
      <c r="GG38" s="501"/>
      <c r="GH38" s="502">
        <f t="shared" si="61"/>
        <v>0</v>
      </c>
      <c r="GI38" s="503">
        <f t="shared" si="172"/>
        <v>0</v>
      </c>
      <c r="GJ38" s="501"/>
      <c r="GK38" s="502">
        <f t="shared" si="62"/>
        <v>0</v>
      </c>
      <c r="GL38" s="503">
        <f t="shared" si="173"/>
        <v>0</v>
      </c>
      <c r="GM38" s="501"/>
      <c r="GN38" s="502">
        <f t="shared" si="63"/>
        <v>0</v>
      </c>
      <c r="GO38" s="503">
        <f t="shared" si="174"/>
        <v>0</v>
      </c>
      <c r="GP38" s="501"/>
      <c r="GQ38" s="502">
        <f t="shared" si="64"/>
        <v>0</v>
      </c>
      <c r="GR38" s="503">
        <f t="shared" si="175"/>
        <v>0</v>
      </c>
      <c r="GS38" s="501"/>
      <c r="GT38" s="502">
        <f t="shared" si="65"/>
        <v>0</v>
      </c>
      <c r="GU38" s="503">
        <f t="shared" si="176"/>
        <v>0</v>
      </c>
      <c r="GV38" s="501"/>
      <c r="GW38" s="502">
        <f t="shared" si="66"/>
        <v>0</v>
      </c>
      <c r="GX38" s="503">
        <f t="shared" si="177"/>
        <v>0</v>
      </c>
      <c r="GY38" s="501"/>
      <c r="GZ38" s="502">
        <f t="shared" si="67"/>
        <v>0</v>
      </c>
      <c r="HA38" s="503">
        <f t="shared" si="178"/>
        <v>0</v>
      </c>
      <c r="HB38" s="501"/>
      <c r="HC38" s="502">
        <f t="shared" si="68"/>
        <v>0</v>
      </c>
      <c r="HD38" s="503">
        <f t="shared" si="179"/>
        <v>0</v>
      </c>
      <c r="HE38" s="501"/>
      <c r="HF38" s="502">
        <f t="shared" si="69"/>
        <v>0</v>
      </c>
      <c r="HG38" s="503">
        <f t="shared" si="180"/>
        <v>0</v>
      </c>
      <c r="HH38" s="501"/>
      <c r="HI38" s="502">
        <f t="shared" si="70"/>
        <v>0</v>
      </c>
      <c r="HJ38" s="503">
        <f t="shared" si="181"/>
        <v>0</v>
      </c>
      <c r="HK38" s="501"/>
      <c r="HL38" s="502">
        <f t="shared" si="71"/>
        <v>0</v>
      </c>
      <c r="HM38" s="503">
        <f t="shared" si="182"/>
        <v>0</v>
      </c>
      <c r="HN38" s="501"/>
      <c r="HO38" s="502">
        <f t="shared" si="72"/>
        <v>0</v>
      </c>
      <c r="HP38" s="503">
        <f t="shared" si="183"/>
        <v>0</v>
      </c>
      <c r="HQ38" s="501"/>
      <c r="HR38" s="502">
        <f t="shared" si="73"/>
        <v>0</v>
      </c>
      <c r="HS38" s="503">
        <f t="shared" si="184"/>
        <v>0</v>
      </c>
      <c r="HT38" s="501"/>
      <c r="HU38" s="502">
        <f t="shared" si="74"/>
        <v>0</v>
      </c>
      <c r="HV38" s="503">
        <f t="shared" si="185"/>
        <v>0</v>
      </c>
      <c r="HW38" s="501"/>
      <c r="HX38" s="502">
        <f t="shared" si="75"/>
        <v>0</v>
      </c>
      <c r="HY38" s="503">
        <f t="shared" si="186"/>
        <v>0</v>
      </c>
      <c r="HZ38" s="501"/>
      <c r="IA38" s="502">
        <f t="shared" si="76"/>
        <v>0</v>
      </c>
      <c r="IB38" s="503">
        <f t="shared" si="187"/>
        <v>0</v>
      </c>
      <c r="IC38" s="501"/>
      <c r="ID38" s="502">
        <f t="shared" si="77"/>
        <v>0</v>
      </c>
      <c r="IE38" s="503">
        <f t="shared" si="188"/>
        <v>0</v>
      </c>
      <c r="IF38" s="501"/>
      <c r="IG38" s="502">
        <f t="shared" si="78"/>
        <v>0</v>
      </c>
      <c r="IH38" s="503">
        <f t="shared" si="189"/>
        <v>0</v>
      </c>
      <c r="II38" s="501"/>
      <c r="IJ38" s="502">
        <f t="shared" si="79"/>
        <v>0</v>
      </c>
      <c r="IK38" s="503">
        <f t="shared" si="190"/>
        <v>0</v>
      </c>
      <c r="IL38" s="501"/>
      <c r="IM38" s="502">
        <f t="shared" si="80"/>
        <v>0</v>
      </c>
      <c r="IN38" s="503">
        <f t="shared" si="191"/>
        <v>0</v>
      </c>
      <c r="IO38" s="501"/>
      <c r="IP38" s="502">
        <f t="shared" si="81"/>
        <v>0</v>
      </c>
      <c r="IQ38" s="503">
        <f t="shared" si="192"/>
        <v>0</v>
      </c>
      <c r="IR38" s="501"/>
      <c r="IS38" s="502">
        <f t="shared" si="82"/>
        <v>0</v>
      </c>
      <c r="IT38" s="503">
        <f t="shared" si="193"/>
        <v>0</v>
      </c>
      <c r="IU38" s="501"/>
      <c r="IV38" s="502">
        <f t="shared" si="83"/>
        <v>0</v>
      </c>
      <c r="IW38" s="503">
        <f t="shared" si="194"/>
        <v>0</v>
      </c>
      <c r="IX38" s="501"/>
      <c r="IY38" s="502">
        <f t="shared" si="84"/>
        <v>0</v>
      </c>
      <c r="IZ38" s="503">
        <f t="shared" si="195"/>
        <v>0</v>
      </c>
      <c r="JA38" s="501"/>
      <c r="JB38" s="502">
        <f t="shared" si="85"/>
        <v>0</v>
      </c>
      <c r="JC38" s="503">
        <f t="shared" si="196"/>
        <v>0</v>
      </c>
      <c r="JD38" s="501"/>
      <c r="JE38" s="502">
        <f t="shared" si="86"/>
        <v>0</v>
      </c>
      <c r="JF38" s="503">
        <f t="shared" si="197"/>
        <v>0</v>
      </c>
      <c r="JG38" s="501"/>
      <c r="JH38" s="502">
        <f t="shared" si="87"/>
        <v>0</v>
      </c>
      <c r="JI38" s="503">
        <f t="shared" si="198"/>
        <v>0</v>
      </c>
      <c r="JJ38" s="501"/>
      <c r="JK38" s="503" t="str">
        <f t="shared" si="88"/>
        <v>0</v>
      </c>
      <c r="JL38" s="503" t="str">
        <f t="shared" si="89"/>
        <v>0</v>
      </c>
      <c r="JM38" s="501"/>
      <c r="JN38" s="503" t="str">
        <f t="shared" si="90"/>
        <v>0</v>
      </c>
      <c r="JO38" s="503" t="str">
        <f t="shared" si="91"/>
        <v>0</v>
      </c>
      <c r="JP38" s="501"/>
      <c r="JQ38" s="503" t="str">
        <f t="shared" si="92"/>
        <v>0</v>
      </c>
      <c r="JR38" s="503" t="str">
        <f t="shared" si="93"/>
        <v>0</v>
      </c>
      <c r="JS38" s="501"/>
      <c r="JT38" s="503" t="str">
        <f t="shared" si="94"/>
        <v>0</v>
      </c>
      <c r="JU38" s="503" t="str">
        <f t="shared" si="95"/>
        <v>0</v>
      </c>
      <c r="JV38" s="501"/>
      <c r="JW38" s="503" t="str">
        <f t="shared" si="96"/>
        <v>0</v>
      </c>
      <c r="JX38" s="503" t="str">
        <f t="shared" si="97"/>
        <v>0</v>
      </c>
      <c r="JY38" s="501"/>
      <c r="JZ38" s="503" t="str">
        <f t="shared" si="98"/>
        <v>0</v>
      </c>
      <c r="KA38" s="503" t="str">
        <f t="shared" si="99"/>
        <v>0</v>
      </c>
      <c r="KB38" s="501"/>
      <c r="KC38" s="503" t="str">
        <f t="shared" si="100"/>
        <v>0</v>
      </c>
      <c r="KD38" s="503" t="str">
        <f t="shared" si="101"/>
        <v>0</v>
      </c>
      <c r="KE38" s="501"/>
      <c r="KF38" s="503" t="str">
        <f t="shared" si="102"/>
        <v>0</v>
      </c>
      <c r="KG38" s="503" t="str">
        <f t="shared" si="103"/>
        <v>0</v>
      </c>
      <c r="KH38" s="501"/>
      <c r="KI38" s="503" t="str">
        <f t="shared" si="104"/>
        <v>0</v>
      </c>
      <c r="KJ38" s="503" t="str">
        <f t="shared" si="105"/>
        <v>0</v>
      </c>
      <c r="KK38" s="501"/>
      <c r="KL38" s="503" t="str">
        <f t="shared" si="106"/>
        <v>0</v>
      </c>
      <c r="KM38" s="503" t="str">
        <f t="shared" si="107"/>
        <v>0</v>
      </c>
      <c r="KN38" s="501"/>
      <c r="KO38" s="503" t="str">
        <f t="shared" si="108"/>
        <v>0</v>
      </c>
      <c r="KP38" s="503" t="str">
        <f t="shared" si="109"/>
        <v>0</v>
      </c>
      <c r="KQ38" s="501"/>
      <c r="KR38" s="503" t="str">
        <f t="shared" si="110"/>
        <v>0</v>
      </c>
      <c r="KS38" s="503" t="str">
        <f t="shared" si="111"/>
        <v>0</v>
      </c>
      <c r="KT38" s="503">
        <f t="shared" si="201"/>
        <v>0</v>
      </c>
      <c r="KU38" s="503">
        <f t="shared" si="202"/>
        <v>0</v>
      </c>
      <c r="KV38" s="264">
        <f t="shared" si="199"/>
        <v>562.08503003599913</v>
      </c>
    </row>
    <row r="39" spans="1:308" ht="15" customHeight="1">
      <c r="A39" s="266">
        <f t="shared" si="200"/>
        <v>45960</v>
      </c>
      <c r="B39" s="267" t="str">
        <f>+Report1!B38</f>
        <v>Facial/Toilet</v>
      </c>
      <c r="C39" s="395" t="str">
        <f>+Report1!C38</f>
        <v>12/12,5</v>
      </c>
      <c r="D39" s="268">
        <f>+Report1!P38</f>
        <v>48.623000000000005</v>
      </c>
      <c r="E39" s="269">
        <f>+Report1!R38</f>
        <v>38.984000000000002</v>
      </c>
      <c r="F39" s="501">
        <v>0</v>
      </c>
      <c r="G39" s="502">
        <f t="shared" si="0"/>
        <v>0</v>
      </c>
      <c r="H39" s="503">
        <f t="shared" si="112"/>
        <v>0</v>
      </c>
      <c r="I39" s="501">
        <v>232.55813953488382</v>
      </c>
      <c r="J39" s="502">
        <f t="shared" si="1"/>
        <v>5.9654765938560388</v>
      </c>
      <c r="K39" s="503">
        <f t="shared" si="113"/>
        <v>0</v>
      </c>
      <c r="L39" s="501"/>
      <c r="M39" s="502">
        <f t="shared" si="2"/>
        <v>0</v>
      </c>
      <c r="N39" s="503">
        <f t="shared" si="114"/>
        <v>0</v>
      </c>
      <c r="O39" s="501">
        <v>9.0000000000000071</v>
      </c>
      <c r="P39" s="502">
        <f t="shared" si="3"/>
        <v>0.23086394418222878</v>
      </c>
      <c r="Q39" s="503">
        <f t="shared" si="115"/>
        <v>0</v>
      </c>
      <c r="R39" s="501">
        <v>5.1249999999999858</v>
      </c>
      <c r="S39" s="502">
        <f t="shared" si="4"/>
        <v>0.13146419043710203</v>
      </c>
      <c r="T39" s="503">
        <f t="shared" si="116"/>
        <v>0</v>
      </c>
      <c r="U39" s="501">
        <v>6.25</v>
      </c>
      <c r="V39" s="502">
        <f t="shared" si="5"/>
        <v>0.16032218345988097</v>
      </c>
      <c r="W39" s="503">
        <f t="shared" si="117"/>
        <v>0</v>
      </c>
      <c r="X39" s="501"/>
      <c r="Y39" s="502">
        <f t="shared" si="6"/>
        <v>0</v>
      </c>
      <c r="Z39" s="503">
        <f t="shared" si="118"/>
        <v>0</v>
      </c>
      <c r="AA39" s="501"/>
      <c r="AB39" s="502">
        <f t="shared" si="7"/>
        <v>0</v>
      </c>
      <c r="AC39" s="503">
        <f t="shared" si="119"/>
        <v>0</v>
      </c>
      <c r="AD39" s="501"/>
      <c r="AE39" s="502">
        <f t="shared" si="8"/>
        <v>0</v>
      </c>
      <c r="AF39" s="503">
        <f t="shared" si="120"/>
        <v>0</v>
      </c>
      <c r="AG39" s="501"/>
      <c r="AH39" s="502">
        <f t="shared" si="9"/>
        <v>0</v>
      </c>
      <c r="AI39" s="503">
        <f t="shared" si="121"/>
        <v>0</v>
      </c>
      <c r="AJ39" s="501"/>
      <c r="AK39" s="502">
        <f t="shared" si="10"/>
        <v>0</v>
      </c>
      <c r="AL39" s="503">
        <f t="shared" si="122"/>
        <v>0</v>
      </c>
      <c r="AM39" s="501">
        <v>23.076923076923094</v>
      </c>
      <c r="AN39" s="502">
        <f t="shared" si="11"/>
        <v>0.59195883123648407</v>
      </c>
      <c r="AO39" s="503">
        <f t="shared" si="123"/>
        <v>0</v>
      </c>
      <c r="AP39" s="501">
        <v>0</v>
      </c>
      <c r="AQ39" s="502">
        <f t="shared" si="12"/>
        <v>0</v>
      </c>
      <c r="AR39" s="503">
        <f t="shared" si="124"/>
        <v>0</v>
      </c>
      <c r="AS39" s="501"/>
      <c r="AT39" s="502">
        <f t="shared" si="13"/>
        <v>0</v>
      </c>
      <c r="AU39" s="503">
        <f t="shared" si="125"/>
        <v>0</v>
      </c>
      <c r="AV39" s="501">
        <v>13.875000000000057</v>
      </c>
      <c r="AW39" s="502">
        <f t="shared" si="14"/>
        <v>0.35591524728093721</v>
      </c>
      <c r="AX39" s="503">
        <f t="shared" si="126"/>
        <v>0</v>
      </c>
      <c r="AY39" s="501">
        <v>60.666666666666686</v>
      </c>
      <c r="AZ39" s="502">
        <f t="shared" si="15"/>
        <v>1.5561939941172451</v>
      </c>
      <c r="BA39" s="503">
        <f t="shared" si="127"/>
        <v>0</v>
      </c>
      <c r="BB39" s="501"/>
      <c r="BC39" s="502">
        <f t="shared" si="16"/>
        <v>0</v>
      </c>
      <c r="BD39" s="503">
        <f t="shared" si="128"/>
        <v>0</v>
      </c>
      <c r="BE39" s="501"/>
      <c r="BF39" s="502">
        <f t="shared" si="17"/>
        <v>0</v>
      </c>
      <c r="BG39" s="503">
        <f t="shared" si="129"/>
        <v>0</v>
      </c>
      <c r="BH39" s="501"/>
      <c r="BI39" s="502">
        <f t="shared" si="18"/>
        <v>0</v>
      </c>
      <c r="BJ39" s="503">
        <f t="shared" si="130"/>
        <v>0</v>
      </c>
      <c r="BK39" s="501"/>
      <c r="BL39" s="502">
        <f t="shared" si="19"/>
        <v>0</v>
      </c>
      <c r="BM39" s="503">
        <f t="shared" si="131"/>
        <v>0</v>
      </c>
      <c r="BN39" s="501">
        <v>27.839506172839521</v>
      </c>
      <c r="BO39" s="502">
        <f t="shared" si="20"/>
        <v>0.71412646657191459</v>
      </c>
      <c r="BP39" s="503">
        <f t="shared" si="132"/>
        <v>0</v>
      </c>
      <c r="BQ39" s="501">
        <v>0</v>
      </c>
      <c r="BR39" s="502">
        <f t="shared" si="21"/>
        <v>0</v>
      </c>
      <c r="BS39" s="503">
        <f t="shared" si="133"/>
        <v>0</v>
      </c>
      <c r="BT39" s="501"/>
      <c r="BU39" s="502">
        <f t="shared" si="22"/>
        <v>0</v>
      </c>
      <c r="BV39" s="503">
        <f t="shared" si="134"/>
        <v>0</v>
      </c>
      <c r="BW39" s="501"/>
      <c r="BX39" s="502">
        <f t="shared" si="23"/>
        <v>0</v>
      </c>
      <c r="BY39" s="503">
        <f t="shared" si="135"/>
        <v>0</v>
      </c>
      <c r="BZ39" s="501"/>
      <c r="CA39" s="502">
        <f t="shared" si="24"/>
        <v>0</v>
      </c>
      <c r="CB39" s="503">
        <f t="shared" si="136"/>
        <v>0</v>
      </c>
      <c r="CC39" s="501"/>
      <c r="CD39" s="502">
        <f t="shared" si="25"/>
        <v>0</v>
      </c>
      <c r="CE39" s="503">
        <f t="shared" si="137"/>
        <v>0</v>
      </c>
      <c r="CF39" s="501">
        <v>7</v>
      </c>
      <c r="CG39" s="502">
        <f t="shared" si="26"/>
        <v>0.17956084547506668</v>
      </c>
      <c r="CH39" s="503">
        <f t="shared" si="138"/>
        <v>0</v>
      </c>
      <c r="CI39" s="501"/>
      <c r="CJ39" s="502">
        <f t="shared" si="27"/>
        <v>0</v>
      </c>
      <c r="CK39" s="503">
        <f t="shared" si="139"/>
        <v>0</v>
      </c>
      <c r="CL39" s="501"/>
      <c r="CM39" s="502">
        <f t="shared" si="28"/>
        <v>0</v>
      </c>
      <c r="CN39" s="503">
        <f t="shared" si="140"/>
        <v>0</v>
      </c>
      <c r="CO39" s="501"/>
      <c r="CP39" s="502">
        <f t="shared" si="29"/>
        <v>0</v>
      </c>
      <c r="CQ39" s="503">
        <f t="shared" si="141"/>
        <v>0</v>
      </c>
      <c r="CR39" s="501"/>
      <c r="CS39" s="502">
        <f t="shared" si="30"/>
        <v>0</v>
      </c>
      <c r="CT39" s="503">
        <f t="shared" si="142"/>
        <v>0</v>
      </c>
      <c r="CU39" s="501"/>
      <c r="CV39" s="502">
        <f t="shared" si="31"/>
        <v>0</v>
      </c>
      <c r="CW39" s="503">
        <f t="shared" si="143"/>
        <v>0</v>
      </c>
      <c r="CX39" s="501"/>
      <c r="CY39" s="502">
        <f t="shared" si="32"/>
        <v>0</v>
      </c>
      <c r="CZ39" s="503">
        <f t="shared" si="144"/>
        <v>0</v>
      </c>
      <c r="DA39" s="501">
        <v>0</v>
      </c>
      <c r="DB39" s="502">
        <f t="shared" si="33"/>
        <v>0</v>
      </c>
      <c r="DC39" s="503">
        <f t="shared" si="145"/>
        <v>0</v>
      </c>
      <c r="DD39" s="501"/>
      <c r="DE39" s="502">
        <f t="shared" si="34"/>
        <v>0</v>
      </c>
      <c r="DF39" s="503">
        <f t="shared" si="146"/>
        <v>0</v>
      </c>
      <c r="DG39" s="501"/>
      <c r="DH39" s="502">
        <f t="shared" si="35"/>
        <v>0</v>
      </c>
      <c r="DI39" s="503">
        <f t="shared" si="203"/>
        <v>0</v>
      </c>
      <c r="DJ39" s="501"/>
      <c r="DK39" s="502">
        <f t="shared" si="36"/>
        <v>0</v>
      </c>
      <c r="DL39" s="503">
        <f t="shared" si="147"/>
        <v>0</v>
      </c>
      <c r="DM39" s="501"/>
      <c r="DN39" s="502">
        <f t="shared" si="37"/>
        <v>0</v>
      </c>
      <c r="DO39" s="503">
        <f t="shared" si="148"/>
        <v>0</v>
      </c>
      <c r="DP39" s="501"/>
      <c r="DQ39" s="502">
        <f t="shared" si="38"/>
        <v>0</v>
      </c>
      <c r="DR39" s="503">
        <f t="shared" si="149"/>
        <v>0</v>
      </c>
      <c r="DS39" s="501"/>
      <c r="DT39" s="502">
        <f t="shared" si="39"/>
        <v>0</v>
      </c>
      <c r="DU39" s="503">
        <f t="shared" si="150"/>
        <v>0</v>
      </c>
      <c r="DV39" s="501"/>
      <c r="DW39" s="502">
        <f t="shared" si="40"/>
        <v>0</v>
      </c>
      <c r="DX39" s="503">
        <f t="shared" si="151"/>
        <v>0</v>
      </c>
      <c r="DY39" s="501">
        <v>0</v>
      </c>
      <c r="DZ39" s="502">
        <f t="shared" si="41"/>
        <v>0</v>
      </c>
      <c r="EA39" s="503">
        <f t="shared" si="152"/>
        <v>0</v>
      </c>
      <c r="EB39" s="501">
        <v>14.534883720930225</v>
      </c>
      <c r="EC39" s="502">
        <f t="shared" si="42"/>
        <v>0.37284228711600204</v>
      </c>
      <c r="ED39" s="503">
        <f t="shared" si="153"/>
        <v>0</v>
      </c>
      <c r="EE39" s="501">
        <v>2</v>
      </c>
      <c r="EF39" s="502">
        <f t="shared" si="43"/>
        <v>5.1303098707161911E-2</v>
      </c>
      <c r="EG39" s="503">
        <f t="shared" si="154"/>
        <v>0</v>
      </c>
      <c r="EH39" s="501"/>
      <c r="EI39" s="502">
        <f t="shared" si="44"/>
        <v>0</v>
      </c>
      <c r="EJ39" s="503">
        <f t="shared" si="155"/>
        <v>0</v>
      </c>
      <c r="EK39" s="501"/>
      <c r="EL39" s="502">
        <f t="shared" si="45"/>
        <v>0</v>
      </c>
      <c r="EM39" s="503">
        <f t="shared" si="156"/>
        <v>0</v>
      </c>
      <c r="EN39" s="501"/>
      <c r="EO39" s="502">
        <f t="shared" si="46"/>
        <v>0</v>
      </c>
      <c r="EP39" s="503">
        <f t="shared" si="157"/>
        <v>0</v>
      </c>
      <c r="EQ39" s="501"/>
      <c r="ER39" s="502">
        <f t="shared" si="47"/>
        <v>0</v>
      </c>
      <c r="ES39" s="503">
        <f t="shared" si="158"/>
        <v>0</v>
      </c>
      <c r="ET39" s="501"/>
      <c r="EU39" s="502">
        <f t="shared" si="48"/>
        <v>0</v>
      </c>
      <c r="EV39" s="503">
        <f t="shared" si="159"/>
        <v>0</v>
      </c>
      <c r="EW39" s="501"/>
      <c r="EX39" s="502">
        <f t="shared" si="49"/>
        <v>0</v>
      </c>
      <c r="EY39" s="503">
        <f t="shared" si="160"/>
        <v>0</v>
      </c>
      <c r="EZ39" s="501"/>
      <c r="FA39" s="502">
        <f t="shared" si="50"/>
        <v>0</v>
      </c>
      <c r="FB39" s="503">
        <f t="shared" si="161"/>
        <v>0</v>
      </c>
      <c r="FC39" s="501"/>
      <c r="FD39" s="502">
        <f t="shared" si="51"/>
        <v>0</v>
      </c>
      <c r="FE39" s="503">
        <f t="shared" si="162"/>
        <v>0</v>
      </c>
      <c r="FF39" s="501"/>
      <c r="FG39" s="502">
        <f t="shared" si="52"/>
        <v>0</v>
      </c>
      <c r="FH39" s="503">
        <f t="shared" si="163"/>
        <v>0</v>
      </c>
      <c r="FI39" s="501"/>
      <c r="FJ39" s="502">
        <f t="shared" si="53"/>
        <v>0</v>
      </c>
      <c r="FK39" s="503">
        <f t="shared" si="164"/>
        <v>0</v>
      </c>
      <c r="FL39" s="501"/>
      <c r="FM39" s="502">
        <f t="shared" si="54"/>
        <v>0</v>
      </c>
      <c r="FN39" s="503">
        <f t="shared" si="165"/>
        <v>0</v>
      </c>
      <c r="FO39" s="501"/>
      <c r="FP39" s="502">
        <f t="shared" si="55"/>
        <v>0</v>
      </c>
      <c r="FQ39" s="503">
        <f t="shared" si="166"/>
        <v>0</v>
      </c>
      <c r="FR39" s="501"/>
      <c r="FS39" s="502">
        <f t="shared" si="56"/>
        <v>0</v>
      </c>
      <c r="FT39" s="503">
        <f t="shared" si="167"/>
        <v>0</v>
      </c>
      <c r="FU39" s="501"/>
      <c r="FV39" s="502">
        <f t="shared" si="57"/>
        <v>0</v>
      </c>
      <c r="FW39" s="503">
        <f t="shared" si="168"/>
        <v>0</v>
      </c>
      <c r="FX39" s="501"/>
      <c r="FY39" s="502">
        <f t="shared" si="58"/>
        <v>0</v>
      </c>
      <c r="FZ39" s="503">
        <f t="shared" si="169"/>
        <v>0</v>
      </c>
      <c r="GA39" s="501"/>
      <c r="GB39" s="502">
        <f t="shared" si="59"/>
        <v>0</v>
      </c>
      <c r="GC39" s="503">
        <f t="shared" si="170"/>
        <v>0</v>
      </c>
      <c r="GD39" s="501"/>
      <c r="GE39" s="502">
        <f t="shared" si="60"/>
        <v>0</v>
      </c>
      <c r="GF39" s="503">
        <f t="shared" si="171"/>
        <v>0</v>
      </c>
      <c r="GG39" s="501"/>
      <c r="GH39" s="502">
        <f t="shared" si="61"/>
        <v>0</v>
      </c>
      <c r="GI39" s="503">
        <f t="shared" si="172"/>
        <v>0</v>
      </c>
      <c r="GJ39" s="501"/>
      <c r="GK39" s="502">
        <f t="shared" si="62"/>
        <v>0</v>
      </c>
      <c r="GL39" s="503">
        <f t="shared" si="173"/>
        <v>0</v>
      </c>
      <c r="GM39" s="501"/>
      <c r="GN39" s="502">
        <f t="shared" si="63"/>
        <v>0</v>
      </c>
      <c r="GO39" s="503">
        <f t="shared" si="174"/>
        <v>0</v>
      </c>
      <c r="GP39" s="501"/>
      <c r="GQ39" s="502">
        <f t="shared" si="64"/>
        <v>0</v>
      </c>
      <c r="GR39" s="503">
        <f t="shared" si="175"/>
        <v>0</v>
      </c>
      <c r="GS39" s="501"/>
      <c r="GT39" s="502">
        <f t="shared" si="65"/>
        <v>0</v>
      </c>
      <c r="GU39" s="503">
        <f t="shared" si="176"/>
        <v>0</v>
      </c>
      <c r="GV39" s="501"/>
      <c r="GW39" s="502">
        <f t="shared" si="66"/>
        <v>0</v>
      </c>
      <c r="GX39" s="503">
        <f t="shared" si="177"/>
        <v>0</v>
      </c>
      <c r="GY39" s="501"/>
      <c r="GZ39" s="502">
        <f t="shared" si="67"/>
        <v>0</v>
      </c>
      <c r="HA39" s="503">
        <f t="shared" si="178"/>
        <v>0</v>
      </c>
      <c r="HB39" s="501"/>
      <c r="HC39" s="502">
        <f t="shared" si="68"/>
        <v>0</v>
      </c>
      <c r="HD39" s="503">
        <f t="shared" si="179"/>
        <v>0</v>
      </c>
      <c r="HE39" s="501"/>
      <c r="HF39" s="502">
        <f t="shared" si="69"/>
        <v>0</v>
      </c>
      <c r="HG39" s="503">
        <f t="shared" si="180"/>
        <v>0</v>
      </c>
      <c r="HH39" s="501"/>
      <c r="HI39" s="502">
        <f t="shared" si="70"/>
        <v>0</v>
      </c>
      <c r="HJ39" s="503">
        <f t="shared" si="181"/>
        <v>0</v>
      </c>
      <c r="HK39" s="501"/>
      <c r="HL39" s="502">
        <f t="shared" si="71"/>
        <v>0</v>
      </c>
      <c r="HM39" s="503">
        <f t="shared" si="182"/>
        <v>0</v>
      </c>
      <c r="HN39" s="501"/>
      <c r="HO39" s="502">
        <f t="shared" si="72"/>
        <v>0</v>
      </c>
      <c r="HP39" s="503">
        <f t="shared" si="183"/>
        <v>0</v>
      </c>
      <c r="HQ39" s="501"/>
      <c r="HR39" s="502">
        <f t="shared" si="73"/>
        <v>0</v>
      </c>
      <c r="HS39" s="503">
        <f t="shared" si="184"/>
        <v>0</v>
      </c>
      <c r="HT39" s="501"/>
      <c r="HU39" s="502">
        <f t="shared" si="74"/>
        <v>0</v>
      </c>
      <c r="HV39" s="503">
        <f t="shared" si="185"/>
        <v>0</v>
      </c>
      <c r="HW39" s="501"/>
      <c r="HX39" s="502">
        <f t="shared" si="75"/>
        <v>0</v>
      </c>
      <c r="HY39" s="503">
        <f t="shared" si="186"/>
        <v>0</v>
      </c>
      <c r="HZ39" s="501"/>
      <c r="IA39" s="502">
        <f t="shared" si="76"/>
        <v>0</v>
      </c>
      <c r="IB39" s="503">
        <f t="shared" si="187"/>
        <v>0</v>
      </c>
      <c r="IC39" s="501"/>
      <c r="ID39" s="502">
        <f t="shared" si="77"/>
        <v>0</v>
      </c>
      <c r="IE39" s="503">
        <f t="shared" si="188"/>
        <v>0</v>
      </c>
      <c r="IF39" s="501"/>
      <c r="IG39" s="502">
        <f t="shared" si="78"/>
        <v>0</v>
      </c>
      <c r="IH39" s="503">
        <f t="shared" si="189"/>
        <v>0</v>
      </c>
      <c r="II39" s="501"/>
      <c r="IJ39" s="502">
        <f t="shared" si="79"/>
        <v>0</v>
      </c>
      <c r="IK39" s="503">
        <f t="shared" si="190"/>
        <v>0</v>
      </c>
      <c r="IL39" s="501"/>
      <c r="IM39" s="502">
        <f t="shared" si="80"/>
        <v>0</v>
      </c>
      <c r="IN39" s="503">
        <f t="shared" si="191"/>
        <v>0</v>
      </c>
      <c r="IO39" s="501"/>
      <c r="IP39" s="502">
        <f t="shared" si="81"/>
        <v>0</v>
      </c>
      <c r="IQ39" s="503">
        <f t="shared" si="192"/>
        <v>0</v>
      </c>
      <c r="IR39" s="501"/>
      <c r="IS39" s="502">
        <f t="shared" si="82"/>
        <v>0</v>
      </c>
      <c r="IT39" s="503">
        <f t="shared" si="193"/>
        <v>0</v>
      </c>
      <c r="IU39" s="501"/>
      <c r="IV39" s="502">
        <f t="shared" si="83"/>
        <v>0</v>
      </c>
      <c r="IW39" s="503">
        <f t="shared" si="194"/>
        <v>0</v>
      </c>
      <c r="IX39" s="501"/>
      <c r="IY39" s="502">
        <f t="shared" si="84"/>
        <v>0</v>
      </c>
      <c r="IZ39" s="503">
        <f t="shared" si="195"/>
        <v>0</v>
      </c>
      <c r="JA39" s="501"/>
      <c r="JB39" s="502">
        <f t="shared" si="85"/>
        <v>0</v>
      </c>
      <c r="JC39" s="503">
        <f t="shared" si="196"/>
        <v>0</v>
      </c>
      <c r="JD39" s="501"/>
      <c r="JE39" s="502">
        <f t="shared" si="86"/>
        <v>0</v>
      </c>
      <c r="JF39" s="503">
        <f t="shared" si="197"/>
        <v>0</v>
      </c>
      <c r="JG39" s="501"/>
      <c r="JH39" s="502">
        <f t="shared" si="87"/>
        <v>0</v>
      </c>
      <c r="JI39" s="503">
        <f t="shared" si="198"/>
        <v>0</v>
      </c>
      <c r="JJ39" s="501"/>
      <c r="JK39" s="503" t="str">
        <f t="shared" si="88"/>
        <v>0</v>
      </c>
      <c r="JL39" s="503" t="str">
        <f t="shared" si="89"/>
        <v>0</v>
      </c>
      <c r="JM39" s="501"/>
      <c r="JN39" s="503" t="str">
        <f t="shared" si="90"/>
        <v>0</v>
      </c>
      <c r="JO39" s="503" t="str">
        <f t="shared" si="91"/>
        <v>0</v>
      </c>
      <c r="JP39" s="501"/>
      <c r="JQ39" s="503" t="str">
        <f t="shared" si="92"/>
        <v>0</v>
      </c>
      <c r="JR39" s="503" t="str">
        <f t="shared" si="93"/>
        <v>0</v>
      </c>
      <c r="JS39" s="501"/>
      <c r="JT39" s="503" t="str">
        <f t="shared" si="94"/>
        <v>0</v>
      </c>
      <c r="JU39" s="503" t="str">
        <f t="shared" si="95"/>
        <v>0</v>
      </c>
      <c r="JV39" s="501"/>
      <c r="JW39" s="503" t="str">
        <f t="shared" si="96"/>
        <v>0</v>
      </c>
      <c r="JX39" s="503" t="str">
        <f t="shared" si="97"/>
        <v>0</v>
      </c>
      <c r="JY39" s="501"/>
      <c r="JZ39" s="503" t="str">
        <f t="shared" si="98"/>
        <v>0</v>
      </c>
      <c r="KA39" s="503" t="str">
        <f t="shared" si="99"/>
        <v>0</v>
      </c>
      <c r="KB39" s="501"/>
      <c r="KC39" s="503" t="str">
        <f t="shared" si="100"/>
        <v>0</v>
      </c>
      <c r="KD39" s="503" t="str">
        <f t="shared" si="101"/>
        <v>0</v>
      </c>
      <c r="KE39" s="501"/>
      <c r="KF39" s="503" t="str">
        <f t="shared" si="102"/>
        <v>0</v>
      </c>
      <c r="KG39" s="503" t="str">
        <f t="shared" si="103"/>
        <v>0</v>
      </c>
      <c r="KH39" s="501"/>
      <c r="KI39" s="503" t="str">
        <f t="shared" si="104"/>
        <v>0</v>
      </c>
      <c r="KJ39" s="503" t="str">
        <f t="shared" si="105"/>
        <v>0</v>
      </c>
      <c r="KK39" s="501"/>
      <c r="KL39" s="503" t="str">
        <f t="shared" si="106"/>
        <v>0</v>
      </c>
      <c r="KM39" s="503" t="str">
        <f t="shared" si="107"/>
        <v>0</v>
      </c>
      <c r="KN39" s="501"/>
      <c r="KO39" s="503" t="str">
        <f t="shared" si="108"/>
        <v>0</v>
      </c>
      <c r="KP39" s="503" t="str">
        <f t="shared" si="109"/>
        <v>0</v>
      </c>
      <c r="KQ39" s="501"/>
      <c r="KR39" s="503" t="str">
        <f t="shared" si="110"/>
        <v>0</v>
      </c>
      <c r="KS39" s="503" t="str">
        <f t="shared" si="111"/>
        <v>0</v>
      </c>
      <c r="KT39" s="503">
        <f t="shared" si="201"/>
        <v>0</v>
      </c>
      <c r="KU39" s="503">
        <f t="shared" si="202"/>
        <v>0</v>
      </c>
      <c r="KV39" s="264">
        <f t="shared" si="199"/>
        <v>401.92611917224338</v>
      </c>
    </row>
    <row r="40" spans="1:308" ht="15" customHeight="1">
      <c r="A40" s="266">
        <f t="shared" si="200"/>
        <v>45961</v>
      </c>
      <c r="B40" s="267" t="str">
        <f>+Report1!B39</f>
        <v>Toilet</v>
      </c>
      <c r="C40" s="395" t="str">
        <f>+Report1!C39</f>
        <v>12,5/13</v>
      </c>
      <c r="D40" s="268">
        <f>+Report1!P39</f>
        <v>50.302</v>
      </c>
      <c r="E40" s="269">
        <f>+Report1!R39</f>
        <v>45.201999999999998</v>
      </c>
      <c r="F40" s="501">
        <v>0</v>
      </c>
      <c r="G40" s="502">
        <f t="shared" si="0"/>
        <v>0</v>
      </c>
      <c r="H40" s="503">
        <f t="shared" si="112"/>
        <v>0</v>
      </c>
      <c r="I40" s="501">
        <v>0</v>
      </c>
      <c r="J40" s="502">
        <f t="shared" si="1"/>
        <v>0</v>
      </c>
      <c r="K40" s="503">
        <f t="shared" si="113"/>
        <v>0</v>
      </c>
      <c r="L40" s="501"/>
      <c r="M40" s="502">
        <f t="shared" si="2"/>
        <v>0</v>
      </c>
      <c r="N40" s="503">
        <f t="shared" si="114"/>
        <v>0</v>
      </c>
      <c r="O40" s="501">
        <v>9</v>
      </c>
      <c r="P40" s="502">
        <f t="shared" si="3"/>
        <v>0.19910623423742313</v>
      </c>
      <c r="Q40" s="503">
        <f t="shared" si="115"/>
        <v>0</v>
      </c>
      <c r="R40" s="501">
        <v>5.1250000000000071</v>
      </c>
      <c r="S40" s="502">
        <f t="shared" si="4"/>
        <v>0.113379938940755</v>
      </c>
      <c r="T40" s="503">
        <f t="shared" si="116"/>
        <v>0</v>
      </c>
      <c r="U40" s="501">
        <v>6.2499999999999929</v>
      </c>
      <c r="V40" s="502">
        <f t="shared" si="5"/>
        <v>0.13826821822043256</v>
      </c>
      <c r="W40" s="503">
        <f t="shared" si="117"/>
        <v>0</v>
      </c>
      <c r="X40" s="501"/>
      <c r="Y40" s="502">
        <f t="shared" si="6"/>
        <v>0</v>
      </c>
      <c r="Z40" s="503">
        <f t="shared" si="118"/>
        <v>0</v>
      </c>
      <c r="AA40" s="501"/>
      <c r="AB40" s="502">
        <f t="shared" si="7"/>
        <v>0</v>
      </c>
      <c r="AC40" s="503">
        <f t="shared" si="119"/>
        <v>0</v>
      </c>
      <c r="AD40" s="501"/>
      <c r="AE40" s="502">
        <f t="shared" si="8"/>
        <v>0</v>
      </c>
      <c r="AF40" s="503">
        <f t="shared" si="120"/>
        <v>0</v>
      </c>
      <c r="AG40" s="501"/>
      <c r="AH40" s="502">
        <f t="shared" si="9"/>
        <v>0</v>
      </c>
      <c r="AI40" s="503">
        <f t="shared" si="121"/>
        <v>0</v>
      </c>
      <c r="AJ40" s="501"/>
      <c r="AK40" s="502">
        <f t="shared" si="10"/>
        <v>0</v>
      </c>
      <c r="AL40" s="503">
        <f t="shared" si="122"/>
        <v>0</v>
      </c>
      <c r="AM40" s="501">
        <v>57.692307692307736</v>
      </c>
      <c r="AN40" s="502">
        <f t="shared" si="11"/>
        <v>1.276322014342457</v>
      </c>
      <c r="AO40" s="503">
        <f t="shared" si="123"/>
        <v>0</v>
      </c>
      <c r="AP40" s="501">
        <v>0</v>
      </c>
      <c r="AQ40" s="502">
        <f t="shared" si="12"/>
        <v>0</v>
      </c>
      <c r="AR40" s="503">
        <f t="shared" si="124"/>
        <v>0</v>
      </c>
      <c r="AS40" s="501"/>
      <c r="AT40" s="502">
        <f t="shared" si="13"/>
        <v>0</v>
      </c>
      <c r="AU40" s="503">
        <f t="shared" si="125"/>
        <v>0</v>
      </c>
      <c r="AV40" s="501">
        <v>8.3249999999999886</v>
      </c>
      <c r="AW40" s="502">
        <f t="shared" si="14"/>
        <v>0.18417326666961614</v>
      </c>
      <c r="AX40" s="503">
        <f t="shared" si="126"/>
        <v>0</v>
      </c>
      <c r="AY40" s="501">
        <v>72.333333333333314</v>
      </c>
      <c r="AZ40" s="502">
        <f t="shared" si="15"/>
        <v>1.6002241788711411</v>
      </c>
      <c r="BA40" s="503">
        <f t="shared" si="127"/>
        <v>0</v>
      </c>
      <c r="BB40" s="501"/>
      <c r="BC40" s="502">
        <f t="shared" si="16"/>
        <v>0</v>
      </c>
      <c r="BD40" s="503">
        <f t="shared" si="128"/>
        <v>0</v>
      </c>
      <c r="BE40" s="501"/>
      <c r="BF40" s="502">
        <f t="shared" si="17"/>
        <v>0</v>
      </c>
      <c r="BG40" s="503">
        <f t="shared" si="129"/>
        <v>0</v>
      </c>
      <c r="BH40" s="501"/>
      <c r="BI40" s="502">
        <f t="shared" si="18"/>
        <v>0</v>
      </c>
      <c r="BJ40" s="503">
        <f t="shared" si="130"/>
        <v>0</v>
      </c>
      <c r="BK40" s="501"/>
      <c r="BL40" s="502">
        <f t="shared" si="19"/>
        <v>0</v>
      </c>
      <c r="BM40" s="503">
        <f t="shared" si="131"/>
        <v>0</v>
      </c>
      <c r="BN40" s="501">
        <v>25.308641975308632</v>
      </c>
      <c r="BO40" s="502">
        <f t="shared" si="20"/>
        <v>0.55990093304076438</v>
      </c>
      <c r="BP40" s="503">
        <f t="shared" si="132"/>
        <v>0</v>
      </c>
      <c r="BQ40" s="501">
        <v>0</v>
      </c>
      <c r="BR40" s="502">
        <f t="shared" si="21"/>
        <v>0</v>
      </c>
      <c r="BS40" s="503">
        <f t="shared" si="133"/>
        <v>0</v>
      </c>
      <c r="BT40" s="501"/>
      <c r="BU40" s="502">
        <f t="shared" si="22"/>
        <v>0</v>
      </c>
      <c r="BV40" s="503">
        <f t="shared" si="134"/>
        <v>0</v>
      </c>
      <c r="BW40" s="501"/>
      <c r="BX40" s="502">
        <f t="shared" si="23"/>
        <v>0</v>
      </c>
      <c r="BY40" s="503">
        <f t="shared" si="135"/>
        <v>0</v>
      </c>
      <c r="BZ40" s="501"/>
      <c r="CA40" s="502">
        <f t="shared" si="24"/>
        <v>0</v>
      </c>
      <c r="CB40" s="503">
        <f t="shared" si="136"/>
        <v>0</v>
      </c>
      <c r="CC40" s="501"/>
      <c r="CD40" s="502">
        <f t="shared" si="25"/>
        <v>0</v>
      </c>
      <c r="CE40" s="503">
        <f t="shared" si="137"/>
        <v>0</v>
      </c>
      <c r="CF40" s="501">
        <v>7</v>
      </c>
      <c r="CG40" s="502">
        <f t="shared" si="26"/>
        <v>0.15486040440688464</v>
      </c>
      <c r="CH40" s="503">
        <f t="shared" si="138"/>
        <v>0</v>
      </c>
      <c r="CI40" s="501"/>
      <c r="CJ40" s="502">
        <f t="shared" si="27"/>
        <v>0</v>
      </c>
      <c r="CK40" s="503">
        <f t="shared" si="139"/>
        <v>0</v>
      </c>
      <c r="CL40" s="501"/>
      <c r="CM40" s="502">
        <f t="shared" si="28"/>
        <v>0</v>
      </c>
      <c r="CN40" s="503">
        <f t="shared" si="140"/>
        <v>0</v>
      </c>
      <c r="CO40" s="501"/>
      <c r="CP40" s="502">
        <f t="shared" si="29"/>
        <v>0</v>
      </c>
      <c r="CQ40" s="503">
        <f t="shared" si="141"/>
        <v>0</v>
      </c>
      <c r="CR40" s="501"/>
      <c r="CS40" s="502">
        <f t="shared" si="30"/>
        <v>0</v>
      </c>
      <c r="CT40" s="503">
        <f t="shared" si="142"/>
        <v>0</v>
      </c>
      <c r="CU40" s="501"/>
      <c r="CV40" s="502">
        <f t="shared" si="31"/>
        <v>0</v>
      </c>
      <c r="CW40" s="503">
        <f t="shared" si="143"/>
        <v>0</v>
      </c>
      <c r="CX40" s="501"/>
      <c r="CY40" s="502">
        <f t="shared" si="32"/>
        <v>0</v>
      </c>
      <c r="CZ40" s="503">
        <f t="shared" si="144"/>
        <v>0</v>
      </c>
      <c r="DA40" s="501">
        <v>0</v>
      </c>
      <c r="DB40" s="502">
        <f t="shared" si="33"/>
        <v>0</v>
      </c>
      <c r="DC40" s="503">
        <f t="shared" si="145"/>
        <v>0</v>
      </c>
      <c r="DD40" s="501"/>
      <c r="DE40" s="502">
        <f t="shared" si="34"/>
        <v>0</v>
      </c>
      <c r="DF40" s="503">
        <f t="shared" si="146"/>
        <v>0</v>
      </c>
      <c r="DG40" s="501"/>
      <c r="DH40" s="502">
        <f t="shared" si="35"/>
        <v>0</v>
      </c>
      <c r="DI40" s="503">
        <f t="shared" si="203"/>
        <v>0</v>
      </c>
      <c r="DJ40" s="501"/>
      <c r="DK40" s="502">
        <f t="shared" si="36"/>
        <v>0</v>
      </c>
      <c r="DL40" s="503">
        <f t="shared" si="147"/>
        <v>0</v>
      </c>
      <c r="DM40" s="501"/>
      <c r="DN40" s="502">
        <f t="shared" si="37"/>
        <v>0</v>
      </c>
      <c r="DO40" s="503">
        <f t="shared" si="148"/>
        <v>0</v>
      </c>
      <c r="DP40" s="501"/>
      <c r="DQ40" s="502">
        <f t="shared" si="38"/>
        <v>0</v>
      </c>
      <c r="DR40" s="503">
        <f t="shared" si="149"/>
        <v>0</v>
      </c>
      <c r="DS40" s="501"/>
      <c r="DT40" s="502">
        <f t="shared" si="39"/>
        <v>0</v>
      </c>
      <c r="DU40" s="503">
        <f t="shared" si="150"/>
        <v>0</v>
      </c>
      <c r="DV40" s="501"/>
      <c r="DW40" s="502">
        <f t="shared" si="40"/>
        <v>0</v>
      </c>
      <c r="DX40" s="503">
        <f t="shared" si="151"/>
        <v>0</v>
      </c>
      <c r="DY40" s="501">
        <v>0</v>
      </c>
      <c r="DZ40" s="502">
        <f t="shared" si="41"/>
        <v>0</v>
      </c>
      <c r="EA40" s="503">
        <f t="shared" si="152"/>
        <v>0</v>
      </c>
      <c r="EB40" s="501">
        <v>7.2674418604651123</v>
      </c>
      <c r="EC40" s="502">
        <f t="shared" si="42"/>
        <v>0.16077699793073563</v>
      </c>
      <c r="ED40" s="503">
        <f t="shared" si="153"/>
        <v>0</v>
      </c>
      <c r="EE40" s="501">
        <v>1</v>
      </c>
      <c r="EF40" s="502">
        <f t="shared" si="43"/>
        <v>2.2122914915269236E-2</v>
      </c>
      <c r="EG40" s="503">
        <f t="shared" si="154"/>
        <v>0</v>
      </c>
      <c r="EH40" s="501"/>
      <c r="EI40" s="502">
        <f t="shared" si="44"/>
        <v>0</v>
      </c>
      <c r="EJ40" s="503">
        <f t="shared" si="155"/>
        <v>0</v>
      </c>
      <c r="EK40" s="501"/>
      <c r="EL40" s="502">
        <f t="shared" si="45"/>
        <v>0</v>
      </c>
      <c r="EM40" s="503">
        <f t="shared" si="156"/>
        <v>0</v>
      </c>
      <c r="EN40" s="501"/>
      <c r="EO40" s="502">
        <f t="shared" si="46"/>
        <v>0</v>
      </c>
      <c r="EP40" s="503">
        <f t="shared" si="157"/>
        <v>0</v>
      </c>
      <c r="EQ40" s="501"/>
      <c r="ER40" s="502">
        <f t="shared" si="47"/>
        <v>0</v>
      </c>
      <c r="ES40" s="503">
        <f t="shared" si="158"/>
        <v>0</v>
      </c>
      <c r="ET40" s="501"/>
      <c r="EU40" s="502">
        <f t="shared" si="48"/>
        <v>0</v>
      </c>
      <c r="EV40" s="503">
        <f t="shared" si="159"/>
        <v>0</v>
      </c>
      <c r="EW40" s="501"/>
      <c r="EX40" s="502">
        <f t="shared" si="49"/>
        <v>0</v>
      </c>
      <c r="EY40" s="503">
        <f t="shared" si="160"/>
        <v>0</v>
      </c>
      <c r="EZ40" s="501"/>
      <c r="FA40" s="502">
        <f t="shared" si="50"/>
        <v>0</v>
      </c>
      <c r="FB40" s="503">
        <f t="shared" si="161"/>
        <v>0</v>
      </c>
      <c r="FC40" s="501"/>
      <c r="FD40" s="502">
        <f t="shared" si="51"/>
        <v>0</v>
      </c>
      <c r="FE40" s="503">
        <f t="shared" si="162"/>
        <v>0</v>
      </c>
      <c r="FF40" s="501"/>
      <c r="FG40" s="502">
        <f t="shared" si="52"/>
        <v>0</v>
      </c>
      <c r="FH40" s="503">
        <f t="shared" si="163"/>
        <v>0</v>
      </c>
      <c r="FI40" s="501"/>
      <c r="FJ40" s="502">
        <f t="shared" si="53"/>
        <v>0</v>
      </c>
      <c r="FK40" s="503">
        <f t="shared" si="164"/>
        <v>0</v>
      </c>
      <c r="FL40" s="501"/>
      <c r="FM40" s="502">
        <f t="shared" si="54"/>
        <v>0</v>
      </c>
      <c r="FN40" s="503">
        <f t="shared" si="165"/>
        <v>0</v>
      </c>
      <c r="FO40" s="501"/>
      <c r="FP40" s="502">
        <f t="shared" si="55"/>
        <v>0</v>
      </c>
      <c r="FQ40" s="503">
        <f t="shared" si="166"/>
        <v>0</v>
      </c>
      <c r="FR40" s="501"/>
      <c r="FS40" s="502">
        <f t="shared" si="56"/>
        <v>0</v>
      </c>
      <c r="FT40" s="503">
        <f t="shared" si="167"/>
        <v>0</v>
      </c>
      <c r="FU40" s="501"/>
      <c r="FV40" s="502">
        <f t="shared" si="57"/>
        <v>0</v>
      </c>
      <c r="FW40" s="503">
        <f t="shared" si="168"/>
        <v>0</v>
      </c>
      <c r="FX40" s="501"/>
      <c r="FY40" s="502">
        <f t="shared" si="58"/>
        <v>0</v>
      </c>
      <c r="FZ40" s="503">
        <f t="shared" si="169"/>
        <v>0</v>
      </c>
      <c r="GA40" s="501"/>
      <c r="GB40" s="502">
        <f t="shared" si="59"/>
        <v>0</v>
      </c>
      <c r="GC40" s="503">
        <f t="shared" si="170"/>
        <v>0</v>
      </c>
      <c r="GD40" s="501"/>
      <c r="GE40" s="502">
        <f t="shared" si="60"/>
        <v>0</v>
      </c>
      <c r="GF40" s="503">
        <f t="shared" si="171"/>
        <v>0</v>
      </c>
      <c r="GG40" s="501"/>
      <c r="GH40" s="502">
        <f t="shared" si="61"/>
        <v>0</v>
      </c>
      <c r="GI40" s="503">
        <f t="shared" si="172"/>
        <v>0</v>
      </c>
      <c r="GJ40" s="501"/>
      <c r="GK40" s="502">
        <f t="shared" si="62"/>
        <v>0</v>
      </c>
      <c r="GL40" s="503">
        <f t="shared" si="173"/>
        <v>0</v>
      </c>
      <c r="GM40" s="501"/>
      <c r="GN40" s="502">
        <f t="shared" si="63"/>
        <v>0</v>
      </c>
      <c r="GO40" s="503">
        <f t="shared" si="174"/>
        <v>0</v>
      </c>
      <c r="GP40" s="501"/>
      <c r="GQ40" s="502">
        <f t="shared" si="64"/>
        <v>0</v>
      </c>
      <c r="GR40" s="503">
        <f t="shared" si="175"/>
        <v>0</v>
      </c>
      <c r="GS40" s="501"/>
      <c r="GT40" s="502">
        <f t="shared" si="65"/>
        <v>0</v>
      </c>
      <c r="GU40" s="503">
        <f t="shared" si="176"/>
        <v>0</v>
      </c>
      <c r="GV40" s="501"/>
      <c r="GW40" s="502">
        <f t="shared" si="66"/>
        <v>0</v>
      </c>
      <c r="GX40" s="503">
        <f t="shared" si="177"/>
        <v>0</v>
      </c>
      <c r="GY40" s="501"/>
      <c r="GZ40" s="502">
        <f t="shared" si="67"/>
        <v>0</v>
      </c>
      <c r="HA40" s="503">
        <f t="shared" si="178"/>
        <v>0</v>
      </c>
      <c r="HB40" s="501"/>
      <c r="HC40" s="502">
        <f t="shared" si="68"/>
        <v>0</v>
      </c>
      <c r="HD40" s="503">
        <f t="shared" si="179"/>
        <v>0</v>
      </c>
      <c r="HE40" s="501"/>
      <c r="HF40" s="502">
        <f t="shared" si="69"/>
        <v>0</v>
      </c>
      <c r="HG40" s="503">
        <f t="shared" si="180"/>
        <v>0</v>
      </c>
      <c r="HH40" s="501"/>
      <c r="HI40" s="502">
        <f t="shared" si="70"/>
        <v>0</v>
      </c>
      <c r="HJ40" s="503">
        <f t="shared" si="181"/>
        <v>0</v>
      </c>
      <c r="HK40" s="501"/>
      <c r="HL40" s="502">
        <f t="shared" si="71"/>
        <v>0</v>
      </c>
      <c r="HM40" s="503">
        <f t="shared" si="182"/>
        <v>0</v>
      </c>
      <c r="HN40" s="501"/>
      <c r="HO40" s="502">
        <f t="shared" si="72"/>
        <v>0</v>
      </c>
      <c r="HP40" s="503">
        <f t="shared" si="183"/>
        <v>0</v>
      </c>
      <c r="HQ40" s="501"/>
      <c r="HR40" s="502">
        <f t="shared" si="73"/>
        <v>0</v>
      </c>
      <c r="HS40" s="503">
        <f t="shared" si="184"/>
        <v>0</v>
      </c>
      <c r="HT40" s="501"/>
      <c r="HU40" s="502">
        <f t="shared" si="74"/>
        <v>0</v>
      </c>
      <c r="HV40" s="503">
        <f t="shared" si="185"/>
        <v>0</v>
      </c>
      <c r="HW40" s="501"/>
      <c r="HX40" s="502">
        <f t="shared" si="75"/>
        <v>0</v>
      </c>
      <c r="HY40" s="503">
        <f t="shared" si="186"/>
        <v>0</v>
      </c>
      <c r="HZ40" s="501"/>
      <c r="IA40" s="502">
        <f t="shared" si="76"/>
        <v>0</v>
      </c>
      <c r="IB40" s="503">
        <f t="shared" si="187"/>
        <v>0</v>
      </c>
      <c r="IC40" s="501"/>
      <c r="ID40" s="502">
        <f t="shared" si="77"/>
        <v>0</v>
      </c>
      <c r="IE40" s="503">
        <f t="shared" si="188"/>
        <v>0</v>
      </c>
      <c r="IF40" s="501"/>
      <c r="IG40" s="502">
        <f t="shared" si="78"/>
        <v>0</v>
      </c>
      <c r="IH40" s="503">
        <f t="shared" si="189"/>
        <v>0</v>
      </c>
      <c r="II40" s="501"/>
      <c r="IJ40" s="502">
        <f t="shared" si="79"/>
        <v>0</v>
      </c>
      <c r="IK40" s="503">
        <f t="shared" si="190"/>
        <v>0</v>
      </c>
      <c r="IL40" s="501"/>
      <c r="IM40" s="502">
        <f t="shared" si="80"/>
        <v>0</v>
      </c>
      <c r="IN40" s="503">
        <f t="shared" si="191"/>
        <v>0</v>
      </c>
      <c r="IO40" s="501"/>
      <c r="IP40" s="502">
        <f t="shared" si="81"/>
        <v>0</v>
      </c>
      <c r="IQ40" s="503">
        <f t="shared" si="192"/>
        <v>0</v>
      </c>
      <c r="IR40" s="501"/>
      <c r="IS40" s="502">
        <f t="shared" si="82"/>
        <v>0</v>
      </c>
      <c r="IT40" s="503">
        <f t="shared" si="193"/>
        <v>0</v>
      </c>
      <c r="IU40" s="501"/>
      <c r="IV40" s="502">
        <f t="shared" si="83"/>
        <v>0</v>
      </c>
      <c r="IW40" s="503">
        <f t="shared" si="194"/>
        <v>0</v>
      </c>
      <c r="IX40" s="501"/>
      <c r="IY40" s="502">
        <f t="shared" si="84"/>
        <v>0</v>
      </c>
      <c r="IZ40" s="503">
        <f t="shared" si="195"/>
        <v>0</v>
      </c>
      <c r="JA40" s="501"/>
      <c r="JB40" s="502">
        <f t="shared" si="85"/>
        <v>0</v>
      </c>
      <c r="JC40" s="503">
        <f t="shared" si="196"/>
        <v>0</v>
      </c>
      <c r="JD40" s="501"/>
      <c r="JE40" s="502">
        <f t="shared" si="86"/>
        <v>0</v>
      </c>
      <c r="JF40" s="503">
        <f t="shared" si="197"/>
        <v>0</v>
      </c>
      <c r="JG40" s="501"/>
      <c r="JH40" s="502">
        <f t="shared" si="87"/>
        <v>0</v>
      </c>
      <c r="JI40" s="503">
        <f t="shared" si="198"/>
        <v>0</v>
      </c>
      <c r="JJ40" s="501"/>
      <c r="JK40" s="503" t="str">
        <f t="shared" si="88"/>
        <v>0</v>
      </c>
      <c r="JL40" s="503" t="str">
        <f t="shared" si="89"/>
        <v>0</v>
      </c>
      <c r="JM40" s="501"/>
      <c r="JN40" s="503" t="str">
        <f t="shared" si="90"/>
        <v>0</v>
      </c>
      <c r="JO40" s="503" t="str">
        <f t="shared" si="91"/>
        <v>0</v>
      </c>
      <c r="JP40" s="501"/>
      <c r="JQ40" s="503" t="str">
        <f t="shared" si="92"/>
        <v>0</v>
      </c>
      <c r="JR40" s="503" t="str">
        <f t="shared" si="93"/>
        <v>0</v>
      </c>
      <c r="JS40" s="501"/>
      <c r="JT40" s="503" t="str">
        <f t="shared" si="94"/>
        <v>0</v>
      </c>
      <c r="JU40" s="503" t="str">
        <f t="shared" si="95"/>
        <v>0</v>
      </c>
      <c r="JV40" s="501"/>
      <c r="JW40" s="503" t="str">
        <f t="shared" si="96"/>
        <v>0</v>
      </c>
      <c r="JX40" s="503" t="str">
        <f t="shared" si="97"/>
        <v>0</v>
      </c>
      <c r="JY40" s="501"/>
      <c r="JZ40" s="503" t="str">
        <f t="shared" si="98"/>
        <v>0</v>
      </c>
      <c r="KA40" s="503" t="str">
        <f t="shared" si="99"/>
        <v>0</v>
      </c>
      <c r="KB40" s="501"/>
      <c r="KC40" s="503" t="str">
        <f t="shared" si="100"/>
        <v>0</v>
      </c>
      <c r="KD40" s="503" t="str">
        <f t="shared" si="101"/>
        <v>0</v>
      </c>
      <c r="KE40" s="501"/>
      <c r="KF40" s="503" t="str">
        <f t="shared" si="102"/>
        <v>0</v>
      </c>
      <c r="KG40" s="503" t="str">
        <f t="shared" si="103"/>
        <v>0</v>
      </c>
      <c r="KH40" s="501"/>
      <c r="KI40" s="503" t="str">
        <f t="shared" si="104"/>
        <v>0</v>
      </c>
      <c r="KJ40" s="503" t="str">
        <f t="shared" si="105"/>
        <v>0</v>
      </c>
      <c r="KK40" s="501"/>
      <c r="KL40" s="503" t="str">
        <f t="shared" si="106"/>
        <v>0</v>
      </c>
      <c r="KM40" s="503" t="str">
        <f t="shared" si="107"/>
        <v>0</v>
      </c>
      <c r="KN40" s="501"/>
      <c r="KO40" s="503" t="str">
        <f t="shared" si="108"/>
        <v>0</v>
      </c>
      <c r="KP40" s="503" t="str">
        <f t="shared" si="109"/>
        <v>0</v>
      </c>
      <c r="KQ40" s="501"/>
      <c r="KR40" s="503" t="str">
        <f t="shared" si="110"/>
        <v>0</v>
      </c>
      <c r="KS40" s="503" t="str">
        <f t="shared" si="111"/>
        <v>0</v>
      </c>
      <c r="KT40" s="503">
        <f t="shared" si="201"/>
        <v>0</v>
      </c>
      <c r="KU40" s="503">
        <f t="shared" si="202"/>
        <v>0</v>
      </c>
      <c r="KV40" s="264">
        <f t="shared" si="199"/>
        <v>199.30172486141478</v>
      </c>
    </row>
    <row r="41" spans="1:308" s="270" customFormat="1" ht="15" customHeight="1" thickBot="1">
      <c r="A41" s="740" t="s">
        <v>27</v>
      </c>
      <c r="B41" s="741"/>
      <c r="C41" s="742"/>
      <c r="D41" s="271">
        <f>SUM(D10:D40)</f>
        <v>1512.7539999999999</v>
      </c>
      <c r="E41" s="271">
        <f>SUM(E10:E40)</f>
        <v>1387.3799999999999</v>
      </c>
      <c r="F41" s="501"/>
      <c r="G41" s="502"/>
      <c r="H41" s="503"/>
      <c r="I41" s="501"/>
      <c r="J41" s="502"/>
      <c r="K41" s="503"/>
      <c r="L41" s="501"/>
      <c r="M41" s="502"/>
      <c r="N41" s="503"/>
      <c r="O41" s="501"/>
      <c r="P41" s="502"/>
      <c r="Q41" s="503"/>
      <c r="R41" s="501"/>
      <c r="S41" s="502"/>
      <c r="T41" s="503"/>
      <c r="U41" s="501"/>
      <c r="V41" s="502"/>
      <c r="W41" s="503"/>
      <c r="X41" s="501"/>
      <c r="Y41" s="502"/>
      <c r="Z41" s="503"/>
      <c r="AA41" s="501"/>
      <c r="AB41" s="502"/>
      <c r="AC41" s="503"/>
      <c r="AD41" s="501"/>
      <c r="AE41" s="502"/>
      <c r="AF41" s="503"/>
      <c r="AG41" s="501"/>
      <c r="AH41" s="502"/>
      <c r="AI41" s="503"/>
      <c r="AJ41" s="501"/>
      <c r="AK41" s="502"/>
      <c r="AL41" s="503"/>
      <c r="AM41" s="501"/>
      <c r="AN41" s="502"/>
      <c r="AO41" s="503"/>
      <c r="AP41" s="501"/>
      <c r="AQ41" s="502"/>
      <c r="AR41" s="503"/>
      <c r="AS41" s="501"/>
      <c r="AT41" s="502"/>
      <c r="AU41" s="503"/>
      <c r="AV41" s="501"/>
      <c r="AW41" s="502"/>
      <c r="AX41" s="503"/>
      <c r="AY41" s="501"/>
      <c r="AZ41" s="502"/>
      <c r="BA41" s="503"/>
      <c r="BB41" s="501"/>
      <c r="BC41" s="502"/>
      <c r="BD41" s="503"/>
      <c r="BE41" s="501"/>
      <c r="BF41" s="502"/>
      <c r="BG41" s="503"/>
      <c r="BH41" s="501"/>
      <c r="BI41" s="502"/>
      <c r="BJ41" s="503"/>
      <c r="BK41" s="501"/>
      <c r="BL41" s="502"/>
      <c r="BM41" s="503"/>
      <c r="BN41" s="501"/>
      <c r="BO41" s="502"/>
      <c r="BP41" s="503"/>
      <c r="BQ41" s="501"/>
      <c r="BR41" s="502"/>
      <c r="BS41" s="503"/>
      <c r="BT41" s="501"/>
      <c r="BU41" s="502"/>
      <c r="BV41" s="503"/>
      <c r="BW41" s="501"/>
      <c r="BX41" s="502"/>
      <c r="BY41" s="503"/>
      <c r="BZ41" s="501"/>
      <c r="CA41" s="502"/>
      <c r="CB41" s="503"/>
      <c r="CC41" s="501"/>
      <c r="CD41" s="502"/>
      <c r="CE41" s="503"/>
      <c r="CF41" s="501"/>
      <c r="CG41" s="502"/>
      <c r="CH41" s="503"/>
      <c r="CI41" s="501"/>
      <c r="CJ41" s="502"/>
      <c r="CK41" s="503"/>
      <c r="CL41" s="501"/>
      <c r="CM41" s="502"/>
      <c r="CN41" s="503"/>
      <c r="CO41" s="501"/>
      <c r="CP41" s="502"/>
      <c r="CQ41" s="503"/>
      <c r="CR41" s="501"/>
      <c r="CS41" s="502"/>
      <c r="CT41" s="503"/>
      <c r="CU41" s="501"/>
      <c r="CV41" s="502"/>
      <c r="CW41" s="503"/>
      <c r="CX41" s="501"/>
      <c r="CY41" s="502"/>
      <c r="CZ41" s="503"/>
      <c r="DA41" s="501"/>
      <c r="DB41" s="502"/>
      <c r="DC41" s="503"/>
      <c r="DD41" s="501"/>
      <c r="DE41" s="502"/>
      <c r="DF41" s="503"/>
      <c r="DG41" s="501"/>
      <c r="DH41" s="502"/>
      <c r="DI41" s="503"/>
      <c r="DJ41" s="501"/>
      <c r="DK41" s="502"/>
      <c r="DL41" s="503"/>
      <c r="DM41" s="501"/>
      <c r="DN41" s="502"/>
      <c r="DO41" s="503"/>
      <c r="DP41" s="501"/>
      <c r="DQ41" s="502"/>
      <c r="DR41" s="503"/>
      <c r="DS41" s="501"/>
      <c r="DT41" s="502"/>
      <c r="DU41" s="503"/>
      <c r="DV41" s="501"/>
      <c r="DW41" s="502"/>
      <c r="DX41" s="503"/>
      <c r="DY41" s="501"/>
      <c r="DZ41" s="502"/>
      <c r="EA41" s="503"/>
      <c r="EB41" s="501"/>
      <c r="EC41" s="502"/>
      <c r="ED41" s="503"/>
      <c r="EE41" s="501"/>
      <c r="EF41" s="502"/>
      <c r="EG41" s="503"/>
      <c r="EH41" s="501"/>
      <c r="EI41" s="502"/>
      <c r="EJ41" s="503"/>
      <c r="EK41" s="501"/>
      <c r="EL41" s="502"/>
      <c r="EM41" s="503"/>
      <c r="EN41" s="501"/>
      <c r="EO41" s="502"/>
      <c r="EP41" s="503"/>
      <c r="EQ41" s="501"/>
      <c r="ER41" s="502"/>
      <c r="ES41" s="503"/>
      <c r="ET41" s="501"/>
      <c r="EU41" s="502"/>
      <c r="EV41" s="503"/>
      <c r="EW41" s="501"/>
      <c r="EX41" s="502"/>
      <c r="EY41" s="503"/>
      <c r="EZ41" s="501"/>
      <c r="FA41" s="502"/>
      <c r="FB41" s="503"/>
      <c r="FC41" s="501"/>
      <c r="FD41" s="502"/>
      <c r="FE41" s="503"/>
      <c r="FF41" s="501"/>
      <c r="FG41" s="502"/>
      <c r="FH41" s="503"/>
      <c r="FI41" s="501"/>
      <c r="FJ41" s="502"/>
      <c r="FK41" s="503"/>
      <c r="FL41" s="501"/>
      <c r="FM41" s="502"/>
      <c r="FN41" s="503"/>
      <c r="FO41" s="501"/>
      <c r="FP41" s="502"/>
      <c r="FQ41" s="503"/>
      <c r="FR41" s="501"/>
      <c r="FS41" s="502"/>
      <c r="FT41" s="503"/>
      <c r="FU41" s="501"/>
      <c r="FV41" s="502"/>
      <c r="FW41" s="503"/>
      <c r="FX41" s="501"/>
      <c r="FY41" s="502"/>
      <c r="FZ41" s="503"/>
      <c r="GA41" s="501"/>
      <c r="GB41" s="502"/>
      <c r="GC41" s="503"/>
      <c r="GD41" s="501"/>
      <c r="GE41" s="502"/>
      <c r="GF41" s="503"/>
      <c r="GG41" s="501"/>
      <c r="GH41" s="502"/>
      <c r="GI41" s="503"/>
      <c r="GJ41" s="501"/>
      <c r="GK41" s="502"/>
      <c r="GL41" s="503"/>
      <c r="GM41" s="501"/>
      <c r="GN41" s="502"/>
      <c r="GO41" s="503"/>
      <c r="GP41" s="501"/>
      <c r="GQ41" s="502"/>
      <c r="GR41" s="503"/>
      <c r="GS41" s="501"/>
      <c r="GT41" s="502"/>
      <c r="GU41" s="503"/>
      <c r="GV41" s="501"/>
      <c r="GW41" s="502"/>
      <c r="GX41" s="503"/>
      <c r="GY41" s="501"/>
      <c r="GZ41" s="502"/>
      <c r="HA41" s="503"/>
      <c r="HB41" s="501"/>
      <c r="HC41" s="502"/>
      <c r="HD41" s="503"/>
      <c r="HE41" s="501"/>
      <c r="HF41" s="502"/>
      <c r="HG41" s="503"/>
      <c r="HH41" s="501"/>
      <c r="HI41" s="502"/>
      <c r="HJ41" s="503"/>
      <c r="HK41" s="501"/>
      <c r="HL41" s="502"/>
      <c r="HM41" s="503"/>
      <c r="HN41" s="501"/>
      <c r="HO41" s="502"/>
      <c r="HP41" s="503"/>
      <c r="HQ41" s="501"/>
      <c r="HR41" s="502"/>
      <c r="HS41" s="503"/>
      <c r="HT41" s="501"/>
      <c r="HU41" s="502"/>
      <c r="HV41" s="503"/>
      <c r="HW41" s="501"/>
      <c r="HX41" s="502"/>
      <c r="HY41" s="503"/>
      <c r="HZ41" s="501"/>
      <c r="IA41" s="502"/>
      <c r="IB41" s="503"/>
      <c r="IC41" s="501"/>
      <c r="ID41" s="502"/>
      <c r="IE41" s="503"/>
      <c r="IF41" s="501"/>
      <c r="IG41" s="502"/>
      <c r="IH41" s="503"/>
      <c r="II41" s="501"/>
      <c r="IJ41" s="502"/>
      <c r="IK41" s="503"/>
      <c r="IL41" s="501"/>
      <c r="IM41" s="502"/>
      <c r="IN41" s="503"/>
      <c r="IO41" s="501"/>
      <c r="IP41" s="502"/>
      <c r="IQ41" s="503"/>
      <c r="IR41" s="501"/>
      <c r="IS41" s="502"/>
      <c r="IT41" s="503"/>
      <c r="IU41" s="501"/>
      <c r="IV41" s="502"/>
      <c r="IW41" s="503"/>
      <c r="IX41" s="501"/>
      <c r="IY41" s="502"/>
      <c r="IZ41" s="503"/>
      <c r="JA41" s="501"/>
      <c r="JB41" s="502"/>
      <c r="JC41" s="503"/>
      <c r="JD41" s="501"/>
      <c r="JE41" s="502"/>
      <c r="JF41" s="503"/>
      <c r="JG41" s="501"/>
      <c r="JH41" s="502"/>
      <c r="JI41" s="503"/>
      <c r="JJ41" s="501"/>
      <c r="JK41" s="503"/>
      <c r="JL41" s="503"/>
      <c r="JM41" s="501"/>
      <c r="JN41" s="503"/>
      <c r="JO41" s="503"/>
      <c r="JP41" s="501"/>
      <c r="JQ41" s="503"/>
      <c r="JR41" s="503"/>
      <c r="JS41" s="501"/>
      <c r="JT41" s="503"/>
      <c r="JU41" s="503"/>
      <c r="JV41" s="501"/>
      <c r="JW41" s="503"/>
      <c r="JX41" s="503"/>
      <c r="JY41" s="501"/>
      <c r="JZ41" s="503"/>
      <c r="KA41" s="503"/>
      <c r="KB41" s="501"/>
      <c r="KC41" s="503"/>
      <c r="KD41" s="503"/>
      <c r="KE41" s="501"/>
      <c r="KF41" s="503"/>
      <c r="KG41" s="503"/>
      <c r="KH41" s="501"/>
      <c r="KI41" s="503"/>
      <c r="KJ41" s="503"/>
      <c r="KK41" s="501"/>
      <c r="KL41" s="503"/>
      <c r="KM41" s="503"/>
      <c r="KN41" s="501"/>
      <c r="KO41" s="503"/>
      <c r="KP41" s="503"/>
      <c r="KQ41" s="501"/>
      <c r="KR41" s="503"/>
      <c r="KS41" s="503"/>
      <c r="KT41" s="503"/>
      <c r="KU41" s="503"/>
      <c r="KV41" s="520">
        <f>SUM(KV10:KV40)</f>
        <v>11391.03226595842</v>
      </c>
    </row>
    <row r="42" spans="1:308" ht="15" customHeight="1" thickTop="1" thickBot="1">
      <c r="F42" s="504">
        <f>SUM(F10:F40)</f>
        <v>34.883720930232471</v>
      </c>
      <c r="G42" s="504">
        <f>IFERROR((F42/$L$42),0)</f>
        <v>0</v>
      </c>
      <c r="H42" s="504">
        <f>IFERROR(((F42*H$9)/$L$42),0)</f>
        <v>0</v>
      </c>
      <c r="I42" s="504">
        <f>SUM(I10:I40)</f>
        <v>4232.5581395348836</v>
      </c>
      <c r="J42" s="504">
        <f>IFERROR((I42/$L$42),0)</f>
        <v>0</v>
      </c>
      <c r="K42" s="504">
        <f>IFERROR(((I42*K$9)/$L$42),0)</f>
        <v>0</v>
      </c>
      <c r="L42" s="504">
        <f>SUM(L10:L40)</f>
        <v>0</v>
      </c>
      <c r="M42" s="504">
        <f>IFERROR((L42/$L$42),0)</f>
        <v>0</v>
      </c>
      <c r="N42" s="504">
        <f>IFERROR(((L42*N$9)/$L$42),0)</f>
        <v>0</v>
      </c>
      <c r="O42" s="504">
        <f>SUM(O10:O40)</f>
        <v>318</v>
      </c>
      <c r="P42" s="504">
        <f>IFERROR((O42/$L$42),0)</f>
        <v>0</v>
      </c>
      <c r="Q42" s="504">
        <f>IFERROR(((O42*Q$9)/$L$42),0)</f>
        <v>0</v>
      </c>
      <c r="R42" s="504">
        <f>SUM(R10:R40)</f>
        <v>197.3125</v>
      </c>
      <c r="S42" s="504">
        <f>IFERROR((R42/$L$42),0)</f>
        <v>0</v>
      </c>
      <c r="T42" s="504">
        <f>IFERROR(((R42*T$9)/$L$42),0)</f>
        <v>0</v>
      </c>
      <c r="U42" s="504">
        <f>SUM(U10:U40)</f>
        <v>200</v>
      </c>
      <c r="V42" s="504">
        <f>IFERROR((U42/$L$42),0)</f>
        <v>0</v>
      </c>
      <c r="W42" s="504">
        <f>IFERROR(((U42*W$9)/$L$42),0)</f>
        <v>0</v>
      </c>
      <c r="X42" s="504">
        <f>SUM(X10:X40)</f>
        <v>0</v>
      </c>
      <c r="Y42" s="504">
        <f>IFERROR((X42/$L$42),0)</f>
        <v>0</v>
      </c>
      <c r="Z42" s="504">
        <f>IFERROR(((X42*Z$9)/$L$42),0)</f>
        <v>0</v>
      </c>
      <c r="AA42" s="504">
        <f>SUM(AA10:AA40)</f>
        <v>0</v>
      </c>
      <c r="AB42" s="504">
        <f>IFERROR((AA42/$L$42),0)</f>
        <v>0</v>
      </c>
      <c r="AC42" s="504">
        <f>IFERROR(((AA42*AC$9)/$L$42),0)</f>
        <v>0</v>
      </c>
      <c r="AD42" s="504">
        <f>SUM(AD10:AD40)</f>
        <v>0</v>
      </c>
      <c r="AE42" s="504">
        <f>IFERROR((AD42/$L$42),0)</f>
        <v>0</v>
      </c>
      <c r="AF42" s="504">
        <f>IFERROR(((AD42*AF$9)/$L$42),0)</f>
        <v>0</v>
      </c>
      <c r="AG42" s="504">
        <f>SUM(AG10:AG40)</f>
        <v>0</v>
      </c>
      <c r="AH42" s="504">
        <f>IFERROR((AG42/$L$42),0)</f>
        <v>0</v>
      </c>
      <c r="AI42" s="504">
        <f>IFERROR(((AG42*AI$9)/$L$42),0)</f>
        <v>0</v>
      </c>
      <c r="AJ42" s="504">
        <f>SUM(AJ10:AJ40)</f>
        <v>0</v>
      </c>
      <c r="AK42" s="504">
        <f>IFERROR((AJ42/$L$42),0)</f>
        <v>0</v>
      </c>
      <c r="AL42" s="504">
        <f>IFERROR(((AJ42*AL$9)/$L$42),0)</f>
        <v>0</v>
      </c>
      <c r="AM42" s="504">
        <f>SUM(AM10:AM40)</f>
        <v>1488.4615384615386</v>
      </c>
      <c r="AN42" s="504">
        <f>IFERROR((AM42/$L$42),0)</f>
        <v>0</v>
      </c>
      <c r="AO42" s="504">
        <f>IFERROR(((AM42*AO$9)/$L$42),0)</f>
        <v>0</v>
      </c>
      <c r="AP42" s="504">
        <f>SUM(AP10:AP40)</f>
        <v>112.50000000000006</v>
      </c>
      <c r="AQ42" s="504">
        <f>IFERROR((AP42/$L$42),0)</f>
        <v>0</v>
      </c>
      <c r="AR42" s="504">
        <f>IFERROR(((AP42*AR$9)/$L$42),0)</f>
        <v>0</v>
      </c>
      <c r="AS42" s="504">
        <f>SUM(AS10:AS40)</f>
        <v>0</v>
      </c>
      <c r="AT42" s="504">
        <f>IFERROR((AS42/$L$42),0)</f>
        <v>0</v>
      </c>
      <c r="AU42" s="504">
        <f>IFERROR(((AS42*AU$9)/$L$42),0)</f>
        <v>0</v>
      </c>
      <c r="AV42" s="504">
        <f>SUM(AV10:AV40)</f>
        <v>274.72499999999997</v>
      </c>
      <c r="AW42" s="504">
        <f>IFERROR((AV42/$L$42),0)</f>
        <v>0</v>
      </c>
      <c r="AX42" s="504">
        <f>IFERROR(((AV42*AX$9)/$L$42),0)</f>
        <v>0</v>
      </c>
      <c r="AY42" s="504">
        <f>SUM(AY10:AY40)</f>
        <v>1785</v>
      </c>
      <c r="AZ42" s="504">
        <f>IFERROR((AY42/$L$42),0)</f>
        <v>0</v>
      </c>
      <c r="BA42" s="504">
        <f>IFERROR(((AY42*BA$9)/$L$42),0)</f>
        <v>0</v>
      </c>
      <c r="BB42" s="504">
        <f>SUM(BB10:BB40)</f>
        <v>0</v>
      </c>
      <c r="BC42" s="504">
        <f>IFERROR((BB42/$L$42),0)</f>
        <v>0</v>
      </c>
      <c r="BD42" s="504">
        <f>IFERROR(((BB42*BD$9)/$L$42),0)</f>
        <v>0</v>
      </c>
      <c r="BE42" s="504">
        <f>SUM(BE10:BE40)</f>
        <v>0</v>
      </c>
      <c r="BF42" s="504">
        <f>IFERROR((BE42/$L$42),0)</f>
        <v>0</v>
      </c>
      <c r="BG42" s="504">
        <f>IFERROR(((BE42*BG$9)/$L$42),0)</f>
        <v>0</v>
      </c>
      <c r="BH42" s="504">
        <f>SUM(BH10:BH40)</f>
        <v>0</v>
      </c>
      <c r="BI42" s="504">
        <f>IFERROR((BH42/$L$42),0)</f>
        <v>0</v>
      </c>
      <c r="BJ42" s="504">
        <f>IFERROR(((BH42*BJ$9)/$L$42),0)</f>
        <v>0</v>
      </c>
      <c r="BK42" s="504">
        <f>SUM(BK10:BK40)</f>
        <v>0</v>
      </c>
      <c r="BL42" s="504">
        <f>IFERROR((BK42/$L$42),0)</f>
        <v>0</v>
      </c>
      <c r="BM42" s="504">
        <f>IFERROR(((BK42*BM$9)/$L$42),0)</f>
        <v>0</v>
      </c>
      <c r="BN42" s="504">
        <f>SUM(BN10:BN40)</f>
        <v>617.53086419753083</v>
      </c>
      <c r="BO42" s="504">
        <f>IFERROR((BN42/$L$42),0)</f>
        <v>0</v>
      </c>
      <c r="BP42" s="504">
        <f>IFERROR(((BN42*BP$9)/$L$42),0)</f>
        <v>0</v>
      </c>
      <c r="BQ42" s="504">
        <f>SUM(BQ10:BQ40)</f>
        <v>430.76923076923072</v>
      </c>
      <c r="BR42" s="504">
        <f>IFERROR((BQ42/$L$42),0)</f>
        <v>0</v>
      </c>
      <c r="BS42" s="504">
        <f>IFERROR(((BQ42*BS$9)/$L$42),0)</f>
        <v>0</v>
      </c>
      <c r="BT42" s="504">
        <f>SUM(BT10:BT40)</f>
        <v>0</v>
      </c>
      <c r="BU42" s="504">
        <f>IFERROR((BT42/$L$42),0)</f>
        <v>0</v>
      </c>
      <c r="BV42" s="504">
        <f>IFERROR(((BT42*BV$9)/$L$42),0)</f>
        <v>0</v>
      </c>
      <c r="BW42" s="504">
        <f>SUM(BW10:BW40)</f>
        <v>0</v>
      </c>
      <c r="BX42" s="504">
        <f>IFERROR((BW42/$L$42),0)</f>
        <v>0</v>
      </c>
      <c r="BY42" s="504">
        <f>IFERROR(((BW42*BY$9)/$L$42),0)</f>
        <v>0</v>
      </c>
      <c r="BZ42" s="504">
        <f>SUM(BZ10:BZ40)</f>
        <v>0</v>
      </c>
      <c r="CA42" s="504">
        <f>IFERROR((BZ42/$L$42),0)</f>
        <v>0</v>
      </c>
      <c r="CB42" s="504">
        <f>IFERROR(((BZ42*CB$9)/$L$42),0)</f>
        <v>0</v>
      </c>
      <c r="CC42" s="504">
        <f>SUM(CC10:CC40)</f>
        <v>0</v>
      </c>
      <c r="CD42" s="504">
        <f>IFERROR((CC42/$L$42),0)</f>
        <v>0</v>
      </c>
      <c r="CE42" s="504">
        <f>IFERROR(((CC42*CE$9)/$L$42),0)</f>
        <v>0</v>
      </c>
      <c r="CF42" s="504">
        <f>SUM(CF10:CF40)</f>
        <v>241.5</v>
      </c>
      <c r="CG42" s="504">
        <f>IFERROR((CF42/$L$42),0)</f>
        <v>0</v>
      </c>
      <c r="CH42" s="504">
        <f>IFERROR(((CF42*CH$9)/$L$42),0)</f>
        <v>0</v>
      </c>
      <c r="CI42" s="504">
        <f>SUM(CI10:CI40)</f>
        <v>0</v>
      </c>
      <c r="CJ42" s="504">
        <f>IFERROR((CI42/$L$42),0)</f>
        <v>0</v>
      </c>
      <c r="CK42" s="504">
        <f>IFERROR(((CI42*CK$9)/$L$42),0)</f>
        <v>0</v>
      </c>
      <c r="CL42" s="504">
        <f>SUM(CL10:CL40)</f>
        <v>0</v>
      </c>
      <c r="CM42" s="504">
        <f>IFERROR((CL42/$L$42),0)</f>
        <v>0</v>
      </c>
      <c r="CN42" s="504">
        <f>IFERROR(((CL42*CN$9)/$L$42),0)</f>
        <v>0</v>
      </c>
      <c r="CO42" s="504">
        <f>SUM(CO10:CO40)</f>
        <v>0</v>
      </c>
      <c r="CP42" s="504">
        <f>IFERROR((CO42/$L$42),0)</f>
        <v>0</v>
      </c>
      <c r="CQ42" s="504">
        <f>IFERROR(((CO42*CQ$9)/$L$42),0)</f>
        <v>0</v>
      </c>
      <c r="CR42" s="504">
        <f>SUM(CR10:CR40)</f>
        <v>0</v>
      </c>
      <c r="CS42" s="504">
        <f>IFERROR((CR42/$L$42),0)</f>
        <v>0</v>
      </c>
      <c r="CT42" s="504">
        <f>IFERROR(((CR42*CT$9)/$L$42),0)</f>
        <v>0</v>
      </c>
      <c r="CU42" s="504">
        <f>SUM(CU10:CU40)</f>
        <v>0</v>
      </c>
      <c r="CV42" s="504">
        <f>IFERROR((CU42/$L$42),0)</f>
        <v>0</v>
      </c>
      <c r="CW42" s="504">
        <f>IFERROR(((CU42*CW$9)/$L$42),0)</f>
        <v>0</v>
      </c>
      <c r="CX42" s="504">
        <f>SUM(CX10:CX40)</f>
        <v>0</v>
      </c>
      <c r="CY42" s="504">
        <f>IFERROR((CX42/$L$42),0)</f>
        <v>0</v>
      </c>
      <c r="CZ42" s="504">
        <f>IFERROR(((CX42*CZ$9)/$L$42),0)</f>
        <v>0</v>
      </c>
      <c r="DA42" s="504">
        <f>SUM(DA10:DA40)</f>
        <v>973.83372093023263</v>
      </c>
      <c r="DB42" s="504">
        <f>IFERROR((DA42/$L$42),0)</f>
        <v>0</v>
      </c>
      <c r="DC42" s="504">
        <f>IFERROR(((DA42*DC$9)/$L$42),0)</f>
        <v>0</v>
      </c>
      <c r="DD42" s="504">
        <f>SUM(DD10:DD40)</f>
        <v>0</v>
      </c>
      <c r="DE42" s="504">
        <f>IFERROR((DD42/$L$42),0)</f>
        <v>0</v>
      </c>
      <c r="DF42" s="504">
        <f>IFERROR(((DD42*DF$9)/$L$42),0)</f>
        <v>0</v>
      </c>
      <c r="DG42" s="504">
        <f>SUM(DG15:DG40)</f>
        <v>0</v>
      </c>
      <c r="DH42" s="504">
        <f>IFERROR((DG42/$L$42),0)</f>
        <v>0</v>
      </c>
      <c r="DI42" s="504">
        <f>IFERROR(((DG42*DI$9)/$L$42),0)</f>
        <v>0</v>
      </c>
      <c r="DJ42" s="504">
        <f>SUM(DJ10:DJ40)</f>
        <v>0</v>
      </c>
      <c r="DK42" s="504">
        <f>IFERROR((DJ42/$L$42),0)</f>
        <v>0</v>
      </c>
      <c r="DL42" s="504">
        <f>IFERROR(((DJ42*DL$9)/$L$42),0)</f>
        <v>0</v>
      </c>
      <c r="DM42" s="504">
        <f>SUM(DM10:DM40)</f>
        <v>0</v>
      </c>
      <c r="DN42" s="504">
        <f>IFERROR((DM42/$L$42),0)</f>
        <v>0</v>
      </c>
      <c r="DO42" s="504">
        <f>IFERROR(((DM42*DO$9)/$L$42),0)</f>
        <v>0</v>
      </c>
      <c r="DP42" s="504">
        <f>SUM(DP10:DP40)</f>
        <v>0</v>
      </c>
      <c r="DQ42" s="504">
        <f>IFERROR((DP42/$L$42),0)</f>
        <v>0</v>
      </c>
      <c r="DR42" s="504">
        <f>IFERROR(((DP42*DR$9)/$L$42),0)</f>
        <v>0</v>
      </c>
      <c r="DS42" s="504">
        <f>SUM(DS10:DS40)</f>
        <v>0</v>
      </c>
      <c r="DT42" s="504">
        <f>IFERROR((DS42/$L$42),0)</f>
        <v>0</v>
      </c>
      <c r="DU42" s="504">
        <f>IFERROR(((DS42*DU$9)/$L$42),0)</f>
        <v>0</v>
      </c>
      <c r="DV42" s="504">
        <f>SUM(DV10:DV40)</f>
        <v>0</v>
      </c>
      <c r="DW42" s="504">
        <f>IFERROR((DV42/$L$42),0)</f>
        <v>0</v>
      </c>
      <c r="DX42" s="504">
        <f>IFERROR(((DV42*DX$9)/$L$42),0)</f>
        <v>0</v>
      </c>
      <c r="DY42" s="504">
        <f>SUM(DY10:DY40)</f>
        <v>10.783132530120483</v>
      </c>
      <c r="DZ42" s="504">
        <f>IFERROR((DY42/$L$42),0)</f>
        <v>0</v>
      </c>
      <c r="EA42" s="504">
        <f>IFERROR(((DY42*EA$9)/$L$42),0)</f>
        <v>0</v>
      </c>
      <c r="EB42" s="504">
        <f>SUM(EB10:EB40)</f>
        <v>385.17441860465118</v>
      </c>
      <c r="EC42" s="504">
        <f>IFERROR((EB42/$L$42),0)</f>
        <v>0</v>
      </c>
      <c r="ED42" s="504">
        <f>IFERROR(((EB42*ED$9)/$L$42),0)</f>
        <v>0</v>
      </c>
      <c r="EE42" s="504">
        <f>SUM(EE10:EE40)</f>
        <v>88</v>
      </c>
      <c r="EF42" s="504">
        <f>IFERROR((EE42/$L$42),0)</f>
        <v>0</v>
      </c>
      <c r="EG42" s="504">
        <f>IFERROR(((EE42*EG$9)/$L$42),0)</f>
        <v>0</v>
      </c>
      <c r="EH42" s="504">
        <f>SUM(EH10:EH40)</f>
        <v>0</v>
      </c>
      <c r="EI42" s="504">
        <f>IFERROR((EH42/$L$42),0)</f>
        <v>0</v>
      </c>
      <c r="EJ42" s="504">
        <f>IFERROR(((EH42*EJ$9)/$L$42),0)</f>
        <v>0</v>
      </c>
      <c r="EK42" s="504">
        <f>SUM(EK10:EK40)</f>
        <v>0</v>
      </c>
      <c r="EL42" s="504">
        <f>IFERROR((EK42/$L$42),0)</f>
        <v>0</v>
      </c>
      <c r="EM42" s="504">
        <f>IFERROR(((EK42*EM$9)/$L$42),0)</f>
        <v>0</v>
      </c>
      <c r="EN42" s="504">
        <f>SUM(EN10:EN40)</f>
        <v>0</v>
      </c>
      <c r="EO42" s="504">
        <f>IFERROR((EN42/$L$42),0)</f>
        <v>0</v>
      </c>
      <c r="EP42" s="504">
        <f>IFERROR(((EN42*EP$9)/$L$42),0)</f>
        <v>0</v>
      </c>
      <c r="EQ42" s="504">
        <f>SUM(EQ10:EQ40)</f>
        <v>0</v>
      </c>
      <c r="ER42" s="504">
        <f>IFERROR((EQ42/$L$42),0)</f>
        <v>0</v>
      </c>
      <c r="ES42" s="504">
        <f>IFERROR(((EQ42*ES$9)/$L$42),0)</f>
        <v>0</v>
      </c>
      <c r="ET42" s="504">
        <f>SUM(ET10:ET40)</f>
        <v>0</v>
      </c>
      <c r="EU42" s="504">
        <f>IFERROR((ET42/$L$42),0)</f>
        <v>0</v>
      </c>
      <c r="EV42" s="504">
        <f>IFERROR(((ET42*EV$9)/$L$42),0)</f>
        <v>0</v>
      </c>
      <c r="EW42" s="504">
        <f>SUM(EW10:EW40)</f>
        <v>0</v>
      </c>
      <c r="EX42" s="504">
        <f>IFERROR((EW42/$L$42),0)</f>
        <v>0</v>
      </c>
      <c r="EY42" s="504">
        <f>IFERROR(((EW42*EY$9)/$L$42),0)</f>
        <v>0</v>
      </c>
      <c r="EZ42" s="504">
        <f>SUM(EZ10:EZ40)</f>
        <v>0</v>
      </c>
      <c r="FA42" s="504">
        <f>IFERROR((EZ42/$L$42),0)</f>
        <v>0</v>
      </c>
      <c r="FB42" s="504">
        <f>IFERROR(((EZ42*FB$9)/$L$42),0)</f>
        <v>0</v>
      </c>
      <c r="FC42" s="504">
        <f>SUM(FC10:FC40)</f>
        <v>0</v>
      </c>
      <c r="FD42" s="504">
        <f>IFERROR((FC42/$L$42),0)</f>
        <v>0</v>
      </c>
      <c r="FE42" s="504">
        <f>IFERROR(((FC42*FE$9)/$L$42),0)</f>
        <v>0</v>
      </c>
      <c r="FF42" s="504">
        <f>SUM(FF10:FF40)</f>
        <v>0</v>
      </c>
      <c r="FG42" s="504">
        <f>IFERROR((FF42/$L$42),0)</f>
        <v>0</v>
      </c>
      <c r="FH42" s="504">
        <f>IFERROR(((FF42*FH$9)/$L$42),0)</f>
        <v>0</v>
      </c>
      <c r="FI42" s="504">
        <f>SUM(FI10:FI40)</f>
        <v>0</v>
      </c>
      <c r="FJ42" s="504">
        <f>IFERROR((FI42/$L$42),0)</f>
        <v>0</v>
      </c>
      <c r="FK42" s="504">
        <f>IFERROR(((FI42*FK$9)/$L$42),0)</f>
        <v>0</v>
      </c>
      <c r="FL42" s="504">
        <f>SUM(FL10:FL40)</f>
        <v>0</v>
      </c>
      <c r="FM42" s="504">
        <f>IFERROR((FL42/$L$42),0)</f>
        <v>0</v>
      </c>
      <c r="FN42" s="504">
        <f>IFERROR(((FL42*FN$9)/$L$42),0)</f>
        <v>0</v>
      </c>
      <c r="FO42" s="504">
        <f>SUM(FO10:FO40)</f>
        <v>0</v>
      </c>
      <c r="FP42" s="504">
        <f>IFERROR((FO42/$L$42),0)</f>
        <v>0</v>
      </c>
      <c r="FQ42" s="504">
        <f>IFERROR(((FO42*FQ$9)/$L$42),0)</f>
        <v>0</v>
      </c>
      <c r="FR42" s="504">
        <f>SUM(FR10:FR40)</f>
        <v>0</v>
      </c>
      <c r="FS42" s="504">
        <f>IFERROR((FR42/$L$42),0)</f>
        <v>0</v>
      </c>
      <c r="FT42" s="504">
        <f>IFERROR(((FR42*FT$9)/$L$42),0)</f>
        <v>0</v>
      </c>
      <c r="FU42" s="504">
        <f>SUM(FU10:FU40)</f>
        <v>0</v>
      </c>
      <c r="FV42" s="504">
        <f>IFERROR((FU42/$L$42),0)</f>
        <v>0</v>
      </c>
      <c r="FW42" s="504">
        <f>IFERROR(((FU42*FW$9)/$L$42),0)</f>
        <v>0</v>
      </c>
      <c r="FX42" s="504">
        <f>SUM(FX10:FX40)</f>
        <v>0</v>
      </c>
      <c r="FY42" s="504">
        <f>IFERROR((FX42/$L$42),0)</f>
        <v>0</v>
      </c>
      <c r="FZ42" s="504">
        <f>IFERROR(((FX42*FZ$9)/$L$42),0)</f>
        <v>0</v>
      </c>
      <c r="GA42" s="504">
        <f>SUM(GA10:GA40)</f>
        <v>0</v>
      </c>
      <c r="GB42" s="504">
        <f>IFERROR((GA42/$L$42),0)</f>
        <v>0</v>
      </c>
      <c r="GC42" s="504">
        <f>IFERROR(((GA42*GC$9)/$L$42),0)</f>
        <v>0</v>
      </c>
      <c r="GD42" s="504">
        <f>SUM(GD10:GD40)</f>
        <v>0</v>
      </c>
      <c r="GE42" s="504">
        <f>IFERROR((GD42/$L$42),0)</f>
        <v>0</v>
      </c>
      <c r="GF42" s="504">
        <f>IFERROR(((GD42*GF$9)/$L$42),0)</f>
        <v>0</v>
      </c>
      <c r="GG42" s="504">
        <f>SUM(GG10:GG40)</f>
        <v>0</v>
      </c>
      <c r="GH42" s="504">
        <f>IFERROR((GG42/$L$42),0)</f>
        <v>0</v>
      </c>
      <c r="GI42" s="504">
        <f>IFERROR(((GG42*GI$9)/$L$42),0)</f>
        <v>0</v>
      </c>
      <c r="GJ42" s="504">
        <f>SUM(GJ10:GJ40)</f>
        <v>0</v>
      </c>
      <c r="GK42" s="504">
        <f>IFERROR((GJ42/$L$42),0)</f>
        <v>0</v>
      </c>
      <c r="GL42" s="504">
        <f>IFERROR(((GJ42*GL$9)/$L$42),0)</f>
        <v>0</v>
      </c>
      <c r="GM42" s="504">
        <f>SUM(GM10:GM40)</f>
        <v>0</v>
      </c>
      <c r="GN42" s="504">
        <f>IFERROR((GM42/$L$42),0)</f>
        <v>0</v>
      </c>
      <c r="GO42" s="504">
        <f>IFERROR(((GM42*GO$9)/$L$42),0)</f>
        <v>0</v>
      </c>
      <c r="GP42" s="504">
        <f>SUM(GP10:GP40)</f>
        <v>0</v>
      </c>
      <c r="GQ42" s="504">
        <f>IFERROR((GP42/$L$42),0)</f>
        <v>0</v>
      </c>
      <c r="GR42" s="504">
        <f>IFERROR(((GP42*GR$9)/$L$42),0)</f>
        <v>0</v>
      </c>
      <c r="GS42" s="504">
        <f>SUM(GS10:GS40)</f>
        <v>0</v>
      </c>
      <c r="GT42" s="504">
        <f>IFERROR((GS42/$L$42),0)</f>
        <v>0</v>
      </c>
      <c r="GU42" s="504">
        <f>IFERROR(((GS42*GU$9)/$L$42),0)</f>
        <v>0</v>
      </c>
      <c r="GV42" s="504">
        <f>SUM(GV10:GV40)</f>
        <v>0</v>
      </c>
      <c r="GW42" s="504">
        <f>IFERROR((GV42/$L$42),0)</f>
        <v>0</v>
      </c>
      <c r="GX42" s="504">
        <f>IFERROR(((GV42*GX$9)/$L$42),0)</f>
        <v>0</v>
      </c>
      <c r="GY42" s="504">
        <f>SUM(GY10:GY40)</f>
        <v>0</v>
      </c>
      <c r="GZ42" s="504">
        <f>IFERROR((GY42/$L$42),0)</f>
        <v>0</v>
      </c>
      <c r="HA42" s="504">
        <f>IFERROR(((GY42*HA$9)/$L$42),0)</f>
        <v>0</v>
      </c>
      <c r="HB42" s="504">
        <f>SUM(HB10:HB40)</f>
        <v>0</v>
      </c>
      <c r="HC42" s="504">
        <f>IFERROR((HB42/$L$42),0)</f>
        <v>0</v>
      </c>
      <c r="HD42" s="504">
        <f>IFERROR(((HB42*HD$9)/$L$42),0)</f>
        <v>0</v>
      </c>
      <c r="HE42" s="504">
        <f>SUM(HE10:HE40)</f>
        <v>0</v>
      </c>
      <c r="HF42" s="504">
        <f>IFERROR((HE42/$L$42),0)</f>
        <v>0</v>
      </c>
      <c r="HG42" s="504">
        <f>IFERROR(((HE42*HG$9)/$L$42),0)</f>
        <v>0</v>
      </c>
      <c r="HH42" s="504">
        <f>SUM(HH10:HH40)</f>
        <v>0</v>
      </c>
      <c r="HI42" s="504">
        <f>IFERROR((HH42/$L$42),0)</f>
        <v>0</v>
      </c>
      <c r="HJ42" s="504">
        <f>IFERROR(((HH42*HJ$9)/$L$42),0)</f>
        <v>0</v>
      </c>
      <c r="HK42" s="504">
        <f>SUM(HK10:HK40)</f>
        <v>0</v>
      </c>
      <c r="HL42" s="504">
        <f>IFERROR((HK42/$L$42),0)</f>
        <v>0</v>
      </c>
      <c r="HM42" s="504">
        <f>IFERROR(((HK42*HM$9)/$L$42),0)</f>
        <v>0</v>
      </c>
      <c r="HN42" s="504">
        <f>SUM(HN10:HN40)</f>
        <v>0</v>
      </c>
      <c r="HO42" s="504">
        <f>IFERROR((HN42/$L$42),0)</f>
        <v>0</v>
      </c>
      <c r="HP42" s="504">
        <f>IFERROR(((HN42*HP$9)/$L$42),0)</f>
        <v>0</v>
      </c>
      <c r="HQ42" s="504">
        <f>SUM(HQ10:HQ40)</f>
        <v>0</v>
      </c>
      <c r="HR42" s="504">
        <f>IFERROR((HQ42/$L$42),0)</f>
        <v>0</v>
      </c>
      <c r="HS42" s="504">
        <f>IFERROR(((HQ42*HS$9)/$L$42),0)</f>
        <v>0</v>
      </c>
      <c r="HT42" s="504">
        <f>SUM(HT10:HT40)</f>
        <v>0</v>
      </c>
      <c r="HU42" s="504">
        <f>IFERROR((HT42/$L$42),0)</f>
        <v>0</v>
      </c>
      <c r="HV42" s="504">
        <f>IFERROR(((HT42*HV$9)/$L$42),0)</f>
        <v>0</v>
      </c>
      <c r="HW42" s="504">
        <f>SUM(HW10:HW40)</f>
        <v>0</v>
      </c>
      <c r="HX42" s="504">
        <f>IFERROR((HW42/$L$42),0)</f>
        <v>0</v>
      </c>
      <c r="HY42" s="504">
        <f>IFERROR(((HW42*HY$9)/$L$42),0)</f>
        <v>0</v>
      </c>
      <c r="HZ42" s="504">
        <f>SUM(HZ10:HZ40)</f>
        <v>0</v>
      </c>
      <c r="IA42" s="504">
        <f>IFERROR((HZ42/$L$42),0)</f>
        <v>0</v>
      </c>
      <c r="IB42" s="504">
        <f>IFERROR(((HZ42*IB$9)/$L$42),0)</f>
        <v>0</v>
      </c>
      <c r="IC42" s="504">
        <f>SUM(IC10:IC40)</f>
        <v>0</v>
      </c>
      <c r="ID42" s="504">
        <f>IFERROR((IC42/$L$42),0)</f>
        <v>0</v>
      </c>
      <c r="IE42" s="504">
        <f>IFERROR(((IC42*IE$9)/$L$42),0)</f>
        <v>0</v>
      </c>
      <c r="IF42" s="504">
        <f>SUM(IF10:IF40)</f>
        <v>0</v>
      </c>
      <c r="IG42" s="504">
        <f>IFERROR((IF42/$L$42),0)</f>
        <v>0</v>
      </c>
      <c r="IH42" s="504">
        <f>IFERROR(((IF42*IH$9)/$L$42),0)</f>
        <v>0</v>
      </c>
      <c r="II42" s="504">
        <f>SUM(II10:II40)</f>
        <v>0</v>
      </c>
      <c r="IJ42" s="504">
        <f>IFERROR((II42/$L$42),0)</f>
        <v>0</v>
      </c>
      <c r="IK42" s="504">
        <f>IFERROR(((II42*IK$9)/$L$42),0)</f>
        <v>0</v>
      </c>
      <c r="IL42" s="504">
        <f>SUM(IL10:IL40)</f>
        <v>0</v>
      </c>
      <c r="IM42" s="504">
        <f>IFERROR((IL42/$L$42),0)</f>
        <v>0</v>
      </c>
      <c r="IN42" s="504">
        <f>IFERROR(((IL42*IN$9)/$L$42),0)</f>
        <v>0</v>
      </c>
      <c r="IO42" s="504">
        <f>SUM(IO10:IO40)</f>
        <v>0</v>
      </c>
      <c r="IP42" s="504">
        <f>IFERROR((IO42/$L$42),0)</f>
        <v>0</v>
      </c>
      <c r="IQ42" s="504">
        <f>IFERROR(((IO42*IQ$9)/$L$42),0)</f>
        <v>0</v>
      </c>
      <c r="IR42" s="504">
        <f>SUM(IR10:IR40)</f>
        <v>0</v>
      </c>
      <c r="IS42" s="504">
        <f>IFERROR((IR42/$L$42),0)</f>
        <v>0</v>
      </c>
      <c r="IT42" s="504">
        <f>IFERROR(((IR42*IT$9)/$L$42),0)</f>
        <v>0</v>
      </c>
      <c r="IU42" s="504">
        <f>SUM(IU10:IU40)</f>
        <v>0</v>
      </c>
      <c r="IV42" s="504">
        <f>IFERROR((IU42/$L$42),0)</f>
        <v>0</v>
      </c>
      <c r="IW42" s="504">
        <f>IFERROR(((IU42*IW$9)/$L$42),0)</f>
        <v>0</v>
      </c>
      <c r="IX42" s="504">
        <f>SUM(IX10:IX40)</f>
        <v>0</v>
      </c>
      <c r="IY42" s="504">
        <f>IFERROR((IX42/$L$42),0)</f>
        <v>0</v>
      </c>
      <c r="IZ42" s="504">
        <f>IFERROR(((IX42*IZ$9)/$L$42),0)</f>
        <v>0</v>
      </c>
      <c r="JA42" s="504">
        <f>SUM(JA10:JA40)</f>
        <v>0</v>
      </c>
      <c r="JB42" s="504">
        <f>IFERROR((JA42/$L$42),0)</f>
        <v>0</v>
      </c>
      <c r="JC42" s="504">
        <f>IFERROR(((JA42*JC$9)/$L$42),0)</f>
        <v>0</v>
      </c>
      <c r="JD42" s="504">
        <f>SUM(JD10:JD40)</f>
        <v>0</v>
      </c>
      <c r="JE42" s="504">
        <f>IFERROR((JD42/$L$42),0)</f>
        <v>0</v>
      </c>
      <c r="JF42" s="504">
        <f>IFERROR(((JD42*JF$9)/$L$42),0)</f>
        <v>0</v>
      </c>
      <c r="JG42" s="504">
        <f>SUM(JG10:JG40)</f>
        <v>0</v>
      </c>
      <c r="JH42" s="504">
        <f>IFERROR((JG42/$L$42),0)</f>
        <v>0</v>
      </c>
      <c r="JI42" s="504">
        <f>IFERROR(((JG42*JI$9)/$L$42),0)</f>
        <v>0</v>
      </c>
      <c r="JJ42" s="504">
        <f>SUM(JJ10:JJ40)</f>
        <v>0</v>
      </c>
      <c r="JK42" s="504">
        <f>IFERROR((JJ42/$L$42),0)</f>
        <v>0</v>
      </c>
      <c r="JL42" s="504">
        <f>IFERROR(((JJ42*JL$9)/$L$42),0)</f>
        <v>0</v>
      </c>
      <c r="JM42" s="504">
        <f>SUM(JM10:JM40)</f>
        <v>0</v>
      </c>
      <c r="JN42" s="504">
        <f>IFERROR((JM42/$L$42),0)</f>
        <v>0</v>
      </c>
      <c r="JO42" s="504">
        <f>IFERROR(((JM42*JO$9)/$L$42),0)</f>
        <v>0</v>
      </c>
      <c r="JP42" s="504">
        <f>SUM(JP10:JP40)</f>
        <v>0</v>
      </c>
      <c r="JQ42" s="504">
        <f>IFERROR((JP42/$L$42),0)</f>
        <v>0</v>
      </c>
      <c r="JR42" s="504">
        <f>IFERROR(((JP42*JR$9)/$L$42),0)</f>
        <v>0</v>
      </c>
      <c r="JS42" s="504">
        <f>SUM(JS10:JS40)</f>
        <v>0</v>
      </c>
      <c r="JT42" s="504">
        <f>IFERROR((JS42/$L$42),0)</f>
        <v>0</v>
      </c>
      <c r="JU42" s="504">
        <f>IFERROR(((JS42*JU$9)/$L$42),0)</f>
        <v>0</v>
      </c>
      <c r="JV42" s="504">
        <f>SUM(JV10:JV40)</f>
        <v>0</v>
      </c>
      <c r="JW42" s="504">
        <f>IFERROR((JV42/$L$42),0)</f>
        <v>0</v>
      </c>
      <c r="JX42" s="504">
        <f>IFERROR(((JV42*JX$9)/$L$42),0)</f>
        <v>0</v>
      </c>
      <c r="JY42" s="504">
        <f>SUM(JY10:JY40)</f>
        <v>0</v>
      </c>
      <c r="JZ42" s="504">
        <f>IFERROR((JY42/$L$42),0)</f>
        <v>0</v>
      </c>
      <c r="KA42" s="504">
        <f>IFERROR(((JY42*KA$9)/$L$42),0)</f>
        <v>0</v>
      </c>
      <c r="KB42" s="504">
        <f>SUM(KB10:KB40)</f>
        <v>0</v>
      </c>
      <c r="KC42" s="504">
        <f>IFERROR((KB42/$L$42),0)</f>
        <v>0</v>
      </c>
      <c r="KD42" s="504">
        <f>IFERROR(((KB42*KD$9)/$L$42),0)</f>
        <v>0</v>
      </c>
      <c r="KE42" s="504">
        <f>SUM(KE10:KE40)</f>
        <v>0</v>
      </c>
      <c r="KF42" s="504">
        <f>IFERROR((KE42/$L$42),0)</f>
        <v>0</v>
      </c>
      <c r="KG42" s="504">
        <f>IFERROR(((KE42*KG$9)/$L$42),0)</f>
        <v>0</v>
      </c>
      <c r="KH42" s="504">
        <f>SUM(KH10:KH40)</f>
        <v>0</v>
      </c>
      <c r="KI42" s="504">
        <f>IFERROR((KH42/$L$42),0)</f>
        <v>0</v>
      </c>
      <c r="KJ42" s="504">
        <f>IFERROR(((KH42*KJ$9)/$L$42),0)</f>
        <v>0</v>
      </c>
      <c r="KK42" s="504">
        <f>SUM(KK10:KK40)</f>
        <v>0</v>
      </c>
      <c r="KL42" s="504">
        <f>IFERROR((KK42/$L$42),0)</f>
        <v>0</v>
      </c>
      <c r="KM42" s="504">
        <f>IFERROR(((KK42*KM$9)/$L$42),0)</f>
        <v>0</v>
      </c>
      <c r="KN42" s="504">
        <f>SUM(KN10:KN40)</f>
        <v>0</v>
      </c>
      <c r="KO42" s="504">
        <f>IFERROR((KN42/$L$42),0)</f>
        <v>0</v>
      </c>
      <c r="KP42" s="504">
        <f>IFERROR(((KN42*KP$9)/$L$42),0)</f>
        <v>0</v>
      </c>
      <c r="KQ42" s="504">
        <f>SUM(KQ10:KQ40)</f>
        <v>0</v>
      </c>
      <c r="KR42" s="504">
        <f>IFERROR((KQ42/$L$42),0)</f>
        <v>0</v>
      </c>
      <c r="KS42" s="504">
        <f>IFERROR(((KQ42*KS$9)/$L$42),0)</f>
        <v>0</v>
      </c>
      <c r="KT42" s="505">
        <f t="shared" si="201"/>
        <v>0</v>
      </c>
      <c r="KU42" s="505">
        <f t="shared" si="202"/>
        <v>0</v>
      </c>
      <c r="KV42" s="264">
        <f>+F42+I42+L42+O42+R42+U42+X42+AA42+AD42+AG42+AJ42+AM42+AP42+AS42+AV42+AY42+BB42+BE42+BH42+BK42+BN42+BQ42+BT42+BW42+BZ42+CC42+CF42+CI42+CL42+CO42+CR42+CU42+CX42+DA42+DD42+DJ42+DM42+DP42+DS42+DV42+DY42+EB42+EE42+EH42+EK42+EN42</f>
        <v>11391.032265958424</v>
      </c>
    </row>
    <row r="43" spans="1:308" ht="15" customHeight="1" thickTop="1">
      <c r="A43" s="272" t="s">
        <v>150</v>
      </c>
      <c r="B43" s="273" t="s">
        <v>151</v>
      </c>
      <c r="C43" s="274" t="s">
        <v>160</v>
      </c>
      <c r="D43" s="261"/>
      <c r="E43" s="261"/>
    </row>
    <row r="44" spans="1:308" ht="15" customHeight="1">
      <c r="A44" s="275"/>
      <c r="B44" s="273" t="s">
        <v>152</v>
      </c>
      <c r="C44" s="274" t="s">
        <v>158</v>
      </c>
      <c r="D44" s="261"/>
      <c r="E44" s="261"/>
    </row>
    <row r="45" spans="1:308" ht="15" customHeight="1">
      <c r="A45" s="275"/>
      <c r="B45" s="276" t="s">
        <v>153</v>
      </c>
      <c r="C45" s="274" t="s">
        <v>154</v>
      </c>
      <c r="D45" s="261"/>
      <c r="E45" s="261"/>
    </row>
  </sheetData>
  <mergeCells count="210">
    <mergeCell ref="KN8:KO8"/>
    <mergeCell ref="KQ8:KR8"/>
    <mergeCell ref="JY8:JZ8"/>
    <mergeCell ref="KB8:KC8"/>
    <mergeCell ref="KE8:KF8"/>
    <mergeCell ref="KH8:KI8"/>
    <mergeCell ref="KK8:KL8"/>
    <mergeCell ref="JJ8:JK8"/>
    <mergeCell ref="JM8:JN8"/>
    <mergeCell ref="JP8:JQ8"/>
    <mergeCell ref="JS8:JT8"/>
    <mergeCell ref="JV8:JW8"/>
    <mergeCell ref="IU8:IV8"/>
    <mergeCell ref="IX8:IY8"/>
    <mergeCell ref="JA8:JB8"/>
    <mergeCell ref="JD8:JE8"/>
    <mergeCell ref="JG8:JH8"/>
    <mergeCell ref="IF8:IG8"/>
    <mergeCell ref="II8:IJ8"/>
    <mergeCell ref="IL8:IM8"/>
    <mergeCell ref="IO8:IP8"/>
    <mergeCell ref="IR8:IS8"/>
    <mergeCell ref="HQ8:HR8"/>
    <mergeCell ref="HT8:HU8"/>
    <mergeCell ref="HW8:HX8"/>
    <mergeCell ref="HZ8:IA8"/>
    <mergeCell ref="IC8:ID8"/>
    <mergeCell ref="HB8:HC8"/>
    <mergeCell ref="HE8:HF8"/>
    <mergeCell ref="HH8:HI8"/>
    <mergeCell ref="HK8:HL8"/>
    <mergeCell ref="HN8:HO8"/>
    <mergeCell ref="GM8:GN8"/>
    <mergeCell ref="GP8:GQ8"/>
    <mergeCell ref="GS8:GT8"/>
    <mergeCell ref="GV8:GW8"/>
    <mergeCell ref="GY8:GZ8"/>
    <mergeCell ref="FX8:FY8"/>
    <mergeCell ref="GA8:GB8"/>
    <mergeCell ref="GD8:GE8"/>
    <mergeCell ref="GG8:GH8"/>
    <mergeCell ref="GJ8:GK8"/>
    <mergeCell ref="FI8:FJ8"/>
    <mergeCell ref="FL8:FM8"/>
    <mergeCell ref="FO8:FP8"/>
    <mergeCell ref="FR8:FS8"/>
    <mergeCell ref="FU8:FV8"/>
    <mergeCell ref="ET8:EU8"/>
    <mergeCell ref="EW8:EX8"/>
    <mergeCell ref="EZ8:FA8"/>
    <mergeCell ref="FC8:FD8"/>
    <mergeCell ref="FF8:FG8"/>
    <mergeCell ref="EE8:EF8"/>
    <mergeCell ref="EH8:EI8"/>
    <mergeCell ref="EK8:EL8"/>
    <mergeCell ref="EN8:EO8"/>
    <mergeCell ref="EQ8:ER8"/>
    <mergeCell ref="DP8:DQ8"/>
    <mergeCell ref="DS8:DT8"/>
    <mergeCell ref="DV8:DW8"/>
    <mergeCell ref="DY8:DZ8"/>
    <mergeCell ref="EB8:EC8"/>
    <mergeCell ref="DA8:DB8"/>
    <mergeCell ref="DD8:DE8"/>
    <mergeCell ref="DG8:DH8"/>
    <mergeCell ref="DJ8:DK8"/>
    <mergeCell ref="DM8:DN8"/>
    <mergeCell ref="CL8:CM8"/>
    <mergeCell ref="CO8:CP8"/>
    <mergeCell ref="CR8:CS8"/>
    <mergeCell ref="CU8:CV8"/>
    <mergeCell ref="CX8:CY8"/>
    <mergeCell ref="BW8:BX8"/>
    <mergeCell ref="BZ8:CA8"/>
    <mergeCell ref="CC8:CD8"/>
    <mergeCell ref="CF8:CG8"/>
    <mergeCell ref="CI8:CJ8"/>
    <mergeCell ref="BH8:BI8"/>
    <mergeCell ref="BK8:BL8"/>
    <mergeCell ref="BN8:BO8"/>
    <mergeCell ref="BQ8:BR8"/>
    <mergeCell ref="BT8:BU8"/>
    <mergeCell ref="U8:V8"/>
    <mergeCell ref="X8:Y8"/>
    <mergeCell ref="AA8:AB8"/>
    <mergeCell ref="AD8:AE8"/>
    <mergeCell ref="AG8:AH8"/>
    <mergeCell ref="F8:G8"/>
    <mergeCell ref="I8:J8"/>
    <mergeCell ref="L8:M8"/>
    <mergeCell ref="O8:P8"/>
    <mergeCell ref="R8:S8"/>
    <mergeCell ref="KE7:KG7"/>
    <mergeCell ref="KH7:KJ7"/>
    <mergeCell ref="KK7:KM7"/>
    <mergeCell ref="KN7:KP7"/>
    <mergeCell ref="KQ7:KS7"/>
    <mergeCell ref="JP7:JR7"/>
    <mergeCell ref="JS7:JU7"/>
    <mergeCell ref="JV7:JX7"/>
    <mergeCell ref="JY7:KA7"/>
    <mergeCell ref="KB7:KD7"/>
    <mergeCell ref="JA7:JC7"/>
    <mergeCell ref="JD7:JF7"/>
    <mergeCell ref="JG7:JI7"/>
    <mergeCell ref="JJ7:JL7"/>
    <mergeCell ref="JM7:JO7"/>
    <mergeCell ref="IL7:IN7"/>
    <mergeCell ref="IO7:IQ7"/>
    <mergeCell ref="IR7:IT7"/>
    <mergeCell ref="IU7:IW7"/>
    <mergeCell ref="IX7:IZ7"/>
    <mergeCell ref="HW7:HY7"/>
    <mergeCell ref="HZ7:IB7"/>
    <mergeCell ref="IC7:IE7"/>
    <mergeCell ref="IF7:IH7"/>
    <mergeCell ref="II7:IK7"/>
    <mergeCell ref="HH7:HJ7"/>
    <mergeCell ref="HK7:HM7"/>
    <mergeCell ref="HN7:HP7"/>
    <mergeCell ref="HQ7:HS7"/>
    <mergeCell ref="HT7:HV7"/>
    <mergeCell ref="GS7:GU7"/>
    <mergeCell ref="GV7:GX7"/>
    <mergeCell ref="GY7:HA7"/>
    <mergeCell ref="HB7:HD7"/>
    <mergeCell ref="HE7:HG7"/>
    <mergeCell ref="GD7:GF7"/>
    <mergeCell ref="GG7:GI7"/>
    <mergeCell ref="GJ7:GL7"/>
    <mergeCell ref="GM7:GO7"/>
    <mergeCell ref="GP7:GR7"/>
    <mergeCell ref="FO7:FQ7"/>
    <mergeCell ref="FR7:FT7"/>
    <mergeCell ref="FU7:FW7"/>
    <mergeCell ref="FX7:FZ7"/>
    <mergeCell ref="GA7:GC7"/>
    <mergeCell ref="EZ7:FB7"/>
    <mergeCell ref="FC7:FE7"/>
    <mergeCell ref="FF7:FH7"/>
    <mergeCell ref="FI7:FK7"/>
    <mergeCell ref="FL7:FN7"/>
    <mergeCell ref="EK7:EM7"/>
    <mergeCell ref="EN7:EP7"/>
    <mergeCell ref="EQ7:ES7"/>
    <mergeCell ref="ET7:EV7"/>
    <mergeCell ref="EW7:EY7"/>
    <mergeCell ref="DV7:DX7"/>
    <mergeCell ref="DY7:EA7"/>
    <mergeCell ref="EB7:ED7"/>
    <mergeCell ref="EE7:EG7"/>
    <mergeCell ref="EH7:EJ7"/>
    <mergeCell ref="DG7:DI7"/>
    <mergeCell ref="DJ7:DL7"/>
    <mergeCell ref="DM7:DO7"/>
    <mergeCell ref="DP7:DR7"/>
    <mergeCell ref="DS7:DU7"/>
    <mergeCell ref="CR7:CT7"/>
    <mergeCell ref="CU7:CW7"/>
    <mergeCell ref="CX7:CZ7"/>
    <mergeCell ref="DA7:DC7"/>
    <mergeCell ref="DD7:DF7"/>
    <mergeCell ref="BK7:BM7"/>
    <mergeCell ref="BN7:BP7"/>
    <mergeCell ref="BQ7:BS7"/>
    <mergeCell ref="BT7:BV7"/>
    <mergeCell ref="A41:C41"/>
    <mergeCell ref="GD6:KS6"/>
    <mergeCell ref="KT6:KT9"/>
    <mergeCell ref="KU6:KU9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F6:GC6"/>
    <mergeCell ref="AS7:AU7"/>
    <mergeCell ref="AV7:AX7"/>
    <mergeCell ref="A6:A9"/>
    <mergeCell ref="B6:B9"/>
    <mergeCell ref="C6:C9"/>
    <mergeCell ref="D6:D9"/>
    <mergeCell ref="E6:E9"/>
    <mergeCell ref="CL7:CN7"/>
    <mergeCell ref="CO7:CQ7"/>
    <mergeCell ref="AP8:AQ8"/>
    <mergeCell ref="AS8:AT8"/>
    <mergeCell ref="AV8:AW8"/>
    <mergeCell ref="AY8:AZ8"/>
    <mergeCell ref="BB8:BC8"/>
    <mergeCell ref="BE8:BF8"/>
    <mergeCell ref="AY7:BA7"/>
    <mergeCell ref="BB7:BD7"/>
    <mergeCell ref="BE7:BG7"/>
    <mergeCell ref="AJ8:AK8"/>
    <mergeCell ref="AM8:AN8"/>
    <mergeCell ref="BW7:BY7"/>
    <mergeCell ref="BZ7:CB7"/>
    <mergeCell ref="CC7:CE7"/>
    <mergeCell ref="CF7:CH7"/>
    <mergeCell ref="CI7:CK7"/>
    <mergeCell ref="BH7:BJ7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45"/>
  <sheetViews>
    <sheetView zoomScale="85" workbookViewId="0">
      <pane xSplit="5" ySplit="9" topLeftCell="BZ28" activePane="bottomRight" state="frozen"/>
      <selection pane="topRight"/>
      <selection pane="bottomLeft"/>
      <selection pane="bottomRight" activeCell="EL42" sqref="A4:EL42"/>
    </sheetView>
  </sheetViews>
  <sheetFormatPr defaultColWidth="9.140625" defaultRowHeight="12.75"/>
  <cols>
    <col min="1" max="1" width="8" customWidth="1"/>
    <col min="3" max="3" width="10.7109375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1.5703125" hidden="1" customWidth="1"/>
    <col min="32" max="32" width="9.28515625" hidden="1" customWidth="1"/>
    <col min="33" max="33" width="11.5703125" hidden="1" customWidth="1"/>
    <col min="34" max="34" width="9.28515625" hidden="1" customWidth="1"/>
    <col min="35" max="35" width="11.5703125" hidden="1" customWidth="1"/>
    <col min="36" max="36" width="8.7109375" hidden="1" customWidth="1"/>
    <col min="37" max="37" width="12.7109375" hidden="1" customWidth="1"/>
    <col min="38" max="38" width="8" hidden="1" customWidth="1"/>
    <col min="39" max="39" width="12.7109375" hidden="1" customWidth="1"/>
    <col min="40" max="40" width="8" hidden="1" customWidth="1"/>
    <col min="41" max="41" width="11" hidden="1" customWidth="1"/>
    <col min="42" max="42" width="8" hidden="1" customWidth="1"/>
    <col min="43" max="43" width="13.42578125" hidden="1" customWidth="1"/>
    <col min="44" max="44" width="8.28515625" hidden="1" customWidth="1"/>
    <col min="45" max="45" width="12.7109375" hidden="1" customWidth="1"/>
    <col min="46" max="46" width="7.5703125" hidden="1" customWidth="1"/>
    <col min="47" max="47" width="11.5703125" hidden="1" customWidth="1"/>
    <col min="48" max="48" width="8.5703125" hidden="1" customWidth="1"/>
    <col min="49" max="49" width="11.5703125" hidden="1" customWidth="1"/>
    <col min="50" max="50" width="8" hidden="1" customWidth="1"/>
    <col min="51" max="51" width="13.42578125" hidden="1" customWidth="1"/>
    <col min="52" max="52" width="8" hidden="1" customWidth="1"/>
    <col min="53" max="53" width="11.42578125" hidden="1" customWidth="1"/>
    <col min="54" max="54" width="8" hidden="1" customWidth="1"/>
    <col min="55" max="55" width="11.5703125" hidden="1" customWidth="1"/>
    <col min="56" max="56" width="8.140625" hidden="1" customWidth="1"/>
    <col min="57" max="57" width="11.5703125" hidden="1" customWidth="1"/>
    <col min="58" max="58" width="8" hidden="1" customWidth="1"/>
    <col min="59" max="59" width="11.85546875" hidden="1" customWidth="1"/>
    <col min="60" max="60" width="8.140625" hidden="1" customWidth="1"/>
    <col min="61" max="61" width="10.28515625" hidden="1" customWidth="1"/>
    <col min="62" max="62" width="8" hidden="1" customWidth="1"/>
    <col min="63" max="63" width="14" hidden="1" customWidth="1"/>
    <col min="64" max="64" width="8.7109375" hidden="1" customWidth="1"/>
    <col min="65" max="65" width="12.7109375" hidden="1" customWidth="1"/>
    <col min="66" max="66" width="7.42578125" hidden="1" customWidth="1"/>
    <col min="67" max="67" width="11.42578125" hidden="1" customWidth="1"/>
    <col min="68" max="68" width="8.7109375" hidden="1" customWidth="1"/>
    <col min="69" max="69" width="11.42578125" hidden="1" customWidth="1"/>
    <col min="70" max="70" width="7.7109375" hidden="1" customWidth="1"/>
    <col min="71" max="71" width="15.42578125" hidden="1" customWidth="1"/>
    <col min="72" max="72" width="8" hidden="1" customWidth="1"/>
    <col min="73" max="73" width="12.7109375" hidden="1" customWidth="1"/>
    <col min="74" max="74" width="7.7109375" hidden="1" customWidth="1"/>
    <col min="75" max="75" width="13.140625" bestFit="1" customWidth="1"/>
    <col min="76" max="76" width="8.28515625" bestFit="1" customWidth="1"/>
    <col min="77" max="77" width="14.42578125" bestFit="1" customWidth="1"/>
    <col min="78" max="78" width="8" bestFit="1" customWidth="1"/>
    <col min="79" max="79" width="12.7109375" hidden="1" customWidth="1"/>
    <col min="80" max="80" width="8.7109375" hidden="1" customWidth="1"/>
    <col min="81" max="81" width="12.140625" hidden="1" customWidth="1"/>
    <col min="82" max="82" width="21.42578125" hidden="1" customWidth="1"/>
    <col min="83" max="83" width="10.28515625" hidden="1" customWidth="1"/>
    <col min="84" max="84" width="7.7109375" hidden="1" customWidth="1"/>
    <col min="85" max="85" width="10.28515625" hidden="1" customWidth="1"/>
    <col min="86" max="86" width="7.7109375" hidden="1" customWidth="1"/>
    <col min="87" max="87" width="10.28515625" hidden="1" customWidth="1"/>
    <col min="88" max="88" width="7.7109375" hidden="1" customWidth="1"/>
    <col min="89" max="89" width="11.28515625" hidden="1" customWidth="1"/>
    <col min="90" max="90" width="8.85546875" hidden="1" customWidth="1"/>
    <col min="91" max="91" width="12.85546875" hidden="1" customWidth="1"/>
    <col min="92" max="92" width="7.7109375" hidden="1" customWidth="1"/>
    <col min="93" max="93" width="12.42578125" hidden="1" customWidth="1"/>
    <col min="94" max="94" width="7.7109375" hidden="1" customWidth="1"/>
    <col min="95" max="95" width="15.140625" hidden="1" customWidth="1"/>
    <col min="96" max="96" width="12.28515625" hidden="1" customWidth="1"/>
    <col min="97" max="97" width="14.42578125" hidden="1" customWidth="1"/>
    <col min="98" max="98" width="9.42578125" hidden="1" customWidth="1"/>
    <col min="99" max="99" width="15" hidden="1" customWidth="1"/>
    <col min="100" max="100" width="9.28515625" hidden="1" customWidth="1"/>
    <col min="101" max="101" width="14.42578125" hidden="1" customWidth="1"/>
    <col min="102" max="102" width="8.140625" hidden="1" customWidth="1"/>
    <col min="103" max="103" width="11.42578125" hidden="1" customWidth="1"/>
    <col min="104" max="104" width="8.5703125" hidden="1" customWidth="1"/>
    <col min="105" max="105" width="11.42578125" hidden="1" customWidth="1"/>
    <col min="106" max="106" width="8" hidden="1" customWidth="1"/>
    <col min="107" max="107" width="12.140625" hidden="1" customWidth="1"/>
    <col min="108" max="108" width="8" hidden="1" customWidth="1"/>
    <col min="109" max="109" width="12.140625" hidden="1" customWidth="1"/>
    <col min="110" max="110" width="9.140625" hidden="1" customWidth="1"/>
    <col min="111" max="111" width="12.28515625" hidden="1" customWidth="1"/>
    <col min="112" max="112" width="7.7109375" hidden="1" customWidth="1"/>
    <col min="113" max="113" width="11.42578125" hidden="1" customWidth="1"/>
    <col min="114" max="114" width="7.7109375" hidden="1" customWidth="1"/>
    <col min="115" max="115" width="13.7109375" customWidth="1"/>
    <col min="116" max="116" width="8.140625" customWidth="1"/>
    <col min="117" max="117" width="13.140625" bestFit="1" customWidth="1"/>
    <col min="118" max="118" width="8.140625" customWidth="1"/>
    <col min="119" max="119" width="12.140625" hidden="1" customWidth="1"/>
    <col min="120" max="120" width="7.7109375" hidden="1" customWidth="1"/>
    <col min="121" max="121" width="12.140625" hidden="1" customWidth="1"/>
    <col min="122" max="122" width="7.7109375" hidden="1" customWidth="1"/>
    <col min="123" max="123" width="13.28515625" hidden="1" customWidth="1"/>
    <col min="124" max="124" width="8.85546875" hidden="1" customWidth="1"/>
    <col min="125" max="125" width="15.28515625" hidden="1" customWidth="1"/>
    <col min="126" max="126" width="7.7109375" hidden="1" customWidth="1"/>
    <col min="127" max="127" width="10.28515625" hidden="1" customWidth="1"/>
    <col min="128" max="128" width="8.140625" hidden="1" customWidth="1"/>
    <col min="129" max="129" width="11.42578125" hidden="1" customWidth="1"/>
    <col min="130" max="130" width="7.7109375" hidden="1" customWidth="1"/>
    <col min="131" max="131" width="13.5703125" customWidth="1"/>
    <col min="132" max="132" width="9.28515625" customWidth="1"/>
    <col min="133" max="133" width="14.42578125" customWidth="1"/>
    <col min="134" max="134" width="10" customWidth="1"/>
    <col min="135" max="135" width="15.42578125" hidden="1" customWidth="1"/>
    <col min="136" max="136" width="8.7109375" hidden="1" customWidth="1"/>
    <col min="137" max="137" width="12.85546875" hidden="1" customWidth="1"/>
    <col min="138" max="138" width="8.42578125" hidden="1" customWidth="1"/>
    <col min="139" max="139" width="13.5703125" customWidth="1"/>
    <col min="140" max="140" width="14.42578125" bestFit="1" customWidth="1"/>
    <col min="141" max="141" width="8.85546875" bestFit="1" customWidth="1"/>
    <col min="142" max="142" width="10.28515625" bestFit="1" customWidth="1"/>
    <col min="143" max="143" width="13.28515625" bestFit="1" customWidth="1"/>
    <col min="144" max="144" width="10.42578125" bestFit="1" customWidth="1"/>
    <col min="146" max="146" width="15.42578125" bestFit="1" customWidth="1"/>
    <col min="147" max="147" width="10.42578125" bestFit="1" customWidth="1"/>
    <col min="150" max="150" width="10.42578125" bestFit="1" customWidth="1"/>
  </cols>
  <sheetData>
    <row r="1" spans="1:142" ht="15.75">
      <c r="A1" s="152"/>
      <c r="CP1" s="3"/>
      <c r="CU1" s="253"/>
    </row>
    <row r="2" spans="1:142" ht="15.75">
      <c r="A2" s="152"/>
      <c r="CU2" s="253"/>
      <c r="CY2" s="19"/>
    </row>
    <row r="3" spans="1:142" ht="15">
      <c r="A3" s="154"/>
      <c r="CU3" s="253"/>
    </row>
    <row r="4" spans="1:142" ht="15.75">
      <c r="A4" s="155" t="s">
        <v>287</v>
      </c>
      <c r="G4" s="13"/>
      <c r="AV4" s="19"/>
      <c r="AY4" s="13"/>
      <c r="CQ4" s="13"/>
      <c r="CU4" s="253"/>
      <c r="DT4" s="19"/>
    </row>
    <row r="5" spans="1:142" ht="15.75">
      <c r="A5" s="155"/>
      <c r="G5" s="13"/>
      <c r="AY5" s="13"/>
      <c r="CQ5" s="13"/>
      <c r="CU5" s="13"/>
    </row>
    <row r="6" spans="1:142" ht="18">
      <c r="A6" s="254"/>
      <c r="CQ6" s="13"/>
      <c r="CU6" s="13"/>
      <c r="EB6" s="13"/>
      <c r="EC6" s="13"/>
      <c r="ED6" s="13"/>
      <c r="EJ6" s="13"/>
    </row>
    <row r="7" spans="1:142" ht="16.5" thickBot="1">
      <c r="A7" s="255"/>
      <c r="B7" s="255"/>
      <c r="C7" s="255"/>
      <c r="D7" s="255"/>
      <c r="E7" s="255"/>
      <c r="F7" s="255"/>
      <c r="G7">
        <v>214.10599999999999</v>
      </c>
      <c r="K7">
        <v>250</v>
      </c>
      <c r="O7">
        <v>228.40600000000001</v>
      </c>
      <c r="S7">
        <v>250.179</v>
      </c>
      <c r="W7" s="255">
        <v>250</v>
      </c>
      <c r="BG7" s="441">
        <v>249</v>
      </c>
      <c r="BK7" s="255"/>
      <c r="BL7" s="255"/>
      <c r="BM7" s="255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55"/>
      <c r="BY7" s="256"/>
      <c r="BZ7" s="256"/>
      <c r="CA7" s="255"/>
      <c r="CB7" s="255"/>
      <c r="CC7" s="255"/>
      <c r="CD7" s="255"/>
      <c r="CE7" s="255"/>
      <c r="CF7" s="255"/>
      <c r="CG7" s="255"/>
      <c r="CH7" s="255"/>
      <c r="CQ7" s="255">
        <v>250.83</v>
      </c>
      <c r="CR7" s="255"/>
      <c r="CS7" s="255"/>
      <c r="CT7" s="255"/>
      <c r="CU7" s="255">
        <v>246.74</v>
      </c>
      <c r="CV7" s="255"/>
      <c r="CW7" s="255"/>
      <c r="CX7" s="255"/>
      <c r="CY7" s="255">
        <v>250</v>
      </c>
      <c r="CZ7" s="255"/>
      <c r="DA7" s="255"/>
      <c r="DB7" s="255"/>
      <c r="DD7" s="255"/>
      <c r="DE7" s="255"/>
      <c r="DF7" s="255"/>
      <c r="DJ7" s="255"/>
      <c r="DK7" s="255"/>
      <c r="DL7" s="255"/>
      <c r="DM7" s="255"/>
      <c r="DN7" s="255"/>
      <c r="DO7" s="255">
        <v>250</v>
      </c>
      <c r="DP7" s="255"/>
      <c r="DQ7" s="255"/>
      <c r="DR7" s="255"/>
      <c r="DS7" s="255">
        <v>248.881</v>
      </c>
      <c r="DT7" s="255"/>
      <c r="DU7" s="255"/>
      <c r="DV7" s="255"/>
      <c r="DW7" s="255"/>
      <c r="DX7" s="255"/>
      <c r="DY7" s="255"/>
      <c r="DZ7" s="255"/>
      <c r="EA7" s="256"/>
      <c r="EB7" s="256"/>
      <c r="EC7" s="255"/>
      <c r="ED7" s="255"/>
      <c r="EE7" s="255"/>
      <c r="EF7" s="255"/>
      <c r="EG7" s="255"/>
      <c r="EH7" s="255"/>
      <c r="EI7" s="255"/>
      <c r="EJ7" s="255"/>
      <c r="EK7" s="255"/>
      <c r="EL7" s="255"/>
    </row>
    <row r="8" spans="1:142" ht="38.25" customHeight="1" thickTop="1">
      <c r="A8" s="755" t="s">
        <v>28</v>
      </c>
      <c r="B8" s="755" t="s">
        <v>4</v>
      </c>
      <c r="C8" s="755" t="s">
        <v>5</v>
      </c>
      <c r="D8" s="757" t="s">
        <v>40</v>
      </c>
      <c r="E8" s="752" t="s">
        <v>38</v>
      </c>
      <c r="F8" s="754"/>
      <c r="G8" s="762" t="s">
        <v>393</v>
      </c>
      <c r="H8" s="763"/>
      <c r="I8" s="763"/>
      <c r="J8" s="764"/>
      <c r="K8" s="752" t="s">
        <v>375</v>
      </c>
      <c r="L8" s="753"/>
      <c r="M8" s="753"/>
      <c r="N8" s="754"/>
      <c r="O8" s="759" t="s">
        <v>376</v>
      </c>
      <c r="P8" s="760"/>
      <c r="Q8" s="760"/>
      <c r="R8" s="761"/>
      <c r="S8" s="752" t="s">
        <v>851</v>
      </c>
      <c r="T8" s="753"/>
      <c r="U8" s="753"/>
      <c r="V8" s="754"/>
      <c r="W8" s="752" t="s">
        <v>238</v>
      </c>
      <c r="X8" s="753"/>
      <c r="Y8" s="753"/>
      <c r="Z8" s="754"/>
      <c r="AA8" s="752" t="s">
        <v>42</v>
      </c>
      <c r="AB8" s="753"/>
      <c r="AC8" s="753"/>
      <c r="AD8" s="754"/>
      <c r="AE8" s="752" t="s">
        <v>104</v>
      </c>
      <c r="AF8" s="753"/>
      <c r="AG8" s="753"/>
      <c r="AH8" s="754"/>
      <c r="AI8" s="752" t="s">
        <v>43</v>
      </c>
      <c r="AJ8" s="753"/>
      <c r="AK8" s="753"/>
      <c r="AL8" s="754"/>
      <c r="AM8" s="752" t="s">
        <v>44</v>
      </c>
      <c r="AN8" s="753"/>
      <c r="AO8" s="753"/>
      <c r="AP8" s="754"/>
      <c r="AQ8" s="752" t="s">
        <v>45</v>
      </c>
      <c r="AR8" s="753"/>
      <c r="AS8" s="753"/>
      <c r="AT8" s="754"/>
      <c r="AU8" s="752" t="s">
        <v>46</v>
      </c>
      <c r="AV8" s="753"/>
      <c r="AW8" s="753"/>
      <c r="AX8" s="754"/>
      <c r="AY8" s="752" t="s">
        <v>47</v>
      </c>
      <c r="AZ8" s="753"/>
      <c r="BA8" s="753"/>
      <c r="BB8" s="754"/>
      <c r="BC8" s="752" t="s">
        <v>48</v>
      </c>
      <c r="BD8" s="753"/>
      <c r="BE8" s="753"/>
      <c r="BF8" s="754"/>
      <c r="BG8" s="752" t="s">
        <v>286</v>
      </c>
      <c r="BH8" s="753"/>
      <c r="BI8" s="753"/>
      <c r="BJ8" s="754"/>
      <c r="BK8" s="752" t="s">
        <v>41</v>
      </c>
      <c r="BL8" s="753"/>
      <c r="BM8" s="753"/>
      <c r="BN8" s="754"/>
      <c r="BO8" s="752" t="s">
        <v>49</v>
      </c>
      <c r="BP8" s="753"/>
      <c r="BQ8" s="753"/>
      <c r="BR8" s="754"/>
      <c r="BS8" s="752" t="s">
        <v>50</v>
      </c>
      <c r="BT8" s="753"/>
      <c r="BU8" s="753"/>
      <c r="BV8" s="754"/>
      <c r="BW8" s="752" t="s">
        <v>51</v>
      </c>
      <c r="BX8" s="753"/>
      <c r="BY8" s="753"/>
      <c r="BZ8" s="754"/>
      <c r="CA8" s="752" t="s">
        <v>52</v>
      </c>
      <c r="CB8" s="753"/>
      <c r="CC8" s="753"/>
      <c r="CD8" s="754"/>
      <c r="CE8" s="752" t="s">
        <v>53</v>
      </c>
      <c r="CF8" s="753"/>
      <c r="CG8" s="753"/>
      <c r="CH8" s="754"/>
      <c r="CI8" s="752" t="s">
        <v>103</v>
      </c>
      <c r="CJ8" s="753"/>
      <c r="CK8" s="753"/>
      <c r="CL8" s="754"/>
      <c r="CM8" s="768" t="s">
        <v>54</v>
      </c>
      <c r="CN8" s="769"/>
      <c r="CO8" s="769"/>
      <c r="CP8" s="770"/>
      <c r="CQ8" s="771" t="s">
        <v>200</v>
      </c>
      <c r="CR8" s="772"/>
      <c r="CS8" s="772"/>
      <c r="CT8" s="773"/>
      <c r="CU8" s="777" t="s">
        <v>397</v>
      </c>
      <c r="CV8" s="778"/>
      <c r="CW8" s="778"/>
      <c r="CX8" s="779"/>
      <c r="CY8" s="774" t="s">
        <v>410</v>
      </c>
      <c r="CZ8" s="775"/>
      <c r="DA8" s="775"/>
      <c r="DB8" s="776"/>
      <c r="DC8" s="765"/>
      <c r="DD8" s="766"/>
      <c r="DE8" s="766"/>
      <c r="DF8" s="767"/>
      <c r="DG8" s="752" t="s">
        <v>55</v>
      </c>
      <c r="DH8" s="753"/>
      <c r="DI8" s="753"/>
      <c r="DJ8" s="754"/>
      <c r="DK8" s="752" t="s">
        <v>101</v>
      </c>
      <c r="DL8" s="753"/>
      <c r="DM8" s="753"/>
      <c r="DN8" s="754"/>
      <c r="DO8" s="752" t="s">
        <v>411</v>
      </c>
      <c r="DP8" s="753"/>
      <c r="DQ8" s="753"/>
      <c r="DR8" s="754"/>
      <c r="DS8" s="752" t="s">
        <v>695</v>
      </c>
      <c r="DT8" s="753"/>
      <c r="DU8" s="753"/>
      <c r="DV8" s="754"/>
      <c r="DW8" s="752" t="s">
        <v>159</v>
      </c>
      <c r="DX8" s="753"/>
      <c r="DY8" s="753"/>
      <c r="DZ8" s="754"/>
      <c r="EA8" s="752" t="s">
        <v>102</v>
      </c>
      <c r="EB8" s="753"/>
      <c r="EC8" s="753"/>
      <c r="ED8" s="754"/>
      <c r="EE8" s="752" t="s">
        <v>412</v>
      </c>
      <c r="EF8" s="753"/>
      <c r="EG8" s="753"/>
      <c r="EH8" s="754"/>
      <c r="EI8" s="752" t="s">
        <v>56</v>
      </c>
      <c r="EJ8" s="754"/>
      <c r="EK8" s="752" t="s">
        <v>57</v>
      </c>
      <c r="EL8" s="754"/>
    </row>
    <row r="9" spans="1:142">
      <c r="A9" s="756"/>
      <c r="B9" s="756"/>
      <c r="C9" s="756"/>
      <c r="D9" s="758"/>
      <c r="E9" s="2" t="s">
        <v>36</v>
      </c>
      <c r="F9" s="597" t="s">
        <v>37</v>
      </c>
      <c r="G9" s="8" t="s">
        <v>36</v>
      </c>
      <c r="H9" s="8" t="s">
        <v>10</v>
      </c>
      <c r="I9" s="598" t="s">
        <v>37</v>
      </c>
      <c r="J9" s="598" t="s">
        <v>10</v>
      </c>
      <c r="K9" s="8" t="s">
        <v>36</v>
      </c>
      <c r="L9" s="8" t="s">
        <v>10</v>
      </c>
      <c r="M9" s="598" t="s">
        <v>37</v>
      </c>
      <c r="N9" s="598" t="s">
        <v>10</v>
      </c>
      <c r="O9" s="8" t="s">
        <v>36</v>
      </c>
      <c r="P9" s="8" t="s">
        <v>10</v>
      </c>
      <c r="Q9" s="598" t="s">
        <v>37</v>
      </c>
      <c r="R9" s="598" t="s">
        <v>10</v>
      </c>
      <c r="S9" s="8" t="s">
        <v>36</v>
      </c>
      <c r="T9" s="8" t="s">
        <v>10</v>
      </c>
      <c r="U9" s="598" t="s">
        <v>37</v>
      </c>
      <c r="V9" s="598" t="s">
        <v>10</v>
      </c>
      <c r="W9" s="8" t="s">
        <v>36</v>
      </c>
      <c r="X9" s="8" t="s">
        <v>10</v>
      </c>
      <c r="Y9" s="598" t="s">
        <v>37</v>
      </c>
      <c r="Z9" s="598" t="s">
        <v>10</v>
      </c>
      <c r="AA9" s="8" t="s">
        <v>36</v>
      </c>
      <c r="AB9" s="8" t="s">
        <v>10</v>
      </c>
      <c r="AC9" s="598" t="s">
        <v>37</v>
      </c>
      <c r="AD9" s="598" t="s">
        <v>10</v>
      </c>
      <c r="AE9" s="8" t="s">
        <v>36</v>
      </c>
      <c r="AF9" s="8" t="s">
        <v>10</v>
      </c>
      <c r="AG9" s="598" t="s">
        <v>37</v>
      </c>
      <c r="AH9" s="598" t="s">
        <v>10</v>
      </c>
      <c r="AI9" s="598" t="s">
        <v>36</v>
      </c>
      <c r="AJ9" s="598" t="s">
        <v>10</v>
      </c>
      <c r="AK9" s="598" t="s">
        <v>37</v>
      </c>
      <c r="AL9" s="598" t="s">
        <v>10</v>
      </c>
      <c r="AM9" s="598" t="s">
        <v>36</v>
      </c>
      <c r="AN9" s="598" t="s">
        <v>10</v>
      </c>
      <c r="AO9" s="598" t="s">
        <v>37</v>
      </c>
      <c r="AP9" s="598" t="s">
        <v>10</v>
      </c>
      <c r="AQ9" s="598" t="s">
        <v>36</v>
      </c>
      <c r="AR9" s="598" t="s">
        <v>10</v>
      </c>
      <c r="AS9" s="598" t="s">
        <v>37</v>
      </c>
      <c r="AT9" s="598" t="s">
        <v>10</v>
      </c>
      <c r="AU9" s="598" t="s">
        <v>36</v>
      </c>
      <c r="AV9" s="598" t="s">
        <v>10</v>
      </c>
      <c r="AW9" s="598" t="s">
        <v>37</v>
      </c>
      <c r="AX9" s="598" t="s">
        <v>10</v>
      </c>
      <c r="AY9" s="598" t="s">
        <v>36</v>
      </c>
      <c r="AZ9" s="598" t="s">
        <v>10</v>
      </c>
      <c r="BA9" s="598" t="s">
        <v>37</v>
      </c>
      <c r="BB9" s="598" t="s">
        <v>10</v>
      </c>
      <c r="BC9" s="598" t="s">
        <v>36</v>
      </c>
      <c r="BD9" s="598" t="s">
        <v>10</v>
      </c>
      <c r="BE9" s="598" t="s">
        <v>37</v>
      </c>
      <c r="BF9" s="598" t="s">
        <v>10</v>
      </c>
      <c r="BG9" s="598" t="s">
        <v>36</v>
      </c>
      <c r="BH9" s="598" t="s">
        <v>10</v>
      </c>
      <c r="BI9" s="598" t="s">
        <v>37</v>
      </c>
      <c r="BJ9" s="598" t="s">
        <v>10</v>
      </c>
      <c r="BK9" s="598" t="s">
        <v>36</v>
      </c>
      <c r="BL9" s="598" t="s">
        <v>10</v>
      </c>
      <c r="BM9" s="598" t="s">
        <v>37</v>
      </c>
      <c r="BN9" s="598" t="s">
        <v>10</v>
      </c>
      <c r="BO9" s="598" t="s">
        <v>36</v>
      </c>
      <c r="BP9" s="598" t="s">
        <v>10</v>
      </c>
      <c r="BQ9" s="598" t="s">
        <v>37</v>
      </c>
      <c r="BR9" s="598" t="s">
        <v>10</v>
      </c>
      <c r="BS9" s="598" t="s">
        <v>36</v>
      </c>
      <c r="BT9" s="598" t="s">
        <v>10</v>
      </c>
      <c r="BU9" s="598" t="s">
        <v>37</v>
      </c>
      <c r="BV9" s="598" t="s">
        <v>10</v>
      </c>
      <c r="BW9" s="598" t="s">
        <v>36</v>
      </c>
      <c r="BX9" s="598" t="s">
        <v>10</v>
      </c>
      <c r="BY9" s="598" t="s">
        <v>37</v>
      </c>
      <c r="BZ9" s="598" t="s">
        <v>10</v>
      </c>
      <c r="CA9" s="598" t="s">
        <v>36</v>
      </c>
      <c r="CB9" s="598" t="s">
        <v>10</v>
      </c>
      <c r="CC9" s="598" t="s">
        <v>37</v>
      </c>
      <c r="CD9" s="598" t="s">
        <v>10</v>
      </c>
      <c r="CE9" s="598" t="s">
        <v>36</v>
      </c>
      <c r="CF9" s="598" t="s">
        <v>10</v>
      </c>
      <c r="CG9" s="598" t="s">
        <v>37</v>
      </c>
      <c r="CH9" s="598" t="s">
        <v>10</v>
      </c>
      <c r="CI9" s="598" t="s">
        <v>36</v>
      </c>
      <c r="CJ9" s="598" t="s">
        <v>10</v>
      </c>
      <c r="CK9" s="598" t="s">
        <v>37</v>
      </c>
      <c r="CL9" s="598" t="s">
        <v>10</v>
      </c>
      <c r="CM9" s="598" t="s">
        <v>36</v>
      </c>
      <c r="CN9" s="598" t="s">
        <v>10</v>
      </c>
      <c r="CO9" s="598" t="s">
        <v>37</v>
      </c>
      <c r="CP9" s="598" t="s">
        <v>10</v>
      </c>
      <c r="CQ9" s="598" t="s">
        <v>36</v>
      </c>
      <c r="CR9" s="598" t="s">
        <v>10</v>
      </c>
      <c r="CS9" s="598" t="s">
        <v>37</v>
      </c>
      <c r="CT9" s="598" t="s">
        <v>10</v>
      </c>
      <c r="CU9" s="598" t="s">
        <v>36</v>
      </c>
      <c r="CV9" s="598" t="s">
        <v>10</v>
      </c>
      <c r="CW9" s="598" t="s">
        <v>37</v>
      </c>
      <c r="CX9" s="598" t="s">
        <v>10</v>
      </c>
      <c r="CY9" s="598" t="s">
        <v>36</v>
      </c>
      <c r="CZ9" s="598" t="s">
        <v>10</v>
      </c>
      <c r="DA9" s="598" t="s">
        <v>37</v>
      </c>
      <c r="DB9" s="598" t="s">
        <v>10</v>
      </c>
      <c r="DC9" s="598" t="s">
        <v>36</v>
      </c>
      <c r="DD9" s="598" t="s">
        <v>10</v>
      </c>
      <c r="DE9" s="598" t="s">
        <v>37</v>
      </c>
      <c r="DF9" s="598" t="s">
        <v>10</v>
      </c>
      <c r="DG9" s="598" t="s">
        <v>36</v>
      </c>
      <c r="DH9" s="598" t="s">
        <v>10</v>
      </c>
      <c r="DI9" s="598" t="s">
        <v>37</v>
      </c>
      <c r="DJ9" s="598" t="s">
        <v>10</v>
      </c>
      <c r="DK9" s="598" t="s">
        <v>36</v>
      </c>
      <c r="DL9" s="598" t="s">
        <v>10</v>
      </c>
      <c r="DM9" s="598" t="s">
        <v>37</v>
      </c>
      <c r="DN9" s="598" t="s">
        <v>10</v>
      </c>
      <c r="DO9" s="598" t="s">
        <v>36</v>
      </c>
      <c r="DP9" s="598" t="s">
        <v>10</v>
      </c>
      <c r="DQ9" s="598" t="s">
        <v>37</v>
      </c>
      <c r="DR9" s="598" t="s">
        <v>10</v>
      </c>
      <c r="DS9" s="598" t="s">
        <v>36</v>
      </c>
      <c r="DT9" s="598" t="s">
        <v>10</v>
      </c>
      <c r="DU9" s="598" t="s">
        <v>37</v>
      </c>
      <c r="DV9" s="598" t="s">
        <v>10</v>
      </c>
      <c r="DW9" s="598" t="s">
        <v>36</v>
      </c>
      <c r="DX9" s="598" t="s">
        <v>10</v>
      </c>
      <c r="DY9" s="598" t="s">
        <v>37</v>
      </c>
      <c r="DZ9" s="598" t="s">
        <v>10</v>
      </c>
      <c r="EA9" s="598" t="s">
        <v>36</v>
      </c>
      <c r="EB9" s="598" t="s">
        <v>10</v>
      </c>
      <c r="EC9" s="598" t="s">
        <v>37</v>
      </c>
      <c r="ED9" s="598" t="s">
        <v>10</v>
      </c>
      <c r="EE9" s="598" t="s">
        <v>36</v>
      </c>
      <c r="EF9" s="598" t="s">
        <v>10</v>
      </c>
      <c r="EG9" s="598" t="s">
        <v>37</v>
      </c>
      <c r="EH9" s="598" t="s">
        <v>10</v>
      </c>
      <c r="EI9" s="598" t="s">
        <v>36</v>
      </c>
      <c r="EJ9" s="598" t="s">
        <v>37</v>
      </c>
      <c r="EK9" s="598" t="s">
        <v>36</v>
      </c>
      <c r="EL9" s="598" t="s">
        <v>37</v>
      </c>
    </row>
    <row r="10" spans="1:142">
      <c r="A10" s="15">
        <f>+Chem!A10</f>
        <v>45931</v>
      </c>
      <c r="B10" s="5" t="str">
        <f>Chem!B10</f>
        <v>Toilet</v>
      </c>
      <c r="C10" s="15" t="str">
        <f>Chem!C10</f>
        <v>12,5/15</v>
      </c>
      <c r="D10" s="7">
        <f>+Chem!D10</f>
        <v>28.605</v>
      </c>
      <c r="E10" s="6">
        <f>+Chem!E10</f>
        <v>18.686</v>
      </c>
      <c r="F10" s="6">
        <f>+E10</f>
        <v>18.686</v>
      </c>
      <c r="G10" s="100"/>
      <c r="H10" s="9">
        <f t="shared" ref="H10:H39" si="0">G10/EI10*100</f>
        <v>0</v>
      </c>
      <c r="I10" s="7">
        <f>G10</f>
        <v>0</v>
      </c>
      <c r="J10" s="9">
        <f t="shared" ref="J10:J39" si="1">I10/EJ10*100</f>
        <v>0</v>
      </c>
      <c r="K10" s="100">
        <f>13.33*K7</f>
        <v>3332.5</v>
      </c>
      <c r="L10" s="9">
        <f t="shared" ref="L10:L39" si="2">+K10/EI10*100</f>
        <v>14.282652951891139</v>
      </c>
      <c r="M10" s="9">
        <f>+K10</f>
        <v>3332.5</v>
      </c>
      <c r="N10" s="9">
        <f t="shared" ref="N10:N39" si="3">+M10/EJ10*100</f>
        <v>14.282652951891139</v>
      </c>
      <c r="O10" s="100"/>
      <c r="P10" s="9">
        <f t="shared" ref="P10:P39" si="4">+O10/EI10*100</f>
        <v>0</v>
      </c>
      <c r="Q10" s="9">
        <f>+O10</f>
        <v>0</v>
      </c>
      <c r="R10" s="9">
        <f t="shared" ref="R10:R39" si="5">+Q10/EJ10*100</f>
        <v>0</v>
      </c>
      <c r="S10" s="100">
        <v>0</v>
      </c>
      <c r="T10" s="9">
        <f t="shared" ref="T10:T39" si="6">+S10/EI10*100</f>
        <v>0</v>
      </c>
      <c r="U10" s="9">
        <f>+S10</f>
        <v>0</v>
      </c>
      <c r="V10" s="9">
        <f t="shared" ref="V10:V39" si="7">+U10/EJ10*100</f>
        <v>0</v>
      </c>
      <c r="W10" s="100"/>
      <c r="X10" s="9">
        <f t="shared" ref="X10:X39" si="8">+W10/EI10*100</f>
        <v>0</v>
      </c>
      <c r="Y10" s="9">
        <f>+W10</f>
        <v>0</v>
      </c>
      <c r="Z10" s="9">
        <f t="shared" ref="Z10:Z39" si="9">+Y10/EJ10*100</f>
        <v>0</v>
      </c>
      <c r="AA10" s="100"/>
      <c r="AB10" s="9">
        <f t="shared" ref="AB10:AB39" si="10">AA10/EI10*100</f>
        <v>0</v>
      </c>
      <c r="AC10" s="9">
        <f>AA10</f>
        <v>0</v>
      </c>
      <c r="AD10" s="9">
        <f t="shared" ref="AD10:AD39" si="11">AC10/EJ10*100</f>
        <v>0</v>
      </c>
      <c r="AE10" s="100"/>
      <c r="AF10" s="9">
        <f t="shared" ref="AF10:AF39" si="12">+AE10/EI10*100</f>
        <v>0</v>
      </c>
      <c r="AG10" s="9">
        <f>+AE10</f>
        <v>0</v>
      </c>
      <c r="AH10" s="9">
        <f t="shared" ref="AH10:AH39" si="13">+AG10/EJ10*100</f>
        <v>0</v>
      </c>
      <c r="AI10" s="100"/>
      <c r="AJ10" s="9">
        <f t="shared" ref="AJ10:AJ39" si="14">AI10/EI10*100</f>
        <v>0</v>
      </c>
      <c r="AK10" s="9">
        <f>AI10</f>
        <v>0</v>
      </c>
      <c r="AL10" s="9">
        <f t="shared" ref="AL10:AL39" si="15">AK10/EJ10*100</f>
        <v>0</v>
      </c>
      <c r="AM10" s="100"/>
      <c r="AN10" s="9">
        <f t="shared" ref="AN10:AN39" si="16">AM10/EI10*100</f>
        <v>0</v>
      </c>
      <c r="AO10" s="9">
        <f>AM10</f>
        <v>0</v>
      </c>
      <c r="AP10" s="9">
        <f t="shared" ref="AP10:AP39" si="17">+AO10/EJ10*100</f>
        <v>0</v>
      </c>
      <c r="AQ10" s="100"/>
      <c r="AR10" s="9">
        <f t="shared" ref="AR10:AR39" si="18">AQ10/EI10*100</f>
        <v>0</v>
      </c>
      <c r="AS10" s="9">
        <f>AQ10</f>
        <v>0</v>
      </c>
      <c r="AT10" s="9">
        <f t="shared" ref="AT10:AT39" si="19">AS10/EJ10*100</f>
        <v>0</v>
      </c>
      <c r="AU10" s="252"/>
      <c r="AV10" s="9">
        <f t="shared" ref="AV10:AV39" si="20">AU10/EI10*100</f>
        <v>0</v>
      </c>
      <c r="AW10" s="7">
        <f>AU10</f>
        <v>0</v>
      </c>
      <c r="AX10" s="9">
        <f t="shared" ref="AX10:AX39" si="21">AW10/EJ10*100</f>
        <v>0</v>
      </c>
      <c r="AY10" s="100">
        <v>0</v>
      </c>
      <c r="AZ10" s="9">
        <f t="shared" ref="AZ10:AZ39" si="22">AY10/EI10*100</f>
        <v>0</v>
      </c>
      <c r="BA10" s="9">
        <f>AY10</f>
        <v>0</v>
      </c>
      <c r="BB10" s="9">
        <f t="shared" ref="BB10:BB39" si="23">BA10/EJ10*100</f>
        <v>0</v>
      </c>
      <c r="BC10" s="100"/>
      <c r="BD10" s="9">
        <f t="shared" ref="BD10:BD39" si="24">BC10/EI10*100</f>
        <v>0</v>
      </c>
      <c r="BE10" s="9">
        <f>BC10</f>
        <v>0</v>
      </c>
      <c r="BF10" s="9">
        <f t="shared" ref="BF10:BF39" si="25">BE10/EJ10*100</f>
        <v>0</v>
      </c>
      <c r="BG10" s="100"/>
      <c r="BH10" s="9">
        <f t="shared" ref="BH10:BH39" si="26">BG10/EI10*100</f>
        <v>0</v>
      </c>
      <c r="BI10" s="9">
        <f>BG10</f>
        <v>0</v>
      </c>
      <c r="BJ10" s="9">
        <f t="shared" ref="BJ10:BJ39" si="27">BI10/EJ10*100</f>
        <v>0</v>
      </c>
      <c r="BK10" s="100"/>
      <c r="BL10" s="9">
        <f>BK10/EI10*100</f>
        <v>0</v>
      </c>
      <c r="BM10" s="9">
        <f>BK10</f>
        <v>0</v>
      </c>
      <c r="BN10" s="9">
        <f>BM10/EJ10*100</f>
        <v>0</v>
      </c>
      <c r="BO10" s="100"/>
      <c r="BP10" s="9">
        <f>BO10/EI10*100</f>
        <v>0</v>
      </c>
      <c r="BQ10" s="9">
        <f>+BO10</f>
        <v>0</v>
      </c>
      <c r="BR10" s="9">
        <f>BQ10/EJ10*100</f>
        <v>0</v>
      </c>
      <c r="BS10" s="100"/>
      <c r="BT10" s="9">
        <v>0</v>
      </c>
      <c r="BU10" s="9">
        <f>BS10</f>
        <v>0</v>
      </c>
      <c r="BV10" s="9">
        <f>BU10/EJ10*100</f>
        <v>0</v>
      </c>
      <c r="BW10" s="9">
        <f>G10+AY10+BK10+BG10+BS10+BO10+AU10+AI10+BC10+AQ10+AA10+AM10+AE10+K10+W10+S10+O10</f>
        <v>3332.5</v>
      </c>
      <c r="BX10" s="9">
        <f t="shared" ref="BX10:BX39" si="28">BW10/EI10*100</f>
        <v>14.282652951891139</v>
      </c>
      <c r="BY10" s="9">
        <f>BW10</f>
        <v>3332.5</v>
      </c>
      <c r="BZ10" s="9">
        <f t="shared" ref="BZ10:BZ39" si="29">BY10/EJ10*100</f>
        <v>14.282652951891139</v>
      </c>
      <c r="CA10" s="100"/>
      <c r="CB10" s="9">
        <f>CA10/EI10*100</f>
        <v>0</v>
      </c>
      <c r="CC10" s="9">
        <f>CA10</f>
        <v>0</v>
      </c>
      <c r="CD10" s="9">
        <f>CC10/EJ10*100</f>
        <v>0</v>
      </c>
      <c r="CE10" s="100"/>
      <c r="CF10" s="9">
        <f t="shared" ref="CF10:CF39" si="30">CE10/EI10*100</f>
        <v>0</v>
      </c>
      <c r="CG10" s="9">
        <f>CE10</f>
        <v>0</v>
      </c>
      <c r="CH10" s="9">
        <f t="shared" ref="CH10:CH39" si="31">CG10/EJ10*100</f>
        <v>0</v>
      </c>
      <c r="CI10" s="100"/>
      <c r="CJ10" s="9">
        <f t="shared" ref="CJ10:CJ39" si="32">CI10/EI10*100</f>
        <v>0</v>
      </c>
      <c r="CK10" s="9">
        <f>CI10</f>
        <v>0</v>
      </c>
      <c r="CL10" s="9">
        <f t="shared" ref="CL10:CL39" si="33">CK10/EJ10*100</f>
        <v>0</v>
      </c>
      <c r="CM10" s="100"/>
      <c r="CN10" s="9">
        <f t="shared" ref="CN10:CN39" si="34">CM10/EI10*100</f>
        <v>0</v>
      </c>
      <c r="CO10" s="9">
        <f>CM10</f>
        <v>0</v>
      </c>
      <c r="CP10" s="9">
        <f t="shared" ref="CP10:CP39" si="35">CO10/EJ10*100</f>
        <v>0</v>
      </c>
      <c r="CQ10" s="100">
        <v>0</v>
      </c>
      <c r="CR10" s="9">
        <f t="shared" ref="CR10:CR39" si="36">CQ10/EI10*100</f>
        <v>0</v>
      </c>
      <c r="CS10" s="9">
        <f>CQ10</f>
        <v>0</v>
      </c>
      <c r="CT10" s="9">
        <f t="shared" ref="CT10:CT39" si="37">CS10/EJ10*100</f>
        <v>0</v>
      </c>
      <c r="CU10" s="100"/>
      <c r="CV10" s="9">
        <f t="shared" ref="CV10:CV39" si="38">CU10/EI10*100</f>
        <v>0</v>
      </c>
      <c r="CW10" s="9">
        <f>CU10</f>
        <v>0</v>
      </c>
      <c r="CX10" s="9">
        <f t="shared" ref="CX10:CX39" si="39">CW10/EJ10*100</f>
        <v>0</v>
      </c>
      <c r="CY10" s="101"/>
      <c r="CZ10" s="9">
        <f t="shared" ref="CZ10:CZ39" si="40">CY10/EI10*100</f>
        <v>0</v>
      </c>
      <c r="DA10" s="9">
        <f>CY10</f>
        <v>0</v>
      </c>
      <c r="DB10" s="9">
        <f t="shared" ref="DB10:DB39" si="41">DA10/EJ10</f>
        <v>0</v>
      </c>
      <c r="DC10" s="100"/>
      <c r="DD10" s="9">
        <f t="shared" ref="DD10:DD39" si="42">DC10/EI10*100</f>
        <v>0</v>
      </c>
      <c r="DE10" s="9">
        <f>DC10</f>
        <v>0</v>
      </c>
      <c r="DF10" s="9">
        <f t="shared" ref="DF10:DF39" si="43">DE10/EJ10*100</f>
        <v>0</v>
      </c>
      <c r="DG10" s="100"/>
      <c r="DH10" s="9"/>
      <c r="DI10" s="9"/>
      <c r="DJ10" s="9"/>
      <c r="DK10" s="9">
        <f>CE10+CI10+CM10+CQ10+CU10+CY10+DC10</f>
        <v>0</v>
      </c>
      <c r="DL10" s="9">
        <f t="shared" ref="DL10:DL39" si="44">DK10/EI10*100</f>
        <v>0</v>
      </c>
      <c r="DM10" s="9">
        <f>DK10</f>
        <v>0</v>
      </c>
      <c r="DN10" s="9">
        <f t="shared" ref="DN10:DN39" si="45">DM10/EJ10*100</f>
        <v>0</v>
      </c>
      <c r="DO10" s="100">
        <f>80*DO7</f>
        <v>20000</v>
      </c>
      <c r="DP10" s="9">
        <f t="shared" ref="DP10:DP39" si="46">+DO10/EI10*100</f>
        <v>85.717347048108863</v>
      </c>
      <c r="DQ10" s="9">
        <f>+DO10</f>
        <v>20000</v>
      </c>
      <c r="DR10" s="9">
        <f t="shared" ref="DR10:DR39" si="47">+DQ10/EJ10*100</f>
        <v>85.717347048108863</v>
      </c>
      <c r="DS10" s="100">
        <v>0</v>
      </c>
      <c r="DT10" s="9">
        <f t="shared" ref="DT10:DT39" si="48">DS10/EI10*100</f>
        <v>0</v>
      </c>
      <c r="DU10" s="9">
        <f>DS10</f>
        <v>0</v>
      </c>
      <c r="DV10" s="9">
        <f t="shared" ref="DV10:DV39" si="49">DU10/EJ10*100</f>
        <v>0</v>
      </c>
      <c r="DW10" s="100"/>
      <c r="DX10" s="14">
        <f t="shared" ref="DX10:DX39" si="50">DW10/EI10*100</f>
        <v>0</v>
      </c>
      <c r="DY10" s="9">
        <f>DW10</f>
        <v>0</v>
      </c>
      <c r="DZ10" s="9">
        <f t="shared" ref="DZ10:DZ39" si="51">DY10/EJ10*100</f>
        <v>0</v>
      </c>
      <c r="EA10" s="9">
        <f>DO10+DS10+DW10</f>
        <v>20000</v>
      </c>
      <c r="EB10" s="9">
        <f t="shared" ref="EB10:EB39" si="52">EA10/EI10*100</f>
        <v>85.717347048108863</v>
      </c>
      <c r="EC10" s="9">
        <f>EA10</f>
        <v>20000</v>
      </c>
      <c r="ED10" s="9">
        <f t="shared" ref="ED10:ED39" si="53">EC10/EJ10*100</f>
        <v>85.717347048108863</v>
      </c>
      <c r="EE10" s="100"/>
      <c r="EF10" s="9">
        <f t="shared" ref="EF10:EF39" si="54">EE10/EI10*100</f>
        <v>0</v>
      </c>
      <c r="EG10" s="9">
        <f>EE10</f>
        <v>0</v>
      </c>
      <c r="EH10" s="9">
        <f t="shared" ref="EH10:EH39" si="55">EG10/EJ10*100</f>
        <v>0</v>
      </c>
      <c r="EI10" s="9">
        <f>BW10+DK10+EA10+EE10</f>
        <v>23332.5</v>
      </c>
      <c r="EJ10" s="9">
        <f>EI10</f>
        <v>23332.5</v>
      </c>
      <c r="EK10" s="9">
        <f t="shared" ref="EK10:EK39" si="56">EI10/1000/E10</f>
        <v>1.2486620999678903</v>
      </c>
      <c r="EL10" s="9">
        <f t="shared" ref="EL10:EL39" si="57">(EJ10/1000)/F10</f>
        <v>1.2486620999678903</v>
      </c>
    </row>
    <row r="11" spans="1:142">
      <c r="A11" s="15">
        <f>+Chem!A11</f>
        <v>45932</v>
      </c>
      <c r="B11" s="5" t="str">
        <f>Chem!B11</f>
        <v>Toilet</v>
      </c>
      <c r="C11" s="15" t="str">
        <f>Chem!C11</f>
        <v>15/14,5</v>
      </c>
      <c r="D11" s="7">
        <f>+Chem!D11</f>
        <v>50.265999999999998</v>
      </c>
      <c r="E11" s="6">
        <f>+Chem!E11</f>
        <v>50.273000000000003</v>
      </c>
      <c r="F11" s="6">
        <f t="shared" ref="F11:F39" si="58">+E11+F10</f>
        <v>68.959000000000003</v>
      </c>
      <c r="G11" s="100"/>
      <c r="H11" s="9">
        <f t="shared" si="0"/>
        <v>0</v>
      </c>
      <c r="I11" s="7">
        <f t="shared" ref="I11:I39" si="59">G11+I10</f>
        <v>0</v>
      </c>
      <c r="J11" s="9">
        <f t="shared" si="1"/>
        <v>0</v>
      </c>
      <c r="K11" s="100">
        <f>25.33*K7</f>
        <v>6332.5</v>
      </c>
      <c r="L11" s="9">
        <f t="shared" si="2"/>
        <v>14.284103084644448</v>
      </c>
      <c r="M11" s="9">
        <f t="shared" ref="M11:M39" si="60">+K11+M10</f>
        <v>9665</v>
      </c>
      <c r="N11" s="9">
        <f t="shared" si="3"/>
        <v>14.283603044409961</v>
      </c>
      <c r="O11" s="100"/>
      <c r="P11" s="9">
        <f t="shared" si="4"/>
        <v>0</v>
      </c>
      <c r="Q11" s="9">
        <f t="shared" ref="Q11:Q39" si="61">+O11+Q10</f>
        <v>0</v>
      </c>
      <c r="R11" s="9">
        <f t="shared" si="5"/>
        <v>0</v>
      </c>
      <c r="S11" s="100">
        <v>0</v>
      </c>
      <c r="T11" s="9">
        <f t="shared" si="6"/>
        <v>0</v>
      </c>
      <c r="U11" s="9">
        <f t="shared" ref="U11:U39" si="62">+S11+U10</f>
        <v>0</v>
      </c>
      <c r="V11" s="9">
        <f t="shared" si="7"/>
        <v>0</v>
      </c>
      <c r="W11" s="100"/>
      <c r="X11" s="9">
        <f t="shared" si="8"/>
        <v>0</v>
      </c>
      <c r="Y11" s="9">
        <f t="shared" ref="Y11:Y39" si="63">+W11+Y10</f>
        <v>0</v>
      </c>
      <c r="Z11" s="9">
        <f t="shared" si="9"/>
        <v>0</v>
      </c>
      <c r="AA11" s="100"/>
      <c r="AB11" s="9">
        <f t="shared" si="10"/>
        <v>0</v>
      </c>
      <c r="AC11" s="9">
        <f t="shared" ref="AC11:AC39" si="64">AA11+AC10</f>
        <v>0</v>
      </c>
      <c r="AD11" s="9">
        <f t="shared" si="11"/>
        <v>0</v>
      </c>
      <c r="AE11" s="100"/>
      <c r="AF11" s="9">
        <f t="shared" si="12"/>
        <v>0</v>
      </c>
      <c r="AG11" s="9">
        <f t="shared" ref="AG11:AG39" si="65">+AE11+AG10</f>
        <v>0</v>
      </c>
      <c r="AH11" s="9">
        <f t="shared" si="13"/>
        <v>0</v>
      </c>
      <c r="AI11" s="100"/>
      <c r="AJ11" s="9">
        <f t="shared" si="14"/>
        <v>0</v>
      </c>
      <c r="AK11" s="9">
        <f t="shared" ref="AK11:AK39" si="66">AI11+AK10</f>
        <v>0</v>
      </c>
      <c r="AL11" s="9">
        <f t="shared" si="15"/>
        <v>0</v>
      </c>
      <c r="AM11" s="100"/>
      <c r="AN11" s="9">
        <f t="shared" si="16"/>
        <v>0</v>
      </c>
      <c r="AO11" s="9">
        <f t="shared" ref="AO11:AO39" si="67">+AM11+AO10</f>
        <v>0</v>
      </c>
      <c r="AP11" s="9">
        <f t="shared" si="17"/>
        <v>0</v>
      </c>
      <c r="AQ11" s="100"/>
      <c r="AR11" s="9">
        <f t="shared" si="18"/>
        <v>0</v>
      </c>
      <c r="AS11" s="9">
        <f t="shared" ref="AS11:AS39" si="68">AQ11+AS10</f>
        <v>0</v>
      </c>
      <c r="AT11" s="9">
        <f t="shared" si="19"/>
        <v>0</v>
      </c>
      <c r="AU11" s="252"/>
      <c r="AV11" s="9">
        <f t="shared" si="20"/>
        <v>0</v>
      </c>
      <c r="AW11" s="7">
        <f t="shared" ref="AW11:AW39" si="69">AU11+AW10</f>
        <v>0</v>
      </c>
      <c r="AX11" s="9">
        <f t="shared" si="21"/>
        <v>0</v>
      </c>
      <c r="AY11" s="100"/>
      <c r="AZ11" s="9">
        <f t="shared" si="22"/>
        <v>0</v>
      </c>
      <c r="BA11" s="9">
        <f t="shared" ref="BA11:BA39" si="70">AY11+BA10</f>
        <v>0</v>
      </c>
      <c r="BB11" s="9">
        <f t="shared" si="23"/>
        <v>0</v>
      </c>
      <c r="BC11" s="100"/>
      <c r="BD11" s="9">
        <f t="shared" si="24"/>
        <v>0</v>
      </c>
      <c r="BE11" s="9">
        <f t="shared" ref="BE11:BE39" si="71">BC11+BE10</f>
        <v>0</v>
      </c>
      <c r="BF11" s="9">
        <f t="shared" si="25"/>
        <v>0</v>
      </c>
      <c r="BG11" s="100"/>
      <c r="BH11" s="9">
        <f t="shared" si="26"/>
        <v>0</v>
      </c>
      <c r="BI11" s="9">
        <f t="shared" ref="BI11:BI39" si="72">BG11+BI10</f>
        <v>0</v>
      </c>
      <c r="BJ11" s="9">
        <f t="shared" si="27"/>
        <v>0</v>
      </c>
      <c r="BK11" s="100"/>
      <c r="BL11" s="9"/>
      <c r="BM11" s="9"/>
      <c r="BN11" s="9"/>
      <c r="BO11" s="100"/>
      <c r="BP11" s="9"/>
      <c r="BQ11" s="9"/>
      <c r="BR11" s="9"/>
      <c r="BS11" s="100"/>
      <c r="BT11" s="9"/>
      <c r="BU11" s="9"/>
      <c r="BV11" s="9"/>
      <c r="BW11" s="9">
        <f t="shared" ref="BW11:BW39" si="73">G11+AY11+BK11+BG11+BS11+BO11+AU11+AI11+BC11+AQ11+AA11+AM11+AE11+K11+W11+S11+O11</f>
        <v>6332.5</v>
      </c>
      <c r="BX11" s="9">
        <f t="shared" si="28"/>
        <v>14.284103084644448</v>
      </c>
      <c r="BY11" s="9">
        <f t="shared" ref="BY11:BY39" si="74">BW11+BY10</f>
        <v>9665</v>
      </c>
      <c r="BZ11" s="9">
        <f t="shared" si="29"/>
        <v>14.283603044409961</v>
      </c>
      <c r="CA11" s="100"/>
      <c r="CB11" s="9"/>
      <c r="CC11" s="9"/>
      <c r="CD11" s="9"/>
      <c r="CE11" s="100"/>
      <c r="CF11" s="9">
        <f t="shared" si="30"/>
        <v>0</v>
      </c>
      <c r="CG11" s="9">
        <f t="shared" ref="CG11:CG39" si="75">CE11+CG10</f>
        <v>0</v>
      </c>
      <c r="CH11" s="9">
        <f t="shared" si="31"/>
        <v>0</v>
      </c>
      <c r="CI11" s="100"/>
      <c r="CJ11" s="9">
        <f t="shared" si="32"/>
        <v>0</v>
      </c>
      <c r="CK11" s="9">
        <f t="shared" ref="CK11:CK39" si="76">CI11+CK10</f>
        <v>0</v>
      </c>
      <c r="CL11" s="9">
        <f t="shared" si="33"/>
        <v>0</v>
      </c>
      <c r="CM11" s="100"/>
      <c r="CN11" s="9">
        <f t="shared" si="34"/>
        <v>0</v>
      </c>
      <c r="CO11" s="9">
        <f t="shared" ref="CO11:CO39" si="77">CM11+CO10</f>
        <v>0</v>
      </c>
      <c r="CP11" s="9">
        <f t="shared" si="35"/>
        <v>0</v>
      </c>
      <c r="CQ11" s="100">
        <v>0</v>
      </c>
      <c r="CR11" s="9">
        <f t="shared" si="36"/>
        <v>0</v>
      </c>
      <c r="CS11" s="9">
        <f t="shared" ref="CS11:CS39" si="78">CQ11+CS10</f>
        <v>0</v>
      </c>
      <c r="CT11" s="9">
        <f t="shared" si="37"/>
        <v>0</v>
      </c>
      <c r="CU11" s="100"/>
      <c r="CV11" s="9">
        <f t="shared" si="38"/>
        <v>0</v>
      </c>
      <c r="CW11" s="9">
        <f t="shared" ref="CW11:CW39" si="79">CU11+CW10</f>
        <v>0</v>
      </c>
      <c r="CX11" s="9">
        <f t="shared" si="39"/>
        <v>0</v>
      </c>
      <c r="CY11" s="101"/>
      <c r="CZ11" s="9">
        <f t="shared" si="40"/>
        <v>0</v>
      </c>
      <c r="DA11" s="9">
        <f t="shared" ref="DA11:DA39" si="80">CY11+DA10</f>
        <v>0</v>
      </c>
      <c r="DB11" s="9">
        <f t="shared" si="41"/>
        <v>0</v>
      </c>
      <c r="DC11" s="100"/>
      <c r="DD11" s="9">
        <f t="shared" si="42"/>
        <v>0</v>
      </c>
      <c r="DE11" s="9">
        <f t="shared" ref="DE11:DE39" si="81">DC11+DE10</f>
        <v>0</v>
      </c>
      <c r="DF11" s="9">
        <f t="shared" si="43"/>
        <v>0</v>
      </c>
      <c r="DG11" s="100"/>
      <c r="DH11" s="9"/>
      <c r="DI11" s="9"/>
      <c r="DJ11" s="9"/>
      <c r="DK11" s="9">
        <f t="shared" ref="DK11:DK39" si="82">CE11+CI11+CM11+CQ11+CU11+CY11+DC11</f>
        <v>0</v>
      </c>
      <c r="DL11" s="9">
        <f t="shared" si="44"/>
        <v>0</v>
      </c>
      <c r="DM11" s="9">
        <f t="shared" ref="DM11:DM39" si="83">DK11+DM10</f>
        <v>0</v>
      </c>
      <c r="DN11" s="9">
        <f t="shared" si="45"/>
        <v>0</v>
      </c>
      <c r="DO11" s="100">
        <f>152*DO7</f>
        <v>38000</v>
      </c>
      <c r="DP11" s="9">
        <f t="shared" si="46"/>
        <v>85.715896915355543</v>
      </c>
      <c r="DQ11" s="9">
        <f t="shared" ref="DQ11:DQ39" si="84">+DO11+DQ10</f>
        <v>58000</v>
      </c>
      <c r="DR11" s="9">
        <f t="shared" si="47"/>
        <v>85.716396955590028</v>
      </c>
      <c r="DS11" s="100">
        <v>0</v>
      </c>
      <c r="DT11" s="9">
        <f t="shared" si="48"/>
        <v>0</v>
      </c>
      <c r="DU11" s="9">
        <f t="shared" ref="DU11:DU39" si="85">DS11+DU10</f>
        <v>0</v>
      </c>
      <c r="DV11" s="9">
        <f t="shared" si="49"/>
        <v>0</v>
      </c>
      <c r="DW11" s="100"/>
      <c r="DX11" s="14">
        <f t="shared" si="50"/>
        <v>0</v>
      </c>
      <c r="DY11" s="9">
        <f t="shared" ref="DY11:DY39" si="86">DW11+DY10</f>
        <v>0</v>
      </c>
      <c r="DZ11" s="9">
        <f t="shared" si="51"/>
        <v>0</v>
      </c>
      <c r="EA11" s="9">
        <f t="shared" ref="EA11:EA39" si="87">DO11+DS11+DW11</f>
        <v>38000</v>
      </c>
      <c r="EB11" s="9">
        <f t="shared" si="52"/>
        <v>85.715896915355543</v>
      </c>
      <c r="EC11" s="9">
        <f t="shared" ref="EC11:EC39" si="88">EA11+EC10</f>
        <v>58000</v>
      </c>
      <c r="ED11" s="9">
        <f t="shared" si="53"/>
        <v>85.716396955590028</v>
      </c>
      <c r="EE11" s="100"/>
      <c r="EF11" s="9">
        <f t="shared" si="54"/>
        <v>0</v>
      </c>
      <c r="EG11" s="9">
        <f t="shared" ref="EG11:EG39" si="89">EE11+EG10</f>
        <v>0</v>
      </c>
      <c r="EH11" s="9">
        <f t="shared" si="55"/>
        <v>0</v>
      </c>
      <c r="EI11" s="9">
        <f t="shared" ref="EI11:EI39" si="90">BW11+DK11+EA11+EE11</f>
        <v>44332.5</v>
      </c>
      <c r="EJ11" s="9">
        <f t="shared" ref="EJ11:EJ39" si="91">EI11+EJ10</f>
        <v>67665</v>
      </c>
      <c r="EK11" s="9">
        <f t="shared" si="56"/>
        <v>0.88183517991764959</v>
      </c>
      <c r="EL11" s="9">
        <f t="shared" si="57"/>
        <v>0.98123522672892594</v>
      </c>
    </row>
    <row r="12" spans="1:142">
      <c r="A12" s="15">
        <f>+Chem!A12</f>
        <v>45933</v>
      </c>
      <c r="B12" s="5" t="str">
        <f>Chem!B12</f>
        <v>Toilet</v>
      </c>
      <c r="C12" s="15" t="str">
        <f>Chem!C12</f>
        <v>14,5/12,5</v>
      </c>
      <c r="D12" s="7">
        <f>+Chem!D12</f>
        <v>49.029000000000003</v>
      </c>
      <c r="E12" s="6">
        <f>+Chem!E12</f>
        <v>42.622</v>
      </c>
      <c r="F12" s="6">
        <f t="shared" si="58"/>
        <v>111.581</v>
      </c>
      <c r="G12" s="100"/>
      <c r="H12" s="9">
        <f t="shared" si="0"/>
        <v>0</v>
      </c>
      <c r="I12" s="7">
        <f t="shared" si="59"/>
        <v>0</v>
      </c>
      <c r="J12" s="9">
        <f t="shared" si="1"/>
        <v>0</v>
      </c>
      <c r="K12" s="100">
        <f>25.67*K7</f>
        <v>6417.5</v>
      </c>
      <c r="L12" s="9">
        <f t="shared" si="2"/>
        <v>14.130015963009853</v>
      </c>
      <c r="M12" s="9">
        <f t="shared" si="60"/>
        <v>16082.5</v>
      </c>
      <c r="N12" s="9">
        <f t="shared" si="3"/>
        <v>14.221917626511619</v>
      </c>
      <c r="O12" s="100"/>
      <c r="P12" s="9">
        <f t="shared" si="4"/>
        <v>0</v>
      </c>
      <c r="Q12" s="9">
        <f t="shared" si="61"/>
        <v>0</v>
      </c>
      <c r="R12" s="9">
        <f t="shared" si="5"/>
        <v>0</v>
      </c>
      <c r="S12" s="100">
        <v>0</v>
      </c>
      <c r="T12" s="9">
        <f t="shared" si="6"/>
        <v>0</v>
      </c>
      <c r="U12" s="9">
        <f t="shared" si="62"/>
        <v>0</v>
      </c>
      <c r="V12" s="9">
        <f t="shared" si="7"/>
        <v>0</v>
      </c>
      <c r="W12" s="100"/>
      <c r="X12" s="9">
        <f t="shared" si="8"/>
        <v>0</v>
      </c>
      <c r="Y12" s="9">
        <f t="shared" si="63"/>
        <v>0</v>
      </c>
      <c r="Z12" s="9">
        <f t="shared" si="9"/>
        <v>0</v>
      </c>
      <c r="AA12" s="100"/>
      <c r="AB12" s="9">
        <f t="shared" si="10"/>
        <v>0</v>
      </c>
      <c r="AC12" s="9">
        <f t="shared" si="64"/>
        <v>0</v>
      </c>
      <c r="AD12" s="9">
        <f t="shared" si="11"/>
        <v>0</v>
      </c>
      <c r="AE12" s="100"/>
      <c r="AF12" s="9">
        <f t="shared" si="12"/>
        <v>0</v>
      </c>
      <c r="AG12" s="9">
        <f t="shared" si="65"/>
        <v>0</v>
      </c>
      <c r="AH12" s="9">
        <f t="shared" si="13"/>
        <v>0</v>
      </c>
      <c r="AI12" s="100"/>
      <c r="AJ12" s="9">
        <f t="shared" si="14"/>
        <v>0</v>
      </c>
      <c r="AK12" s="9">
        <f t="shared" si="66"/>
        <v>0</v>
      </c>
      <c r="AL12" s="9">
        <f t="shared" si="15"/>
        <v>0</v>
      </c>
      <c r="AM12" s="100"/>
      <c r="AN12" s="9">
        <f t="shared" si="16"/>
        <v>0</v>
      </c>
      <c r="AO12" s="9">
        <f t="shared" si="67"/>
        <v>0</v>
      </c>
      <c r="AP12" s="9">
        <f t="shared" si="17"/>
        <v>0</v>
      </c>
      <c r="AQ12" s="100"/>
      <c r="AR12" s="9">
        <f t="shared" si="18"/>
        <v>0</v>
      </c>
      <c r="AS12" s="9">
        <f t="shared" si="68"/>
        <v>0</v>
      </c>
      <c r="AT12" s="9">
        <f t="shared" si="19"/>
        <v>0</v>
      </c>
      <c r="AU12" s="252"/>
      <c r="AV12" s="9">
        <f t="shared" si="20"/>
        <v>0</v>
      </c>
      <c r="AW12" s="7">
        <f t="shared" si="69"/>
        <v>0</v>
      </c>
      <c r="AX12" s="9">
        <f t="shared" si="21"/>
        <v>0</v>
      </c>
      <c r="AY12" s="100"/>
      <c r="AZ12" s="9">
        <f t="shared" si="22"/>
        <v>0</v>
      </c>
      <c r="BA12" s="9">
        <f t="shared" si="70"/>
        <v>0</v>
      </c>
      <c r="BB12" s="9">
        <f t="shared" si="23"/>
        <v>0</v>
      </c>
      <c r="BC12" s="100"/>
      <c r="BD12" s="9">
        <f t="shared" si="24"/>
        <v>0</v>
      </c>
      <c r="BE12" s="9">
        <f t="shared" si="71"/>
        <v>0</v>
      </c>
      <c r="BF12" s="9">
        <f t="shared" si="25"/>
        <v>0</v>
      </c>
      <c r="BG12" s="100"/>
      <c r="BH12" s="9">
        <f t="shared" si="26"/>
        <v>0</v>
      </c>
      <c r="BI12" s="9">
        <f t="shared" si="72"/>
        <v>0</v>
      </c>
      <c r="BJ12" s="9">
        <f t="shared" si="27"/>
        <v>0</v>
      </c>
      <c r="BK12" s="100"/>
      <c r="BL12" s="9"/>
      <c r="BM12" s="9"/>
      <c r="BN12" s="9"/>
      <c r="BO12" s="100"/>
      <c r="BP12" s="9"/>
      <c r="BQ12" s="9"/>
      <c r="BR12" s="9"/>
      <c r="BS12" s="100"/>
      <c r="BT12" s="9"/>
      <c r="BU12" s="9"/>
      <c r="BV12" s="9"/>
      <c r="BW12" s="9">
        <f t="shared" si="73"/>
        <v>6417.5</v>
      </c>
      <c r="BX12" s="9">
        <f t="shared" si="28"/>
        <v>14.130015963009853</v>
      </c>
      <c r="BY12" s="9">
        <f t="shared" si="74"/>
        <v>16082.5</v>
      </c>
      <c r="BZ12" s="9">
        <f t="shared" si="29"/>
        <v>14.221917626511619</v>
      </c>
      <c r="CA12" s="100"/>
      <c r="CB12" s="9"/>
      <c r="CC12" s="9"/>
      <c r="CD12" s="9"/>
      <c r="CE12" s="100"/>
      <c r="CF12" s="9">
        <f t="shared" si="30"/>
        <v>0</v>
      </c>
      <c r="CG12" s="9">
        <f t="shared" si="75"/>
        <v>0</v>
      </c>
      <c r="CH12" s="9">
        <f t="shared" si="31"/>
        <v>0</v>
      </c>
      <c r="CI12" s="100"/>
      <c r="CJ12" s="9">
        <f t="shared" si="32"/>
        <v>0</v>
      </c>
      <c r="CK12" s="9">
        <f t="shared" si="76"/>
        <v>0</v>
      </c>
      <c r="CL12" s="9">
        <f t="shared" si="33"/>
        <v>0</v>
      </c>
      <c r="CM12" s="100"/>
      <c r="CN12" s="9">
        <f t="shared" si="34"/>
        <v>0</v>
      </c>
      <c r="CO12" s="9">
        <f t="shared" si="77"/>
        <v>0</v>
      </c>
      <c r="CP12" s="9">
        <f t="shared" si="35"/>
        <v>0</v>
      </c>
      <c r="CQ12" s="100">
        <v>0</v>
      </c>
      <c r="CR12" s="9">
        <f t="shared" si="36"/>
        <v>0</v>
      </c>
      <c r="CS12" s="9">
        <f t="shared" si="78"/>
        <v>0</v>
      </c>
      <c r="CT12" s="9">
        <f t="shared" si="37"/>
        <v>0</v>
      </c>
      <c r="CU12" s="100"/>
      <c r="CV12" s="9">
        <f t="shared" si="38"/>
        <v>0</v>
      </c>
      <c r="CW12" s="9">
        <f t="shared" si="79"/>
        <v>0</v>
      </c>
      <c r="CX12" s="9">
        <f t="shared" si="39"/>
        <v>0</v>
      </c>
      <c r="CY12" s="101"/>
      <c r="CZ12" s="9">
        <f t="shared" si="40"/>
        <v>0</v>
      </c>
      <c r="DA12" s="9">
        <f t="shared" si="80"/>
        <v>0</v>
      </c>
      <c r="DB12" s="9">
        <f t="shared" si="41"/>
        <v>0</v>
      </c>
      <c r="DC12" s="100"/>
      <c r="DD12" s="9">
        <f t="shared" si="42"/>
        <v>0</v>
      </c>
      <c r="DE12" s="9">
        <f t="shared" si="81"/>
        <v>0</v>
      </c>
      <c r="DF12" s="9">
        <f t="shared" si="43"/>
        <v>0</v>
      </c>
      <c r="DG12" s="100"/>
      <c r="DH12" s="9"/>
      <c r="DI12" s="9"/>
      <c r="DJ12" s="9"/>
      <c r="DK12" s="9">
        <f t="shared" si="82"/>
        <v>0</v>
      </c>
      <c r="DL12" s="9">
        <f t="shared" si="44"/>
        <v>0</v>
      </c>
      <c r="DM12" s="9">
        <f t="shared" si="83"/>
        <v>0</v>
      </c>
      <c r="DN12" s="9">
        <f t="shared" si="45"/>
        <v>0</v>
      </c>
      <c r="DO12" s="100">
        <f>156*DO7</f>
        <v>39000</v>
      </c>
      <c r="DP12" s="9">
        <f t="shared" si="46"/>
        <v>85.869984036990147</v>
      </c>
      <c r="DQ12" s="9">
        <f t="shared" si="84"/>
        <v>97000</v>
      </c>
      <c r="DR12" s="9">
        <f t="shared" si="47"/>
        <v>85.778082373488388</v>
      </c>
      <c r="DS12" s="100">
        <v>0</v>
      </c>
      <c r="DT12" s="9">
        <f t="shared" si="48"/>
        <v>0</v>
      </c>
      <c r="DU12" s="9">
        <f t="shared" si="85"/>
        <v>0</v>
      </c>
      <c r="DV12" s="9">
        <f t="shared" si="49"/>
        <v>0</v>
      </c>
      <c r="DW12" s="100"/>
      <c r="DX12" s="14">
        <f t="shared" si="50"/>
        <v>0</v>
      </c>
      <c r="DY12" s="9">
        <f t="shared" si="86"/>
        <v>0</v>
      </c>
      <c r="DZ12" s="9">
        <f t="shared" si="51"/>
        <v>0</v>
      </c>
      <c r="EA12" s="9">
        <f t="shared" si="87"/>
        <v>39000</v>
      </c>
      <c r="EB12" s="9">
        <f t="shared" si="52"/>
        <v>85.869984036990147</v>
      </c>
      <c r="EC12" s="9">
        <f t="shared" si="88"/>
        <v>97000</v>
      </c>
      <c r="ED12" s="9">
        <f t="shared" si="53"/>
        <v>85.778082373488388</v>
      </c>
      <c r="EE12" s="100"/>
      <c r="EF12" s="9">
        <f t="shared" si="54"/>
        <v>0</v>
      </c>
      <c r="EG12" s="9">
        <f t="shared" si="89"/>
        <v>0</v>
      </c>
      <c r="EH12" s="9">
        <f t="shared" si="55"/>
        <v>0</v>
      </c>
      <c r="EI12" s="9">
        <f t="shared" si="90"/>
        <v>45417.5</v>
      </c>
      <c r="EJ12" s="9">
        <f t="shared" si="91"/>
        <v>113082.5</v>
      </c>
      <c r="EK12" s="9">
        <f t="shared" si="56"/>
        <v>1.065588193890479</v>
      </c>
      <c r="EL12" s="9">
        <f t="shared" si="57"/>
        <v>1.013456592072127</v>
      </c>
    </row>
    <row r="13" spans="1:142">
      <c r="A13" s="15">
        <f>+Chem!A13</f>
        <v>45934</v>
      </c>
      <c r="B13" s="5" t="str">
        <f>Chem!B13</f>
        <v>Toilet/Facial</v>
      </c>
      <c r="C13" s="15" t="str">
        <f>Chem!C13</f>
        <v>12,5/12/13,5/12</v>
      </c>
      <c r="D13" s="7">
        <f>+Chem!D13</f>
        <v>48.988</v>
      </c>
      <c r="E13" s="6">
        <f>+Chem!E13</f>
        <v>46.850999999999999</v>
      </c>
      <c r="F13" s="6">
        <f t="shared" si="58"/>
        <v>158.43200000000002</v>
      </c>
      <c r="G13" s="100"/>
      <c r="H13" s="9">
        <f t="shared" si="0"/>
        <v>0</v>
      </c>
      <c r="I13" s="7">
        <f t="shared" si="59"/>
        <v>0</v>
      </c>
      <c r="J13" s="9">
        <f t="shared" si="1"/>
        <v>0</v>
      </c>
      <c r="K13" s="100">
        <f>27.33*K7</f>
        <v>6832.5</v>
      </c>
      <c r="L13" s="9">
        <f t="shared" si="2"/>
        <v>14.284220979459572</v>
      </c>
      <c r="M13" s="9">
        <f t="shared" si="60"/>
        <v>22915</v>
      </c>
      <c r="N13" s="9">
        <f t="shared" si="3"/>
        <v>14.240437498057981</v>
      </c>
      <c r="O13" s="100"/>
      <c r="P13" s="9">
        <f t="shared" si="4"/>
        <v>0</v>
      </c>
      <c r="Q13" s="9">
        <f t="shared" si="61"/>
        <v>0</v>
      </c>
      <c r="R13" s="9">
        <f t="shared" si="5"/>
        <v>0</v>
      </c>
      <c r="S13" s="100">
        <v>0</v>
      </c>
      <c r="T13" s="9">
        <f t="shared" si="6"/>
        <v>0</v>
      </c>
      <c r="U13" s="9">
        <f t="shared" si="62"/>
        <v>0</v>
      </c>
      <c r="V13" s="9">
        <f t="shared" si="7"/>
        <v>0</v>
      </c>
      <c r="W13" s="100"/>
      <c r="X13" s="9">
        <f t="shared" si="8"/>
        <v>0</v>
      </c>
      <c r="Y13" s="9">
        <f t="shared" si="63"/>
        <v>0</v>
      </c>
      <c r="Z13" s="9">
        <f t="shared" si="9"/>
        <v>0</v>
      </c>
      <c r="AA13" s="100"/>
      <c r="AB13" s="9">
        <f t="shared" si="10"/>
        <v>0</v>
      </c>
      <c r="AC13" s="9">
        <f t="shared" si="64"/>
        <v>0</v>
      </c>
      <c r="AD13" s="9">
        <f t="shared" si="11"/>
        <v>0</v>
      </c>
      <c r="AE13" s="100"/>
      <c r="AF13" s="9">
        <f t="shared" si="12"/>
        <v>0</v>
      </c>
      <c r="AG13" s="9">
        <f t="shared" si="65"/>
        <v>0</v>
      </c>
      <c r="AH13" s="9">
        <f t="shared" si="13"/>
        <v>0</v>
      </c>
      <c r="AI13" s="100"/>
      <c r="AJ13" s="9">
        <f t="shared" si="14"/>
        <v>0</v>
      </c>
      <c r="AK13" s="9">
        <f t="shared" si="66"/>
        <v>0</v>
      </c>
      <c r="AL13" s="9">
        <f t="shared" si="15"/>
        <v>0</v>
      </c>
      <c r="AM13" s="100"/>
      <c r="AN13" s="9">
        <f t="shared" si="16"/>
        <v>0</v>
      </c>
      <c r="AO13" s="9">
        <f t="shared" si="67"/>
        <v>0</v>
      </c>
      <c r="AP13" s="9">
        <f t="shared" si="17"/>
        <v>0</v>
      </c>
      <c r="AQ13" s="100"/>
      <c r="AR13" s="9">
        <f t="shared" si="18"/>
        <v>0</v>
      </c>
      <c r="AS13" s="9">
        <f t="shared" si="68"/>
        <v>0</v>
      </c>
      <c r="AT13" s="9">
        <f t="shared" si="19"/>
        <v>0</v>
      </c>
      <c r="AU13" s="252"/>
      <c r="AV13" s="9">
        <f t="shared" si="20"/>
        <v>0</v>
      </c>
      <c r="AW13" s="7">
        <f t="shared" si="69"/>
        <v>0</v>
      </c>
      <c r="AX13" s="9">
        <f t="shared" si="21"/>
        <v>0</v>
      </c>
      <c r="AY13" s="100"/>
      <c r="AZ13" s="9">
        <f t="shared" si="22"/>
        <v>0</v>
      </c>
      <c r="BA13" s="9">
        <f t="shared" si="70"/>
        <v>0</v>
      </c>
      <c r="BB13" s="9">
        <f t="shared" si="23"/>
        <v>0</v>
      </c>
      <c r="BC13" s="100"/>
      <c r="BD13" s="9">
        <f t="shared" si="24"/>
        <v>0</v>
      </c>
      <c r="BE13" s="9">
        <f t="shared" si="71"/>
        <v>0</v>
      </c>
      <c r="BF13" s="9">
        <f t="shared" si="25"/>
        <v>0</v>
      </c>
      <c r="BG13" s="100"/>
      <c r="BH13" s="9">
        <f t="shared" si="26"/>
        <v>0</v>
      </c>
      <c r="BI13" s="9">
        <f t="shared" si="72"/>
        <v>0</v>
      </c>
      <c r="BJ13" s="9">
        <f t="shared" si="27"/>
        <v>0</v>
      </c>
      <c r="BK13" s="100"/>
      <c r="BL13" s="9"/>
      <c r="BM13" s="9"/>
      <c r="BN13" s="9"/>
      <c r="BO13" s="100"/>
      <c r="BP13" s="9"/>
      <c r="BQ13" s="9"/>
      <c r="BR13" s="9"/>
      <c r="BS13" s="100"/>
      <c r="BT13" s="9"/>
      <c r="BU13" s="9"/>
      <c r="BV13" s="9"/>
      <c r="BW13" s="9">
        <f t="shared" si="73"/>
        <v>6832.5</v>
      </c>
      <c r="BX13" s="9">
        <f t="shared" si="28"/>
        <v>14.284220979459572</v>
      </c>
      <c r="BY13" s="9">
        <f t="shared" si="74"/>
        <v>22915</v>
      </c>
      <c r="BZ13" s="9">
        <f t="shared" si="29"/>
        <v>14.240437498057981</v>
      </c>
      <c r="CA13" s="100"/>
      <c r="CB13" s="9"/>
      <c r="CC13" s="9"/>
      <c r="CD13" s="9"/>
      <c r="CE13" s="100"/>
      <c r="CF13" s="9">
        <f t="shared" si="30"/>
        <v>0</v>
      </c>
      <c r="CG13" s="9">
        <f t="shared" si="75"/>
        <v>0</v>
      </c>
      <c r="CH13" s="9">
        <f t="shared" si="31"/>
        <v>0</v>
      </c>
      <c r="CI13" s="100"/>
      <c r="CJ13" s="9">
        <f t="shared" si="32"/>
        <v>0</v>
      </c>
      <c r="CK13" s="9">
        <f t="shared" si="76"/>
        <v>0</v>
      </c>
      <c r="CL13" s="9">
        <f t="shared" si="33"/>
        <v>0</v>
      </c>
      <c r="CM13" s="100"/>
      <c r="CN13" s="9">
        <f t="shared" si="34"/>
        <v>0</v>
      </c>
      <c r="CO13" s="9">
        <f t="shared" si="77"/>
        <v>0</v>
      </c>
      <c r="CP13" s="9">
        <f t="shared" si="35"/>
        <v>0</v>
      </c>
      <c r="CQ13" s="100">
        <v>0</v>
      </c>
      <c r="CR13" s="9">
        <f t="shared" si="36"/>
        <v>0</v>
      </c>
      <c r="CS13" s="9">
        <f t="shared" si="78"/>
        <v>0</v>
      </c>
      <c r="CT13" s="9">
        <f t="shared" si="37"/>
        <v>0</v>
      </c>
      <c r="CU13" s="100"/>
      <c r="CV13" s="9">
        <f t="shared" si="38"/>
        <v>0</v>
      </c>
      <c r="CW13" s="9">
        <f t="shared" si="79"/>
        <v>0</v>
      </c>
      <c r="CX13" s="9">
        <f t="shared" si="39"/>
        <v>0</v>
      </c>
      <c r="CY13" s="101"/>
      <c r="CZ13" s="9">
        <f t="shared" si="40"/>
        <v>0</v>
      </c>
      <c r="DA13" s="9">
        <f t="shared" si="80"/>
        <v>0</v>
      </c>
      <c r="DB13" s="9">
        <f t="shared" si="41"/>
        <v>0</v>
      </c>
      <c r="DC13" s="100"/>
      <c r="DD13" s="9">
        <f t="shared" si="42"/>
        <v>0</v>
      </c>
      <c r="DE13" s="9">
        <f t="shared" si="81"/>
        <v>0</v>
      </c>
      <c r="DF13" s="9">
        <f t="shared" si="43"/>
        <v>0</v>
      </c>
      <c r="DG13" s="100"/>
      <c r="DH13" s="9"/>
      <c r="DI13" s="9"/>
      <c r="DJ13" s="9"/>
      <c r="DK13" s="9">
        <f t="shared" si="82"/>
        <v>0</v>
      </c>
      <c r="DL13" s="9">
        <f t="shared" si="44"/>
        <v>0</v>
      </c>
      <c r="DM13" s="9">
        <f t="shared" si="83"/>
        <v>0</v>
      </c>
      <c r="DN13" s="9">
        <f t="shared" si="45"/>
        <v>0</v>
      </c>
      <c r="DO13" s="100">
        <f>164*DO7</f>
        <v>41000</v>
      </c>
      <c r="DP13" s="9">
        <f t="shared" si="46"/>
        <v>85.715779020540424</v>
      </c>
      <c r="DQ13" s="9">
        <f t="shared" si="84"/>
        <v>138000</v>
      </c>
      <c r="DR13" s="9">
        <f t="shared" si="47"/>
        <v>85.759562501942028</v>
      </c>
      <c r="DS13" s="100">
        <v>0</v>
      </c>
      <c r="DT13" s="9">
        <f t="shared" si="48"/>
        <v>0</v>
      </c>
      <c r="DU13" s="9">
        <f t="shared" si="85"/>
        <v>0</v>
      </c>
      <c r="DV13" s="9">
        <f t="shared" si="49"/>
        <v>0</v>
      </c>
      <c r="DW13" s="100"/>
      <c r="DX13" s="14">
        <f t="shared" si="50"/>
        <v>0</v>
      </c>
      <c r="DY13" s="9">
        <f t="shared" si="86"/>
        <v>0</v>
      </c>
      <c r="DZ13" s="9">
        <f t="shared" si="51"/>
        <v>0</v>
      </c>
      <c r="EA13" s="9">
        <f t="shared" si="87"/>
        <v>41000</v>
      </c>
      <c r="EB13" s="9">
        <f t="shared" si="52"/>
        <v>85.715779020540424</v>
      </c>
      <c r="EC13" s="9">
        <f t="shared" si="88"/>
        <v>138000</v>
      </c>
      <c r="ED13" s="9">
        <f t="shared" si="53"/>
        <v>85.759562501942028</v>
      </c>
      <c r="EE13" s="100"/>
      <c r="EF13" s="9">
        <f t="shared" si="54"/>
        <v>0</v>
      </c>
      <c r="EG13" s="9">
        <f t="shared" si="89"/>
        <v>0</v>
      </c>
      <c r="EH13" s="9">
        <f t="shared" si="55"/>
        <v>0</v>
      </c>
      <c r="EI13" s="9">
        <f>BW13+DK13+EA13+EE13</f>
        <v>47832.5</v>
      </c>
      <c r="EJ13" s="9">
        <f t="shared" si="91"/>
        <v>160915</v>
      </c>
      <c r="EK13" s="9">
        <f t="shared" si="56"/>
        <v>1.0209493927557578</v>
      </c>
      <c r="EL13" s="9">
        <f t="shared" si="57"/>
        <v>1.0156723389214299</v>
      </c>
    </row>
    <row r="14" spans="1:142">
      <c r="A14" s="15">
        <f>+Chem!A14</f>
        <v>45935</v>
      </c>
      <c r="B14" s="5" t="str">
        <f>Chem!B14</f>
        <v>Facial</v>
      </c>
      <c r="C14" s="15" t="str">
        <f>Chem!C14</f>
        <v>12/12,5</v>
      </c>
      <c r="D14" s="7">
        <f>+Chem!D14</f>
        <v>45.582000000000001</v>
      </c>
      <c r="E14" s="6">
        <f>+Chem!E14</f>
        <v>42.722000000000001</v>
      </c>
      <c r="F14" s="6">
        <f t="shared" si="58"/>
        <v>201.15400000000002</v>
      </c>
      <c r="G14" s="101"/>
      <c r="H14" s="91">
        <f t="shared" si="0"/>
        <v>0</v>
      </c>
      <c r="I14" s="7">
        <f t="shared" si="59"/>
        <v>0</v>
      </c>
      <c r="J14" s="91">
        <f t="shared" si="1"/>
        <v>0</v>
      </c>
      <c r="K14" s="101">
        <f>24.66*K7</f>
        <v>6165</v>
      </c>
      <c r="L14" s="91">
        <f t="shared" si="2"/>
        <v>14.282404726051197</v>
      </c>
      <c r="M14" s="91">
        <f t="shared" si="60"/>
        <v>29080</v>
      </c>
      <c r="N14" s="91">
        <f t="shared" si="3"/>
        <v>14.249313994511956</v>
      </c>
      <c r="O14" s="101"/>
      <c r="P14" s="91">
        <f t="shared" si="4"/>
        <v>0</v>
      </c>
      <c r="Q14" s="91">
        <f t="shared" si="61"/>
        <v>0</v>
      </c>
      <c r="R14" s="91">
        <f t="shared" si="5"/>
        <v>0</v>
      </c>
      <c r="S14" s="100">
        <v>0</v>
      </c>
      <c r="T14" s="91">
        <f t="shared" si="6"/>
        <v>0</v>
      </c>
      <c r="U14" s="91">
        <f t="shared" si="62"/>
        <v>0</v>
      </c>
      <c r="V14" s="91">
        <f t="shared" si="7"/>
        <v>0</v>
      </c>
      <c r="W14" s="101"/>
      <c r="X14" s="91">
        <f t="shared" si="8"/>
        <v>0</v>
      </c>
      <c r="Y14" s="91">
        <f t="shared" si="63"/>
        <v>0</v>
      </c>
      <c r="Z14" s="91">
        <f t="shared" si="9"/>
        <v>0</v>
      </c>
      <c r="AA14" s="101"/>
      <c r="AB14" s="91">
        <f t="shared" si="10"/>
        <v>0</v>
      </c>
      <c r="AC14" s="91">
        <f t="shared" si="64"/>
        <v>0</v>
      </c>
      <c r="AD14" s="91">
        <f t="shared" si="11"/>
        <v>0</v>
      </c>
      <c r="AE14" s="101"/>
      <c r="AF14" s="91">
        <f t="shared" si="12"/>
        <v>0</v>
      </c>
      <c r="AG14" s="91">
        <f t="shared" si="65"/>
        <v>0</v>
      </c>
      <c r="AH14" s="91">
        <f t="shared" si="13"/>
        <v>0</v>
      </c>
      <c r="AI14" s="101"/>
      <c r="AJ14" s="91">
        <f t="shared" si="14"/>
        <v>0</v>
      </c>
      <c r="AK14" s="91">
        <f t="shared" si="66"/>
        <v>0</v>
      </c>
      <c r="AL14" s="91">
        <f t="shared" si="15"/>
        <v>0</v>
      </c>
      <c r="AM14" s="101"/>
      <c r="AN14" s="91">
        <f t="shared" si="16"/>
        <v>0</v>
      </c>
      <c r="AO14" s="91">
        <f t="shared" si="67"/>
        <v>0</v>
      </c>
      <c r="AP14" s="91">
        <f t="shared" si="17"/>
        <v>0</v>
      </c>
      <c r="AQ14" s="101"/>
      <c r="AR14" s="91">
        <f t="shared" si="18"/>
        <v>0</v>
      </c>
      <c r="AS14" s="91">
        <f t="shared" si="68"/>
        <v>0</v>
      </c>
      <c r="AT14" s="91">
        <f t="shared" si="19"/>
        <v>0</v>
      </c>
      <c r="AU14" s="252"/>
      <c r="AV14" s="91">
        <f t="shared" si="20"/>
        <v>0</v>
      </c>
      <c r="AW14" s="7">
        <f t="shared" si="69"/>
        <v>0</v>
      </c>
      <c r="AX14" s="91">
        <f t="shared" si="21"/>
        <v>0</v>
      </c>
      <c r="AY14" s="101"/>
      <c r="AZ14" s="91">
        <f t="shared" si="22"/>
        <v>0</v>
      </c>
      <c r="BA14" s="91">
        <f t="shared" si="70"/>
        <v>0</v>
      </c>
      <c r="BB14" s="91">
        <f t="shared" si="23"/>
        <v>0</v>
      </c>
      <c r="BC14" s="101"/>
      <c r="BD14" s="91">
        <f t="shared" si="24"/>
        <v>0</v>
      </c>
      <c r="BE14" s="91">
        <f t="shared" si="71"/>
        <v>0</v>
      </c>
      <c r="BF14" s="91">
        <f t="shared" si="25"/>
        <v>0</v>
      </c>
      <c r="BG14" s="101"/>
      <c r="BH14" s="91">
        <f t="shared" si="26"/>
        <v>0</v>
      </c>
      <c r="BI14" s="91">
        <f t="shared" si="72"/>
        <v>0</v>
      </c>
      <c r="BJ14" s="91">
        <f t="shared" si="27"/>
        <v>0</v>
      </c>
      <c r="BK14" s="101"/>
      <c r="BL14" s="91"/>
      <c r="BM14" s="91"/>
      <c r="BN14" s="91"/>
      <c r="BO14" s="101"/>
      <c r="BP14" s="91"/>
      <c r="BQ14" s="91"/>
      <c r="BR14" s="91"/>
      <c r="BS14" s="101"/>
      <c r="BT14" s="91"/>
      <c r="BU14" s="91"/>
      <c r="BV14" s="91"/>
      <c r="BW14" s="91">
        <f t="shared" si="73"/>
        <v>6165</v>
      </c>
      <c r="BX14" s="91">
        <f t="shared" si="28"/>
        <v>14.282404726051197</v>
      </c>
      <c r="BY14" s="91">
        <f t="shared" si="74"/>
        <v>29080</v>
      </c>
      <c r="BZ14" s="91">
        <f t="shared" si="29"/>
        <v>14.249313994511956</v>
      </c>
      <c r="CA14" s="101"/>
      <c r="CB14" s="91"/>
      <c r="CC14" s="91"/>
      <c r="CD14" s="91"/>
      <c r="CE14" s="101"/>
      <c r="CF14" s="91">
        <f t="shared" si="30"/>
        <v>0</v>
      </c>
      <c r="CG14" s="91">
        <f t="shared" si="75"/>
        <v>0</v>
      </c>
      <c r="CH14" s="91">
        <f t="shared" si="31"/>
        <v>0</v>
      </c>
      <c r="CI14" s="101"/>
      <c r="CJ14" s="91">
        <f t="shared" si="32"/>
        <v>0</v>
      </c>
      <c r="CK14" s="91">
        <f t="shared" si="76"/>
        <v>0</v>
      </c>
      <c r="CL14" s="91">
        <f t="shared" si="33"/>
        <v>0</v>
      </c>
      <c r="CM14" s="101"/>
      <c r="CN14" s="91">
        <f t="shared" si="34"/>
        <v>0</v>
      </c>
      <c r="CO14" s="91">
        <f t="shared" si="77"/>
        <v>0</v>
      </c>
      <c r="CP14" s="91">
        <f t="shared" si="35"/>
        <v>0</v>
      </c>
      <c r="CQ14" s="100">
        <v>0</v>
      </c>
      <c r="CR14" s="91">
        <f t="shared" si="36"/>
        <v>0</v>
      </c>
      <c r="CS14" s="91">
        <f t="shared" si="78"/>
        <v>0</v>
      </c>
      <c r="CT14" s="91">
        <f t="shared" si="37"/>
        <v>0</v>
      </c>
      <c r="CU14" s="101"/>
      <c r="CV14" s="91">
        <f t="shared" si="38"/>
        <v>0</v>
      </c>
      <c r="CW14" s="91">
        <f t="shared" si="79"/>
        <v>0</v>
      </c>
      <c r="CX14" s="91">
        <f t="shared" si="39"/>
        <v>0</v>
      </c>
      <c r="CY14" s="101"/>
      <c r="CZ14" s="91">
        <f t="shared" si="40"/>
        <v>0</v>
      </c>
      <c r="DA14" s="91">
        <f t="shared" si="80"/>
        <v>0</v>
      </c>
      <c r="DB14" s="91">
        <f t="shared" si="41"/>
        <v>0</v>
      </c>
      <c r="DC14" s="100"/>
      <c r="DD14" s="91">
        <f t="shared" si="42"/>
        <v>0</v>
      </c>
      <c r="DE14" s="91">
        <f t="shared" si="81"/>
        <v>0</v>
      </c>
      <c r="DF14" s="91">
        <f t="shared" si="43"/>
        <v>0</v>
      </c>
      <c r="DG14" s="101"/>
      <c r="DH14" s="91"/>
      <c r="DI14" s="91"/>
      <c r="DJ14" s="91"/>
      <c r="DK14" s="91">
        <f t="shared" si="82"/>
        <v>0</v>
      </c>
      <c r="DL14" s="91">
        <f t="shared" si="44"/>
        <v>0</v>
      </c>
      <c r="DM14" s="91">
        <f t="shared" si="83"/>
        <v>0</v>
      </c>
      <c r="DN14" s="91">
        <f t="shared" si="45"/>
        <v>0</v>
      </c>
      <c r="DO14" s="101">
        <f>148*DO7</f>
        <v>37000</v>
      </c>
      <c r="DP14" s="91">
        <f t="shared" si="46"/>
        <v>85.717595273948803</v>
      </c>
      <c r="DQ14" s="91">
        <f t="shared" si="84"/>
        <v>175000</v>
      </c>
      <c r="DR14" s="91">
        <f t="shared" si="47"/>
        <v>85.750686005488035</v>
      </c>
      <c r="DS14" s="100">
        <v>0</v>
      </c>
      <c r="DT14" s="91">
        <f t="shared" si="48"/>
        <v>0</v>
      </c>
      <c r="DU14" s="91">
        <f t="shared" si="85"/>
        <v>0</v>
      </c>
      <c r="DV14" s="91">
        <f t="shared" si="49"/>
        <v>0</v>
      </c>
      <c r="DW14" s="101"/>
      <c r="DX14" s="92">
        <f t="shared" si="50"/>
        <v>0</v>
      </c>
      <c r="DY14" s="91">
        <f t="shared" si="86"/>
        <v>0</v>
      </c>
      <c r="DZ14" s="91">
        <f t="shared" si="51"/>
        <v>0</v>
      </c>
      <c r="EA14" s="91">
        <f t="shared" si="87"/>
        <v>37000</v>
      </c>
      <c r="EB14" s="91">
        <f t="shared" si="52"/>
        <v>85.717595273948803</v>
      </c>
      <c r="EC14" s="91">
        <f t="shared" si="88"/>
        <v>175000</v>
      </c>
      <c r="ED14" s="91">
        <f t="shared" si="53"/>
        <v>85.750686005488035</v>
      </c>
      <c r="EE14" s="101"/>
      <c r="EF14" s="91">
        <f t="shared" si="54"/>
        <v>0</v>
      </c>
      <c r="EG14" s="91">
        <f t="shared" si="89"/>
        <v>0</v>
      </c>
      <c r="EH14" s="91">
        <f t="shared" si="55"/>
        <v>0</v>
      </c>
      <c r="EI14" s="91">
        <f t="shared" si="90"/>
        <v>43165</v>
      </c>
      <c r="EJ14" s="91">
        <f t="shared" si="91"/>
        <v>204080</v>
      </c>
      <c r="EK14" s="91">
        <f t="shared" si="56"/>
        <v>1.0103693647301155</v>
      </c>
      <c r="EL14" s="91">
        <f t="shared" si="57"/>
        <v>1.0145460691808266</v>
      </c>
    </row>
    <row r="15" spans="1:142">
      <c r="A15" s="15">
        <f>+Chem!A15</f>
        <v>45936</v>
      </c>
      <c r="B15" s="5" t="str">
        <f>Chem!B15</f>
        <v>Facial</v>
      </c>
      <c r="C15" s="15" t="str">
        <f>Chem!C15</f>
        <v>12,5</v>
      </c>
      <c r="D15" s="7">
        <f>+Chem!D15</f>
        <v>45.805999999999997</v>
      </c>
      <c r="E15" s="6">
        <f>+Chem!E15</f>
        <v>44.848999999999997</v>
      </c>
      <c r="F15" s="6">
        <f t="shared" si="58"/>
        <v>246.00300000000001</v>
      </c>
      <c r="G15" s="101"/>
      <c r="H15" s="91">
        <f t="shared" si="0"/>
        <v>0</v>
      </c>
      <c r="I15" s="7">
        <f t="shared" si="59"/>
        <v>0</v>
      </c>
      <c r="J15" s="91">
        <f t="shared" si="1"/>
        <v>0</v>
      </c>
      <c r="K15" s="101">
        <f>26*K7</f>
        <v>6500</v>
      </c>
      <c r="L15" s="91">
        <f t="shared" si="2"/>
        <v>14.285714285714285</v>
      </c>
      <c r="M15" s="91">
        <f t="shared" si="60"/>
        <v>35580</v>
      </c>
      <c r="N15" s="91">
        <f t="shared" si="3"/>
        <v>14.255949995993269</v>
      </c>
      <c r="O15" s="101"/>
      <c r="P15" s="91">
        <f t="shared" si="4"/>
        <v>0</v>
      </c>
      <c r="Q15" s="91">
        <f t="shared" si="61"/>
        <v>0</v>
      </c>
      <c r="R15" s="91">
        <f t="shared" si="5"/>
        <v>0</v>
      </c>
      <c r="S15" s="100">
        <v>0</v>
      </c>
      <c r="T15" s="91">
        <f t="shared" si="6"/>
        <v>0</v>
      </c>
      <c r="U15" s="91">
        <f t="shared" si="62"/>
        <v>0</v>
      </c>
      <c r="V15" s="91">
        <f t="shared" si="7"/>
        <v>0</v>
      </c>
      <c r="W15" s="101"/>
      <c r="X15" s="91">
        <f t="shared" si="8"/>
        <v>0</v>
      </c>
      <c r="Y15" s="91">
        <f t="shared" si="63"/>
        <v>0</v>
      </c>
      <c r="Z15" s="91">
        <f t="shared" si="9"/>
        <v>0</v>
      </c>
      <c r="AA15" s="101"/>
      <c r="AB15" s="91">
        <f t="shared" si="10"/>
        <v>0</v>
      </c>
      <c r="AC15" s="91">
        <f t="shared" si="64"/>
        <v>0</v>
      </c>
      <c r="AD15" s="91">
        <f t="shared" si="11"/>
        <v>0</v>
      </c>
      <c r="AE15" s="101"/>
      <c r="AF15" s="91">
        <f t="shared" si="12"/>
        <v>0</v>
      </c>
      <c r="AG15" s="91">
        <f t="shared" si="65"/>
        <v>0</v>
      </c>
      <c r="AH15" s="91">
        <f t="shared" si="13"/>
        <v>0</v>
      </c>
      <c r="AI15" s="101"/>
      <c r="AJ15" s="91">
        <f t="shared" si="14"/>
        <v>0</v>
      </c>
      <c r="AK15" s="91">
        <f t="shared" si="66"/>
        <v>0</v>
      </c>
      <c r="AL15" s="91">
        <f t="shared" si="15"/>
        <v>0</v>
      </c>
      <c r="AM15" s="101"/>
      <c r="AN15" s="91">
        <f t="shared" si="16"/>
        <v>0</v>
      </c>
      <c r="AO15" s="91">
        <f t="shared" si="67"/>
        <v>0</v>
      </c>
      <c r="AP15" s="91">
        <f t="shared" si="17"/>
        <v>0</v>
      </c>
      <c r="AQ15" s="101"/>
      <c r="AR15" s="91">
        <f t="shared" si="18"/>
        <v>0</v>
      </c>
      <c r="AS15" s="91">
        <f t="shared" si="68"/>
        <v>0</v>
      </c>
      <c r="AT15" s="91">
        <f t="shared" si="19"/>
        <v>0</v>
      </c>
      <c r="AU15" s="252"/>
      <c r="AV15" s="91">
        <f t="shared" si="20"/>
        <v>0</v>
      </c>
      <c r="AW15" s="7">
        <f t="shared" si="69"/>
        <v>0</v>
      </c>
      <c r="AX15" s="91">
        <f t="shared" si="21"/>
        <v>0</v>
      </c>
      <c r="AY15" s="101"/>
      <c r="AZ15" s="91">
        <f t="shared" si="22"/>
        <v>0</v>
      </c>
      <c r="BA15" s="91">
        <f t="shared" si="70"/>
        <v>0</v>
      </c>
      <c r="BB15" s="91">
        <f t="shared" si="23"/>
        <v>0</v>
      </c>
      <c r="BC15" s="101"/>
      <c r="BD15" s="91">
        <f t="shared" si="24"/>
        <v>0</v>
      </c>
      <c r="BE15" s="91">
        <f t="shared" si="71"/>
        <v>0</v>
      </c>
      <c r="BF15" s="91">
        <f t="shared" si="25"/>
        <v>0</v>
      </c>
      <c r="BG15" s="101"/>
      <c r="BH15" s="91">
        <f t="shared" si="26"/>
        <v>0</v>
      </c>
      <c r="BI15" s="91">
        <f t="shared" si="72"/>
        <v>0</v>
      </c>
      <c r="BJ15" s="91">
        <f t="shared" si="27"/>
        <v>0</v>
      </c>
      <c r="BK15" s="101"/>
      <c r="BL15" s="91"/>
      <c r="BM15" s="91"/>
      <c r="BN15" s="91"/>
      <c r="BO15" s="101"/>
      <c r="BP15" s="91"/>
      <c r="BQ15" s="91"/>
      <c r="BR15" s="91"/>
      <c r="BS15" s="101"/>
      <c r="BT15" s="91"/>
      <c r="BU15" s="91"/>
      <c r="BV15" s="91"/>
      <c r="BW15" s="91">
        <f t="shared" si="73"/>
        <v>6500</v>
      </c>
      <c r="BX15" s="91">
        <f t="shared" si="28"/>
        <v>14.285714285714285</v>
      </c>
      <c r="BY15" s="91">
        <f t="shared" si="74"/>
        <v>35580</v>
      </c>
      <c r="BZ15" s="91">
        <f t="shared" si="29"/>
        <v>14.255949995993269</v>
      </c>
      <c r="CA15" s="101"/>
      <c r="CB15" s="91"/>
      <c r="CC15" s="91"/>
      <c r="CD15" s="91"/>
      <c r="CE15" s="101"/>
      <c r="CF15" s="91">
        <f t="shared" si="30"/>
        <v>0</v>
      </c>
      <c r="CG15" s="91">
        <f t="shared" si="75"/>
        <v>0</v>
      </c>
      <c r="CH15" s="91">
        <f t="shared" si="31"/>
        <v>0</v>
      </c>
      <c r="CI15" s="101"/>
      <c r="CJ15" s="91">
        <f t="shared" si="32"/>
        <v>0</v>
      </c>
      <c r="CK15" s="91">
        <f t="shared" si="76"/>
        <v>0</v>
      </c>
      <c r="CL15" s="91">
        <f t="shared" si="33"/>
        <v>0</v>
      </c>
      <c r="CM15" s="101"/>
      <c r="CN15" s="91">
        <f t="shared" si="34"/>
        <v>0</v>
      </c>
      <c r="CO15" s="91">
        <f t="shared" si="77"/>
        <v>0</v>
      </c>
      <c r="CP15" s="91">
        <f t="shared" si="35"/>
        <v>0</v>
      </c>
      <c r="CQ15" s="100">
        <v>0</v>
      </c>
      <c r="CR15" s="91">
        <f t="shared" si="36"/>
        <v>0</v>
      </c>
      <c r="CS15" s="91">
        <f t="shared" si="78"/>
        <v>0</v>
      </c>
      <c r="CT15" s="91">
        <f t="shared" si="37"/>
        <v>0</v>
      </c>
      <c r="CU15" s="101"/>
      <c r="CV15" s="91">
        <f t="shared" si="38"/>
        <v>0</v>
      </c>
      <c r="CW15" s="91">
        <f t="shared" si="79"/>
        <v>0</v>
      </c>
      <c r="CX15" s="91">
        <f t="shared" si="39"/>
        <v>0</v>
      </c>
      <c r="CY15" s="101"/>
      <c r="CZ15" s="91">
        <f t="shared" si="40"/>
        <v>0</v>
      </c>
      <c r="DA15" s="91">
        <f t="shared" si="80"/>
        <v>0</v>
      </c>
      <c r="DB15" s="91">
        <f t="shared" si="41"/>
        <v>0</v>
      </c>
      <c r="DC15" s="100"/>
      <c r="DD15" s="91">
        <f t="shared" si="42"/>
        <v>0</v>
      </c>
      <c r="DE15" s="91">
        <f t="shared" si="81"/>
        <v>0</v>
      </c>
      <c r="DF15" s="91">
        <f t="shared" si="43"/>
        <v>0</v>
      </c>
      <c r="DG15" s="101"/>
      <c r="DH15" s="91"/>
      <c r="DI15" s="91"/>
      <c r="DJ15" s="91"/>
      <c r="DK15" s="91">
        <f t="shared" si="82"/>
        <v>0</v>
      </c>
      <c r="DL15" s="91">
        <f t="shared" si="44"/>
        <v>0</v>
      </c>
      <c r="DM15" s="91">
        <f t="shared" si="83"/>
        <v>0</v>
      </c>
      <c r="DN15" s="91">
        <f t="shared" si="45"/>
        <v>0</v>
      </c>
      <c r="DO15" s="101">
        <f>156*DO7</f>
        <v>39000</v>
      </c>
      <c r="DP15" s="91">
        <f t="shared" si="46"/>
        <v>85.714285714285708</v>
      </c>
      <c r="DQ15" s="91">
        <f t="shared" si="84"/>
        <v>214000</v>
      </c>
      <c r="DR15" s="91">
        <f t="shared" si="47"/>
        <v>85.744050004006738</v>
      </c>
      <c r="DS15" s="100">
        <v>0</v>
      </c>
      <c r="DT15" s="91">
        <f t="shared" si="48"/>
        <v>0</v>
      </c>
      <c r="DU15" s="91">
        <f t="shared" si="85"/>
        <v>0</v>
      </c>
      <c r="DV15" s="91">
        <f t="shared" si="49"/>
        <v>0</v>
      </c>
      <c r="DW15" s="101"/>
      <c r="DX15" s="92">
        <f t="shared" si="50"/>
        <v>0</v>
      </c>
      <c r="DY15" s="91">
        <f t="shared" si="86"/>
        <v>0</v>
      </c>
      <c r="DZ15" s="91">
        <f t="shared" si="51"/>
        <v>0</v>
      </c>
      <c r="EA15" s="91">
        <f t="shared" si="87"/>
        <v>39000</v>
      </c>
      <c r="EB15" s="91">
        <f t="shared" si="52"/>
        <v>85.714285714285708</v>
      </c>
      <c r="EC15" s="91">
        <f t="shared" si="88"/>
        <v>214000</v>
      </c>
      <c r="ED15" s="91">
        <f t="shared" si="53"/>
        <v>85.744050004006738</v>
      </c>
      <c r="EE15" s="101"/>
      <c r="EF15" s="91">
        <f t="shared" si="54"/>
        <v>0</v>
      </c>
      <c r="EG15" s="91">
        <f t="shared" si="89"/>
        <v>0</v>
      </c>
      <c r="EH15" s="91">
        <f t="shared" si="55"/>
        <v>0</v>
      </c>
      <c r="EI15" s="91">
        <f t="shared" si="90"/>
        <v>45500</v>
      </c>
      <c r="EJ15" s="91">
        <f t="shared" si="91"/>
        <v>249580</v>
      </c>
      <c r="EK15" s="91">
        <f t="shared" si="56"/>
        <v>1.0145153738098955</v>
      </c>
      <c r="EL15" s="91">
        <f t="shared" si="57"/>
        <v>1.0145404730836616</v>
      </c>
    </row>
    <row r="16" spans="1:142">
      <c r="A16" s="15">
        <f>+Chem!A16</f>
        <v>45937</v>
      </c>
      <c r="B16" s="5" t="str">
        <f>Chem!B16</f>
        <v>Facial/Toilet</v>
      </c>
      <c r="C16" s="15" t="str">
        <f>Chem!C16</f>
        <v>12,5/12/13/12,5</v>
      </c>
      <c r="D16" s="7">
        <f>+Chem!D16</f>
        <v>46.744999999999997</v>
      </c>
      <c r="E16" s="6">
        <f>+Chem!E16</f>
        <v>44.094999999999999</v>
      </c>
      <c r="F16" s="6">
        <f t="shared" si="58"/>
        <v>290.09800000000001</v>
      </c>
      <c r="G16" s="101"/>
      <c r="H16" s="91">
        <f t="shared" si="0"/>
        <v>0</v>
      </c>
      <c r="I16" s="7">
        <f t="shared" si="59"/>
        <v>0</v>
      </c>
      <c r="J16" s="91">
        <f t="shared" si="1"/>
        <v>0</v>
      </c>
      <c r="K16" s="101">
        <f>28*K7</f>
        <v>7000</v>
      </c>
      <c r="L16" s="91">
        <f t="shared" si="2"/>
        <v>14.285714285714285</v>
      </c>
      <c r="M16" s="91">
        <f t="shared" si="60"/>
        <v>42580</v>
      </c>
      <c r="N16" s="91">
        <f t="shared" si="3"/>
        <v>14.260834617188022</v>
      </c>
      <c r="O16" s="101"/>
      <c r="P16" s="91">
        <f t="shared" si="4"/>
        <v>0</v>
      </c>
      <c r="Q16" s="91">
        <f t="shared" si="61"/>
        <v>0</v>
      </c>
      <c r="R16" s="91">
        <f t="shared" si="5"/>
        <v>0</v>
      </c>
      <c r="S16" s="100">
        <v>0</v>
      </c>
      <c r="T16" s="91">
        <f t="shared" si="6"/>
        <v>0</v>
      </c>
      <c r="U16" s="91">
        <f t="shared" si="62"/>
        <v>0</v>
      </c>
      <c r="V16" s="91">
        <f t="shared" si="7"/>
        <v>0</v>
      </c>
      <c r="W16" s="101"/>
      <c r="X16" s="91">
        <f t="shared" si="8"/>
        <v>0</v>
      </c>
      <c r="Y16" s="91">
        <f t="shared" si="63"/>
        <v>0</v>
      </c>
      <c r="Z16" s="91">
        <f t="shared" si="9"/>
        <v>0</v>
      </c>
      <c r="AA16" s="101"/>
      <c r="AB16" s="91">
        <f t="shared" si="10"/>
        <v>0</v>
      </c>
      <c r="AC16" s="91">
        <f t="shared" si="64"/>
        <v>0</v>
      </c>
      <c r="AD16" s="91">
        <f t="shared" si="11"/>
        <v>0</v>
      </c>
      <c r="AE16" s="101"/>
      <c r="AF16" s="91">
        <f t="shared" si="12"/>
        <v>0</v>
      </c>
      <c r="AG16" s="91">
        <f t="shared" si="65"/>
        <v>0</v>
      </c>
      <c r="AH16" s="91">
        <f t="shared" si="13"/>
        <v>0</v>
      </c>
      <c r="AI16" s="101"/>
      <c r="AJ16" s="91">
        <f t="shared" si="14"/>
        <v>0</v>
      </c>
      <c r="AK16" s="91">
        <f t="shared" si="66"/>
        <v>0</v>
      </c>
      <c r="AL16" s="91">
        <f t="shared" si="15"/>
        <v>0</v>
      </c>
      <c r="AM16" s="101"/>
      <c r="AN16" s="91">
        <f t="shared" si="16"/>
        <v>0</v>
      </c>
      <c r="AO16" s="91">
        <f t="shared" si="67"/>
        <v>0</v>
      </c>
      <c r="AP16" s="91">
        <f t="shared" si="17"/>
        <v>0</v>
      </c>
      <c r="AQ16" s="101"/>
      <c r="AR16" s="91">
        <f t="shared" si="18"/>
        <v>0</v>
      </c>
      <c r="AS16" s="91">
        <f t="shared" si="68"/>
        <v>0</v>
      </c>
      <c r="AT16" s="91">
        <f t="shared" si="19"/>
        <v>0</v>
      </c>
      <c r="AU16" s="252"/>
      <c r="AV16" s="91">
        <f t="shared" si="20"/>
        <v>0</v>
      </c>
      <c r="AW16" s="7">
        <f t="shared" si="69"/>
        <v>0</v>
      </c>
      <c r="AX16" s="91">
        <f t="shared" si="21"/>
        <v>0</v>
      </c>
      <c r="AY16" s="101"/>
      <c r="AZ16" s="91">
        <f t="shared" si="22"/>
        <v>0</v>
      </c>
      <c r="BA16" s="91">
        <f t="shared" si="70"/>
        <v>0</v>
      </c>
      <c r="BB16" s="91">
        <f t="shared" si="23"/>
        <v>0</v>
      </c>
      <c r="BC16" s="101"/>
      <c r="BD16" s="91">
        <f t="shared" si="24"/>
        <v>0</v>
      </c>
      <c r="BE16" s="91">
        <f t="shared" si="71"/>
        <v>0</v>
      </c>
      <c r="BF16" s="91">
        <f t="shared" si="25"/>
        <v>0</v>
      </c>
      <c r="BG16" s="101"/>
      <c r="BH16" s="91">
        <f t="shared" si="26"/>
        <v>0</v>
      </c>
      <c r="BI16" s="91">
        <f t="shared" si="72"/>
        <v>0</v>
      </c>
      <c r="BJ16" s="91">
        <f t="shared" si="27"/>
        <v>0</v>
      </c>
      <c r="BK16" s="101"/>
      <c r="BL16" s="91"/>
      <c r="BM16" s="91"/>
      <c r="BN16" s="91"/>
      <c r="BO16" s="101"/>
      <c r="BP16" s="91"/>
      <c r="BQ16" s="91"/>
      <c r="BR16" s="91"/>
      <c r="BS16" s="101"/>
      <c r="BT16" s="91"/>
      <c r="BU16" s="91"/>
      <c r="BV16" s="91"/>
      <c r="BW16" s="91">
        <f t="shared" si="73"/>
        <v>7000</v>
      </c>
      <c r="BX16" s="91">
        <f t="shared" si="28"/>
        <v>14.285714285714285</v>
      </c>
      <c r="BY16" s="91">
        <f t="shared" si="74"/>
        <v>42580</v>
      </c>
      <c r="BZ16" s="91">
        <f t="shared" si="29"/>
        <v>14.260834617188022</v>
      </c>
      <c r="CA16" s="101"/>
      <c r="CB16" s="91"/>
      <c r="CC16" s="91"/>
      <c r="CD16" s="91"/>
      <c r="CE16" s="101"/>
      <c r="CF16" s="91">
        <f t="shared" si="30"/>
        <v>0</v>
      </c>
      <c r="CG16" s="91">
        <f t="shared" si="75"/>
        <v>0</v>
      </c>
      <c r="CH16" s="91">
        <f t="shared" si="31"/>
        <v>0</v>
      </c>
      <c r="CI16" s="101"/>
      <c r="CJ16" s="91">
        <f t="shared" si="32"/>
        <v>0</v>
      </c>
      <c r="CK16" s="91">
        <f t="shared" si="76"/>
        <v>0</v>
      </c>
      <c r="CL16" s="91">
        <f t="shared" si="33"/>
        <v>0</v>
      </c>
      <c r="CM16" s="101"/>
      <c r="CN16" s="91">
        <f t="shared" si="34"/>
        <v>0</v>
      </c>
      <c r="CO16" s="91">
        <f t="shared" si="77"/>
        <v>0</v>
      </c>
      <c r="CP16" s="91">
        <f t="shared" si="35"/>
        <v>0</v>
      </c>
      <c r="CQ16" s="100">
        <v>0</v>
      </c>
      <c r="CR16" s="91">
        <f t="shared" si="36"/>
        <v>0</v>
      </c>
      <c r="CS16" s="91">
        <f t="shared" si="78"/>
        <v>0</v>
      </c>
      <c r="CT16" s="91">
        <f t="shared" si="37"/>
        <v>0</v>
      </c>
      <c r="CU16" s="101"/>
      <c r="CV16" s="91">
        <f t="shared" si="38"/>
        <v>0</v>
      </c>
      <c r="CW16" s="91">
        <f t="shared" si="79"/>
        <v>0</v>
      </c>
      <c r="CX16" s="91">
        <f t="shared" si="39"/>
        <v>0</v>
      </c>
      <c r="CY16" s="101"/>
      <c r="CZ16" s="91">
        <f t="shared" si="40"/>
        <v>0</v>
      </c>
      <c r="DA16" s="91">
        <f t="shared" si="80"/>
        <v>0</v>
      </c>
      <c r="DB16" s="91">
        <f t="shared" si="41"/>
        <v>0</v>
      </c>
      <c r="DC16" s="100"/>
      <c r="DD16" s="91">
        <f t="shared" si="42"/>
        <v>0</v>
      </c>
      <c r="DE16" s="91">
        <f t="shared" si="81"/>
        <v>0</v>
      </c>
      <c r="DF16" s="91">
        <f t="shared" si="43"/>
        <v>0</v>
      </c>
      <c r="DG16" s="101"/>
      <c r="DH16" s="91"/>
      <c r="DI16" s="91"/>
      <c r="DJ16" s="91"/>
      <c r="DK16" s="91">
        <f t="shared" si="82"/>
        <v>0</v>
      </c>
      <c r="DL16" s="91">
        <f t="shared" si="44"/>
        <v>0</v>
      </c>
      <c r="DM16" s="91">
        <f t="shared" si="83"/>
        <v>0</v>
      </c>
      <c r="DN16" s="91">
        <f t="shared" si="45"/>
        <v>0</v>
      </c>
      <c r="DO16" s="101">
        <f>168*DO7</f>
        <v>42000</v>
      </c>
      <c r="DP16" s="91">
        <f t="shared" si="46"/>
        <v>85.714285714285708</v>
      </c>
      <c r="DQ16" s="91">
        <f t="shared" si="84"/>
        <v>256000</v>
      </c>
      <c r="DR16" s="91">
        <f t="shared" si="47"/>
        <v>85.739165382811976</v>
      </c>
      <c r="DS16" s="100">
        <v>0</v>
      </c>
      <c r="DT16" s="91">
        <f t="shared" si="48"/>
        <v>0</v>
      </c>
      <c r="DU16" s="91">
        <f t="shared" si="85"/>
        <v>0</v>
      </c>
      <c r="DV16" s="91">
        <f t="shared" si="49"/>
        <v>0</v>
      </c>
      <c r="DW16" s="101"/>
      <c r="DX16" s="92">
        <f t="shared" si="50"/>
        <v>0</v>
      </c>
      <c r="DY16" s="91">
        <f t="shared" si="86"/>
        <v>0</v>
      </c>
      <c r="DZ16" s="91">
        <f t="shared" si="51"/>
        <v>0</v>
      </c>
      <c r="EA16" s="91">
        <f t="shared" si="87"/>
        <v>42000</v>
      </c>
      <c r="EB16" s="91">
        <f t="shared" si="52"/>
        <v>85.714285714285708</v>
      </c>
      <c r="EC16" s="91">
        <f t="shared" si="88"/>
        <v>256000</v>
      </c>
      <c r="ED16" s="91">
        <f t="shared" si="53"/>
        <v>85.739165382811976</v>
      </c>
      <c r="EE16" s="101"/>
      <c r="EF16" s="91">
        <f t="shared" si="54"/>
        <v>0</v>
      </c>
      <c r="EG16" s="91">
        <f t="shared" si="89"/>
        <v>0</v>
      </c>
      <c r="EH16" s="91">
        <f t="shared" si="55"/>
        <v>0</v>
      </c>
      <c r="EI16" s="91">
        <f t="shared" si="90"/>
        <v>49000</v>
      </c>
      <c r="EJ16" s="91">
        <f t="shared" si="91"/>
        <v>298580</v>
      </c>
      <c r="EK16" s="91">
        <f t="shared" si="56"/>
        <v>1.1112371017122122</v>
      </c>
      <c r="EL16" s="91">
        <f t="shared" si="57"/>
        <v>1.0292383953008981</v>
      </c>
    </row>
    <row r="17" spans="1:151">
      <c r="A17" s="15">
        <f>+Chem!A17</f>
        <v>45938</v>
      </c>
      <c r="B17" s="5" t="str">
        <f>Chem!B17</f>
        <v>Toilet</v>
      </c>
      <c r="C17" s="15" t="str">
        <f>Chem!C17</f>
        <v>12,5</v>
      </c>
      <c r="D17" s="7">
        <f>+Chem!D17</f>
        <v>50.239999999999995</v>
      </c>
      <c r="E17" s="6">
        <f>+Chem!E17</f>
        <v>47.835000000000001</v>
      </c>
      <c r="F17" s="6">
        <f t="shared" si="58"/>
        <v>337.93299999999999</v>
      </c>
      <c r="G17" s="101"/>
      <c r="H17" s="91">
        <f t="shared" si="0"/>
        <v>0</v>
      </c>
      <c r="I17" s="7">
        <f t="shared" si="59"/>
        <v>0</v>
      </c>
      <c r="J17" s="91">
        <f t="shared" si="1"/>
        <v>0</v>
      </c>
      <c r="K17" s="101">
        <f>30*K7</f>
        <v>7500</v>
      </c>
      <c r="L17" s="91">
        <f t="shared" si="2"/>
        <v>14.285714285714285</v>
      </c>
      <c r="M17" s="91">
        <f t="shared" si="60"/>
        <v>50080</v>
      </c>
      <c r="N17" s="91">
        <f t="shared" si="3"/>
        <v>14.264555087159621</v>
      </c>
      <c r="O17" s="101"/>
      <c r="P17" s="91">
        <f t="shared" si="4"/>
        <v>0</v>
      </c>
      <c r="Q17" s="91">
        <f t="shared" si="61"/>
        <v>0</v>
      </c>
      <c r="R17" s="91">
        <f t="shared" si="5"/>
        <v>0</v>
      </c>
      <c r="S17" s="100">
        <v>0</v>
      </c>
      <c r="T17" s="91">
        <f t="shared" si="6"/>
        <v>0</v>
      </c>
      <c r="U17" s="91">
        <f t="shared" si="62"/>
        <v>0</v>
      </c>
      <c r="V17" s="91">
        <f t="shared" si="7"/>
        <v>0</v>
      </c>
      <c r="W17" s="101"/>
      <c r="X17" s="91">
        <f t="shared" si="8"/>
        <v>0</v>
      </c>
      <c r="Y17" s="91">
        <f t="shared" si="63"/>
        <v>0</v>
      </c>
      <c r="Z17" s="91">
        <f t="shared" si="9"/>
        <v>0</v>
      </c>
      <c r="AA17" s="101"/>
      <c r="AB17" s="91">
        <f t="shared" si="10"/>
        <v>0</v>
      </c>
      <c r="AC17" s="91">
        <f t="shared" si="64"/>
        <v>0</v>
      </c>
      <c r="AD17" s="91">
        <f t="shared" si="11"/>
        <v>0</v>
      </c>
      <c r="AE17" s="101"/>
      <c r="AF17" s="91">
        <f t="shared" si="12"/>
        <v>0</v>
      </c>
      <c r="AG17" s="91">
        <f t="shared" si="65"/>
        <v>0</v>
      </c>
      <c r="AH17" s="91">
        <f t="shared" si="13"/>
        <v>0</v>
      </c>
      <c r="AI17" s="101"/>
      <c r="AJ17" s="91">
        <f t="shared" si="14"/>
        <v>0</v>
      </c>
      <c r="AK17" s="91">
        <f t="shared" si="66"/>
        <v>0</v>
      </c>
      <c r="AL17" s="91">
        <f t="shared" si="15"/>
        <v>0</v>
      </c>
      <c r="AM17" s="101"/>
      <c r="AN17" s="91">
        <f t="shared" si="16"/>
        <v>0</v>
      </c>
      <c r="AO17" s="91">
        <f t="shared" si="67"/>
        <v>0</v>
      </c>
      <c r="AP17" s="91">
        <f t="shared" si="17"/>
        <v>0</v>
      </c>
      <c r="AQ17" s="101"/>
      <c r="AR17" s="91">
        <f t="shared" si="18"/>
        <v>0</v>
      </c>
      <c r="AS17" s="91">
        <f t="shared" si="68"/>
        <v>0</v>
      </c>
      <c r="AT17" s="91">
        <f t="shared" si="19"/>
        <v>0</v>
      </c>
      <c r="AU17" s="252"/>
      <c r="AV17" s="91">
        <f t="shared" si="20"/>
        <v>0</v>
      </c>
      <c r="AW17" s="7">
        <f t="shared" si="69"/>
        <v>0</v>
      </c>
      <c r="AX17" s="91">
        <f t="shared" si="21"/>
        <v>0</v>
      </c>
      <c r="AY17" s="101"/>
      <c r="AZ17" s="91">
        <f t="shared" si="22"/>
        <v>0</v>
      </c>
      <c r="BA17" s="91">
        <f t="shared" si="70"/>
        <v>0</v>
      </c>
      <c r="BB17" s="91">
        <f t="shared" si="23"/>
        <v>0</v>
      </c>
      <c r="BC17" s="101"/>
      <c r="BD17" s="91">
        <f t="shared" si="24"/>
        <v>0</v>
      </c>
      <c r="BE17" s="91">
        <f t="shared" si="71"/>
        <v>0</v>
      </c>
      <c r="BF17" s="91">
        <f t="shared" si="25"/>
        <v>0</v>
      </c>
      <c r="BG17" s="101"/>
      <c r="BH17" s="91">
        <f t="shared" si="26"/>
        <v>0</v>
      </c>
      <c r="BI17" s="91">
        <f t="shared" si="72"/>
        <v>0</v>
      </c>
      <c r="BJ17" s="91">
        <f t="shared" si="27"/>
        <v>0</v>
      </c>
      <c r="BK17" s="101"/>
      <c r="BL17" s="91"/>
      <c r="BM17" s="91"/>
      <c r="BN17" s="91"/>
      <c r="BO17" s="101"/>
      <c r="BP17" s="91"/>
      <c r="BQ17" s="91"/>
      <c r="BR17" s="91"/>
      <c r="BS17" s="101"/>
      <c r="BT17" s="91"/>
      <c r="BU17" s="91"/>
      <c r="BV17" s="91"/>
      <c r="BW17" s="91">
        <f t="shared" si="73"/>
        <v>7500</v>
      </c>
      <c r="BX17" s="91">
        <f t="shared" si="28"/>
        <v>14.285714285714285</v>
      </c>
      <c r="BY17" s="91">
        <f t="shared" si="74"/>
        <v>50080</v>
      </c>
      <c r="BZ17" s="91">
        <f t="shared" si="29"/>
        <v>14.264555087159621</v>
      </c>
      <c r="CA17" s="101"/>
      <c r="CB17" s="91"/>
      <c r="CC17" s="91"/>
      <c r="CD17" s="91"/>
      <c r="CE17" s="101"/>
      <c r="CF17" s="91">
        <f t="shared" si="30"/>
        <v>0</v>
      </c>
      <c r="CG17" s="91">
        <f t="shared" si="75"/>
        <v>0</v>
      </c>
      <c r="CH17" s="91">
        <f t="shared" si="31"/>
        <v>0</v>
      </c>
      <c r="CI17" s="101"/>
      <c r="CJ17" s="91">
        <f t="shared" si="32"/>
        <v>0</v>
      </c>
      <c r="CK17" s="91">
        <f t="shared" si="76"/>
        <v>0</v>
      </c>
      <c r="CL17" s="91">
        <f t="shared" si="33"/>
        <v>0</v>
      </c>
      <c r="CM17" s="101"/>
      <c r="CN17" s="91">
        <f t="shared" si="34"/>
        <v>0</v>
      </c>
      <c r="CO17" s="91">
        <f t="shared" si="77"/>
        <v>0</v>
      </c>
      <c r="CP17" s="91">
        <f t="shared" si="35"/>
        <v>0</v>
      </c>
      <c r="CQ17" s="100">
        <v>0</v>
      </c>
      <c r="CR17" s="91">
        <f t="shared" si="36"/>
        <v>0</v>
      </c>
      <c r="CS17" s="91">
        <f t="shared" si="78"/>
        <v>0</v>
      </c>
      <c r="CT17" s="91">
        <f t="shared" si="37"/>
        <v>0</v>
      </c>
      <c r="CU17" s="101"/>
      <c r="CV17" s="91">
        <f t="shared" si="38"/>
        <v>0</v>
      </c>
      <c r="CW17" s="91">
        <f t="shared" si="79"/>
        <v>0</v>
      </c>
      <c r="CX17" s="91">
        <f t="shared" si="39"/>
        <v>0</v>
      </c>
      <c r="CY17" s="101"/>
      <c r="CZ17" s="91">
        <f t="shared" si="40"/>
        <v>0</v>
      </c>
      <c r="DA17" s="91">
        <f t="shared" si="80"/>
        <v>0</v>
      </c>
      <c r="DB17" s="91">
        <f t="shared" si="41"/>
        <v>0</v>
      </c>
      <c r="DC17" s="100"/>
      <c r="DD17" s="91">
        <f t="shared" si="42"/>
        <v>0</v>
      </c>
      <c r="DE17" s="91">
        <f t="shared" si="81"/>
        <v>0</v>
      </c>
      <c r="DF17" s="91">
        <f t="shared" si="43"/>
        <v>0</v>
      </c>
      <c r="DG17" s="101"/>
      <c r="DH17" s="91"/>
      <c r="DI17" s="91"/>
      <c r="DJ17" s="91"/>
      <c r="DK17" s="91">
        <f t="shared" si="82"/>
        <v>0</v>
      </c>
      <c r="DL17" s="91">
        <f t="shared" si="44"/>
        <v>0</v>
      </c>
      <c r="DM17" s="91">
        <f t="shared" si="83"/>
        <v>0</v>
      </c>
      <c r="DN17" s="91">
        <f t="shared" si="45"/>
        <v>0</v>
      </c>
      <c r="DO17" s="101">
        <f>180*DO7</f>
        <v>45000</v>
      </c>
      <c r="DP17" s="91">
        <f t="shared" si="46"/>
        <v>85.714285714285708</v>
      </c>
      <c r="DQ17" s="91">
        <f t="shared" si="84"/>
        <v>301000</v>
      </c>
      <c r="DR17" s="91">
        <f t="shared" si="47"/>
        <v>85.735444912840379</v>
      </c>
      <c r="DS17" s="100">
        <v>0</v>
      </c>
      <c r="DT17" s="91">
        <f t="shared" si="48"/>
        <v>0</v>
      </c>
      <c r="DU17" s="91">
        <f t="shared" si="85"/>
        <v>0</v>
      </c>
      <c r="DV17" s="91">
        <f t="shared" si="49"/>
        <v>0</v>
      </c>
      <c r="DW17" s="101"/>
      <c r="DX17" s="92">
        <f t="shared" si="50"/>
        <v>0</v>
      </c>
      <c r="DY17" s="91">
        <f t="shared" si="86"/>
        <v>0</v>
      </c>
      <c r="DZ17" s="91">
        <f t="shared" si="51"/>
        <v>0</v>
      </c>
      <c r="EA17" s="91">
        <f t="shared" si="87"/>
        <v>45000</v>
      </c>
      <c r="EB17" s="91">
        <f t="shared" si="52"/>
        <v>85.714285714285708</v>
      </c>
      <c r="EC17" s="91">
        <f t="shared" si="88"/>
        <v>301000</v>
      </c>
      <c r="ED17" s="91">
        <f t="shared" si="53"/>
        <v>85.735444912840379</v>
      </c>
      <c r="EE17" s="101"/>
      <c r="EF17" s="91">
        <f t="shared" si="54"/>
        <v>0</v>
      </c>
      <c r="EG17" s="91">
        <f t="shared" si="89"/>
        <v>0</v>
      </c>
      <c r="EH17" s="91">
        <f t="shared" si="55"/>
        <v>0</v>
      </c>
      <c r="EI17" s="91">
        <f t="shared" si="90"/>
        <v>52500</v>
      </c>
      <c r="EJ17" s="91">
        <f t="shared" si="91"/>
        <v>351080</v>
      </c>
      <c r="EK17" s="91">
        <f t="shared" si="56"/>
        <v>1.0975227343994982</v>
      </c>
      <c r="EL17" s="91">
        <f t="shared" si="57"/>
        <v>1.0389041614757955</v>
      </c>
    </row>
    <row r="18" spans="1:151">
      <c r="A18" s="15">
        <f>+Chem!A18</f>
        <v>45939</v>
      </c>
      <c r="B18" s="5" t="str">
        <f>Chem!B18</f>
        <v>Toilet</v>
      </c>
      <c r="C18" s="15" t="str">
        <f>Chem!C18</f>
        <v>12,5</v>
      </c>
      <c r="D18" s="7">
        <f>+Chem!D18</f>
        <v>53.849000000000004</v>
      </c>
      <c r="E18" s="6">
        <f>+Chem!E18</f>
        <v>56.942999999999998</v>
      </c>
      <c r="F18" s="6">
        <f t="shared" si="58"/>
        <v>394.87599999999998</v>
      </c>
      <c r="G18" s="100"/>
      <c r="H18" s="9">
        <f t="shared" si="0"/>
        <v>0</v>
      </c>
      <c r="I18" s="7">
        <f t="shared" si="59"/>
        <v>0</v>
      </c>
      <c r="J18" s="9">
        <f t="shared" si="1"/>
        <v>0</v>
      </c>
      <c r="K18" s="100">
        <f>30.67*K7</f>
        <v>7667.5</v>
      </c>
      <c r="L18" s="9">
        <f t="shared" si="2"/>
        <v>14.287045232216892</v>
      </c>
      <c r="M18" s="9">
        <f t="shared" si="60"/>
        <v>57747.5</v>
      </c>
      <c r="N18" s="9">
        <f t="shared" si="3"/>
        <v>14.267537168234517</v>
      </c>
      <c r="O18" s="100"/>
      <c r="P18" s="9">
        <f t="shared" si="4"/>
        <v>0</v>
      </c>
      <c r="Q18" s="9">
        <f t="shared" si="61"/>
        <v>0</v>
      </c>
      <c r="R18" s="9">
        <f t="shared" si="5"/>
        <v>0</v>
      </c>
      <c r="S18" s="100">
        <v>0</v>
      </c>
      <c r="T18" s="9">
        <f t="shared" si="6"/>
        <v>0</v>
      </c>
      <c r="U18" s="9">
        <f t="shared" si="62"/>
        <v>0</v>
      </c>
      <c r="V18" s="9">
        <f t="shared" si="7"/>
        <v>0</v>
      </c>
      <c r="W18" s="100"/>
      <c r="X18" s="9">
        <f t="shared" si="8"/>
        <v>0</v>
      </c>
      <c r="Y18" s="9">
        <f t="shared" si="63"/>
        <v>0</v>
      </c>
      <c r="Z18" s="9">
        <f t="shared" si="9"/>
        <v>0</v>
      </c>
      <c r="AA18" s="100"/>
      <c r="AB18" s="9">
        <f t="shared" si="10"/>
        <v>0</v>
      </c>
      <c r="AC18" s="9">
        <f t="shared" si="64"/>
        <v>0</v>
      </c>
      <c r="AD18" s="9">
        <f t="shared" si="11"/>
        <v>0</v>
      </c>
      <c r="AE18" s="100"/>
      <c r="AF18" s="9">
        <f t="shared" si="12"/>
        <v>0</v>
      </c>
      <c r="AG18" s="9">
        <f t="shared" si="65"/>
        <v>0</v>
      </c>
      <c r="AH18" s="9">
        <f t="shared" si="13"/>
        <v>0</v>
      </c>
      <c r="AI18" s="100"/>
      <c r="AJ18" s="9">
        <f t="shared" si="14"/>
        <v>0</v>
      </c>
      <c r="AK18" s="9">
        <f t="shared" si="66"/>
        <v>0</v>
      </c>
      <c r="AL18" s="9">
        <f t="shared" si="15"/>
        <v>0</v>
      </c>
      <c r="AM18" s="100"/>
      <c r="AN18" s="9">
        <f t="shared" si="16"/>
        <v>0</v>
      </c>
      <c r="AO18" s="9">
        <f t="shared" si="67"/>
        <v>0</v>
      </c>
      <c r="AP18" s="9">
        <f t="shared" si="17"/>
        <v>0</v>
      </c>
      <c r="AQ18" s="100"/>
      <c r="AR18" s="9">
        <f t="shared" si="18"/>
        <v>0</v>
      </c>
      <c r="AS18" s="9">
        <f t="shared" si="68"/>
        <v>0</v>
      </c>
      <c r="AT18" s="9">
        <f t="shared" si="19"/>
        <v>0</v>
      </c>
      <c r="AU18" s="252"/>
      <c r="AV18" s="9">
        <f t="shared" si="20"/>
        <v>0</v>
      </c>
      <c r="AW18" s="7">
        <f t="shared" si="69"/>
        <v>0</v>
      </c>
      <c r="AX18" s="9">
        <f t="shared" si="21"/>
        <v>0</v>
      </c>
      <c r="AY18" s="100"/>
      <c r="AZ18" s="9">
        <f t="shared" si="22"/>
        <v>0</v>
      </c>
      <c r="BA18" s="9">
        <f t="shared" si="70"/>
        <v>0</v>
      </c>
      <c r="BB18" s="9">
        <f t="shared" si="23"/>
        <v>0</v>
      </c>
      <c r="BC18" s="100"/>
      <c r="BD18" s="9">
        <f t="shared" si="24"/>
        <v>0</v>
      </c>
      <c r="BE18" s="9">
        <f t="shared" si="71"/>
        <v>0</v>
      </c>
      <c r="BF18" s="9">
        <f t="shared" si="25"/>
        <v>0</v>
      </c>
      <c r="BG18" s="100"/>
      <c r="BH18" s="9">
        <f t="shared" si="26"/>
        <v>0</v>
      </c>
      <c r="BI18" s="9">
        <f t="shared" si="72"/>
        <v>0</v>
      </c>
      <c r="BJ18" s="9">
        <f t="shared" si="27"/>
        <v>0</v>
      </c>
      <c r="BK18" s="100"/>
      <c r="BL18" s="9"/>
      <c r="BM18" s="9"/>
      <c r="BN18" s="9"/>
      <c r="BO18" s="100"/>
      <c r="BP18" s="9"/>
      <c r="BQ18" s="9"/>
      <c r="BR18" s="9"/>
      <c r="BS18" s="100"/>
      <c r="BT18" s="9"/>
      <c r="BU18" s="9"/>
      <c r="BV18" s="9"/>
      <c r="BW18" s="9">
        <f t="shared" si="73"/>
        <v>7667.5</v>
      </c>
      <c r="BX18" s="9">
        <f t="shared" si="28"/>
        <v>14.287045232216892</v>
      </c>
      <c r="BY18" s="9">
        <f t="shared" si="74"/>
        <v>57747.5</v>
      </c>
      <c r="BZ18" s="9">
        <f t="shared" si="29"/>
        <v>14.267537168234517</v>
      </c>
      <c r="CA18" s="100"/>
      <c r="CB18" s="9"/>
      <c r="CC18" s="9"/>
      <c r="CD18" s="9"/>
      <c r="CE18" s="100"/>
      <c r="CF18" s="9">
        <f t="shared" si="30"/>
        <v>0</v>
      </c>
      <c r="CG18" s="9">
        <f t="shared" si="75"/>
        <v>0</v>
      </c>
      <c r="CH18" s="9">
        <f t="shared" si="31"/>
        <v>0</v>
      </c>
      <c r="CI18" s="100"/>
      <c r="CJ18" s="9">
        <f t="shared" si="32"/>
        <v>0</v>
      </c>
      <c r="CK18" s="9">
        <f t="shared" si="76"/>
        <v>0</v>
      </c>
      <c r="CL18" s="9">
        <f t="shared" si="33"/>
        <v>0</v>
      </c>
      <c r="CM18" s="100"/>
      <c r="CN18" s="9">
        <f t="shared" si="34"/>
        <v>0</v>
      </c>
      <c r="CO18" s="9">
        <f t="shared" si="77"/>
        <v>0</v>
      </c>
      <c r="CP18" s="9">
        <f t="shared" si="35"/>
        <v>0</v>
      </c>
      <c r="CQ18" s="100">
        <v>0</v>
      </c>
      <c r="CR18" s="9">
        <f t="shared" si="36"/>
        <v>0</v>
      </c>
      <c r="CS18" s="9">
        <f t="shared" si="78"/>
        <v>0</v>
      </c>
      <c r="CT18" s="9">
        <f t="shared" si="37"/>
        <v>0</v>
      </c>
      <c r="CU18" s="100"/>
      <c r="CV18" s="9">
        <f t="shared" si="38"/>
        <v>0</v>
      </c>
      <c r="CW18" s="9">
        <f t="shared" si="79"/>
        <v>0</v>
      </c>
      <c r="CX18" s="9">
        <f t="shared" si="39"/>
        <v>0</v>
      </c>
      <c r="CY18" s="100"/>
      <c r="CZ18" s="9">
        <f t="shared" si="40"/>
        <v>0</v>
      </c>
      <c r="DA18" s="9">
        <f t="shared" si="80"/>
        <v>0</v>
      </c>
      <c r="DB18" s="9">
        <f t="shared" si="41"/>
        <v>0</v>
      </c>
      <c r="DC18" s="100"/>
      <c r="DD18" s="9">
        <f t="shared" si="42"/>
        <v>0</v>
      </c>
      <c r="DE18" s="9">
        <f t="shared" si="81"/>
        <v>0</v>
      </c>
      <c r="DF18" s="9">
        <f t="shared" si="43"/>
        <v>0</v>
      </c>
      <c r="DG18" s="100"/>
      <c r="DH18" s="9"/>
      <c r="DI18" s="9"/>
      <c r="DJ18" s="9"/>
      <c r="DK18" s="9">
        <f t="shared" si="82"/>
        <v>0</v>
      </c>
      <c r="DL18" s="9">
        <f t="shared" si="44"/>
        <v>0</v>
      </c>
      <c r="DM18" s="9">
        <f t="shared" si="83"/>
        <v>0</v>
      </c>
      <c r="DN18" s="9">
        <f t="shared" si="45"/>
        <v>0</v>
      </c>
      <c r="DO18" s="100">
        <f>184*DO7</f>
        <v>46000</v>
      </c>
      <c r="DP18" s="9">
        <f t="shared" si="46"/>
        <v>85.712954767783117</v>
      </c>
      <c r="DQ18" s="9">
        <f t="shared" si="84"/>
        <v>347000</v>
      </c>
      <c r="DR18" s="9">
        <f t="shared" si="47"/>
        <v>85.732462831765488</v>
      </c>
      <c r="DS18" s="100">
        <v>0</v>
      </c>
      <c r="DT18" s="9">
        <f t="shared" si="48"/>
        <v>0</v>
      </c>
      <c r="DU18" s="9">
        <f t="shared" si="85"/>
        <v>0</v>
      </c>
      <c r="DV18" s="9">
        <f t="shared" si="49"/>
        <v>0</v>
      </c>
      <c r="DW18" s="100"/>
      <c r="DX18" s="14">
        <f t="shared" si="50"/>
        <v>0</v>
      </c>
      <c r="DY18" s="9">
        <f t="shared" si="86"/>
        <v>0</v>
      </c>
      <c r="DZ18" s="9">
        <f t="shared" si="51"/>
        <v>0</v>
      </c>
      <c r="EA18" s="9">
        <f t="shared" si="87"/>
        <v>46000</v>
      </c>
      <c r="EB18" s="9">
        <f t="shared" si="52"/>
        <v>85.712954767783117</v>
      </c>
      <c r="EC18" s="9">
        <f t="shared" si="88"/>
        <v>347000</v>
      </c>
      <c r="ED18" s="9">
        <f t="shared" si="53"/>
        <v>85.732462831765488</v>
      </c>
      <c r="EE18" s="100"/>
      <c r="EF18" s="9">
        <f t="shared" si="54"/>
        <v>0</v>
      </c>
      <c r="EG18" s="9">
        <f t="shared" si="89"/>
        <v>0</v>
      </c>
      <c r="EH18" s="9">
        <f t="shared" si="55"/>
        <v>0</v>
      </c>
      <c r="EI18" s="9">
        <f t="shared" si="90"/>
        <v>53667.5</v>
      </c>
      <c r="EJ18" s="9">
        <f t="shared" si="91"/>
        <v>404747.5</v>
      </c>
      <c r="EK18" s="9">
        <f t="shared" si="56"/>
        <v>0.94247756528458282</v>
      </c>
      <c r="EL18" s="9">
        <f t="shared" si="57"/>
        <v>1.0249989870237746</v>
      </c>
    </row>
    <row r="19" spans="1:151">
      <c r="A19" s="15">
        <f>+Chem!A19</f>
        <v>45940</v>
      </c>
      <c r="B19" s="5" t="str">
        <f>Chem!B19</f>
        <v>Toilet</v>
      </c>
      <c r="C19" s="15" t="str">
        <f>Chem!C19</f>
        <v>12,5</v>
      </c>
      <c r="D19" s="7">
        <f>+Chem!D19</f>
        <v>49.89800000000001</v>
      </c>
      <c r="E19" s="6">
        <f>+Chem!E19</f>
        <v>40.125</v>
      </c>
      <c r="F19" s="6">
        <f t="shared" si="58"/>
        <v>435.00099999999998</v>
      </c>
      <c r="G19" s="100"/>
      <c r="H19" s="9">
        <f t="shared" si="0"/>
        <v>0</v>
      </c>
      <c r="I19" s="7">
        <f t="shared" si="59"/>
        <v>0</v>
      </c>
      <c r="J19" s="9">
        <f t="shared" si="1"/>
        <v>0</v>
      </c>
      <c r="K19" s="100">
        <f>29.33*K7</f>
        <v>7332.5</v>
      </c>
      <c r="L19" s="9">
        <f t="shared" si="2"/>
        <v>14.284322797448009</v>
      </c>
      <c r="M19" s="9">
        <f t="shared" si="60"/>
        <v>65080</v>
      </c>
      <c r="N19" s="9">
        <f t="shared" si="3"/>
        <v>14.26942641641817</v>
      </c>
      <c r="O19" s="100"/>
      <c r="P19" s="9">
        <f t="shared" si="4"/>
        <v>0</v>
      </c>
      <c r="Q19" s="9">
        <f t="shared" si="61"/>
        <v>0</v>
      </c>
      <c r="R19" s="9">
        <f t="shared" si="5"/>
        <v>0</v>
      </c>
      <c r="S19" s="100">
        <v>0</v>
      </c>
      <c r="T19" s="9">
        <f t="shared" si="6"/>
        <v>0</v>
      </c>
      <c r="U19" s="9">
        <f t="shared" si="62"/>
        <v>0</v>
      </c>
      <c r="V19" s="9">
        <f t="shared" si="7"/>
        <v>0</v>
      </c>
      <c r="W19" s="100"/>
      <c r="X19" s="9">
        <f t="shared" si="8"/>
        <v>0</v>
      </c>
      <c r="Y19" s="9">
        <f t="shared" si="63"/>
        <v>0</v>
      </c>
      <c r="Z19" s="9">
        <f t="shared" si="9"/>
        <v>0</v>
      </c>
      <c r="AA19" s="100"/>
      <c r="AB19" s="9">
        <f t="shared" si="10"/>
        <v>0</v>
      </c>
      <c r="AC19" s="9">
        <f t="shared" si="64"/>
        <v>0</v>
      </c>
      <c r="AD19" s="9">
        <f t="shared" si="11"/>
        <v>0</v>
      </c>
      <c r="AE19" s="100"/>
      <c r="AF19" s="9">
        <f t="shared" si="12"/>
        <v>0</v>
      </c>
      <c r="AG19" s="9">
        <f t="shared" si="65"/>
        <v>0</v>
      </c>
      <c r="AH19" s="9">
        <f t="shared" si="13"/>
        <v>0</v>
      </c>
      <c r="AI19" s="100"/>
      <c r="AJ19" s="9">
        <f t="shared" si="14"/>
        <v>0</v>
      </c>
      <c r="AK19" s="9">
        <f t="shared" si="66"/>
        <v>0</v>
      </c>
      <c r="AL19" s="9">
        <f t="shared" si="15"/>
        <v>0</v>
      </c>
      <c r="AM19" s="100"/>
      <c r="AN19" s="9">
        <f t="shared" si="16"/>
        <v>0</v>
      </c>
      <c r="AO19" s="9">
        <f t="shared" si="67"/>
        <v>0</v>
      </c>
      <c r="AP19" s="9">
        <f t="shared" si="17"/>
        <v>0</v>
      </c>
      <c r="AQ19" s="100"/>
      <c r="AR19" s="9">
        <f t="shared" si="18"/>
        <v>0</v>
      </c>
      <c r="AS19" s="9">
        <f t="shared" si="68"/>
        <v>0</v>
      </c>
      <c r="AT19" s="9">
        <f t="shared" si="19"/>
        <v>0</v>
      </c>
      <c r="AU19" s="252"/>
      <c r="AV19" s="9">
        <f t="shared" si="20"/>
        <v>0</v>
      </c>
      <c r="AW19" s="7">
        <f t="shared" si="69"/>
        <v>0</v>
      </c>
      <c r="AX19" s="9">
        <f t="shared" si="21"/>
        <v>0</v>
      </c>
      <c r="AY19" s="100"/>
      <c r="AZ19" s="9">
        <f t="shared" si="22"/>
        <v>0</v>
      </c>
      <c r="BA19" s="9">
        <f t="shared" si="70"/>
        <v>0</v>
      </c>
      <c r="BB19" s="9">
        <f t="shared" si="23"/>
        <v>0</v>
      </c>
      <c r="BC19" s="100"/>
      <c r="BD19" s="9">
        <f t="shared" si="24"/>
        <v>0</v>
      </c>
      <c r="BE19" s="9">
        <f t="shared" si="71"/>
        <v>0</v>
      </c>
      <c r="BF19" s="9">
        <f t="shared" si="25"/>
        <v>0</v>
      </c>
      <c r="BG19" s="100"/>
      <c r="BH19" s="9">
        <f t="shared" si="26"/>
        <v>0</v>
      </c>
      <c r="BI19" s="9">
        <f t="shared" si="72"/>
        <v>0</v>
      </c>
      <c r="BJ19" s="9">
        <f t="shared" si="27"/>
        <v>0</v>
      </c>
      <c r="BK19" s="100"/>
      <c r="BL19" s="9"/>
      <c r="BM19" s="9"/>
      <c r="BN19" s="9"/>
      <c r="BO19" s="100"/>
      <c r="BP19" s="9"/>
      <c r="BQ19" s="9"/>
      <c r="BR19" s="9"/>
      <c r="BS19" s="100"/>
      <c r="BT19" s="9"/>
      <c r="BU19" s="9"/>
      <c r="BV19" s="9"/>
      <c r="BW19" s="9">
        <f t="shared" si="73"/>
        <v>7332.5</v>
      </c>
      <c r="BX19" s="9">
        <f t="shared" si="28"/>
        <v>14.284322797448009</v>
      </c>
      <c r="BY19" s="9">
        <f t="shared" si="74"/>
        <v>65080</v>
      </c>
      <c r="BZ19" s="9">
        <f t="shared" si="29"/>
        <v>14.26942641641817</v>
      </c>
      <c r="CA19" s="100"/>
      <c r="CB19" s="9"/>
      <c r="CC19" s="9"/>
      <c r="CD19" s="9"/>
      <c r="CE19" s="100"/>
      <c r="CF19" s="9">
        <f t="shared" si="30"/>
        <v>0</v>
      </c>
      <c r="CG19" s="9">
        <f t="shared" si="75"/>
        <v>0</v>
      </c>
      <c r="CH19" s="9">
        <f t="shared" si="31"/>
        <v>0</v>
      </c>
      <c r="CI19" s="100"/>
      <c r="CJ19" s="9">
        <f t="shared" si="32"/>
        <v>0</v>
      </c>
      <c r="CK19" s="9">
        <f t="shared" si="76"/>
        <v>0</v>
      </c>
      <c r="CL19" s="9">
        <f t="shared" si="33"/>
        <v>0</v>
      </c>
      <c r="CM19" s="100"/>
      <c r="CN19" s="9">
        <f t="shared" si="34"/>
        <v>0</v>
      </c>
      <c r="CO19" s="9">
        <f t="shared" si="77"/>
        <v>0</v>
      </c>
      <c r="CP19" s="9">
        <f t="shared" si="35"/>
        <v>0</v>
      </c>
      <c r="CQ19" s="100">
        <v>0</v>
      </c>
      <c r="CR19" s="9">
        <f t="shared" si="36"/>
        <v>0</v>
      </c>
      <c r="CS19" s="9">
        <f t="shared" si="78"/>
        <v>0</v>
      </c>
      <c r="CT19" s="9">
        <f t="shared" si="37"/>
        <v>0</v>
      </c>
      <c r="CU19" s="100"/>
      <c r="CV19" s="9">
        <f t="shared" si="38"/>
        <v>0</v>
      </c>
      <c r="CW19" s="9">
        <f t="shared" si="79"/>
        <v>0</v>
      </c>
      <c r="CX19" s="9">
        <f t="shared" si="39"/>
        <v>0</v>
      </c>
      <c r="CY19" s="100"/>
      <c r="CZ19" s="9">
        <f t="shared" si="40"/>
        <v>0</v>
      </c>
      <c r="DA19" s="9">
        <f t="shared" si="80"/>
        <v>0</v>
      </c>
      <c r="DB19" s="9">
        <f t="shared" si="41"/>
        <v>0</v>
      </c>
      <c r="DC19" s="100"/>
      <c r="DD19" s="9">
        <f t="shared" si="42"/>
        <v>0</v>
      </c>
      <c r="DE19" s="9">
        <f t="shared" si="81"/>
        <v>0</v>
      </c>
      <c r="DF19" s="9">
        <f t="shared" si="43"/>
        <v>0</v>
      </c>
      <c r="DG19" s="100"/>
      <c r="DH19" s="9"/>
      <c r="DI19" s="9"/>
      <c r="DJ19" s="9"/>
      <c r="DK19" s="9">
        <f t="shared" si="82"/>
        <v>0</v>
      </c>
      <c r="DL19" s="9">
        <f t="shared" si="44"/>
        <v>0</v>
      </c>
      <c r="DM19" s="9">
        <f t="shared" si="83"/>
        <v>0</v>
      </c>
      <c r="DN19" s="9">
        <f t="shared" si="45"/>
        <v>0</v>
      </c>
      <c r="DO19" s="100">
        <f>176*DO7</f>
        <v>44000</v>
      </c>
      <c r="DP19" s="9">
        <f t="shared" si="46"/>
        <v>85.715677202551987</v>
      </c>
      <c r="DQ19" s="9">
        <f t="shared" si="84"/>
        <v>391000</v>
      </c>
      <c r="DR19" s="9">
        <f t="shared" si="47"/>
        <v>85.73057358358183</v>
      </c>
      <c r="DS19" s="100">
        <v>0</v>
      </c>
      <c r="DT19" s="9">
        <f t="shared" si="48"/>
        <v>0</v>
      </c>
      <c r="DU19" s="9">
        <f t="shared" si="85"/>
        <v>0</v>
      </c>
      <c r="DV19" s="9">
        <f t="shared" si="49"/>
        <v>0</v>
      </c>
      <c r="DW19" s="100"/>
      <c r="DX19" s="14">
        <f t="shared" si="50"/>
        <v>0</v>
      </c>
      <c r="DY19" s="9">
        <f t="shared" si="86"/>
        <v>0</v>
      </c>
      <c r="DZ19" s="9">
        <f t="shared" si="51"/>
        <v>0</v>
      </c>
      <c r="EA19" s="9">
        <f t="shared" si="87"/>
        <v>44000</v>
      </c>
      <c r="EB19" s="9">
        <f t="shared" si="52"/>
        <v>85.715677202551987</v>
      </c>
      <c r="EC19" s="9">
        <f t="shared" si="88"/>
        <v>391000</v>
      </c>
      <c r="ED19" s="9">
        <f t="shared" si="53"/>
        <v>85.73057358358183</v>
      </c>
      <c r="EE19" s="100"/>
      <c r="EF19" s="9">
        <f t="shared" si="54"/>
        <v>0</v>
      </c>
      <c r="EG19" s="9">
        <f t="shared" si="89"/>
        <v>0</v>
      </c>
      <c r="EH19" s="9">
        <f t="shared" si="55"/>
        <v>0</v>
      </c>
      <c r="EI19" s="9">
        <f t="shared" si="90"/>
        <v>51332.5</v>
      </c>
      <c r="EJ19" s="9">
        <f t="shared" si="91"/>
        <v>456080</v>
      </c>
      <c r="EK19" s="9">
        <f t="shared" si="56"/>
        <v>1.2793146417445485</v>
      </c>
      <c r="EL19" s="9">
        <f t="shared" si="57"/>
        <v>1.0484573598681382</v>
      </c>
    </row>
    <row r="20" spans="1:151">
      <c r="A20" s="15">
        <f>+Chem!A20</f>
        <v>45941</v>
      </c>
      <c r="B20" s="5" t="str">
        <f>Chem!B20</f>
        <v>Toilet</v>
      </c>
      <c r="C20" s="15" t="str">
        <f>Chem!C20</f>
        <v>12,5/14</v>
      </c>
      <c r="D20" s="7">
        <f>+Chem!D20</f>
        <v>51.078000000000003</v>
      </c>
      <c r="E20" s="6">
        <f>+Chem!E20</f>
        <v>53.558</v>
      </c>
      <c r="F20" s="6">
        <f t="shared" si="58"/>
        <v>488.55899999999997</v>
      </c>
      <c r="G20" s="100"/>
      <c r="H20" s="9">
        <f t="shared" si="0"/>
        <v>0</v>
      </c>
      <c r="I20" s="7">
        <f t="shared" si="59"/>
        <v>0</v>
      </c>
      <c r="J20" s="9">
        <f t="shared" si="1"/>
        <v>0</v>
      </c>
      <c r="K20" s="100">
        <f>29.33*K7</f>
        <v>7332.5</v>
      </c>
      <c r="L20" s="9">
        <f t="shared" si="2"/>
        <v>14.284322797448009</v>
      </c>
      <c r="M20" s="9">
        <f t="shared" si="60"/>
        <v>72412.5</v>
      </c>
      <c r="N20" s="9">
        <f t="shared" si="3"/>
        <v>14.270933412164661</v>
      </c>
      <c r="O20" s="100"/>
      <c r="P20" s="9">
        <f t="shared" si="4"/>
        <v>0</v>
      </c>
      <c r="Q20" s="9">
        <f t="shared" si="61"/>
        <v>0</v>
      </c>
      <c r="R20" s="9">
        <f t="shared" si="5"/>
        <v>0</v>
      </c>
      <c r="S20" s="100">
        <v>0</v>
      </c>
      <c r="T20" s="9">
        <f t="shared" si="6"/>
        <v>0</v>
      </c>
      <c r="U20" s="9">
        <f t="shared" si="62"/>
        <v>0</v>
      </c>
      <c r="V20" s="9">
        <f t="shared" si="7"/>
        <v>0</v>
      </c>
      <c r="W20" s="100"/>
      <c r="X20" s="9">
        <f t="shared" si="8"/>
        <v>0</v>
      </c>
      <c r="Y20" s="9">
        <f t="shared" si="63"/>
        <v>0</v>
      </c>
      <c r="Z20" s="9">
        <f t="shared" si="9"/>
        <v>0</v>
      </c>
      <c r="AA20" s="100"/>
      <c r="AB20" s="9">
        <f t="shared" si="10"/>
        <v>0</v>
      </c>
      <c r="AC20" s="9">
        <f t="shared" si="64"/>
        <v>0</v>
      </c>
      <c r="AD20" s="9">
        <f t="shared" si="11"/>
        <v>0</v>
      </c>
      <c r="AE20" s="100"/>
      <c r="AF20" s="9">
        <f t="shared" si="12"/>
        <v>0</v>
      </c>
      <c r="AG20" s="9">
        <f t="shared" si="65"/>
        <v>0</v>
      </c>
      <c r="AH20" s="9">
        <f t="shared" si="13"/>
        <v>0</v>
      </c>
      <c r="AI20" s="100"/>
      <c r="AJ20" s="9">
        <f t="shared" si="14"/>
        <v>0</v>
      </c>
      <c r="AK20" s="9">
        <f t="shared" si="66"/>
        <v>0</v>
      </c>
      <c r="AL20" s="9">
        <f t="shared" si="15"/>
        <v>0</v>
      </c>
      <c r="AM20" s="100"/>
      <c r="AN20" s="9">
        <f t="shared" si="16"/>
        <v>0</v>
      </c>
      <c r="AO20" s="9">
        <f t="shared" si="67"/>
        <v>0</v>
      </c>
      <c r="AP20" s="9">
        <f t="shared" si="17"/>
        <v>0</v>
      </c>
      <c r="AQ20" s="100"/>
      <c r="AR20" s="9">
        <f t="shared" si="18"/>
        <v>0</v>
      </c>
      <c r="AS20" s="9">
        <f t="shared" si="68"/>
        <v>0</v>
      </c>
      <c r="AT20" s="9">
        <f t="shared" si="19"/>
        <v>0</v>
      </c>
      <c r="AU20" s="252"/>
      <c r="AV20" s="9">
        <f t="shared" si="20"/>
        <v>0</v>
      </c>
      <c r="AW20" s="7">
        <f t="shared" si="69"/>
        <v>0</v>
      </c>
      <c r="AX20" s="9">
        <f t="shared" si="21"/>
        <v>0</v>
      </c>
      <c r="AY20" s="100"/>
      <c r="AZ20" s="9">
        <f t="shared" si="22"/>
        <v>0</v>
      </c>
      <c r="BA20" s="9">
        <f t="shared" si="70"/>
        <v>0</v>
      </c>
      <c r="BB20" s="9">
        <f t="shared" si="23"/>
        <v>0</v>
      </c>
      <c r="BC20" s="100"/>
      <c r="BD20" s="9">
        <f t="shared" si="24"/>
        <v>0</v>
      </c>
      <c r="BE20" s="9">
        <f t="shared" si="71"/>
        <v>0</v>
      </c>
      <c r="BF20" s="9">
        <f t="shared" si="25"/>
        <v>0</v>
      </c>
      <c r="BG20" s="100"/>
      <c r="BH20" s="9">
        <f t="shared" si="26"/>
        <v>0</v>
      </c>
      <c r="BI20" s="9">
        <f t="shared" si="72"/>
        <v>0</v>
      </c>
      <c r="BJ20" s="9">
        <f t="shared" si="27"/>
        <v>0</v>
      </c>
      <c r="BK20" s="100"/>
      <c r="BL20" s="9"/>
      <c r="BM20" s="9"/>
      <c r="BN20" s="9"/>
      <c r="BO20" s="100"/>
      <c r="BP20" s="9"/>
      <c r="BQ20" s="9"/>
      <c r="BR20" s="9"/>
      <c r="BS20" s="100"/>
      <c r="BT20" s="9"/>
      <c r="BU20" s="9"/>
      <c r="BV20" s="9"/>
      <c r="BW20" s="9">
        <f t="shared" si="73"/>
        <v>7332.5</v>
      </c>
      <c r="BX20" s="9">
        <f t="shared" si="28"/>
        <v>14.284322797448009</v>
      </c>
      <c r="BY20" s="9">
        <f t="shared" si="74"/>
        <v>72412.5</v>
      </c>
      <c r="BZ20" s="9">
        <f t="shared" si="29"/>
        <v>14.270933412164661</v>
      </c>
      <c r="CA20" s="100"/>
      <c r="CB20" s="9"/>
      <c r="CC20" s="9"/>
      <c r="CD20" s="9"/>
      <c r="CE20" s="100"/>
      <c r="CF20" s="9">
        <f t="shared" si="30"/>
        <v>0</v>
      </c>
      <c r="CG20" s="9">
        <f t="shared" si="75"/>
        <v>0</v>
      </c>
      <c r="CH20" s="9">
        <f t="shared" si="31"/>
        <v>0</v>
      </c>
      <c r="CI20" s="100"/>
      <c r="CJ20" s="9">
        <f t="shared" si="32"/>
        <v>0</v>
      </c>
      <c r="CK20" s="9">
        <f t="shared" si="76"/>
        <v>0</v>
      </c>
      <c r="CL20" s="9">
        <f t="shared" si="33"/>
        <v>0</v>
      </c>
      <c r="CM20" s="100"/>
      <c r="CN20" s="9">
        <f t="shared" si="34"/>
        <v>0</v>
      </c>
      <c r="CO20" s="9">
        <f t="shared" si="77"/>
        <v>0</v>
      </c>
      <c r="CP20" s="9">
        <f t="shared" si="35"/>
        <v>0</v>
      </c>
      <c r="CQ20" s="100">
        <v>0</v>
      </c>
      <c r="CR20" s="9">
        <f t="shared" si="36"/>
        <v>0</v>
      </c>
      <c r="CS20" s="9">
        <f t="shared" si="78"/>
        <v>0</v>
      </c>
      <c r="CT20" s="9">
        <f t="shared" si="37"/>
        <v>0</v>
      </c>
      <c r="CU20" s="100"/>
      <c r="CV20" s="9">
        <f t="shared" si="38"/>
        <v>0</v>
      </c>
      <c r="CW20" s="9">
        <f t="shared" si="79"/>
        <v>0</v>
      </c>
      <c r="CX20" s="9">
        <f t="shared" si="39"/>
        <v>0</v>
      </c>
      <c r="CY20" s="100"/>
      <c r="CZ20" s="9">
        <f t="shared" si="40"/>
        <v>0</v>
      </c>
      <c r="DA20" s="9">
        <f t="shared" si="80"/>
        <v>0</v>
      </c>
      <c r="DB20" s="9">
        <f t="shared" si="41"/>
        <v>0</v>
      </c>
      <c r="DC20" s="100"/>
      <c r="DD20" s="9">
        <f t="shared" si="42"/>
        <v>0</v>
      </c>
      <c r="DE20" s="9">
        <f t="shared" si="81"/>
        <v>0</v>
      </c>
      <c r="DF20" s="9">
        <f t="shared" si="43"/>
        <v>0</v>
      </c>
      <c r="DG20" s="100"/>
      <c r="DH20" s="9"/>
      <c r="DI20" s="9"/>
      <c r="DJ20" s="9"/>
      <c r="DK20" s="9">
        <f t="shared" si="82"/>
        <v>0</v>
      </c>
      <c r="DL20" s="9">
        <f t="shared" si="44"/>
        <v>0</v>
      </c>
      <c r="DM20" s="9">
        <f t="shared" si="83"/>
        <v>0</v>
      </c>
      <c r="DN20" s="9">
        <f t="shared" si="45"/>
        <v>0</v>
      </c>
      <c r="DO20" s="100">
        <f>176*DO7</f>
        <v>44000</v>
      </c>
      <c r="DP20" s="9">
        <f t="shared" si="46"/>
        <v>85.715677202551987</v>
      </c>
      <c r="DQ20" s="9">
        <f t="shared" si="84"/>
        <v>435000</v>
      </c>
      <c r="DR20" s="9">
        <f t="shared" si="47"/>
        <v>85.729066587835348</v>
      </c>
      <c r="DS20" s="100">
        <v>0</v>
      </c>
      <c r="DT20" s="9">
        <f t="shared" si="48"/>
        <v>0</v>
      </c>
      <c r="DU20" s="9">
        <f t="shared" si="85"/>
        <v>0</v>
      </c>
      <c r="DV20" s="9">
        <f t="shared" si="49"/>
        <v>0</v>
      </c>
      <c r="DW20" s="100"/>
      <c r="DX20" s="14">
        <f t="shared" si="50"/>
        <v>0</v>
      </c>
      <c r="DY20" s="9">
        <f t="shared" si="86"/>
        <v>0</v>
      </c>
      <c r="DZ20" s="9">
        <f t="shared" si="51"/>
        <v>0</v>
      </c>
      <c r="EA20" s="9">
        <f t="shared" si="87"/>
        <v>44000</v>
      </c>
      <c r="EB20" s="9">
        <f t="shared" si="52"/>
        <v>85.715677202551987</v>
      </c>
      <c r="EC20" s="9">
        <f t="shared" si="88"/>
        <v>435000</v>
      </c>
      <c r="ED20" s="9">
        <f t="shared" si="53"/>
        <v>85.729066587835348</v>
      </c>
      <c r="EE20" s="100"/>
      <c r="EF20" s="9">
        <f t="shared" si="54"/>
        <v>0</v>
      </c>
      <c r="EG20" s="9">
        <f t="shared" si="89"/>
        <v>0</v>
      </c>
      <c r="EH20" s="9">
        <f t="shared" si="55"/>
        <v>0</v>
      </c>
      <c r="EI20" s="9">
        <f t="shared" si="90"/>
        <v>51332.5</v>
      </c>
      <c r="EJ20" s="9">
        <f t="shared" si="91"/>
        <v>507412.5</v>
      </c>
      <c r="EK20" s="9">
        <f t="shared" si="56"/>
        <v>0.95844691736061849</v>
      </c>
      <c r="EL20" s="9">
        <f t="shared" si="57"/>
        <v>1.0385900167635844</v>
      </c>
    </row>
    <row r="21" spans="1:151">
      <c r="A21" s="15">
        <f>+Chem!A21</f>
        <v>45942</v>
      </c>
      <c r="B21" s="5" t="str">
        <f>Chem!B21</f>
        <v>Toilet</v>
      </c>
      <c r="C21" s="15" t="str">
        <f>Chem!C21</f>
        <v>14/15/12,5</v>
      </c>
      <c r="D21" s="7">
        <f>+Chem!D21</f>
        <v>50.325000000000003</v>
      </c>
      <c r="E21" s="6">
        <f>+Chem!E21</f>
        <v>50.863</v>
      </c>
      <c r="F21" s="6">
        <f t="shared" si="58"/>
        <v>539.42200000000003</v>
      </c>
      <c r="G21" s="100"/>
      <c r="H21" s="9">
        <f t="shared" si="0"/>
        <v>0</v>
      </c>
      <c r="I21" s="7">
        <f t="shared" si="59"/>
        <v>0</v>
      </c>
      <c r="J21" s="9">
        <f t="shared" si="1"/>
        <v>0</v>
      </c>
      <c r="K21" s="100">
        <f>29.33*K7</f>
        <v>7332.5</v>
      </c>
      <c r="L21" s="9">
        <f t="shared" si="2"/>
        <v>14.284322797448009</v>
      </c>
      <c r="M21" s="9">
        <f t="shared" si="60"/>
        <v>79745</v>
      </c>
      <c r="N21" s="9">
        <f t="shared" si="3"/>
        <v>14.272163509293149</v>
      </c>
      <c r="O21" s="100"/>
      <c r="P21" s="9">
        <f t="shared" si="4"/>
        <v>0</v>
      </c>
      <c r="Q21" s="9">
        <f t="shared" si="61"/>
        <v>0</v>
      </c>
      <c r="R21" s="9">
        <f t="shared" si="5"/>
        <v>0</v>
      </c>
      <c r="S21" s="100">
        <v>0</v>
      </c>
      <c r="T21" s="9">
        <f t="shared" si="6"/>
        <v>0</v>
      </c>
      <c r="U21" s="9">
        <f t="shared" si="62"/>
        <v>0</v>
      </c>
      <c r="V21" s="9">
        <f t="shared" si="7"/>
        <v>0</v>
      </c>
      <c r="W21" s="100"/>
      <c r="X21" s="9">
        <f t="shared" si="8"/>
        <v>0</v>
      </c>
      <c r="Y21" s="9">
        <f t="shared" si="63"/>
        <v>0</v>
      </c>
      <c r="Z21" s="9">
        <f t="shared" si="9"/>
        <v>0</v>
      </c>
      <c r="AA21" s="100"/>
      <c r="AB21" s="9">
        <f t="shared" si="10"/>
        <v>0</v>
      </c>
      <c r="AC21" s="9">
        <f t="shared" si="64"/>
        <v>0</v>
      </c>
      <c r="AD21" s="9">
        <f t="shared" si="11"/>
        <v>0</v>
      </c>
      <c r="AE21" s="100"/>
      <c r="AF21" s="9">
        <f t="shared" si="12"/>
        <v>0</v>
      </c>
      <c r="AG21" s="9">
        <f t="shared" si="65"/>
        <v>0</v>
      </c>
      <c r="AH21" s="9">
        <f t="shared" si="13"/>
        <v>0</v>
      </c>
      <c r="AI21" s="100"/>
      <c r="AJ21" s="9">
        <f t="shared" si="14"/>
        <v>0</v>
      </c>
      <c r="AK21" s="9">
        <f t="shared" si="66"/>
        <v>0</v>
      </c>
      <c r="AL21" s="9">
        <f t="shared" si="15"/>
        <v>0</v>
      </c>
      <c r="AM21" s="100"/>
      <c r="AN21" s="9">
        <f t="shared" si="16"/>
        <v>0</v>
      </c>
      <c r="AO21" s="9">
        <f t="shared" si="67"/>
        <v>0</v>
      </c>
      <c r="AP21" s="9">
        <f t="shared" si="17"/>
        <v>0</v>
      </c>
      <c r="AQ21" s="100"/>
      <c r="AR21" s="9">
        <f t="shared" si="18"/>
        <v>0</v>
      </c>
      <c r="AS21" s="9">
        <f t="shared" si="68"/>
        <v>0</v>
      </c>
      <c r="AT21" s="9">
        <f t="shared" si="19"/>
        <v>0</v>
      </c>
      <c r="AU21" s="252"/>
      <c r="AV21" s="9">
        <f t="shared" si="20"/>
        <v>0</v>
      </c>
      <c r="AW21" s="7">
        <f t="shared" si="69"/>
        <v>0</v>
      </c>
      <c r="AX21" s="9">
        <f t="shared" si="21"/>
        <v>0</v>
      </c>
      <c r="AY21" s="100"/>
      <c r="AZ21" s="9">
        <f t="shared" si="22"/>
        <v>0</v>
      </c>
      <c r="BA21" s="9">
        <f t="shared" si="70"/>
        <v>0</v>
      </c>
      <c r="BB21" s="9">
        <f t="shared" si="23"/>
        <v>0</v>
      </c>
      <c r="BC21" s="100"/>
      <c r="BD21" s="9">
        <f t="shared" si="24"/>
        <v>0</v>
      </c>
      <c r="BE21" s="9">
        <f t="shared" si="71"/>
        <v>0</v>
      </c>
      <c r="BF21" s="9">
        <f t="shared" si="25"/>
        <v>0</v>
      </c>
      <c r="BG21" s="100"/>
      <c r="BH21" s="9">
        <f t="shared" si="26"/>
        <v>0</v>
      </c>
      <c r="BI21" s="9">
        <f t="shared" si="72"/>
        <v>0</v>
      </c>
      <c r="BJ21" s="9">
        <f t="shared" si="27"/>
        <v>0</v>
      </c>
      <c r="BK21" s="100"/>
      <c r="BL21" s="9"/>
      <c r="BM21" s="9"/>
      <c r="BN21" s="9"/>
      <c r="BO21" s="100"/>
      <c r="BP21" s="9"/>
      <c r="BQ21" s="9"/>
      <c r="BR21" s="9"/>
      <c r="BS21" s="100"/>
      <c r="BT21" s="9"/>
      <c r="BU21" s="9"/>
      <c r="BV21" s="9"/>
      <c r="BW21" s="9">
        <f t="shared" si="73"/>
        <v>7332.5</v>
      </c>
      <c r="BX21" s="9">
        <f t="shared" si="28"/>
        <v>14.284322797448009</v>
      </c>
      <c r="BY21" s="9">
        <f t="shared" si="74"/>
        <v>79745</v>
      </c>
      <c r="BZ21" s="9">
        <f t="shared" si="29"/>
        <v>14.272163509293149</v>
      </c>
      <c r="CA21" s="100"/>
      <c r="CB21" s="9"/>
      <c r="CC21" s="9"/>
      <c r="CD21" s="9"/>
      <c r="CE21" s="100"/>
      <c r="CF21" s="9">
        <f t="shared" si="30"/>
        <v>0</v>
      </c>
      <c r="CG21" s="9">
        <f t="shared" si="75"/>
        <v>0</v>
      </c>
      <c r="CH21" s="9">
        <f t="shared" si="31"/>
        <v>0</v>
      </c>
      <c r="CI21" s="100"/>
      <c r="CJ21" s="9">
        <f t="shared" si="32"/>
        <v>0</v>
      </c>
      <c r="CK21" s="9">
        <f t="shared" si="76"/>
        <v>0</v>
      </c>
      <c r="CL21" s="9">
        <f t="shared" si="33"/>
        <v>0</v>
      </c>
      <c r="CM21" s="100"/>
      <c r="CN21" s="9">
        <f t="shared" si="34"/>
        <v>0</v>
      </c>
      <c r="CO21" s="9">
        <f t="shared" si="77"/>
        <v>0</v>
      </c>
      <c r="CP21" s="9">
        <f t="shared" si="35"/>
        <v>0</v>
      </c>
      <c r="CQ21" s="100">
        <v>0</v>
      </c>
      <c r="CR21" s="9">
        <f t="shared" si="36"/>
        <v>0</v>
      </c>
      <c r="CS21" s="9">
        <f t="shared" si="78"/>
        <v>0</v>
      </c>
      <c r="CT21" s="9">
        <f t="shared" si="37"/>
        <v>0</v>
      </c>
      <c r="CU21" s="100"/>
      <c r="CV21" s="9">
        <f t="shared" si="38"/>
        <v>0</v>
      </c>
      <c r="CW21" s="9">
        <f t="shared" si="79"/>
        <v>0</v>
      </c>
      <c r="CX21" s="9">
        <f t="shared" si="39"/>
        <v>0</v>
      </c>
      <c r="CY21" s="100"/>
      <c r="CZ21" s="9">
        <f t="shared" si="40"/>
        <v>0</v>
      </c>
      <c r="DA21" s="9">
        <f t="shared" si="80"/>
        <v>0</v>
      </c>
      <c r="DB21" s="9">
        <f t="shared" si="41"/>
        <v>0</v>
      </c>
      <c r="DC21" s="100"/>
      <c r="DD21" s="9">
        <f t="shared" si="42"/>
        <v>0</v>
      </c>
      <c r="DE21" s="9">
        <f t="shared" si="81"/>
        <v>0</v>
      </c>
      <c r="DF21" s="9">
        <f t="shared" si="43"/>
        <v>0</v>
      </c>
      <c r="DG21" s="100"/>
      <c r="DH21" s="9"/>
      <c r="DI21" s="9"/>
      <c r="DJ21" s="9"/>
      <c r="DK21" s="9">
        <f t="shared" si="82"/>
        <v>0</v>
      </c>
      <c r="DL21" s="9">
        <f t="shared" si="44"/>
        <v>0</v>
      </c>
      <c r="DM21" s="9">
        <f t="shared" si="83"/>
        <v>0</v>
      </c>
      <c r="DN21" s="9">
        <f t="shared" si="45"/>
        <v>0</v>
      </c>
      <c r="DO21" s="100">
        <f>176*DO7</f>
        <v>44000</v>
      </c>
      <c r="DP21" s="9">
        <f t="shared" si="46"/>
        <v>85.715677202551987</v>
      </c>
      <c r="DQ21" s="9">
        <f t="shared" si="84"/>
        <v>479000</v>
      </c>
      <c r="DR21" s="9">
        <f t="shared" si="47"/>
        <v>85.727836490706849</v>
      </c>
      <c r="DS21" s="100">
        <v>0</v>
      </c>
      <c r="DT21" s="9">
        <f t="shared" si="48"/>
        <v>0</v>
      </c>
      <c r="DU21" s="9">
        <f t="shared" si="85"/>
        <v>0</v>
      </c>
      <c r="DV21" s="9">
        <f t="shared" si="49"/>
        <v>0</v>
      </c>
      <c r="DW21" s="100"/>
      <c r="DX21" s="14">
        <f t="shared" si="50"/>
        <v>0</v>
      </c>
      <c r="DY21" s="9">
        <f t="shared" si="86"/>
        <v>0</v>
      </c>
      <c r="DZ21" s="9">
        <f t="shared" si="51"/>
        <v>0</v>
      </c>
      <c r="EA21" s="9">
        <f t="shared" si="87"/>
        <v>44000</v>
      </c>
      <c r="EB21" s="9">
        <f t="shared" si="52"/>
        <v>85.715677202551987</v>
      </c>
      <c r="EC21" s="9">
        <f t="shared" si="88"/>
        <v>479000</v>
      </c>
      <c r="ED21" s="9">
        <f t="shared" si="53"/>
        <v>85.727836490706849</v>
      </c>
      <c r="EE21" s="100"/>
      <c r="EF21" s="9">
        <f t="shared" si="54"/>
        <v>0</v>
      </c>
      <c r="EG21" s="9">
        <f t="shared" si="89"/>
        <v>0</v>
      </c>
      <c r="EH21" s="9">
        <f t="shared" si="55"/>
        <v>0</v>
      </c>
      <c r="EI21" s="9">
        <f t="shared" si="90"/>
        <v>51332.5</v>
      </c>
      <c r="EJ21" s="9">
        <f t="shared" si="91"/>
        <v>558745</v>
      </c>
      <c r="EK21" s="9">
        <f t="shared" si="56"/>
        <v>1.0092306784892753</v>
      </c>
      <c r="EL21" s="9">
        <f t="shared" si="57"/>
        <v>1.03582167579372</v>
      </c>
      <c r="EP21" s="13"/>
      <c r="EQ21" s="13"/>
      <c r="ET21" s="13"/>
      <c r="EU21" s="13"/>
    </row>
    <row r="22" spans="1:151">
      <c r="A22" s="15">
        <f>+Chem!A22</f>
        <v>45943</v>
      </c>
      <c r="B22" s="5" t="str">
        <f>Chem!B22</f>
        <v>Toilet</v>
      </c>
      <c r="C22" s="15" t="str">
        <f>Chem!C22</f>
        <v>12,5/14</v>
      </c>
      <c r="D22" s="7">
        <f>+Chem!D22</f>
        <v>51.091999999999999</v>
      </c>
      <c r="E22" s="6">
        <f>+Chem!E22</f>
        <v>47.128</v>
      </c>
      <c r="F22" s="6">
        <f t="shared" si="58"/>
        <v>586.55000000000007</v>
      </c>
      <c r="G22" s="100"/>
      <c r="H22" s="9">
        <f t="shared" si="0"/>
        <v>0</v>
      </c>
      <c r="I22" s="7">
        <f t="shared" si="59"/>
        <v>0</v>
      </c>
      <c r="J22" s="9">
        <f t="shared" si="1"/>
        <v>0</v>
      </c>
      <c r="K22" s="100">
        <f>33.92*K7</f>
        <v>8480</v>
      </c>
      <c r="L22" s="9">
        <f t="shared" si="2"/>
        <v>16.472416472416473</v>
      </c>
      <c r="M22" s="9">
        <f t="shared" si="60"/>
        <v>88225</v>
      </c>
      <c r="N22" s="9">
        <f t="shared" si="3"/>
        <v>14.457781965668401</v>
      </c>
      <c r="O22" s="100"/>
      <c r="P22" s="9">
        <f t="shared" si="4"/>
        <v>0</v>
      </c>
      <c r="Q22" s="9">
        <f t="shared" si="61"/>
        <v>0</v>
      </c>
      <c r="R22" s="9">
        <f t="shared" si="5"/>
        <v>0</v>
      </c>
      <c r="S22" s="100">
        <v>0</v>
      </c>
      <c r="T22" s="9">
        <f t="shared" si="6"/>
        <v>0</v>
      </c>
      <c r="U22" s="9">
        <f t="shared" si="62"/>
        <v>0</v>
      </c>
      <c r="V22" s="9">
        <f t="shared" si="7"/>
        <v>0</v>
      </c>
      <c r="W22" s="100"/>
      <c r="X22" s="9">
        <f t="shared" si="8"/>
        <v>0</v>
      </c>
      <c r="Y22" s="9">
        <f t="shared" si="63"/>
        <v>0</v>
      </c>
      <c r="Z22" s="9">
        <f t="shared" si="9"/>
        <v>0</v>
      </c>
      <c r="AA22" s="100"/>
      <c r="AB22" s="9">
        <f t="shared" si="10"/>
        <v>0</v>
      </c>
      <c r="AC22" s="9">
        <f t="shared" si="64"/>
        <v>0</v>
      </c>
      <c r="AD22" s="9">
        <f t="shared" si="11"/>
        <v>0</v>
      </c>
      <c r="AE22" s="100"/>
      <c r="AF22" s="9">
        <f t="shared" si="12"/>
        <v>0</v>
      </c>
      <c r="AG22" s="9">
        <f t="shared" si="65"/>
        <v>0</v>
      </c>
      <c r="AH22" s="9">
        <f t="shared" si="13"/>
        <v>0</v>
      </c>
      <c r="AI22" s="100"/>
      <c r="AJ22" s="9">
        <f t="shared" si="14"/>
        <v>0</v>
      </c>
      <c r="AK22" s="9">
        <f t="shared" si="66"/>
        <v>0</v>
      </c>
      <c r="AL22" s="9">
        <f t="shared" si="15"/>
        <v>0</v>
      </c>
      <c r="AM22" s="100"/>
      <c r="AN22" s="9">
        <f t="shared" si="16"/>
        <v>0</v>
      </c>
      <c r="AO22" s="9">
        <f t="shared" si="67"/>
        <v>0</v>
      </c>
      <c r="AP22" s="9">
        <f t="shared" si="17"/>
        <v>0</v>
      </c>
      <c r="AQ22" s="100"/>
      <c r="AR22" s="9">
        <f t="shared" si="18"/>
        <v>0</v>
      </c>
      <c r="AS22" s="9">
        <f t="shared" si="68"/>
        <v>0</v>
      </c>
      <c r="AT22" s="9">
        <f t="shared" si="19"/>
        <v>0</v>
      </c>
      <c r="AU22" s="252"/>
      <c r="AV22" s="9">
        <f t="shared" si="20"/>
        <v>0</v>
      </c>
      <c r="AW22" s="7">
        <f t="shared" si="69"/>
        <v>0</v>
      </c>
      <c r="AX22" s="9">
        <f t="shared" si="21"/>
        <v>0</v>
      </c>
      <c r="AY22" s="100"/>
      <c r="AZ22" s="9">
        <f t="shared" si="22"/>
        <v>0</v>
      </c>
      <c r="BA22" s="9">
        <f t="shared" si="70"/>
        <v>0</v>
      </c>
      <c r="BB22" s="9">
        <f t="shared" si="23"/>
        <v>0</v>
      </c>
      <c r="BC22" s="100"/>
      <c r="BD22" s="9">
        <f t="shared" si="24"/>
        <v>0</v>
      </c>
      <c r="BE22" s="9">
        <f t="shared" si="71"/>
        <v>0</v>
      </c>
      <c r="BF22" s="9">
        <f t="shared" si="25"/>
        <v>0</v>
      </c>
      <c r="BG22" s="100"/>
      <c r="BH22" s="9">
        <f t="shared" si="26"/>
        <v>0</v>
      </c>
      <c r="BI22" s="9">
        <f t="shared" si="72"/>
        <v>0</v>
      </c>
      <c r="BJ22" s="9">
        <f t="shared" si="27"/>
        <v>0</v>
      </c>
      <c r="BK22" s="100"/>
      <c r="BL22" s="9"/>
      <c r="BM22" s="9"/>
      <c r="BN22" s="9"/>
      <c r="BO22" s="100"/>
      <c r="BP22" s="9"/>
      <c r="BQ22" s="9"/>
      <c r="BR22" s="9"/>
      <c r="BS22" s="100"/>
      <c r="BT22" s="9"/>
      <c r="BU22" s="9"/>
      <c r="BV22" s="9"/>
      <c r="BW22" s="9">
        <f t="shared" si="73"/>
        <v>8480</v>
      </c>
      <c r="BX22" s="9">
        <f t="shared" si="28"/>
        <v>16.472416472416473</v>
      </c>
      <c r="BY22" s="9">
        <f t="shared" si="74"/>
        <v>88225</v>
      </c>
      <c r="BZ22" s="9">
        <f t="shared" si="29"/>
        <v>14.457781965668401</v>
      </c>
      <c r="CA22" s="100"/>
      <c r="CB22" s="9"/>
      <c r="CC22" s="9"/>
      <c r="CD22" s="9"/>
      <c r="CE22" s="100"/>
      <c r="CF22" s="9">
        <f t="shared" si="30"/>
        <v>0</v>
      </c>
      <c r="CG22" s="9">
        <f t="shared" si="75"/>
        <v>0</v>
      </c>
      <c r="CH22" s="9">
        <f t="shared" si="31"/>
        <v>0</v>
      </c>
      <c r="CI22" s="100"/>
      <c r="CJ22" s="9">
        <f t="shared" si="32"/>
        <v>0</v>
      </c>
      <c r="CK22" s="9">
        <f t="shared" si="76"/>
        <v>0</v>
      </c>
      <c r="CL22" s="9">
        <f t="shared" si="33"/>
        <v>0</v>
      </c>
      <c r="CM22" s="100"/>
      <c r="CN22" s="9">
        <f t="shared" si="34"/>
        <v>0</v>
      </c>
      <c r="CO22" s="9">
        <f t="shared" si="77"/>
        <v>0</v>
      </c>
      <c r="CP22" s="9">
        <f t="shared" si="35"/>
        <v>0</v>
      </c>
      <c r="CQ22" s="100">
        <v>0</v>
      </c>
      <c r="CR22" s="9">
        <f t="shared" si="36"/>
        <v>0</v>
      </c>
      <c r="CS22" s="9">
        <f t="shared" si="78"/>
        <v>0</v>
      </c>
      <c r="CT22" s="9">
        <f t="shared" si="37"/>
        <v>0</v>
      </c>
      <c r="CU22" s="100"/>
      <c r="CV22" s="9">
        <f t="shared" si="38"/>
        <v>0</v>
      </c>
      <c r="CW22" s="9">
        <f t="shared" si="79"/>
        <v>0</v>
      </c>
      <c r="CX22" s="9">
        <f t="shared" si="39"/>
        <v>0</v>
      </c>
      <c r="CY22" s="100"/>
      <c r="CZ22" s="9">
        <f t="shared" si="40"/>
        <v>0</v>
      </c>
      <c r="DA22" s="9">
        <f t="shared" si="80"/>
        <v>0</v>
      </c>
      <c r="DB22" s="9">
        <f t="shared" si="41"/>
        <v>0</v>
      </c>
      <c r="DC22" s="100"/>
      <c r="DD22" s="9">
        <f t="shared" si="42"/>
        <v>0</v>
      </c>
      <c r="DE22" s="9">
        <f t="shared" si="81"/>
        <v>0</v>
      </c>
      <c r="DF22" s="9">
        <f t="shared" si="43"/>
        <v>0</v>
      </c>
      <c r="DG22" s="100"/>
      <c r="DH22" s="9"/>
      <c r="DI22" s="9"/>
      <c r="DJ22" s="9"/>
      <c r="DK22" s="9">
        <f t="shared" si="82"/>
        <v>0</v>
      </c>
      <c r="DL22" s="9">
        <f t="shared" si="44"/>
        <v>0</v>
      </c>
      <c r="DM22" s="9">
        <f t="shared" si="83"/>
        <v>0</v>
      </c>
      <c r="DN22" s="9">
        <f t="shared" si="45"/>
        <v>0</v>
      </c>
      <c r="DO22" s="100">
        <f>172*DO7</f>
        <v>43000</v>
      </c>
      <c r="DP22" s="9">
        <f t="shared" si="46"/>
        <v>83.527583527583531</v>
      </c>
      <c r="DQ22" s="9">
        <f t="shared" si="84"/>
        <v>522000</v>
      </c>
      <c r="DR22" s="9">
        <f t="shared" si="47"/>
        <v>85.542218034331597</v>
      </c>
      <c r="DS22" s="100">
        <v>0</v>
      </c>
      <c r="DT22" s="9">
        <f t="shared" si="48"/>
        <v>0</v>
      </c>
      <c r="DU22" s="9">
        <f t="shared" si="85"/>
        <v>0</v>
      </c>
      <c r="DV22" s="9">
        <f t="shared" si="49"/>
        <v>0</v>
      </c>
      <c r="DW22" s="100"/>
      <c r="DX22" s="14">
        <f t="shared" si="50"/>
        <v>0</v>
      </c>
      <c r="DY22" s="9">
        <f t="shared" si="86"/>
        <v>0</v>
      </c>
      <c r="DZ22" s="9">
        <f t="shared" si="51"/>
        <v>0</v>
      </c>
      <c r="EA22" s="9">
        <f t="shared" si="87"/>
        <v>43000</v>
      </c>
      <c r="EB22" s="9">
        <f t="shared" si="52"/>
        <v>83.527583527583531</v>
      </c>
      <c r="EC22" s="9">
        <f t="shared" si="88"/>
        <v>522000</v>
      </c>
      <c r="ED22" s="9">
        <f t="shared" si="53"/>
        <v>85.542218034331597</v>
      </c>
      <c r="EE22" s="100"/>
      <c r="EF22" s="9">
        <f t="shared" si="54"/>
        <v>0</v>
      </c>
      <c r="EG22" s="9">
        <f t="shared" si="89"/>
        <v>0</v>
      </c>
      <c r="EH22" s="9">
        <f t="shared" si="55"/>
        <v>0</v>
      </c>
      <c r="EI22" s="9">
        <f t="shared" si="90"/>
        <v>51480</v>
      </c>
      <c r="EJ22" s="9">
        <f t="shared" si="91"/>
        <v>610225</v>
      </c>
      <c r="EK22" s="9">
        <f t="shared" si="56"/>
        <v>1.0923442539466983</v>
      </c>
      <c r="EL22" s="9">
        <f t="shared" si="57"/>
        <v>1.040363140397238</v>
      </c>
      <c r="EP22" s="13"/>
      <c r="EQ22" s="13"/>
      <c r="ET22" s="13"/>
      <c r="EU22" s="13"/>
    </row>
    <row r="23" spans="1:151">
      <c r="A23" s="15">
        <f>+Chem!A23</f>
        <v>45944</v>
      </c>
      <c r="B23" s="5" t="str">
        <f>Chem!B23</f>
        <v>Toilet</v>
      </c>
      <c r="C23" s="15" t="str">
        <f>Chem!C23</f>
        <v>14/15</v>
      </c>
      <c r="D23" s="7">
        <f>+Chem!D23</f>
        <v>55.013000000000005</v>
      </c>
      <c r="E23" s="6">
        <f>+Chem!E23</f>
        <v>42.247999999999998</v>
      </c>
      <c r="F23" s="6">
        <f t="shared" si="58"/>
        <v>628.79800000000012</v>
      </c>
      <c r="G23" s="100"/>
      <c r="H23" s="9">
        <f t="shared" si="0"/>
        <v>0</v>
      </c>
      <c r="I23" s="7">
        <f t="shared" si="59"/>
        <v>0</v>
      </c>
      <c r="J23" s="9">
        <f t="shared" si="1"/>
        <v>0</v>
      </c>
      <c r="K23" s="100">
        <f>40.5*K7</f>
        <v>10125</v>
      </c>
      <c r="L23" s="9">
        <f t="shared" si="2"/>
        <v>19.485892675590698</v>
      </c>
      <c r="M23" s="9">
        <f t="shared" si="60"/>
        <v>98350</v>
      </c>
      <c r="N23" s="9">
        <f t="shared" si="3"/>
        <v>14.852329905756884</v>
      </c>
      <c r="O23" s="100"/>
      <c r="P23" s="9">
        <f t="shared" si="4"/>
        <v>0</v>
      </c>
      <c r="Q23" s="9">
        <f t="shared" si="61"/>
        <v>0</v>
      </c>
      <c r="R23" s="9">
        <f t="shared" si="5"/>
        <v>0</v>
      </c>
      <c r="S23" s="100">
        <v>0</v>
      </c>
      <c r="T23" s="9">
        <f t="shared" si="6"/>
        <v>0</v>
      </c>
      <c r="U23" s="9">
        <f t="shared" si="62"/>
        <v>0</v>
      </c>
      <c r="V23" s="9">
        <f t="shared" si="7"/>
        <v>0</v>
      </c>
      <c r="W23" s="100"/>
      <c r="X23" s="9">
        <f t="shared" si="8"/>
        <v>0</v>
      </c>
      <c r="Y23" s="9">
        <f t="shared" si="63"/>
        <v>0</v>
      </c>
      <c r="Z23" s="9">
        <f t="shared" si="9"/>
        <v>0</v>
      </c>
      <c r="AA23" s="100"/>
      <c r="AB23" s="9">
        <f t="shared" si="10"/>
        <v>0</v>
      </c>
      <c r="AC23" s="9">
        <f t="shared" si="64"/>
        <v>0</v>
      </c>
      <c r="AD23" s="9">
        <f t="shared" si="11"/>
        <v>0</v>
      </c>
      <c r="AE23" s="100"/>
      <c r="AF23" s="9">
        <f t="shared" si="12"/>
        <v>0</v>
      </c>
      <c r="AG23" s="9">
        <f t="shared" si="65"/>
        <v>0</v>
      </c>
      <c r="AH23" s="9">
        <f t="shared" si="13"/>
        <v>0</v>
      </c>
      <c r="AI23" s="100"/>
      <c r="AJ23" s="9">
        <f t="shared" si="14"/>
        <v>0</v>
      </c>
      <c r="AK23" s="9">
        <f t="shared" si="66"/>
        <v>0</v>
      </c>
      <c r="AL23" s="9">
        <f t="shared" si="15"/>
        <v>0</v>
      </c>
      <c r="AM23" s="100"/>
      <c r="AN23" s="9">
        <f t="shared" si="16"/>
        <v>0</v>
      </c>
      <c r="AO23" s="9">
        <f t="shared" si="67"/>
        <v>0</v>
      </c>
      <c r="AP23" s="9">
        <f t="shared" si="17"/>
        <v>0</v>
      </c>
      <c r="AQ23" s="100"/>
      <c r="AR23" s="9">
        <f t="shared" si="18"/>
        <v>0</v>
      </c>
      <c r="AS23" s="9">
        <f t="shared" si="68"/>
        <v>0</v>
      </c>
      <c r="AT23" s="9">
        <f t="shared" si="19"/>
        <v>0</v>
      </c>
      <c r="AU23" s="252"/>
      <c r="AV23" s="9">
        <f t="shared" si="20"/>
        <v>0</v>
      </c>
      <c r="AW23" s="7">
        <f t="shared" si="69"/>
        <v>0</v>
      </c>
      <c r="AX23" s="9">
        <f t="shared" si="21"/>
        <v>0</v>
      </c>
      <c r="AY23" s="100"/>
      <c r="AZ23" s="9">
        <f t="shared" si="22"/>
        <v>0</v>
      </c>
      <c r="BA23" s="9">
        <f t="shared" si="70"/>
        <v>0</v>
      </c>
      <c r="BB23" s="9">
        <f t="shared" si="23"/>
        <v>0</v>
      </c>
      <c r="BC23" s="100"/>
      <c r="BD23" s="9">
        <f t="shared" si="24"/>
        <v>0</v>
      </c>
      <c r="BE23" s="9">
        <f t="shared" si="71"/>
        <v>0</v>
      </c>
      <c r="BF23" s="9">
        <f t="shared" si="25"/>
        <v>0</v>
      </c>
      <c r="BG23" s="100"/>
      <c r="BH23" s="9">
        <f t="shared" si="26"/>
        <v>0</v>
      </c>
      <c r="BI23" s="9">
        <f t="shared" si="72"/>
        <v>0</v>
      </c>
      <c r="BJ23" s="9">
        <f t="shared" si="27"/>
        <v>0</v>
      </c>
      <c r="BK23" s="100"/>
      <c r="BL23" s="9"/>
      <c r="BM23" s="9"/>
      <c r="BN23" s="9"/>
      <c r="BO23" s="100"/>
      <c r="BP23" s="9"/>
      <c r="BQ23" s="9"/>
      <c r="BR23" s="9"/>
      <c r="BS23" s="100"/>
      <c r="BT23" s="9"/>
      <c r="BU23" s="9"/>
      <c r="BV23" s="9"/>
      <c r="BW23" s="9">
        <f t="shared" si="73"/>
        <v>10125</v>
      </c>
      <c r="BX23" s="9">
        <f t="shared" si="28"/>
        <v>19.485892675590698</v>
      </c>
      <c r="BY23" s="9">
        <f t="shared" si="74"/>
        <v>98350</v>
      </c>
      <c r="BZ23" s="9">
        <f t="shared" si="29"/>
        <v>14.852329905756884</v>
      </c>
      <c r="CA23" s="100"/>
      <c r="CB23" s="9"/>
      <c r="CC23" s="9"/>
      <c r="CD23" s="9"/>
      <c r="CE23" s="100"/>
      <c r="CF23" s="9">
        <f t="shared" si="30"/>
        <v>0</v>
      </c>
      <c r="CG23" s="9">
        <f t="shared" si="75"/>
        <v>0</v>
      </c>
      <c r="CH23" s="9">
        <f t="shared" si="31"/>
        <v>0</v>
      </c>
      <c r="CI23" s="100"/>
      <c r="CJ23" s="9">
        <f t="shared" si="32"/>
        <v>0</v>
      </c>
      <c r="CK23" s="9">
        <f t="shared" si="76"/>
        <v>0</v>
      </c>
      <c r="CL23" s="9">
        <f t="shared" si="33"/>
        <v>0</v>
      </c>
      <c r="CM23" s="100"/>
      <c r="CN23" s="9">
        <f t="shared" si="34"/>
        <v>0</v>
      </c>
      <c r="CO23" s="9">
        <f t="shared" si="77"/>
        <v>0</v>
      </c>
      <c r="CP23" s="9">
        <f t="shared" si="35"/>
        <v>0</v>
      </c>
      <c r="CQ23" s="100">
        <f>114*CQ7</f>
        <v>28594.620000000003</v>
      </c>
      <c r="CR23" s="9">
        <f t="shared" si="36"/>
        <v>55.031278658696223</v>
      </c>
      <c r="CS23" s="9">
        <f t="shared" si="78"/>
        <v>28594.620000000003</v>
      </c>
      <c r="CT23" s="9">
        <f t="shared" si="37"/>
        <v>4.3182178929308996</v>
      </c>
      <c r="CU23" s="100"/>
      <c r="CV23" s="9">
        <f t="shared" si="38"/>
        <v>0</v>
      </c>
      <c r="CW23" s="9">
        <f t="shared" si="79"/>
        <v>0</v>
      </c>
      <c r="CX23" s="9">
        <f t="shared" si="39"/>
        <v>0</v>
      </c>
      <c r="CY23" s="100"/>
      <c r="CZ23" s="9">
        <f t="shared" si="40"/>
        <v>0</v>
      </c>
      <c r="DA23" s="9">
        <f t="shared" si="80"/>
        <v>0</v>
      </c>
      <c r="DB23" s="9">
        <f t="shared" si="41"/>
        <v>0</v>
      </c>
      <c r="DC23" s="100"/>
      <c r="DD23" s="9">
        <f t="shared" si="42"/>
        <v>0</v>
      </c>
      <c r="DE23" s="9">
        <f t="shared" si="81"/>
        <v>0</v>
      </c>
      <c r="DF23" s="9">
        <f t="shared" si="43"/>
        <v>0</v>
      </c>
      <c r="DG23" s="100"/>
      <c r="DH23" s="9"/>
      <c r="DI23" s="9"/>
      <c r="DJ23" s="9"/>
      <c r="DK23" s="9">
        <f t="shared" si="82"/>
        <v>28594.620000000003</v>
      </c>
      <c r="DL23" s="9">
        <f t="shared" si="44"/>
        <v>55.031278658696223</v>
      </c>
      <c r="DM23" s="9">
        <f t="shared" si="83"/>
        <v>28594.620000000003</v>
      </c>
      <c r="DN23" s="9">
        <f t="shared" si="45"/>
        <v>4.3182178929308996</v>
      </c>
      <c r="DO23" s="100">
        <f>45*DO7</f>
        <v>11250</v>
      </c>
      <c r="DP23" s="9">
        <f t="shared" si="46"/>
        <v>21.650991861767441</v>
      </c>
      <c r="DQ23" s="9">
        <f t="shared" si="84"/>
        <v>533250</v>
      </c>
      <c r="DR23" s="9">
        <f t="shared" si="47"/>
        <v>80.52877399333866</v>
      </c>
      <c r="DS23" s="100">
        <f>8*DS7</f>
        <v>1991.048</v>
      </c>
      <c r="DT23" s="9">
        <f t="shared" si="48"/>
        <v>3.8318368039456305</v>
      </c>
      <c r="DU23" s="9">
        <f t="shared" si="85"/>
        <v>1991.048</v>
      </c>
      <c r="DV23" s="9">
        <f t="shared" si="49"/>
        <v>0.30067820797353773</v>
      </c>
      <c r="DW23" s="100"/>
      <c r="DX23" s="14">
        <f t="shared" si="50"/>
        <v>0</v>
      </c>
      <c r="DY23" s="9">
        <f t="shared" si="86"/>
        <v>0</v>
      </c>
      <c r="DZ23" s="9">
        <f t="shared" si="51"/>
        <v>0</v>
      </c>
      <c r="EA23" s="9">
        <f t="shared" si="87"/>
        <v>13241.048000000001</v>
      </c>
      <c r="EB23" s="9">
        <f t="shared" si="52"/>
        <v>25.482828665713068</v>
      </c>
      <c r="EC23" s="9">
        <f t="shared" si="88"/>
        <v>535241.04799999995</v>
      </c>
      <c r="ED23" s="9">
        <f t="shared" si="53"/>
        <v>80.829452201312208</v>
      </c>
      <c r="EE23" s="100"/>
      <c r="EF23" s="9">
        <f t="shared" si="54"/>
        <v>0</v>
      </c>
      <c r="EG23" s="9">
        <f t="shared" si="89"/>
        <v>0</v>
      </c>
      <c r="EH23" s="9">
        <f t="shared" si="55"/>
        <v>0</v>
      </c>
      <c r="EI23" s="9">
        <f t="shared" si="90"/>
        <v>51960.668000000005</v>
      </c>
      <c r="EJ23" s="9">
        <f t="shared" si="91"/>
        <v>662185.66800000006</v>
      </c>
      <c r="EK23" s="9">
        <f t="shared" si="56"/>
        <v>1.2298965158113995</v>
      </c>
      <c r="EL23" s="9">
        <f t="shared" si="57"/>
        <v>1.0530976052722814</v>
      </c>
      <c r="ET23" s="13"/>
      <c r="EU23" s="13"/>
    </row>
    <row r="24" spans="1:151">
      <c r="A24" s="15">
        <f>+Chem!A24</f>
        <v>45945</v>
      </c>
      <c r="B24" s="5" t="str">
        <f>Chem!B24</f>
        <v>Toilet</v>
      </c>
      <c r="C24" s="15" t="str">
        <f>Chem!C24</f>
        <v>15/14/17</v>
      </c>
      <c r="D24" s="7">
        <f>+Chem!D24</f>
        <v>51.058</v>
      </c>
      <c r="E24" s="6">
        <f>+Chem!E24</f>
        <v>47.104999999999997</v>
      </c>
      <c r="F24" s="6">
        <f t="shared" si="58"/>
        <v>675.90300000000013</v>
      </c>
      <c r="G24" s="100"/>
      <c r="H24" s="9">
        <f t="shared" si="0"/>
        <v>0</v>
      </c>
      <c r="I24" s="7">
        <f t="shared" si="59"/>
        <v>0</v>
      </c>
      <c r="J24" s="9">
        <f t="shared" si="1"/>
        <v>0</v>
      </c>
      <c r="K24" s="100">
        <f>36.75*K7</f>
        <v>9187.5</v>
      </c>
      <c r="L24" s="9">
        <f t="shared" si="2"/>
        <v>19.954571991534699</v>
      </c>
      <c r="M24" s="9">
        <f t="shared" si="60"/>
        <v>107537.5</v>
      </c>
      <c r="N24" s="9">
        <f t="shared" si="3"/>
        <v>15.18402806211428</v>
      </c>
      <c r="O24" s="100"/>
      <c r="P24" s="9">
        <f t="shared" si="4"/>
        <v>0</v>
      </c>
      <c r="Q24" s="9">
        <f t="shared" si="61"/>
        <v>0</v>
      </c>
      <c r="R24" s="9">
        <f t="shared" si="5"/>
        <v>0</v>
      </c>
      <c r="S24" s="100">
        <v>0</v>
      </c>
      <c r="T24" s="9">
        <f t="shared" si="6"/>
        <v>0</v>
      </c>
      <c r="U24" s="9">
        <f t="shared" si="62"/>
        <v>0</v>
      </c>
      <c r="V24" s="9">
        <f t="shared" si="7"/>
        <v>0</v>
      </c>
      <c r="W24" s="100"/>
      <c r="X24" s="9">
        <f t="shared" si="8"/>
        <v>0</v>
      </c>
      <c r="Y24" s="9">
        <f t="shared" si="63"/>
        <v>0</v>
      </c>
      <c r="Z24" s="9">
        <f t="shared" si="9"/>
        <v>0</v>
      </c>
      <c r="AA24" s="100"/>
      <c r="AB24" s="9">
        <f t="shared" si="10"/>
        <v>0</v>
      </c>
      <c r="AC24" s="9">
        <f t="shared" si="64"/>
        <v>0</v>
      </c>
      <c r="AD24" s="9">
        <f t="shared" si="11"/>
        <v>0</v>
      </c>
      <c r="AE24" s="100"/>
      <c r="AF24" s="9">
        <f t="shared" si="12"/>
        <v>0</v>
      </c>
      <c r="AG24" s="9">
        <f t="shared" si="65"/>
        <v>0</v>
      </c>
      <c r="AH24" s="9">
        <f t="shared" si="13"/>
        <v>0</v>
      </c>
      <c r="AI24" s="100"/>
      <c r="AJ24" s="9">
        <f t="shared" si="14"/>
        <v>0</v>
      </c>
      <c r="AK24" s="9">
        <f t="shared" si="66"/>
        <v>0</v>
      </c>
      <c r="AL24" s="9">
        <f t="shared" si="15"/>
        <v>0</v>
      </c>
      <c r="AM24" s="100"/>
      <c r="AN24" s="9">
        <f t="shared" si="16"/>
        <v>0</v>
      </c>
      <c r="AO24" s="9">
        <f t="shared" si="67"/>
        <v>0</v>
      </c>
      <c r="AP24" s="9">
        <f t="shared" si="17"/>
        <v>0</v>
      </c>
      <c r="AQ24" s="100"/>
      <c r="AR24" s="9">
        <f t="shared" si="18"/>
        <v>0</v>
      </c>
      <c r="AS24" s="9">
        <f t="shared" si="68"/>
        <v>0</v>
      </c>
      <c r="AT24" s="9">
        <f t="shared" si="19"/>
        <v>0</v>
      </c>
      <c r="AU24" s="252"/>
      <c r="AV24" s="9">
        <f t="shared" si="20"/>
        <v>0</v>
      </c>
      <c r="AW24" s="7">
        <f t="shared" si="69"/>
        <v>0</v>
      </c>
      <c r="AX24" s="9">
        <f t="shared" si="21"/>
        <v>0</v>
      </c>
      <c r="AY24" s="100"/>
      <c r="AZ24" s="9">
        <f t="shared" si="22"/>
        <v>0</v>
      </c>
      <c r="BA24" s="9">
        <f t="shared" si="70"/>
        <v>0</v>
      </c>
      <c r="BB24" s="9">
        <f t="shared" si="23"/>
        <v>0</v>
      </c>
      <c r="BC24" s="100"/>
      <c r="BD24" s="9">
        <f t="shared" si="24"/>
        <v>0</v>
      </c>
      <c r="BE24" s="9">
        <f t="shared" si="71"/>
        <v>0</v>
      </c>
      <c r="BF24" s="9">
        <f t="shared" si="25"/>
        <v>0</v>
      </c>
      <c r="BG24" s="100"/>
      <c r="BH24" s="9">
        <f t="shared" si="26"/>
        <v>0</v>
      </c>
      <c r="BI24" s="9">
        <f t="shared" si="72"/>
        <v>0</v>
      </c>
      <c r="BJ24" s="9">
        <f t="shared" si="27"/>
        <v>0</v>
      </c>
      <c r="BK24" s="100"/>
      <c r="BL24" s="9"/>
      <c r="BM24" s="9"/>
      <c r="BN24" s="9"/>
      <c r="BO24" s="100"/>
      <c r="BP24" s="9"/>
      <c r="BQ24" s="9"/>
      <c r="BR24" s="9"/>
      <c r="BS24" s="100"/>
      <c r="BT24" s="9"/>
      <c r="BU24" s="9"/>
      <c r="BV24" s="9"/>
      <c r="BW24" s="9">
        <f t="shared" si="73"/>
        <v>9187.5</v>
      </c>
      <c r="BX24" s="9">
        <f t="shared" si="28"/>
        <v>19.954571991534699</v>
      </c>
      <c r="BY24" s="9">
        <f t="shared" si="74"/>
        <v>107537.5</v>
      </c>
      <c r="BZ24" s="9">
        <f t="shared" si="29"/>
        <v>15.18402806211428</v>
      </c>
      <c r="CA24" s="100"/>
      <c r="CB24" s="9"/>
      <c r="CC24" s="9"/>
      <c r="CD24" s="9"/>
      <c r="CE24" s="100"/>
      <c r="CF24" s="9">
        <f t="shared" si="30"/>
        <v>0</v>
      </c>
      <c r="CG24" s="9">
        <f t="shared" si="75"/>
        <v>0</v>
      </c>
      <c r="CH24" s="9">
        <f t="shared" si="31"/>
        <v>0</v>
      </c>
      <c r="CI24" s="100"/>
      <c r="CJ24" s="9">
        <f t="shared" si="32"/>
        <v>0</v>
      </c>
      <c r="CK24" s="9">
        <f t="shared" si="76"/>
        <v>0</v>
      </c>
      <c r="CL24" s="9">
        <f t="shared" si="33"/>
        <v>0</v>
      </c>
      <c r="CM24" s="100"/>
      <c r="CN24" s="9">
        <f t="shared" si="34"/>
        <v>0</v>
      </c>
      <c r="CO24" s="9">
        <f t="shared" si="77"/>
        <v>0</v>
      </c>
      <c r="CP24" s="9">
        <f t="shared" si="35"/>
        <v>0</v>
      </c>
      <c r="CQ24" s="100">
        <f>126*CQ7</f>
        <v>31604.58</v>
      </c>
      <c r="CR24" s="9">
        <f t="shared" si="36"/>
        <v>68.642815441874035</v>
      </c>
      <c r="CS24" s="9">
        <f t="shared" si="78"/>
        <v>60199.200000000004</v>
      </c>
      <c r="CT24" s="9">
        <f t="shared" si="37"/>
        <v>8.4999776088976393</v>
      </c>
      <c r="CU24" s="100"/>
      <c r="CV24" s="9">
        <f t="shared" si="38"/>
        <v>0</v>
      </c>
      <c r="CW24" s="9">
        <f t="shared" si="79"/>
        <v>0</v>
      </c>
      <c r="CX24" s="9">
        <f t="shared" si="39"/>
        <v>0</v>
      </c>
      <c r="CY24" s="100"/>
      <c r="CZ24" s="9">
        <f t="shared" si="40"/>
        <v>0</v>
      </c>
      <c r="DA24" s="9">
        <f t="shared" si="80"/>
        <v>0</v>
      </c>
      <c r="DB24" s="9">
        <f t="shared" si="41"/>
        <v>0</v>
      </c>
      <c r="DC24" s="100"/>
      <c r="DD24" s="9">
        <f t="shared" si="42"/>
        <v>0</v>
      </c>
      <c r="DE24" s="9">
        <f t="shared" si="81"/>
        <v>0</v>
      </c>
      <c r="DF24" s="9">
        <f t="shared" si="43"/>
        <v>0</v>
      </c>
      <c r="DG24" s="100"/>
      <c r="DH24" s="9"/>
      <c r="DI24" s="9"/>
      <c r="DJ24" s="9"/>
      <c r="DK24" s="9">
        <f t="shared" si="82"/>
        <v>31604.58</v>
      </c>
      <c r="DL24" s="9">
        <f t="shared" si="44"/>
        <v>68.642815441874035</v>
      </c>
      <c r="DM24" s="9">
        <f t="shared" si="83"/>
        <v>60199.200000000004</v>
      </c>
      <c r="DN24" s="9">
        <f t="shared" si="45"/>
        <v>8.4999776088976393</v>
      </c>
      <c r="DO24" s="100">
        <f>21*DO7</f>
        <v>5250</v>
      </c>
      <c r="DP24" s="9">
        <f t="shared" si="46"/>
        <v>11.402612566591257</v>
      </c>
      <c r="DQ24" s="9">
        <f t="shared" si="84"/>
        <v>538500</v>
      </c>
      <c r="DR24" s="9">
        <f t="shared" si="47"/>
        <v>76.034863293721159</v>
      </c>
      <c r="DS24" s="100">
        <v>0</v>
      </c>
      <c r="DT24" s="9">
        <f t="shared" si="48"/>
        <v>0</v>
      </c>
      <c r="DU24" s="9">
        <f t="shared" si="85"/>
        <v>1991.048</v>
      </c>
      <c r="DV24" s="9">
        <f t="shared" si="49"/>
        <v>0.28113103526692096</v>
      </c>
      <c r="DW24" s="100"/>
      <c r="DX24" s="14">
        <f t="shared" si="50"/>
        <v>0</v>
      </c>
      <c r="DY24" s="9">
        <f t="shared" si="86"/>
        <v>0</v>
      </c>
      <c r="DZ24" s="9">
        <f t="shared" si="51"/>
        <v>0</v>
      </c>
      <c r="EA24" s="9">
        <f t="shared" si="87"/>
        <v>5250</v>
      </c>
      <c r="EB24" s="9">
        <f t="shared" si="52"/>
        <v>11.402612566591257</v>
      </c>
      <c r="EC24" s="9">
        <f t="shared" si="88"/>
        <v>540491.04799999995</v>
      </c>
      <c r="ED24" s="9">
        <f t="shared" si="53"/>
        <v>76.315994328988069</v>
      </c>
      <c r="EE24" s="100"/>
      <c r="EF24" s="9">
        <f t="shared" si="54"/>
        <v>0</v>
      </c>
      <c r="EG24" s="9">
        <f t="shared" si="89"/>
        <v>0</v>
      </c>
      <c r="EH24" s="9">
        <f t="shared" si="55"/>
        <v>0</v>
      </c>
      <c r="EI24" s="9">
        <f t="shared" si="90"/>
        <v>46042.080000000002</v>
      </c>
      <c r="EJ24" s="9">
        <f t="shared" si="91"/>
        <v>708227.74800000002</v>
      </c>
      <c r="EK24" s="9">
        <f t="shared" si="56"/>
        <v>0.9774350918161554</v>
      </c>
      <c r="EL24" s="9">
        <f t="shared" si="57"/>
        <v>1.0478245369527874</v>
      </c>
      <c r="ET24" s="13"/>
      <c r="EU24" s="13"/>
    </row>
    <row r="25" spans="1:151">
      <c r="A25" s="15">
        <f>+Chem!A25</f>
        <v>45946</v>
      </c>
      <c r="B25" s="5" t="str">
        <f>Chem!B25</f>
        <v>Toilet/Facial</v>
      </c>
      <c r="C25" s="15" t="str">
        <f>Chem!C25</f>
        <v>17/13</v>
      </c>
      <c r="D25" s="7">
        <f>+Chem!D25</f>
        <v>49.244</v>
      </c>
      <c r="E25" s="6">
        <f>+Chem!E25</f>
        <v>51.912999999999997</v>
      </c>
      <c r="F25" s="6">
        <f t="shared" si="58"/>
        <v>727.81600000000014</v>
      </c>
      <c r="G25" s="100"/>
      <c r="H25" s="9">
        <f t="shared" si="0"/>
        <v>0</v>
      </c>
      <c r="I25" s="7">
        <f t="shared" si="59"/>
        <v>0</v>
      </c>
      <c r="J25" s="9">
        <f t="shared" si="1"/>
        <v>0</v>
      </c>
      <c r="K25" s="100">
        <f>41.25*K7</f>
        <v>10312.5</v>
      </c>
      <c r="L25" s="9">
        <f t="shared" si="2"/>
        <v>20.011291316549112</v>
      </c>
      <c r="M25" s="9">
        <f t="shared" si="60"/>
        <v>117850</v>
      </c>
      <c r="N25" s="9">
        <f t="shared" si="3"/>
        <v>15.511453748265735</v>
      </c>
      <c r="O25" s="100"/>
      <c r="P25" s="9">
        <f t="shared" si="4"/>
        <v>0</v>
      </c>
      <c r="Q25" s="9">
        <f t="shared" si="61"/>
        <v>0</v>
      </c>
      <c r="R25" s="9">
        <f t="shared" si="5"/>
        <v>0</v>
      </c>
      <c r="S25" s="100">
        <v>0</v>
      </c>
      <c r="T25" s="9">
        <f t="shared" si="6"/>
        <v>0</v>
      </c>
      <c r="U25" s="9">
        <f t="shared" si="62"/>
        <v>0</v>
      </c>
      <c r="V25" s="9">
        <f t="shared" si="7"/>
        <v>0</v>
      </c>
      <c r="W25" s="100"/>
      <c r="X25" s="9">
        <f t="shared" si="8"/>
        <v>0</v>
      </c>
      <c r="Y25" s="9">
        <f t="shared" si="63"/>
        <v>0</v>
      </c>
      <c r="Z25" s="9">
        <f t="shared" si="9"/>
        <v>0</v>
      </c>
      <c r="AA25" s="100"/>
      <c r="AB25" s="9">
        <f t="shared" si="10"/>
        <v>0</v>
      </c>
      <c r="AC25" s="9">
        <f t="shared" si="64"/>
        <v>0</v>
      </c>
      <c r="AD25" s="9">
        <f t="shared" si="11"/>
        <v>0</v>
      </c>
      <c r="AE25" s="100"/>
      <c r="AF25" s="9">
        <f t="shared" si="12"/>
        <v>0</v>
      </c>
      <c r="AG25" s="9">
        <f t="shared" si="65"/>
        <v>0</v>
      </c>
      <c r="AH25" s="9">
        <f t="shared" si="13"/>
        <v>0</v>
      </c>
      <c r="AI25" s="100"/>
      <c r="AJ25" s="9">
        <f t="shared" si="14"/>
        <v>0</v>
      </c>
      <c r="AK25" s="9">
        <f t="shared" si="66"/>
        <v>0</v>
      </c>
      <c r="AL25" s="9">
        <f t="shared" si="15"/>
        <v>0</v>
      </c>
      <c r="AM25" s="100"/>
      <c r="AN25" s="9">
        <f t="shared" si="16"/>
        <v>0</v>
      </c>
      <c r="AO25" s="9">
        <f t="shared" si="67"/>
        <v>0</v>
      </c>
      <c r="AP25" s="9">
        <f t="shared" si="17"/>
        <v>0</v>
      </c>
      <c r="AQ25" s="100"/>
      <c r="AR25" s="9">
        <f t="shared" si="18"/>
        <v>0</v>
      </c>
      <c r="AS25" s="9">
        <f t="shared" si="68"/>
        <v>0</v>
      </c>
      <c r="AT25" s="9">
        <f t="shared" si="19"/>
        <v>0</v>
      </c>
      <c r="AU25" s="252"/>
      <c r="AV25" s="9">
        <f t="shared" si="20"/>
        <v>0</v>
      </c>
      <c r="AW25" s="7">
        <f t="shared" si="69"/>
        <v>0</v>
      </c>
      <c r="AX25" s="9">
        <f t="shared" si="21"/>
        <v>0</v>
      </c>
      <c r="AY25" s="100"/>
      <c r="AZ25" s="9">
        <f t="shared" si="22"/>
        <v>0</v>
      </c>
      <c r="BA25" s="9">
        <f t="shared" si="70"/>
        <v>0</v>
      </c>
      <c r="BB25" s="9">
        <f t="shared" si="23"/>
        <v>0</v>
      </c>
      <c r="BC25" s="100"/>
      <c r="BD25" s="9">
        <f t="shared" si="24"/>
        <v>0</v>
      </c>
      <c r="BE25" s="9">
        <f t="shared" si="71"/>
        <v>0</v>
      </c>
      <c r="BF25" s="9">
        <f t="shared" si="25"/>
        <v>0</v>
      </c>
      <c r="BG25" s="100"/>
      <c r="BH25" s="9">
        <f t="shared" si="26"/>
        <v>0</v>
      </c>
      <c r="BI25" s="9">
        <f t="shared" si="72"/>
        <v>0</v>
      </c>
      <c r="BJ25" s="9">
        <f t="shared" si="27"/>
        <v>0</v>
      </c>
      <c r="BK25" s="100"/>
      <c r="BL25" s="9"/>
      <c r="BM25" s="9"/>
      <c r="BN25" s="9"/>
      <c r="BO25" s="100"/>
      <c r="BP25" s="9"/>
      <c r="BQ25" s="9"/>
      <c r="BR25" s="9"/>
      <c r="BS25" s="100"/>
      <c r="BT25" s="9"/>
      <c r="BU25" s="9"/>
      <c r="BV25" s="9"/>
      <c r="BW25" s="9">
        <f t="shared" si="73"/>
        <v>10312.5</v>
      </c>
      <c r="BX25" s="9">
        <f t="shared" si="28"/>
        <v>20.011291316549112</v>
      </c>
      <c r="BY25" s="9">
        <f t="shared" si="74"/>
        <v>117850</v>
      </c>
      <c r="BZ25" s="9">
        <f t="shared" si="29"/>
        <v>15.511453748265735</v>
      </c>
      <c r="CA25" s="100"/>
      <c r="CB25" s="9"/>
      <c r="CC25" s="9"/>
      <c r="CD25" s="9"/>
      <c r="CE25" s="100"/>
      <c r="CF25" s="9">
        <f t="shared" si="30"/>
        <v>0</v>
      </c>
      <c r="CG25" s="9">
        <f t="shared" si="75"/>
        <v>0</v>
      </c>
      <c r="CH25" s="9">
        <f t="shared" si="31"/>
        <v>0</v>
      </c>
      <c r="CI25" s="100"/>
      <c r="CJ25" s="9">
        <f t="shared" si="32"/>
        <v>0</v>
      </c>
      <c r="CK25" s="9">
        <f t="shared" si="76"/>
        <v>0</v>
      </c>
      <c r="CL25" s="9">
        <f t="shared" si="33"/>
        <v>0</v>
      </c>
      <c r="CM25" s="100"/>
      <c r="CN25" s="9">
        <f t="shared" si="34"/>
        <v>0</v>
      </c>
      <c r="CO25" s="9">
        <f t="shared" si="77"/>
        <v>0</v>
      </c>
      <c r="CP25" s="9">
        <f t="shared" si="35"/>
        <v>0</v>
      </c>
      <c r="CQ25" s="100"/>
      <c r="CR25" s="9">
        <f t="shared" si="36"/>
        <v>0</v>
      </c>
      <c r="CS25" s="9">
        <f t="shared" si="78"/>
        <v>60199.200000000004</v>
      </c>
      <c r="CT25" s="9">
        <f t="shared" si="37"/>
        <v>7.9234374754569261</v>
      </c>
      <c r="CU25" s="100"/>
      <c r="CV25" s="9">
        <f t="shared" si="38"/>
        <v>0</v>
      </c>
      <c r="CW25" s="9">
        <f t="shared" si="79"/>
        <v>0</v>
      </c>
      <c r="CX25" s="9">
        <f t="shared" si="39"/>
        <v>0</v>
      </c>
      <c r="CY25" s="100"/>
      <c r="CZ25" s="9">
        <f t="shared" si="40"/>
        <v>0</v>
      </c>
      <c r="DA25" s="9">
        <f t="shared" si="80"/>
        <v>0</v>
      </c>
      <c r="DB25" s="9">
        <f t="shared" si="41"/>
        <v>0</v>
      </c>
      <c r="DC25" s="100"/>
      <c r="DD25" s="9">
        <f t="shared" si="42"/>
        <v>0</v>
      </c>
      <c r="DE25" s="9">
        <f t="shared" si="81"/>
        <v>0</v>
      </c>
      <c r="DF25" s="9">
        <f t="shared" si="43"/>
        <v>0</v>
      </c>
      <c r="DG25" s="100"/>
      <c r="DH25" s="9"/>
      <c r="DI25" s="9"/>
      <c r="DJ25" s="9"/>
      <c r="DK25" s="9">
        <f>CE25+CI25+CM25+CQ25+CU25+CY25+DC25</f>
        <v>0</v>
      </c>
      <c r="DL25" s="9">
        <f t="shared" si="44"/>
        <v>0</v>
      </c>
      <c r="DM25" s="9">
        <f t="shared" si="83"/>
        <v>60199.200000000004</v>
      </c>
      <c r="DN25" s="9">
        <f t="shared" si="45"/>
        <v>7.9234374754569261</v>
      </c>
      <c r="DO25" s="100">
        <f>139*DO7</f>
        <v>34750</v>
      </c>
      <c r="DP25" s="9">
        <f t="shared" si="46"/>
        <v>67.431987709098834</v>
      </c>
      <c r="DQ25" s="9">
        <f t="shared" si="84"/>
        <v>573250</v>
      </c>
      <c r="DR25" s="9">
        <f t="shared" si="47"/>
        <v>75.451343752170828</v>
      </c>
      <c r="DS25" s="100">
        <f>26*DS7</f>
        <v>6470.9059999999999</v>
      </c>
      <c r="DT25" s="9">
        <f t="shared" si="48"/>
        <v>12.556720974352054</v>
      </c>
      <c r="DU25" s="9">
        <f t="shared" si="85"/>
        <v>8461.9539999999997</v>
      </c>
      <c r="DV25" s="9">
        <f t="shared" si="49"/>
        <v>1.1137650241065102</v>
      </c>
      <c r="DW25" s="100"/>
      <c r="DX25" s="14">
        <f t="shared" si="50"/>
        <v>0</v>
      </c>
      <c r="DY25" s="9">
        <f t="shared" si="86"/>
        <v>0</v>
      </c>
      <c r="DZ25" s="9">
        <f t="shared" si="51"/>
        <v>0</v>
      </c>
      <c r="EA25" s="9">
        <f t="shared" si="87"/>
        <v>41220.906000000003</v>
      </c>
      <c r="EB25" s="9">
        <f t="shared" si="52"/>
        <v>79.988708683450881</v>
      </c>
      <c r="EC25" s="9">
        <f t="shared" si="88"/>
        <v>581711.95399999991</v>
      </c>
      <c r="ED25" s="9">
        <f t="shared" si="53"/>
        <v>76.565108776277341</v>
      </c>
      <c r="EE25" s="100"/>
      <c r="EF25" s="9">
        <f t="shared" si="54"/>
        <v>0</v>
      </c>
      <c r="EG25" s="9">
        <f t="shared" si="89"/>
        <v>0</v>
      </c>
      <c r="EH25" s="9">
        <f t="shared" si="55"/>
        <v>0</v>
      </c>
      <c r="EI25" s="9">
        <f t="shared" si="90"/>
        <v>51533.406000000003</v>
      </c>
      <c r="EJ25" s="9">
        <f t="shared" si="91"/>
        <v>759761.15399999998</v>
      </c>
      <c r="EK25" s="9">
        <f t="shared" si="56"/>
        <v>0.99268788164814215</v>
      </c>
      <c r="EL25" s="9">
        <f t="shared" si="57"/>
        <v>1.0438917995757169</v>
      </c>
      <c r="ET25" s="13"/>
      <c r="EU25" s="13"/>
    </row>
    <row r="26" spans="1:151">
      <c r="A26" s="15">
        <f>+Chem!A26</f>
        <v>45947</v>
      </c>
      <c r="B26" s="5" t="str">
        <f>Chem!B26</f>
        <v>Facial</v>
      </c>
      <c r="C26" s="15" t="str">
        <f>Chem!C26</f>
        <v>13/12</v>
      </c>
      <c r="D26" s="7">
        <f>+Chem!D26</f>
        <v>49.757000000000005</v>
      </c>
      <c r="E26" s="6">
        <f>+Chem!E26</f>
        <v>46.854999999999997</v>
      </c>
      <c r="F26" s="6">
        <f t="shared" si="58"/>
        <v>774.67100000000016</v>
      </c>
      <c r="G26" s="100"/>
      <c r="H26" s="9">
        <f t="shared" si="0"/>
        <v>0</v>
      </c>
      <c r="I26" s="7">
        <f t="shared" si="59"/>
        <v>0</v>
      </c>
      <c r="J26" s="9">
        <f t="shared" si="1"/>
        <v>0</v>
      </c>
      <c r="K26" s="100">
        <f>42*K7</f>
        <v>10500</v>
      </c>
      <c r="L26" s="9">
        <f t="shared" si="2"/>
        <v>20.023900527669827</v>
      </c>
      <c r="M26" s="9">
        <f t="shared" si="60"/>
        <v>128350</v>
      </c>
      <c r="N26" s="9">
        <f t="shared" si="3"/>
        <v>15.802787321114078</v>
      </c>
      <c r="O26" s="100"/>
      <c r="P26" s="9">
        <f t="shared" si="4"/>
        <v>0</v>
      </c>
      <c r="Q26" s="9">
        <f t="shared" si="61"/>
        <v>0</v>
      </c>
      <c r="R26" s="9">
        <f t="shared" si="5"/>
        <v>0</v>
      </c>
      <c r="S26" s="100">
        <v>0</v>
      </c>
      <c r="T26" s="9">
        <f t="shared" si="6"/>
        <v>0</v>
      </c>
      <c r="U26" s="9">
        <f t="shared" si="62"/>
        <v>0</v>
      </c>
      <c r="V26" s="9">
        <f t="shared" si="7"/>
        <v>0</v>
      </c>
      <c r="W26" s="100"/>
      <c r="X26" s="9">
        <f t="shared" si="8"/>
        <v>0</v>
      </c>
      <c r="Y26" s="9">
        <f t="shared" si="63"/>
        <v>0</v>
      </c>
      <c r="Z26" s="9">
        <f t="shared" si="9"/>
        <v>0</v>
      </c>
      <c r="AA26" s="100"/>
      <c r="AB26" s="9">
        <f t="shared" si="10"/>
        <v>0</v>
      </c>
      <c r="AC26" s="9">
        <f t="shared" si="64"/>
        <v>0</v>
      </c>
      <c r="AD26" s="9">
        <f t="shared" si="11"/>
        <v>0</v>
      </c>
      <c r="AE26" s="100"/>
      <c r="AF26" s="9">
        <f t="shared" si="12"/>
        <v>0</v>
      </c>
      <c r="AG26" s="9">
        <f t="shared" si="65"/>
        <v>0</v>
      </c>
      <c r="AH26" s="9">
        <f t="shared" si="13"/>
        <v>0</v>
      </c>
      <c r="AI26" s="100"/>
      <c r="AJ26" s="9">
        <f t="shared" si="14"/>
        <v>0</v>
      </c>
      <c r="AK26" s="9">
        <f t="shared" si="66"/>
        <v>0</v>
      </c>
      <c r="AL26" s="9">
        <f t="shared" si="15"/>
        <v>0</v>
      </c>
      <c r="AM26" s="100"/>
      <c r="AN26" s="9">
        <f t="shared" si="16"/>
        <v>0</v>
      </c>
      <c r="AO26" s="9">
        <f t="shared" si="67"/>
        <v>0</v>
      </c>
      <c r="AP26" s="9">
        <f t="shared" si="17"/>
        <v>0</v>
      </c>
      <c r="AQ26" s="100"/>
      <c r="AR26" s="9">
        <f t="shared" si="18"/>
        <v>0</v>
      </c>
      <c r="AS26" s="9">
        <f t="shared" si="68"/>
        <v>0</v>
      </c>
      <c r="AT26" s="9">
        <f t="shared" si="19"/>
        <v>0</v>
      </c>
      <c r="AU26" s="252"/>
      <c r="AV26" s="9">
        <f t="shared" si="20"/>
        <v>0</v>
      </c>
      <c r="AW26" s="7">
        <f t="shared" si="69"/>
        <v>0</v>
      </c>
      <c r="AX26" s="9">
        <f t="shared" si="21"/>
        <v>0</v>
      </c>
      <c r="AY26" s="100"/>
      <c r="AZ26" s="9">
        <f t="shared" si="22"/>
        <v>0</v>
      </c>
      <c r="BA26" s="9">
        <f t="shared" si="70"/>
        <v>0</v>
      </c>
      <c r="BB26" s="9">
        <f t="shared" si="23"/>
        <v>0</v>
      </c>
      <c r="BC26" s="100"/>
      <c r="BD26" s="9">
        <f t="shared" si="24"/>
        <v>0</v>
      </c>
      <c r="BE26" s="9">
        <f t="shared" si="71"/>
        <v>0</v>
      </c>
      <c r="BF26" s="9">
        <f t="shared" si="25"/>
        <v>0</v>
      </c>
      <c r="BG26" s="100"/>
      <c r="BH26" s="9">
        <f t="shared" si="26"/>
        <v>0</v>
      </c>
      <c r="BI26" s="9">
        <f t="shared" si="72"/>
        <v>0</v>
      </c>
      <c r="BJ26" s="9">
        <f t="shared" si="27"/>
        <v>0</v>
      </c>
      <c r="BK26" s="100"/>
      <c r="BL26" s="9"/>
      <c r="BM26" s="9"/>
      <c r="BN26" s="9"/>
      <c r="BO26" s="100"/>
      <c r="BP26" s="9"/>
      <c r="BQ26" s="9"/>
      <c r="BR26" s="9"/>
      <c r="BS26" s="100"/>
      <c r="BT26" s="9"/>
      <c r="BU26" s="9"/>
      <c r="BV26" s="9"/>
      <c r="BW26" s="9">
        <f t="shared" si="73"/>
        <v>10500</v>
      </c>
      <c r="BX26" s="9">
        <f t="shared" si="28"/>
        <v>20.023900527669827</v>
      </c>
      <c r="BY26" s="9">
        <f t="shared" si="74"/>
        <v>128350</v>
      </c>
      <c r="BZ26" s="9">
        <f t="shared" si="29"/>
        <v>15.802787321114078</v>
      </c>
      <c r="CA26" s="100"/>
      <c r="CB26" s="9"/>
      <c r="CC26" s="9"/>
      <c r="CD26" s="9"/>
      <c r="CE26" s="100"/>
      <c r="CF26" s="9">
        <f t="shared" si="30"/>
        <v>0</v>
      </c>
      <c r="CG26" s="9">
        <f t="shared" si="75"/>
        <v>0</v>
      </c>
      <c r="CH26" s="9">
        <f t="shared" si="31"/>
        <v>0</v>
      </c>
      <c r="CI26" s="100"/>
      <c r="CJ26" s="9">
        <f t="shared" si="32"/>
        <v>0</v>
      </c>
      <c r="CK26" s="9">
        <f t="shared" si="76"/>
        <v>0</v>
      </c>
      <c r="CL26" s="9">
        <f t="shared" si="33"/>
        <v>0</v>
      </c>
      <c r="CM26" s="100"/>
      <c r="CN26" s="9">
        <f t="shared" si="34"/>
        <v>0</v>
      </c>
      <c r="CO26" s="9">
        <f t="shared" si="77"/>
        <v>0</v>
      </c>
      <c r="CP26" s="9">
        <f t="shared" si="35"/>
        <v>0</v>
      </c>
      <c r="CQ26" s="100"/>
      <c r="CR26" s="9">
        <f t="shared" si="36"/>
        <v>0</v>
      </c>
      <c r="CS26" s="9">
        <f t="shared" si="78"/>
        <v>60199.200000000004</v>
      </c>
      <c r="CT26" s="9">
        <f t="shared" si="37"/>
        <v>7.4118827775707885</v>
      </c>
      <c r="CU26" s="100"/>
      <c r="CV26" s="9">
        <f t="shared" si="38"/>
        <v>0</v>
      </c>
      <c r="CW26" s="9">
        <f t="shared" si="79"/>
        <v>0</v>
      </c>
      <c r="CX26" s="9">
        <f t="shared" si="39"/>
        <v>0</v>
      </c>
      <c r="CY26" s="100"/>
      <c r="CZ26" s="9">
        <f t="shared" si="40"/>
        <v>0</v>
      </c>
      <c r="DA26" s="9">
        <f t="shared" si="80"/>
        <v>0</v>
      </c>
      <c r="DB26" s="9">
        <f t="shared" si="41"/>
        <v>0</v>
      </c>
      <c r="DC26" s="100"/>
      <c r="DD26" s="9">
        <f t="shared" si="42"/>
        <v>0</v>
      </c>
      <c r="DE26" s="9">
        <f t="shared" si="81"/>
        <v>0</v>
      </c>
      <c r="DF26" s="9">
        <f t="shared" si="43"/>
        <v>0</v>
      </c>
      <c r="DG26" s="100"/>
      <c r="DH26" s="9"/>
      <c r="DI26" s="9"/>
      <c r="DJ26" s="9"/>
      <c r="DK26" s="9">
        <f t="shared" si="82"/>
        <v>0</v>
      </c>
      <c r="DL26" s="9">
        <f t="shared" si="44"/>
        <v>0</v>
      </c>
      <c r="DM26" s="9">
        <f t="shared" si="83"/>
        <v>60199.200000000004</v>
      </c>
      <c r="DN26" s="9">
        <f t="shared" si="45"/>
        <v>7.4118827775707885</v>
      </c>
      <c r="DO26" s="100">
        <f>112*DO7</f>
        <v>28000</v>
      </c>
      <c r="DP26" s="9">
        <f t="shared" si="46"/>
        <v>53.397068073786215</v>
      </c>
      <c r="DQ26" s="9">
        <f t="shared" si="84"/>
        <v>601250</v>
      </c>
      <c r="DR26" s="9">
        <f t="shared" si="47"/>
        <v>74.027470797193928</v>
      </c>
      <c r="DS26" s="100">
        <f>56*DS7</f>
        <v>13937.335999999999</v>
      </c>
      <c r="DT26" s="9">
        <f t="shared" si="48"/>
        <v>26.579031398543968</v>
      </c>
      <c r="DU26" s="9">
        <f t="shared" si="85"/>
        <v>22399.29</v>
      </c>
      <c r="DV26" s="9">
        <f t="shared" si="49"/>
        <v>2.7578591041212106</v>
      </c>
      <c r="DW26" s="100"/>
      <c r="DX26" s="14">
        <f t="shared" si="50"/>
        <v>0</v>
      </c>
      <c r="DY26" s="9">
        <f t="shared" si="86"/>
        <v>0</v>
      </c>
      <c r="DZ26" s="9">
        <f t="shared" si="51"/>
        <v>0</v>
      </c>
      <c r="EA26" s="9">
        <f t="shared" si="87"/>
        <v>41937.335999999996</v>
      </c>
      <c r="EB26" s="9">
        <f t="shared" si="52"/>
        <v>79.976099472330176</v>
      </c>
      <c r="EC26" s="9">
        <f t="shared" si="88"/>
        <v>623649.28999999992</v>
      </c>
      <c r="ED26" s="9">
        <f t="shared" si="53"/>
        <v>76.785329901315123</v>
      </c>
      <c r="EE26" s="100"/>
      <c r="EF26" s="9">
        <f t="shared" si="54"/>
        <v>0</v>
      </c>
      <c r="EG26" s="9">
        <f t="shared" si="89"/>
        <v>0</v>
      </c>
      <c r="EH26" s="9">
        <f t="shared" si="55"/>
        <v>0</v>
      </c>
      <c r="EI26" s="9">
        <f t="shared" si="90"/>
        <v>52437.335999999996</v>
      </c>
      <c r="EJ26" s="9">
        <f t="shared" si="91"/>
        <v>812198.49</v>
      </c>
      <c r="EK26" s="9">
        <f t="shared" si="56"/>
        <v>1.1191406680183544</v>
      </c>
      <c r="EL26" s="9">
        <f t="shared" si="57"/>
        <v>1.0484431326330788</v>
      </c>
      <c r="EN26" s="13"/>
      <c r="ET26" s="13"/>
    </row>
    <row r="27" spans="1:151">
      <c r="A27" s="15">
        <f>+Chem!A27</f>
        <v>45948</v>
      </c>
      <c r="B27" s="5" t="str">
        <f>Chem!B27</f>
        <v>Facial</v>
      </c>
      <c r="C27" s="15" t="str">
        <f>Chem!C27</f>
        <v>12</v>
      </c>
      <c r="D27" s="7">
        <f>+Chem!D27</f>
        <v>45.534999999999997</v>
      </c>
      <c r="E27" s="6">
        <f>+Chem!E27</f>
        <v>44.656999999999996</v>
      </c>
      <c r="F27" s="6">
        <f t="shared" si="58"/>
        <v>819.3280000000002</v>
      </c>
      <c r="G27" s="100"/>
      <c r="H27" s="9">
        <f t="shared" si="0"/>
        <v>0</v>
      </c>
      <c r="I27" s="7">
        <f t="shared" si="59"/>
        <v>0</v>
      </c>
      <c r="J27" s="9">
        <f t="shared" si="1"/>
        <v>0</v>
      </c>
      <c r="K27" s="100">
        <f>40.5*K7</f>
        <v>10125</v>
      </c>
      <c r="L27" s="9">
        <f t="shared" si="2"/>
        <v>20.023900527669827</v>
      </c>
      <c r="M27" s="9">
        <f t="shared" si="60"/>
        <v>138475</v>
      </c>
      <c r="N27" s="9">
        <f t="shared" si="3"/>
        <v>16.050177131829557</v>
      </c>
      <c r="O27" s="100"/>
      <c r="P27" s="9">
        <f t="shared" si="4"/>
        <v>0</v>
      </c>
      <c r="Q27" s="9">
        <f t="shared" si="61"/>
        <v>0</v>
      </c>
      <c r="R27" s="9">
        <f t="shared" si="5"/>
        <v>0</v>
      </c>
      <c r="S27" s="100">
        <v>0</v>
      </c>
      <c r="T27" s="9">
        <f t="shared" si="6"/>
        <v>0</v>
      </c>
      <c r="U27" s="9">
        <f t="shared" si="62"/>
        <v>0</v>
      </c>
      <c r="V27" s="9">
        <f t="shared" si="7"/>
        <v>0</v>
      </c>
      <c r="W27" s="100"/>
      <c r="X27" s="9">
        <f t="shared" si="8"/>
        <v>0</v>
      </c>
      <c r="Y27" s="9">
        <f t="shared" si="63"/>
        <v>0</v>
      </c>
      <c r="Z27" s="9">
        <f t="shared" si="9"/>
        <v>0</v>
      </c>
      <c r="AA27" s="100"/>
      <c r="AB27" s="9">
        <f t="shared" si="10"/>
        <v>0</v>
      </c>
      <c r="AC27" s="9">
        <f t="shared" si="64"/>
        <v>0</v>
      </c>
      <c r="AD27" s="9">
        <f t="shared" si="11"/>
        <v>0</v>
      </c>
      <c r="AE27" s="100"/>
      <c r="AF27" s="9">
        <f t="shared" si="12"/>
        <v>0</v>
      </c>
      <c r="AG27" s="9">
        <f t="shared" si="65"/>
        <v>0</v>
      </c>
      <c r="AH27" s="9">
        <f t="shared" si="13"/>
        <v>0</v>
      </c>
      <c r="AI27" s="100"/>
      <c r="AJ27" s="9">
        <f t="shared" si="14"/>
        <v>0</v>
      </c>
      <c r="AK27" s="9">
        <f t="shared" si="66"/>
        <v>0</v>
      </c>
      <c r="AL27" s="9">
        <f t="shared" si="15"/>
        <v>0</v>
      </c>
      <c r="AM27" s="100"/>
      <c r="AN27" s="9">
        <f t="shared" si="16"/>
        <v>0</v>
      </c>
      <c r="AO27" s="9">
        <f t="shared" si="67"/>
        <v>0</v>
      </c>
      <c r="AP27" s="9">
        <f t="shared" si="17"/>
        <v>0</v>
      </c>
      <c r="AQ27" s="100"/>
      <c r="AR27" s="9">
        <f t="shared" si="18"/>
        <v>0</v>
      </c>
      <c r="AS27" s="9">
        <f t="shared" si="68"/>
        <v>0</v>
      </c>
      <c r="AT27" s="9">
        <f t="shared" si="19"/>
        <v>0</v>
      </c>
      <c r="AU27" s="252"/>
      <c r="AV27" s="9">
        <f t="shared" si="20"/>
        <v>0</v>
      </c>
      <c r="AW27" s="7">
        <f t="shared" si="69"/>
        <v>0</v>
      </c>
      <c r="AX27" s="9">
        <f t="shared" si="21"/>
        <v>0</v>
      </c>
      <c r="AY27" s="100"/>
      <c r="AZ27" s="9">
        <f t="shared" si="22"/>
        <v>0</v>
      </c>
      <c r="BA27" s="9">
        <f t="shared" si="70"/>
        <v>0</v>
      </c>
      <c r="BB27" s="9">
        <f t="shared" si="23"/>
        <v>0</v>
      </c>
      <c r="BC27" s="100"/>
      <c r="BD27" s="9">
        <f t="shared" si="24"/>
        <v>0</v>
      </c>
      <c r="BE27" s="9">
        <f t="shared" si="71"/>
        <v>0</v>
      </c>
      <c r="BF27" s="9">
        <f t="shared" si="25"/>
        <v>0</v>
      </c>
      <c r="BG27" s="100"/>
      <c r="BH27" s="9">
        <f t="shared" si="26"/>
        <v>0</v>
      </c>
      <c r="BI27" s="9">
        <f t="shared" si="72"/>
        <v>0</v>
      </c>
      <c r="BJ27" s="9">
        <f t="shared" si="27"/>
        <v>0</v>
      </c>
      <c r="BK27" s="100"/>
      <c r="BL27" s="9"/>
      <c r="BM27" s="9"/>
      <c r="BN27" s="9"/>
      <c r="BO27" s="100"/>
      <c r="BP27" s="9"/>
      <c r="BQ27" s="9"/>
      <c r="BR27" s="9"/>
      <c r="BS27" s="100"/>
      <c r="BT27" s="9"/>
      <c r="BU27" s="9"/>
      <c r="BV27" s="9"/>
      <c r="BW27" s="9">
        <f t="shared" si="73"/>
        <v>10125</v>
      </c>
      <c r="BX27" s="9">
        <f t="shared" si="28"/>
        <v>20.023900527669827</v>
      </c>
      <c r="BY27" s="9">
        <f t="shared" si="74"/>
        <v>138475</v>
      </c>
      <c r="BZ27" s="9">
        <f t="shared" si="29"/>
        <v>16.050177131829557</v>
      </c>
      <c r="CA27" s="100"/>
      <c r="CB27" s="9"/>
      <c r="CC27" s="9"/>
      <c r="CD27" s="9"/>
      <c r="CE27" s="100"/>
      <c r="CF27" s="9">
        <f t="shared" si="30"/>
        <v>0</v>
      </c>
      <c r="CG27" s="9">
        <f t="shared" si="75"/>
        <v>0</v>
      </c>
      <c r="CH27" s="9">
        <f t="shared" si="31"/>
        <v>0</v>
      </c>
      <c r="CI27" s="100"/>
      <c r="CJ27" s="9">
        <f t="shared" si="32"/>
        <v>0</v>
      </c>
      <c r="CK27" s="9">
        <f t="shared" si="76"/>
        <v>0</v>
      </c>
      <c r="CL27" s="9">
        <f t="shared" si="33"/>
        <v>0</v>
      </c>
      <c r="CM27" s="100"/>
      <c r="CN27" s="9">
        <f t="shared" si="34"/>
        <v>0</v>
      </c>
      <c r="CO27" s="9">
        <f t="shared" si="77"/>
        <v>0</v>
      </c>
      <c r="CP27" s="9">
        <f t="shared" si="35"/>
        <v>0</v>
      </c>
      <c r="CQ27" s="100"/>
      <c r="CR27" s="9">
        <f t="shared" si="36"/>
        <v>0</v>
      </c>
      <c r="CS27" s="9">
        <f t="shared" si="78"/>
        <v>60199.200000000004</v>
      </c>
      <c r="CT27" s="9">
        <f t="shared" si="37"/>
        <v>6.9774892449498749</v>
      </c>
      <c r="CU27" s="100"/>
      <c r="CV27" s="9">
        <f t="shared" si="38"/>
        <v>0</v>
      </c>
      <c r="CW27" s="9">
        <f t="shared" si="79"/>
        <v>0</v>
      </c>
      <c r="CX27" s="9">
        <f t="shared" si="39"/>
        <v>0</v>
      </c>
      <c r="CY27" s="100"/>
      <c r="CZ27" s="9">
        <f t="shared" si="40"/>
        <v>0</v>
      </c>
      <c r="DA27" s="9">
        <f t="shared" si="80"/>
        <v>0</v>
      </c>
      <c r="DB27" s="9">
        <f t="shared" si="41"/>
        <v>0</v>
      </c>
      <c r="DC27" s="100"/>
      <c r="DD27" s="9">
        <f t="shared" si="42"/>
        <v>0</v>
      </c>
      <c r="DE27" s="9">
        <f t="shared" si="81"/>
        <v>0</v>
      </c>
      <c r="DF27" s="9">
        <f t="shared" si="43"/>
        <v>0</v>
      </c>
      <c r="DG27" s="100"/>
      <c r="DH27" s="9"/>
      <c r="DI27" s="9"/>
      <c r="DJ27" s="9"/>
      <c r="DK27" s="9">
        <f t="shared" si="82"/>
        <v>0</v>
      </c>
      <c r="DL27" s="9">
        <f t="shared" si="44"/>
        <v>0</v>
      </c>
      <c r="DM27" s="9">
        <f t="shared" si="83"/>
        <v>60199.200000000004</v>
      </c>
      <c r="DN27" s="9">
        <f t="shared" si="45"/>
        <v>6.9774892449498749</v>
      </c>
      <c r="DO27" s="100">
        <f>108*DO7</f>
        <v>27000</v>
      </c>
      <c r="DP27" s="9">
        <f t="shared" si="46"/>
        <v>53.397068073786201</v>
      </c>
      <c r="DQ27" s="9">
        <f t="shared" si="84"/>
        <v>628250</v>
      </c>
      <c r="DR27" s="9">
        <f t="shared" si="47"/>
        <v>72.818369980660179</v>
      </c>
      <c r="DS27" s="100">
        <f>54*DS7</f>
        <v>13439.574000000001</v>
      </c>
      <c r="DT27" s="9">
        <f t="shared" si="48"/>
        <v>26.579031398543968</v>
      </c>
      <c r="DU27" s="9">
        <f t="shared" si="85"/>
        <v>35838.864000000001</v>
      </c>
      <c r="DV27" s="9">
        <f t="shared" si="49"/>
        <v>4.1539636425603872</v>
      </c>
      <c r="DW27" s="100"/>
      <c r="DX27" s="14">
        <f t="shared" si="50"/>
        <v>0</v>
      </c>
      <c r="DY27" s="9">
        <f t="shared" si="86"/>
        <v>0</v>
      </c>
      <c r="DZ27" s="9">
        <f t="shared" si="51"/>
        <v>0</v>
      </c>
      <c r="EA27" s="9">
        <f t="shared" si="87"/>
        <v>40439.574000000001</v>
      </c>
      <c r="EB27" s="9">
        <f t="shared" si="52"/>
        <v>79.976099472330176</v>
      </c>
      <c r="EC27" s="9">
        <f t="shared" si="88"/>
        <v>664088.86399999994</v>
      </c>
      <c r="ED27" s="9">
        <f t="shared" si="53"/>
        <v>76.97233362322055</v>
      </c>
      <c r="EE27" s="100"/>
      <c r="EF27" s="9">
        <f t="shared" si="54"/>
        <v>0</v>
      </c>
      <c r="EG27" s="9">
        <f t="shared" si="89"/>
        <v>0</v>
      </c>
      <c r="EH27" s="9">
        <f t="shared" si="55"/>
        <v>0</v>
      </c>
      <c r="EI27" s="9">
        <f t="shared" si="90"/>
        <v>50564.574000000001</v>
      </c>
      <c r="EJ27" s="9">
        <f t="shared" si="91"/>
        <v>862763.06400000001</v>
      </c>
      <c r="EK27" s="9">
        <f t="shared" si="56"/>
        <v>1.1322877488411671</v>
      </c>
      <c r="EL27" s="9">
        <f t="shared" si="57"/>
        <v>1.0530130350726445</v>
      </c>
      <c r="ET27" s="13"/>
    </row>
    <row r="28" spans="1:151">
      <c r="A28" s="15">
        <f>+Chem!A28</f>
        <v>45949</v>
      </c>
      <c r="B28" s="5" t="str">
        <f>Chem!B28</f>
        <v>Facial</v>
      </c>
      <c r="C28" s="15" t="str">
        <f>Chem!C28</f>
        <v>12</v>
      </c>
      <c r="D28" s="7">
        <f>+Chem!D28</f>
        <v>48.846999999999994</v>
      </c>
      <c r="E28" s="6">
        <f>+Chem!E28</f>
        <v>46.783999999999999</v>
      </c>
      <c r="F28" s="6">
        <f t="shared" si="58"/>
        <v>866.11200000000019</v>
      </c>
      <c r="G28" s="100"/>
      <c r="H28" s="9">
        <f t="shared" si="0"/>
        <v>0</v>
      </c>
      <c r="I28" s="7">
        <f t="shared" si="59"/>
        <v>0</v>
      </c>
      <c r="J28" s="9">
        <f t="shared" si="1"/>
        <v>0</v>
      </c>
      <c r="K28" s="100">
        <f>42*K7</f>
        <v>10500</v>
      </c>
      <c r="L28" s="9">
        <f t="shared" si="2"/>
        <v>20.023900527669827</v>
      </c>
      <c r="M28" s="9">
        <f t="shared" si="60"/>
        <v>148975</v>
      </c>
      <c r="N28" s="9">
        <f t="shared" si="3"/>
        <v>16.277855647790361</v>
      </c>
      <c r="O28" s="100"/>
      <c r="P28" s="9">
        <f t="shared" si="4"/>
        <v>0</v>
      </c>
      <c r="Q28" s="9">
        <f t="shared" si="61"/>
        <v>0</v>
      </c>
      <c r="R28" s="9">
        <f t="shared" si="5"/>
        <v>0</v>
      </c>
      <c r="S28" s="100">
        <v>0</v>
      </c>
      <c r="T28" s="9">
        <f t="shared" si="6"/>
        <v>0</v>
      </c>
      <c r="U28" s="9">
        <f t="shared" si="62"/>
        <v>0</v>
      </c>
      <c r="V28" s="9">
        <f t="shared" si="7"/>
        <v>0</v>
      </c>
      <c r="W28" s="100"/>
      <c r="X28" s="9">
        <f t="shared" si="8"/>
        <v>0</v>
      </c>
      <c r="Y28" s="9">
        <f t="shared" si="63"/>
        <v>0</v>
      </c>
      <c r="Z28" s="9">
        <f t="shared" si="9"/>
        <v>0</v>
      </c>
      <c r="AA28" s="100"/>
      <c r="AB28" s="9">
        <f t="shared" si="10"/>
        <v>0</v>
      </c>
      <c r="AC28" s="9">
        <f t="shared" si="64"/>
        <v>0</v>
      </c>
      <c r="AD28" s="9">
        <f t="shared" si="11"/>
        <v>0</v>
      </c>
      <c r="AE28" s="100"/>
      <c r="AF28" s="9">
        <f t="shared" si="12"/>
        <v>0</v>
      </c>
      <c r="AG28" s="9">
        <f t="shared" si="65"/>
        <v>0</v>
      </c>
      <c r="AH28" s="9">
        <f t="shared" si="13"/>
        <v>0</v>
      </c>
      <c r="AI28" s="100"/>
      <c r="AJ28" s="9">
        <f t="shared" si="14"/>
        <v>0</v>
      </c>
      <c r="AK28" s="9">
        <f t="shared" si="66"/>
        <v>0</v>
      </c>
      <c r="AL28" s="9">
        <f t="shared" si="15"/>
        <v>0</v>
      </c>
      <c r="AM28" s="100"/>
      <c r="AN28" s="9">
        <f t="shared" si="16"/>
        <v>0</v>
      </c>
      <c r="AO28" s="9">
        <f t="shared" si="67"/>
        <v>0</v>
      </c>
      <c r="AP28" s="9">
        <f t="shared" si="17"/>
        <v>0</v>
      </c>
      <c r="AQ28" s="100"/>
      <c r="AR28" s="9">
        <f t="shared" si="18"/>
        <v>0</v>
      </c>
      <c r="AS28" s="9">
        <f t="shared" si="68"/>
        <v>0</v>
      </c>
      <c r="AT28" s="9">
        <f t="shared" si="19"/>
        <v>0</v>
      </c>
      <c r="AU28" s="252"/>
      <c r="AV28" s="9">
        <f t="shared" si="20"/>
        <v>0</v>
      </c>
      <c r="AW28" s="7">
        <f t="shared" si="69"/>
        <v>0</v>
      </c>
      <c r="AX28" s="9">
        <f t="shared" si="21"/>
        <v>0</v>
      </c>
      <c r="AY28" s="100"/>
      <c r="AZ28" s="9">
        <f t="shared" si="22"/>
        <v>0</v>
      </c>
      <c r="BA28" s="9">
        <f t="shared" si="70"/>
        <v>0</v>
      </c>
      <c r="BB28" s="9">
        <f t="shared" si="23"/>
        <v>0</v>
      </c>
      <c r="BC28" s="100"/>
      <c r="BD28" s="9">
        <f t="shared" si="24"/>
        <v>0</v>
      </c>
      <c r="BE28" s="9">
        <f t="shared" si="71"/>
        <v>0</v>
      </c>
      <c r="BF28" s="9">
        <f t="shared" si="25"/>
        <v>0</v>
      </c>
      <c r="BG28" s="100"/>
      <c r="BH28" s="9">
        <f t="shared" si="26"/>
        <v>0</v>
      </c>
      <c r="BI28" s="9">
        <f t="shared" si="72"/>
        <v>0</v>
      </c>
      <c r="BJ28" s="9">
        <f t="shared" si="27"/>
        <v>0</v>
      </c>
      <c r="BK28" s="100"/>
      <c r="BL28" s="9"/>
      <c r="BM28" s="9"/>
      <c r="BN28" s="9"/>
      <c r="BO28" s="100"/>
      <c r="BP28" s="9"/>
      <c r="BQ28" s="9"/>
      <c r="BR28" s="9"/>
      <c r="BS28" s="100"/>
      <c r="BT28" s="9"/>
      <c r="BU28" s="9"/>
      <c r="BV28" s="9"/>
      <c r="BW28" s="9">
        <f t="shared" si="73"/>
        <v>10500</v>
      </c>
      <c r="BX28" s="9">
        <f t="shared" si="28"/>
        <v>20.023900527669827</v>
      </c>
      <c r="BY28" s="9">
        <f t="shared" si="74"/>
        <v>148975</v>
      </c>
      <c r="BZ28" s="9">
        <f t="shared" si="29"/>
        <v>16.277855647790361</v>
      </c>
      <c r="CA28" s="100"/>
      <c r="CB28" s="9"/>
      <c r="CC28" s="9"/>
      <c r="CD28" s="9"/>
      <c r="CE28" s="100"/>
      <c r="CF28" s="9">
        <f t="shared" si="30"/>
        <v>0</v>
      </c>
      <c r="CG28" s="9">
        <f t="shared" si="75"/>
        <v>0</v>
      </c>
      <c r="CH28" s="9">
        <f t="shared" si="31"/>
        <v>0</v>
      </c>
      <c r="CI28" s="100"/>
      <c r="CJ28" s="9">
        <f t="shared" si="32"/>
        <v>0</v>
      </c>
      <c r="CK28" s="9">
        <f t="shared" si="76"/>
        <v>0</v>
      </c>
      <c r="CL28" s="9">
        <f t="shared" si="33"/>
        <v>0</v>
      </c>
      <c r="CM28" s="100"/>
      <c r="CN28" s="9">
        <f t="shared" si="34"/>
        <v>0</v>
      </c>
      <c r="CO28" s="9">
        <f t="shared" si="77"/>
        <v>0</v>
      </c>
      <c r="CP28" s="9">
        <f t="shared" si="35"/>
        <v>0</v>
      </c>
      <c r="CQ28" s="100"/>
      <c r="CR28" s="9">
        <f t="shared" si="36"/>
        <v>0</v>
      </c>
      <c r="CS28" s="9">
        <f t="shared" si="78"/>
        <v>60199.200000000004</v>
      </c>
      <c r="CT28" s="9">
        <f t="shared" si="37"/>
        <v>6.5777069153378873</v>
      </c>
      <c r="CU28" s="100"/>
      <c r="CV28" s="9">
        <f t="shared" si="38"/>
        <v>0</v>
      </c>
      <c r="CW28" s="9">
        <f t="shared" si="79"/>
        <v>0</v>
      </c>
      <c r="CX28" s="9">
        <f t="shared" si="39"/>
        <v>0</v>
      </c>
      <c r="CY28" s="100"/>
      <c r="CZ28" s="9">
        <f t="shared" si="40"/>
        <v>0</v>
      </c>
      <c r="DA28" s="9">
        <f t="shared" si="80"/>
        <v>0</v>
      </c>
      <c r="DB28" s="9">
        <f t="shared" si="41"/>
        <v>0</v>
      </c>
      <c r="DC28" s="100"/>
      <c r="DD28" s="9">
        <f t="shared" si="42"/>
        <v>0</v>
      </c>
      <c r="DE28" s="9">
        <f t="shared" si="81"/>
        <v>0</v>
      </c>
      <c r="DF28" s="9">
        <f t="shared" si="43"/>
        <v>0</v>
      </c>
      <c r="DG28" s="100"/>
      <c r="DH28" s="9"/>
      <c r="DI28" s="9"/>
      <c r="DJ28" s="9"/>
      <c r="DK28" s="9">
        <f t="shared" si="82"/>
        <v>0</v>
      </c>
      <c r="DL28" s="9">
        <f t="shared" si="44"/>
        <v>0</v>
      </c>
      <c r="DM28" s="9">
        <f t="shared" si="83"/>
        <v>60199.200000000004</v>
      </c>
      <c r="DN28" s="9">
        <f t="shared" si="45"/>
        <v>6.5777069153378873</v>
      </c>
      <c r="DO28" s="100">
        <f>112*DO7</f>
        <v>28000</v>
      </c>
      <c r="DP28" s="9">
        <f t="shared" si="46"/>
        <v>53.397068073786215</v>
      </c>
      <c r="DQ28" s="9">
        <f t="shared" si="84"/>
        <v>656250</v>
      </c>
      <c r="DR28" s="9">
        <f t="shared" si="47"/>
        <v>71.705606772025007</v>
      </c>
      <c r="DS28" s="100">
        <f>56*DS7</f>
        <v>13937.335999999999</v>
      </c>
      <c r="DT28" s="9">
        <f t="shared" si="48"/>
        <v>26.579031398543968</v>
      </c>
      <c r="DU28" s="9">
        <f t="shared" si="85"/>
        <v>49776.2</v>
      </c>
      <c r="DV28" s="9">
        <f t="shared" si="49"/>
        <v>5.4388306648467371</v>
      </c>
      <c r="DW28" s="100"/>
      <c r="DX28" s="14">
        <f t="shared" si="50"/>
        <v>0</v>
      </c>
      <c r="DY28" s="9">
        <f t="shared" si="86"/>
        <v>0</v>
      </c>
      <c r="DZ28" s="9">
        <f t="shared" si="51"/>
        <v>0</v>
      </c>
      <c r="EA28" s="9">
        <f t="shared" si="87"/>
        <v>41937.335999999996</v>
      </c>
      <c r="EB28" s="9">
        <f t="shared" si="52"/>
        <v>79.976099472330176</v>
      </c>
      <c r="EC28" s="9">
        <f t="shared" si="88"/>
        <v>706026.2</v>
      </c>
      <c r="ED28" s="9">
        <f t="shared" si="53"/>
        <v>77.14443743687174</v>
      </c>
      <c r="EE28" s="100"/>
      <c r="EF28" s="9">
        <f t="shared" si="54"/>
        <v>0</v>
      </c>
      <c r="EG28" s="9">
        <f t="shared" si="89"/>
        <v>0</v>
      </c>
      <c r="EH28" s="9">
        <f t="shared" si="55"/>
        <v>0</v>
      </c>
      <c r="EI28" s="9">
        <f t="shared" si="90"/>
        <v>52437.335999999996</v>
      </c>
      <c r="EJ28" s="9">
        <f t="shared" si="91"/>
        <v>915200.4</v>
      </c>
      <c r="EK28" s="9">
        <f t="shared" si="56"/>
        <v>1.1208390902872776</v>
      </c>
      <c r="EL28" s="9">
        <f t="shared" si="57"/>
        <v>1.0566767346486365</v>
      </c>
      <c r="ET28" s="13"/>
    </row>
    <row r="29" spans="1:151">
      <c r="A29" s="15">
        <f>+Chem!A29</f>
        <v>45950</v>
      </c>
      <c r="B29" s="5" t="str">
        <f>Chem!B29</f>
        <v>Facial</v>
      </c>
      <c r="C29" s="15" t="str">
        <f>Chem!C29</f>
        <v>12</v>
      </c>
      <c r="D29" s="7">
        <f>+Chem!D29</f>
        <v>50.716999999999999</v>
      </c>
      <c r="E29" s="6">
        <f>+Chem!E29</f>
        <v>50.112000000000002</v>
      </c>
      <c r="F29" s="6">
        <f t="shared" si="58"/>
        <v>916.22400000000016</v>
      </c>
      <c r="G29" s="100"/>
      <c r="H29" s="9">
        <f t="shared" si="0"/>
        <v>0</v>
      </c>
      <c r="I29" s="7">
        <f t="shared" si="59"/>
        <v>0</v>
      </c>
      <c r="J29" s="9">
        <f t="shared" si="1"/>
        <v>0</v>
      </c>
      <c r="K29" s="100">
        <f>43.5*K7</f>
        <v>10875</v>
      </c>
      <c r="L29" s="9">
        <f t="shared" si="2"/>
        <v>20.023900527669827</v>
      </c>
      <c r="M29" s="9">
        <f t="shared" si="60"/>
        <v>159850</v>
      </c>
      <c r="N29" s="9">
        <f t="shared" si="3"/>
        <v>16.487701817541332</v>
      </c>
      <c r="O29" s="100"/>
      <c r="P29" s="9">
        <f t="shared" si="4"/>
        <v>0</v>
      </c>
      <c r="Q29" s="9">
        <f t="shared" si="61"/>
        <v>0</v>
      </c>
      <c r="R29" s="9">
        <f t="shared" si="5"/>
        <v>0</v>
      </c>
      <c r="S29" s="100">
        <v>0</v>
      </c>
      <c r="T29" s="9">
        <f t="shared" si="6"/>
        <v>0</v>
      </c>
      <c r="U29" s="9">
        <f t="shared" si="62"/>
        <v>0</v>
      </c>
      <c r="V29" s="9">
        <f t="shared" si="7"/>
        <v>0</v>
      </c>
      <c r="W29" s="100"/>
      <c r="X29" s="9">
        <f t="shared" si="8"/>
        <v>0</v>
      </c>
      <c r="Y29" s="9">
        <f t="shared" si="63"/>
        <v>0</v>
      </c>
      <c r="Z29" s="9">
        <f t="shared" si="9"/>
        <v>0</v>
      </c>
      <c r="AA29" s="100"/>
      <c r="AB29" s="9">
        <f t="shared" si="10"/>
        <v>0</v>
      </c>
      <c r="AC29" s="9">
        <f t="shared" si="64"/>
        <v>0</v>
      </c>
      <c r="AD29" s="9">
        <f t="shared" si="11"/>
        <v>0</v>
      </c>
      <c r="AE29" s="100"/>
      <c r="AF29" s="9">
        <f t="shared" si="12"/>
        <v>0</v>
      </c>
      <c r="AG29" s="9">
        <f t="shared" si="65"/>
        <v>0</v>
      </c>
      <c r="AH29" s="9">
        <f t="shared" si="13"/>
        <v>0</v>
      </c>
      <c r="AI29" s="100"/>
      <c r="AJ29" s="9">
        <f t="shared" si="14"/>
        <v>0</v>
      </c>
      <c r="AK29" s="9">
        <f t="shared" si="66"/>
        <v>0</v>
      </c>
      <c r="AL29" s="9">
        <f t="shared" si="15"/>
        <v>0</v>
      </c>
      <c r="AM29" s="100"/>
      <c r="AN29" s="9">
        <f t="shared" si="16"/>
        <v>0</v>
      </c>
      <c r="AO29" s="9">
        <f t="shared" si="67"/>
        <v>0</v>
      </c>
      <c r="AP29" s="9">
        <f t="shared" si="17"/>
        <v>0</v>
      </c>
      <c r="AQ29" s="100"/>
      <c r="AR29" s="9">
        <f t="shared" si="18"/>
        <v>0</v>
      </c>
      <c r="AS29" s="9">
        <f t="shared" si="68"/>
        <v>0</v>
      </c>
      <c r="AT29" s="9">
        <f t="shared" si="19"/>
        <v>0</v>
      </c>
      <c r="AU29" s="252"/>
      <c r="AV29" s="9">
        <f t="shared" si="20"/>
        <v>0</v>
      </c>
      <c r="AW29" s="7">
        <f t="shared" si="69"/>
        <v>0</v>
      </c>
      <c r="AX29" s="9">
        <f t="shared" si="21"/>
        <v>0</v>
      </c>
      <c r="AY29" s="100"/>
      <c r="AZ29" s="9">
        <f t="shared" si="22"/>
        <v>0</v>
      </c>
      <c r="BA29" s="9">
        <f t="shared" si="70"/>
        <v>0</v>
      </c>
      <c r="BB29" s="9">
        <f t="shared" si="23"/>
        <v>0</v>
      </c>
      <c r="BC29" s="100"/>
      <c r="BD29" s="9">
        <f t="shared" si="24"/>
        <v>0</v>
      </c>
      <c r="BE29" s="9">
        <f t="shared" si="71"/>
        <v>0</v>
      </c>
      <c r="BF29" s="9">
        <f t="shared" si="25"/>
        <v>0</v>
      </c>
      <c r="BG29" s="100"/>
      <c r="BH29" s="9">
        <f t="shared" si="26"/>
        <v>0</v>
      </c>
      <c r="BI29" s="9">
        <f t="shared" si="72"/>
        <v>0</v>
      </c>
      <c r="BJ29" s="9">
        <f t="shared" si="27"/>
        <v>0</v>
      </c>
      <c r="BK29" s="100"/>
      <c r="BL29" s="9"/>
      <c r="BM29" s="9"/>
      <c r="BN29" s="9"/>
      <c r="BO29" s="100"/>
      <c r="BP29" s="9"/>
      <c r="BQ29" s="9"/>
      <c r="BR29" s="9"/>
      <c r="BS29" s="100"/>
      <c r="BT29" s="9"/>
      <c r="BU29" s="9"/>
      <c r="BV29" s="9"/>
      <c r="BW29" s="9">
        <f t="shared" si="73"/>
        <v>10875</v>
      </c>
      <c r="BX29" s="9">
        <f t="shared" si="28"/>
        <v>20.023900527669827</v>
      </c>
      <c r="BY29" s="9">
        <f t="shared" si="74"/>
        <v>159850</v>
      </c>
      <c r="BZ29" s="9">
        <f t="shared" si="29"/>
        <v>16.487701817541332</v>
      </c>
      <c r="CA29" s="100"/>
      <c r="CB29" s="9"/>
      <c r="CC29" s="9"/>
      <c r="CD29" s="9"/>
      <c r="CE29" s="100"/>
      <c r="CF29" s="9">
        <f t="shared" si="30"/>
        <v>0</v>
      </c>
      <c r="CG29" s="9">
        <f t="shared" si="75"/>
        <v>0</v>
      </c>
      <c r="CH29" s="9">
        <f t="shared" si="31"/>
        <v>0</v>
      </c>
      <c r="CI29" s="100"/>
      <c r="CJ29" s="9">
        <f t="shared" si="32"/>
        <v>0</v>
      </c>
      <c r="CK29" s="9">
        <f t="shared" si="76"/>
        <v>0</v>
      </c>
      <c r="CL29" s="9">
        <f t="shared" si="33"/>
        <v>0</v>
      </c>
      <c r="CM29" s="100"/>
      <c r="CN29" s="9">
        <f t="shared" si="34"/>
        <v>0</v>
      </c>
      <c r="CO29" s="9">
        <f t="shared" si="77"/>
        <v>0</v>
      </c>
      <c r="CP29" s="9">
        <f t="shared" si="35"/>
        <v>0</v>
      </c>
      <c r="CQ29" s="100"/>
      <c r="CR29" s="9">
        <f t="shared" si="36"/>
        <v>0</v>
      </c>
      <c r="CS29" s="9">
        <f t="shared" si="78"/>
        <v>60199.200000000004</v>
      </c>
      <c r="CT29" s="9">
        <f t="shared" si="37"/>
        <v>6.2092365295873257</v>
      </c>
      <c r="CU29" s="100"/>
      <c r="CV29" s="9">
        <f t="shared" si="38"/>
        <v>0</v>
      </c>
      <c r="CW29" s="9">
        <f t="shared" si="79"/>
        <v>0</v>
      </c>
      <c r="CX29" s="9">
        <f t="shared" si="39"/>
        <v>0</v>
      </c>
      <c r="CY29" s="100"/>
      <c r="CZ29" s="9">
        <f t="shared" si="40"/>
        <v>0</v>
      </c>
      <c r="DA29" s="9">
        <f t="shared" si="80"/>
        <v>0</v>
      </c>
      <c r="DB29" s="9">
        <f t="shared" si="41"/>
        <v>0</v>
      </c>
      <c r="DC29" s="100"/>
      <c r="DD29" s="9">
        <f t="shared" si="42"/>
        <v>0</v>
      </c>
      <c r="DE29" s="9">
        <f t="shared" si="81"/>
        <v>0</v>
      </c>
      <c r="DF29" s="9">
        <f t="shared" si="43"/>
        <v>0</v>
      </c>
      <c r="DG29" s="100"/>
      <c r="DH29" s="9"/>
      <c r="DI29" s="9"/>
      <c r="DJ29" s="9"/>
      <c r="DK29" s="9">
        <f t="shared" si="82"/>
        <v>0</v>
      </c>
      <c r="DL29" s="9">
        <f t="shared" si="44"/>
        <v>0</v>
      </c>
      <c r="DM29" s="9">
        <f t="shared" si="83"/>
        <v>60199.200000000004</v>
      </c>
      <c r="DN29" s="9">
        <f t="shared" si="45"/>
        <v>6.2092365295873257</v>
      </c>
      <c r="DO29" s="100">
        <f>116*DO7</f>
        <v>29000</v>
      </c>
      <c r="DP29" s="9">
        <f t="shared" si="46"/>
        <v>53.397068073786201</v>
      </c>
      <c r="DQ29" s="9">
        <f t="shared" si="84"/>
        <v>685250</v>
      </c>
      <c r="DR29" s="9">
        <f t="shared" si="47"/>
        <v>70.679997938506077</v>
      </c>
      <c r="DS29" s="100">
        <f>58*DS7</f>
        <v>14435.098</v>
      </c>
      <c r="DT29" s="9">
        <f t="shared" si="48"/>
        <v>26.579031398543968</v>
      </c>
      <c r="DU29" s="9">
        <f t="shared" si="85"/>
        <v>64211.297999999995</v>
      </c>
      <c r="DV29" s="9">
        <f t="shared" si="49"/>
        <v>6.6230637143652666</v>
      </c>
      <c r="DW29" s="100"/>
      <c r="DX29" s="14">
        <f t="shared" si="50"/>
        <v>0</v>
      </c>
      <c r="DY29" s="9">
        <f t="shared" si="86"/>
        <v>0</v>
      </c>
      <c r="DZ29" s="9">
        <f t="shared" si="51"/>
        <v>0</v>
      </c>
      <c r="EA29" s="9">
        <f t="shared" si="87"/>
        <v>43435.097999999998</v>
      </c>
      <c r="EB29" s="9">
        <f t="shared" si="52"/>
        <v>79.976099472330176</v>
      </c>
      <c r="EC29" s="9">
        <f t="shared" si="88"/>
        <v>749461.29799999995</v>
      </c>
      <c r="ED29" s="9">
        <f t="shared" si="53"/>
        <v>77.303061652871335</v>
      </c>
      <c r="EE29" s="100"/>
      <c r="EF29" s="9">
        <f t="shared" si="54"/>
        <v>0</v>
      </c>
      <c r="EG29" s="9">
        <f t="shared" si="89"/>
        <v>0</v>
      </c>
      <c r="EH29" s="9">
        <f t="shared" si="55"/>
        <v>0</v>
      </c>
      <c r="EI29" s="9">
        <f t="shared" si="90"/>
        <v>54310.097999999998</v>
      </c>
      <c r="EJ29" s="9">
        <f t="shared" si="91"/>
        <v>969510.49800000002</v>
      </c>
      <c r="EK29" s="9">
        <f t="shared" si="56"/>
        <v>1.0837743055555555</v>
      </c>
      <c r="EL29" s="9">
        <f t="shared" si="57"/>
        <v>1.0581588105092203</v>
      </c>
      <c r="ET29" s="13"/>
    </row>
    <row r="30" spans="1:151">
      <c r="A30" s="15">
        <f>+Chem!A30</f>
        <v>45951</v>
      </c>
      <c r="B30" s="5" t="str">
        <f>Chem!B30</f>
        <v>Facial/Toilet</v>
      </c>
      <c r="C30" s="15" t="str">
        <f>Chem!C30</f>
        <v>12/12,5</v>
      </c>
      <c r="D30" s="7">
        <f>+Chem!D30</f>
        <v>46.879000000000005</v>
      </c>
      <c r="E30" s="6">
        <f>+Chem!E30</f>
        <v>42.328000000000003</v>
      </c>
      <c r="F30" s="6">
        <f t="shared" si="58"/>
        <v>958.55200000000013</v>
      </c>
      <c r="G30" s="100"/>
      <c r="H30" s="9">
        <f t="shared" si="0"/>
        <v>0</v>
      </c>
      <c r="I30" s="7">
        <f t="shared" si="59"/>
        <v>0</v>
      </c>
      <c r="J30" s="9">
        <f t="shared" si="1"/>
        <v>0</v>
      </c>
      <c r="K30" s="100">
        <f>44.25*K7</f>
        <v>11062.5</v>
      </c>
      <c r="L30" s="9">
        <f t="shared" si="2"/>
        <v>20.023900527669827</v>
      </c>
      <c r="M30" s="9">
        <f t="shared" si="60"/>
        <v>170912.5</v>
      </c>
      <c r="N30" s="9">
        <f t="shared" si="3"/>
        <v>16.678344606186567</v>
      </c>
      <c r="O30" s="100"/>
      <c r="P30" s="9">
        <f t="shared" si="4"/>
        <v>0</v>
      </c>
      <c r="Q30" s="9">
        <f t="shared" si="61"/>
        <v>0</v>
      </c>
      <c r="R30" s="9">
        <f t="shared" si="5"/>
        <v>0</v>
      </c>
      <c r="S30" s="100">
        <v>0</v>
      </c>
      <c r="T30" s="9">
        <f t="shared" si="6"/>
        <v>0</v>
      </c>
      <c r="U30" s="9">
        <f t="shared" si="62"/>
        <v>0</v>
      </c>
      <c r="V30" s="9">
        <f t="shared" si="7"/>
        <v>0</v>
      </c>
      <c r="W30" s="100"/>
      <c r="X30" s="9">
        <f t="shared" si="8"/>
        <v>0</v>
      </c>
      <c r="Y30" s="9">
        <f t="shared" si="63"/>
        <v>0</v>
      </c>
      <c r="Z30" s="9">
        <f t="shared" si="9"/>
        <v>0</v>
      </c>
      <c r="AA30" s="100"/>
      <c r="AB30" s="9">
        <f t="shared" si="10"/>
        <v>0</v>
      </c>
      <c r="AC30" s="9">
        <f t="shared" si="64"/>
        <v>0</v>
      </c>
      <c r="AD30" s="9">
        <f t="shared" si="11"/>
        <v>0</v>
      </c>
      <c r="AE30" s="100"/>
      <c r="AF30" s="9">
        <f t="shared" si="12"/>
        <v>0</v>
      </c>
      <c r="AG30" s="9">
        <f t="shared" si="65"/>
        <v>0</v>
      </c>
      <c r="AH30" s="9">
        <f t="shared" si="13"/>
        <v>0</v>
      </c>
      <c r="AI30" s="100"/>
      <c r="AJ30" s="9">
        <f t="shared" si="14"/>
        <v>0</v>
      </c>
      <c r="AK30" s="9">
        <f t="shared" si="66"/>
        <v>0</v>
      </c>
      <c r="AL30" s="9">
        <f t="shared" si="15"/>
        <v>0</v>
      </c>
      <c r="AM30" s="100"/>
      <c r="AN30" s="9">
        <f t="shared" si="16"/>
        <v>0</v>
      </c>
      <c r="AO30" s="9">
        <f t="shared" si="67"/>
        <v>0</v>
      </c>
      <c r="AP30" s="9">
        <f t="shared" si="17"/>
        <v>0</v>
      </c>
      <c r="AQ30" s="100"/>
      <c r="AR30" s="9">
        <f t="shared" si="18"/>
        <v>0</v>
      </c>
      <c r="AS30" s="9">
        <f t="shared" si="68"/>
        <v>0</v>
      </c>
      <c r="AT30" s="9">
        <f t="shared" si="19"/>
        <v>0</v>
      </c>
      <c r="AU30" s="252"/>
      <c r="AV30" s="9">
        <f t="shared" si="20"/>
        <v>0</v>
      </c>
      <c r="AW30" s="7">
        <f t="shared" si="69"/>
        <v>0</v>
      </c>
      <c r="AX30" s="9">
        <f t="shared" si="21"/>
        <v>0</v>
      </c>
      <c r="AY30" s="100"/>
      <c r="AZ30" s="9">
        <f t="shared" si="22"/>
        <v>0</v>
      </c>
      <c r="BA30" s="9">
        <f t="shared" si="70"/>
        <v>0</v>
      </c>
      <c r="BB30" s="9">
        <f t="shared" si="23"/>
        <v>0</v>
      </c>
      <c r="BC30" s="100"/>
      <c r="BD30" s="9">
        <f t="shared" si="24"/>
        <v>0</v>
      </c>
      <c r="BE30" s="9">
        <f t="shared" si="71"/>
        <v>0</v>
      </c>
      <c r="BF30" s="9">
        <f t="shared" si="25"/>
        <v>0</v>
      </c>
      <c r="BG30" s="100">
        <v>0</v>
      </c>
      <c r="BH30" s="9">
        <f t="shared" si="26"/>
        <v>0</v>
      </c>
      <c r="BI30" s="9">
        <f t="shared" si="72"/>
        <v>0</v>
      </c>
      <c r="BJ30" s="9">
        <f t="shared" si="27"/>
        <v>0</v>
      </c>
      <c r="BK30" s="100"/>
      <c r="BL30" s="9"/>
      <c r="BM30" s="9"/>
      <c r="BN30" s="9"/>
      <c r="BO30" s="100"/>
      <c r="BP30" s="9"/>
      <c r="BQ30" s="9"/>
      <c r="BR30" s="9"/>
      <c r="BS30" s="100"/>
      <c r="BT30" s="9"/>
      <c r="BU30" s="9"/>
      <c r="BV30" s="9"/>
      <c r="BW30" s="9">
        <f t="shared" si="73"/>
        <v>11062.5</v>
      </c>
      <c r="BX30" s="9">
        <f t="shared" si="28"/>
        <v>20.023900527669827</v>
      </c>
      <c r="BY30" s="9">
        <f t="shared" si="74"/>
        <v>170912.5</v>
      </c>
      <c r="BZ30" s="9">
        <f t="shared" si="29"/>
        <v>16.678344606186567</v>
      </c>
      <c r="CA30" s="100"/>
      <c r="CB30" s="9"/>
      <c r="CC30" s="9"/>
      <c r="CD30" s="9"/>
      <c r="CE30" s="100"/>
      <c r="CF30" s="9">
        <f t="shared" si="30"/>
        <v>0</v>
      </c>
      <c r="CG30" s="9">
        <f t="shared" si="75"/>
        <v>0</v>
      </c>
      <c r="CH30" s="9">
        <f t="shared" si="31"/>
        <v>0</v>
      </c>
      <c r="CI30" s="100"/>
      <c r="CJ30" s="9">
        <f t="shared" si="32"/>
        <v>0</v>
      </c>
      <c r="CK30" s="9">
        <f t="shared" si="76"/>
        <v>0</v>
      </c>
      <c r="CL30" s="9">
        <f t="shared" si="33"/>
        <v>0</v>
      </c>
      <c r="CM30" s="100"/>
      <c r="CN30" s="9">
        <f t="shared" si="34"/>
        <v>0</v>
      </c>
      <c r="CO30" s="9">
        <f t="shared" si="77"/>
        <v>0</v>
      </c>
      <c r="CP30" s="9">
        <f t="shared" si="35"/>
        <v>0</v>
      </c>
      <c r="CQ30" s="100"/>
      <c r="CR30" s="9">
        <f t="shared" si="36"/>
        <v>0</v>
      </c>
      <c r="CS30" s="9">
        <f t="shared" si="78"/>
        <v>60199.200000000004</v>
      </c>
      <c r="CT30" s="9">
        <f t="shared" si="37"/>
        <v>5.8744854976478971</v>
      </c>
      <c r="CU30" s="100"/>
      <c r="CV30" s="9">
        <f t="shared" si="38"/>
        <v>0</v>
      </c>
      <c r="CW30" s="9">
        <f t="shared" si="79"/>
        <v>0</v>
      </c>
      <c r="CX30" s="9">
        <f t="shared" si="39"/>
        <v>0</v>
      </c>
      <c r="CY30" s="100"/>
      <c r="CZ30" s="9">
        <f t="shared" si="40"/>
        <v>0</v>
      </c>
      <c r="DA30" s="9">
        <f t="shared" si="80"/>
        <v>0</v>
      </c>
      <c r="DB30" s="9">
        <f t="shared" si="41"/>
        <v>0</v>
      </c>
      <c r="DC30" s="100"/>
      <c r="DD30" s="9">
        <f t="shared" si="42"/>
        <v>0</v>
      </c>
      <c r="DE30" s="9">
        <f t="shared" si="81"/>
        <v>0</v>
      </c>
      <c r="DF30" s="9">
        <f t="shared" si="43"/>
        <v>0</v>
      </c>
      <c r="DG30" s="100"/>
      <c r="DH30" s="9"/>
      <c r="DI30" s="9"/>
      <c r="DJ30" s="9"/>
      <c r="DK30" s="9">
        <f t="shared" si="82"/>
        <v>0</v>
      </c>
      <c r="DL30" s="9">
        <f t="shared" si="44"/>
        <v>0</v>
      </c>
      <c r="DM30" s="9">
        <f t="shared" si="83"/>
        <v>60199.200000000004</v>
      </c>
      <c r="DN30" s="9">
        <f t="shared" si="45"/>
        <v>5.8744854976478971</v>
      </c>
      <c r="DO30" s="100">
        <f>118*DO7</f>
        <v>29500</v>
      </c>
      <c r="DP30" s="9">
        <f t="shared" si="46"/>
        <v>53.397068073786201</v>
      </c>
      <c r="DQ30" s="9">
        <f t="shared" si="84"/>
        <v>714750</v>
      </c>
      <c r="DR30" s="9">
        <f t="shared" si="47"/>
        <v>69.748244319589531</v>
      </c>
      <c r="DS30" s="100">
        <f>59*DS7</f>
        <v>14683.978999999999</v>
      </c>
      <c r="DT30" s="9">
        <f t="shared" si="48"/>
        <v>26.579031398543968</v>
      </c>
      <c r="DU30" s="9">
        <f t="shared" si="85"/>
        <v>78895.277000000002</v>
      </c>
      <c r="DV30" s="9">
        <f t="shared" si="49"/>
        <v>7.6989255765759959</v>
      </c>
      <c r="DW30" s="100"/>
      <c r="DX30" s="14">
        <f t="shared" si="50"/>
        <v>0</v>
      </c>
      <c r="DY30" s="9">
        <f t="shared" si="86"/>
        <v>0</v>
      </c>
      <c r="DZ30" s="9">
        <f t="shared" si="51"/>
        <v>0</v>
      </c>
      <c r="EA30" s="9">
        <f t="shared" si="87"/>
        <v>44183.978999999999</v>
      </c>
      <c r="EB30" s="9">
        <f t="shared" si="52"/>
        <v>79.976099472330176</v>
      </c>
      <c r="EC30" s="9">
        <f t="shared" si="88"/>
        <v>793645.277</v>
      </c>
      <c r="ED30" s="9">
        <f t="shared" si="53"/>
        <v>77.447169896165533</v>
      </c>
      <c r="EE30" s="100"/>
      <c r="EF30" s="9">
        <f t="shared" si="54"/>
        <v>0</v>
      </c>
      <c r="EG30" s="9">
        <f t="shared" si="89"/>
        <v>0</v>
      </c>
      <c r="EH30" s="9">
        <f t="shared" si="55"/>
        <v>0</v>
      </c>
      <c r="EI30" s="9">
        <f t="shared" si="90"/>
        <v>55246.478999999999</v>
      </c>
      <c r="EJ30" s="9">
        <f t="shared" si="91"/>
        <v>1024756.9770000001</v>
      </c>
      <c r="EK30" s="9">
        <f t="shared" si="56"/>
        <v>1.3051993715743715</v>
      </c>
      <c r="EL30" s="9">
        <f t="shared" si="57"/>
        <v>1.0690676948146787</v>
      </c>
    </row>
    <row r="31" spans="1:151">
      <c r="A31" s="15">
        <f>+Chem!A31</f>
        <v>45952</v>
      </c>
      <c r="B31" s="5" t="str">
        <f>Chem!B31</f>
        <v>Toilet</v>
      </c>
      <c r="C31" s="15" t="str">
        <f>Chem!C31</f>
        <v>12,5/14,5/18</v>
      </c>
      <c r="D31" s="7">
        <f>+Chem!D31</f>
        <v>54.420999999999992</v>
      </c>
      <c r="E31" s="6">
        <f>+Chem!E31</f>
        <v>53.258000000000003</v>
      </c>
      <c r="F31" s="6">
        <f t="shared" si="58"/>
        <v>1011.8100000000002</v>
      </c>
      <c r="G31" s="100"/>
      <c r="H31" s="9">
        <f t="shared" si="0"/>
        <v>0</v>
      </c>
      <c r="I31" s="7">
        <f t="shared" si="59"/>
        <v>0</v>
      </c>
      <c r="J31" s="9">
        <f t="shared" si="1"/>
        <v>0</v>
      </c>
      <c r="K31" s="100">
        <f>28.5*K7</f>
        <v>7125</v>
      </c>
      <c r="L31" s="9">
        <f t="shared" si="2"/>
        <v>14.5263172831493</v>
      </c>
      <c r="M31" s="9">
        <f t="shared" si="60"/>
        <v>178037.5</v>
      </c>
      <c r="N31" s="9">
        <f t="shared" si="3"/>
        <v>16.5800450981883</v>
      </c>
      <c r="O31" s="100"/>
      <c r="P31" s="9">
        <f t="shared" si="4"/>
        <v>0</v>
      </c>
      <c r="Q31" s="9">
        <f t="shared" si="61"/>
        <v>0</v>
      </c>
      <c r="R31" s="9">
        <f t="shared" si="5"/>
        <v>0</v>
      </c>
      <c r="S31" s="100">
        <v>0</v>
      </c>
      <c r="T31" s="9">
        <f t="shared" si="6"/>
        <v>0</v>
      </c>
      <c r="U31" s="9">
        <f t="shared" si="62"/>
        <v>0</v>
      </c>
      <c r="V31" s="9">
        <f t="shared" si="7"/>
        <v>0</v>
      </c>
      <c r="W31" s="100"/>
      <c r="X31" s="9">
        <f t="shared" si="8"/>
        <v>0</v>
      </c>
      <c r="Y31" s="9">
        <f t="shared" si="63"/>
        <v>0</v>
      </c>
      <c r="Z31" s="9">
        <f t="shared" si="9"/>
        <v>0</v>
      </c>
      <c r="AA31" s="100"/>
      <c r="AB31" s="9">
        <f t="shared" si="10"/>
        <v>0</v>
      </c>
      <c r="AC31" s="9">
        <f t="shared" si="64"/>
        <v>0</v>
      </c>
      <c r="AD31" s="9">
        <f t="shared" si="11"/>
        <v>0</v>
      </c>
      <c r="AE31" s="100"/>
      <c r="AF31" s="9">
        <f t="shared" si="12"/>
        <v>0</v>
      </c>
      <c r="AG31" s="9">
        <f t="shared" si="65"/>
        <v>0</v>
      </c>
      <c r="AH31" s="9">
        <f t="shared" si="13"/>
        <v>0</v>
      </c>
      <c r="AI31" s="100"/>
      <c r="AJ31" s="9">
        <f t="shared" si="14"/>
        <v>0</v>
      </c>
      <c r="AK31" s="9">
        <f t="shared" si="66"/>
        <v>0</v>
      </c>
      <c r="AL31" s="9">
        <f t="shared" si="15"/>
        <v>0</v>
      </c>
      <c r="AM31" s="100"/>
      <c r="AN31" s="9">
        <f t="shared" si="16"/>
        <v>0</v>
      </c>
      <c r="AO31" s="9">
        <f t="shared" si="67"/>
        <v>0</v>
      </c>
      <c r="AP31" s="9">
        <f t="shared" si="17"/>
        <v>0</v>
      </c>
      <c r="AQ31" s="100"/>
      <c r="AR31" s="9">
        <f t="shared" si="18"/>
        <v>0</v>
      </c>
      <c r="AS31" s="9">
        <f t="shared" si="68"/>
        <v>0</v>
      </c>
      <c r="AT31" s="9">
        <f t="shared" si="19"/>
        <v>0</v>
      </c>
      <c r="AU31" s="252"/>
      <c r="AV31" s="9">
        <f t="shared" si="20"/>
        <v>0</v>
      </c>
      <c r="AW31" s="7">
        <f t="shared" si="69"/>
        <v>0</v>
      </c>
      <c r="AX31" s="9">
        <f t="shared" si="21"/>
        <v>0</v>
      </c>
      <c r="AY31" s="100"/>
      <c r="AZ31" s="9">
        <f t="shared" si="22"/>
        <v>0</v>
      </c>
      <c r="BA31" s="9">
        <f t="shared" si="70"/>
        <v>0</v>
      </c>
      <c r="BB31" s="9">
        <f t="shared" si="23"/>
        <v>0</v>
      </c>
      <c r="BC31" s="100"/>
      <c r="BD31" s="9">
        <f t="shared" si="24"/>
        <v>0</v>
      </c>
      <c r="BE31" s="9">
        <f t="shared" si="71"/>
        <v>0</v>
      </c>
      <c r="BF31" s="9">
        <f t="shared" si="25"/>
        <v>0</v>
      </c>
      <c r="BG31" s="100"/>
      <c r="BH31" s="9">
        <f t="shared" si="26"/>
        <v>0</v>
      </c>
      <c r="BI31" s="9">
        <f t="shared" si="72"/>
        <v>0</v>
      </c>
      <c r="BJ31" s="9">
        <f t="shared" si="27"/>
        <v>0</v>
      </c>
      <c r="BK31" s="100"/>
      <c r="BL31" s="9"/>
      <c r="BM31" s="9"/>
      <c r="BN31" s="9"/>
      <c r="BO31" s="100"/>
      <c r="BP31" s="9"/>
      <c r="BQ31" s="9"/>
      <c r="BR31" s="9"/>
      <c r="BS31" s="100"/>
      <c r="BT31" s="9"/>
      <c r="BU31" s="9"/>
      <c r="BV31" s="9"/>
      <c r="BW31" s="9">
        <f t="shared" si="73"/>
        <v>7125</v>
      </c>
      <c r="BX31" s="9">
        <f t="shared" si="28"/>
        <v>14.5263172831493</v>
      </c>
      <c r="BY31" s="9">
        <f t="shared" si="74"/>
        <v>178037.5</v>
      </c>
      <c r="BZ31" s="9">
        <f t="shared" si="29"/>
        <v>16.5800450981883</v>
      </c>
      <c r="CA31" s="100"/>
      <c r="CB31" s="9"/>
      <c r="CC31" s="9"/>
      <c r="CD31" s="9"/>
      <c r="CE31" s="100"/>
      <c r="CF31" s="9">
        <f t="shared" si="30"/>
        <v>0</v>
      </c>
      <c r="CG31" s="9">
        <f t="shared" si="75"/>
        <v>0</v>
      </c>
      <c r="CH31" s="9">
        <f t="shared" si="31"/>
        <v>0</v>
      </c>
      <c r="CI31" s="100"/>
      <c r="CJ31" s="9">
        <f t="shared" si="32"/>
        <v>0</v>
      </c>
      <c r="CK31" s="9">
        <f t="shared" si="76"/>
        <v>0</v>
      </c>
      <c r="CL31" s="9">
        <f t="shared" si="33"/>
        <v>0</v>
      </c>
      <c r="CM31" s="100"/>
      <c r="CN31" s="9">
        <f t="shared" si="34"/>
        <v>0</v>
      </c>
      <c r="CO31" s="9">
        <f t="shared" si="77"/>
        <v>0</v>
      </c>
      <c r="CP31" s="9">
        <f t="shared" si="35"/>
        <v>0</v>
      </c>
      <c r="CQ31" s="100"/>
      <c r="CR31" s="9">
        <f t="shared" si="36"/>
        <v>0</v>
      </c>
      <c r="CS31" s="9">
        <f t="shared" si="78"/>
        <v>60199.200000000004</v>
      </c>
      <c r="CT31" s="9">
        <f t="shared" si="37"/>
        <v>5.6061529221363884</v>
      </c>
      <c r="CU31" s="100"/>
      <c r="CV31" s="9">
        <f t="shared" si="38"/>
        <v>0</v>
      </c>
      <c r="CW31" s="9">
        <f t="shared" si="79"/>
        <v>0</v>
      </c>
      <c r="CX31" s="9">
        <f t="shared" si="39"/>
        <v>0</v>
      </c>
      <c r="CY31" s="100"/>
      <c r="CZ31" s="9">
        <f t="shared" si="40"/>
        <v>0</v>
      </c>
      <c r="DA31" s="9">
        <f t="shared" si="80"/>
        <v>0</v>
      </c>
      <c r="DB31" s="9">
        <f t="shared" si="41"/>
        <v>0</v>
      </c>
      <c r="DC31" s="100"/>
      <c r="DD31" s="9">
        <f t="shared" si="42"/>
        <v>0</v>
      </c>
      <c r="DE31" s="9">
        <f t="shared" si="81"/>
        <v>0</v>
      </c>
      <c r="DF31" s="9">
        <f t="shared" si="43"/>
        <v>0</v>
      </c>
      <c r="DG31" s="100"/>
      <c r="DH31" s="9"/>
      <c r="DI31" s="9"/>
      <c r="DJ31" s="9"/>
      <c r="DK31" s="9">
        <f t="shared" si="82"/>
        <v>0</v>
      </c>
      <c r="DL31" s="9">
        <f t="shared" si="44"/>
        <v>0</v>
      </c>
      <c r="DM31" s="9">
        <f t="shared" si="83"/>
        <v>60199.200000000004</v>
      </c>
      <c r="DN31" s="9">
        <f t="shared" si="45"/>
        <v>5.6061529221363884</v>
      </c>
      <c r="DO31" s="100">
        <f>100*DO7</f>
        <v>25000</v>
      </c>
      <c r="DP31" s="9">
        <f t="shared" si="46"/>
        <v>50.969534326839664</v>
      </c>
      <c r="DQ31" s="9">
        <f t="shared" si="84"/>
        <v>739750</v>
      </c>
      <c r="DR31" s="9">
        <f t="shared" si="47"/>
        <v>68.890477351034448</v>
      </c>
      <c r="DS31" s="100">
        <f>68*DS7</f>
        <v>16923.907999999999</v>
      </c>
      <c r="DT31" s="9">
        <f t="shared" si="48"/>
        <v>34.504148390011046</v>
      </c>
      <c r="DU31" s="9">
        <f t="shared" si="85"/>
        <v>95819.184999999998</v>
      </c>
      <c r="DV31" s="9">
        <f t="shared" si="49"/>
        <v>8.9233246286408647</v>
      </c>
      <c r="DW31" s="100"/>
      <c r="DX31" s="14">
        <f t="shared" si="50"/>
        <v>0</v>
      </c>
      <c r="DY31" s="9">
        <f t="shared" si="86"/>
        <v>0</v>
      </c>
      <c r="DZ31" s="9">
        <f t="shared" si="51"/>
        <v>0</v>
      </c>
      <c r="EA31" s="9">
        <f t="shared" si="87"/>
        <v>41923.907999999996</v>
      </c>
      <c r="EB31" s="9">
        <f t="shared" si="52"/>
        <v>85.473682716850703</v>
      </c>
      <c r="EC31" s="9">
        <f t="shared" si="88"/>
        <v>835569.18500000006</v>
      </c>
      <c r="ED31" s="9">
        <f t="shared" si="53"/>
        <v>77.813801979675318</v>
      </c>
      <c r="EE31" s="100"/>
      <c r="EF31" s="9">
        <f t="shared" si="54"/>
        <v>0</v>
      </c>
      <c r="EG31" s="9">
        <f t="shared" si="89"/>
        <v>0</v>
      </c>
      <c r="EH31" s="9">
        <f t="shared" si="55"/>
        <v>0</v>
      </c>
      <c r="EI31" s="9">
        <f t="shared" si="90"/>
        <v>49048.907999999996</v>
      </c>
      <c r="EJ31" s="9">
        <f t="shared" si="91"/>
        <v>1073805.885</v>
      </c>
      <c r="EK31" s="9">
        <f t="shared" si="56"/>
        <v>0.92096789214765851</v>
      </c>
      <c r="EL31" s="9">
        <f t="shared" si="57"/>
        <v>1.061272259613959</v>
      </c>
    </row>
    <row r="32" spans="1:151">
      <c r="A32" s="15">
        <f>+Chem!A32</f>
        <v>45953</v>
      </c>
      <c r="B32" s="5" t="str">
        <f>Chem!B32</f>
        <v>Toilet</v>
      </c>
      <c r="C32" s="15" t="str">
        <f>Chem!C32</f>
        <v>18/14,5/12,5</v>
      </c>
      <c r="D32" s="7">
        <f>+Chem!D32</f>
        <v>54.435999999999993</v>
      </c>
      <c r="E32" s="6">
        <f>+Chem!E32</f>
        <v>37.82</v>
      </c>
      <c r="F32" s="6">
        <f t="shared" si="58"/>
        <v>1049.6300000000001</v>
      </c>
      <c r="G32" s="100"/>
      <c r="H32" s="9">
        <f t="shared" si="0"/>
        <v>0</v>
      </c>
      <c r="I32" s="7">
        <f t="shared" si="59"/>
        <v>0</v>
      </c>
      <c r="J32" s="9">
        <f t="shared" si="1"/>
        <v>0</v>
      </c>
      <c r="K32" s="100">
        <f>30.5*K7</f>
        <v>7625</v>
      </c>
      <c r="L32" s="9">
        <f t="shared" si="2"/>
        <v>14.313020713559551</v>
      </c>
      <c r="M32" s="9">
        <f t="shared" si="60"/>
        <v>185662.5</v>
      </c>
      <c r="N32" s="9">
        <f t="shared" si="3"/>
        <v>16.472890611499395</v>
      </c>
      <c r="O32" s="100"/>
      <c r="P32" s="9">
        <f t="shared" si="4"/>
        <v>0</v>
      </c>
      <c r="Q32" s="9">
        <f t="shared" si="61"/>
        <v>0</v>
      </c>
      <c r="R32" s="9">
        <f t="shared" si="5"/>
        <v>0</v>
      </c>
      <c r="S32" s="100">
        <v>0</v>
      </c>
      <c r="T32" s="9">
        <f t="shared" si="6"/>
        <v>0</v>
      </c>
      <c r="U32" s="9">
        <f t="shared" si="62"/>
        <v>0</v>
      </c>
      <c r="V32" s="9">
        <f t="shared" si="7"/>
        <v>0</v>
      </c>
      <c r="W32" s="100"/>
      <c r="X32" s="9">
        <f t="shared" si="8"/>
        <v>0</v>
      </c>
      <c r="Y32" s="9">
        <f t="shared" si="63"/>
        <v>0</v>
      </c>
      <c r="Z32" s="9">
        <f t="shared" si="9"/>
        <v>0</v>
      </c>
      <c r="AA32" s="100"/>
      <c r="AB32" s="9">
        <f t="shared" si="10"/>
        <v>0</v>
      </c>
      <c r="AC32" s="9">
        <f t="shared" si="64"/>
        <v>0</v>
      </c>
      <c r="AD32" s="9">
        <f t="shared" si="11"/>
        <v>0</v>
      </c>
      <c r="AE32" s="100"/>
      <c r="AF32" s="9">
        <f t="shared" si="12"/>
        <v>0</v>
      </c>
      <c r="AG32" s="9">
        <f t="shared" si="65"/>
        <v>0</v>
      </c>
      <c r="AH32" s="9">
        <f t="shared" si="13"/>
        <v>0</v>
      </c>
      <c r="AI32" s="100"/>
      <c r="AJ32" s="9">
        <f t="shared" si="14"/>
        <v>0</v>
      </c>
      <c r="AK32" s="9">
        <f t="shared" si="66"/>
        <v>0</v>
      </c>
      <c r="AL32" s="9">
        <f t="shared" si="15"/>
        <v>0</v>
      </c>
      <c r="AM32" s="100"/>
      <c r="AN32" s="9">
        <f t="shared" si="16"/>
        <v>0</v>
      </c>
      <c r="AO32" s="9">
        <f t="shared" si="67"/>
        <v>0</v>
      </c>
      <c r="AP32" s="9">
        <f t="shared" si="17"/>
        <v>0</v>
      </c>
      <c r="AQ32" s="100"/>
      <c r="AR32" s="9">
        <f t="shared" si="18"/>
        <v>0</v>
      </c>
      <c r="AS32" s="9">
        <f t="shared" si="68"/>
        <v>0</v>
      </c>
      <c r="AT32" s="9">
        <f t="shared" si="19"/>
        <v>0</v>
      </c>
      <c r="AU32" s="252"/>
      <c r="AV32" s="9">
        <f t="shared" si="20"/>
        <v>0</v>
      </c>
      <c r="AW32" s="7">
        <f t="shared" si="69"/>
        <v>0</v>
      </c>
      <c r="AX32" s="9">
        <f t="shared" si="21"/>
        <v>0</v>
      </c>
      <c r="AY32" s="100"/>
      <c r="AZ32" s="9">
        <f t="shared" si="22"/>
        <v>0</v>
      </c>
      <c r="BA32" s="9">
        <f t="shared" si="70"/>
        <v>0</v>
      </c>
      <c r="BB32" s="9">
        <f t="shared" si="23"/>
        <v>0</v>
      </c>
      <c r="BC32" s="100"/>
      <c r="BD32" s="9">
        <f t="shared" si="24"/>
        <v>0</v>
      </c>
      <c r="BE32" s="9">
        <f t="shared" si="71"/>
        <v>0</v>
      </c>
      <c r="BF32" s="9">
        <f t="shared" si="25"/>
        <v>0</v>
      </c>
      <c r="BG32" s="100"/>
      <c r="BH32" s="9">
        <f t="shared" si="26"/>
        <v>0</v>
      </c>
      <c r="BI32" s="9">
        <f t="shared" si="72"/>
        <v>0</v>
      </c>
      <c r="BJ32" s="9">
        <f t="shared" si="27"/>
        <v>0</v>
      </c>
      <c r="BK32" s="100"/>
      <c r="BL32" s="9"/>
      <c r="BM32" s="9"/>
      <c r="BN32" s="9"/>
      <c r="BO32" s="100"/>
      <c r="BP32" s="9"/>
      <c r="BQ32" s="9"/>
      <c r="BR32" s="9"/>
      <c r="BS32" s="100"/>
      <c r="BT32" s="9"/>
      <c r="BU32" s="9"/>
      <c r="BV32" s="9"/>
      <c r="BW32" s="9">
        <f t="shared" si="73"/>
        <v>7625</v>
      </c>
      <c r="BX32" s="9">
        <f t="shared" si="28"/>
        <v>14.313020713559551</v>
      </c>
      <c r="BY32" s="9">
        <f t="shared" si="74"/>
        <v>185662.5</v>
      </c>
      <c r="BZ32" s="9">
        <f t="shared" si="29"/>
        <v>16.472890611499395</v>
      </c>
      <c r="CA32" s="100"/>
      <c r="CB32" s="9"/>
      <c r="CC32" s="9"/>
      <c r="CD32" s="9"/>
      <c r="CE32" s="100"/>
      <c r="CF32" s="9">
        <f t="shared" si="30"/>
        <v>0</v>
      </c>
      <c r="CG32" s="9">
        <f t="shared" si="75"/>
        <v>0</v>
      </c>
      <c r="CH32" s="9">
        <f t="shared" si="31"/>
        <v>0</v>
      </c>
      <c r="CI32" s="100"/>
      <c r="CJ32" s="9">
        <f t="shared" si="32"/>
        <v>0</v>
      </c>
      <c r="CK32" s="9">
        <f t="shared" si="76"/>
        <v>0</v>
      </c>
      <c r="CL32" s="9">
        <f t="shared" si="33"/>
        <v>0</v>
      </c>
      <c r="CM32" s="100"/>
      <c r="CN32" s="9">
        <f t="shared" si="34"/>
        <v>0</v>
      </c>
      <c r="CO32" s="9">
        <f t="shared" si="77"/>
        <v>0</v>
      </c>
      <c r="CP32" s="9">
        <f t="shared" si="35"/>
        <v>0</v>
      </c>
      <c r="CQ32" s="100"/>
      <c r="CR32" s="9">
        <f t="shared" si="36"/>
        <v>0</v>
      </c>
      <c r="CS32" s="9">
        <f t="shared" si="78"/>
        <v>60199.200000000004</v>
      </c>
      <c r="CT32" s="9">
        <f t="shared" si="37"/>
        <v>5.3411692533482764</v>
      </c>
      <c r="CU32" s="100"/>
      <c r="CV32" s="9">
        <f t="shared" si="38"/>
        <v>0</v>
      </c>
      <c r="CW32" s="9">
        <f t="shared" si="79"/>
        <v>0</v>
      </c>
      <c r="CX32" s="9">
        <f t="shared" si="39"/>
        <v>0</v>
      </c>
      <c r="CY32" s="100"/>
      <c r="CZ32" s="9">
        <f t="shared" si="40"/>
        <v>0</v>
      </c>
      <c r="DA32" s="9">
        <f t="shared" si="80"/>
        <v>0</v>
      </c>
      <c r="DB32" s="9">
        <f t="shared" si="41"/>
        <v>0</v>
      </c>
      <c r="DC32" s="100"/>
      <c r="DD32" s="9">
        <f t="shared" si="42"/>
        <v>0</v>
      </c>
      <c r="DE32" s="9">
        <f t="shared" si="81"/>
        <v>0</v>
      </c>
      <c r="DF32" s="9">
        <f t="shared" si="43"/>
        <v>0</v>
      </c>
      <c r="DG32" s="100"/>
      <c r="DH32" s="9"/>
      <c r="DI32" s="9"/>
      <c r="DJ32" s="9"/>
      <c r="DK32" s="9">
        <f t="shared" si="82"/>
        <v>0</v>
      </c>
      <c r="DL32" s="9">
        <f t="shared" si="44"/>
        <v>0</v>
      </c>
      <c r="DM32" s="9">
        <f t="shared" si="83"/>
        <v>60199.200000000004</v>
      </c>
      <c r="DN32" s="9">
        <f t="shared" si="45"/>
        <v>5.3411692533482764</v>
      </c>
      <c r="DO32" s="100">
        <f>92*DO7</f>
        <v>23000</v>
      </c>
      <c r="DP32" s="9">
        <f t="shared" si="46"/>
        <v>43.173701824507496</v>
      </c>
      <c r="DQ32" s="9">
        <f t="shared" si="84"/>
        <v>762750</v>
      </c>
      <c r="DR32" s="9">
        <f t="shared" si="47"/>
        <v>67.674933354453174</v>
      </c>
      <c r="DS32" s="100">
        <f>91*DS7</f>
        <v>22648.170999999998</v>
      </c>
      <c r="DT32" s="9">
        <f t="shared" si="48"/>
        <v>42.513277461932944</v>
      </c>
      <c r="DU32" s="9">
        <f t="shared" si="85"/>
        <v>118467.356</v>
      </c>
      <c r="DV32" s="9">
        <f t="shared" si="49"/>
        <v>10.511006780699152</v>
      </c>
      <c r="DW32" s="100"/>
      <c r="DX32" s="14">
        <f t="shared" si="50"/>
        <v>0</v>
      </c>
      <c r="DY32" s="9">
        <f t="shared" si="86"/>
        <v>0</v>
      </c>
      <c r="DZ32" s="9">
        <f t="shared" si="51"/>
        <v>0</v>
      </c>
      <c r="EA32" s="9">
        <f t="shared" si="87"/>
        <v>45648.171000000002</v>
      </c>
      <c r="EB32" s="9">
        <f t="shared" si="52"/>
        <v>85.686979286440447</v>
      </c>
      <c r="EC32" s="9">
        <f t="shared" si="88"/>
        <v>881217.35600000003</v>
      </c>
      <c r="ED32" s="9">
        <f t="shared" si="53"/>
        <v>78.185940135152322</v>
      </c>
      <c r="EE32" s="100"/>
      <c r="EF32" s="9">
        <f t="shared" si="54"/>
        <v>0</v>
      </c>
      <c r="EG32" s="9">
        <f t="shared" si="89"/>
        <v>0</v>
      </c>
      <c r="EH32" s="9">
        <f t="shared" si="55"/>
        <v>0</v>
      </c>
      <c r="EI32" s="9">
        <f t="shared" si="90"/>
        <v>53273.171000000002</v>
      </c>
      <c r="EJ32" s="9">
        <f t="shared" si="91"/>
        <v>1127079.0560000001</v>
      </c>
      <c r="EK32" s="9">
        <f t="shared" si="56"/>
        <v>1.4085978582760446</v>
      </c>
      <c r="EL32" s="9">
        <f t="shared" si="57"/>
        <v>1.0737870068500328</v>
      </c>
    </row>
    <row r="33" spans="1:142">
      <c r="A33" s="15">
        <f>+Chem!A33</f>
        <v>45954</v>
      </c>
      <c r="B33" s="5" t="str">
        <f>Chem!B33</f>
        <v>Toilet</v>
      </c>
      <c r="C33" s="15" t="str">
        <f>Chem!C33</f>
        <v>12,5/18/14,5/15</v>
      </c>
      <c r="D33" s="7">
        <f>+Chem!D33</f>
        <v>49.71</v>
      </c>
      <c r="E33" s="6">
        <f>+Chem!E33</f>
        <v>42.802999999999997</v>
      </c>
      <c r="F33" s="6">
        <f t="shared" si="58"/>
        <v>1092.433</v>
      </c>
      <c r="G33" s="100"/>
      <c r="H33" s="9">
        <f t="shared" si="0"/>
        <v>0</v>
      </c>
      <c r="I33" s="7">
        <f t="shared" si="59"/>
        <v>0</v>
      </c>
      <c r="J33" s="9">
        <f t="shared" si="1"/>
        <v>0</v>
      </c>
      <c r="K33" s="100">
        <f>30.25*K7</f>
        <v>7562.5</v>
      </c>
      <c r="L33" s="9">
        <f t="shared" si="2"/>
        <v>14.442979403786172</v>
      </c>
      <c r="M33" s="9">
        <f t="shared" si="60"/>
        <v>193225</v>
      </c>
      <c r="N33" s="9">
        <f t="shared" si="3"/>
        <v>16.382772987131919</v>
      </c>
      <c r="O33" s="100"/>
      <c r="P33" s="9">
        <f t="shared" si="4"/>
        <v>0</v>
      </c>
      <c r="Q33" s="9">
        <f t="shared" si="61"/>
        <v>0</v>
      </c>
      <c r="R33" s="9">
        <f t="shared" si="5"/>
        <v>0</v>
      </c>
      <c r="S33" s="100">
        <v>0</v>
      </c>
      <c r="T33" s="9">
        <f t="shared" si="6"/>
        <v>0</v>
      </c>
      <c r="U33" s="9">
        <f t="shared" si="62"/>
        <v>0</v>
      </c>
      <c r="V33" s="9">
        <f t="shared" si="7"/>
        <v>0</v>
      </c>
      <c r="W33" s="100"/>
      <c r="X33" s="9">
        <f t="shared" si="8"/>
        <v>0</v>
      </c>
      <c r="Y33" s="9">
        <f t="shared" si="63"/>
        <v>0</v>
      </c>
      <c r="Z33" s="9">
        <f t="shared" si="9"/>
        <v>0</v>
      </c>
      <c r="AA33" s="100"/>
      <c r="AB33" s="9">
        <f t="shared" si="10"/>
        <v>0</v>
      </c>
      <c r="AC33" s="9">
        <f t="shared" si="64"/>
        <v>0</v>
      </c>
      <c r="AD33" s="9">
        <f t="shared" si="11"/>
        <v>0</v>
      </c>
      <c r="AE33" s="100"/>
      <c r="AF33" s="9">
        <f t="shared" si="12"/>
        <v>0</v>
      </c>
      <c r="AG33" s="9">
        <f t="shared" si="65"/>
        <v>0</v>
      </c>
      <c r="AH33" s="9">
        <f t="shared" si="13"/>
        <v>0</v>
      </c>
      <c r="AI33" s="100"/>
      <c r="AJ33" s="9">
        <f t="shared" si="14"/>
        <v>0</v>
      </c>
      <c r="AK33" s="9">
        <f t="shared" si="66"/>
        <v>0</v>
      </c>
      <c r="AL33" s="9">
        <f t="shared" si="15"/>
        <v>0</v>
      </c>
      <c r="AM33" s="100"/>
      <c r="AN33" s="9">
        <f t="shared" si="16"/>
        <v>0</v>
      </c>
      <c r="AO33" s="9">
        <f t="shared" si="67"/>
        <v>0</v>
      </c>
      <c r="AP33" s="9">
        <f t="shared" si="17"/>
        <v>0</v>
      </c>
      <c r="AQ33" s="100"/>
      <c r="AR33" s="9">
        <f t="shared" si="18"/>
        <v>0</v>
      </c>
      <c r="AS33" s="9">
        <f t="shared" si="68"/>
        <v>0</v>
      </c>
      <c r="AT33" s="9">
        <f t="shared" si="19"/>
        <v>0</v>
      </c>
      <c r="AU33" s="252"/>
      <c r="AV33" s="9">
        <f t="shared" si="20"/>
        <v>0</v>
      </c>
      <c r="AW33" s="7">
        <f t="shared" si="69"/>
        <v>0</v>
      </c>
      <c r="AX33" s="9">
        <f t="shared" si="21"/>
        <v>0</v>
      </c>
      <c r="AY33" s="100"/>
      <c r="AZ33" s="9">
        <f t="shared" si="22"/>
        <v>0</v>
      </c>
      <c r="BA33" s="9">
        <f t="shared" si="70"/>
        <v>0</v>
      </c>
      <c r="BB33" s="9">
        <f t="shared" si="23"/>
        <v>0</v>
      </c>
      <c r="BC33" s="100"/>
      <c r="BD33" s="9">
        <f t="shared" si="24"/>
        <v>0</v>
      </c>
      <c r="BE33" s="9">
        <f t="shared" si="71"/>
        <v>0</v>
      </c>
      <c r="BF33" s="9">
        <f t="shared" si="25"/>
        <v>0</v>
      </c>
      <c r="BG33" s="100"/>
      <c r="BH33" s="9">
        <f t="shared" si="26"/>
        <v>0</v>
      </c>
      <c r="BI33" s="9">
        <f t="shared" si="72"/>
        <v>0</v>
      </c>
      <c r="BJ33" s="9">
        <f t="shared" si="27"/>
        <v>0</v>
      </c>
      <c r="BK33" s="100"/>
      <c r="BL33" s="9"/>
      <c r="BM33" s="9"/>
      <c r="BN33" s="9"/>
      <c r="BO33" s="100"/>
      <c r="BP33" s="9"/>
      <c r="BQ33" s="9"/>
      <c r="BR33" s="9"/>
      <c r="BS33" s="100"/>
      <c r="BT33" s="9"/>
      <c r="BU33" s="9"/>
      <c r="BV33" s="9"/>
      <c r="BW33" s="9">
        <f t="shared" si="73"/>
        <v>7562.5</v>
      </c>
      <c r="BX33" s="9">
        <f t="shared" si="28"/>
        <v>14.442979403786172</v>
      </c>
      <c r="BY33" s="9">
        <f t="shared" si="74"/>
        <v>193225</v>
      </c>
      <c r="BZ33" s="9">
        <f t="shared" si="29"/>
        <v>16.382772987131919</v>
      </c>
      <c r="CA33" s="100"/>
      <c r="CB33" s="9"/>
      <c r="CC33" s="9"/>
      <c r="CD33" s="9"/>
      <c r="CE33" s="100"/>
      <c r="CF33" s="9">
        <f t="shared" si="30"/>
        <v>0</v>
      </c>
      <c r="CG33" s="9">
        <f t="shared" si="75"/>
        <v>0</v>
      </c>
      <c r="CH33" s="9">
        <f t="shared" si="31"/>
        <v>0</v>
      </c>
      <c r="CI33" s="100"/>
      <c r="CJ33" s="9">
        <f t="shared" si="32"/>
        <v>0</v>
      </c>
      <c r="CK33" s="9">
        <f t="shared" si="76"/>
        <v>0</v>
      </c>
      <c r="CL33" s="9">
        <f t="shared" si="33"/>
        <v>0</v>
      </c>
      <c r="CM33" s="100"/>
      <c r="CN33" s="9">
        <f t="shared" si="34"/>
        <v>0</v>
      </c>
      <c r="CO33" s="9">
        <f t="shared" si="77"/>
        <v>0</v>
      </c>
      <c r="CP33" s="9">
        <f t="shared" si="35"/>
        <v>0</v>
      </c>
      <c r="CQ33" s="100"/>
      <c r="CR33" s="9">
        <f>CQ33/EI33*100</f>
        <v>0</v>
      </c>
      <c r="CS33" s="9">
        <f>CQ33+CS32</f>
        <v>60199.200000000004</v>
      </c>
      <c r="CT33" s="9">
        <f t="shared" si="37"/>
        <v>5.1040487908239198</v>
      </c>
      <c r="CU33" s="100"/>
      <c r="CV33" s="9">
        <f t="shared" si="38"/>
        <v>0</v>
      </c>
      <c r="CW33" s="9">
        <f t="shared" si="79"/>
        <v>0</v>
      </c>
      <c r="CX33" s="9">
        <f t="shared" si="39"/>
        <v>0</v>
      </c>
      <c r="CY33" s="100"/>
      <c r="CZ33" s="9">
        <f t="shared" si="40"/>
        <v>0</v>
      </c>
      <c r="DA33" s="9">
        <f t="shared" si="80"/>
        <v>0</v>
      </c>
      <c r="DB33" s="9">
        <f t="shared" si="41"/>
        <v>0</v>
      </c>
      <c r="DC33" s="100"/>
      <c r="DD33" s="9">
        <f t="shared" si="42"/>
        <v>0</v>
      </c>
      <c r="DE33" s="9">
        <f t="shared" si="81"/>
        <v>0</v>
      </c>
      <c r="DF33" s="9">
        <f t="shared" si="43"/>
        <v>0</v>
      </c>
      <c r="DG33" s="100"/>
      <c r="DH33" s="9"/>
      <c r="DI33" s="9"/>
      <c r="DJ33" s="9"/>
      <c r="DK33" s="9">
        <f>CE33+CI33+CM33+CQ33+CU33+CY33+DC33</f>
        <v>0</v>
      </c>
      <c r="DL33" s="9">
        <f t="shared" si="44"/>
        <v>0</v>
      </c>
      <c r="DM33" s="9">
        <f t="shared" si="83"/>
        <v>60199.200000000004</v>
      </c>
      <c r="DN33" s="9">
        <f t="shared" si="45"/>
        <v>5.1040487908239198</v>
      </c>
      <c r="DO33" s="100">
        <v>0</v>
      </c>
      <c r="DP33" s="9">
        <f t="shared" si="46"/>
        <v>0</v>
      </c>
      <c r="DQ33" s="9">
        <f t="shared" si="84"/>
        <v>762750</v>
      </c>
      <c r="DR33" s="9">
        <f t="shared" si="47"/>
        <v>64.670514146383084</v>
      </c>
      <c r="DS33" s="100">
        <f>180*DS7</f>
        <v>44798.58</v>
      </c>
      <c r="DT33" s="9">
        <f t="shared" si="48"/>
        <v>85.557020596213832</v>
      </c>
      <c r="DU33" s="9">
        <f t="shared" si="85"/>
        <v>163265.93599999999</v>
      </c>
      <c r="DV33" s="9">
        <f t="shared" si="49"/>
        <v>13.842664075661062</v>
      </c>
      <c r="DW33" s="100"/>
      <c r="DX33" s="14">
        <f t="shared" si="50"/>
        <v>0</v>
      </c>
      <c r="DY33" s="9">
        <f t="shared" si="86"/>
        <v>0</v>
      </c>
      <c r="DZ33" s="9">
        <f t="shared" si="51"/>
        <v>0</v>
      </c>
      <c r="EA33" s="9">
        <f t="shared" si="87"/>
        <v>44798.58</v>
      </c>
      <c r="EB33" s="9">
        <f t="shared" si="52"/>
        <v>85.557020596213832</v>
      </c>
      <c r="EC33" s="9">
        <f t="shared" si="88"/>
        <v>926015.93599999999</v>
      </c>
      <c r="ED33" s="9">
        <f t="shared" si="53"/>
        <v>78.513178222044147</v>
      </c>
      <c r="EE33" s="100"/>
      <c r="EF33" s="9">
        <f t="shared" si="54"/>
        <v>0</v>
      </c>
      <c r="EG33" s="9">
        <f t="shared" si="89"/>
        <v>0</v>
      </c>
      <c r="EH33" s="9">
        <f t="shared" si="55"/>
        <v>0</v>
      </c>
      <c r="EI33" s="9">
        <f t="shared" si="90"/>
        <v>52361.08</v>
      </c>
      <c r="EJ33" s="9">
        <f t="shared" si="91"/>
        <v>1179440.1360000002</v>
      </c>
      <c r="EK33" s="9">
        <f t="shared" si="56"/>
        <v>1.2233039740205127</v>
      </c>
      <c r="EL33" s="9">
        <f t="shared" si="57"/>
        <v>1.0796452835093779</v>
      </c>
    </row>
    <row r="34" spans="1:142">
      <c r="A34" s="15">
        <f>+Chem!A34</f>
        <v>45955</v>
      </c>
      <c r="B34" s="5" t="str">
        <f>Chem!B34</f>
        <v>Toilet</v>
      </c>
      <c r="C34" s="15" t="str">
        <f>Chem!C34</f>
        <v>12,5</v>
      </c>
      <c r="D34" s="7">
        <f>+Chem!D34</f>
        <v>48.901000000000003</v>
      </c>
      <c r="E34" s="6">
        <f>+Chem!E34</f>
        <v>46.290999999999997</v>
      </c>
      <c r="F34" s="6">
        <f t="shared" si="58"/>
        <v>1138.7239999999999</v>
      </c>
      <c r="G34" s="100"/>
      <c r="H34" s="9">
        <f t="shared" si="0"/>
        <v>0</v>
      </c>
      <c r="I34" s="7">
        <f t="shared" si="59"/>
        <v>0</v>
      </c>
      <c r="J34" s="9">
        <f t="shared" si="1"/>
        <v>0</v>
      </c>
      <c r="K34" s="100">
        <f>29.5*K7</f>
        <v>7375</v>
      </c>
      <c r="L34" s="9">
        <f t="shared" si="2"/>
        <v>14.340733534256572</v>
      </c>
      <c r="M34" s="9">
        <f t="shared" si="60"/>
        <v>200600</v>
      </c>
      <c r="N34" s="9">
        <f t="shared" si="3"/>
        <v>16.297454404322991</v>
      </c>
      <c r="O34" s="100"/>
      <c r="P34" s="9">
        <f t="shared" si="4"/>
        <v>0</v>
      </c>
      <c r="Q34" s="9">
        <f t="shared" si="61"/>
        <v>0</v>
      </c>
      <c r="R34" s="9">
        <f t="shared" si="5"/>
        <v>0</v>
      </c>
      <c r="S34" s="100">
        <v>0</v>
      </c>
      <c r="T34" s="9">
        <f t="shared" si="6"/>
        <v>0</v>
      </c>
      <c r="U34" s="9">
        <f t="shared" si="62"/>
        <v>0</v>
      </c>
      <c r="V34" s="9">
        <f t="shared" si="7"/>
        <v>0</v>
      </c>
      <c r="W34" s="100"/>
      <c r="X34" s="9">
        <f t="shared" si="8"/>
        <v>0</v>
      </c>
      <c r="Y34" s="9">
        <f t="shared" si="63"/>
        <v>0</v>
      </c>
      <c r="Z34" s="9">
        <f t="shared" si="9"/>
        <v>0</v>
      </c>
      <c r="AA34" s="100"/>
      <c r="AB34" s="9">
        <f t="shared" si="10"/>
        <v>0</v>
      </c>
      <c r="AC34" s="9">
        <f t="shared" si="64"/>
        <v>0</v>
      </c>
      <c r="AD34" s="9">
        <f t="shared" si="11"/>
        <v>0</v>
      </c>
      <c r="AE34" s="100"/>
      <c r="AF34" s="9">
        <f t="shared" si="12"/>
        <v>0</v>
      </c>
      <c r="AG34" s="9">
        <f t="shared" si="65"/>
        <v>0</v>
      </c>
      <c r="AH34" s="9">
        <f t="shared" si="13"/>
        <v>0</v>
      </c>
      <c r="AI34" s="100"/>
      <c r="AJ34" s="9">
        <f t="shared" si="14"/>
        <v>0</v>
      </c>
      <c r="AK34" s="9">
        <f t="shared" si="66"/>
        <v>0</v>
      </c>
      <c r="AL34" s="9">
        <f t="shared" si="15"/>
        <v>0</v>
      </c>
      <c r="AM34" s="100"/>
      <c r="AN34" s="9">
        <f t="shared" si="16"/>
        <v>0</v>
      </c>
      <c r="AO34" s="9">
        <f t="shared" si="67"/>
        <v>0</v>
      </c>
      <c r="AP34" s="9">
        <f t="shared" si="17"/>
        <v>0</v>
      </c>
      <c r="AQ34" s="100"/>
      <c r="AR34" s="9">
        <f t="shared" si="18"/>
        <v>0</v>
      </c>
      <c r="AS34" s="9">
        <f t="shared" si="68"/>
        <v>0</v>
      </c>
      <c r="AT34" s="9">
        <f t="shared" si="19"/>
        <v>0</v>
      </c>
      <c r="AU34" s="252"/>
      <c r="AV34" s="9">
        <f t="shared" si="20"/>
        <v>0</v>
      </c>
      <c r="AW34" s="7">
        <f t="shared" si="69"/>
        <v>0</v>
      </c>
      <c r="AX34" s="9">
        <f t="shared" si="21"/>
        <v>0</v>
      </c>
      <c r="AY34" s="100"/>
      <c r="AZ34" s="9">
        <f t="shared" si="22"/>
        <v>0</v>
      </c>
      <c r="BA34" s="9">
        <f t="shared" si="70"/>
        <v>0</v>
      </c>
      <c r="BB34" s="9">
        <f t="shared" si="23"/>
        <v>0</v>
      </c>
      <c r="BC34" s="100"/>
      <c r="BD34" s="9">
        <f t="shared" si="24"/>
        <v>0</v>
      </c>
      <c r="BE34" s="9">
        <f t="shared" si="71"/>
        <v>0</v>
      </c>
      <c r="BF34" s="9">
        <f t="shared" si="25"/>
        <v>0</v>
      </c>
      <c r="BG34" s="100"/>
      <c r="BH34" s="9">
        <f t="shared" si="26"/>
        <v>0</v>
      </c>
      <c r="BI34" s="9">
        <f t="shared" si="72"/>
        <v>0</v>
      </c>
      <c r="BJ34" s="9">
        <f t="shared" si="27"/>
        <v>0</v>
      </c>
      <c r="BK34" s="100"/>
      <c r="BL34" s="9"/>
      <c r="BM34" s="9"/>
      <c r="BN34" s="9"/>
      <c r="BO34" s="100"/>
      <c r="BP34" s="9"/>
      <c r="BQ34" s="9"/>
      <c r="BR34" s="9"/>
      <c r="BS34" s="100"/>
      <c r="BT34" s="9"/>
      <c r="BU34" s="9"/>
      <c r="BV34" s="9"/>
      <c r="BW34" s="9">
        <f t="shared" si="73"/>
        <v>7375</v>
      </c>
      <c r="BX34" s="9">
        <f t="shared" si="28"/>
        <v>14.340733534256572</v>
      </c>
      <c r="BY34" s="9">
        <f t="shared" si="74"/>
        <v>200600</v>
      </c>
      <c r="BZ34" s="9">
        <f t="shared" si="29"/>
        <v>16.297454404322991</v>
      </c>
      <c r="CA34" s="100"/>
      <c r="CB34" s="9"/>
      <c r="CC34" s="9"/>
      <c r="CD34" s="9"/>
      <c r="CE34" s="100"/>
      <c r="CF34" s="9">
        <f t="shared" si="30"/>
        <v>0</v>
      </c>
      <c r="CG34" s="9">
        <f t="shared" si="75"/>
        <v>0</v>
      </c>
      <c r="CH34" s="9">
        <f t="shared" si="31"/>
        <v>0</v>
      </c>
      <c r="CI34" s="100"/>
      <c r="CJ34" s="9">
        <f t="shared" si="32"/>
        <v>0</v>
      </c>
      <c r="CK34" s="9">
        <f t="shared" si="76"/>
        <v>0</v>
      </c>
      <c r="CL34" s="9">
        <f t="shared" si="33"/>
        <v>0</v>
      </c>
      <c r="CM34" s="100"/>
      <c r="CN34" s="9">
        <f t="shared" si="34"/>
        <v>0</v>
      </c>
      <c r="CO34" s="9">
        <f t="shared" si="77"/>
        <v>0</v>
      </c>
      <c r="CP34" s="9">
        <f t="shared" si="35"/>
        <v>0</v>
      </c>
      <c r="CQ34" s="100"/>
      <c r="CR34" s="9">
        <f>CQ34/EI34*100</f>
        <v>0</v>
      </c>
      <c r="CS34" s="9">
        <f>CQ34+CS33</f>
        <v>60199.200000000004</v>
      </c>
      <c r="CT34" s="9">
        <f t="shared" si="37"/>
        <v>4.8907961972917278</v>
      </c>
      <c r="CU34" s="100"/>
      <c r="CV34" s="9">
        <f t="shared" si="38"/>
        <v>0</v>
      </c>
      <c r="CW34" s="9">
        <f t="shared" si="79"/>
        <v>0</v>
      </c>
      <c r="CX34" s="9">
        <f t="shared" si="39"/>
        <v>0</v>
      </c>
      <c r="CY34" s="100"/>
      <c r="CZ34" s="9">
        <f t="shared" si="40"/>
        <v>0</v>
      </c>
      <c r="DA34" s="9">
        <f t="shared" si="80"/>
        <v>0</v>
      </c>
      <c r="DB34" s="9">
        <f t="shared" si="41"/>
        <v>0</v>
      </c>
      <c r="DC34" s="100"/>
      <c r="DD34" s="9">
        <f t="shared" si="42"/>
        <v>0</v>
      </c>
      <c r="DE34" s="9">
        <f t="shared" si="81"/>
        <v>0</v>
      </c>
      <c r="DF34" s="9">
        <f t="shared" si="43"/>
        <v>0</v>
      </c>
      <c r="DG34" s="100"/>
      <c r="DH34" s="9"/>
      <c r="DI34" s="9"/>
      <c r="DJ34" s="9"/>
      <c r="DK34" s="9">
        <f>CE34+CI34+CM34+CQ34+CU34+CY34+DC34</f>
        <v>0</v>
      </c>
      <c r="DL34" s="9">
        <f t="shared" si="44"/>
        <v>0</v>
      </c>
      <c r="DM34" s="9">
        <f t="shared" si="83"/>
        <v>60199.200000000004</v>
      </c>
      <c r="DN34" s="9">
        <f t="shared" si="45"/>
        <v>4.8907961972917278</v>
      </c>
      <c r="DO34" s="100">
        <v>0</v>
      </c>
      <c r="DP34" s="9">
        <f t="shared" si="46"/>
        <v>0</v>
      </c>
      <c r="DQ34" s="9">
        <f t="shared" si="84"/>
        <v>762750</v>
      </c>
      <c r="DR34" s="9">
        <f t="shared" si="47"/>
        <v>61.968511200884159</v>
      </c>
      <c r="DS34" s="100">
        <f>177*DS7</f>
        <v>44051.936999999998</v>
      </c>
      <c r="DT34" s="9">
        <f t="shared" si="48"/>
        <v>85.659266465743428</v>
      </c>
      <c r="DU34" s="9">
        <f t="shared" si="85"/>
        <v>207317.87299999999</v>
      </c>
      <c r="DV34" s="9">
        <f t="shared" si="49"/>
        <v>16.843238197501119</v>
      </c>
      <c r="DW34" s="100"/>
      <c r="DX34" s="14">
        <f t="shared" si="50"/>
        <v>0</v>
      </c>
      <c r="DY34" s="9">
        <f t="shared" si="86"/>
        <v>0</v>
      </c>
      <c r="DZ34" s="9">
        <f t="shared" si="51"/>
        <v>0</v>
      </c>
      <c r="EA34" s="9">
        <f t="shared" si="87"/>
        <v>44051.936999999998</v>
      </c>
      <c r="EB34" s="9">
        <f t="shared" si="52"/>
        <v>85.659266465743428</v>
      </c>
      <c r="EC34" s="9">
        <f t="shared" si="88"/>
        <v>970067.87300000002</v>
      </c>
      <c r="ED34" s="9">
        <f t="shared" si="53"/>
        <v>78.811749398385274</v>
      </c>
      <c r="EE34" s="100"/>
      <c r="EF34" s="9">
        <f t="shared" si="54"/>
        <v>0</v>
      </c>
      <c r="EG34" s="9">
        <f t="shared" si="89"/>
        <v>0</v>
      </c>
      <c r="EH34" s="9">
        <f t="shared" si="55"/>
        <v>0</v>
      </c>
      <c r="EI34" s="9">
        <f t="shared" si="90"/>
        <v>51426.936999999998</v>
      </c>
      <c r="EJ34" s="9">
        <f t="shared" si="91"/>
        <v>1230867.0730000001</v>
      </c>
      <c r="EK34" s="9">
        <f t="shared" si="56"/>
        <v>1.110948931757793</v>
      </c>
      <c r="EL34" s="9">
        <f t="shared" si="57"/>
        <v>1.0809178282006879</v>
      </c>
    </row>
    <row r="35" spans="1:142">
      <c r="A35" s="15">
        <f>+Chem!A35</f>
        <v>45956</v>
      </c>
      <c r="B35" s="5" t="str">
        <f>Chem!B35</f>
        <v>Toilet</v>
      </c>
      <c r="C35" s="15" t="str">
        <f>Chem!C35</f>
        <v>12,5</v>
      </c>
      <c r="D35" s="7">
        <f>+Chem!D35</f>
        <v>48.096000000000004</v>
      </c>
      <c r="E35" s="6">
        <f>+Chem!E35</f>
        <v>42.771000000000001</v>
      </c>
      <c r="F35" s="6">
        <f t="shared" si="58"/>
        <v>1181.4949999999999</v>
      </c>
      <c r="G35" s="100"/>
      <c r="H35" s="9">
        <f t="shared" si="0"/>
        <v>0</v>
      </c>
      <c r="I35" s="7">
        <f t="shared" si="59"/>
        <v>0</v>
      </c>
      <c r="J35" s="9">
        <f t="shared" si="1"/>
        <v>0</v>
      </c>
      <c r="K35" s="100">
        <f>33.75*K7</f>
        <v>8437.5</v>
      </c>
      <c r="L35" s="9">
        <f t="shared" si="2"/>
        <v>17.574617765342204</v>
      </c>
      <c r="M35" s="9">
        <f t="shared" si="60"/>
        <v>209037.5</v>
      </c>
      <c r="N35" s="9">
        <f t="shared" si="3"/>
        <v>16.345399665643441</v>
      </c>
      <c r="O35" s="100"/>
      <c r="P35" s="9">
        <f t="shared" si="4"/>
        <v>0</v>
      </c>
      <c r="Q35" s="9">
        <f t="shared" si="61"/>
        <v>0</v>
      </c>
      <c r="R35" s="9">
        <f t="shared" si="5"/>
        <v>0</v>
      </c>
      <c r="S35" s="100">
        <v>0</v>
      </c>
      <c r="T35" s="9">
        <f t="shared" si="6"/>
        <v>0</v>
      </c>
      <c r="U35" s="9">
        <f t="shared" si="62"/>
        <v>0</v>
      </c>
      <c r="V35" s="9">
        <f t="shared" si="7"/>
        <v>0</v>
      </c>
      <c r="W35" s="100"/>
      <c r="X35" s="9">
        <f t="shared" si="8"/>
        <v>0</v>
      </c>
      <c r="Y35" s="9">
        <f t="shared" si="63"/>
        <v>0</v>
      </c>
      <c r="Z35" s="9">
        <f t="shared" si="9"/>
        <v>0</v>
      </c>
      <c r="AA35" s="100"/>
      <c r="AB35" s="9">
        <f t="shared" si="10"/>
        <v>0</v>
      </c>
      <c r="AC35" s="9">
        <f t="shared" si="64"/>
        <v>0</v>
      </c>
      <c r="AD35" s="9">
        <f t="shared" si="11"/>
        <v>0</v>
      </c>
      <c r="AE35" s="100"/>
      <c r="AF35" s="9">
        <f t="shared" si="12"/>
        <v>0</v>
      </c>
      <c r="AG35" s="9">
        <f t="shared" si="65"/>
        <v>0</v>
      </c>
      <c r="AH35" s="9">
        <f t="shared" si="13"/>
        <v>0</v>
      </c>
      <c r="AI35" s="100"/>
      <c r="AJ35" s="9">
        <f t="shared" si="14"/>
        <v>0</v>
      </c>
      <c r="AK35" s="9">
        <f t="shared" si="66"/>
        <v>0</v>
      </c>
      <c r="AL35" s="9">
        <f t="shared" si="15"/>
        <v>0</v>
      </c>
      <c r="AM35" s="100"/>
      <c r="AN35" s="9">
        <f t="shared" si="16"/>
        <v>0</v>
      </c>
      <c r="AO35" s="9">
        <f t="shared" si="67"/>
        <v>0</v>
      </c>
      <c r="AP35" s="9">
        <f t="shared" si="17"/>
        <v>0</v>
      </c>
      <c r="AQ35" s="100"/>
      <c r="AR35" s="9">
        <f t="shared" si="18"/>
        <v>0</v>
      </c>
      <c r="AS35" s="9">
        <f t="shared" si="68"/>
        <v>0</v>
      </c>
      <c r="AT35" s="9">
        <f t="shared" si="19"/>
        <v>0</v>
      </c>
      <c r="AU35" s="252"/>
      <c r="AV35" s="9">
        <f t="shared" si="20"/>
        <v>0</v>
      </c>
      <c r="AW35" s="7">
        <f t="shared" si="69"/>
        <v>0</v>
      </c>
      <c r="AX35" s="9">
        <f t="shared" si="21"/>
        <v>0</v>
      </c>
      <c r="AY35" s="100"/>
      <c r="AZ35" s="9">
        <f t="shared" si="22"/>
        <v>0</v>
      </c>
      <c r="BA35" s="9">
        <f t="shared" si="70"/>
        <v>0</v>
      </c>
      <c r="BB35" s="9">
        <f t="shared" si="23"/>
        <v>0</v>
      </c>
      <c r="BC35" s="100"/>
      <c r="BD35" s="9">
        <f t="shared" si="24"/>
        <v>0</v>
      </c>
      <c r="BE35" s="9">
        <f t="shared" si="71"/>
        <v>0</v>
      </c>
      <c r="BF35" s="9">
        <f t="shared" si="25"/>
        <v>0</v>
      </c>
      <c r="BG35" s="100"/>
      <c r="BH35" s="9">
        <f t="shared" si="26"/>
        <v>0</v>
      </c>
      <c r="BI35" s="9">
        <f t="shared" si="72"/>
        <v>0</v>
      </c>
      <c r="BJ35" s="9">
        <f t="shared" si="27"/>
        <v>0</v>
      </c>
      <c r="BK35" s="100"/>
      <c r="BL35" s="9"/>
      <c r="BM35" s="9"/>
      <c r="BN35" s="9"/>
      <c r="BO35" s="100"/>
      <c r="BP35" s="9"/>
      <c r="BQ35" s="9"/>
      <c r="BR35" s="9"/>
      <c r="BS35" s="100"/>
      <c r="BT35" s="9"/>
      <c r="BU35" s="9"/>
      <c r="BV35" s="9"/>
      <c r="BW35" s="9">
        <f t="shared" si="73"/>
        <v>8437.5</v>
      </c>
      <c r="BX35" s="9">
        <f t="shared" si="28"/>
        <v>17.574617765342204</v>
      </c>
      <c r="BY35" s="9">
        <f t="shared" si="74"/>
        <v>209037.5</v>
      </c>
      <c r="BZ35" s="9">
        <f t="shared" si="29"/>
        <v>16.345399665643441</v>
      </c>
      <c r="CA35" s="100"/>
      <c r="CB35" s="9"/>
      <c r="CC35" s="9"/>
      <c r="CD35" s="9"/>
      <c r="CE35" s="100"/>
      <c r="CF35" s="9">
        <f t="shared" si="30"/>
        <v>0</v>
      </c>
      <c r="CG35" s="9">
        <f t="shared" si="75"/>
        <v>0</v>
      </c>
      <c r="CH35" s="9">
        <f t="shared" si="31"/>
        <v>0</v>
      </c>
      <c r="CI35" s="100"/>
      <c r="CJ35" s="9">
        <f t="shared" si="32"/>
        <v>0</v>
      </c>
      <c r="CK35" s="9">
        <f t="shared" si="76"/>
        <v>0</v>
      </c>
      <c r="CL35" s="9">
        <f t="shared" si="33"/>
        <v>0</v>
      </c>
      <c r="CM35" s="100"/>
      <c r="CN35" s="9">
        <f t="shared" si="34"/>
        <v>0</v>
      </c>
      <c r="CO35" s="9">
        <f t="shared" si="77"/>
        <v>0</v>
      </c>
      <c r="CP35" s="9">
        <f t="shared" si="35"/>
        <v>0</v>
      </c>
      <c r="CQ35" s="100"/>
      <c r="CR35" s="9">
        <f>CQ35/EI35*100</f>
        <v>0</v>
      </c>
      <c r="CS35" s="9">
        <f>CQ35+CS34</f>
        <v>60199.200000000004</v>
      </c>
      <c r="CT35" s="9">
        <f t="shared" si="37"/>
        <v>4.7071936066591045</v>
      </c>
      <c r="CU35" s="100"/>
      <c r="CV35" s="9">
        <f t="shared" si="38"/>
        <v>0</v>
      </c>
      <c r="CW35" s="9">
        <f t="shared" si="79"/>
        <v>0</v>
      </c>
      <c r="CX35" s="9">
        <f t="shared" si="39"/>
        <v>0</v>
      </c>
      <c r="CY35" s="100"/>
      <c r="CZ35" s="9">
        <f t="shared" si="40"/>
        <v>0</v>
      </c>
      <c r="DA35" s="9">
        <f t="shared" si="80"/>
        <v>0</v>
      </c>
      <c r="DB35" s="9">
        <f t="shared" si="41"/>
        <v>0</v>
      </c>
      <c r="DC35" s="100"/>
      <c r="DD35" s="9">
        <f t="shared" si="42"/>
        <v>0</v>
      </c>
      <c r="DE35" s="9">
        <f t="shared" si="81"/>
        <v>0</v>
      </c>
      <c r="DF35" s="9">
        <f t="shared" si="43"/>
        <v>0</v>
      </c>
      <c r="DG35" s="100"/>
      <c r="DH35" s="9"/>
      <c r="DI35" s="9"/>
      <c r="DJ35" s="9"/>
      <c r="DK35" s="9">
        <f>CE35+CI35+CM35+CQ35+CU35+CY35+DC35</f>
        <v>0</v>
      </c>
      <c r="DL35" s="9">
        <f t="shared" si="44"/>
        <v>0</v>
      </c>
      <c r="DM35" s="9">
        <f t="shared" si="83"/>
        <v>60199.200000000004</v>
      </c>
      <c r="DN35" s="9">
        <f t="shared" si="45"/>
        <v>4.7071936066591045</v>
      </c>
      <c r="DO35" s="100">
        <v>0</v>
      </c>
      <c r="DP35" s="9">
        <f t="shared" si="46"/>
        <v>0</v>
      </c>
      <c r="DQ35" s="9">
        <f t="shared" si="84"/>
        <v>762750</v>
      </c>
      <c r="DR35" s="9">
        <f t="shared" si="47"/>
        <v>59.642186664926314</v>
      </c>
      <c r="DS35" s="100">
        <f>159*DS7</f>
        <v>39572.078999999998</v>
      </c>
      <c r="DT35" s="9">
        <f t="shared" si="48"/>
        <v>82.425382234657789</v>
      </c>
      <c r="DU35" s="9">
        <f t="shared" si="85"/>
        <v>246889.95199999999</v>
      </c>
      <c r="DV35" s="9">
        <f t="shared" si="49"/>
        <v>19.305220062771149</v>
      </c>
      <c r="DW35" s="100"/>
      <c r="DX35" s="14">
        <f t="shared" si="50"/>
        <v>0</v>
      </c>
      <c r="DY35" s="9">
        <f t="shared" si="86"/>
        <v>0</v>
      </c>
      <c r="DZ35" s="9">
        <f t="shared" si="51"/>
        <v>0</v>
      </c>
      <c r="EA35" s="9">
        <f t="shared" si="87"/>
        <v>39572.078999999998</v>
      </c>
      <c r="EB35" s="9">
        <f t="shared" si="52"/>
        <v>82.425382234657789</v>
      </c>
      <c r="EC35" s="9">
        <f t="shared" si="88"/>
        <v>1009639.952</v>
      </c>
      <c r="ED35" s="9">
        <f t="shared" si="53"/>
        <v>78.947406727697455</v>
      </c>
      <c r="EE35" s="100"/>
      <c r="EF35" s="9">
        <f t="shared" si="54"/>
        <v>0</v>
      </c>
      <c r="EG35" s="9">
        <f t="shared" si="89"/>
        <v>0</v>
      </c>
      <c r="EH35" s="9">
        <f t="shared" si="55"/>
        <v>0</v>
      </c>
      <c r="EI35" s="9">
        <f t="shared" si="90"/>
        <v>48009.578999999998</v>
      </c>
      <c r="EJ35" s="9">
        <f t="shared" si="91"/>
        <v>1278876.652</v>
      </c>
      <c r="EK35" s="9">
        <f t="shared" si="56"/>
        <v>1.1224796941853123</v>
      </c>
      <c r="EL35" s="9">
        <f t="shared" si="57"/>
        <v>1.0824223987405788</v>
      </c>
    </row>
    <row r="36" spans="1:142">
      <c r="A36" s="15">
        <f>+Chem!A36</f>
        <v>45957</v>
      </c>
      <c r="B36" s="5" t="str">
        <f>Chem!B36</f>
        <v>Toilet/Facial</v>
      </c>
      <c r="C36" s="15" t="str">
        <f>Chem!C36</f>
        <v>12,5/12</v>
      </c>
      <c r="D36" s="7">
        <f>+Chem!D36</f>
        <v>47.367999999999995</v>
      </c>
      <c r="E36" s="6">
        <f>+Chem!E36</f>
        <v>38.155000000000001</v>
      </c>
      <c r="F36" s="6">
        <f t="shared" si="58"/>
        <v>1219.6499999999999</v>
      </c>
      <c r="G36" s="100"/>
      <c r="H36" s="9">
        <f t="shared" si="0"/>
        <v>0</v>
      </c>
      <c r="I36" s="7">
        <f t="shared" si="59"/>
        <v>0</v>
      </c>
      <c r="J36" s="9">
        <f t="shared" si="1"/>
        <v>0</v>
      </c>
      <c r="K36" s="100"/>
      <c r="L36" s="9">
        <f t="shared" si="2"/>
        <v>0</v>
      </c>
      <c r="M36" s="9">
        <f t="shared" si="60"/>
        <v>209037.5</v>
      </c>
      <c r="N36" s="9">
        <f t="shared" si="3"/>
        <v>15.758280681978817</v>
      </c>
      <c r="O36" s="100"/>
      <c r="P36" s="9">
        <f t="shared" si="4"/>
        <v>0</v>
      </c>
      <c r="Q36" s="9">
        <f t="shared" si="61"/>
        <v>0</v>
      </c>
      <c r="R36" s="9">
        <f t="shared" si="5"/>
        <v>0</v>
      </c>
      <c r="S36" s="100">
        <f>38.25*S7</f>
        <v>9569.3467500000006</v>
      </c>
      <c r="T36" s="9">
        <f t="shared" si="6"/>
        <v>20.083358553363041</v>
      </c>
      <c r="U36" s="9">
        <f t="shared" si="62"/>
        <v>9569.3467500000006</v>
      </c>
      <c r="V36" s="9">
        <f t="shared" si="7"/>
        <v>0.72138468949198964</v>
      </c>
      <c r="W36" s="100"/>
      <c r="X36" s="9">
        <f t="shared" si="8"/>
        <v>0</v>
      </c>
      <c r="Y36" s="9">
        <f t="shared" si="63"/>
        <v>0</v>
      </c>
      <c r="Z36" s="9">
        <f t="shared" si="9"/>
        <v>0</v>
      </c>
      <c r="AA36" s="100"/>
      <c r="AB36" s="9">
        <f t="shared" si="10"/>
        <v>0</v>
      </c>
      <c r="AC36" s="9">
        <f t="shared" si="64"/>
        <v>0</v>
      </c>
      <c r="AD36" s="9">
        <f t="shared" si="11"/>
        <v>0</v>
      </c>
      <c r="AE36" s="100"/>
      <c r="AF36" s="9">
        <f t="shared" si="12"/>
        <v>0</v>
      </c>
      <c r="AG36" s="9">
        <f t="shared" si="65"/>
        <v>0</v>
      </c>
      <c r="AH36" s="9">
        <f t="shared" si="13"/>
        <v>0</v>
      </c>
      <c r="AI36" s="100"/>
      <c r="AJ36" s="9">
        <f t="shared" si="14"/>
        <v>0</v>
      </c>
      <c r="AK36" s="9">
        <f t="shared" si="66"/>
        <v>0</v>
      </c>
      <c r="AL36" s="9">
        <f t="shared" si="15"/>
        <v>0</v>
      </c>
      <c r="AM36" s="100"/>
      <c r="AN36" s="9">
        <f t="shared" si="16"/>
        <v>0</v>
      </c>
      <c r="AO36" s="9">
        <f t="shared" si="67"/>
        <v>0</v>
      </c>
      <c r="AP36" s="9">
        <f t="shared" si="17"/>
        <v>0</v>
      </c>
      <c r="AQ36" s="100"/>
      <c r="AR36" s="9">
        <f t="shared" si="18"/>
        <v>0</v>
      </c>
      <c r="AS36" s="9">
        <f t="shared" si="68"/>
        <v>0</v>
      </c>
      <c r="AT36" s="9">
        <f t="shared" si="19"/>
        <v>0</v>
      </c>
      <c r="AU36" s="252"/>
      <c r="AV36" s="9">
        <f t="shared" si="20"/>
        <v>0</v>
      </c>
      <c r="AW36" s="7">
        <f t="shared" si="69"/>
        <v>0</v>
      </c>
      <c r="AX36" s="9">
        <f t="shared" si="21"/>
        <v>0</v>
      </c>
      <c r="AY36" s="100"/>
      <c r="AZ36" s="9">
        <f t="shared" si="22"/>
        <v>0</v>
      </c>
      <c r="BA36" s="9">
        <f t="shared" si="70"/>
        <v>0</v>
      </c>
      <c r="BB36" s="9">
        <f t="shared" si="23"/>
        <v>0</v>
      </c>
      <c r="BC36" s="100"/>
      <c r="BD36" s="9">
        <f t="shared" si="24"/>
        <v>0</v>
      </c>
      <c r="BE36" s="9">
        <f t="shared" si="71"/>
        <v>0</v>
      </c>
      <c r="BF36" s="9">
        <f t="shared" si="25"/>
        <v>0</v>
      </c>
      <c r="BG36" s="100"/>
      <c r="BH36" s="9">
        <f t="shared" si="26"/>
        <v>0</v>
      </c>
      <c r="BI36" s="9">
        <f t="shared" si="72"/>
        <v>0</v>
      </c>
      <c r="BJ36" s="9">
        <f t="shared" si="27"/>
        <v>0</v>
      </c>
      <c r="BK36" s="100"/>
      <c r="BL36" s="9"/>
      <c r="BM36" s="9"/>
      <c r="BN36" s="9"/>
      <c r="BO36" s="100"/>
      <c r="BP36" s="9"/>
      <c r="BQ36" s="9"/>
      <c r="BR36" s="9"/>
      <c r="BS36" s="100"/>
      <c r="BT36" s="9"/>
      <c r="BU36" s="9"/>
      <c r="BV36" s="9"/>
      <c r="BW36" s="9">
        <f t="shared" si="73"/>
        <v>9569.3467500000006</v>
      </c>
      <c r="BX36" s="9">
        <f t="shared" si="28"/>
        <v>20.083358553363041</v>
      </c>
      <c r="BY36" s="9">
        <f t="shared" si="74"/>
        <v>218606.84675</v>
      </c>
      <c r="BZ36" s="9">
        <f t="shared" si="29"/>
        <v>16.479665371470805</v>
      </c>
      <c r="CA36" s="100"/>
      <c r="CB36" s="9"/>
      <c r="CC36" s="9"/>
      <c r="CD36" s="9"/>
      <c r="CE36" s="100"/>
      <c r="CF36" s="9">
        <f t="shared" si="30"/>
        <v>0</v>
      </c>
      <c r="CG36" s="9">
        <f t="shared" si="75"/>
        <v>0</v>
      </c>
      <c r="CH36" s="9">
        <f t="shared" si="31"/>
        <v>0</v>
      </c>
      <c r="CI36" s="100"/>
      <c r="CJ36" s="9">
        <f t="shared" si="32"/>
        <v>0</v>
      </c>
      <c r="CK36" s="9">
        <f t="shared" si="76"/>
        <v>0</v>
      </c>
      <c r="CL36" s="9">
        <f t="shared" si="33"/>
        <v>0</v>
      </c>
      <c r="CM36" s="100"/>
      <c r="CN36" s="9">
        <f t="shared" si="34"/>
        <v>0</v>
      </c>
      <c r="CO36" s="9">
        <f t="shared" si="77"/>
        <v>0</v>
      </c>
      <c r="CP36" s="9">
        <f t="shared" si="35"/>
        <v>0</v>
      </c>
      <c r="CQ36" s="100"/>
      <c r="CR36" s="9">
        <f t="shared" si="36"/>
        <v>0</v>
      </c>
      <c r="CS36" s="9">
        <f t="shared" si="78"/>
        <v>60199.200000000004</v>
      </c>
      <c r="CT36" s="9">
        <f t="shared" si="37"/>
        <v>4.5381134506037393</v>
      </c>
      <c r="CU36" s="100"/>
      <c r="CV36" s="9">
        <f t="shared" si="38"/>
        <v>0</v>
      </c>
      <c r="CW36" s="9">
        <f t="shared" si="79"/>
        <v>0</v>
      </c>
      <c r="CX36" s="9">
        <f t="shared" si="39"/>
        <v>0</v>
      </c>
      <c r="CY36" s="100"/>
      <c r="CZ36" s="9">
        <f t="shared" si="40"/>
        <v>0</v>
      </c>
      <c r="DA36" s="9">
        <f t="shared" si="80"/>
        <v>0</v>
      </c>
      <c r="DB36" s="9">
        <f t="shared" si="41"/>
        <v>0</v>
      </c>
      <c r="DC36" s="100"/>
      <c r="DD36" s="9">
        <f t="shared" si="42"/>
        <v>0</v>
      </c>
      <c r="DE36" s="9">
        <f t="shared" si="81"/>
        <v>0</v>
      </c>
      <c r="DF36" s="9">
        <f t="shared" si="43"/>
        <v>0</v>
      </c>
      <c r="DG36" s="100"/>
      <c r="DH36" s="9"/>
      <c r="DI36" s="9"/>
      <c r="DJ36" s="9"/>
      <c r="DK36" s="9">
        <f t="shared" si="82"/>
        <v>0</v>
      </c>
      <c r="DL36" s="9">
        <f t="shared" si="44"/>
        <v>0</v>
      </c>
      <c r="DM36" s="9">
        <f t="shared" si="83"/>
        <v>60199.200000000004</v>
      </c>
      <c r="DN36" s="9">
        <f t="shared" si="45"/>
        <v>4.5381134506037393</v>
      </c>
      <c r="DO36" s="100">
        <v>0</v>
      </c>
      <c r="DP36" s="9">
        <f t="shared" si="46"/>
        <v>0</v>
      </c>
      <c r="DQ36" s="9">
        <f t="shared" si="84"/>
        <v>762750</v>
      </c>
      <c r="DR36" s="9">
        <f t="shared" si="47"/>
        <v>57.499867680102099</v>
      </c>
      <c r="DS36" s="100">
        <f>153*DS7</f>
        <v>38078.792999999998</v>
      </c>
      <c r="DT36" s="9">
        <f t="shared" si="48"/>
        <v>79.916641446636945</v>
      </c>
      <c r="DU36" s="9">
        <f t="shared" si="85"/>
        <v>284968.745</v>
      </c>
      <c r="DV36" s="9">
        <f t="shared" si="49"/>
        <v>21.482353497823343</v>
      </c>
      <c r="DW36" s="100"/>
      <c r="DX36" s="14">
        <f t="shared" si="50"/>
        <v>0</v>
      </c>
      <c r="DY36" s="9">
        <f t="shared" si="86"/>
        <v>0</v>
      </c>
      <c r="DZ36" s="9">
        <f t="shared" si="51"/>
        <v>0</v>
      </c>
      <c r="EA36" s="9">
        <f t="shared" si="87"/>
        <v>38078.792999999998</v>
      </c>
      <c r="EB36" s="9">
        <f t="shared" si="52"/>
        <v>79.916641446636945</v>
      </c>
      <c r="EC36" s="9">
        <f t="shared" si="88"/>
        <v>1047718.745</v>
      </c>
      <c r="ED36" s="9">
        <f t="shared" si="53"/>
        <v>78.982221177925453</v>
      </c>
      <c r="EE36" s="100"/>
      <c r="EF36" s="9">
        <f t="shared" si="54"/>
        <v>0</v>
      </c>
      <c r="EG36" s="9">
        <f t="shared" si="89"/>
        <v>0</v>
      </c>
      <c r="EH36" s="9">
        <f t="shared" si="55"/>
        <v>0</v>
      </c>
      <c r="EI36" s="9">
        <f t="shared" si="90"/>
        <v>47648.139750000002</v>
      </c>
      <c r="EJ36" s="9">
        <f t="shared" si="91"/>
        <v>1326524.7917500001</v>
      </c>
      <c r="EK36" s="9">
        <f t="shared" si="56"/>
        <v>1.2488046062115057</v>
      </c>
      <c r="EL36" s="9">
        <f t="shared" si="57"/>
        <v>1.0876274273357112</v>
      </c>
    </row>
    <row r="37" spans="1:142">
      <c r="A37" s="15">
        <f>+Chem!A37</f>
        <v>45958</v>
      </c>
      <c r="B37" s="5" t="str">
        <f>Chem!B37</f>
        <v>Facial</v>
      </c>
      <c r="C37" s="15" t="str">
        <f>Chem!C37</f>
        <v>12/13</v>
      </c>
      <c r="D37" s="7">
        <f>+Chem!D37</f>
        <v>45.185000000000002</v>
      </c>
      <c r="E37" s="6">
        <f>+Chem!E37</f>
        <v>40.47</v>
      </c>
      <c r="F37" s="6">
        <f t="shared" si="58"/>
        <v>1260.1199999999999</v>
      </c>
      <c r="G37" s="100"/>
      <c r="H37" s="9">
        <f t="shared" si="0"/>
        <v>0</v>
      </c>
      <c r="I37" s="7">
        <f t="shared" si="59"/>
        <v>0</v>
      </c>
      <c r="J37" s="9">
        <f t="shared" si="1"/>
        <v>0</v>
      </c>
      <c r="K37" s="100"/>
      <c r="L37" s="9">
        <f t="shared" si="2"/>
        <v>0</v>
      </c>
      <c r="M37" s="9">
        <f t="shared" si="60"/>
        <v>209037.5</v>
      </c>
      <c r="N37" s="9">
        <f t="shared" si="3"/>
        <v>15.218890331947129</v>
      </c>
      <c r="O37" s="100"/>
      <c r="P37" s="9">
        <f t="shared" si="4"/>
        <v>0</v>
      </c>
      <c r="Q37" s="9">
        <f t="shared" si="61"/>
        <v>0</v>
      </c>
      <c r="R37" s="9">
        <f t="shared" si="5"/>
        <v>0</v>
      </c>
      <c r="S37" s="100">
        <f>29.75*S7</f>
        <v>7442.8252499999999</v>
      </c>
      <c r="T37" s="9">
        <f t="shared" si="6"/>
        <v>15.830778279209193</v>
      </c>
      <c r="U37" s="9">
        <f t="shared" si="62"/>
        <v>17012.171999999999</v>
      </c>
      <c r="V37" s="9">
        <f t="shared" si="7"/>
        <v>1.2385642766308518</v>
      </c>
      <c r="W37" s="100"/>
      <c r="X37" s="9">
        <f t="shared" si="8"/>
        <v>0</v>
      </c>
      <c r="Y37" s="9">
        <f t="shared" si="63"/>
        <v>0</v>
      </c>
      <c r="Z37" s="9">
        <f t="shared" si="9"/>
        <v>0</v>
      </c>
      <c r="AA37" s="100"/>
      <c r="AB37" s="9">
        <f t="shared" si="10"/>
        <v>0</v>
      </c>
      <c r="AC37" s="9">
        <f t="shared" si="64"/>
        <v>0</v>
      </c>
      <c r="AD37" s="9">
        <f t="shared" si="11"/>
        <v>0</v>
      </c>
      <c r="AE37" s="100"/>
      <c r="AF37" s="9">
        <f t="shared" si="12"/>
        <v>0</v>
      </c>
      <c r="AG37" s="9">
        <f t="shared" si="65"/>
        <v>0</v>
      </c>
      <c r="AH37" s="9">
        <f t="shared" si="13"/>
        <v>0</v>
      </c>
      <c r="AI37" s="100"/>
      <c r="AJ37" s="9">
        <f t="shared" si="14"/>
        <v>0</v>
      </c>
      <c r="AK37" s="9">
        <f t="shared" si="66"/>
        <v>0</v>
      </c>
      <c r="AL37" s="9">
        <f t="shared" si="15"/>
        <v>0</v>
      </c>
      <c r="AM37" s="100"/>
      <c r="AN37" s="9">
        <f t="shared" si="16"/>
        <v>0</v>
      </c>
      <c r="AO37" s="9">
        <f t="shared" si="67"/>
        <v>0</v>
      </c>
      <c r="AP37" s="9">
        <f t="shared" si="17"/>
        <v>0</v>
      </c>
      <c r="AQ37" s="100"/>
      <c r="AR37" s="9">
        <f t="shared" si="18"/>
        <v>0</v>
      </c>
      <c r="AS37" s="9">
        <f t="shared" si="68"/>
        <v>0</v>
      </c>
      <c r="AT37" s="9">
        <f t="shared" si="19"/>
        <v>0</v>
      </c>
      <c r="AU37" s="252"/>
      <c r="AV37" s="9">
        <f t="shared" si="20"/>
        <v>0</v>
      </c>
      <c r="AW37" s="7">
        <f t="shared" si="69"/>
        <v>0</v>
      </c>
      <c r="AX37" s="9">
        <f t="shared" si="21"/>
        <v>0</v>
      </c>
      <c r="AY37" s="100"/>
      <c r="AZ37" s="9">
        <f t="shared" si="22"/>
        <v>0</v>
      </c>
      <c r="BA37" s="9">
        <f t="shared" si="70"/>
        <v>0</v>
      </c>
      <c r="BB37" s="9">
        <f t="shared" si="23"/>
        <v>0</v>
      </c>
      <c r="BC37" s="100"/>
      <c r="BD37" s="9">
        <f t="shared" si="24"/>
        <v>0</v>
      </c>
      <c r="BE37" s="9">
        <f t="shared" si="71"/>
        <v>0</v>
      </c>
      <c r="BF37" s="9">
        <f t="shared" si="25"/>
        <v>0</v>
      </c>
      <c r="BG37" s="100"/>
      <c r="BH37" s="9">
        <f t="shared" si="26"/>
        <v>0</v>
      </c>
      <c r="BI37" s="9">
        <f t="shared" si="72"/>
        <v>0</v>
      </c>
      <c r="BJ37" s="9">
        <f t="shared" si="27"/>
        <v>0</v>
      </c>
      <c r="BK37" s="100"/>
      <c r="BL37" s="9"/>
      <c r="BM37" s="9"/>
      <c r="BN37" s="9"/>
      <c r="BO37" s="100"/>
      <c r="BP37" s="9"/>
      <c r="BQ37" s="9"/>
      <c r="BR37" s="9"/>
      <c r="BS37" s="100"/>
      <c r="BT37" s="9"/>
      <c r="BU37" s="9"/>
      <c r="BV37" s="9"/>
      <c r="BW37" s="9">
        <f t="shared" si="73"/>
        <v>7442.8252499999999</v>
      </c>
      <c r="BX37" s="9">
        <f t="shared" si="28"/>
        <v>15.830778279209193</v>
      </c>
      <c r="BY37" s="9">
        <f t="shared" si="74"/>
        <v>226049.67199999999</v>
      </c>
      <c r="BZ37" s="9">
        <f t="shared" si="29"/>
        <v>16.457454608577983</v>
      </c>
      <c r="CA37" s="100"/>
      <c r="CB37" s="9"/>
      <c r="CC37" s="9"/>
      <c r="CD37" s="9"/>
      <c r="CE37" s="100"/>
      <c r="CF37" s="9">
        <f t="shared" si="30"/>
        <v>0</v>
      </c>
      <c r="CG37" s="9">
        <f t="shared" si="75"/>
        <v>0</v>
      </c>
      <c r="CH37" s="9">
        <f t="shared" si="31"/>
        <v>0</v>
      </c>
      <c r="CI37" s="100"/>
      <c r="CJ37" s="9">
        <f t="shared" si="32"/>
        <v>0</v>
      </c>
      <c r="CK37" s="9">
        <f t="shared" si="76"/>
        <v>0</v>
      </c>
      <c r="CL37" s="9">
        <f t="shared" si="33"/>
        <v>0</v>
      </c>
      <c r="CM37" s="100"/>
      <c r="CN37" s="9">
        <f t="shared" si="34"/>
        <v>0</v>
      </c>
      <c r="CO37" s="9">
        <f t="shared" si="77"/>
        <v>0</v>
      </c>
      <c r="CP37" s="9">
        <f t="shared" si="35"/>
        <v>0</v>
      </c>
      <c r="CQ37" s="100"/>
      <c r="CR37" s="9">
        <f t="shared" si="36"/>
        <v>0</v>
      </c>
      <c r="CS37" s="9">
        <f t="shared" si="78"/>
        <v>60199.200000000004</v>
      </c>
      <c r="CT37" s="9">
        <f t="shared" si="37"/>
        <v>4.3827783190621386</v>
      </c>
      <c r="CU37" s="100"/>
      <c r="CV37" s="9">
        <f t="shared" si="38"/>
        <v>0</v>
      </c>
      <c r="CW37" s="9">
        <f t="shared" si="79"/>
        <v>0</v>
      </c>
      <c r="CX37" s="9">
        <f t="shared" si="39"/>
        <v>0</v>
      </c>
      <c r="CY37" s="100"/>
      <c r="CZ37" s="9">
        <f t="shared" si="40"/>
        <v>0</v>
      </c>
      <c r="DA37" s="9">
        <f t="shared" si="80"/>
        <v>0</v>
      </c>
      <c r="DB37" s="9">
        <f t="shared" si="41"/>
        <v>0</v>
      </c>
      <c r="DC37" s="100"/>
      <c r="DD37" s="9">
        <f t="shared" si="42"/>
        <v>0</v>
      </c>
      <c r="DE37" s="9">
        <f t="shared" si="81"/>
        <v>0</v>
      </c>
      <c r="DF37" s="9">
        <f t="shared" si="43"/>
        <v>0</v>
      </c>
      <c r="DG37" s="100"/>
      <c r="DH37" s="9"/>
      <c r="DI37" s="9"/>
      <c r="DJ37" s="9"/>
      <c r="DK37" s="9">
        <f t="shared" si="82"/>
        <v>0</v>
      </c>
      <c r="DL37" s="9">
        <f t="shared" si="44"/>
        <v>0</v>
      </c>
      <c r="DM37" s="9">
        <f t="shared" si="83"/>
        <v>60199.200000000004</v>
      </c>
      <c r="DN37" s="9">
        <f t="shared" si="45"/>
        <v>4.3827783190621386</v>
      </c>
      <c r="DO37" s="100">
        <v>0</v>
      </c>
      <c r="DP37" s="9">
        <f t="shared" si="46"/>
        <v>0</v>
      </c>
      <c r="DQ37" s="9">
        <f t="shared" si="84"/>
        <v>762750</v>
      </c>
      <c r="DR37" s="9">
        <f t="shared" si="47"/>
        <v>55.531704123387783</v>
      </c>
      <c r="DS37" s="100">
        <f>159*DS7</f>
        <v>39572.078999999998</v>
      </c>
      <c r="DT37" s="9">
        <f t="shared" si="48"/>
        <v>84.169221720790802</v>
      </c>
      <c r="DU37" s="9">
        <f t="shared" si="85"/>
        <v>324540.82400000002</v>
      </c>
      <c r="DV37" s="9">
        <f t="shared" si="49"/>
        <v>23.628062948972101</v>
      </c>
      <c r="DW37" s="100"/>
      <c r="DX37" s="14">
        <f t="shared" si="50"/>
        <v>0</v>
      </c>
      <c r="DY37" s="9">
        <f t="shared" si="86"/>
        <v>0</v>
      </c>
      <c r="DZ37" s="9">
        <f t="shared" si="51"/>
        <v>0</v>
      </c>
      <c r="EA37" s="9">
        <f t="shared" si="87"/>
        <v>39572.078999999998</v>
      </c>
      <c r="EB37" s="9">
        <f t="shared" si="52"/>
        <v>84.169221720790802</v>
      </c>
      <c r="EC37" s="9">
        <f t="shared" si="88"/>
        <v>1087290.824</v>
      </c>
      <c r="ED37" s="9">
        <f t="shared" si="53"/>
        <v>79.15976707235987</v>
      </c>
      <c r="EE37" s="100"/>
      <c r="EF37" s="9">
        <f t="shared" si="54"/>
        <v>0</v>
      </c>
      <c r="EG37" s="9">
        <f t="shared" si="89"/>
        <v>0</v>
      </c>
      <c r="EH37" s="9">
        <f t="shared" si="55"/>
        <v>0</v>
      </c>
      <c r="EI37" s="9">
        <f t="shared" si="90"/>
        <v>47014.90425</v>
      </c>
      <c r="EJ37" s="9">
        <f t="shared" si="91"/>
        <v>1373539.696</v>
      </c>
      <c r="EK37" s="9">
        <f t="shared" si="56"/>
        <v>1.1617223684210527</v>
      </c>
      <c r="EL37" s="9">
        <f t="shared" si="57"/>
        <v>1.0900070596451132</v>
      </c>
    </row>
    <row r="38" spans="1:142">
      <c r="A38" s="15">
        <f>+Chem!A38</f>
        <v>45959</v>
      </c>
      <c r="B38" s="5" t="str">
        <f>Chem!B38</f>
        <v>Facial</v>
      </c>
      <c r="C38" s="15" t="str">
        <f>Chem!C38</f>
        <v>13/12</v>
      </c>
      <c r="D38" s="7">
        <f>+Chem!D38</f>
        <v>47.158999999999999</v>
      </c>
      <c r="E38" s="6">
        <f>+Chem!E38</f>
        <v>43.073999999999998</v>
      </c>
      <c r="F38" s="6">
        <f t="shared" si="58"/>
        <v>1303.194</v>
      </c>
      <c r="G38" s="100"/>
      <c r="H38" s="9">
        <f t="shared" si="0"/>
        <v>0</v>
      </c>
      <c r="I38" s="7">
        <f t="shared" si="59"/>
        <v>0</v>
      </c>
      <c r="J38" s="9">
        <f t="shared" si="1"/>
        <v>0</v>
      </c>
      <c r="K38" s="100"/>
      <c r="L38" s="9">
        <f t="shared" si="2"/>
        <v>0</v>
      </c>
      <c r="M38" s="9">
        <f t="shared" si="60"/>
        <v>209037.5</v>
      </c>
      <c r="N38" s="9">
        <f t="shared" si="3"/>
        <v>14.778073959769747</v>
      </c>
      <c r="O38" s="100"/>
      <c r="P38" s="9">
        <f t="shared" si="4"/>
        <v>0</v>
      </c>
      <c r="Q38" s="9">
        <f t="shared" si="61"/>
        <v>0</v>
      </c>
      <c r="R38" s="9">
        <f t="shared" si="5"/>
        <v>0</v>
      </c>
      <c r="S38" s="100">
        <f>23.5*S7</f>
        <v>5879.2065000000002</v>
      </c>
      <c r="T38" s="9">
        <f t="shared" si="6"/>
        <v>14.349528094914438</v>
      </c>
      <c r="U38" s="9">
        <f t="shared" si="62"/>
        <v>22891.378499999999</v>
      </c>
      <c r="V38" s="9">
        <f t="shared" si="7"/>
        <v>1.6183243892319947</v>
      </c>
      <c r="W38" s="100"/>
      <c r="X38" s="9">
        <f t="shared" si="8"/>
        <v>0</v>
      </c>
      <c r="Y38" s="9">
        <f t="shared" si="63"/>
        <v>0</v>
      </c>
      <c r="Z38" s="9">
        <f t="shared" si="9"/>
        <v>0</v>
      </c>
      <c r="AA38" s="100"/>
      <c r="AB38" s="9">
        <f t="shared" si="10"/>
        <v>0</v>
      </c>
      <c r="AC38" s="9">
        <f t="shared" si="64"/>
        <v>0</v>
      </c>
      <c r="AD38" s="9">
        <f t="shared" si="11"/>
        <v>0</v>
      </c>
      <c r="AE38" s="100"/>
      <c r="AF38" s="9">
        <f t="shared" si="12"/>
        <v>0</v>
      </c>
      <c r="AG38" s="9">
        <f t="shared" si="65"/>
        <v>0</v>
      </c>
      <c r="AH38" s="9">
        <f t="shared" si="13"/>
        <v>0</v>
      </c>
      <c r="AI38" s="100"/>
      <c r="AJ38" s="9">
        <f t="shared" si="14"/>
        <v>0</v>
      </c>
      <c r="AK38" s="9">
        <f t="shared" si="66"/>
        <v>0</v>
      </c>
      <c r="AL38" s="9">
        <f t="shared" si="15"/>
        <v>0</v>
      </c>
      <c r="AM38" s="100"/>
      <c r="AN38" s="9">
        <f t="shared" si="16"/>
        <v>0</v>
      </c>
      <c r="AO38" s="9">
        <f t="shared" si="67"/>
        <v>0</v>
      </c>
      <c r="AP38" s="9">
        <f t="shared" si="17"/>
        <v>0</v>
      </c>
      <c r="AQ38" s="100"/>
      <c r="AR38" s="9">
        <f t="shared" si="18"/>
        <v>0</v>
      </c>
      <c r="AS38" s="9">
        <f t="shared" si="68"/>
        <v>0</v>
      </c>
      <c r="AT38" s="9">
        <f t="shared" si="19"/>
        <v>0</v>
      </c>
      <c r="AU38" s="252"/>
      <c r="AV38" s="9">
        <f t="shared" si="20"/>
        <v>0</v>
      </c>
      <c r="AW38" s="7">
        <f t="shared" si="69"/>
        <v>0</v>
      </c>
      <c r="AX38" s="9">
        <f t="shared" si="21"/>
        <v>0</v>
      </c>
      <c r="AY38" s="100"/>
      <c r="AZ38" s="9">
        <f t="shared" si="22"/>
        <v>0</v>
      </c>
      <c r="BA38" s="9">
        <f t="shared" si="70"/>
        <v>0</v>
      </c>
      <c r="BB38" s="9">
        <f t="shared" si="23"/>
        <v>0</v>
      </c>
      <c r="BC38" s="100"/>
      <c r="BD38" s="9">
        <f t="shared" si="24"/>
        <v>0</v>
      </c>
      <c r="BE38" s="9">
        <f t="shared" si="71"/>
        <v>0</v>
      </c>
      <c r="BF38" s="9">
        <f t="shared" si="25"/>
        <v>0</v>
      </c>
      <c r="BG38" s="100"/>
      <c r="BH38" s="9">
        <f t="shared" si="26"/>
        <v>0</v>
      </c>
      <c r="BI38" s="9">
        <f t="shared" si="72"/>
        <v>0</v>
      </c>
      <c r="BJ38" s="9">
        <f t="shared" si="27"/>
        <v>0</v>
      </c>
      <c r="BK38" s="100"/>
      <c r="BL38" s="9"/>
      <c r="BM38" s="9"/>
      <c r="BN38" s="9"/>
      <c r="BO38" s="100"/>
      <c r="BP38" s="9"/>
      <c r="BQ38" s="9"/>
      <c r="BR38" s="9"/>
      <c r="BS38" s="100"/>
      <c r="BT38" s="9"/>
      <c r="BU38" s="9"/>
      <c r="BV38" s="9"/>
      <c r="BW38" s="9">
        <f t="shared" si="73"/>
        <v>5879.2065000000002</v>
      </c>
      <c r="BX38" s="9">
        <f t="shared" si="28"/>
        <v>14.349528094914438</v>
      </c>
      <c r="BY38" s="9">
        <f t="shared" si="74"/>
        <v>231928.87849999999</v>
      </c>
      <c r="BZ38" s="9">
        <f t="shared" si="29"/>
        <v>16.396398349001743</v>
      </c>
      <c r="CA38" s="100"/>
      <c r="CB38" s="9"/>
      <c r="CC38" s="9"/>
      <c r="CD38" s="9"/>
      <c r="CE38" s="100"/>
      <c r="CF38" s="9">
        <f t="shared" si="30"/>
        <v>0</v>
      </c>
      <c r="CG38" s="9">
        <f t="shared" si="75"/>
        <v>0</v>
      </c>
      <c r="CH38" s="9">
        <f t="shared" si="31"/>
        <v>0</v>
      </c>
      <c r="CI38" s="100"/>
      <c r="CJ38" s="9">
        <f t="shared" si="32"/>
        <v>0</v>
      </c>
      <c r="CK38" s="9">
        <f t="shared" si="76"/>
        <v>0</v>
      </c>
      <c r="CL38" s="9">
        <f t="shared" si="33"/>
        <v>0</v>
      </c>
      <c r="CM38" s="100"/>
      <c r="CN38" s="9">
        <f t="shared" si="34"/>
        <v>0</v>
      </c>
      <c r="CO38" s="9">
        <f t="shared" si="77"/>
        <v>0</v>
      </c>
      <c r="CP38" s="9">
        <f t="shared" si="35"/>
        <v>0</v>
      </c>
      <c r="CQ38" s="100"/>
      <c r="CR38" s="9">
        <f t="shared" si="36"/>
        <v>0</v>
      </c>
      <c r="CS38" s="9">
        <f t="shared" si="78"/>
        <v>60199.200000000004</v>
      </c>
      <c r="CT38" s="9">
        <f t="shared" si="37"/>
        <v>4.2558307955221961</v>
      </c>
      <c r="CU38" s="100"/>
      <c r="CV38" s="9">
        <f t="shared" si="38"/>
        <v>0</v>
      </c>
      <c r="CW38" s="9">
        <f t="shared" si="79"/>
        <v>0</v>
      </c>
      <c r="CX38" s="9">
        <f t="shared" si="39"/>
        <v>0</v>
      </c>
      <c r="CY38" s="100"/>
      <c r="CZ38" s="9">
        <f t="shared" si="40"/>
        <v>0</v>
      </c>
      <c r="DA38" s="9">
        <f t="shared" si="80"/>
        <v>0</v>
      </c>
      <c r="DB38" s="9">
        <f t="shared" si="41"/>
        <v>0</v>
      </c>
      <c r="DC38" s="100"/>
      <c r="DD38" s="9">
        <f t="shared" si="42"/>
        <v>0</v>
      </c>
      <c r="DE38" s="9">
        <f t="shared" si="81"/>
        <v>0</v>
      </c>
      <c r="DF38" s="9">
        <f t="shared" si="43"/>
        <v>0</v>
      </c>
      <c r="DG38" s="100"/>
      <c r="DH38" s="9"/>
      <c r="DI38" s="9"/>
      <c r="DJ38" s="9"/>
      <c r="DK38" s="9">
        <f t="shared" si="82"/>
        <v>0</v>
      </c>
      <c r="DL38" s="9">
        <f t="shared" si="44"/>
        <v>0</v>
      </c>
      <c r="DM38" s="9">
        <f t="shared" si="83"/>
        <v>60199.200000000004</v>
      </c>
      <c r="DN38" s="9">
        <f t="shared" si="45"/>
        <v>4.2558307955221961</v>
      </c>
      <c r="DO38" s="100"/>
      <c r="DP38" s="9">
        <f t="shared" si="46"/>
        <v>0</v>
      </c>
      <c r="DQ38" s="9">
        <f t="shared" si="84"/>
        <v>762750</v>
      </c>
      <c r="DR38" s="9">
        <f t="shared" si="47"/>
        <v>53.923223884778452</v>
      </c>
      <c r="DS38" s="100">
        <f>141*DS7</f>
        <v>35092.220999999998</v>
      </c>
      <c r="DT38" s="9">
        <f t="shared" si="48"/>
        <v>85.650471905085553</v>
      </c>
      <c r="DU38" s="9">
        <f t="shared" si="85"/>
        <v>359633.04500000004</v>
      </c>
      <c r="DV38" s="9">
        <f t="shared" si="49"/>
        <v>25.424546970697616</v>
      </c>
      <c r="DW38" s="100"/>
      <c r="DX38" s="14">
        <f t="shared" si="50"/>
        <v>0</v>
      </c>
      <c r="DY38" s="9">
        <f t="shared" si="86"/>
        <v>0</v>
      </c>
      <c r="DZ38" s="9">
        <f t="shared" si="51"/>
        <v>0</v>
      </c>
      <c r="EA38" s="9">
        <f t="shared" si="87"/>
        <v>35092.220999999998</v>
      </c>
      <c r="EB38" s="9">
        <f t="shared" si="52"/>
        <v>85.650471905085553</v>
      </c>
      <c r="EC38" s="9">
        <f t="shared" si="88"/>
        <v>1122383.0449999999</v>
      </c>
      <c r="ED38" s="9">
        <f t="shared" si="53"/>
        <v>79.347770855476057</v>
      </c>
      <c r="EE38" s="100"/>
      <c r="EF38" s="9">
        <f t="shared" si="54"/>
        <v>0</v>
      </c>
      <c r="EG38" s="9">
        <f t="shared" si="89"/>
        <v>0</v>
      </c>
      <c r="EH38" s="9">
        <f t="shared" si="55"/>
        <v>0</v>
      </c>
      <c r="EI38" s="9">
        <f t="shared" si="90"/>
        <v>40971.427499999998</v>
      </c>
      <c r="EJ38" s="9">
        <f t="shared" si="91"/>
        <v>1414511.1235</v>
      </c>
      <c r="EK38" s="9">
        <f t="shared" si="56"/>
        <v>0.95118696893717791</v>
      </c>
      <c r="EL38" s="9">
        <f t="shared" si="57"/>
        <v>1.0854186893893005</v>
      </c>
    </row>
    <row r="39" spans="1:142">
      <c r="A39" s="15">
        <f>+Chem!A39</f>
        <v>45960</v>
      </c>
      <c r="B39" s="5" t="str">
        <f>Chem!B39</f>
        <v>Facial/Toilet</v>
      </c>
      <c r="C39" s="15" t="str">
        <f>Chem!C39</f>
        <v>12/12,5</v>
      </c>
      <c r="D39" s="7">
        <f>+Chem!D39</f>
        <v>48.623000000000005</v>
      </c>
      <c r="E39" s="6">
        <f>+Chem!E39</f>
        <v>38.984000000000002</v>
      </c>
      <c r="F39" s="6">
        <f t="shared" si="58"/>
        <v>1342.1779999999999</v>
      </c>
      <c r="G39" s="100"/>
      <c r="H39" s="9">
        <f t="shared" si="0"/>
        <v>0</v>
      </c>
      <c r="I39" s="7">
        <f t="shared" si="59"/>
        <v>0</v>
      </c>
      <c r="J39" s="9">
        <f t="shared" si="1"/>
        <v>0</v>
      </c>
      <c r="K39" s="100"/>
      <c r="L39" s="9">
        <f t="shared" si="2"/>
        <v>0</v>
      </c>
      <c r="M39" s="9">
        <f t="shared" si="60"/>
        <v>209037.5</v>
      </c>
      <c r="N39" s="9">
        <f t="shared" si="3"/>
        <v>14.327750012750268</v>
      </c>
      <c r="O39" s="100"/>
      <c r="P39" s="9">
        <f t="shared" si="4"/>
        <v>0</v>
      </c>
      <c r="Q39" s="9">
        <f t="shared" si="61"/>
        <v>0</v>
      </c>
      <c r="R39" s="9">
        <f t="shared" si="5"/>
        <v>0</v>
      </c>
      <c r="S39" s="100">
        <f>25.5*S7</f>
        <v>6379.5645000000004</v>
      </c>
      <c r="T39" s="9">
        <f t="shared" si="6"/>
        <v>14.34952809491444</v>
      </c>
      <c r="U39" s="9">
        <f t="shared" si="62"/>
        <v>29270.942999999999</v>
      </c>
      <c r="V39" s="9">
        <f t="shared" si="7"/>
        <v>2.0062752087135673</v>
      </c>
      <c r="W39" s="100"/>
      <c r="X39" s="9">
        <f t="shared" si="8"/>
        <v>0</v>
      </c>
      <c r="Y39" s="9">
        <f t="shared" si="63"/>
        <v>0</v>
      </c>
      <c r="Z39" s="9">
        <f t="shared" si="9"/>
        <v>0</v>
      </c>
      <c r="AA39" s="100"/>
      <c r="AB39" s="9">
        <f t="shared" si="10"/>
        <v>0</v>
      </c>
      <c r="AC39" s="9">
        <f t="shared" si="64"/>
        <v>0</v>
      </c>
      <c r="AD39" s="9">
        <f t="shared" si="11"/>
        <v>0</v>
      </c>
      <c r="AE39" s="100"/>
      <c r="AF39" s="9">
        <f t="shared" si="12"/>
        <v>0</v>
      </c>
      <c r="AG39" s="9">
        <f t="shared" si="65"/>
        <v>0</v>
      </c>
      <c r="AH39" s="9">
        <f t="shared" si="13"/>
        <v>0</v>
      </c>
      <c r="AI39" s="100"/>
      <c r="AJ39" s="9">
        <f t="shared" si="14"/>
        <v>0</v>
      </c>
      <c r="AK39" s="9">
        <f t="shared" si="66"/>
        <v>0</v>
      </c>
      <c r="AL39" s="9">
        <f t="shared" si="15"/>
        <v>0</v>
      </c>
      <c r="AM39" s="100"/>
      <c r="AN39" s="9">
        <f t="shared" si="16"/>
        <v>0</v>
      </c>
      <c r="AO39" s="9">
        <f t="shared" si="67"/>
        <v>0</v>
      </c>
      <c r="AP39" s="9">
        <f t="shared" si="17"/>
        <v>0</v>
      </c>
      <c r="AQ39" s="100"/>
      <c r="AR39" s="9">
        <f t="shared" si="18"/>
        <v>0</v>
      </c>
      <c r="AS39" s="9">
        <f t="shared" si="68"/>
        <v>0</v>
      </c>
      <c r="AT39" s="9">
        <f t="shared" si="19"/>
        <v>0</v>
      </c>
      <c r="AU39" s="252"/>
      <c r="AV39" s="9">
        <f t="shared" si="20"/>
        <v>0</v>
      </c>
      <c r="AW39" s="7">
        <f t="shared" si="69"/>
        <v>0</v>
      </c>
      <c r="AX39" s="9">
        <f t="shared" si="21"/>
        <v>0</v>
      </c>
      <c r="AY39" s="100"/>
      <c r="AZ39" s="9">
        <f t="shared" si="22"/>
        <v>0</v>
      </c>
      <c r="BA39" s="9">
        <f t="shared" si="70"/>
        <v>0</v>
      </c>
      <c r="BB39" s="9">
        <f t="shared" si="23"/>
        <v>0</v>
      </c>
      <c r="BC39" s="100"/>
      <c r="BD39" s="9">
        <f t="shared" si="24"/>
        <v>0</v>
      </c>
      <c r="BE39" s="9">
        <f t="shared" si="71"/>
        <v>0</v>
      </c>
      <c r="BF39" s="9">
        <f t="shared" si="25"/>
        <v>0</v>
      </c>
      <c r="BG39" s="100"/>
      <c r="BH39" s="9">
        <f t="shared" si="26"/>
        <v>0</v>
      </c>
      <c r="BI39" s="9">
        <f t="shared" si="72"/>
        <v>0</v>
      </c>
      <c r="BJ39" s="9">
        <f t="shared" si="27"/>
        <v>0</v>
      </c>
      <c r="BK39" s="100"/>
      <c r="BL39" s="9"/>
      <c r="BM39" s="9"/>
      <c r="BN39" s="9"/>
      <c r="BO39" s="100"/>
      <c r="BP39" s="9"/>
      <c r="BQ39" s="9"/>
      <c r="BR39" s="9"/>
      <c r="BS39" s="100"/>
      <c r="BT39" s="9"/>
      <c r="BU39" s="9"/>
      <c r="BV39" s="9"/>
      <c r="BW39" s="9">
        <f t="shared" si="73"/>
        <v>6379.5645000000004</v>
      </c>
      <c r="BX39" s="9">
        <f t="shared" si="28"/>
        <v>14.34952809491444</v>
      </c>
      <c r="BY39" s="9">
        <f t="shared" si="74"/>
        <v>238308.443</v>
      </c>
      <c r="BZ39" s="9">
        <f t="shared" si="29"/>
        <v>16.334025221463836</v>
      </c>
      <c r="CA39" s="100"/>
      <c r="CB39" s="9"/>
      <c r="CC39" s="9"/>
      <c r="CD39" s="9"/>
      <c r="CE39" s="100"/>
      <c r="CF39" s="9">
        <f t="shared" si="30"/>
        <v>0</v>
      </c>
      <c r="CG39" s="9">
        <f t="shared" si="75"/>
        <v>0</v>
      </c>
      <c r="CH39" s="9">
        <f t="shared" si="31"/>
        <v>0</v>
      </c>
      <c r="CI39" s="100"/>
      <c r="CJ39" s="9">
        <f t="shared" si="32"/>
        <v>0</v>
      </c>
      <c r="CK39" s="9">
        <f t="shared" si="76"/>
        <v>0</v>
      </c>
      <c r="CL39" s="9">
        <f t="shared" si="33"/>
        <v>0</v>
      </c>
      <c r="CM39" s="100"/>
      <c r="CN39" s="9">
        <f t="shared" si="34"/>
        <v>0</v>
      </c>
      <c r="CO39" s="9">
        <f t="shared" si="77"/>
        <v>0</v>
      </c>
      <c r="CP39" s="9">
        <f t="shared" si="35"/>
        <v>0</v>
      </c>
      <c r="CQ39" s="100"/>
      <c r="CR39" s="9">
        <f t="shared" si="36"/>
        <v>0</v>
      </c>
      <c r="CS39" s="9">
        <f t="shared" si="78"/>
        <v>60199.200000000004</v>
      </c>
      <c r="CT39" s="9">
        <f t="shared" si="37"/>
        <v>4.1261452541651904</v>
      </c>
      <c r="CU39" s="100"/>
      <c r="CV39" s="9">
        <f t="shared" si="38"/>
        <v>0</v>
      </c>
      <c r="CW39" s="9">
        <f t="shared" si="79"/>
        <v>0</v>
      </c>
      <c r="CX39" s="9">
        <f t="shared" si="39"/>
        <v>0</v>
      </c>
      <c r="CY39" s="100"/>
      <c r="CZ39" s="9">
        <f t="shared" si="40"/>
        <v>0</v>
      </c>
      <c r="DA39" s="9">
        <f t="shared" si="80"/>
        <v>0</v>
      </c>
      <c r="DB39" s="9">
        <f t="shared" si="41"/>
        <v>0</v>
      </c>
      <c r="DC39" s="100"/>
      <c r="DD39" s="9">
        <f t="shared" si="42"/>
        <v>0</v>
      </c>
      <c r="DE39" s="9">
        <f t="shared" si="81"/>
        <v>0</v>
      </c>
      <c r="DF39" s="9">
        <f t="shared" si="43"/>
        <v>0</v>
      </c>
      <c r="DG39" s="100"/>
      <c r="DH39" s="9"/>
      <c r="DI39" s="9"/>
      <c r="DJ39" s="9"/>
      <c r="DK39" s="9">
        <f t="shared" si="82"/>
        <v>0</v>
      </c>
      <c r="DL39" s="9">
        <f t="shared" si="44"/>
        <v>0</v>
      </c>
      <c r="DM39" s="9">
        <f t="shared" si="83"/>
        <v>60199.200000000004</v>
      </c>
      <c r="DN39" s="9">
        <f t="shared" si="45"/>
        <v>4.1261452541651904</v>
      </c>
      <c r="DO39" s="100"/>
      <c r="DP39" s="9">
        <f t="shared" si="46"/>
        <v>0</v>
      </c>
      <c r="DQ39" s="9">
        <f t="shared" si="84"/>
        <v>762750</v>
      </c>
      <c r="DR39" s="9">
        <f t="shared" si="47"/>
        <v>52.28005177169296</v>
      </c>
      <c r="DS39" s="100">
        <f>153*DS7</f>
        <v>38078.792999999998</v>
      </c>
      <c r="DT39" s="9">
        <f t="shared" si="48"/>
        <v>85.650471905085553</v>
      </c>
      <c r="DU39" s="9">
        <f t="shared" si="85"/>
        <v>397711.83800000005</v>
      </c>
      <c r="DV39" s="9">
        <f t="shared" si="49"/>
        <v>27.259777752678026</v>
      </c>
      <c r="DW39" s="100"/>
      <c r="DX39" s="14">
        <f t="shared" si="50"/>
        <v>0</v>
      </c>
      <c r="DY39" s="9">
        <f t="shared" si="86"/>
        <v>0</v>
      </c>
      <c r="DZ39" s="9">
        <f t="shared" si="51"/>
        <v>0</v>
      </c>
      <c r="EA39" s="9">
        <f t="shared" si="87"/>
        <v>38078.792999999998</v>
      </c>
      <c r="EB39" s="9">
        <f t="shared" si="52"/>
        <v>85.650471905085553</v>
      </c>
      <c r="EC39" s="9">
        <f t="shared" si="88"/>
        <v>1160461.838</v>
      </c>
      <c r="ED39" s="9">
        <f t="shared" si="53"/>
        <v>79.539829524370973</v>
      </c>
      <c r="EE39" s="100"/>
      <c r="EF39" s="9">
        <f t="shared" si="54"/>
        <v>0</v>
      </c>
      <c r="EG39" s="9">
        <f t="shared" si="89"/>
        <v>0</v>
      </c>
      <c r="EH39" s="9">
        <f t="shared" si="55"/>
        <v>0</v>
      </c>
      <c r="EI39" s="9">
        <f t="shared" si="90"/>
        <v>44458.357499999998</v>
      </c>
      <c r="EJ39" s="9">
        <f t="shared" si="91"/>
        <v>1458969.4809999999</v>
      </c>
      <c r="EK39" s="9">
        <f t="shared" si="56"/>
        <v>1.1404257515903959</v>
      </c>
      <c r="EL39" s="9">
        <f t="shared" si="57"/>
        <v>1.0870163875432319</v>
      </c>
    </row>
    <row r="40" spans="1:142">
      <c r="A40" s="15">
        <f>+Chem!A40</f>
        <v>45961</v>
      </c>
      <c r="B40" s="5" t="str">
        <f>Chem!B40</f>
        <v>Toilet</v>
      </c>
      <c r="C40" s="15" t="str">
        <f>Chem!C40</f>
        <v>12,5/13</v>
      </c>
      <c r="D40" s="7">
        <f>+Chem!D40</f>
        <v>50.302</v>
      </c>
      <c r="E40" s="6">
        <f>+Chem!E40</f>
        <v>45.201999999999998</v>
      </c>
      <c r="F40" s="6">
        <f t="shared" ref="F40" si="92">+E40+F39</f>
        <v>1387.3799999999999</v>
      </c>
      <c r="G40" s="100"/>
      <c r="H40" s="9">
        <f t="shared" ref="H40" si="93">G40/EI40*100</f>
        <v>0</v>
      </c>
      <c r="I40" s="7">
        <f t="shared" ref="I40" si="94">G40+I39</f>
        <v>0</v>
      </c>
      <c r="J40" s="9">
        <f t="shared" ref="J40" si="95">I40/EJ40*100</f>
        <v>0</v>
      </c>
      <c r="K40" s="100"/>
      <c r="L40" s="9">
        <f t="shared" ref="L40" si="96">+K40/EI40*100</f>
        <v>0</v>
      </c>
      <c r="M40" s="9">
        <f t="shared" ref="M40" si="97">+K40+M39</f>
        <v>209037.5</v>
      </c>
      <c r="N40" s="9">
        <f t="shared" ref="N40" si="98">+M40/EJ40*100</f>
        <v>13.885265834014341</v>
      </c>
      <c r="O40" s="100"/>
      <c r="P40" s="9">
        <f t="shared" ref="P40" si="99">+O40/EI40*100</f>
        <v>0</v>
      </c>
      <c r="Q40" s="9">
        <f t="shared" ref="Q40" si="100">+O40+Q39</f>
        <v>0</v>
      </c>
      <c r="R40" s="9">
        <f t="shared" ref="R40" si="101">+Q40/EJ40*100</f>
        <v>0</v>
      </c>
      <c r="S40" s="100">
        <f>26.67*S7</f>
        <v>6672.2739300000003</v>
      </c>
      <c r="T40" s="9">
        <f t="shared" ref="T40" si="102">+S40/EI40*100</f>
        <v>14.351064372174552</v>
      </c>
      <c r="U40" s="9">
        <f t="shared" ref="U40" si="103">+S40+U39</f>
        <v>35943.216930000002</v>
      </c>
      <c r="V40" s="9">
        <f t="shared" ref="V40" si="104">+U40/EJ40*100</f>
        <v>2.3875195694681328</v>
      </c>
      <c r="W40" s="100"/>
      <c r="X40" s="9">
        <f t="shared" ref="X40" si="105">+W40/EI40*100</f>
        <v>0</v>
      </c>
      <c r="Y40" s="9">
        <f t="shared" ref="Y40" si="106">+W40+Y39</f>
        <v>0</v>
      </c>
      <c r="Z40" s="9">
        <f t="shared" ref="Z40" si="107">+Y40/EJ40*100</f>
        <v>0</v>
      </c>
      <c r="AA40" s="100"/>
      <c r="AB40" s="9">
        <f t="shared" ref="AB40" si="108">AA40/EI40*100</f>
        <v>0</v>
      </c>
      <c r="AC40" s="9">
        <f t="shared" ref="AC40" si="109">AA40+AC39</f>
        <v>0</v>
      </c>
      <c r="AD40" s="9">
        <f t="shared" ref="AD40" si="110">AC40/EJ40*100</f>
        <v>0</v>
      </c>
      <c r="AE40" s="100"/>
      <c r="AF40" s="9">
        <f t="shared" ref="AF40" si="111">+AE40/EI40*100</f>
        <v>0</v>
      </c>
      <c r="AG40" s="9">
        <f t="shared" ref="AG40" si="112">+AE40+AG39</f>
        <v>0</v>
      </c>
      <c r="AH40" s="9">
        <f t="shared" ref="AH40" si="113">+AG40/EJ40*100</f>
        <v>0</v>
      </c>
      <c r="AI40" s="100"/>
      <c r="AJ40" s="9">
        <f t="shared" ref="AJ40" si="114">AI40/EI40*100</f>
        <v>0</v>
      </c>
      <c r="AK40" s="9">
        <f t="shared" ref="AK40" si="115">AI40+AK39</f>
        <v>0</v>
      </c>
      <c r="AL40" s="9">
        <f t="shared" ref="AL40" si="116">AK40/EJ40*100</f>
        <v>0</v>
      </c>
      <c r="AM40" s="100"/>
      <c r="AN40" s="9">
        <f t="shared" ref="AN40" si="117">AM40/EI40*100</f>
        <v>0</v>
      </c>
      <c r="AO40" s="9">
        <f t="shared" ref="AO40" si="118">+AM40+AO39</f>
        <v>0</v>
      </c>
      <c r="AP40" s="9">
        <f t="shared" ref="AP40" si="119">+AO40/EJ40*100</f>
        <v>0</v>
      </c>
      <c r="AQ40" s="100"/>
      <c r="AR40" s="9">
        <f t="shared" ref="AR40" si="120">AQ40/EI40*100</f>
        <v>0</v>
      </c>
      <c r="AS40" s="9">
        <f t="shared" ref="AS40" si="121">AQ40+AS39</f>
        <v>0</v>
      </c>
      <c r="AT40" s="9">
        <f t="shared" ref="AT40" si="122">AS40/EJ40*100</f>
        <v>0</v>
      </c>
      <c r="AU40" s="252"/>
      <c r="AV40" s="9">
        <f t="shared" ref="AV40" si="123">AU40/EI40*100</f>
        <v>0</v>
      </c>
      <c r="AW40" s="7">
        <f t="shared" ref="AW40" si="124">AU40+AW39</f>
        <v>0</v>
      </c>
      <c r="AX40" s="9">
        <f t="shared" ref="AX40" si="125">AW40/EJ40*100</f>
        <v>0</v>
      </c>
      <c r="AY40" s="100"/>
      <c r="AZ40" s="9">
        <f t="shared" ref="AZ40" si="126">AY40/EI40*100</f>
        <v>0</v>
      </c>
      <c r="BA40" s="9">
        <f t="shared" ref="BA40" si="127">AY40+BA39</f>
        <v>0</v>
      </c>
      <c r="BB40" s="9">
        <f t="shared" ref="BB40" si="128">BA40/EJ40*100</f>
        <v>0</v>
      </c>
      <c r="BC40" s="100"/>
      <c r="BD40" s="9">
        <f t="shared" ref="BD40" si="129">BC40/EI40*100</f>
        <v>0</v>
      </c>
      <c r="BE40" s="9">
        <f t="shared" ref="BE40" si="130">BC40+BE39</f>
        <v>0</v>
      </c>
      <c r="BF40" s="9">
        <f t="shared" ref="BF40" si="131">BE40/EJ40*100</f>
        <v>0</v>
      </c>
      <c r="BG40" s="100"/>
      <c r="BH40" s="9">
        <f t="shared" ref="BH40" si="132">BG40/EI40*100</f>
        <v>0</v>
      </c>
      <c r="BI40" s="9">
        <f t="shared" ref="BI40" si="133">BG40+BI39</f>
        <v>0</v>
      </c>
      <c r="BJ40" s="9">
        <f t="shared" ref="BJ40" si="134">BI40/EJ40*100</f>
        <v>0</v>
      </c>
      <c r="BK40" s="100"/>
      <c r="BL40" s="9"/>
      <c r="BM40" s="9"/>
      <c r="BN40" s="9"/>
      <c r="BO40" s="100"/>
      <c r="BP40" s="9"/>
      <c r="BQ40" s="9"/>
      <c r="BR40" s="9"/>
      <c r="BS40" s="100"/>
      <c r="BT40" s="9"/>
      <c r="BU40" s="9"/>
      <c r="BV40" s="9"/>
      <c r="BW40" s="9">
        <f t="shared" ref="BW40" si="135">G40+AY40+BK40+BG40+BS40+BO40+AU40+AI40+BC40+AQ40+AA40+AM40+AE40+K40+W40+S40+O40</f>
        <v>6672.2739300000003</v>
      </c>
      <c r="BX40" s="9">
        <f t="shared" ref="BX40" si="136">BW40/EI40*100</f>
        <v>14.351064372174552</v>
      </c>
      <c r="BY40" s="9">
        <f t="shared" ref="BY40" si="137">BW40+BY39</f>
        <v>244980.71693</v>
      </c>
      <c r="BZ40" s="9">
        <f t="shared" ref="BZ40" si="138">BY40/EJ40*100</f>
        <v>16.272785403482473</v>
      </c>
      <c r="CA40" s="100"/>
      <c r="CB40" s="9"/>
      <c r="CC40" s="9"/>
      <c r="CD40" s="9"/>
      <c r="CE40" s="100"/>
      <c r="CF40" s="9">
        <f t="shared" ref="CF40" si="139">CE40/EI40*100</f>
        <v>0</v>
      </c>
      <c r="CG40" s="9">
        <f t="shared" ref="CG40" si="140">CE40+CG39</f>
        <v>0</v>
      </c>
      <c r="CH40" s="9">
        <f t="shared" ref="CH40" si="141">CG40/EJ40*100</f>
        <v>0</v>
      </c>
      <c r="CI40" s="100"/>
      <c r="CJ40" s="9">
        <f t="shared" ref="CJ40" si="142">CI40/EI40*100</f>
        <v>0</v>
      </c>
      <c r="CK40" s="9">
        <f t="shared" ref="CK40" si="143">CI40+CK39</f>
        <v>0</v>
      </c>
      <c r="CL40" s="9">
        <f t="shared" ref="CL40" si="144">CK40/EJ40*100</f>
        <v>0</v>
      </c>
      <c r="CM40" s="100"/>
      <c r="CN40" s="9">
        <f t="shared" ref="CN40" si="145">CM40/EI40*100</f>
        <v>0</v>
      </c>
      <c r="CO40" s="9">
        <f t="shared" ref="CO40" si="146">CM40+CO39</f>
        <v>0</v>
      </c>
      <c r="CP40" s="9">
        <f t="shared" ref="CP40" si="147">CO40/EJ40*100</f>
        <v>0</v>
      </c>
      <c r="CQ40" s="100"/>
      <c r="CR40" s="9">
        <f t="shared" ref="CR40" si="148">CQ40/EI40*100</f>
        <v>0</v>
      </c>
      <c r="CS40" s="9">
        <f t="shared" ref="CS40" si="149">CQ40+CS39</f>
        <v>60199.200000000004</v>
      </c>
      <c r="CT40" s="9">
        <f t="shared" ref="CT40" si="150">CS40/EJ40*100</f>
        <v>3.9987174310590019</v>
      </c>
      <c r="CU40" s="100"/>
      <c r="CV40" s="9">
        <f t="shared" ref="CV40" si="151">CU40/EI40*100</f>
        <v>0</v>
      </c>
      <c r="CW40" s="9">
        <f t="shared" ref="CW40" si="152">CU40+CW39</f>
        <v>0</v>
      </c>
      <c r="CX40" s="9">
        <f t="shared" ref="CX40" si="153">CW40/EJ40*100</f>
        <v>0</v>
      </c>
      <c r="CY40" s="100"/>
      <c r="CZ40" s="9">
        <f t="shared" ref="CZ40" si="154">CY40/EI40*100</f>
        <v>0</v>
      </c>
      <c r="DA40" s="9">
        <f t="shared" ref="DA40" si="155">CY40+DA39</f>
        <v>0</v>
      </c>
      <c r="DB40" s="9">
        <f t="shared" ref="DB40" si="156">DA40/EJ40</f>
        <v>0</v>
      </c>
      <c r="DC40" s="100"/>
      <c r="DD40" s="9">
        <f t="shared" ref="DD40" si="157">DC40/EI40*100</f>
        <v>0</v>
      </c>
      <c r="DE40" s="9">
        <f t="shared" ref="DE40" si="158">DC40+DE39</f>
        <v>0</v>
      </c>
      <c r="DF40" s="9">
        <f t="shared" ref="DF40" si="159">DE40/EJ40*100</f>
        <v>0</v>
      </c>
      <c r="DG40" s="100"/>
      <c r="DH40" s="9"/>
      <c r="DI40" s="9"/>
      <c r="DJ40" s="9"/>
      <c r="DK40" s="9">
        <f t="shared" ref="DK40" si="160">CE40+CI40+CM40+CQ40+CU40+CY40+DC40</f>
        <v>0</v>
      </c>
      <c r="DL40" s="9">
        <f t="shared" ref="DL40" si="161">DK40/EI40*100</f>
        <v>0</v>
      </c>
      <c r="DM40" s="9">
        <f t="shared" ref="DM40" si="162">DK40+DM39</f>
        <v>60199.200000000004</v>
      </c>
      <c r="DN40" s="9">
        <f t="shared" ref="DN40" si="163">DM40/EJ40*100</f>
        <v>3.9987174310590019</v>
      </c>
      <c r="DO40" s="100"/>
      <c r="DP40" s="9">
        <f t="shared" ref="DP40" si="164">+DO40/EI40*100</f>
        <v>0</v>
      </c>
      <c r="DQ40" s="9">
        <f t="shared" ref="DQ40" si="165">+DO40+DQ39</f>
        <v>762750</v>
      </c>
      <c r="DR40" s="9">
        <f t="shared" ref="DR40" si="166">+DQ40/EJ40*100</f>
        <v>50.665485929053098</v>
      </c>
      <c r="DS40" s="100">
        <f>160*DS7</f>
        <v>39820.959999999999</v>
      </c>
      <c r="DT40" s="9">
        <f t="shared" ref="DT40" si="167">DS40/EI40*100</f>
        <v>85.648935627825438</v>
      </c>
      <c r="DU40" s="9">
        <f t="shared" ref="DU40" si="168">DS40+DU39</f>
        <v>437532.79800000007</v>
      </c>
      <c r="DV40" s="9">
        <f t="shared" ref="DV40" si="169">DU40/EJ40*100</f>
        <v>29.063011236405423</v>
      </c>
      <c r="DW40" s="100"/>
      <c r="DX40" s="14">
        <f t="shared" ref="DX40" si="170">DW40/EI40*100</f>
        <v>0</v>
      </c>
      <c r="DY40" s="9">
        <f t="shared" ref="DY40" si="171">DW40+DY39</f>
        <v>0</v>
      </c>
      <c r="DZ40" s="9">
        <f t="shared" ref="DZ40" si="172">DY40/EJ40*100</f>
        <v>0</v>
      </c>
      <c r="EA40" s="9">
        <f t="shared" ref="EA40" si="173">DO40+DS40+DW40</f>
        <v>39820.959999999999</v>
      </c>
      <c r="EB40" s="9">
        <f t="shared" ref="EB40" si="174">EA40/EI40*100</f>
        <v>85.648935627825438</v>
      </c>
      <c r="EC40" s="9">
        <f t="shared" ref="EC40" si="175">EA40+EC39</f>
        <v>1200282.798</v>
      </c>
      <c r="ED40" s="9">
        <f t="shared" ref="ED40" si="176">EC40/EJ40*100</f>
        <v>79.728497165458521</v>
      </c>
      <c r="EE40" s="100"/>
      <c r="EF40" s="9">
        <f t="shared" ref="EF40" si="177">EE40/EI40*100</f>
        <v>0</v>
      </c>
      <c r="EG40" s="9">
        <f t="shared" ref="EG40" si="178">EE40+EG39</f>
        <v>0</v>
      </c>
      <c r="EH40" s="9">
        <f t="shared" ref="EH40" si="179">EG40/EJ40*100</f>
        <v>0</v>
      </c>
      <c r="EI40" s="9">
        <f t="shared" ref="EI40" si="180">BW40+DK40+EA40+EE40</f>
        <v>46493.233930000002</v>
      </c>
      <c r="EJ40" s="9">
        <f t="shared" ref="EJ40" si="181">EI40+EJ39</f>
        <v>1505462.71493</v>
      </c>
      <c r="EK40" s="9">
        <f t="shared" ref="EK40" si="182">EI40/1000/E40</f>
        <v>1.0285658583690989</v>
      </c>
      <c r="EL40" s="9">
        <f t="shared" ref="EL40" si="183">(EJ40/1000)/F40</f>
        <v>1.0851120204486153</v>
      </c>
    </row>
    <row r="41" spans="1:142">
      <c r="A41" s="15"/>
      <c r="B41" s="15"/>
      <c r="C41" s="15"/>
      <c r="D41" s="7"/>
      <c r="E41" s="6"/>
      <c r="F41" s="6"/>
      <c r="G41" s="100"/>
      <c r="H41" s="9"/>
      <c r="I41" s="7"/>
      <c r="J41" s="9"/>
      <c r="K41" s="100"/>
      <c r="L41" s="9"/>
      <c r="M41" s="9"/>
      <c r="N41" s="9"/>
      <c r="O41" s="100"/>
      <c r="P41" s="9"/>
      <c r="Q41" s="9"/>
      <c r="R41" s="9"/>
      <c r="S41" s="100"/>
      <c r="T41" s="9"/>
      <c r="U41" s="9"/>
      <c r="V41" s="9"/>
      <c r="W41" s="100"/>
      <c r="X41" s="9"/>
      <c r="Y41" s="9"/>
      <c r="Z41" s="9"/>
      <c r="AA41" s="100"/>
      <c r="AB41" s="9"/>
      <c r="AC41" s="9"/>
      <c r="AD41" s="9"/>
      <c r="AE41" s="100"/>
      <c r="AF41" s="9"/>
      <c r="AG41" s="9"/>
      <c r="AH41" s="9"/>
      <c r="AI41" s="100"/>
      <c r="AJ41" s="9"/>
      <c r="AK41" s="9"/>
      <c r="AL41" s="9"/>
      <c r="AM41" s="100"/>
      <c r="AN41" s="9"/>
      <c r="AO41" s="9"/>
      <c r="AP41" s="9"/>
      <c r="AQ41" s="100"/>
      <c r="AR41" s="9"/>
      <c r="AS41" s="9"/>
      <c r="AT41" s="9"/>
      <c r="AU41" s="252"/>
      <c r="AV41" s="9"/>
      <c r="AW41" s="7"/>
      <c r="AX41" s="9"/>
      <c r="AY41" s="100"/>
      <c r="AZ41" s="9"/>
      <c r="BA41" s="9"/>
      <c r="BB41" s="9"/>
      <c r="BC41" s="100"/>
      <c r="BD41" s="9"/>
      <c r="BE41" s="9"/>
      <c r="BF41" s="9"/>
      <c r="BG41" s="100"/>
      <c r="BH41" s="9"/>
      <c r="BI41" s="9"/>
      <c r="BJ41" s="9"/>
      <c r="BK41" s="100"/>
      <c r="BL41" s="9"/>
      <c r="BM41" s="9"/>
      <c r="BN41" s="9"/>
      <c r="BO41" s="100"/>
      <c r="BP41" s="9"/>
      <c r="BQ41" s="9"/>
      <c r="BR41" s="9"/>
      <c r="BS41" s="100"/>
      <c r="BT41" s="9"/>
      <c r="BU41" s="9"/>
      <c r="BV41" s="9"/>
      <c r="BW41" s="9"/>
      <c r="BX41" s="9"/>
      <c r="BY41" s="9"/>
      <c r="BZ41" s="9"/>
      <c r="CA41" s="100"/>
      <c r="CB41" s="9"/>
      <c r="CC41" s="9"/>
      <c r="CD41" s="9"/>
      <c r="CE41" s="100"/>
      <c r="CF41" s="9"/>
      <c r="CG41" s="9"/>
      <c r="CH41" s="9"/>
      <c r="CI41" s="100"/>
      <c r="CJ41" s="9"/>
      <c r="CK41" s="9"/>
      <c r="CL41" s="9"/>
      <c r="CM41" s="100"/>
      <c r="CN41" s="9"/>
      <c r="CO41" s="9"/>
      <c r="CP41" s="9"/>
      <c r="CQ41" s="100"/>
      <c r="CR41" s="9"/>
      <c r="CS41" s="9"/>
      <c r="CT41" s="9"/>
      <c r="CU41" s="100"/>
      <c r="CV41" s="9"/>
      <c r="CW41" s="9"/>
      <c r="CX41" s="9"/>
      <c r="CY41" s="100"/>
      <c r="CZ41" s="9"/>
      <c r="DA41" s="9"/>
      <c r="DB41" s="9"/>
      <c r="DC41" s="100"/>
      <c r="DD41" s="9"/>
      <c r="DE41" s="9"/>
      <c r="DF41" s="9"/>
      <c r="DG41" s="100"/>
      <c r="DH41" s="9"/>
      <c r="DI41" s="9"/>
      <c r="DJ41" s="9"/>
      <c r="DK41" s="9"/>
      <c r="DL41" s="9"/>
      <c r="DM41" s="9"/>
      <c r="DN41" s="9"/>
      <c r="DO41" s="100"/>
      <c r="DP41" s="9"/>
      <c r="DQ41" s="9"/>
      <c r="DR41" s="9"/>
      <c r="DS41" s="100"/>
      <c r="DT41" s="9"/>
      <c r="DU41" s="9"/>
      <c r="DV41" s="9"/>
      <c r="DW41" s="100"/>
      <c r="DX41" s="14"/>
      <c r="DY41" s="9"/>
      <c r="DZ41" s="9"/>
      <c r="EA41" s="9"/>
      <c r="EB41" s="9"/>
      <c r="EC41" s="9"/>
      <c r="ED41" s="9"/>
      <c r="EE41" s="100"/>
      <c r="EF41" s="9"/>
      <c r="EG41" s="9"/>
      <c r="EH41" s="9"/>
      <c r="EI41" s="9"/>
      <c r="EJ41" s="9"/>
      <c r="EK41" s="9"/>
      <c r="EL41" s="9"/>
    </row>
    <row r="42" spans="1:142" ht="13.5" thickBot="1">
      <c r="A42" s="10" t="s">
        <v>27</v>
      </c>
      <c r="B42" s="10"/>
      <c r="C42" s="11"/>
      <c r="D42" s="11">
        <f>SUM(D10:D41)</f>
        <v>1512.7539999999999</v>
      </c>
      <c r="E42" s="11">
        <f>SUM(E10:E41)</f>
        <v>1387.3799999999999</v>
      </c>
      <c r="F42" s="11"/>
      <c r="G42" s="11">
        <f>SUM(G10:G41)</f>
        <v>0</v>
      </c>
      <c r="H42" s="11">
        <f>G42/EI42*100</f>
        <v>0</v>
      </c>
      <c r="I42" s="11"/>
      <c r="J42" s="11"/>
      <c r="K42" s="11">
        <f>SUM(K10:K41)</f>
        <v>209037.5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f>SUM(AA10:AA41)</f>
        <v>0</v>
      </c>
      <c r="AB42" s="11">
        <f>+AA42/$EI$42*100</f>
        <v>0</v>
      </c>
      <c r="AC42" s="11"/>
      <c r="AD42" s="11"/>
      <c r="AE42" s="11">
        <f>SUM(AE10:AE41)</f>
        <v>0</v>
      </c>
      <c r="AF42" s="11"/>
      <c r="AG42" s="11"/>
      <c r="AH42" s="11"/>
      <c r="AI42" s="11">
        <f>SUM(AI10:AI41)</f>
        <v>0</v>
      </c>
      <c r="AJ42" s="11"/>
      <c r="AK42" s="11"/>
      <c r="AL42" s="11"/>
      <c r="AM42" s="11">
        <f>SUM(AM10:AM41)</f>
        <v>0</v>
      </c>
      <c r="AN42" s="11">
        <f>AM42/$EI$42*100</f>
        <v>0</v>
      </c>
      <c r="AO42" s="11"/>
      <c r="AP42" s="11"/>
      <c r="AQ42" s="11">
        <f>SUM(AQ10:AQ41)</f>
        <v>0</v>
      </c>
      <c r="AR42" s="11">
        <f>AQ42/$EI$42*100</f>
        <v>0</v>
      </c>
      <c r="AS42" s="11"/>
      <c r="AT42" s="11"/>
      <c r="AU42" s="11">
        <f>SUM(AU10:AU41)</f>
        <v>0</v>
      </c>
      <c r="AV42" s="11">
        <f>AU42/$EI$42*100</f>
        <v>0</v>
      </c>
      <c r="AW42" s="11"/>
      <c r="AX42" s="11"/>
      <c r="AY42" s="11">
        <f>SUM(AY10:AY41)</f>
        <v>0</v>
      </c>
      <c r="AZ42" s="11">
        <f>AY42/$EI$42*100</f>
        <v>0</v>
      </c>
      <c r="BA42" s="11"/>
      <c r="BB42" s="11"/>
      <c r="BC42" s="11">
        <f>SUM(BC10:BC41)</f>
        <v>0</v>
      </c>
      <c r="BD42" s="11">
        <f>BC42/$EI$42*100</f>
        <v>0</v>
      </c>
      <c r="BE42" s="11"/>
      <c r="BF42" s="11"/>
      <c r="BG42" s="11">
        <f>SUM(BG10:BG41)</f>
        <v>0</v>
      </c>
      <c r="BH42" s="11">
        <f>BG42/EI42*100</f>
        <v>0</v>
      </c>
      <c r="BI42" s="11"/>
      <c r="BJ42" s="11"/>
      <c r="BK42" s="11">
        <f>SUM(BK10:BK41)</f>
        <v>0</v>
      </c>
      <c r="BL42" s="11">
        <f>BK42/EI42*100</f>
        <v>0</v>
      </c>
      <c r="BM42" s="11"/>
      <c r="BN42" s="11"/>
      <c r="BO42" s="11"/>
      <c r="BP42" s="11"/>
      <c r="BQ42" s="11"/>
      <c r="BR42" s="11"/>
      <c r="BS42" s="11">
        <f>SUM(BS10:BS41)</f>
        <v>0</v>
      </c>
      <c r="BT42" s="11">
        <f>BS42/EI42*100</f>
        <v>0</v>
      </c>
      <c r="BU42" s="11"/>
      <c r="BV42" s="11"/>
      <c r="BW42" s="11">
        <f>SUM(BW10:BW41)</f>
        <v>244980.71693</v>
      </c>
      <c r="BX42" s="18">
        <f>BW42/$EI$42*100</f>
        <v>16.272785403482473</v>
      </c>
      <c r="BY42" s="11"/>
      <c r="BZ42" s="11"/>
      <c r="CA42" s="11">
        <f>SUM(CA10:CA41)</f>
        <v>0</v>
      </c>
      <c r="CB42" s="11" t="e">
        <f>CA42/EE42*100</f>
        <v>#DIV/0!</v>
      </c>
      <c r="CC42" s="11"/>
      <c r="CD42" s="11"/>
      <c r="CE42" s="11">
        <f>SUM(CE10:CE41)</f>
        <v>0</v>
      </c>
      <c r="CF42" s="11">
        <f>CE42/$EI$42*100</f>
        <v>0</v>
      </c>
      <c r="CG42" s="11"/>
      <c r="CH42" s="11"/>
      <c r="CI42" s="11">
        <f>SUM(CI10:CI41)</f>
        <v>0</v>
      </c>
      <c r="CJ42" s="11">
        <f>CI42/$EI$42*100</f>
        <v>0</v>
      </c>
      <c r="CK42" s="11"/>
      <c r="CL42" s="11"/>
      <c r="CM42" s="11">
        <f>SUM(CM10:CM41)</f>
        <v>0</v>
      </c>
      <c r="CN42" s="11">
        <f>CM42/$EI$42*100</f>
        <v>0</v>
      </c>
      <c r="CO42" s="11"/>
      <c r="CP42" s="11"/>
      <c r="CQ42" s="11">
        <f>SUM(CQ10:CQ41)</f>
        <v>60199.200000000004</v>
      </c>
      <c r="CR42" s="11">
        <f>CQ42/$EI$42*100</f>
        <v>3.9987174310590019</v>
      </c>
      <c r="CS42" s="11"/>
      <c r="CT42" s="11"/>
      <c r="CU42" s="11">
        <f>SUM(CU10:CU41)</f>
        <v>0</v>
      </c>
      <c r="CV42" s="11">
        <f>CU42/$EI$42*100</f>
        <v>0</v>
      </c>
      <c r="CW42" s="11"/>
      <c r="CX42" s="11"/>
      <c r="CY42" s="11">
        <f>SUM(CY10:CY41)</f>
        <v>0</v>
      </c>
      <c r="CZ42" s="11">
        <f>CY42/$EI$42*100</f>
        <v>0</v>
      </c>
      <c r="DA42" s="11"/>
      <c r="DB42" s="11"/>
      <c r="DC42" s="11">
        <f>SUM(DC10:DC41)</f>
        <v>0</v>
      </c>
      <c r="DD42" s="11">
        <f>DC42/$EI$42*100</f>
        <v>0</v>
      </c>
      <c r="DE42" s="11"/>
      <c r="DF42" s="11"/>
      <c r="DG42" s="11">
        <f>SUM(DG10:DG41)</f>
        <v>0</v>
      </c>
      <c r="DH42" s="11"/>
      <c r="DI42" s="11"/>
      <c r="DJ42" s="11"/>
      <c r="DK42" s="11">
        <f>SUM(DK10:DK41)</f>
        <v>60199.200000000004</v>
      </c>
      <c r="DL42" s="18">
        <f>DK42/$EI$42*100</f>
        <v>3.9987174310590019</v>
      </c>
      <c r="DM42" s="11"/>
      <c r="DN42" s="11"/>
      <c r="DO42" s="11">
        <f>SUM(DO10:DO41)</f>
        <v>762750</v>
      </c>
      <c r="DP42" s="11">
        <f>DO42/$EI$42*100</f>
        <v>50.665485929053098</v>
      </c>
      <c r="DQ42" s="11"/>
      <c r="DR42" s="11"/>
      <c r="DS42" s="11">
        <f>SUM(DS10:DS41)</f>
        <v>437532.79800000007</v>
      </c>
      <c r="DT42" s="11">
        <f>DS42/$EI$42*100</f>
        <v>29.063011236405423</v>
      </c>
      <c r="DU42" s="11"/>
      <c r="DV42" s="11"/>
      <c r="DW42" s="11">
        <f>SUM(DW10:DW41)</f>
        <v>0</v>
      </c>
      <c r="DX42" s="11">
        <f>DW42/$EI$42*100</f>
        <v>0</v>
      </c>
      <c r="DY42" s="11"/>
      <c r="DZ42" s="11"/>
      <c r="EA42" s="11">
        <f>SUM(EA10:EA41)</f>
        <v>1200282.798</v>
      </c>
      <c r="EB42" s="18">
        <f>EA42/$EI$42*100</f>
        <v>79.728497165458521</v>
      </c>
      <c r="EC42" s="11"/>
      <c r="ED42" s="11"/>
      <c r="EE42" s="11">
        <f>SUM(EE10:EE41)</f>
        <v>0</v>
      </c>
      <c r="EF42" s="11">
        <f>EE42/$EI$42*100</f>
        <v>0</v>
      </c>
      <c r="EG42" s="11"/>
      <c r="EH42" s="11"/>
      <c r="EI42" s="11">
        <f>SUM(EI10:EI41)</f>
        <v>1505462.71493</v>
      </c>
      <c r="EJ42" s="11">
        <f>EI42/$EI$42*100</f>
        <v>100</v>
      </c>
      <c r="EK42" s="11">
        <f>EI42/1000/E42</f>
        <v>1.0851120204486153</v>
      </c>
      <c r="EL42" s="11"/>
    </row>
    <row r="43" spans="1:142" ht="13.5" thickTop="1"/>
    <row r="44" spans="1:142">
      <c r="CA44" s="13"/>
      <c r="CQ44" s="13"/>
      <c r="CU44" s="13"/>
      <c r="EB44" s="13"/>
      <c r="EE44" s="13"/>
      <c r="EF44" s="13"/>
    </row>
    <row r="45" spans="1:142">
      <c r="E45" s="13"/>
      <c r="F45" s="13"/>
      <c r="G45" s="13"/>
      <c r="I45" s="13"/>
      <c r="AY45" s="13"/>
      <c r="CQ45" s="13"/>
      <c r="CU45" s="13"/>
      <c r="EE45" s="13"/>
    </row>
  </sheetData>
  <mergeCells count="40">
    <mergeCell ref="DC8:DF8"/>
    <mergeCell ref="CE8:CH8"/>
    <mergeCell ref="CM8:CP8"/>
    <mergeCell ref="DG8:DJ8"/>
    <mergeCell ref="EK8:EL8"/>
    <mergeCell ref="DS8:DV8"/>
    <mergeCell ref="EA8:ED8"/>
    <mergeCell ref="EE8:EH8"/>
    <mergeCell ref="EI8:EJ8"/>
    <mergeCell ref="DW8:DZ8"/>
    <mergeCell ref="DO8:DR8"/>
    <mergeCell ref="DK8:DN8"/>
    <mergeCell ref="CI8:CL8"/>
    <mergeCell ref="CQ8:CT8"/>
    <mergeCell ref="CY8:DB8"/>
    <mergeCell ref="CU8:CX8"/>
    <mergeCell ref="AY8:BB8"/>
    <mergeCell ref="AQ8:AT8"/>
    <mergeCell ref="BG8:BJ8"/>
    <mergeCell ref="AU8:AX8"/>
    <mergeCell ref="S8:V8"/>
    <mergeCell ref="AA8:AD8"/>
    <mergeCell ref="AM8:AP8"/>
    <mergeCell ref="AE8:AH8"/>
    <mergeCell ref="CA8:CD8"/>
    <mergeCell ref="A8:A9"/>
    <mergeCell ref="B8:B9"/>
    <mergeCell ref="C8:C9"/>
    <mergeCell ref="K8:N8"/>
    <mergeCell ref="W8:Z8"/>
    <mergeCell ref="D8:D9"/>
    <mergeCell ref="E8:F8"/>
    <mergeCell ref="O8:R8"/>
    <mergeCell ref="G8:J8"/>
    <mergeCell ref="AI8:AL8"/>
    <mergeCell ref="BW8:BZ8"/>
    <mergeCell ref="BS8:BV8"/>
    <mergeCell ref="BC8:BF8"/>
    <mergeCell ref="BO8:BR8"/>
    <mergeCell ref="BK8:BN8"/>
  </mergeCells>
  <phoneticPr fontId="30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selection activeCell="AG3" sqref="AG3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2" width="9.140625" hidden="1" customWidth="1"/>
    <col min="23" max="32" width="9.140625" customWidth="1"/>
    <col min="34" max="34" width="10.85546875" bestFit="1" customWidth="1"/>
    <col min="35" max="35" width="16.28515625" bestFit="1" customWidth="1"/>
  </cols>
  <sheetData>
    <row r="1" spans="1:42">
      <c r="A1" s="391" t="s">
        <v>377</v>
      </c>
      <c r="B1">
        <v>3118</v>
      </c>
      <c r="C1">
        <v>3449</v>
      </c>
      <c r="D1">
        <v>3048</v>
      </c>
      <c r="E1">
        <v>4879</v>
      </c>
      <c r="F1">
        <v>3880</v>
      </c>
      <c r="G1">
        <v>3201</v>
      </c>
      <c r="H1">
        <v>3621</v>
      </c>
      <c r="I1">
        <v>3386</v>
      </c>
      <c r="J1">
        <v>3.2629999999999999</v>
      </c>
      <c r="K1">
        <v>3489</v>
      </c>
      <c r="L1">
        <v>3528</v>
      </c>
      <c r="M1">
        <v>3.351</v>
      </c>
      <c r="N1">
        <v>3359</v>
      </c>
      <c r="O1">
        <v>3773</v>
      </c>
      <c r="P1">
        <v>4.1840000000000002</v>
      </c>
      <c r="Q1">
        <v>3378</v>
      </c>
      <c r="R1">
        <v>3378</v>
      </c>
      <c r="S1">
        <v>3.7519999999999998</v>
      </c>
      <c r="T1">
        <v>6700</v>
      </c>
      <c r="U1">
        <v>3689</v>
      </c>
      <c r="V1">
        <v>5296</v>
      </c>
      <c r="W1">
        <v>3895</v>
      </c>
      <c r="X1">
        <v>3897</v>
      </c>
      <c r="Y1">
        <v>3878</v>
      </c>
      <c r="Z1">
        <v>3987</v>
      </c>
      <c r="AA1">
        <v>3875</v>
      </c>
      <c r="AB1">
        <v>3617</v>
      </c>
      <c r="AC1">
        <v>4034</v>
      </c>
      <c r="AD1">
        <v>3740</v>
      </c>
      <c r="AE1">
        <v>3617</v>
      </c>
      <c r="AF1">
        <v>3482</v>
      </c>
    </row>
    <row r="2" spans="1:42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61" t="s">
        <v>280</v>
      </c>
      <c r="AH2" s="462" t="s">
        <v>281</v>
      </c>
      <c r="AI2" s="463" t="s">
        <v>282</v>
      </c>
      <c r="AL2" s="524"/>
      <c r="AM2" s="524"/>
      <c r="AN2" s="524"/>
      <c r="AO2" s="524"/>
    </row>
    <row r="3" spans="1:42">
      <c r="A3" s="434" t="s">
        <v>211</v>
      </c>
      <c r="B3" s="5">
        <v>8.8040000000000003</v>
      </c>
      <c r="C3" s="435">
        <v>5.6680000000000001</v>
      </c>
      <c r="D3" s="5">
        <f>0.73+0.756+3.8</f>
        <v>5.2859999999999996</v>
      </c>
      <c r="E3" s="5">
        <v>4.8</v>
      </c>
      <c r="F3" s="5">
        <f>0.595+3.845</f>
        <v>4.4400000000000004</v>
      </c>
      <c r="G3" s="5">
        <v>2.9950000000000001</v>
      </c>
      <c r="H3" s="5">
        <v>3.6579999999999999</v>
      </c>
      <c r="I3" s="5">
        <v>4.1440000000000001</v>
      </c>
      <c r="J3" s="5">
        <v>1.573</v>
      </c>
      <c r="K3" s="5">
        <v>9.4870000000000001</v>
      </c>
      <c r="L3" s="5">
        <v>6.1040000000000001</v>
      </c>
      <c r="M3" s="5">
        <v>4.9509999999999996</v>
      </c>
      <c r="N3" s="5">
        <v>6.0890000000000004</v>
      </c>
      <c r="O3" s="5">
        <v>16.14</v>
      </c>
      <c r="P3" s="5">
        <f>8.984+4.82</f>
        <v>13.804</v>
      </c>
      <c r="Q3" s="5">
        <v>7.9569999999999999</v>
      </c>
      <c r="R3" s="5">
        <v>7.41</v>
      </c>
      <c r="S3" s="5">
        <f>0.638+4.098+0.225</f>
        <v>4.9609999999999994</v>
      </c>
      <c r="T3" s="5">
        <v>4.3</v>
      </c>
      <c r="U3" s="5">
        <f>5.022+1.893</f>
        <v>6.915</v>
      </c>
      <c r="V3" s="5">
        <v>7.3890000000000002</v>
      </c>
      <c r="W3" s="5">
        <v>7.2160000000000002</v>
      </c>
      <c r="X3" s="5">
        <v>12.05</v>
      </c>
      <c r="Y3" s="5">
        <v>9.11</v>
      </c>
      <c r="Z3" s="5">
        <v>8.65</v>
      </c>
      <c r="AA3" s="5">
        <v>7.58</v>
      </c>
      <c r="AB3" s="5">
        <v>10.625</v>
      </c>
      <c r="AC3" s="5">
        <f>0.584+5.91+4.21+1.68</f>
        <v>12.384</v>
      </c>
      <c r="AD3" s="5">
        <v>11.032</v>
      </c>
      <c r="AE3" s="5">
        <v>13.289</v>
      </c>
      <c r="AF3" s="5">
        <f>13.536+0.32</f>
        <v>13.856</v>
      </c>
      <c r="AG3" s="5">
        <f>+AF3</f>
        <v>13.856</v>
      </c>
      <c r="AH3" s="458">
        <f>+AG3/Efficiency1!$K$155</f>
        <v>8.4371763208762104E-3</v>
      </c>
      <c r="AI3" s="780">
        <f>SUM(AH3:AH4)</f>
        <v>8.6502978359098912E-3</v>
      </c>
      <c r="AL3" s="524"/>
      <c r="AM3" s="524"/>
      <c r="AN3" s="524"/>
      <c r="AO3" s="524"/>
    </row>
    <row r="4" spans="1:42">
      <c r="A4" s="434" t="s">
        <v>212</v>
      </c>
      <c r="B4" s="5">
        <v>0.98</v>
      </c>
      <c r="C4" s="5">
        <v>0.66200000000000003</v>
      </c>
      <c r="D4" s="5">
        <v>1.5129999999999999</v>
      </c>
      <c r="E4" s="5">
        <v>0.86</v>
      </c>
      <c r="F4" s="5">
        <v>1.03</v>
      </c>
      <c r="G4" s="5">
        <v>1.792</v>
      </c>
      <c r="H4" s="5">
        <v>1.5629999999999999</v>
      </c>
      <c r="I4" s="5">
        <v>1.9950000000000001</v>
      </c>
      <c r="J4" s="5">
        <v>0.18</v>
      </c>
      <c r="K4" s="5">
        <v>1.1950000000000001</v>
      </c>
      <c r="L4" s="5">
        <v>0.97499999999999998</v>
      </c>
      <c r="M4" s="5">
        <v>1.8049999999999999</v>
      </c>
      <c r="N4" s="435">
        <v>0.505</v>
      </c>
      <c r="O4" s="435">
        <v>0.73299999999999998</v>
      </c>
      <c r="P4" s="5">
        <v>1.9279999999999999</v>
      </c>
      <c r="Q4" s="5">
        <v>1.0269999999999999</v>
      </c>
      <c r="R4" s="5">
        <v>0.52300000000000002</v>
      </c>
      <c r="S4" s="5">
        <v>1.4379999999999999</v>
      </c>
      <c r="T4" s="5">
        <v>1.2649999999999999</v>
      </c>
      <c r="U4" s="5">
        <v>1.423</v>
      </c>
      <c r="V4" s="5">
        <v>0.63200000000000001</v>
      </c>
      <c r="W4" s="435">
        <v>0.8</v>
      </c>
      <c r="X4" s="5">
        <v>0.6</v>
      </c>
      <c r="Y4" s="5">
        <v>1.325</v>
      </c>
      <c r="Z4" s="5">
        <v>1.02</v>
      </c>
      <c r="AA4" s="5">
        <v>0.8</v>
      </c>
      <c r="AB4" s="5">
        <v>0.85</v>
      </c>
      <c r="AC4" s="5">
        <v>0.55700000000000005</v>
      </c>
      <c r="AD4" s="5">
        <v>1.01</v>
      </c>
      <c r="AE4" s="5">
        <v>0.35</v>
      </c>
      <c r="AF4" s="5">
        <v>0.35</v>
      </c>
      <c r="AG4" s="5">
        <f>+AF4</f>
        <v>0.35</v>
      </c>
      <c r="AH4" s="458">
        <f>+AG4/Efficiency1!$K$155</f>
        <v>2.1312151503368024E-4</v>
      </c>
      <c r="AI4" s="781"/>
      <c r="AL4" s="524"/>
      <c r="AM4" s="524"/>
      <c r="AN4" s="524"/>
      <c r="AO4" s="524"/>
    </row>
    <row r="5" spans="1:42">
      <c r="A5" s="464"/>
      <c r="B5" s="465"/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6"/>
      <c r="O5" s="466"/>
      <c r="P5" s="465"/>
      <c r="Q5" s="465"/>
      <c r="R5" s="465"/>
      <c r="S5" s="465"/>
      <c r="T5" s="465"/>
      <c r="U5" s="465"/>
      <c r="V5" s="465"/>
      <c r="W5" s="466"/>
      <c r="X5" s="465"/>
      <c r="Y5" s="465"/>
      <c r="Z5" s="465"/>
      <c r="AA5" s="465"/>
      <c r="AB5" s="465"/>
      <c r="AC5" s="465"/>
      <c r="AD5" s="465"/>
      <c r="AE5" s="465"/>
      <c r="AF5" s="465"/>
      <c r="AG5" s="465"/>
      <c r="AH5" s="467"/>
      <c r="AL5" s="524"/>
      <c r="AM5" s="524"/>
      <c r="AN5" s="524"/>
      <c r="AO5" s="524"/>
    </row>
    <row r="6" spans="1:42">
      <c r="A6" s="434" t="s">
        <v>378</v>
      </c>
      <c r="B6" s="5">
        <f>0.08+0.2</f>
        <v>0.28000000000000003</v>
      </c>
      <c r="C6" s="5">
        <f>0.1+0.84+0.332+0.2</f>
        <v>1.472</v>
      </c>
      <c r="D6" s="5">
        <f>0.03+0.34+0.2</f>
        <v>0.57000000000000006</v>
      </c>
      <c r="E6" s="5">
        <f>0.35+0.42+0.281</f>
        <v>1.0510000000000002</v>
      </c>
      <c r="F6" s="5">
        <f>0.6+0.4+0.215+0.461</f>
        <v>1.6760000000000002</v>
      </c>
      <c r="G6" s="5">
        <f>0.15+0.08+0.35</f>
        <v>0.57999999999999996</v>
      </c>
      <c r="H6" s="5">
        <f>0.1+0.25</f>
        <v>0.35</v>
      </c>
      <c r="I6" s="5">
        <f>0.195+0.195+0.185</f>
        <v>0.57499999999999996</v>
      </c>
      <c r="J6" s="5">
        <f>0.107+0.02</f>
        <v>0.127</v>
      </c>
      <c r="K6" s="5">
        <f>0.4+0.15+0.3</f>
        <v>0.85000000000000009</v>
      </c>
      <c r="L6" s="5">
        <f>0.162+0.1+0.15</f>
        <v>0.41200000000000003</v>
      </c>
      <c r="M6" s="5">
        <f>0.164+0.15+0.15</f>
        <v>0.46399999999999997</v>
      </c>
      <c r="N6" s="5">
        <f>0.15+0.35+0.35</f>
        <v>0.85</v>
      </c>
      <c r="O6" s="5">
        <f>0.28+0.24+0.225</f>
        <v>0.745</v>
      </c>
      <c r="P6" s="5">
        <f>0.17+1.915+0.315</f>
        <v>2.4</v>
      </c>
      <c r="Q6" s="5">
        <f>0.3+0.243+0.164</f>
        <v>0.70699999999999996</v>
      </c>
      <c r="R6" s="5">
        <f>0.2+0.255+0.215+0.412</f>
        <v>1.0820000000000001</v>
      </c>
      <c r="S6" s="5">
        <f>0.285+0.231+0.03+0.058</f>
        <v>0.60400000000000009</v>
      </c>
      <c r="T6" s="5">
        <f>0.12+0.02+0.2+0.245</f>
        <v>0.58499999999999996</v>
      </c>
      <c r="U6" s="5">
        <v>0.245</v>
      </c>
      <c r="V6" s="5">
        <f>0.17+0.205+0.064+0.089</f>
        <v>0.52800000000000002</v>
      </c>
      <c r="W6" s="435">
        <f>0.035+0.032+0.199+0.2+0.278</f>
        <v>0.74399999999999999</v>
      </c>
      <c r="X6" s="5">
        <f>0.33+0.8+0.3</f>
        <v>1.4300000000000002</v>
      </c>
      <c r="Y6" s="5">
        <f>0.622+0.335+0.622+0.213+0.36+1.233+0.35</f>
        <v>3.7350000000000003</v>
      </c>
      <c r="Z6" s="435">
        <f>0.364+0.411+0.2</f>
        <v>0.97499999999999987</v>
      </c>
      <c r="AA6" s="5">
        <f>0.33+0.275+0.24</f>
        <v>0.84499999999999997</v>
      </c>
      <c r="AB6" s="5">
        <f>1.2+0.209+0.159+0.397</f>
        <v>1.9650000000000001</v>
      </c>
      <c r="AC6" s="5">
        <f>0.11+0.087+0.16+0.42</f>
        <v>0.77699999999999991</v>
      </c>
      <c r="AD6" s="5">
        <f>0.42+0.366</f>
        <v>0.78600000000000003</v>
      </c>
      <c r="AE6" s="5">
        <f>0.48+0.59+0.8+0.5+0.268+0.63</f>
        <v>3.2679999999999998</v>
      </c>
      <c r="AF6" s="5">
        <f>0.4+0.268+0.492+0.29</f>
        <v>1.4500000000000002</v>
      </c>
      <c r="AG6" s="5">
        <f t="shared" ref="AG6:AG37" si="0">+SUM(B6:AF6)</f>
        <v>32.128000000000007</v>
      </c>
      <c r="AH6" s="468">
        <f t="shared" ref="AH6:AH36" si="1">+AG6/$AG$39</f>
        <v>0.35997759103641463</v>
      </c>
      <c r="AL6" s="524"/>
      <c r="AM6" s="524"/>
      <c r="AN6" s="524"/>
      <c r="AO6" s="524"/>
    </row>
    <row r="7" spans="1:42">
      <c r="A7" s="434" t="s">
        <v>379</v>
      </c>
      <c r="B7" s="5">
        <f>0.05+0.3</f>
        <v>0.35</v>
      </c>
      <c r="C7" s="5">
        <f>0.425+0.11+0.403+0.057</f>
        <v>0.99500000000000011</v>
      </c>
      <c r="D7" s="5">
        <f>0.059+0.325+1.731+0.193</f>
        <v>2.3080000000000003</v>
      </c>
      <c r="E7" s="5">
        <f>0.45+0.31+0.078</f>
        <v>0.83799999999999997</v>
      </c>
      <c r="F7" s="5">
        <f>0.409+0.177+0.245</f>
        <v>0.83099999999999996</v>
      </c>
      <c r="G7" s="5">
        <f>0.285+0.13+0.17+0.26</f>
        <v>0.84499999999999997</v>
      </c>
      <c r="H7" s="5">
        <f>0.06+0.13+0.098+0.63</f>
        <v>0.91800000000000004</v>
      </c>
      <c r="I7" s="5">
        <f>0.074+0.275+0.135</f>
        <v>0.48400000000000004</v>
      </c>
      <c r="J7" s="5"/>
      <c r="K7" s="5">
        <f>0.431+0.15+0.269</f>
        <v>0.85</v>
      </c>
      <c r="L7" s="5">
        <f>0.074+0.164</f>
        <v>0.23799999999999999</v>
      </c>
      <c r="M7" s="5">
        <f>0.05+0.108+0.08</f>
        <v>0.23799999999999999</v>
      </c>
      <c r="N7" s="5">
        <f>0.35+0.254+0.227</f>
        <v>0.83099999999999996</v>
      </c>
      <c r="O7" s="5">
        <f>0.08+0.2</f>
        <v>0.28000000000000003</v>
      </c>
      <c r="P7" s="5">
        <f>0.065+0.2+0.309+0.109+0.31</f>
        <v>0.9930000000000001</v>
      </c>
      <c r="Q7" s="5">
        <f>0.3+0.45+0.2+0.384</f>
        <v>1.3340000000000001</v>
      </c>
      <c r="R7">
        <f>0.356+0.53+0.397+0.55</f>
        <v>1.833</v>
      </c>
      <c r="S7" s="5">
        <f>0.2+0.035+0.1</f>
        <v>0.33500000000000002</v>
      </c>
      <c r="T7" s="5">
        <f>0.25+0.05+0.056+0.102</f>
        <v>0.45799999999999996</v>
      </c>
      <c r="U7" s="5"/>
      <c r="V7" s="5">
        <f>0.106+0.2+0.25</f>
        <v>0.55600000000000005</v>
      </c>
      <c r="W7" s="5">
        <f>0.03+0.3+0.26</f>
        <v>0.59</v>
      </c>
      <c r="X7" s="5">
        <f>0.473+0.33+2.02+0.5+2.65</f>
        <v>5.9729999999999999</v>
      </c>
      <c r="Y7" s="5">
        <f>0.238+0.364</f>
        <v>0.60199999999999998</v>
      </c>
      <c r="Z7" s="5">
        <f>0.3+0.3+0.775+0.4+0.32</f>
        <v>2.0949999999999998</v>
      </c>
      <c r="AA7" s="5">
        <f>0.4+0.52+0.476+0.49+0.367</f>
        <v>2.2530000000000001</v>
      </c>
      <c r="AB7" s="5">
        <f>1.7+0.11+0.503+0.494</f>
        <v>2.8070000000000004</v>
      </c>
      <c r="AC7" s="5">
        <f>0.22+0.654+0.2+0.266</f>
        <v>1.34</v>
      </c>
      <c r="AD7" s="5">
        <f>0.266+0.346</f>
        <v>0.61199999999999999</v>
      </c>
      <c r="AE7" s="5">
        <f>0.888+0.245+0.7+0.112</f>
        <v>1.9450000000000001</v>
      </c>
      <c r="AF7" s="5">
        <f>0.6+0.494+0.25+0.2</f>
        <v>1.5439999999999998</v>
      </c>
      <c r="AG7" s="5">
        <f t="shared" si="0"/>
        <v>35.275999999999996</v>
      </c>
      <c r="AH7" s="458">
        <f t="shared" si="1"/>
        <v>0.39524929971988793</v>
      </c>
      <c r="AL7" s="524"/>
      <c r="AM7" s="524"/>
      <c r="AN7" s="524"/>
      <c r="AO7" s="524"/>
      <c r="AP7" s="391"/>
    </row>
    <row r="8" spans="1:42">
      <c r="A8" s="436" t="s">
        <v>213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58">
        <f t="shared" si="1"/>
        <v>0</v>
      </c>
      <c r="AL8" s="523"/>
      <c r="AM8" s="524"/>
      <c r="AN8" s="524"/>
      <c r="AO8" s="524"/>
    </row>
    <row r="9" spans="1:42">
      <c r="A9" s="434" t="s">
        <v>214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</v>
      </c>
      <c r="AH9" s="458">
        <f t="shared" si="1"/>
        <v>0</v>
      </c>
      <c r="AL9" s="524"/>
      <c r="AM9" s="524"/>
      <c r="AN9" s="524"/>
      <c r="AO9" s="524"/>
    </row>
    <row r="10" spans="1:42">
      <c r="A10" s="434" t="s">
        <v>215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0.56000000000000005</v>
      </c>
      <c r="O10" s="5"/>
      <c r="P10" s="5"/>
      <c r="Q10" s="5"/>
      <c r="R10" s="5"/>
      <c r="S10" s="5"/>
      <c r="T10" s="5"/>
      <c r="U10" s="5"/>
      <c r="V10" s="5">
        <v>0.502</v>
      </c>
      <c r="W10" s="5"/>
      <c r="X10" s="5">
        <f>0.68+1.74</f>
        <v>2.42</v>
      </c>
      <c r="Y10" s="5">
        <v>0.84</v>
      </c>
      <c r="Z10" s="5"/>
      <c r="AA10" s="5">
        <v>1.1000000000000001</v>
      </c>
      <c r="AB10" s="5">
        <v>1.1000000000000001</v>
      </c>
      <c r="AC10" s="5"/>
      <c r="AD10" s="5"/>
      <c r="AE10" s="5"/>
      <c r="AF10" s="5"/>
      <c r="AG10" s="5">
        <f t="shared" si="0"/>
        <v>6.5220000000000002</v>
      </c>
      <c r="AH10" s="458">
        <f t="shared" si="1"/>
        <v>7.3075630252100843E-2</v>
      </c>
    </row>
    <row r="11" spans="1:42">
      <c r="A11" s="434" t="s">
        <v>13</v>
      </c>
      <c r="B11" s="5">
        <f>0.386+0.35</f>
        <v>0.73599999999999999</v>
      </c>
      <c r="C11" s="5"/>
      <c r="D11" s="5">
        <v>0.27500000000000002</v>
      </c>
      <c r="E11" s="5">
        <v>0.4</v>
      </c>
      <c r="F11" s="5"/>
      <c r="G11" s="5"/>
      <c r="H11" s="5"/>
      <c r="I11" s="5"/>
      <c r="J11" s="5"/>
      <c r="K11" s="5"/>
      <c r="L11" s="5">
        <v>0.25</v>
      </c>
      <c r="M11" s="5"/>
      <c r="N11" s="5">
        <f>0.25+0.35</f>
        <v>0.6</v>
      </c>
      <c r="O11" s="5"/>
      <c r="P11" s="5"/>
      <c r="Q11" s="5"/>
      <c r="R11" s="5"/>
      <c r="S11" s="5"/>
      <c r="T11" s="5"/>
      <c r="U11" s="5"/>
      <c r="V11" s="5"/>
      <c r="W11" s="5"/>
      <c r="X11" s="5">
        <f>0.365+0.3</f>
        <v>0.66500000000000004</v>
      </c>
      <c r="Y11" s="5">
        <f>0.806+0.2+0.3</f>
        <v>1.306</v>
      </c>
      <c r="Z11" s="5"/>
      <c r="AA11" s="5"/>
      <c r="AB11" s="5"/>
      <c r="AC11" s="5"/>
      <c r="AD11" s="5"/>
      <c r="AE11" s="5"/>
      <c r="AF11" s="5"/>
      <c r="AG11" s="5">
        <f t="shared" si="0"/>
        <v>4.2320000000000002</v>
      </c>
      <c r="AH11" s="458">
        <f t="shared" si="1"/>
        <v>4.7417366946778713E-2</v>
      </c>
    </row>
    <row r="12" spans="1:42">
      <c r="A12" s="434" t="s">
        <v>216</v>
      </c>
      <c r="B12" s="5"/>
      <c r="C12" s="5"/>
      <c r="D12" s="5"/>
      <c r="E12" s="5"/>
      <c r="F12" s="5">
        <f>0.529+0.15</f>
        <v>0.67900000000000005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0.71599999999999997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0.65</v>
      </c>
      <c r="AG12" s="5">
        <f t="shared" si="0"/>
        <v>2.0449999999999999</v>
      </c>
      <c r="AH12" s="458">
        <f t="shared" si="1"/>
        <v>2.2913165266106442E-2</v>
      </c>
      <c r="AM12" s="391"/>
      <c r="AN12" s="391"/>
    </row>
    <row r="13" spans="1:42">
      <c r="A13" s="434" t="s">
        <v>217</v>
      </c>
      <c r="B13" s="5"/>
      <c r="C13" s="5"/>
      <c r="D13" s="5"/>
      <c r="E13" s="5"/>
      <c r="F13" s="5"/>
      <c r="G13" s="5"/>
      <c r="H13" s="5"/>
      <c r="I13" s="5"/>
      <c r="J13" s="5"/>
      <c r="K13" s="5">
        <v>0.3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f t="shared" si="0"/>
        <v>0.3</v>
      </c>
      <c r="AH13" s="458">
        <f t="shared" si="1"/>
        <v>3.3613445378151258E-3</v>
      </c>
    </row>
    <row r="14" spans="1:42">
      <c r="A14" s="434" t="s">
        <v>380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f t="shared" si="0"/>
        <v>0</v>
      </c>
      <c r="AH14" s="458">
        <f t="shared" si="1"/>
        <v>0</v>
      </c>
    </row>
    <row r="15" spans="1:42">
      <c r="A15" s="434" t="s">
        <v>283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f t="shared" si="0"/>
        <v>0</v>
      </c>
      <c r="AH15" s="458">
        <f t="shared" si="1"/>
        <v>0</v>
      </c>
    </row>
    <row r="16" spans="1:42">
      <c r="A16" s="434" t="s">
        <v>284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58">
        <f t="shared" si="1"/>
        <v>0</v>
      </c>
    </row>
    <row r="17" spans="1:34">
      <c r="A17" s="434" t="s">
        <v>218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f t="shared" si="0"/>
        <v>0</v>
      </c>
      <c r="AH17" s="458">
        <f t="shared" si="1"/>
        <v>0</v>
      </c>
    </row>
    <row r="18" spans="1:34">
      <c r="A18" s="434" t="s">
        <v>219</v>
      </c>
      <c r="B18" s="5"/>
      <c r="C18" s="5"/>
      <c r="D18" s="5">
        <v>0.5</v>
      </c>
      <c r="E18" s="5">
        <v>0.2</v>
      </c>
      <c r="F18" s="5"/>
      <c r="G18" s="5"/>
      <c r="H18" s="5"/>
      <c r="I18" s="5"/>
      <c r="J18" s="5"/>
      <c r="K18" s="5"/>
      <c r="L18" s="5"/>
      <c r="M18" s="5"/>
      <c r="N18" s="5"/>
      <c r="O18" s="435"/>
      <c r="P18" s="5"/>
      <c r="Q18" s="5"/>
      <c r="R18" s="5"/>
      <c r="S18" s="5"/>
      <c r="T18" s="5"/>
      <c r="U18" s="5"/>
      <c r="V18" s="5"/>
      <c r="W18" s="5"/>
      <c r="X18" s="5">
        <v>0.94</v>
      </c>
      <c r="Y18" s="5">
        <v>0.88900000000000001</v>
      </c>
      <c r="Z18" s="5"/>
      <c r="AA18" s="5">
        <v>1.65</v>
      </c>
      <c r="AB18" s="5"/>
      <c r="AC18" s="5">
        <v>0.84</v>
      </c>
      <c r="AD18" s="5">
        <v>0.69799999999999995</v>
      </c>
      <c r="AE18" s="5"/>
      <c r="AF18" s="5"/>
      <c r="AG18" s="5">
        <f t="shared" si="0"/>
        <v>5.7170000000000005</v>
      </c>
      <c r="AH18" s="458">
        <f t="shared" si="1"/>
        <v>6.4056022408963589E-2</v>
      </c>
    </row>
    <row r="19" spans="1:34">
      <c r="A19" s="434" t="s">
        <v>285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f t="shared" si="0"/>
        <v>0</v>
      </c>
      <c r="AH19" s="458">
        <f t="shared" si="1"/>
        <v>0</v>
      </c>
    </row>
    <row r="20" spans="1:34">
      <c r="A20" s="434" t="s">
        <v>220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 t="shared" si="0"/>
        <v>0</v>
      </c>
      <c r="AH20" s="458">
        <f t="shared" si="1"/>
        <v>0</v>
      </c>
    </row>
    <row r="21" spans="1:34">
      <c r="A21" s="434" t="s">
        <v>221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58">
        <f t="shared" si="1"/>
        <v>0</v>
      </c>
    </row>
    <row r="22" spans="1:34">
      <c r="A22" s="434" t="s">
        <v>222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0</v>
      </c>
      <c r="AH22" s="458">
        <f t="shared" si="1"/>
        <v>0</v>
      </c>
    </row>
    <row r="23" spans="1:34">
      <c r="A23" s="434" t="s">
        <v>223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si="0"/>
        <v>0</v>
      </c>
      <c r="AH23" s="458">
        <f t="shared" si="1"/>
        <v>0</v>
      </c>
    </row>
    <row r="24" spans="1:34">
      <c r="A24" s="434" t="s">
        <v>381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0"/>
        <v>0</v>
      </c>
      <c r="AH24" s="458">
        <f t="shared" si="1"/>
        <v>0</v>
      </c>
    </row>
    <row r="25" spans="1:34">
      <c r="A25" s="434" t="s">
        <v>224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0</v>
      </c>
      <c r="AH25" s="458">
        <f t="shared" si="1"/>
        <v>0</v>
      </c>
    </row>
    <row r="26" spans="1:34">
      <c r="A26" s="434" t="s">
        <v>382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58">
        <f t="shared" si="1"/>
        <v>0</v>
      </c>
    </row>
    <row r="27" spans="1:34">
      <c r="A27" s="434" t="s">
        <v>383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58">
        <f t="shared" si="1"/>
        <v>0</v>
      </c>
    </row>
    <row r="28" spans="1:34">
      <c r="A28" s="434" t="s">
        <v>225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1.24</v>
      </c>
      <c r="P28" s="5">
        <v>1.79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3.0300000000000002</v>
      </c>
      <c r="AH28" s="458">
        <f t="shared" si="1"/>
        <v>3.3949579831932773E-2</v>
      </c>
    </row>
    <row r="29" spans="1:34">
      <c r="A29" s="434" t="s">
        <v>384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0"/>
        <v>0</v>
      </c>
      <c r="AH29" s="458">
        <f t="shared" si="1"/>
        <v>0</v>
      </c>
    </row>
    <row r="30" spans="1:34">
      <c r="A30" s="434" t="s">
        <v>385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</v>
      </c>
      <c r="AH30" s="458">
        <f t="shared" si="1"/>
        <v>0</v>
      </c>
    </row>
    <row r="31" spans="1:34">
      <c r="A31" s="434" t="s">
        <v>386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58">
        <f t="shared" si="1"/>
        <v>0</v>
      </c>
    </row>
    <row r="32" spans="1:34">
      <c r="A32" s="434" t="s">
        <v>392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0"/>
        <v>0</v>
      </c>
      <c r="AH32" s="458">
        <f t="shared" si="1"/>
        <v>0</v>
      </c>
    </row>
    <row r="33" spans="1:34">
      <c r="A33" s="434" t="s">
        <v>387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f t="shared" si="0"/>
        <v>0</v>
      </c>
      <c r="AH33" s="458">
        <f t="shared" si="1"/>
        <v>0</v>
      </c>
    </row>
    <row r="34" spans="1:34">
      <c r="A34" s="434" t="s">
        <v>226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58">
        <f t="shared" si="1"/>
        <v>0</v>
      </c>
    </row>
    <row r="35" spans="1:34">
      <c r="A35" s="434" t="s">
        <v>388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58">
        <f t="shared" si="1"/>
        <v>0</v>
      </c>
    </row>
    <row r="36" spans="1:34">
      <c r="A36" s="434" t="s">
        <v>389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0</v>
      </c>
      <c r="AH36" s="458">
        <f t="shared" si="1"/>
        <v>0</v>
      </c>
    </row>
    <row r="37" spans="1:34">
      <c r="A37" s="434" t="s">
        <v>390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58">
        <f>+AG37/$AG$39</f>
        <v>0</v>
      </c>
    </row>
    <row r="38" spans="1:34">
      <c r="A38" s="46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70">
        <f>+AG39/Efficiency1!$K$155</f>
        <v>5.4345986333588461E-2</v>
      </c>
    </row>
    <row r="39" spans="1:34">
      <c r="A39" s="437" t="s">
        <v>2</v>
      </c>
      <c r="B39" s="5">
        <f t="shared" ref="B39:AF39" si="2">SUM(B3:B37)</f>
        <v>11.15</v>
      </c>
      <c r="C39" s="5">
        <f t="shared" si="2"/>
        <v>8.7970000000000006</v>
      </c>
      <c r="D39" s="5">
        <f t="shared" si="2"/>
        <v>10.452</v>
      </c>
      <c r="E39" s="5">
        <f t="shared" si="2"/>
        <v>8.1490000000000009</v>
      </c>
      <c r="F39" s="5">
        <f t="shared" si="2"/>
        <v>8.6560000000000006</v>
      </c>
      <c r="G39" s="5">
        <f t="shared" si="2"/>
        <v>6.2119999999999997</v>
      </c>
      <c r="H39" s="5">
        <f t="shared" si="2"/>
        <v>6.4889999999999999</v>
      </c>
      <c r="I39" s="5">
        <f t="shared" si="2"/>
        <v>7.1980000000000004</v>
      </c>
      <c r="J39" s="5">
        <f t="shared" si="2"/>
        <v>1.88</v>
      </c>
      <c r="K39" s="5">
        <f t="shared" si="2"/>
        <v>12.682</v>
      </c>
      <c r="L39" s="5">
        <f t="shared" si="2"/>
        <v>7.9789999999999992</v>
      </c>
      <c r="M39" s="5">
        <f t="shared" si="2"/>
        <v>7.4579999999999984</v>
      </c>
      <c r="N39" s="5">
        <f t="shared" si="2"/>
        <v>9.4350000000000005</v>
      </c>
      <c r="O39" s="6">
        <f t="shared" si="2"/>
        <v>19.138000000000002</v>
      </c>
      <c r="P39" s="5">
        <f t="shared" si="2"/>
        <v>20.914999999999996</v>
      </c>
      <c r="Q39" s="5">
        <f t="shared" si="2"/>
        <v>11.025</v>
      </c>
      <c r="R39" s="5">
        <f t="shared" si="2"/>
        <v>10.848000000000001</v>
      </c>
      <c r="S39" s="5">
        <f t="shared" si="2"/>
        <v>7.3379999999999992</v>
      </c>
      <c r="T39" s="5">
        <f t="shared" si="2"/>
        <v>6.6079999999999997</v>
      </c>
      <c r="U39" s="5">
        <f t="shared" si="2"/>
        <v>8.5830000000000002</v>
      </c>
      <c r="V39" s="5">
        <f t="shared" si="2"/>
        <v>10.323</v>
      </c>
      <c r="W39" s="5">
        <f t="shared" si="2"/>
        <v>9.35</v>
      </c>
      <c r="X39" s="5">
        <f t="shared" si="2"/>
        <v>24.077999999999999</v>
      </c>
      <c r="Y39" s="5">
        <f t="shared" si="2"/>
        <v>17.806999999999999</v>
      </c>
      <c r="Z39" s="5">
        <f t="shared" si="2"/>
        <v>12.739999999999998</v>
      </c>
      <c r="AA39" s="5">
        <f t="shared" si="2"/>
        <v>14.228000000000002</v>
      </c>
      <c r="AB39" s="5">
        <f t="shared" si="2"/>
        <v>17.347000000000001</v>
      </c>
      <c r="AC39" s="5">
        <f t="shared" si="2"/>
        <v>15.898</v>
      </c>
      <c r="AD39" s="5">
        <f t="shared" si="2"/>
        <v>14.138</v>
      </c>
      <c r="AE39" s="5">
        <f t="shared" si="2"/>
        <v>18.852</v>
      </c>
      <c r="AF39" s="5">
        <f t="shared" si="2"/>
        <v>17.849999999999998</v>
      </c>
      <c r="AG39" s="16">
        <f>SUM(AG6:AG38)</f>
        <v>89.25</v>
      </c>
      <c r="AH39" s="471">
        <f>SUM(AH6:AH37)</f>
        <v>1</v>
      </c>
    </row>
  </sheetData>
  <mergeCells count="1">
    <mergeCell ref="AI3:A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0"/>
  <sheetViews>
    <sheetView topLeftCell="A121" workbookViewId="0">
      <selection activeCell="F5" sqref="C5:F5"/>
    </sheetView>
  </sheetViews>
  <sheetFormatPr defaultColWidth="9.140625" defaultRowHeight="12.75"/>
  <cols>
    <col min="1" max="1" width="9.140625" style="446"/>
    <col min="2" max="2" width="10.85546875" style="459" bestFit="1" customWidth="1"/>
    <col min="3" max="3" width="11.85546875" style="449" customWidth="1"/>
    <col min="4" max="4" width="43.42578125" style="446" customWidth="1"/>
    <col min="5" max="6" width="23.140625" style="446" bestFit="1" customWidth="1"/>
    <col min="7" max="7" width="9.140625" style="446"/>
    <col min="8" max="8" width="30.7109375" style="446" bestFit="1" customWidth="1"/>
    <col min="9" max="9" width="9.140625" style="446"/>
    <col min="10" max="10" width="12" style="446" customWidth="1"/>
    <col min="11" max="12" width="9.140625" style="446"/>
    <col min="13" max="13" width="10.85546875" style="459" bestFit="1" customWidth="1"/>
    <col min="14" max="14" width="11.85546875" style="449" customWidth="1"/>
    <col min="15" max="15" width="43.5703125" style="446" customWidth="1"/>
    <col min="16" max="17" width="23.140625" style="446" bestFit="1" customWidth="1"/>
    <col min="18" max="18" width="9.140625" style="446"/>
    <col min="19" max="19" width="30.7109375" style="446" bestFit="1" customWidth="1"/>
    <col min="20" max="20" width="9.140625" style="446"/>
    <col min="21" max="21" width="12" style="446" customWidth="1"/>
    <col min="22" max="16384" width="9.140625" style="446"/>
  </cols>
  <sheetData>
    <row r="1" spans="1:21" ht="30">
      <c r="A1" s="442" t="s">
        <v>235</v>
      </c>
      <c r="B1" s="443" t="s">
        <v>7</v>
      </c>
      <c r="C1" s="444" t="s">
        <v>240</v>
      </c>
      <c r="D1" s="445" t="s">
        <v>141</v>
      </c>
      <c r="E1" s="445" t="s">
        <v>241</v>
      </c>
      <c r="F1" s="445" t="s">
        <v>242</v>
      </c>
      <c r="H1" s="447" t="s">
        <v>243</v>
      </c>
      <c r="I1" s="448" t="s">
        <v>244</v>
      </c>
      <c r="J1" s="448" t="s">
        <v>245</v>
      </c>
      <c r="L1" s="442" t="s">
        <v>370</v>
      </c>
      <c r="M1" s="443" t="s">
        <v>7</v>
      </c>
      <c r="N1" s="444" t="s">
        <v>240</v>
      </c>
      <c r="O1" s="445" t="s">
        <v>141</v>
      </c>
      <c r="P1" s="445" t="s">
        <v>241</v>
      </c>
      <c r="Q1" s="445" t="s">
        <v>242</v>
      </c>
      <c r="S1" s="509" t="s">
        <v>243</v>
      </c>
      <c r="T1" s="448" t="s">
        <v>244</v>
      </c>
      <c r="U1" s="448" t="s">
        <v>245</v>
      </c>
    </row>
    <row r="2" spans="1:21">
      <c r="B2" s="40">
        <v>45931</v>
      </c>
      <c r="C2" s="449">
        <v>0</v>
      </c>
      <c r="D2" s="450" t="s">
        <v>404</v>
      </c>
      <c r="E2" s="446" t="s">
        <v>246</v>
      </c>
      <c r="F2" s="446" t="s">
        <v>247</v>
      </c>
      <c r="H2" s="451" t="s">
        <v>161</v>
      </c>
      <c r="I2" s="452">
        <f>+Efficiency1!Z155</f>
        <v>25.168000000000003</v>
      </c>
      <c r="J2" s="453">
        <f>I2/$I$8</f>
        <v>1.5325263686764757E-2</v>
      </c>
      <c r="M2" s="40">
        <v>45931</v>
      </c>
      <c r="N2" s="449">
        <v>0</v>
      </c>
      <c r="O2" s="450" t="s">
        <v>404</v>
      </c>
      <c r="P2" s="446" t="s">
        <v>246</v>
      </c>
      <c r="Q2" s="446" t="s">
        <v>247</v>
      </c>
      <c r="S2" s="451" t="s">
        <v>161</v>
      </c>
      <c r="T2" s="452">
        <f>+Efficiency2!Z155</f>
        <v>25.168000000000003</v>
      </c>
      <c r="U2" s="453">
        <f>T2/$T$8</f>
        <v>1.5492912091058705E-2</v>
      </c>
    </row>
    <row r="3" spans="1:21">
      <c r="B3" s="40"/>
      <c r="C3" s="449">
        <v>15</v>
      </c>
      <c r="D3" s="450" t="s">
        <v>429</v>
      </c>
      <c r="E3" s="446" t="s">
        <v>248</v>
      </c>
      <c r="F3" s="446" t="s">
        <v>247</v>
      </c>
      <c r="H3" s="451" t="s">
        <v>249</v>
      </c>
      <c r="I3" s="452">
        <f>+Efficiency1!AA155+Efficiency1!Y155</f>
        <v>126.39378818257973</v>
      </c>
      <c r="J3" s="453">
        <f>I3/$I$8</f>
        <v>7.6963530366621319E-2</v>
      </c>
      <c r="M3" s="40"/>
      <c r="N3" s="449">
        <v>15</v>
      </c>
      <c r="O3" s="450" t="s">
        <v>429</v>
      </c>
      <c r="P3" s="446" t="s">
        <v>248</v>
      </c>
      <c r="Q3" s="446" t="s">
        <v>247</v>
      </c>
      <c r="S3" s="451" t="s">
        <v>249</v>
      </c>
      <c r="T3" s="452">
        <f>+Efficiency2!Y155+Efficiency2!AA155</f>
        <v>126.39378818257973</v>
      </c>
      <c r="U3" s="453">
        <f>T3/$T$8</f>
        <v>7.7805461267029641E-2</v>
      </c>
    </row>
    <row r="4" spans="1:21">
      <c r="B4" s="40"/>
      <c r="C4" s="449">
        <v>20</v>
      </c>
      <c r="D4" s="450" t="s">
        <v>430</v>
      </c>
      <c r="E4" s="446" t="s">
        <v>250</v>
      </c>
      <c r="F4" s="446" t="s">
        <v>247</v>
      </c>
      <c r="H4" s="451" t="s">
        <v>251</v>
      </c>
      <c r="I4" s="452">
        <f>+Efficiency1!AB155</f>
        <v>-0.62626360134423731</v>
      </c>
      <c r="J4" s="453">
        <f>I4/$I$8</f>
        <v>-3.8134356436837888E-4</v>
      </c>
      <c r="M4" s="40"/>
      <c r="N4" s="449">
        <v>20</v>
      </c>
      <c r="O4" s="450" t="s">
        <v>430</v>
      </c>
      <c r="P4" s="446" t="s">
        <v>250</v>
      </c>
      <c r="Q4" s="446" t="s">
        <v>247</v>
      </c>
      <c r="S4" s="451" t="s">
        <v>251</v>
      </c>
      <c r="T4" s="452">
        <f>+Efficiency2!AB155</f>
        <v>-0.14198400134423128</v>
      </c>
      <c r="U4" s="453">
        <f>T4/$T$8</f>
        <v>-8.7402481371699609E-5</v>
      </c>
    </row>
    <row r="5" spans="1:21" ht="15" customHeight="1">
      <c r="B5" s="40"/>
      <c r="C5" s="449">
        <v>545</v>
      </c>
      <c r="D5" s="450" t="s">
        <v>439</v>
      </c>
      <c r="E5" s="450" t="s">
        <v>440</v>
      </c>
      <c r="F5" s="446" t="s">
        <v>305</v>
      </c>
      <c r="H5" s="451" t="s">
        <v>253</v>
      </c>
      <c r="I5" s="452">
        <f>+Efficiency1!AC155</f>
        <v>16.876957427363692</v>
      </c>
      <c r="J5" s="453">
        <f>I5/$I$8</f>
        <v>1.027669353165335E-2</v>
      </c>
      <c r="M5" s="40"/>
      <c r="N5" s="449">
        <v>223</v>
      </c>
      <c r="O5" s="450" t="s">
        <v>439</v>
      </c>
      <c r="P5" s="450" t="s">
        <v>440</v>
      </c>
      <c r="Q5" s="446" t="s">
        <v>305</v>
      </c>
      <c r="S5" s="451" t="s">
        <v>253</v>
      </c>
      <c r="T5" s="452">
        <f>+Efficiency2!AC155</f>
        <v>16.06326342736369</v>
      </c>
      <c r="U5" s="453">
        <f>T5/$T$8</f>
        <v>9.888220286699936E-3</v>
      </c>
    </row>
    <row r="6" spans="1:21" ht="15" customHeight="1">
      <c r="B6" s="40"/>
      <c r="D6" s="450"/>
      <c r="M6" s="40"/>
      <c r="O6" s="450"/>
    </row>
    <row r="7" spans="1:21" ht="12.75" customHeight="1">
      <c r="B7" s="40">
        <v>45932</v>
      </c>
      <c r="C7" s="449">
        <v>10</v>
      </c>
      <c r="D7" s="450" t="s">
        <v>456</v>
      </c>
      <c r="E7" s="446" t="s">
        <v>246</v>
      </c>
      <c r="F7" s="446" t="s">
        <v>247</v>
      </c>
      <c r="I7" s="454"/>
      <c r="J7" s="455"/>
      <c r="M7" s="40">
        <v>45932</v>
      </c>
      <c r="N7" s="449">
        <v>10</v>
      </c>
      <c r="O7" s="450" t="s">
        <v>456</v>
      </c>
      <c r="P7" s="446" t="s">
        <v>246</v>
      </c>
      <c r="Q7" s="446" t="s">
        <v>247</v>
      </c>
      <c r="T7" s="454"/>
      <c r="U7" s="455"/>
    </row>
    <row r="8" spans="1:21" ht="12.75" customHeight="1">
      <c r="B8" s="40"/>
      <c r="C8" s="449">
        <v>18</v>
      </c>
      <c r="D8" s="450" t="s">
        <v>462</v>
      </c>
      <c r="E8" s="446" t="s">
        <v>248</v>
      </c>
      <c r="F8" s="446" t="s">
        <v>247</v>
      </c>
      <c r="H8" s="456" t="s">
        <v>255</v>
      </c>
      <c r="I8" s="457">
        <f>+Efficiency1!K155</f>
        <v>1642.2555927527469</v>
      </c>
      <c r="M8" s="40"/>
      <c r="N8" s="449">
        <v>18</v>
      </c>
      <c r="O8" s="450" t="s">
        <v>462</v>
      </c>
      <c r="P8" s="446" t="s">
        <v>248</v>
      </c>
      <c r="Q8" s="446" t="s">
        <v>247</v>
      </c>
      <c r="S8" s="456" t="s">
        <v>255</v>
      </c>
      <c r="T8" s="457">
        <f>+Efficiency2!K155</f>
        <v>1624.484787112747</v>
      </c>
    </row>
    <row r="9" spans="1:21" ht="12.75" customHeight="1">
      <c r="B9" s="40"/>
      <c r="C9" s="449">
        <v>23</v>
      </c>
      <c r="D9" s="450" t="s">
        <v>463</v>
      </c>
      <c r="E9" s="446" t="s">
        <v>250</v>
      </c>
      <c r="F9" s="446" t="s">
        <v>247</v>
      </c>
      <c r="H9" s="456" t="s">
        <v>256</v>
      </c>
      <c r="I9" s="457">
        <f>+Efficiency1!AD155</f>
        <v>2427</v>
      </c>
      <c r="M9" s="40"/>
      <c r="N9" s="449">
        <v>23</v>
      </c>
      <c r="O9" s="450" t="s">
        <v>463</v>
      </c>
      <c r="P9" s="446" t="s">
        <v>250</v>
      </c>
      <c r="Q9" s="446" t="s">
        <v>247</v>
      </c>
      <c r="S9" s="456" t="s">
        <v>256</v>
      </c>
      <c r="T9" s="457">
        <f>+Efficiency2!AD155</f>
        <v>1933</v>
      </c>
    </row>
    <row r="10" spans="1:21" ht="15" customHeight="1">
      <c r="B10" s="40"/>
      <c r="D10" s="450"/>
      <c r="H10" s="456" t="s">
        <v>257</v>
      </c>
      <c r="I10" s="457">
        <f>+Efficiency1!V155</f>
        <v>87.063110744147892</v>
      </c>
      <c r="M10" s="40"/>
      <c r="O10" s="450"/>
      <c r="S10" s="456" t="s">
        <v>257</v>
      </c>
      <c r="T10" s="457">
        <f>+Efficiency2!V155</f>
        <v>69.621719504147876</v>
      </c>
    </row>
    <row r="11" spans="1:21" ht="12.75" customHeight="1">
      <c r="B11" s="40">
        <v>45933</v>
      </c>
      <c r="C11" s="449">
        <v>30</v>
      </c>
      <c r="D11" s="450" t="s">
        <v>491</v>
      </c>
      <c r="E11" s="446" t="s">
        <v>246</v>
      </c>
      <c r="F11" s="446" t="s">
        <v>247</v>
      </c>
      <c r="G11" s="490">
        <f>+summary!H43</f>
        <v>1</v>
      </c>
      <c r="H11" s="456" t="s">
        <v>258</v>
      </c>
      <c r="I11" s="458">
        <f>I10/I8</f>
        <v>5.3014348758108239E-2</v>
      </c>
      <c r="M11" s="40">
        <v>45933</v>
      </c>
      <c r="N11" s="449">
        <v>30</v>
      </c>
      <c r="O11" s="450" t="s">
        <v>491</v>
      </c>
      <c r="P11" s="446" t="s">
        <v>246</v>
      </c>
      <c r="Q11" s="446" t="s">
        <v>247</v>
      </c>
      <c r="R11" s="490">
        <f>+summary!Q43</f>
        <v>1</v>
      </c>
      <c r="S11" s="456" t="s">
        <v>258</v>
      </c>
      <c r="T11" s="458">
        <f>T10/T8</f>
        <v>4.2857723295697321E-2</v>
      </c>
    </row>
    <row r="12" spans="1:21">
      <c r="B12" s="40"/>
      <c r="C12" s="449">
        <v>16</v>
      </c>
      <c r="D12" s="446" t="s">
        <v>493</v>
      </c>
      <c r="E12" s="446" t="s">
        <v>248</v>
      </c>
      <c r="F12" s="446" t="s">
        <v>247</v>
      </c>
      <c r="M12" s="40"/>
      <c r="N12" s="449">
        <v>16</v>
      </c>
      <c r="O12" s="446" t="s">
        <v>493</v>
      </c>
      <c r="P12" s="446" t="s">
        <v>248</v>
      </c>
      <c r="Q12" s="446" t="s">
        <v>247</v>
      </c>
    </row>
    <row r="13" spans="1:21">
      <c r="B13" s="40"/>
      <c r="C13" s="449">
        <v>29</v>
      </c>
      <c r="D13" s="446" t="s">
        <v>494</v>
      </c>
      <c r="E13" s="446" t="s">
        <v>250</v>
      </c>
      <c r="F13" s="446" t="s">
        <v>247</v>
      </c>
      <c r="M13" s="40"/>
      <c r="N13" s="449">
        <v>29</v>
      </c>
      <c r="O13" s="446" t="s">
        <v>494</v>
      </c>
      <c r="P13" s="446" t="s">
        <v>250</v>
      </c>
      <c r="Q13" s="446" t="s">
        <v>247</v>
      </c>
    </row>
    <row r="14" spans="1:21">
      <c r="B14" s="40"/>
      <c r="C14" s="449">
        <v>36</v>
      </c>
      <c r="D14" s="446" t="s">
        <v>495</v>
      </c>
      <c r="E14" s="446" t="s">
        <v>496</v>
      </c>
      <c r="F14" s="446" t="s">
        <v>252</v>
      </c>
      <c r="M14" s="40"/>
      <c r="N14" s="449">
        <v>36</v>
      </c>
      <c r="O14" s="446" t="s">
        <v>495</v>
      </c>
      <c r="P14" s="446" t="s">
        <v>496</v>
      </c>
      <c r="Q14" s="446" t="s">
        <v>252</v>
      </c>
    </row>
    <row r="15" spans="1:21">
      <c r="B15" s="40"/>
      <c r="M15" s="40"/>
    </row>
    <row r="16" spans="1:21">
      <c r="B16" s="40">
        <v>45934</v>
      </c>
      <c r="C16" s="449">
        <v>20</v>
      </c>
      <c r="D16" s="446" t="s">
        <v>515</v>
      </c>
      <c r="E16" s="446" t="s">
        <v>246</v>
      </c>
      <c r="F16" s="446" t="s">
        <v>247</v>
      </c>
      <c r="M16" s="40">
        <v>45934</v>
      </c>
      <c r="N16" s="449">
        <v>20</v>
      </c>
      <c r="O16" s="446" t="s">
        <v>515</v>
      </c>
      <c r="P16" s="446" t="s">
        <v>246</v>
      </c>
      <c r="Q16" s="446" t="s">
        <v>247</v>
      </c>
    </row>
    <row r="17" spans="2:17">
      <c r="B17" s="40"/>
      <c r="C17" s="449">
        <v>14</v>
      </c>
      <c r="D17" s="446" t="s">
        <v>524</v>
      </c>
      <c r="E17" s="446" t="s">
        <v>248</v>
      </c>
      <c r="F17" s="446" t="s">
        <v>247</v>
      </c>
      <c r="M17" s="40"/>
      <c r="N17" s="449">
        <v>14</v>
      </c>
      <c r="O17" s="446" t="s">
        <v>524</v>
      </c>
      <c r="P17" s="446" t="s">
        <v>248</v>
      </c>
      <c r="Q17" s="446" t="s">
        <v>247</v>
      </c>
    </row>
    <row r="18" spans="2:17">
      <c r="B18" s="40"/>
      <c r="C18" s="449">
        <v>27</v>
      </c>
      <c r="D18" s="446" t="s">
        <v>525</v>
      </c>
      <c r="E18" s="446" t="s">
        <v>250</v>
      </c>
      <c r="F18" s="446" t="s">
        <v>247</v>
      </c>
      <c r="M18" s="40"/>
      <c r="N18" s="449">
        <v>27</v>
      </c>
      <c r="O18" s="446" t="s">
        <v>525</v>
      </c>
      <c r="P18" s="446" t="s">
        <v>250</v>
      </c>
      <c r="Q18" s="446" t="s">
        <v>247</v>
      </c>
    </row>
    <row r="19" spans="2:17">
      <c r="B19" s="40"/>
      <c r="M19" s="40"/>
    </row>
    <row r="20" spans="2:17">
      <c r="B20" s="40"/>
      <c r="M20" s="40"/>
    </row>
    <row r="21" spans="2:17">
      <c r="B21" s="40">
        <v>45935</v>
      </c>
      <c r="C21" s="449">
        <v>15</v>
      </c>
      <c r="D21" s="446" t="s">
        <v>526</v>
      </c>
      <c r="E21" s="446" t="s">
        <v>246</v>
      </c>
      <c r="F21" s="446" t="s">
        <v>247</v>
      </c>
      <c r="M21" s="40">
        <v>45935</v>
      </c>
      <c r="N21" s="449">
        <v>15</v>
      </c>
      <c r="O21" s="446" t="s">
        <v>526</v>
      </c>
      <c r="P21" s="446" t="s">
        <v>246</v>
      </c>
      <c r="Q21" s="446" t="s">
        <v>247</v>
      </c>
    </row>
    <row r="22" spans="2:17">
      <c r="B22" s="40"/>
      <c r="C22" s="449">
        <v>16</v>
      </c>
      <c r="D22" s="446" t="s">
        <v>462</v>
      </c>
      <c r="E22" s="446" t="s">
        <v>248</v>
      </c>
      <c r="F22" s="446" t="s">
        <v>247</v>
      </c>
      <c r="M22" s="40"/>
      <c r="N22" s="449">
        <v>16</v>
      </c>
      <c r="O22" s="446" t="s">
        <v>462</v>
      </c>
      <c r="P22" s="446" t="s">
        <v>248</v>
      </c>
      <c r="Q22" s="446" t="s">
        <v>247</v>
      </c>
    </row>
    <row r="23" spans="2:17">
      <c r="B23" s="40"/>
      <c r="C23" s="449">
        <v>29</v>
      </c>
      <c r="D23" s="446" t="s">
        <v>527</v>
      </c>
      <c r="E23" s="446" t="s">
        <v>250</v>
      </c>
      <c r="F23" s="446" t="s">
        <v>247</v>
      </c>
      <c r="M23" s="40"/>
      <c r="N23" s="449">
        <v>29</v>
      </c>
      <c r="O23" s="446" t="s">
        <v>527</v>
      </c>
      <c r="P23" s="446" t="s">
        <v>250</v>
      </c>
      <c r="Q23" s="446" t="s">
        <v>247</v>
      </c>
    </row>
    <row r="24" spans="2:17">
      <c r="B24" s="40"/>
      <c r="M24" s="40"/>
    </row>
    <row r="25" spans="2:17">
      <c r="B25" s="40">
        <v>45936</v>
      </c>
      <c r="C25" s="449">
        <v>40</v>
      </c>
      <c r="D25" s="446" t="s">
        <v>526</v>
      </c>
      <c r="E25" s="446" t="s">
        <v>246</v>
      </c>
      <c r="F25" s="446" t="s">
        <v>247</v>
      </c>
      <c r="M25" s="40">
        <v>45936</v>
      </c>
      <c r="N25" s="449">
        <v>40</v>
      </c>
      <c r="O25" s="446" t="s">
        <v>526</v>
      </c>
      <c r="P25" s="446" t="s">
        <v>246</v>
      </c>
      <c r="Q25" s="446" t="s">
        <v>247</v>
      </c>
    </row>
    <row r="26" spans="2:17">
      <c r="B26" s="40"/>
      <c r="C26" s="449">
        <v>23</v>
      </c>
      <c r="D26" s="446" t="s">
        <v>493</v>
      </c>
      <c r="E26" s="446" t="s">
        <v>248</v>
      </c>
      <c r="F26" s="446" t="s">
        <v>247</v>
      </c>
      <c r="M26" s="40"/>
      <c r="N26" s="449">
        <v>23</v>
      </c>
      <c r="O26" s="446" t="s">
        <v>493</v>
      </c>
      <c r="P26" s="446" t="s">
        <v>248</v>
      </c>
      <c r="Q26" s="446" t="s">
        <v>247</v>
      </c>
    </row>
    <row r="27" spans="2:17">
      <c r="B27" s="40"/>
      <c r="C27" s="449">
        <v>32</v>
      </c>
      <c r="D27" s="446" t="s">
        <v>527</v>
      </c>
      <c r="E27" s="446" t="s">
        <v>250</v>
      </c>
      <c r="F27" s="446" t="s">
        <v>247</v>
      </c>
      <c r="M27" s="40"/>
      <c r="N27" s="449">
        <v>32</v>
      </c>
      <c r="O27" s="446" t="s">
        <v>527</v>
      </c>
      <c r="P27" s="446" t="s">
        <v>250</v>
      </c>
      <c r="Q27" s="446" t="s">
        <v>247</v>
      </c>
    </row>
    <row r="28" spans="2:17">
      <c r="B28" s="40"/>
      <c r="M28" s="40"/>
    </row>
    <row r="29" spans="2:17">
      <c r="B29" s="40">
        <v>45937</v>
      </c>
      <c r="C29" s="449">
        <v>30</v>
      </c>
      <c r="D29" s="446" t="s">
        <v>491</v>
      </c>
      <c r="E29" s="446" t="s">
        <v>246</v>
      </c>
      <c r="F29" s="446" t="s">
        <v>247</v>
      </c>
      <c r="M29" s="40">
        <v>45937</v>
      </c>
      <c r="N29" s="449">
        <v>30</v>
      </c>
      <c r="O29" s="446" t="s">
        <v>491</v>
      </c>
      <c r="P29" s="446" t="s">
        <v>246</v>
      </c>
      <c r="Q29" s="446" t="s">
        <v>247</v>
      </c>
    </row>
    <row r="30" spans="2:17">
      <c r="B30" s="40"/>
      <c r="C30" s="449">
        <v>23</v>
      </c>
      <c r="D30" s="446" t="s">
        <v>556</v>
      </c>
      <c r="E30" s="446" t="s">
        <v>248</v>
      </c>
      <c r="F30" s="446" t="s">
        <v>247</v>
      </c>
      <c r="M30" s="40"/>
      <c r="N30" s="449">
        <v>23</v>
      </c>
      <c r="O30" s="446" t="s">
        <v>556</v>
      </c>
      <c r="P30" s="446" t="s">
        <v>248</v>
      </c>
      <c r="Q30" s="446" t="s">
        <v>247</v>
      </c>
    </row>
    <row r="31" spans="2:17">
      <c r="B31" s="40"/>
      <c r="C31" s="449">
        <v>30</v>
      </c>
      <c r="D31" s="446" t="s">
        <v>494</v>
      </c>
      <c r="E31" s="446" t="s">
        <v>250</v>
      </c>
      <c r="F31" s="446" t="s">
        <v>247</v>
      </c>
      <c r="M31" s="40"/>
      <c r="N31" s="449">
        <v>30</v>
      </c>
      <c r="O31" s="446" t="s">
        <v>494</v>
      </c>
      <c r="P31" s="446" t="s">
        <v>250</v>
      </c>
      <c r="Q31" s="446" t="s">
        <v>247</v>
      </c>
    </row>
    <row r="32" spans="2:17">
      <c r="B32" s="40"/>
      <c r="M32" s="40"/>
    </row>
    <row r="33" spans="2:17">
      <c r="B33" s="40">
        <v>45938</v>
      </c>
      <c r="C33" s="449">
        <v>20</v>
      </c>
      <c r="D33" s="446" t="s">
        <v>515</v>
      </c>
      <c r="E33" s="446" t="s">
        <v>246</v>
      </c>
      <c r="F33" s="446" t="s">
        <v>247</v>
      </c>
      <c r="M33" s="40"/>
    </row>
    <row r="34" spans="2:17">
      <c r="B34" s="40"/>
      <c r="C34" s="449">
        <v>17</v>
      </c>
      <c r="D34" s="446" t="s">
        <v>569</v>
      </c>
      <c r="E34" s="446" t="s">
        <v>248</v>
      </c>
      <c r="F34" s="446" t="s">
        <v>247</v>
      </c>
      <c r="M34" s="40">
        <v>45938</v>
      </c>
      <c r="N34" s="449">
        <v>20</v>
      </c>
      <c r="O34" s="446" t="s">
        <v>515</v>
      </c>
      <c r="P34" s="446" t="s">
        <v>246</v>
      </c>
      <c r="Q34" s="446" t="s">
        <v>247</v>
      </c>
    </row>
    <row r="35" spans="2:17">
      <c r="B35" s="40"/>
      <c r="C35" s="449">
        <v>27</v>
      </c>
      <c r="D35" s="446" t="s">
        <v>570</v>
      </c>
      <c r="E35" s="446" t="s">
        <v>250</v>
      </c>
      <c r="F35" s="446" t="s">
        <v>247</v>
      </c>
      <c r="M35" s="40"/>
      <c r="N35" s="449">
        <v>17</v>
      </c>
      <c r="O35" s="446" t="s">
        <v>569</v>
      </c>
      <c r="P35" s="446" t="s">
        <v>248</v>
      </c>
      <c r="Q35" s="446" t="s">
        <v>247</v>
      </c>
    </row>
    <row r="36" spans="2:17">
      <c r="B36" s="40"/>
      <c r="M36" s="40"/>
      <c r="N36" s="449">
        <v>27</v>
      </c>
      <c r="O36" s="446" t="s">
        <v>570</v>
      </c>
      <c r="P36" s="446" t="s">
        <v>250</v>
      </c>
      <c r="Q36" s="446" t="s">
        <v>247</v>
      </c>
    </row>
    <row r="37" spans="2:17">
      <c r="B37" s="40">
        <v>45939</v>
      </c>
      <c r="C37" s="449">
        <v>25</v>
      </c>
      <c r="D37" s="446" t="s">
        <v>586</v>
      </c>
      <c r="E37" s="446" t="s">
        <v>246</v>
      </c>
      <c r="F37" s="446" t="s">
        <v>247</v>
      </c>
      <c r="M37" s="40"/>
    </row>
    <row r="38" spans="2:17">
      <c r="B38" s="40"/>
      <c r="C38" s="449">
        <v>18</v>
      </c>
      <c r="D38" s="446" t="s">
        <v>587</v>
      </c>
      <c r="E38" s="446" t="s">
        <v>248</v>
      </c>
      <c r="F38" s="446" t="s">
        <v>247</v>
      </c>
      <c r="M38" s="40">
        <v>45939</v>
      </c>
      <c r="N38" s="449">
        <v>25</v>
      </c>
      <c r="O38" s="446" t="s">
        <v>586</v>
      </c>
      <c r="P38" s="446" t="s">
        <v>246</v>
      </c>
      <c r="Q38" s="446" t="s">
        <v>247</v>
      </c>
    </row>
    <row r="39" spans="2:17">
      <c r="B39" s="40"/>
      <c r="C39" s="449">
        <v>32</v>
      </c>
      <c r="D39" s="446" t="s">
        <v>588</v>
      </c>
      <c r="E39" s="446" t="s">
        <v>250</v>
      </c>
      <c r="F39" s="446" t="s">
        <v>247</v>
      </c>
      <c r="M39" s="40"/>
      <c r="N39" s="449">
        <v>18</v>
      </c>
      <c r="O39" s="446" t="s">
        <v>587</v>
      </c>
      <c r="P39" s="446" t="s">
        <v>248</v>
      </c>
      <c r="Q39" s="446" t="s">
        <v>247</v>
      </c>
    </row>
    <row r="40" spans="2:17">
      <c r="B40" s="40"/>
      <c r="M40" s="40"/>
      <c r="N40" s="449">
        <v>32</v>
      </c>
      <c r="O40" s="446" t="s">
        <v>588</v>
      </c>
      <c r="P40" s="446" t="s">
        <v>250</v>
      </c>
      <c r="Q40" s="446" t="s">
        <v>247</v>
      </c>
    </row>
    <row r="41" spans="2:17">
      <c r="B41" s="40">
        <v>45940</v>
      </c>
      <c r="C41" s="449">
        <v>10</v>
      </c>
      <c r="D41" s="446" t="s">
        <v>456</v>
      </c>
      <c r="E41" s="446" t="s">
        <v>246</v>
      </c>
      <c r="F41" s="446" t="s">
        <v>247</v>
      </c>
      <c r="M41" s="40"/>
    </row>
    <row r="42" spans="2:17">
      <c r="B42" s="40"/>
      <c r="C42" s="449">
        <v>15</v>
      </c>
      <c r="D42" s="446" t="s">
        <v>601</v>
      </c>
      <c r="E42" s="446" t="s">
        <v>248</v>
      </c>
      <c r="F42" s="446" t="s">
        <v>247</v>
      </c>
      <c r="M42" s="40">
        <v>45940</v>
      </c>
      <c r="N42" s="449">
        <v>10</v>
      </c>
      <c r="O42" s="446" t="s">
        <v>456</v>
      </c>
      <c r="P42" s="446" t="s">
        <v>246</v>
      </c>
      <c r="Q42" s="446" t="s">
        <v>247</v>
      </c>
    </row>
    <row r="43" spans="2:17">
      <c r="B43" s="40"/>
      <c r="C43" s="449">
        <v>30</v>
      </c>
      <c r="D43" s="446" t="s">
        <v>527</v>
      </c>
      <c r="E43" s="446" t="s">
        <v>250</v>
      </c>
      <c r="F43" s="446" t="s">
        <v>247</v>
      </c>
      <c r="M43" s="40"/>
      <c r="N43" s="449">
        <v>15</v>
      </c>
      <c r="O43" s="446" t="s">
        <v>601</v>
      </c>
      <c r="P43" s="446" t="s">
        <v>248</v>
      </c>
      <c r="Q43" s="446" t="s">
        <v>247</v>
      </c>
    </row>
    <row r="44" spans="2:17">
      <c r="B44" s="40"/>
      <c r="M44" s="40"/>
      <c r="N44" s="449">
        <v>30</v>
      </c>
      <c r="O44" s="446" t="s">
        <v>527</v>
      </c>
      <c r="P44" s="446" t="s">
        <v>250</v>
      </c>
      <c r="Q44" s="446" t="s">
        <v>247</v>
      </c>
    </row>
    <row r="45" spans="2:17">
      <c r="B45" s="40">
        <v>45941</v>
      </c>
      <c r="C45" s="449">
        <v>0</v>
      </c>
      <c r="D45" s="446" t="s">
        <v>404</v>
      </c>
      <c r="E45" s="446" t="s">
        <v>246</v>
      </c>
      <c r="F45" s="446" t="s">
        <v>247</v>
      </c>
      <c r="M45" s="40"/>
    </row>
    <row r="46" spans="2:17">
      <c r="B46" s="40"/>
      <c r="C46" s="449">
        <v>9</v>
      </c>
      <c r="D46" s="446" t="s">
        <v>396</v>
      </c>
      <c r="E46" s="446" t="s">
        <v>248</v>
      </c>
      <c r="F46" s="446" t="s">
        <v>247</v>
      </c>
      <c r="M46" s="40">
        <v>45941</v>
      </c>
      <c r="N46" s="449">
        <v>0</v>
      </c>
      <c r="O46" s="446" t="s">
        <v>404</v>
      </c>
      <c r="P46" s="446" t="s">
        <v>246</v>
      </c>
      <c r="Q46" s="446" t="s">
        <v>247</v>
      </c>
    </row>
    <row r="47" spans="2:17">
      <c r="B47" s="40"/>
      <c r="C47" s="449">
        <v>26</v>
      </c>
      <c r="D47" s="446" t="s">
        <v>618</v>
      </c>
      <c r="E47" s="446" t="s">
        <v>250</v>
      </c>
      <c r="F47" s="446" t="s">
        <v>247</v>
      </c>
      <c r="M47" s="40"/>
      <c r="N47" s="449">
        <v>9</v>
      </c>
      <c r="O47" s="446" t="s">
        <v>396</v>
      </c>
      <c r="P47" s="446" t="s">
        <v>248</v>
      </c>
      <c r="Q47" s="446" t="s">
        <v>247</v>
      </c>
    </row>
    <row r="48" spans="2:17">
      <c r="B48" s="40"/>
      <c r="M48" s="40"/>
      <c r="N48" s="449">
        <v>26</v>
      </c>
      <c r="O48" s="446" t="s">
        <v>618</v>
      </c>
      <c r="P48" s="446" t="s">
        <v>250</v>
      </c>
      <c r="Q48" s="446" t="s">
        <v>247</v>
      </c>
    </row>
    <row r="49" spans="2:17">
      <c r="B49" s="40">
        <v>45942</v>
      </c>
      <c r="C49" s="449">
        <v>15</v>
      </c>
      <c r="D49" s="446" t="s">
        <v>526</v>
      </c>
      <c r="E49" s="446" t="s">
        <v>246</v>
      </c>
      <c r="F49" s="446" t="s">
        <v>247</v>
      </c>
      <c r="M49" s="40"/>
    </row>
    <row r="50" spans="2:17">
      <c r="B50" s="40"/>
      <c r="C50" s="449">
        <v>8</v>
      </c>
      <c r="D50" s="446" t="s">
        <v>599</v>
      </c>
      <c r="E50" s="446" t="s">
        <v>248</v>
      </c>
      <c r="F50" s="446" t="s">
        <v>247</v>
      </c>
      <c r="M50" s="40">
        <v>45942</v>
      </c>
      <c r="N50" s="449">
        <v>15</v>
      </c>
      <c r="O50" s="446" t="s">
        <v>526</v>
      </c>
      <c r="P50" s="446" t="s">
        <v>246</v>
      </c>
      <c r="Q50" s="446" t="s">
        <v>247</v>
      </c>
    </row>
    <row r="51" spans="2:17">
      <c r="B51" s="40"/>
      <c r="C51" s="449">
        <v>30</v>
      </c>
      <c r="D51" s="446" t="s">
        <v>494</v>
      </c>
      <c r="E51" s="446" t="s">
        <v>250</v>
      </c>
      <c r="F51" s="446" t="s">
        <v>247</v>
      </c>
      <c r="M51" s="40"/>
      <c r="N51" s="449">
        <v>8</v>
      </c>
      <c r="O51" s="446" t="s">
        <v>599</v>
      </c>
      <c r="P51" s="446" t="s">
        <v>248</v>
      </c>
      <c r="Q51" s="446" t="s">
        <v>247</v>
      </c>
    </row>
    <row r="52" spans="2:17">
      <c r="B52" s="40"/>
      <c r="C52" s="449">
        <v>25</v>
      </c>
      <c r="D52" s="446" t="s">
        <v>607</v>
      </c>
      <c r="E52" s="446" t="s">
        <v>623</v>
      </c>
      <c r="F52" s="446" t="s">
        <v>252</v>
      </c>
      <c r="M52" s="40"/>
      <c r="N52" s="449">
        <v>30</v>
      </c>
      <c r="O52" s="446" t="s">
        <v>494</v>
      </c>
      <c r="P52" s="446" t="s">
        <v>250</v>
      </c>
      <c r="Q52" s="446" t="s">
        <v>247</v>
      </c>
    </row>
    <row r="53" spans="2:17">
      <c r="B53" s="40"/>
      <c r="M53" s="40"/>
      <c r="N53" s="449">
        <v>25</v>
      </c>
      <c r="O53" s="446" t="s">
        <v>607</v>
      </c>
      <c r="P53" s="446" t="s">
        <v>623</v>
      </c>
      <c r="Q53" s="446" t="s">
        <v>252</v>
      </c>
    </row>
    <row r="54" spans="2:17">
      <c r="B54" s="40">
        <v>45943</v>
      </c>
      <c r="C54" s="449">
        <v>5</v>
      </c>
      <c r="D54" s="446" t="s">
        <v>522</v>
      </c>
      <c r="E54" s="446" t="s">
        <v>246</v>
      </c>
      <c r="F54" s="446" t="s">
        <v>247</v>
      </c>
      <c r="M54" s="40"/>
    </row>
    <row r="55" spans="2:17">
      <c r="B55" s="40"/>
      <c r="C55" s="449">
        <v>5</v>
      </c>
      <c r="D55" s="446" t="s">
        <v>513</v>
      </c>
      <c r="E55" s="446" t="s">
        <v>248</v>
      </c>
      <c r="F55" s="446" t="s">
        <v>247</v>
      </c>
      <c r="M55" s="40">
        <v>45943</v>
      </c>
      <c r="N55" s="449">
        <v>5</v>
      </c>
      <c r="O55" s="446" t="s">
        <v>522</v>
      </c>
      <c r="P55" s="446" t="s">
        <v>246</v>
      </c>
      <c r="Q55" s="446" t="s">
        <v>247</v>
      </c>
    </row>
    <row r="56" spans="2:17">
      <c r="B56" s="40"/>
      <c r="C56" s="449">
        <v>22</v>
      </c>
      <c r="D56" s="446" t="s">
        <v>639</v>
      </c>
      <c r="E56" s="446" t="s">
        <v>250</v>
      </c>
      <c r="F56" s="446" t="s">
        <v>247</v>
      </c>
      <c r="M56" s="40"/>
      <c r="N56" s="449">
        <v>5</v>
      </c>
      <c r="O56" s="446" t="s">
        <v>513</v>
      </c>
      <c r="P56" s="446" t="s">
        <v>248</v>
      </c>
      <c r="Q56" s="446" t="s">
        <v>247</v>
      </c>
    </row>
    <row r="57" spans="2:17">
      <c r="B57" s="40"/>
      <c r="M57" s="40"/>
      <c r="N57" s="449">
        <v>22</v>
      </c>
      <c r="O57" s="446" t="s">
        <v>639</v>
      </c>
      <c r="P57" s="446" t="s">
        <v>250</v>
      </c>
      <c r="Q57" s="446" t="s">
        <v>247</v>
      </c>
    </row>
    <row r="58" spans="2:17">
      <c r="B58" s="40">
        <v>45944</v>
      </c>
      <c r="C58" s="449">
        <v>0</v>
      </c>
      <c r="D58" s="446" t="s">
        <v>404</v>
      </c>
      <c r="E58" s="446" t="s">
        <v>246</v>
      </c>
      <c r="F58" s="446" t="s">
        <v>247</v>
      </c>
      <c r="M58" s="40"/>
    </row>
    <row r="59" spans="2:17">
      <c r="B59" s="40"/>
      <c r="C59" s="449">
        <v>0</v>
      </c>
      <c r="D59" s="446" t="s">
        <v>426</v>
      </c>
      <c r="E59" s="446" t="s">
        <v>248</v>
      </c>
      <c r="F59" s="446" t="s">
        <v>247</v>
      </c>
      <c r="M59" s="40">
        <v>45944</v>
      </c>
      <c r="N59" s="449">
        <v>0</v>
      </c>
      <c r="O59" s="446" t="s">
        <v>404</v>
      </c>
      <c r="P59" s="446" t="s">
        <v>246</v>
      </c>
      <c r="Q59" s="446" t="s">
        <v>247</v>
      </c>
    </row>
    <row r="60" spans="2:17">
      <c r="B60" s="40"/>
      <c r="C60" s="449">
        <v>18</v>
      </c>
      <c r="D60" s="446" t="s">
        <v>494</v>
      </c>
      <c r="E60" s="446" t="s">
        <v>250</v>
      </c>
      <c r="F60" s="446" t="s">
        <v>247</v>
      </c>
      <c r="M60" s="40"/>
      <c r="N60" s="449">
        <v>0</v>
      </c>
      <c r="O60" s="446" t="s">
        <v>426</v>
      </c>
      <c r="P60" s="446" t="s">
        <v>248</v>
      </c>
      <c r="Q60" s="446" t="s">
        <v>247</v>
      </c>
    </row>
    <row r="61" spans="2:17">
      <c r="B61" s="40"/>
      <c r="M61" s="40"/>
      <c r="N61" s="449">
        <v>18</v>
      </c>
      <c r="O61" s="446" t="s">
        <v>494</v>
      </c>
      <c r="P61" s="446" t="s">
        <v>250</v>
      </c>
      <c r="Q61" s="446" t="s">
        <v>247</v>
      </c>
    </row>
    <row r="62" spans="2:17">
      <c r="B62" s="40">
        <v>45945</v>
      </c>
      <c r="C62" s="449">
        <v>0</v>
      </c>
      <c r="D62" s="446" t="s">
        <v>404</v>
      </c>
      <c r="E62" s="446" t="s">
        <v>246</v>
      </c>
      <c r="F62" s="446" t="s">
        <v>247</v>
      </c>
      <c r="M62" s="40"/>
    </row>
    <row r="63" spans="2:17">
      <c r="B63" s="40"/>
      <c r="C63" s="449">
        <v>0</v>
      </c>
      <c r="D63" s="446" t="s">
        <v>426</v>
      </c>
      <c r="E63" s="446" t="s">
        <v>248</v>
      </c>
      <c r="F63" s="446" t="s">
        <v>247</v>
      </c>
      <c r="M63" s="40">
        <v>45945</v>
      </c>
      <c r="N63" s="449">
        <v>0</v>
      </c>
      <c r="O63" s="446" t="s">
        <v>404</v>
      </c>
      <c r="P63" s="446" t="s">
        <v>246</v>
      </c>
      <c r="Q63" s="446" t="s">
        <v>247</v>
      </c>
    </row>
    <row r="64" spans="2:17">
      <c r="B64" s="40"/>
      <c r="C64" s="449">
        <v>17</v>
      </c>
      <c r="D64" s="446" t="s">
        <v>667</v>
      </c>
      <c r="E64" s="446" t="s">
        <v>250</v>
      </c>
      <c r="F64" s="446" t="s">
        <v>247</v>
      </c>
      <c r="M64" s="40"/>
      <c r="N64" s="449">
        <v>0</v>
      </c>
      <c r="O64" s="446" t="s">
        <v>426</v>
      </c>
      <c r="P64" s="446" t="s">
        <v>248</v>
      </c>
      <c r="Q64" s="446" t="s">
        <v>247</v>
      </c>
    </row>
    <row r="65" spans="2:17">
      <c r="B65" s="40"/>
      <c r="M65" s="40"/>
      <c r="N65" s="449">
        <v>17</v>
      </c>
      <c r="O65" s="446" t="s">
        <v>667</v>
      </c>
      <c r="P65" s="446" t="s">
        <v>250</v>
      </c>
      <c r="Q65" s="446" t="s">
        <v>247</v>
      </c>
    </row>
    <row r="66" spans="2:17">
      <c r="B66" s="40">
        <v>45946</v>
      </c>
      <c r="C66" s="449">
        <v>45</v>
      </c>
      <c r="D66" s="446" t="s">
        <v>688</v>
      </c>
      <c r="E66" s="446" t="s">
        <v>246</v>
      </c>
      <c r="F66" s="446" t="s">
        <v>247</v>
      </c>
      <c r="M66" s="40"/>
    </row>
    <row r="67" spans="2:17">
      <c r="B67" s="40"/>
      <c r="C67" s="449">
        <v>5</v>
      </c>
      <c r="D67" s="446" t="s">
        <v>513</v>
      </c>
      <c r="E67" s="446" t="s">
        <v>248</v>
      </c>
      <c r="F67" s="446" t="s">
        <v>247</v>
      </c>
      <c r="M67" s="40">
        <v>45946</v>
      </c>
      <c r="N67" s="449">
        <v>45</v>
      </c>
      <c r="O67" s="446" t="s">
        <v>688</v>
      </c>
      <c r="P67" s="446" t="s">
        <v>246</v>
      </c>
      <c r="Q67" s="446" t="s">
        <v>247</v>
      </c>
    </row>
    <row r="68" spans="2:17">
      <c r="B68" s="40"/>
      <c r="C68" s="449">
        <v>23</v>
      </c>
      <c r="D68" s="446" t="s">
        <v>689</v>
      </c>
      <c r="E68" s="446" t="s">
        <v>250</v>
      </c>
      <c r="F68" s="446" t="s">
        <v>247</v>
      </c>
      <c r="M68" s="40"/>
      <c r="N68" s="449">
        <v>5</v>
      </c>
      <c r="O68" s="446" t="s">
        <v>513</v>
      </c>
      <c r="P68" s="446" t="s">
        <v>248</v>
      </c>
      <c r="Q68" s="446" t="s">
        <v>247</v>
      </c>
    </row>
    <row r="69" spans="2:17">
      <c r="B69" s="40"/>
      <c r="C69" s="449">
        <v>40</v>
      </c>
      <c r="D69" s="446" t="s">
        <v>679</v>
      </c>
      <c r="E69" s="446" t="s">
        <v>690</v>
      </c>
      <c r="F69" s="446" t="s">
        <v>252</v>
      </c>
      <c r="M69" s="40"/>
      <c r="N69" s="449">
        <v>23</v>
      </c>
      <c r="O69" s="446" t="s">
        <v>689</v>
      </c>
      <c r="P69" s="446" t="s">
        <v>250</v>
      </c>
      <c r="Q69" s="446" t="s">
        <v>247</v>
      </c>
    </row>
    <row r="70" spans="2:17">
      <c r="B70" s="40"/>
      <c r="C70" s="449">
        <v>50</v>
      </c>
      <c r="D70" s="446" t="s">
        <v>682</v>
      </c>
      <c r="E70" s="446" t="s">
        <v>691</v>
      </c>
      <c r="F70" s="446" t="s">
        <v>279</v>
      </c>
      <c r="M70" s="40"/>
      <c r="N70" s="449">
        <v>40</v>
      </c>
      <c r="O70" s="446" t="s">
        <v>679</v>
      </c>
      <c r="P70" s="446" t="s">
        <v>690</v>
      </c>
      <c r="Q70" s="446" t="s">
        <v>252</v>
      </c>
    </row>
    <row r="71" spans="2:17">
      <c r="B71" s="40"/>
      <c r="M71" s="40"/>
      <c r="N71" s="449">
        <v>50</v>
      </c>
      <c r="O71" s="446" t="s">
        <v>692</v>
      </c>
      <c r="P71" s="446" t="s">
        <v>691</v>
      </c>
      <c r="Q71" s="446" t="s">
        <v>279</v>
      </c>
    </row>
    <row r="72" spans="2:17">
      <c r="B72" s="40">
        <v>45947</v>
      </c>
      <c r="C72" s="449">
        <v>15</v>
      </c>
      <c r="D72" s="446" t="s">
        <v>526</v>
      </c>
      <c r="E72" s="446" t="s">
        <v>246</v>
      </c>
      <c r="F72" s="446" t="s">
        <v>247</v>
      </c>
      <c r="M72" s="40"/>
    </row>
    <row r="73" spans="2:17">
      <c r="B73" s="40"/>
      <c r="C73" s="449">
        <v>0</v>
      </c>
      <c r="D73" s="446" t="s">
        <v>426</v>
      </c>
      <c r="E73" s="446" t="s">
        <v>248</v>
      </c>
      <c r="F73" s="446" t="s">
        <v>247</v>
      </c>
      <c r="M73" s="40">
        <v>45947</v>
      </c>
      <c r="N73" s="449">
        <v>15</v>
      </c>
      <c r="O73" s="446" t="s">
        <v>526</v>
      </c>
      <c r="P73" s="446" t="s">
        <v>246</v>
      </c>
      <c r="Q73" s="446" t="s">
        <v>247</v>
      </c>
    </row>
    <row r="74" spans="2:17">
      <c r="B74" s="40"/>
      <c r="C74" s="449">
        <v>32</v>
      </c>
      <c r="D74" s="446" t="s">
        <v>527</v>
      </c>
      <c r="E74" s="446" t="s">
        <v>250</v>
      </c>
      <c r="F74" s="446" t="s">
        <v>247</v>
      </c>
      <c r="M74" s="40"/>
      <c r="N74" s="449">
        <v>0</v>
      </c>
      <c r="O74" s="446" t="s">
        <v>426</v>
      </c>
      <c r="P74" s="446" t="s">
        <v>248</v>
      </c>
      <c r="Q74" s="446" t="s">
        <v>247</v>
      </c>
    </row>
    <row r="75" spans="2:17">
      <c r="B75" s="40"/>
      <c r="M75" s="40"/>
      <c r="N75" s="449">
        <v>32</v>
      </c>
      <c r="O75" s="446" t="s">
        <v>527</v>
      </c>
      <c r="P75" s="446" t="s">
        <v>250</v>
      </c>
      <c r="Q75" s="446" t="s">
        <v>247</v>
      </c>
    </row>
    <row r="76" spans="2:17">
      <c r="B76" s="40">
        <v>45948</v>
      </c>
      <c r="C76" s="449">
        <v>35</v>
      </c>
      <c r="D76" s="446" t="s">
        <v>687</v>
      </c>
      <c r="E76" s="446" t="s">
        <v>246</v>
      </c>
      <c r="F76" s="446" t="s">
        <v>247</v>
      </c>
      <c r="M76" s="40"/>
    </row>
    <row r="77" spans="2:17">
      <c r="B77" s="40"/>
      <c r="C77" s="449">
        <v>4</v>
      </c>
      <c r="D77" s="446" t="s">
        <v>513</v>
      </c>
      <c r="E77" s="446" t="s">
        <v>248</v>
      </c>
      <c r="F77" s="446" t="s">
        <v>247</v>
      </c>
      <c r="M77" s="40">
        <v>45948</v>
      </c>
      <c r="N77" s="449">
        <v>35</v>
      </c>
      <c r="O77" s="446" t="s">
        <v>687</v>
      </c>
      <c r="P77" s="446" t="s">
        <v>246</v>
      </c>
      <c r="Q77" s="446" t="s">
        <v>247</v>
      </c>
    </row>
    <row r="78" spans="2:17">
      <c r="B78" s="40"/>
      <c r="C78" s="449">
        <v>28</v>
      </c>
      <c r="D78" s="446" t="s">
        <v>618</v>
      </c>
      <c r="E78" s="446" t="s">
        <v>250</v>
      </c>
      <c r="F78" s="446" t="s">
        <v>247</v>
      </c>
      <c r="M78" s="40"/>
      <c r="N78" s="449">
        <v>4</v>
      </c>
      <c r="O78" s="446" t="s">
        <v>513</v>
      </c>
      <c r="P78" s="446" t="s">
        <v>248</v>
      </c>
      <c r="Q78" s="446" t="s">
        <v>247</v>
      </c>
    </row>
    <row r="79" spans="2:17">
      <c r="B79" s="40"/>
      <c r="M79" s="40"/>
      <c r="N79" s="449">
        <v>28</v>
      </c>
      <c r="O79" s="446" t="s">
        <v>618</v>
      </c>
      <c r="P79" s="446" t="s">
        <v>250</v>
      </c>
      <c r="Q79" s="446" t="s">
        <v>247</v>
      </c>
    </row>
    <row r="80" spans="2:17">
      <c r="B80" s="40">
        <v>45949</v>
      </c>
      <c r="C80" s="449">
        <v>35</v>
      </c>
      <c r="D80" s="446" t="s">
        <v>687</v>
      </c>
      <c r="E80" s="446" t="s">
        <v>246</v>
      </c>
      <c r="F80" s="446" t="s">
        <v>247</v>
      </c>
      <c r="M80" s="40"/>
    </row>
    <row r="81" spans="2:17">
      <c r="B81" s="40"/>
      <c r="C81" s="449">
        <v>0</v>
      </c>
      <c r="D81" s="446" t="s">
        <v>426</v>
      </c>
      <c r="E81" s="446" t="s">
        <v>248</v>
      </c>
      <c r="F81" s="446" t="s">
        <v>247</v>
      </c>
      <c r="M81" s="40">
        <v>45949</v>
      </c>
      <c r="N81" s="449">
        <v>35</v>
      </c>
      <c r="O81" s="446" t="s">
        <v>687</v>
      </c>
      <c r="P81" s="446" t="s">
        <v>246</v>
      </c>
      <c r="Q81" s="446" t="s">
        <v>247</v>
      </c>
    </row>
    <row r="82" spans="2:17">
      <c r="B82" s="40"/>
      <c r="C82" s="449">
        <v>25</v>
      </c>
      <c r="D82" s="446" t="s">
        <v>527</v>
      </c>
      <c r="E82" s="446" t="s">
        <v>250</v>
      </c>
      <c r="F82" s="446" t="s">
        <v>247</v>
      </c>
      <c r="M82" s="40"/>
      <c r="N82" s="449">
        <v>0</v>
      </c>
      <c r="O82" s="446" t="s">
        <v>426</v>
      </c>
      <c r="P82" s="446" t="s">
        <v>248</v>
      </c>
      <c r="Q82" s="446" t="s">
        <v>247</v>
      </c>
    </row>
    <row r="83" spans="2:17">
      <c r="B83" s="40"/>
      <c r="M83" s="40"/>
      <c r="N83" s="449">
        <v>25</v>
      </c>
      <c r="O83" s="446" t="s">
        <v>527</v>
      </c>
      <c r="P83" s="446" t="s">
        <v>250</v>
      </c>
      <c r="Q83" s="446" t="s">
        <v>247</v>
      </c>
    </row>
    <row r="84" spans="2:17">
      <c r="B84" s="40">
        <v>45950</v>
      </c>
      <c r="C84" s="449">
        <v>5</v>
      </c>
      <c r="D84" s="446" t="s">
        <v>522</v>
      </c>
      <c r="E84" s="446" t="s">
        <v>246</v>
      </c>
      <c r="F84" s="446" t="s">
        <v>247</v>
      </c>
      <c r="M84" s="40"/>
    </row>
    <row r="85" spans="2:17">
      <c r="B85" s="40"/>
      <c r="C85" s="449">
        <v>0</v>
      </c>
      <c r="D85" s="446" t="s">
        <v>426</v>
      </c>
      <c r="E85" s="446" t="s">
        <v>248</v>
      </c>
      <c r="F85" s="446" t="s">
        <v>247</v>
      </c>
      <c r="M85" s="40">
        <v>45950</v>
      </c>
      <c r="N85" s="449">
        <v>5</v>
      </c>
      <c r="O85" s="446" t="s">
        <v>522</v>
      </c>
      <c r="P85" s="446" t="s">
        <v>246</v>
      </c>
      <c r="Q85" s="446" t="s">
        <v>247</v>
      </c>
    </row>
    <row r="86" spans="2:17">
      <c r="B86" s="40"/>
      <c r="C86" s="449">
        <v>27</v>
      </c>
      <c r="D86" s="446" t="s">
        <v>744</v>
      </c>
      <c r="E86" s="446" t="s">
        <v>250</v>
      </c>
      <c r="F86" s="446" t="s">
        <v>247</v>
      </c>
      <c r="M86" s="40"/>
      <c r="N86" s="449">
        <v>0</v>
      </c>
      <c r="O86" s="446" t="s">
        <v>426</v>
      </c>
      <c r="P86" s="446" t="s">
        <v>248</v>
      </c>
      <c r="Q86" s="446" t="s">
        <v>247</v>
      </c>
    </row>
    <row r="87" spans="2:17">
      <c r="B87" s="40"/>
      <c r="M87" s="40"/>
      <c r="N87" s="449">
        <v>27</v>
      </c>
      <c r="O87" s="446" t="s">
        <v>744</v>
      </c>
      <c r="P87" s="446" t="s">
        <v>250</v>
      </c>
      <c r="Q87" s="446" t="s">
        <v>247</v>
      </c>
    </row>
    <row r="88" spans="2:17">
      <c r="B88" s="40">
        <v>45951</v>
      </c>
      <c r="C88" s="449">
        <v>20</v>
      </c>
      <c r="D88" s="446" t="s">
        <v>515</v>
      </c>
      <c r="E88" s="446" t="s">
        <v>246</v>
      </c>
      <c r="F88" s="446" t="s">
        <v>247</v>
      </c>
      <c r="M88" s="40"/>
    </row>
    <row r="89" spans="2:17">
      <c r="B89" s="40"/>
      <c r="C89" s="449">
        <v>1</v>
      </c>
      <c r="D89" s="446" t="s">
        <v>513</v>
      </c>
      <c r="E89" s="446" t="s">
        <v>248</v>
      </c>
      <c r="F89" s="446" t="s">
        <v>247</v>
      </c>
      <c r="M89" s="40">
        <v>45951</v>
      </c>
      <c r="N89" s="449">
        <v>20</v>
      </c>
      <c r="O89" s="446" t="s">
        <v>515</v>
      </c>
      <c r="P89" s="446" t="s">
        <v>246</v>
      </c>
      <c r="Q89" s="446" t="s">
        <v>247</v>
      </c>
    </row>
    <row r="90" spans="2:17">
      <c r="B90" s="40"/>
      <c r="C90" s="449">
        <v>25</v>
      </c>
      <c r="D90" s="446" t="s">
        <v>527</v>
      </c>
      <c r="E90" s="446" t="s">
        <v>250</v>
      </c>
      <c r="F90" s="446" t="s">
        <v>247</v>
      </c>
      <c r="M90" s="40"/>
      <c r="N90" s="449">
        <v>1</v>
      </c>
      <c r="O90" s="446" t="s">
        <v>513</v>
      </c>
      <c r="P90" s="446" t="s">
        <v>248</v>
      </c>
      <c r="Q90" s="446" t="s">
        <v>247</v>
      </c>
    </row>
    <row r="91" spans="2:17">
      <c r="B91" s="40"/>
      <c r="M91" s="40"/>
      <c r="N91" s="449">
        <v>25</v>
      </c>
      <c r="O91" s="446" t="s">
        <v>527</v>
      </c>
      <c r="P91" s="446" t="s">
        <v>250</v>
      </c>
      <c r="Q91" s="446" t="s">
        <v>247</v>
      </c>
    </row>
    <row r="92" spans="2:17">
      <c r="B92" s="40">
        <v>45952</v>
      </c>
      <c r="C92" s="449">
        <v>0</v>
      </c>
      <c r="D92" s="446" t="s">
        <v>404</v>
      </c>
      <c r="E92" s="446" t="s">
        <v>246</v>
      </c>
      <c r="F92" s="446" t="s">
        <v>247</v>
      </c>
      <c r="M92" s="40"/>
    </row>
    <row r="93" spans="2:17">
      <c r="B93" s="40"/>
      <c r="C93" s="449">
        <v>1</v>
      </c>
      <c r="D93" s="446" t="s">
        <v>513</v>
      </c>
      <c r="E93" s="446" t="s">
        <v>248</v>
      </c>
      <c r="F93" s="446" t="s">
        <v>247</v>
      </c>
      <c r="M93" s="40">
        <v>45952</v>
      </c>
      <c r="N93" s="449">
        <v>0</v>
      </c>
      <c r="O93" s="446" t="s">
        <v>404</v>
      </c>
      <c r="P93" s="446" t="s">
        <v>246</v>
      </c>
      <c r="Q93" s="446" t="s">
        <v>247</v>
      </c>
    </row>
    <row r="94" spans="2:17">
      <c r="B94" s="40"/>
      <c r="C94" s="449">
        <v>24</v>
      </c>
      <c r="D94" s="446" t="s">
        <v>527</v>
      </c>
      <c r="E94" s="446" t="s">
        <v>250</v>
      </c>
      <c r="F94" s="446" t="s">
        <v>247</v>
      </c>
      <c r="M94" s="40"/>
      <c r="N94" s="449">
        <v>1</v>
      </c>
      <c r="O94" s="446" t="s">
        <v>513</v>
      </c>
      <c r="P94" s="446" t="s">
        <v>248</v>
      </c>
      <c r="Q94" s="446" t="s">
        <v>247</v>
      </c>
    </row>
    <row r="95" spans="2:17">
      <c r="B95" s="40"/>
      <c r="M95" s="40"/>
      <c r="N95" s="449">
        <v>24</v>
      </c>
      <c r="O95" s="446" t="s">
        <v>527</v>
      </c>
      <c r="P95" s="446" t="s">
        <v>250</v>
      </c>
      <c r="Q95" s="446" t="s">
        <v>247</v>
      </c>
    </row>
    <row r="96" spans="2:17">
      <c r="B96" s="40">
        <v>45953</v>
      </c>
      <c r="C96" s="449">
        <v>5</v>
      </c>
      <c r="D96" s="446" t="s">
        <v>522</v>
      </c>
      <c r="E96" s="446" t="s">
        <v>246</v>
      </c>
      <c r="F96" s="446" t="s">
        <v>247</v>
      </c>
      <c r="M96" s="40"/>
    </row>
    <row r="97" spans="2:17">
      <c r="B97" s="40"/>
      <c r="C97" s="449">
        <v>4</v>
      </c>
      <c r="D97" s="446" t="s">
        <v>599</v>
      </c>
      <c r="E97" s="446" t="s">
        <v>248</v>
      </c>
      <c r="F97" s="446" t="s">
        <v>247</v>
      </c>
      <c r="M97" s="40">
        <v>45953</v>
      </c>
      <c r="N97" s="449">
        <v>5</v>
      </c>
      <c r="O97" s="446" t="s">
        <v>522</v>
      </c>
      <c r="P97" s="446" t="s">
        <v>246</v>
      </c>
      <c r="Q97" s="446" t="s">
        <v>247</v>
      </c>
    </row>
    <row r="98" spans="2:17">
      <c r="B98" s="40"/>
      <c r="C98" s="449">
        <v>26</v>
      </c>
      <c r="D98" s="446" t="s">
        <v>570</v>
      </c>
      <c r="E98" s="446" t="s">
        <v>250</v>
      </c>
      <c r="F98" s="446" t="s">
        <v>247</v>
      </c>
      <c r="M98" s="40"/>
      <c r="N98" s="449">
        <v>4</v>
      </c>
      <c r="O98" s="446" t="s">
        <v>599</v>
      </c>
      <c r="P98" s="446" t="s">
        <v>248</v>
      </c>
      <c r="Q98" s="446" t="s">
        <v>247</v>
      </c>
    </row>
    <row r="99" spans="2:17">
      <c r="B99" s="40"/>
      <c r="C99" s="449">
        <v>172</v>
      </c>
      <c r="D99" s="446" t="s">
        <v>840</v>
      </c>
      <c r="E99" s="446" t="s">
        <v>841</v>
      </c>
      <c r="F99" s="446" t="s">
        <v>306</v>
      </c>
      <c r="M99" s="40"/>
      <c r="N99" s="449">
        <v>26</v>
      </c>
      <c r="O99" s="446" t="s">
        <v>570</v>
      </c>
      <c r="P99" s="446" t="s">
        <v>250</v>
      </c>
      <c r="Q99" s="446" t="s">
        <v>247</v>
      </c>
    </row>
    <row r="100" spans="2:17">
      <c r="B100" s="40"/>
      <c r="M100" s="40"/>
      <c r="N100" s="449">
        <v>0</v>
      </c>
      <c r="O100" s="446" t="s">
        <v>840</v>
      </c>
      <c r="P100" s="446" t="s">
        <v>841</v>
      </c>
      <c r="Q100" s="446" t="s">
        <v>306</v>
      </c>
    </row>
    <row r="101" spans="2:17">
      <c r="B101" s="40">
        <v>45954</v>
      </c>
      <c r="C101" s="449">
        <v>0</v>
      </c>
      <c r="D101" s="446" t="s">
        <v>404</v>
      </c>
      <c r="E101" s="446" t="s">
        <v>246</v>
      </c>
      <c r="F101" s="446" t="s">
        <v>247</v>
      </c>
      <c r="M101" s="40"/>
    </row>
    <row r="102" spans="2:17">
      <c r="B102" s="40"/>
      <c r="C102" s="449">
        <v>2</v>
      </c>
      <c r="D102" s="446" t="s">
        <v>513</v>
      </c>
      <c r="E102" s="446" t="s">
        <v>248</v>
      </c>
      <c r="F102" s="446" t="s">
        <v>247</v>
      </c>
      <c r="M102" s="40">
        <v>45954</v>
      </c>
      <c r="N102" s="449">
        <v>0</v>
      </c>
      <c r="O102" s="446" t="s">
        <v>404</v>
      </c>
      <c r="P102" s="446" t="s">
        <v>246</v>
      </c>
      <c r="Q102" s="446" t="s">
        <v>247</v>
      </c>
    </row>
    <row r="103" spans="2:17">
      <c r="B103" s="40"/>
      <c r="C103" s="449">
        <v>32</v>
      </c>
      <c r="D103" s="446" t="s">
        <v>525</v>
      </c>
      <c r="E103" s="446" t="s">
        <v>250</v>
      </c>
      <c r="F103" s="446" t="s">
        <v>247</v>
      </c>
      <c r="M103" s="40"/>
      <c r="N103" s="449">
        <v>2</v>
      </c>
      <c r="O103" s="446" t="s">
        <v>513</v>
      </c>
      <c r="P103" s="446" t="s">
        <v>248</v>
      </c>
      <c r="Q103" s="446" t="s">
        <v>247</v>
      </c>
    </row>
    <row r="104" spans="2:17">
      <c r="B104" s="40"/>
      <c r="M104" s="40"/>
      <c r="N104" s="449">
        <v>32</v>
      </c>
      <c r="O104" s="446" t="s">
        <v>525</v>
      </c>
      <c r="P104" s="446" t="s">
        <v>250</v>
      </c>
      <c r="Q104" s="446" t="s">
        <v>247</v>
      </c>
    </row>
    <row r="105" spans="2:17">
      <c r="B105" s="40"/>
      <c r="M105" s="40"/>
    </row>
    <row r="106" spans="2:17">
      <c r="B106" s="40">
        <v>45955</v>
      </c>
      <c r="C106" s="449">
        <v>0</v>
      </c>
      <c r="D106" s="446" t="s">
        <v>404</v>
      </c>
      <c r="E106" s="446" t="s">
        <v>246</v>
      </c>
      <c r="F106" s="446" t="s">
        <v>247</v>
      </c>
      <c r="M106" s="40"/>
    </row>
    <row r="107" spans="2:17">
      <c r="B107" s="40"/>
      <c r="C107" s="449">
        <v>15</v>
      </c>
      <c r="D107" s="446" t="s">
        <v>490</v>
      </c>
      <c r="E107" s="446" t="s">
        <v>248</v>
      </c>
      <c r="F107" s="446" t="s">
        <v>247</v>
      </c>
      <c r="M107" s="40">
        <v>45955</v>
      </c>
      <c r="N107" s="449">
        <v>0</v>
      </c>
      <c r="O107" s="446" t="s">
        <v>404</v>
      </c>
      <c r="P107" s="446" t="s">
        <v>246</v>
      </c>
      <c r="Q107" s="446" t="s">
        <v>247</v>
      </c>
    </row>
    <row r="108" spans="2:17">
      <c r="B108" s="40"/>
      <c r="C108" s="449">
        <v>29</v>
      </c>
      <c r="D108" s="446" t="s">
        <v>570</v>
      </c>
      <c r="E108" s="446" t="s">
        <v>250</v>
      </c>
      <c r="F108" s="446" t="s">
        <v>247</v>
      </c>
      <c r="M108" s="40"/>
      <c r="N108" s="449">
        <v>15</v>
      </c>
      <c r="O108" s="446" t="s">
        <v>490</v>
      </c>
      <c r="P108" s="446" t="s">
        <v>248</v>
      </c>
      <c r="Q108" s="446" t="s">
        <v>247</v>
      </c>
    </row>
    <row r="109" spans="2:17">
      <c r="B109" s="40"/>
      <c r="M109" s="40"/>
      <c r="N109" s="449">
        <v>29</v>
      </c>
      <c r="O109" s="446" t="s">
        <v>570</v>
      </c>
      <c r="P109" s="446" t="s">
        <v>250</v>
      </c>
      <c r="Q109" s="446" t="s">
        <v>247</v>
      </c>
    </row>
    <row r="110" spans="2:17">
      <c r="B110" s="40">
        <v>45956</v>
      </c>
      <c r="C110" s="449">
        <v>20</v>
      </c>
      <c r="D110" s="446" t="s">
        <v>515</v>
      </c>
      <c r="E110" s="446" t="s">
        <v>246</v>
      </c>
      <c r="F110" s="446" t="s">
        <v>247</v>
      </c>
      <c r="M110" s="40"/>
    </row>
    <row r="111" spans="2:17">
      <c r="B111" s="40"/>
      <c r="C111" s="449">
        <v>0</v>
      </c>
      <c r="D111" s="446" t="s">
        <v>426</v>
      </c>
      <c r="E111" s="446" t="s">
        <v>248</v>
      </c>
      <c r="F111" s="446" t="s">
        <v>247</v>
      </c>
      <c r="M111" s="40">
        <v>45956</v>
      </c>
      <c r="N111" s="449">
        <v>20</v>
      </c>
      <c r="O111" s="446" t="s">
        <v>515</v>
      </c>
      <c r="P111" s="446" t="s">
        <v>246</v>
      </c>
      <c r="Q111" s="446" t="s">
        <v>247</v>
      </c>
    </row>
    <row r="112" spans="2:17">
      <c r="B112" s="40"/>
      <c r="C112" s="449">
        <v>28</v>
      </c>
      <c r="D112" s="446" t="s">
        <v>527</v>
      </c>
      <c r="E112" s="446" t="s">
        <v>250</v>
      </c>
      <c r="F112" s="446" t="s">
        <v>247</v>
      </c>
      <c r="M112" s="40"/>
      <c r="N112" s="449">
        <v>0</v>
      </c>
      <c r="O112" s="446" t="s">
        <v>426</v>
      </c>
      <c r="P112" s="446" t="s">
        <v>248</v>
      </c>
      <c r="Q112" s="446" t="s">
        <v>247</v>
      </c>
    </row>
    <row r="113" spans="2:17">
      <c r="B113" s="40"/>
      <c r="M113" s="40"/>
      <c r="N113" s="449">
        <v>28</v>
      </c>
      <c r="O113" s="446" t="s">
        <v>527</v>
      </c>
      <c r="P113" s="446" t="s">
        <v>250</v>
      </c>
      <c r="Q113" s="446" t="s">
        <v>247</v>
      </c>
    </row>
    <row r="114" spans="2:17">
      <c r="B114" s="40">
        <v>45957</v>
      </c>
      <c r="C114" s="449">
        <v>20</v>
      </c>
      <c r="D114" s="446" t="s">
        <v>515</v>
      </c>
      <c r="E114" s="446" t="s">
        <v>246</v>
      </c>
      <c r="F114" s="446" t="s">
        <v>247</v>
      </c>
      <c r="M114" s="40"/>
    </row>
    <row r="115" spans="2:17">
      <c r="B115" s="40"/>
      <c r="C115" s="449">
        <v>0</v>
      </c>
      <c r="D115" s="446" t="s">
        <v>426</v>
      </c>
      <c r="E115" s="446" t="s">
        <v>248</v>
      </c>
      <c r="F115" s="446" t="s">
        <v>247</v>
      </c>
      <c r="M115" s="40">
        <v>45957</v>
      </c>
      <c r="N115" s="449">
        <v>20</v>
      </c>
      <c r="O115" s="446" t="s">
        <v>515</v>
      </c>
      <c r="P115" s="446" t="s">
        <v>246</v>
      </c>
      <c r="Q115" s="446" t="s">
        <v>247</v>
      </c>
    </row>
    <row r="116" spans="2:17">
      <c r="B116" s="40"/>
      <c r="C116" s="449">
        <v>30</v>
      </c>
      <c r="D116" s="446" t="s">
        <v>570</v>
      </c>
      <c r="E116" s="446" t="s">
        <v>250</v>
      </c>
      <c r="F116" s="446" t="s">
        <v>247</v>
      </c>
      <c r="M116" s="40"/>
      <c r="N116" s="449">
        <v>0</v>
      </c>
      <c r="O116" s="446" t="s">
        <v>426</v>
      </c>
      <c r="P116" s="446" t="s">
        <v>248</v>
      </c>
      <c r="Q116" s="446" t="s">
        <v>247</v>
      </c>
    </row>
    <row r="117" spans="2:17">
      <c r="B117" s="40"/>
      <c r="M117" s="40"/>
      <c r="N117" s="449">
        <v>30</v>
      </c>
      <c r="O117" s="446" t="s">
        <v>570</v>
      </c>
      <c r="P117" s="446" t="s">
        <v>250</v>
      </c>
      <c r="Q117" s="446" t="s">
        <v>247</v>
      </c>
    </row>
    <row r="118" spans="2:17">
      <c r="B118" s="40">
        <v>45958</v>
      </c>
      <c r="C118" s="449">
        <v>25</v>
      </c>
      <c r="D118" s="446" t="s">
        <v>586</v>
      </c>
      <c r="E118" s="446" t="s">
        <v>246</v>
      </c>
      <c r="F118" s="446" t="s">
        <v>247</v>
      </c>
      <c r="M118" s="40"/>
    </row>
    <row r="119" spans="2:17">
      <c r="B119" s="40"/>
      <c r="C119" s="449">
        <v>0</v>
      </c>
      <c r="D119" s="446" t="s">
        <v>426</v>
      </c>
      <c r="E119" s="446" t="s">
        <v>248</v>
      </c>
      <c r="F119" s="446" t="s">
        <v>247</v>
      </c>
      <c r="M119" s="40">
        <v>45958</v>
      </c>
      <c r="N119" s="449">
        <v>25</v>
      </c>
      <c r="O119" s="446" t="s">
        <v>586</v>
      </c>
      <c r="P119" s="446" t="s">
        <v>246</v>
      </c>
      <c r="Q119" s="446" t="s">
        <v>247</v>
      </c>
    </row>
    <row r="120" spans="2:17">
      <c r="B120" s="40"/>
      <c r="C120" s="449">
        <v>30</v>
      </c>
      <c r="D120" s="446" t="s">
        <v>618</v>
      </c>
      <c r="E120" s="446" t="s">
        <v>250</v>
      </c>
      <c r="F120" s="446" t="s">
        <v>247</v>
      </c>
      <c r="M120" s="40"/>
      <c r="N120" s="449">
        <v>0</v>
      </c>
      <c r="O120" s="446" t="s">
        <v>426</v>
      </c>
      <c r="P120" s="446" t="s">
        <v>248</v>
      </c>
      <c r="Q120" s="446" t="s">
        <v>247</v>
      </c>
    </row>
    <row r="121" spans="2:17">
      <c r="B121" s="40"/>
      <c r="M121" s="40"/>
      <c r="N121" s="449">
        <v>30</v>
      </c>
      <c r="O121" s="446" t="s">
        <v>618</v>
      </c>
      <c r="P121" s="446" t="s">
        <v>250</v>
      </c>
      <c r="Q121" s="446" t="s">
        <v>247</v>
      </c>
    </row>
    <row r="122" spans="2:17">
      <c r="B122" s="40">
        <v>45959</v>
      </c>
      <c r="C122" s="449">
        <v>15</v>
      </c>
      <c r="D122" s="446" t="s">
        <v>526</v>
      </c>
      <c r="E122" s="446" t="s">
        <v>246</v>
      </c>
      <c r="F122" s="446" t="s">
        <v>247</v>
      </c>
      <c r="M122" s="40"/>
    </row>
    <row r="123" spans="2:17">
      <c r="B123" s="40"/>
      <c r="C123" s="449">
        <v>0</v>
      </c>
      <c r="D123" s="446" t="s">
        <v>426</v>
      </c>
      <c r="E123" s="446" t="s">
        <v>248</v>
      </c>
      <c r="F123" s="446" t="s">
        <v>247</v>
      </c>
      <c r="M123" s="40">
        <v>45959</v>
      </c>
      <c r="N123" s="449">
        <v>15</v>
      </c>
      <c r="O123" s="446" t="s">
        <v>526</v>
      </c>
      <c r="P123" s="446" t="s">
        <v>246</v>
      </c>
      <c r="Q123" s="446" t="s">
        <v>247</v>
      </c>
    </row>
    <row r="124" spans="2:17">
      <c r="B124" s="40"/>
      <c r="C124" s="449">
        <v>26</v>
      </c>
      <c r="D124" s="446" t="s">
        <v>527</v>
      </c>
      <c r="E124" s="446" t="s">
        <v>250</v>
      </c>
      <c r="F124" s="446" t="s">
        <v>247</v>
      </c>
      <c r="M124" s="40"/>
      <c r="N124" s="449">
        <v>0</v>
      </c>
      <c r="O124" s="446" t="s">
        <v>426</v>
      </c>
      <c r="P124" s="446" t="s">
        <v>248</v>
      </c>
      <c r="Q124" s="446" t="s">
        <v>247</v>
      </c>
    </row>
    <row r="125" spans="2:17">
      <c r="B125" s="40"/>
      <c r="M125" s="40"/>
      <c r="N125" s="449">
        <v>26</v>
      </c>
      <c r="O125" s="446" t="s">
        <v>527</v>
      </c>
      <c r="P125" s="446" t="s">
        <v>250</v>
      </c>
      <c r="Q125" s="446" t="s">
        <v>247</v>
      </c>
    </row>
    <row r="126" spans="2:17">
      <c r="B126" s="40">
        <v>45960</v>
      </c>
      <c r="C126" s="449">
        <v>30</v>
      </c>
      <c r="D126" s="446" t="s">
        <v>491</v>
      </c>
      <c r="E126" s="446" t="s">
        <v>246</v>
      </c>
      <c r="F126" s="446" t="s">
        <v>247</v>
      </c>
      <c r="M126" s="40"/>
    </row>
    <row r="127" spans="2:17">
      <c r="B127" s="40"/>
      <c r="C127" s="449">
        <v>0</v>
      </c>
      <c r="D127" s="446" t="s">
        <v>426</v>
      </c>
      <c r="E127" s="446" t="s">
        <v>248</v>
      </c>
      <c r="F127" s="446" t="s">
        <v>247</v>
      </c>
      <c r="M127" s="40">
        <v>45960</v>
      </c>
      <c r="N127" s="449">
        <v>30</v>
      </c>
      <c r="O127" s="446" t="s">
        <v>491</v>
      </c>
      <c r="P127" s="446" t="s">
        <v>246</v>
      </c>
      <c r="Q127" s="446" t="s">
        <v>247</v>
      </c>
    </row>
    <row r="128" spans="2:17">
      <c r="B128" s="40"/>
      <c r="C128" s="449">
        <v>27</v>
      </c>
      <c r="D128" s="446" t="s">
        <v>463</v>
      </c>
      <c r="E128" s="446" t="s">
        <v>250</v>
      </c>
      <c r="F128" s="446" t="s">
        <v>247</v>
      </c>
      <c r="M128" s="40"/>
      <c r="N128" s="449">
        <v>0</v>
      </c>
      <c r="O128" s="446" t="s">
        <v>426</v>
      </c>
      <c r="P128" s="446" t="s">
        <v>248</v>
      </c>
      <c r="Q128" s="446" t="s">
        <v>247</v>
      </c>
    </row>
    <row r="129" spans="2:17">
      <c r="B129" s="40"/>
      <c r="M129" s="40"/>
      <c r="N129" s="449">
        <v>27</v>
      </c>
      <c r="O129" s="446" t="s">
        <v>463</v>
      </c>
      <c r="P129" s="446" t="s">
        <v>250</v>
      </c>
      <c r="Q129" s="446" t="s">
        <v>247</v>
      </c>
    </row>
    <row r="130" spans="2:17">
      <c r="B130" s="40">
        <v>45961</v>
      </c>
      <c r="C130" s="449">
        <v>10</v>
      </c>
      <c r="D130" s="446" t="s">
        <v>456</v>
      </c>
      <c r="E130" s="446" t="s">
        <v>246</v>
      </c>
      <c r="F130" s="446" t="s">
        <v>247</v>
      </c>
      <c r="M130" s="40"/>
    </row>
    <row r="131" spans="2:17">
      <c r="B131" s="40"/>
      <c r="C131" s="449">
        <v>0</v>
      </c>
      <c r="D131" s="446" t="s">
        <v>426</v>
      </c>
      <c r="E131" s="446" t="s">
        <v>248</v>
      </c>
      <c r="F131" s="446" t="s">
        <v>247</v>
      </c>
      <c r="M131" s="40">
        <v>45961</v>
      </c>
      <c r="N131" s="449">
        <v>10</v>
      </c>
      <c r="O131" s="446" t="s">
        <v>456</v>
      </c>
      <c r="P131" s="446" t="s">
        <v>246</v>
      </c>
      <c r="Q131" s="446" t="s">
        <v>247</v>
      </c>
    </row>
    <row r="132" spans="2:17">
      <c r="B132" s="40"/>
      <c r="C132" s="449">
        <v>26</v>
      </c>
      <c r="D132" s="446" t="s">
        <v>618</v>
      </c>
      <c r="E132" s="446" t="s">
        <v>250</v>
      </c>
      <c r="F132" s="446" t="s">
        <v>247</v>
      </c>
      <c r="M132" s="40"/>
      <c r="N132" s="449">
        <v>0</v>
      </c>
      <c r="O132" s="446" t="s">
        <v>426</v>
      </c>
      <c r="P132" s="446" t="s">
        <v>248</v>
      </c>
      <c r="Q132" s="446" t="s">
        <v>247</v>
      </c>
    </row>
    <row r="133" spans="2:17">
      <c r="B133" s="40"/>
      <c r="M133" s="40"/>
      <c r="N133" s="449">
        <v>26</v>
      </c>
      <c r="O133" s="446" t="s">
        <v>618</v>
      </c>
      <c r="P133" s="446" t="s">
        <v>250</v>
      </c>
      <c r="Q133" s="446" t="s">
        <v>247</v>
      </c>
    </row>
    <row r="134" spans="2:17">
      <c r="B134" s="40"/>
      <c r="M134" s="40"/>
    </row>
    <row r="135" spans="2:17">
      <c r="B135" s="40"/>
      <c r="M135" s="40"/>
    </row>
    <row r="136" spans="2:17">
      <c r="B136" s="40"/>
      <c r="M136" s="40"/>
    </row>
    <row r="137" spans="2:17">
      <c r="B137" s="40"/>
      <c r="M137" s="40"/>
    </row>
    <row r="138" spans="2:17">
      <c r="B138" s="40"/>
      <c r="M138" s="40"/>
    </row>
    <row r="139" spans="2:17">
      <c r="B139" s="40"/>
      <c r="M139" s="40"/>
    </row>
    <row r="140" spans="2:17">
      <c r="B140" s="40"/>
      <c r="M140" s="40"/>
    </row>
    <row r="141" spans="2:17">
      <c r="B141" s="40"/>
      <c r="M141" s="40"/>
    </row>
    <row r="142" spans="2:17">
      <c r="B142" s="40"/>
      <c r="M142" s="40"/>
    </row>
    <row r="143" spans="2:17">
      <c r="B143" s="40"/>
      <c r="M143" s="40"/>
    </row>
    <row r="144" spans="2:17">
      <c r="B144" s="40"/>
      <c r="M144" s="40"/>
    </row>
    <row r="145" spans="2:13">
      <c r="B145" s="40"/>
      <c r="M145" s="40"/>
    </row>
    <row r="146" spans="2:13">
      <c r="B146" s="40"/>
      <c r="M146" s="40"/>
    </row>
    <row r="147" spans="2:13">
      <c r="B147" s="40"/>
      <c r="M147" s="40"/>
    </row>
    <row r="148" spans="2:13">
      <c r="B148" s="40"/>
      <c r="M148" s="40"/>
    </row>
    <row r="149" spans="2:13">
      <c r="B149" s="40"/>
      <c r="M149" s="40"/>
    </row>
    <row r="150" spans="2:13">
      <c r="B150" s="40"/>
      <c r="M150" s="40"/>
    </row>
    <row r="151" spans="2:13">
      <c r="B151" s="40"/>
      <c r="M151" s="40"/>
    </row>
    <row r="152" spans="2:13">
      <c r="B152" s="40"/>
      <c r="M152" s="40"/>
    </row>
    <row r="153" spans="2:13">
      <c r="B153" s="40"/>
      <c r="M153" s="40"/>
    </row>
    <row r="154" spans="2:13">
      <c r="B154" s="40"/>
      <c r="M154" s="40"/>
    </row>
    <row r="155" spans="2:13">
      <c r="B155" s="40"/>
      <c r="M155" s="40"/>
    </row>
    <row r="156" spans="2:13">
      <c r="B156" s="40"/>
      <c r="M156" s="40"/>
    </row>
    <row r="157" spans="2:13">
      <c r="B157" s="40"/>
      <c r="M157" s="40"/>
    </row>
    <row r="158" spans="2:13">
      <c r="B158" s="40"/>
      <c r="M158" s="40"/>
    </row>
    <row r="159" spans="2:13">
      <c r="B159" s="40"/>
      <c r="M159" s="40"/>
    </row>
    <row r="160" spans="2:13">
      <c r="B160" s="40"/>
    </row>
  </sheetData>
  <autoFilter ref="B1:F45"/>
  <conditionalFormatting sqref="G1:G1048576">
    <cfRule type="cellIs" dxfId="7" priority="2" operator="greaterThan">
      <formula>0</formula>
    </cfRule>
  </conditionalFormatting>
  <conditionalFormatting sqref="R1:R1048576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abSelected="1" topLeftCell="G25" workbookViewId="0">
      <selection activeCell="P19" sqref="P19:P23"/>
    </sheetView>
  </sheetViews>
  <sheetFormatPr defaultRowHeight="12.75"/>
  <cols>
    <col min="1" max="1" width="15.28515625" bestFit="1" customWidth="1"/>
    <col min="2" max="2" width="23.28515625" bestFit="1" customWidth="1"/>
    <col min="3" max="3" width="38.140625" style="543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3" customWidth="1"/>
    <col min="13" max="17" width="13.5703125" customWidth="1"/>
  </cols>
  <sheetData>
    <row r="1" spans="1:17" ht="15">
      <c r="A1" s="438" t="s">
        <v>262</v>
      </c>
      <c r="E1" s="544"/>
      <c r="F1" s="1"/>
      <c r="J1" s="438" t="s">
        <v>369</v>
      </c>
      <c r="N1" s="544"/>
      <c r="O1" s="1"/>
    </row>
    <row r="2" spans="1:17" ht="30">
      <c r="A2" s="805" t="s">
        <v>263</v>
      </c>
      <c r="B2" s="805" t="s">
        <v>264</v>
      </c>
      <c r="C2" s="806" t="s">
        <v>265</v>
      </c>
      <c r="D2" s="545" t="s">
        <v>266</v>
      </c>
      <c r="E2" s="546" t="s">
        <v>267</v>
      </c>
      <c r="F2" s="460" t="s">
        <v>268</v>
      </c>
      <c r="G2" s="546" t="s">
        <v>269</v>
      </c>
      <c r="H2" s="546" t="s">
        <v>270</v>
      </c>
      <c r="J2" s="805" t="s">
        <v>263</v>
      </c>
      <c r="K2" s="805" t="s">
        <v>264</v>
      </c>
      <c r="L2" s="804" t="s">
        <v>265</v>
      </c>
      <c r="M2" s="545" t="s">
        <v>266</v>
      </c>
      <c r="N2" s="546" t="s">
        <v>267</v>
      </c>
      <c r="O2" s="460" t="s">
        <v>268</v>
      </c>
      <c r="P2" s="546" t="s">
        <v>269</v>
      </c>
      <c r="Q2" s="546" t="s">
        <v>270</v>
      </c>
    </row>
    <row r="3" spans="1:17" ht="15">
      <c r="A3" s="805"/>
      <c r="B3" s="805"/>
      <c r="C3" s="807"/>
      <c r="D3" s="545" t="s">
        <v>417</v>
      </c>
      <c r="E3" s="545" t="str">
        <f>+D3</f>
        <v>OKTOBER</v>
      </c>
      <c r="F3" s="545" t="str">
        <f>+E3</f>
        <v>OKTOBER</v>
      </c>
      <c r="G3" s="545" t="str">
        <f>+F3</f>
        <v>OKTOBER</v>
      </c>
      <c r="H3" s="545" t="str">
        <f>+G3</f>
        <v>OKTOBER</v>
      </c>
      <c r="J3" s="805"/>
      <c r="K3" s="805"/>
      <c r="L3" s="804"/>
      <c r="M3" s="545" t="str">
        <f>+H3</f>
        <v>OKTOBER</v>
      </c>
      <c r="N3" s="545" t="str">
        <f>+M3</f>
        <v>OKTOBER</v>
      </c>
      <c r="O3" s="545" t="str">
        <f>+N3</f>
        <v>OKTOBER</v>
      </c>
      <c r="P3" s="545" t="str">
        <f>+O3</f>
        <v>OKTOBER</v>
      </c>
      <c r="Q3" s="545" t="str">
        <f>+P3</f>
        <v>OKTOBER</v>
      </c>
    </row>
    <row r="4" spans="1:17" ht="15">
      <c r="A4" s="799" t="s">
        <v>271</v>
      </c>
      <c r="B4" s="547" t="s">
        <v>296</v>
      </c>
      <c r="C4" s="595"/>
      <c r="D4" s="6">
        <f>SUMIFS(Sheet1!$C$2:$C$180,Sheet1!$F$2:$F$180,B4,Sheet1!$E$2:$E$180,C4)</f>
        <v>0</v>
      </c>
      <c r="E4" s="6">
        <f>D4/Sheet1!$I$9*Sheet1!$I$10</f>
        <v>0</v>
      </c>
      <c r="F4" s="549">
        <f>D4/Sheet1!$I$9*Sheet1!$I$11</f>
        <v>0</v>
      </c>
      <c r="G4" s="550">
        <f>F4</f>
        <v>0</v>
      </c>
      <c r="H4" s="803">
        <f>SUM(G4:G11)</f>
        <v>1.5661840980454721E-2</v>
      </c>
      <c r="J4" s="799" t="s">
        <v>271</v>
      </c>
      <c r="K4" s="547" t="s">
        <v>296</v>
      </c>
      <c r="L4" s="595"/>
      <c r="M4" s="6">
        <f>SUMIFS(Sheet1!$N$2:$N$180,Sheet1!$Q$2:$Q$180,K4,Sheet1!$P$2:$P$180,L4)</f>
        <v>0</v>
      </c>
      <c r="N4" s="6">
        <f>M4/Sheet1!$T$9*Sheet1!$T$10</f>
        <v>0</v>
      </c>
      <c r="O4" s="549">
        <f>M4/Sheet1!$T$9*Sheet1!$T$11</f>
        <v>0</v>
      </c>
      <c r="P4" s="550">
        <f>O4</f>
        <v>0</v>
      </c>
      <c r="Q4" s="803">
        <f>SUM(P4:P11)</f>
        <v>4.9442691644803428E-3</v>
      </c>
    </row>
    <row r="5" spans="1:17" ht="15">
      <c r="A5" s="799"/>
      <c r="B5" s="547" t="s">
        <v>272</v>
      </c>
      <c r="C5" s="548"/>
      <c r="D5" s="6">
        <f>SUMIFS(Sheet1!$C$2:$C$180,Sheet1!$F$2:$F$180,B5,Sheet1!$E$2:$E$180,C5)</f>
        <v>0</v>
      </c>
      <c r="E5" s="6">
        <f>D5/Sheet1!$I$9*Sheet1!$I$10</f>
        <v>0</v>
      </c>
      <c r="F5" s="549">
        <f>D5/Sheet1!$I$9*Sheet1!$I$11</f>
        <v>0</v>
      </c>
      <c r="G5" s="551">
        <f t="shared" ref="G5:G14" si="0">F5</f>
        <v>0</v>
      </c>
      <c r="H5" s="799"/>
      <c r="J5" s="799"/>
      <c r="K5" s="547" t="s">
        <v>272</v>
      </c>
      <c r="L5" s="548"/>
      <c r="M5" s="6">
        <f>SUMIFS(Sheet1!$N$2:$N$180,Sheet1!$Q$2:$Q$180,K5,Sheet1!$P$2:$P$180,L5)</f>
        <v>0</v>
      </c>
      <c r="N5" s="6">
        <f>M5/Sheet1!$T$9*Sheet1!$T$10</f>
        <v>0</v>
      </c>
      <c r="O5" s="549">
        <f>M5/Sheet1!$T$9*Sheet1!$T$11</f>
        <v>0</v>
      </c>
      <c r="P5" s="551">
        <f t="shared" ref="P5:P14" si="1">O5</f>
        <v>0</v>
      </c>
      <c r="Q5" s="799"/>
    </row>
    <row r="6" spans="1:17" ht="15">
      <c r="A6" s="799"/>
      <c r="B6" s="785" t="s">
        <v>306</v>
      </c>
      <c r="C6" s="548" t="s">
        <v>841</v>
      </c>
      <c r="D6" s="6">
        <f>SUMIFS(Sheet1!$C$2:$C$180,Sheet1!$F$2:$F$180,B6,Sheet1!$E$2:$E$180,C6)</f>
        <v>172</v>
      </c>
      <c r="E6" s="6">
        <f>D6/Sheet1!$I$9*Sheet1!$I$10</f>
        <v>6.1701092080731099</v>
      </c>
      <c r="F6" s="549">
        <f>D6/Sheet1!$I$9*Sheet1!$I$11</f>
        <v>3.7570943495651493E-3</v>
      </c>
      <c r="G6" s="551">
        <f t="shared" si="0"/>
        <v>3.7570943495651493E-3</v>
      </c>
      <c r="H6" s="799"/>
      <c r="J6" s="799"/>
      <c r="K6" s="785" t="s">
        <v>306</v>
      </c>
      <c r="L6" s="548" t="s">
        <v>841</v>
      </c>
      <c r="M6" s="6">
        <f>SUMIFS(Sheet1!$N$2:$N$180,Sheet1!$Q$2:$Q$180,K6,Sheet1!$P$2:$P$180,L6)</f>
        <v>0</v>
      </c>
      <c r="N6" s="6">
        <f>M6/Sheet1!$T$9*Sheet1!$T$10</f>
        <v>0</v>
      </c>
      <c r="O6" s="549">
        <f>M6/Sheet1!$T$9*Sheet1!$T$11</f>
        <v>0</v>
      </c>
      <c r="P6" s="551">
        <f t="shared" si="1"/>
        <v>0</v>
      </c>
      <c r="Q6" s="799"/>
    </row>
    <row r="7" spans="1:17" ht="15">
      <c r="A7" s="799"/>
      <c r="B7" s="787"/>
      <c r="C7" s="548"/>
      <c r="D7" s="6">
        <f>SUMIFS(Sheet1!$C$2:$C$180,Sheet1!$F$2:$F$180,B6,Sheet1!$E$2:$E$180,C7)</f>
        <v>0</v>
      </c>
      <c r="E7" s="6">
        <f>D7/Sheet1!$I$9*Sheet1!$I$10</f>
        <v>0</v>
      </c>
      <c r="F7" s="549">
        <f>D7/Sheet1!$I$9*Sheet1!$I$11</f>
        <v>0</v>
      </c>
      <c r="G7" s="551">
        <f t="shared" si="0"/>
        <v>0</v>
      </c>
      <c r="H7" s="799"/>
      <c r="J7" s="799"/>
      <c r="K7" s="787"/>
      <c r="L7" s="548"/>
      <c r="M7" s="6">
        <f>SUMIFS(Sheet1!$N$2:$N$180,Sheet1!$Q$2:$Q$180,K6,Sheet1!$P$2:$P$180,L7)</f>
        <v>0</v>
      </c>
      <c r="N7" s="6">
        <f>M7/Sheet1!$T$9*Sheet1!$T$10</f>
        <v>0</v>
      </c>
      <c r="O7" s="549">
        <f>M7/Sheet1!$T$9*Sheet1!$T$11</f>
        <v>0</v>
      </c>
      <c r="P7" s="551">
        <f t="shared" si="1"/>
        <v>0</v>
      </c>
      <c r="Q7" s="799"/>
    </row>
    <row r="8" spans="1:17">
      <c r="A8" s="799"/>
      <c r="B8" s="785" t="s">
        <v>305</v>
      </c>
      <c r="C8" s="548" t="s">
        <v>440</v>
      </c>
      <c r="D8" s="6">
        <f>SUMIFS(Sheet1!$C$2:$C$180,Sheet1!$F$2:$F$180,B8,Sheet1!$E$2:$E$180,C8)</f>
        <v>545</v>
      </c>
      <c r="E8" s="6">
        <f>D8/Sheet1!$I$9*Sheet1!$I$10</f>
        <v>19.550636734882819</v>
      </c>
      <c r="F8" s="549">
        <f>D8/Sheet1!$I$9*Sheet1!$I$11</f>
        <v>1.1904746630889572E-2</v>
      </c>
      <c r="G8" s="552">
        <f t="shared" si="0"/>
        <v>1.1904746630889572E-2</v>
      </c>
      <c r="H8" s="799"/>
      <c r="J8" s="799"/>
      <c r="K8" s="785" t="s">
        <v>305</v>
      </c>
      <c r="L8" s="548" t="s">
        <v>440</v>
      </c>
      <c r="M8" s="6">
        <f>SUMIFS(Sheet1!$N$2:$N$180,Sheet1!$Q$2:$Q$180,K8,Sheet1!$P$2:$P$180,L8)</f>
        <v>223</v>
      </c>
      <c r="N8" s="6">
        <f>M8/Sheet1!$T$9*Sheet1!$T$10</f>
        <v>8.0318900410889693</v>
      </c>
      <c r="O8" s="549">
        <f>M8/Sheet1!$T$9*Sheet1!$T$11</f>
        <v>4.9442691644803428E-3</v>
      </c>
      <c r="P8" s="552">
        <f t="shared" si="1"/>
        <v>4.9442691644803428E-3</v>
      </c>
      <c r="Q8" s="799"/>
    </row>
    <row r="9" spans="1:17">
      <c r="A9" s="799"/>
      <c r="B9" s="787"/>
      <c r="C9" s="548"/>
      <c r="D9" s="6">
        <f>SUMIFS(Sheet1!$C$2:$C$180,Sheet1!$F$2:$F$180,B8,Sheet1!$E$2:$E$180,C9)</f>
        <v>0</v>
      </c>
      <c r="E9" s="6">
        <f>D9/Sheet1!$I$9*Sheet1!$I$10</f>
        <v>0</v>
      </c>
      <c r="F9" s="549">
        <f>D9/Sheet1!$I$9*Sheet1!$I$11</f>
        <v>0</v>
      </c>
      <c r="G9" s="552">
        <f t="shared" si="0"/>
        <v>0</v>
      </c>
      <c r="H9" s="799"/>
      <c r="J9" s="799"/>
      <c r="K9" s="787"/>
      <c r="L9" s="548"/>
      <c r="M9" s="6">
        <f>SUMIFS(Sheet1!$N$2:$N$180,Sheet1!$Q$2:$Q$180,K8,Sheet1!$P$2:$P$180,L9)</f>
        <v>0</v>
      </c>
      <c r="N9" s="6">
        <f>M9/Sheet1!$T$9*Sheet1!$T$10</f>
        <v>0</v>
      </c>
      <c r="O9" s="549">
        <f>M9/Sheet1!$T$9*Sheet1!$T$11</f>
        <v>0</v>
      </c>
      <c r="P9" s="552">
        <f t="shared" si="1"/>
        <v>0</v>
      </c>
      <c r="Q9" s="799"/>
    </row>
    <row r="10" spans="1:17" ht="15" customHeight="1">
      <c r="A10" s="799"/>
      <c r="B10" s="785" t="s">
        <v>371</v>
      </c>
      <c r="C10" s="548"/>
      <c r="D10" s="6">
        <f>SUMIFS(Sheet1!$C$2:$C$180,Sheet1!$F$2:$F$180,B10,Sheet1!$E$2:$E$180,C10)</f>
        <v>0</v>
      </c>
      <c r="E10" s="6">
        <f>D10/Sheet1!$I$9*Sheet1!$I$10</f>
        <v>0</v>
      </c>
      <c r="F10" s="549">
        <f>D10/Sheet1!$I$9*Sheet1!$I$11</f>
        <v>0</v>
      </c>
      <c r="G10" s="552">
        <f t="shared" si="0"/>
        <v>0</v>
      </c>
      <c r="H10" s="799"/>
      <c r="J10" s="799"/>
      <c r="K10" s="785" t="s">
        <v>371</v>
      </c>
      <c r="L10" s="548"/>
      <c r="M10" s="6">
        <f>SUMIFS(Sheet1!$N$2:$N$180,Sheet1!$Q$2:$Q$180,K10,Sheet1!$P$2:$P$180,L10)</f>
        <v>0</v>
      </c>
      <c r="N10" s="6">
        <f>M10/Sheet1!$T$9*Sheet1!$T$10</f>
        <v>0</v>
      </c>
      <c r="O10" s="549">
        <f>M10/Sheet1!$T$9*Sheet1!$T$11</f>
        <v>0</v>
      </c>
      <c r="P10" s="552">
        <f t="shared" si="1"/>
        <v>0</v>
      </c>
      <c r="Q10" s="799"/>
    </row>
    <row r="11" spans="1:17" ht="15" customHeight="1">
      <c r="A11" s="799"/>
      <c r="B11" s="787"/>
      <c r="C11" s="548"/>
      <c r="D11" s="6">
        <f>SUMIFS(Sheet1!$C$2:$C$180,Sheet1!$F$2:$F$180,B10,Sheet1!$E$2:$E$180,C11)</f>
        <v>0</v>
      </c>
      <c r="E11" s="6">
        <f>D11/Sheet1!$I$9*Sheet1!$I$10</f>
        <v>0</v>
      </c>
      <c r="F11" s="549">
        <f>D11/Sheet1!$I$9*Sheet1!$I$11</f>
        <v>0</v>
      </c>
      <c r="G11" s="552">
        <f t="shared" si="0"/>
        <v>0</v>
      </c>
      <c r="H11" s="799"/>
      <c r="J11" s="799"/>
      <c r="K11" s="787"/>
      <c r="L11" s="548"/>
      <c r="M11" s="6">
        <f>SUMIFS(Sheet1!$N$2:$N$180,Sheet1!$Q$2:$Q$180,K10,Sheet1!$P$2:$P$180,L11)</f>
        <v>0</v>
      </c>
      <c r="N11" s="6">
        <f>M11/Sheet1!$T$9*Sheet1!$T$10</f>
        <v>0</v>
      </c>
      <c r="O11" s="549">
        <f>M11/Sheet1!$T$9*Sheet1!$T$11</f>
        <v>0</v>
      </c>
      <c r="P11" s="552">
        <f t="shared" si="1"/>
        <v>0</v>
      </c>
      <c r="Q11" s="799"/>
    </row>
    <row r="12" spans="1:17" ht="15">
      <c r="A12" s="799" t="s">
        <v>9</v>
      </c>
      <c r="B12" s="547" t="s">
        <v>161</v>
      </c>
      <c r="C12" s="548" t="s">
        <v>161</v>
      </c>
      <c r="D12" s="6"/>
      <c r="E12" s="6">
        <f>+Sheet1!I2</f>
        <v>25.168000000000003</v>
      </c>
      <c r="F12" s="549">
        <f>E12/Sheet1!$I$8</f>
        <v>1.5325263686764757E-2</v>
      </c>
      <c r="G12" s="551">
        <f t="shared" si="0"/>
        <v>1.5325263686764757E-2</v>
      </c>
      <c r="H12" s="800">
        <f>SUM(G12:G13)</f>
        <v>9.2288794053386081E-2</v>
      </c>
      <c r="J12" s="799" t="s">
        <v>9</v>
      </c>
      <c r="K12" s="547" t="s">
        <v>161</v>
      </c>
      <c r="L12" s="548" t="s">
        <v>161</v>
      </c>
      <c r="M12" s="6"/>
      <c r="N12" s="6">
        <f>+Sheet1!T2</f>
        <v>25.168000000000003</v>
      </c>
      <c r="O12" s="549">
        <f>+Sheet1!U2</f>
        <v>1.5492912091058705E-2</v>
      </c>
      <c r="P12" s="551">
        <f t="shared" si="1"/>
        <v>1.5492912091058705E-2</v>
      </c>
      <c r="Q12" s="800">
        <f>SUM(P12:P13)</f>
        <v>9.3298373358088341E-2</v>
      </c>
    </row>
    <row r="13" spans="1:17" ht="15">
      <c r="A13" s="799"/>
      <c r="B13" s="547" t="s">
        <v>249</v>
      </c>
      <c r="C13" s="548" t="s">
        <v>273</v>
      </c>
      <c r="D13" s="6"/>
      <c r="E13" s="6">
        <f>+Sheet1!I3</f>
        <v>126.39378818257973</v>
      </c>
      <c r="F13" s="549">
        <f>E13/Sheet1!$I$8</f>
        <v>7.6963530366621319E-2</v>
      </c>
      <c r="G13" s="551">
        <f t="shared" si="0"/>
        <v>7.6963530366621319E-2</v>
      </c>
      <c r="H13" s="801"/>
      <c r="J13" s="799"/>
      <c r="K13" s="547" t="s">
        <v>249</v>
      </c>
      <c r="L13" s="548" t="s">
        <v>273</v>
      </c>
      <c r="M13" s="6"/>
      <c r="N13" s="6">
        <f>+Sheet1!T3</f>
        <v>126.39378818257973</v>
      </c>
      <c r="O13" s="549">
        <f>+Sheet1!U3</f>
        <v>7.7805461267029641E-2</v>
      </c>
      <c r="P13" s="551">
        <f t="shared" si="1"/>
        <v>7.7805461267029641E-2</v>
      </c>
      <c r="Q13" s="801"/>
    </row>
    <row r="14" spans="1:17" ht="15">
      <c r="A14" s="788" t="s">
        <v>11</v>
      </c>
      <c r="B14" s="547" t="s">
        <v>274</v>
      </c>
      <c r="C14" s="548" t="s">
        <v>274</v>
      </c>
      <c r="D14" s="6"/>
      <c r="E14" s="6">
        <f>+Sheet1!I4</f>
        <v>-0.62626360134423731</v>
      </c>
      <c r="F14" s="549">
        <f>E14/Sheet1!$I$8</f>
        <v>-3.8134356436837888E-4</v>
      </c>
      <c r="G14" s="551">
        <f t="shared" si="0"/>
        <v>-3.8134356436837888E-4</v>
      </c>
      <c r="H14" s="802">
        <f>SUM(G14:G23)</f>
        <v>4.3949478403169082E-2</v>
      </c>
      <c r="J14" s="788" t="s">
        <v>11</v>
      </c>
      <c r="K14" s="547" t="s">
        <v>274</v>
      </c>
      <c r="L14" s="548" t="s">
        <v>274</v>
      </c>
      <c r="M14" s="6"/>
      <c r="N14" s="6">
        <f>+Sheet1!T4</f>
        <v>-0.14198400134423128</v>
      </c>
      <c r="O14" s="549">
        <f>+Sheet1!U4</f>
        <v>-8.7402481371699609E-5</v>
      </c>
      <c r="P14" s="551">
        <f t="shared" si="1"/>
        <v>-8.7402481371699609E-5</v>
      </c>
      <c r="Q14" s="802">
        <f>SUM(P14:P23)</f>
        <v>4.4366358735484536E-2</v>
      </c>
    </row>
    <row r="15" spans="1:17" ht="15">
      <c r="A15" s="789"/>
      <c r="B15" s="547" t="s">
        <v>253</v>
      </c>
      <c r="C15" s="548" t="s">
        <v>253</v>
      </c>
      <c r="D15" s="6"/>
      <c r="E15" s="6">
        <f>+Sheet1!I5</f>
        <v>16.876957427363692</v>
      </c>
      <c r="F15" s="549">
        <f>E15/Sheet1!$I$8</f>
        <v>1.027669353165335E-2</v>
      </c>
      <c r="G15" s="551">
        <f>F15</f>
        <v>1.027669353165335E-2</v>
      </c>
      <c r="H15" s="802"/>
      <c r="J15" s="789"/>
      <c r="K15" s="547" t="s">
        <v>253</v>
      </c>
      <c r="L15" s="548" t="s">
        <v>253</v>
      </c>
      <c r="M15" s="6"/>
      <c r="N15" s="6">
        <f>+Sheet1!T5</f>
        <v>16.06326342736369</v>
      </c>
      <c r="O15" s="549">
        <f>+Sheet1!U5</f>
        <v>9.888220286699936E-3</v>
      </c>
      <c r="P15" s="551">
        <f>O15</f>
        <v>9.888220286699936E-3</v>
      </c>
      <c r="Q15" s="802"/>
    </row>
    <row r="16" spans="1:17">
      <c r="A16" s="789"/>
      <c r="B16" s="795" t="s">
        <v>275</v>
      </c>
      <c r="C16" s="548"/>
      <c r="D16" s="6">
        <f>SUMIFS(Sheet1!$C$2:$C$180,Sheet1!$F$2:$F$180,B16,Sheet1!$E$2:$E$180,C16)</f>
        <v>0</v>
      </c>
      <c r="E16" s="6">
        <f>D16/Sheet1!$I$9*Sheet1!$I$10</f>
        <v>0</v>
      </c>
      <c r="F16" s="549">
        <f>D16/Sheet1!$I$9*Sheet1!$I$11</f>
        <v>0</v>
      </c>
      <c r="G16" s="794">
        <f>SUM(F16:F17)</f>
        <v>0</v>
      </c>
      <c r="H16" s="802"/>
      <c r="J16" s="789"/>
      <c r="K16" s="795" t="s">
        <v>275</v>
      </c>
      <c r="L16" s="548"/>
      <c r="M16" s="6">
        <f>SUMIFS(Sheet1!$N$2:$N$180,Sheet1!$Q$2:$Q$180,K16,Sheet1!$P$2:$P$180,L16)</f>
        <v>0</v>
      </c>
      <c r="N16" s="6">
        <f>M16/Sheet1!$T$9*Sheet1!$T$10</f>
        <v>0</v>
      </c>
      <c r="O16" s="549">
        <f>M16/Sheet1!$T$9*Sheet1!$T$11</f>
        <v>0</v>
      </c>
      <c r="P16" s="794">
        <f>SUM(O16:O17)</f>
        <v>0</v>
      </c>
      <c r="Q16" s="802"/>
    </row>
    <row r="17" spans="1:17">
      <c r="A17" s="789"/>
      <c r="B17" s="795"/>
      <c r="C17" s="548"/>
      <c r="D17" s="6">
        <f>SUMIFS(Sheet1!$C$2:$C$180,Sheet1!$F$2:$F$180,B16,Sheet1!$E$2:$E$180,C17)</f>
        <v>0</v>
      </c>
      <c r="E17" s="6">
        <f>D17/Sheet1!$I$9*Sheet1!$I$10</f>
        <v>0</v>
      </c>
      <c r="F17" s="549">
        <f>D17/Sheet1!$I$9*Sheet1!$I$11</f>
        <v>0</v>
      </c>
      <c r="G17" s="794"/>
      <c r="H17" s="802"/>
      <c r="J17" s="789"/>
      <c r="K17" s="795"/>
      <c r="L17" s="548"/>
      <c r="M17" s="6">
        <f>SUMIFS(Sheet1!$N$2:$N$180,Sheet1!$Q$2:$Q$180,K16,Sheet1!$P$2:$P$180,L17)</f>
        <v>0</v>
      </c>
      <c r="N17" s="6">
        <f>M17/Sheet1!$T$9*Sheet1!$T$10</f>
        <v>0</v>
      </c>
      <c r="O17" s="549">
        <f>M17/Sheet1!$T$9*Sheet1!$T$11</f>
        <v>0</v>
      </c>
      <c r="P17" s="794"/>
      <c r="Q17" s="802"/>
    </row>
    <row r="18" spans="1:17" ht="15">
      <c r="A18" s="789"/>
      <c r="B18" s="547" t="s">
        <v>276</v>
      </c>
      <c r="C18" s="548" t="s">
        <v>277</v>
      </c>
      <c r="D18" s="6">
        <f>SUMIFS(Sheet1!$C$2:$C$180,Sheet1!$F$2:$F$180,B18,Sheet1!$E$2:$E$180,C18)</f>
        <v>0</v>
      </c>
      <c r="E18" s="6">
        <f>D18/Sheet1!$I$9*Sheet1!$I$10</f>
        <v>0</v>
      </c>
      <c r="F18" s="549">
        <f>D18/Sheet1!$I$9*Sheet1!$I$11</f>
        <v>0</v>
      </c>
      <c r="G18" s="551">
        <f>F18</f>
        <v>0</v>
      </c>
      <c r="H18" s="802"/>
      <c r="J18" s="789"/>
      <c r="K18" s="547" t="s">
        <v>276</v>
      </c>
      <c r="L18" s="548" t="s">
        <v>277</v>
      </c>
      <c r="M18" s="6">
        <f>SUMIFS(Sheet1!$N$2:$N$180,Sheet1!$Q$2:$Q$180,K18,Sheet1!$P$2:$P$180,L18)</f>
        <v>0</v>
      </c>
      <c r="N18" s="6">
        <f>M18/Sheet1!$T$9*Sheet1!$T$10</f>
        <v>0</v>
      </c>
      <c r="O18" s="549">
        <f>M18/Sheet1!$T$9*Sheet1!$T$11</f>
        <v>0</v>
      </c>
      <c r="P18" s="551">
        <f>O18</f>
        <v>0</v>
      </c>
      <c r="Q18" s="802"/>
    </row>
    <row r="19" spans="1:17">
      <c r="A19" s="789"/>
      <c r="B19" s="785" t="s">
        <v>247</v>
      </c>
      <c r="C19" s="548" t="s">
        <v>248</v>
      </c>
      <c r="D19" s="6">
        <f>SUMIFS(Sheet1!$C$2:$C$180,Sheet1!$F$2:$F$180,B19,Sheet1!$E$2:$E$180,C19)</f>
        <v>229</v>
      </c>
      <c r="E19" s="6">
        <f>D19/Sheet1!$I$9*Sheet1!$I$10</f>
        <v>8.2148547014461748</v>
      </c>
      <c r="F19" s="549">
        <f>D19/Sheet1!$I$9*Sheet1!$I$11</f>
        <v>5.0021779421535999E-3</v>
      </c>
      <c r="G19" s="791">
        <f>SUM(F19:F23)</f>
        <v>3.405412843588411E-2</v>
      </c>
      <c r="H19" s="802"/>
      <c r="J19" s="789"/>
      <c r="K19" s="785" t="s">
        <v>247</v>
      </c>
      <c r="L19" s="548" t="s">
        <v>248</v>
      </c>
      <c r="M19" s="6">
        <f>SUMIFS(Sheet1!$N$2:$N$180,Sheet1!$Q$2:$Q$180,$K$19,Sheet1!$P$2:$P$180,L19)</f>
        <v>229</v>
      </c>
      <c r="N19" s="6">
        <f>M19/Sheet1!$T$9*Sheet1!$T$10</f>
        <v>8.2479947058716316</v>
      </c>
      <c r="O19" s="549">
        <f>M19/Sheet1!$T$9*Sheet1!$T$11</f>
        <v>5.0772988280986479E-3</v>
      </c>
      <c r="P19" s="791">
        <f>SUM(O19:O23)</f>
        <v>3.4565540930156298E-2</v>
      </c>
      <c r="Q19" s="802"/>
    </row>
    <row r="20" spans="1:17">
      <c r="A20" s="789"/>
      <c r="B20" s="786"/>
      <c r="C20" s="548" t="s">
        <v>250</v>
      </c>
      <c r="D20" s="6">
        <f>SUMIFS(Sheet1!$C$2:$C$180,Sheet1!$F$2:$F$180,B19,Sheet1!$E$2:$E$180,C20)</f>
        <v>830</v>
      </c>
      <c r="E20" s="6">
        <f>D20/Sheet1!$I$9*Sheet1!$I$10</f>
        <v>29.774364201748146</v>
      </c>
      <c r="F20" s="549">
        <f>D20/Sheet1!$I$9*Sheet1!$I$11</f>
        <v>1.8130164593831825E-2</v>
      </c>
      <c r="G20" s="792"/>
      <c r="H20" s="802"/>
      <c r="J20" s="789"/>
      <c r="K20" s="786"/>
      <c r="L20" s="548" t="s">
        <v>250</v>
      </c>
      <c r="M20" s="6">
        <f>SUMIFS(Sheet1!$N$2:$N$180,Sheet1!$Q$2:$Q$180,$K$19,Sheet1!$P$2:$P$180,L20)</f>
        <v>830</v>
      </c>
      <c r="N20" s="6">
        <f>M20/Sheet1!$T$9*Sheet1!$T$10</f>
        <v>29.894478628268359</v>
      </c>
      <c r="O20" s="549">
        <f>M20/Sheet1!$T$9*Sheet1!$T$11</f>
        <v>1.8402436800532218E-2</v>
      </c>
      <c r="P20" s="792"/>
      <c r="Q20" s="802"/>
    </row>
    <row r="21" spans="1:17">
      <c r="A21" s="789"/>
      <c r="B21" s="786"/>
      <c r="C21" s="548" t="s">
        <v>246</v>
      </c>
      <c r="D21" s="6">
        <f>SUMIFS(Sheet1!$C$2:$C$180,Sheet1!$F$2:$F$180,B19,Sheet1!$E$2:$E$180,C21)</f>
        <v>500</v>
      </c>
      <c r="E21" s="6">
        <f>D21/Sheet1!$I$9*Sheet1!$I$10</f>
        <v>17.936363976956713</v>
      </c>
      <c r="F21" s="549">
        <f>D21/Sheet1!$I$9*Sheet1!$I$11</f>
        <v>1.092178589989869E-2</v>
      </c>
      <c r="G21" s="792"/>
      <c r="H21" s="802"/>
      <c r="J21" s="789"/>
      <c r="K21" s="786"/>
      <c r="L21" s="548" t="s">
        <v>246</v>
      </c>
      <c r="M21" s="6">
        <f>SUMIFS(Sheet1!$N$2:$N$180,Sheet1!$Q$2:$Q$180,$K$19,Sheet1!$P$2:$P$180,L21)</f>
        <v>500</v>
      </c>
      <c r="N21" s="6">
        <f>M21/Sheet1!$T$9*Sheet1!$T$10</f>
        <v>18.008722065221903</v>
      </c>
      <c r="O21" s="549">
        <f>M21/Sheet1!$T$9*Sheet1!$T$11</f>
        <v>1.1085805301525432E-2</v>
      </c>
      <c r="P21" s="792"/>
      <c r="Q21" s="802"/>
    </row>
    <row r="22" spans="1:17">
      <c r="A22" s="789"/>
      <c r="B22" s="786"/>
      <c r="C22" s="548"/>
      <c r="D22" s="6">
        <f>SUMIFS(Sheet1!$C$2:$C$180,Sheet1!$F$2:$F$180,B19,Sheet1!$E$2:$E$180,C22)</f>
        <v>0</v>
      </c>
      <c r="E22" s="6">
        <f>D22/Sheet1!$I$9*Sheet1!$I$10</f>
        <v>0</v>
      </c>
      <c r="F22" s="549">
        <f>D22/Sheet1!$I$9*Sheet1!$I$11</f>
        <v>0</v>
      </c>
      <c r="G22" s="792"/>
      <c r="H22" s="802"/>
      <c r="J22" s="789"/>
      <c r="K22" s="786"/>
      <c r="L22" s="548"/>
      <c r="M22" s="6">
        <f>SUMIFS(Sheet1!$N$2:$N$180,Sheet1!$Q$2:$Q$180,$K$19,Sheet1!$P$2:$P$180,L22)</f>
        <v>0</v>
      </c>
      <c r="N22" s="6">
        <f>M22/Sheet1!$T$9*Sheet1!$T$10</f>
        <v>0</v>
      </c>
      <c r="O22" s="549">
        <f>M22/Sheet1!$T$9*Sheet1!$T$11</f>
        <v>0</v>
      </c>
      <c r="P22" s="792"/>
      <c r="Q22" s="802"/>
    </row>
    <row r="23" spans="1:17">
      <c r="A23" s="789"/>
      <c r="B23" s="787"/>
      <c r="C23" s="548"/>
      <c r="D23" s="6">
        <f>SUMIFS(Sheet1!$C$2:$C$180,Sheet1!$F$2:$F$180,B19,Sheet1!$E$2:$E$180,C23)</f>
        <v>0</v>
      </c>
      <c r="E23" s="6">
        <f>D23/Sheet1!$I$9*Sheet1!$I$10</f>
        <v>0</v>
      </c>
      <c r="F23" s="549">
        <f>D23/Sheet1!$I$9*Sheet1!$I$11</f>
        <v>0</v>
      </c>
      <c r="G23" s="793"/>
      <c r="H23" s="802"/>
      <c r="J23" s="789"/>
      <c r="K23" s="787"/>
      <c r="L23" s="548"/>
      <c r="M23" s="6">
        <f>SUMIFS(Sheet1!$N$2:$N$180,Sheet1!$Q$2:$Q$180,$K$19,Sheet1!$P$2:$P$180,L23)</f>
        <v>0</v>
      </c>
      <c r="N23" s="6">
        <f>M23/Sheet1!$T$9*Sheet1!$T$10</f>
        <v>0</v>
      </c>
      <c r="O23" s="549">
        <f>M23/Sheet1!$T$9*Sheet1!$T$11</f>
        <v>0</v>
      </c>
      <c r="P23" s="793"/>
      <c r="Q23" s="802"/>
    </row>
    <row r="24" spans="1:17" ht="12.75" customHeight="1">
      <c r="A24" s="788" t="s">
        <v>278</v>
      </c>
      <c r="B24" s="795" t="s">
        <v>259</v>
      </c>
      <c r="C24" s="553"/>
      <c r="D24" s="6">
        <f>SUMIFS(Sheet1!$C$2:$C$180,Sheet1!$F$2:$F$180,B24,Sheet1!$E$2:$E$180,C24)</f>
        <v>0</v>
      </c>
      <c r="E24" s="6">
        <f>D24/Sheet1!$I$9*Sheet1!$I$10</f>
        <v>0</v>
      </c>
      <c r="F24" s="549">
        <f>D24/Sheet1!$I$9*Sheet1!$I$11</f>
        <v>0</v>
      </c>
      <c r="G24" s="794">
        <f>SUM(F24:F30)</f>
        <v>0</v>
      </c>
      <c r="H24" s="782">
        <f>SUM(G24:G38)</f>
        <v>3.2983793417694042E-3</v>
      </c>
      <c r="J24" s="788" t="s">
        <v>278</v>
      </c>
      <c r="K24" s="795" t="s">
        <v>259</v>
      </c>
      <c r="L24" s="553"/>
      <c r="M24" s="6">
        <f>SUMIFS(Sheet1!$N$2:$N$180,Sheet1!$Q$2:$Q$180,$K$24,Sheet1!$P$2:$P$180,L24)</f>
        <v>0</v>
      </c>
      <c r="N24" s="6">
        <f>M24/Sheet1!$T$9*Sheet1!$T$10</f>
        <v>0</v>
      </c>
      <c r="O24" s="549">
        <f>M24/Sheet1!$T$9*Sheet1!$T$11</f>
        <v>0</v>
      </c>
      <c r="P24" s="794">
        <f>SUM(O24:O30)</f>
        <v>0</v>
      </c>
      <c r="Q24" s="782">
        <f>SUM(P24:P38)</f>
        <v>3.3479132010606804E-3</v>
      </c>
    </row>
    <row r="25" spans="1:17" ht="12.75" customHeight="1">
      <c r="A25" s="789"/>
      <c r="B25" s="795"/>
      <c r="C25" s="553"/>
      <c r="D25" s="6">
        <f>SUMIFS(Sheet1!$C$2:$C$180,Sheet1!$F$2:$F$180,B24,Sheet1!$E$2:$E$180,C25)</f>
        <v>0</v>
      </c>
      <c r="E25" s="6">
        <f>D25/Sheet1!$I$9*Sheet1!$I$10</f>
        <v>0</v>
      </c>
      <c r="F25" s="549">
        <f>D25/Sheet1!$I$9*Sheet1!$I$11</f>
        <v>0</v>
      </c>
      <c r="G25" s="794"/>
      <c r="H25" s="783"/>
      <c r="J25" s="789"/>
      <c r="K25" s="795"/>
      <c r="L25" s="553"/>
      <c r="M25" s="6">
        <f>SUMIFS(Sheet1!$N$2:$N$180,Sheet1!$Q$2:$Q$180,$K$24,Sheet1!$P$2:$P$180,L25)</f>
        <v>0</v>
      </c>
      <c r="N25" s="6">
        <f>M25/Sheet1!$T$9*Sheet1!$T$10</f>
        <v>0</v>
      </c>
      <c r="O25" s="549">
        <f>M25/Sheet1!$T$9*Sheet1!$T$11</f>
        <v>0</v>
      </c>
      <c r="P25" s="794"/>
      <c r="Q25" s="783"/>
    </row>
    <row r="26" spans="1:17" ht="12.75" customHeight="1">
      <c r="A26" s="789"/>
      <c r="B26" s="795"/>
      <c r="C26" s="554"/>
      <c r="D26" s="6">
        <f>SUMIFS(Sheet1!$C$2:$C$180,Sheet1!$F$2:$F$180,B24,Sheet1!$E$2:$E$180,C26)</f>
        <v>0</v>
      </c>
      <c r="E26" s="6">
        <f>D26/Sheet1!$I$9*Sheet1!$I$10</f>
        <v>0</v>
      </c>
      <c r="F26" s="549">
        <f>D26/Sheet1!$I$9*Sheet1!$I$11</f>
        <v>0</v>
      </c>
      <c r="G26" s="794"/>
      <c r="H26" s="783"/>
      <c r="J26" s="789"/>
      <c r="K26" s="795"/>
      <c r="L26" s="554"/>
      <c r="M26" s="6">
        <f>SUMIFS(Sheet1!$N$2:$N$180,Sheet1!$Q$2:$Q$180,$K$24,Sheet1!$P$2:$P$180,L26)</f>
        <v>0</v>
      </c>
      <c r="N26" s="6">
        <f>M26/Sheet1!$T$9*Sheet1!$T$10</f>
        <v>0</v>
      </c>
      <c r="O26" s="549">
        <f>M26/Sheet1!$T$9*Sheet1!$T$11</f>
        <v>0</v>
      </c>
      <c r="P26" s="794"/>
      <c r="Q26" s="783"/>
    </row>
    <row r="27" spans="1:17" ht="12.75" customHeight="1">
      <c r="A27" s="789"/>
      <c r="B27" s="795"/>
      <c r="D27" s="6">
        <f>SUMIFS(Sheet1!$C$2:$C$180,Sheet1!$F$2:$F$180,B24,Sheet1!$E$2:$E$180,C27)</f>
        <v>0</v>
      </c>
      <c r="E27" s="6">
        <f>D27/Sheet1!$I$9*Sheet1!$I$10</f>
        <v>0</v>
      </c>
      <c r="F27" s="549">
        <f>D27/Sheet1!$I$9*Sheet1!$I$11</f>
        <v>0</v>
      </c>
      <c r="G27" s="794"/>
      <c r="H27" s="783"/>
      <c r="J27" s="789"/>
      <c r="K27" s="795"/>
      <c r="M27" s="6">
        <f>SUMIFS(Sheet1!$N$2:$N$180,Sheet1!$Q$2:$Q$180,$K$24,Sheet1!$P$2:$P$180,L27)</f>
        <v>0</v>
      </c>
      <c r="N27" s="6">
        <f>M27/Sheet1!$T$9*Sheet1!$T$10</f>
        <v>0</v>
      </c>
      <c r="O27" s="549">
        <f>M27/Sheet1!$T$9*Sheet1!$T$11</f>
        <v>0</v>
      </c>
      <c r="P27" s="794"/>
      <c r="Q27" s="783"/>
    </row>
    <row r="28" spans="1:17" ht="12.75" customHeight="1">
      <c r="A28" s="789"/>
      <c r="B28" s="795"/>
      <c r="C28" s="548"/>
      <c r="D28" s="6">
        <f>SUMIFS(Sheet1!$C$2:$C$180,Sheet1!$F$2:$F$180,B24,Sheet1!$E$2:$E$180,C28)</f>
        <v>0</v>
      </c>
      <c r="E28" s="6">
        <f>D28/Sheet1!$I$9*Sheet1!$I$10</f>
        <v>0</v>
      </c>
      <c r="F28" s="549">
        <f>D28/Sheet1!$I$9*Sheet1!$I$11</f>
        <v>0</v>
      </c>
      <c r="G28" s="794"/>
      <c r="H28" s="783"/>
      <c r="J28" s="789"/>
      <c r="K28" s="795"/>
      <c r="L28" s="548"/>
      <c r="M28" s="6">
        <f>SUMIFS(Sheet1!$N$2:$N$180,Sheet1!$Q$2:$Q$180,$K$24,Sheet1!$P$2:$P$180,L28)</f>
        <v>0</v>
      </c>
      <c r="N28" s="6">
        <f>M28/Sheet1!$T$9*Sheet1!$T$10</f>
        <v>0</v>
      </c>
      <c r="O28" s="549">
        <f>M28/Sheet1!$T$9*Sheet1!$T$11</f>
        <v>0</v>
      </c>
      <c r="P28" s="794"/>
      <c r="Q28" s="783"/>
    </row>
    <row r="29" spans="1:17" ht="12.75" customHeight="1">
      <c r="A29" s="789"/>
      <c r="B29" s="795"/>
      <c r="C29" s="548"/>
      <c r="D29" s="6">
        <f>SUMIFS(Sheet1!$C$2:$C$180,Sheet1!$F$2:$F$180,B24,Sheet1!$E$2:$E$180,C29)</f>
        <v>0</v>
      </c>
      <c r="E29" s="6">
        <f>D29/Sheet1!$I$9*Sheet1!$I$10</f>
        <v>0</v>
      </c>
      <c r="F29" s="549">
        <f>D29/Sheet1!$I$9*Sheet1!$I$11</f>
        <v>0</v>
      </c>
      <c r="G29" s="794"/>
      <c r="H29" s="783"/>
      <c r="J29" s="789"/>
      <c r="K29" s="795"/>
      <c r="L29" s="548"/>
      <c r="M29" s="6">
        <f>SUMIFS(Sheet1!$N$2:$N$180,Sheet1!$Q$2:$Q$180,$K$24,Sheet1!$P$2:$P$180,L29)</f>
        <v>0</v>
      </c>
      <c r="N29" s="6">
        <f>M29/Sheet1!$T$9*Sheet1!$T$10</f>
        <v>0</v>
      </c>
      <c r="O29" s="549">
        <f>M29/Sheet1!$T$9*Sheet1!$T$11</f>
        <v>0</v>
      </c>
      <c r="P29" s="794"/>
      <c r="Q29" s="783"/>
    </row>
    <row r="30" spans="1:17" ht="12.75" customHeight="1">
      <c r="A30" s="789"/>
      <c r="B30" s="795"/>
      <c r="C30" s="548"/>
      <c r="D30" s="6">
        <f>SUMIFS(Sheet1!$C$2:$C$180,Sheet1!$F$2:$F$180,B24,Sheet1!$E$2:$E$180,C30)</f>
        <v>0</v>
      </c>
      <c r="E30" s="6">
        <f>D30/Sheet1!$I$9*Sheet1!$I$10</f>
        <v>0</v>
      </c>
      <c r="F30" s="549">
        <f>D30/Sheet1!$I$9*Sheet1!$I$11</f>
        <v>0</v>
      </c>
      <c r="G30" s="794"/>
      <c r="H30" s="783"/>
      <c r="J30" s="789"/>
      <c r="K30" s="795"/>
      <c r="L30" s="548"/>
      <c r="M30" s="6">
        <f>SUMIFS(Sheet1!$N$2:$N$180,Sheet1!$Q$2:$Q$180,$K$24,Sheet1!$P$2:$P$180,L30)</f>
        <v>0</v>
      </c>
      <c r="N30" s="6">
        <f>M30/Sheet1!$T$9*Sheet1!$T$10</f>
        <v>0</v>
      </c>
      <c r="O30" s="549">
        <f>M30/Sheet1!$T$9*Sheet1!$T$11</f>
        <v>0</v>
      </c>
      <c r="P30" s="794"/>
      <c r="Q30" s="783"/>
    </row>
    <row r="31" spans="1:17" ht="12.75" customHeight="1">
      <c r="A31" s="789"/>
      <c r="B31" s="785" t="s">
        <v>260</v>
      </c>
      <c r="D31" s="6">
        <f>SUMIFS(Sheet1!$C$2:$C$180,Sheet1!$F$2:$F$180,B31,Sheet1!$E$2:$E$180,C31)</f>
        <v>0</v>
      </c>
      <c r="E31" s="6">
        <f>D31/Sheet1!$I$9*Sheet1!$I$10</f>
        <v>0</v>
      </c>
      <c r="F31" s="549">
        <f>D31/Sheet1!$I$9*Sheet1!$I$11</f>
        <v>0</v>
      </c>
      <c r="G31" s="791">
        <f>SUM(F31:F32)</f>
        <v>0</v>
      </c>
      <c r="H31" s="783"/>
      <c r="J31" s="789"/>
      <c r="K31" s="785" t="s">
        <v>260</v>
      </c>
      <c r="M31" s="6">
        <f>SUMIFS(Sheet1!$N$2:$N$180,Sheet1!$Q$2:$Q$180,$K$31,Sheet1!$P$2:$P$180,L31)</f>
        <v>0</v>
      </c>
      <c r="N31" s="6">
        <f>M31/Sheet1!$T$9*Sheet1!$T$10</f>
        <v>0</v>
      </c>
      <c r="O31" s="549">
        <f>M31/Sheet1!$T$9*Sheet1!$T$11</f>
        <v>0</v>
      </c>
      <c r="P31" s="791">
        <f>SUM(O31:O32)</f>
        <v>0</v>
      </c>
      <c r="Q31" s="783"/>
    </row>
    <row r="32" spans="1:17" ht="12.75" customHeight="1">
      <c r="A32" s="789"/>
      <c r="B32" s="787"/>
      <c r="C32" s="548"/>
      <c r="D32" s="6">
        <f>SUMIFS(Sheet1!$C$2:$C$180,Sheet1!$F$2:$F$180,B31,Sheet1!$E$2:$E$180,C32)</f>
        <v>0</v>
      </c>
      <c r="E32" s="6">
        <f>D32/Sheet1!$I$9*Sheet1!$I$10</f>
        <v>0</v>
      </c>
      <c r="F32" s="549">
        <f>D32/Sheet1!$I$9*Sheet1!$I$11</f>
        <v>0</v>
      </c>
      <c r="G32" s="793"/>
      <c r="H32" s="783"/>
      <c r="J32" s="789"/>
      <c r="K32" s="787"/>
      <c r="L32" s="548"/>
      <c r="M32" s="6">
        <f>SUMIFS(Sheet1!$N$2:$N$180,Sheet1!$Q$2:$Q$180,$K$31,Sheet1!$P$2:$P$180,L32)</f>
        <v>0</v>
      </c>
      <c r="N32" s="6">
        <f>M32/Sheet1!$T$9*Sheet1!$T$10</f>
        <v>0</v>
      </c>
      <c r="O32" s="549">
        <f>M32/Sheet1!$T$9*Sheet1!$T$11</f>
        <v>0</v>
      </c>
      <c r="P32" s="793"/>
      <c r="Q32" s="783"/>
    </row>
    <row r="33" spans="1:17" ht="12.75" customHeight="1">
      <c r="A33" s="789"/>
      <c r="B33" s="795" t="s">
        <v>279</v>
      </c>
      <c r="C33" s="548" t="s">
        <v>691</v>
      </c>
      <c r="D33" s="6">
        <f>SUMIFS(Sheet1!$C$2:$C$180,Sheet1!$F$2:$F$180,B33,Sheet1!$E$2:$E$180,C33)</f>
        <v>50</v>
      </c>
      <c r="E33" s="6">
        <f>D33/Sheet1!$I$9*Sheet1!$I$10</f>
        <v>1.7936363976956715</v>
      </c>
      <c r="F33" s="549">
        <f>D33/Sheet1!$I$9*Sheet1!$I$11</f>
        <v>1.0921785899898689E-3</v>
      </c>
      <c r="G33" s="794">
        <f>SUM(F33:F35)</f>
        <v>1.0921785899898689E-3</v>
      </c>
      <c r="H33" s="783"/>
      <c r="J33" s="789"/>
      <c r="K33" s="795" t="s">
        <v>279</v>
      </c>
      <c r="L33" s="548" t="s">
        <v>691</v>
      </c>
      <c r="M33" s="6">
        <f>SUMIFS(Sheet1!$N$2:$N$180,Sheet1!$Q$2:$Q$180,$K$33,Sheet1!$P$2:$P$180,L33)</f>
        <v>50</v>
      </c>
      <c r="N33" s="6">
        <f>M33/Sheet1!$T$9*Sheet1!$T$10</f>
        <v>1.8008722065221903</v>
      </c>
      <c r="O33" s="549">
        <f>M33/Sheet1!$T$9*Sheet1!$T$11</f>
        <v>1.1085805301525432E-3</v>
      </c>
      <c r="P33" s="794">
        <f>SUM(O33:O35)</f>
        <v>1.1085805301525432E-3</v>
      </c>
      <c r="Q33" s="783"/>
    </row>
    <row r="34" spans="1:17" ht="12.75" customHeight="1">
      <c r="A34" s="789"/>
      <c r="B34" s="795"/>
      <c r="C34" s="548"/>
      <c r="D34" s="6">
        <f>SUMIFS(Sheet1!$C$2:$C$180,Sheet1!$F$2:$F$180,B33,Sheet1!$E$2:$E$180,C34)</f>
        <v>0</v>
      </c>
      <c r="E34" s="6">
        <f>D34/Sheet1!$I$9*Sheet1!$I$10</f>
        <v>0</v>
      </c>
      <c r="F34" s="549">
        <f>D34/Sheet1!$I$9*Sheet1!$I$11</f>
        <v>0</v>
      </c>
      <c r="G34" s="794"/>
      <c r="H34" s="783"/>
      <c r="J34" s="789"/>
      <c r="K34" s="795"/>
      <c r="L34" s="548"/>
      <c r="M34" s="6">
        <f>SUMIFS(Sheet1!$N$2:$N$180,Sheet1!$Q$2:$Q$180,$K$33,Sheet1!$P$2:$P$180,L34)</f>
        <v>0</v>
      </c>
      <c r="N34" s="6">
        <f>M34/Sheet1!$T$9*Sheet1!$T$10</f>
        <v>0</v>
      </c>
      <c r="O34" s="549">
        <f>M34/Sheet1!$T$9*Sheet1!$T$11</f>
        <v>0</v>
      </c>
      <c r="P34" s="794"/>
      <c r="Q34" s="783"/>
    </row>
    <row r="35" spans="1:17" ht="12.75" customHeight="1">
      <c r="A35" s="789"/>
      <c r="B35" s="795"/>
      <c r="C35" s="548"/>
      <c r="D35" s="6">
        <f>SUMIFS(Sheet1!$C$2:$C$180,Sheet1!$F$2:$F$180,B33,Sheet1!$E$2:$E$180,C35)</f>
        <v>0</v>
      </c>
      <c r="E35" s="6">
        <f>D35/Sheet1!$I$9*Sheet1!$I$10</f>
        <v>0</v>
      </c>
      <c r="F35" s="549">
        <f>D35/Sheet1!$I$9*Sheet1!$I$11</f>
        <v>0</v>
      </c>
      <c r="G35" s="794"/>
      <c r="H35" s="783"/>
      <c r="J35" s="789"/>
      <c r="K35" s="795"/>
      <c r="L35" s="548"/>
      <c r="M35" s="6">
        <f>SUMIFS(Sheet1!$N$2:$N$180,Sheet1!$Q$2:$Q$180,$K$33,Sheet1!$P$2:$P$180,L35)</f>
        <v>0</v>
      </c>
      <c r="N35" s="6">
        <f>M35/Sheet1!$T$9*Sheet1!$T$10</f>
        <v>0</v>
      </c>
      <c r="O35" s="549">
        <f>M35/Sheet1!$T$9*Sheet1!$T$11</f>
        <v>0</v>
      </c>
      <c r="P35" s="794"/>
      <c r="Q35" s="783"/>
    </row>
    <row r="36" spans="1:17" ht="25.5">
      <c r="A36" s="789"/>
      <c r="B36" s="785" t="s">
        <v>252</v>
      </c>
      <c r="C36" s="595" t="s">
        <v>496</v>
      </c>
      <c r="D36" s="6">
        <f>SUMIFS(Sheet1!$C$2:$C$180,Sheet1!$F$2:$F$180,B36,Sheet1!$E$2:$E$180,C36)</f>
        <v>36</v>
      </c>
      <c r="E36" s="6">
        <f>D36/Sheet1!$I$9*Sheet1!$I$10</f>
        <v>1.2914182063408834</v>
      </c>
      <c r="F36" s="549">
        <f>D36/Sheet1!$I$9*Sheet1!$I$11</f>
        <v>7.8636858479270565E-4</v>
      </c>
      <c r="G36" s="791">
        <f>SUM(F36:F38)</f>
        <v>2.2062007517795355E-3</v>
      </c>
      <c r="H36" s="783"/>
      <c r="J36" s="789"/>
      <c r="K36" s="785" t="s">
        <v>252</v>
      </c>
      <c r="L36" s="595" t="s">
        <v>496</v>
      </c>
      <c r="M36" s="6">
        <f>SUMIFS(Sheet1!$N$2:$N$180,Sheet1!$Q$2:$Q$180,$K$36,Sheet1!$P$2:$P$180,L36)</f>
        <v>36</v>
      </c>
      <c r="N36" s="6">
        <f>M36/Sheet1!$T$9*Sheet1!$T$10</f>
        <v>1.2966279886959771</v>
      </c>
      <c r="O36" s="549">
        <f>M36/Sheet1!$T$9*Sheet1!$T$11</f>
        <v>7.9817798170983111E-4</v>
      </c>
      <c r="P36" s="791">
        <f>SUM(O36:O38)</f>
        <v>2.2393326709081373E-3</v>
      </c>
      <c r="Q36" s="783"/>
    </row>
    <row r="37" spans="1:17" ht="12.75" customHeight="1">
      <c r="A37" s="789"/>
      <c r="B37" s="786"/>
      <c r="C37" s="548" t="s">
        <v>623</v>
      </c>
      <c r="D37" s="6">
        <f>SUMIFS(Sheet1!$C$2:$C$180,Sheet1!$F$2:$F$180,B36,Sheet1!$E$2:$E$180,C37)</f>
        <v>25</v>
      </c>
      <c r="E37" s="6">
        <f>D37/Sheet1!$I$9*Sheet1!$I$10</f>
        <v>0.89681819884783576</v>
      </c>
      <c r="F37" s="549">
        <f>D37/Sheet1!$I$9*Sheet1!$I$11</f>
        <v>5.4608929499493444E-4</v>
      </c>
      <c r="G37" s="792"/>
      <c r="H37" s="783"/>
      <c r="J37" s="789"/>
      <c r="K37" s="786"/>
      <c r="L37" s="548" t="s">
        <v>623</v>
      </c>
      <c r="M37" s="6">
        <f>SUMIFS(Sheet1!$N$2:$N$180,Sheet1!$Q$2:$Q$180,$K$36,Sheet1!$P$2:$P$180,L37)</f>
        <v>25</v>
      </c>
      <c r="N37" s="6">
        <f>M37/Sheet1!$T$9*Sheet1!$T$10</f>
        <v>0.90043610326109513</v>
      </c>
      <c r="O37" s="549">
        <f>M37/Sheet1!$T$9*Sheet1!$T$11</f>
        <v>5.5429026507627162E-4</v>
      </c>
      <c r="P37" s="792"/>
      <c r="Q37" s="783"/>
    </row>
    <row r="38" spans="1:17" ht="12.75" customHeight="1">
      <c r="A38" s="790"/>
      <c r="B38" s="787"/>
      <c r="C38" s="548" t="s">
        <v>690</v>
      </c>
      <c r="D38" s="6">
        <f>SUMIFS(Sheet1!$C$2:$C$180,Sheet1!$F$2:$F$180,B36,Sheet1!$E$2:$E$180,C38)</f>
        <v>40</v>
      </c>
      <c r="E38" s="6">
        <f>D38/Sheet1!$I$9*Sheet1!$I$10</f>
        <v>1.4349091181565372</v>
      </c>
      <c r="F38" s="549">
        <f>D38/Sheet1!$I$9*Sheet1!$I$11</f>
        <v>8.7374287199189519E-4</v>
      </c>
      <c r="G38" s="793"/>
      <c r="H38" s="784"/>
      <c r="J38" s="790"/>
      <c r="K38" s="787"/>
      <c r="L38" s="548" t="s">
        <v>690</v>
      </c>
      <c r="M38" s="6">
        <f>SUMIFS(Sheet1!$N$2:$N$180,Sheet1!$Q$2:$Q$180,$K$36,Sheet1!$P$2:$P$180,L38)</f>
        <v>40</v>
      </c>
      <c r="N38" s="6">
        <f>M38/Sheet1!$T$9*Sheet1!$T$10</f>
        <v>1.4406977652177522</v>
      </c>
      <c r="O38" s="549">
        <f>M38/Sheet1!$T$9*Sheet1!$T$11</f>
        <v>8.868644241220346E-4</v>
      </c>
      <c r="P38" s="793"/>
      <c r="Q38" s="784"/>
    </row>
    <row r="39" spans="1:17" ht="12.75" customHeight="1">
      <c r="A39" s="799" t="s">
        <v>401</v>
      </c>
      <c r="B39" s="785" t="s">
        <v>254</v>
      </c>
      <c r="C39" s="548"/>
      <c r="D39" s="6">
        <f>SUMIFS(Sheet1!$C$2:$C$180,Sheet1!$F$2:$F$180,B39,Sheet1!$E$2:$E$180,C39)</f>
        <v>0</v>
      </c>
      <c r="E39" s="6">
        <f>D39/Sheet1!$I$9*Sheet1!$I$10</f>
        <v>0</v>
      </c>
      <c r="F39" s="549">
        <f>D39/Sheet1!$I$9*Sheet1!$I$11</f>
        <v>0</v>
      </c>
      <c r="G39" s="791">
        <f>SUM(F39:F40)</f>
        <v>0</v>
      </c>
      <c r="H39" s="796">
        <f>SUM(G39:G40)</f>
        <v>0</v>
      </c>
      <c r="J39" s="799" t="s">
        <v>401</v>
      </c>
      <c r="K39" s="785" t="s">
        <v>254</v>
      </c>
      <c r="L39" s="548"/>
      <c r="M39" s="6">
        <f>SUMIFS(Sheet1!$N$2:$N$180,Sheet1!$Q$2:$Q$180,K39,Sheet1!$P$2:$P$180,L39)</f>
        <v>0</v>
      </c>
      <c r="N39" s="6">
        <f>M39/Sheet1!$T$9*Sheet1!$T$10</f>
        <v>0</v>
      </c>
      <c r="O39" s="549">
        <f>M39/Sheet1!$T$9*Sheet1!$T$11</f>
        <v>0</v>
      </c>
      <c r="P39" s="791">
        <f>SUM(O39:O40)</f>
        <v>0</v>
      </c>
      <c r="Q39" s="796">
        <f>SUM(P39:P40)</f>
        <v>0</v>
      </c>
    </row>
    <row r="40" spans="1:17" ht="12.75" customHeight="1">
      <c r="A40" s="799"/>
      <c r="B40" s="787"/>
      <c r="C40" s="553"/>
      <c r="D40" s="6">
        <f>SUMIFS(Sheet1!$C$2:$C$180,Sheet1!$F$2:$F$180,B39,Sheet1!$E$2:$E$180,C40)</f>
        <v>0</v>
      </c>
      <c r="E40" s="6">
        <f>D40/Sheet1!$I$9*Sheet1!$I$10</f>
        <v>0</v>
      </c>
      <c r="F40" s="549">
        <f>D40/Sheet1!$I$9*Sheet1!$I$11</f>
        <v>0</v>
      </c>
      <c r="G40" s="793"/>
      <c r="H40" s="797"/>
      <c r="J40" s="799"/>
      <c r="K40" s="787"/>
      <c r="L40" s="553"/>
      <c r="M40" s="6">
        <f>SUMIFS(Sheet1!$N$2:$N$180,Sheet1!$Q$2:$Q$180,K39,Sheet1!$P$2:$P$180,L40)</f>
        <v>0</v>
      </c>
      <c r="N40" s="6">
        <f>M40/Sheet1!$T$9*Sheet1!$T$10</f>
        <v>0</v>
      </c>
      <c r="O40" s="549">
        <f>M40/Sheet1!$T$9*Sheet1!$T$11</f>
        <v>0</v>
      </c>
      <c r="P40" s="793"/>
      <c r="Q40" s="797"/>
    </row>
    <row r="41" spans="1:17" ht="15">
      <c r="A41" s="555"/>
      <c r="B41" s="798" t="s">
        <v>2</v>
      </c>
      <c r="C41" s="798"/>
      <c r="D41" s="314">
        <f>SUM(D4:D40)</f>
        <v>2427</v>
      </c>
      <c r="E41" s="314">
        <f>SUM(E4:E40)</f>
        <v>254.87559275274708</v>
      </c>
      <c r="F41" s="453">
        <f>SUM(F4:F40)</f>
        <v>0.15519849277877931</v>
      </c>
      <c r="G41" s="453">
        <f>SUM(G4:G40)</f>
        <v>0.15519849277877928</v>
      </c>
      <c r="H41" s="453">
        <f>SUM(H4:H40)</f>
        <v>0.15519849277877928</v>
      </c>
      <c r="J41" s="555"/>
      <c r="K41" s="798" t="s">
        <v>2</v>
      </c>
      <c r="L41" s="798"/>
      <c r="M41" s="314">
        <f>SUM(M4:M40)</f>
        <v>1933</v>
      </c>
      <c r="N41" s="314">
        <f>SUM(N4:N40)</f>
        <v>237.10478711274703</v>
      </c>
      <c r="O41" s="453">
        <f>SUM(O4:O40)</f>
        <v>0.14595691445911388</v>
      </c>
      <c r="P41" s="453">
        <f>SUM(P4:P40)</f>
        <v>0.14595691445911391</v>
      </c>
      <c r="Q41" s="453">
        <f>SUM(Q4:Q40)</f>
        <v>0.14595691445911391</v>
      </c>
    </row>
    <row r="42" spans="1:17" ht="15">
      <c r="A42" s="555"/>
      <c r="B42" s="798" t="s">
        <v>1</v>
      </c>
      <c r="C42" s="798"/>
      <c r="D42" s="798"/>
      <c r="E42" s="798"/>
      <c r="F42" s="556">
        <f>+Efficiency1!X155</f>
        <v>0.84480150722122072</v>
      </c>
      <c r="G42" s="556">
        <f>+F42</f>
        <v>0.84480150722122072</v>
      </c>
      <c r="H42" s="556">
        <f>+G42</f>
        <v>0.84480150722122072</v>
      </c>
      <c r="J42" s="555"/>
      <c r="K42" s="798" t="s">
        <v>1</v>
      </c>
      <c r="L42" s="798"/>
      <c r="M42" s="798"/>
      <c r="N42" s="798"/>
      <c r="O42" s="556">
        <f>+Efficiency2!X155</f>
        <v>0.85404308554088604</v>
      </c>
      <c r="P42" s="556">
        <f>+O42</f>
        <v>0.85404308554088604</v>
      </c>
      <c r="Q42" s="556">
        <f>+P42</f>
        <v>0.85404308554088604</v>
      </c>
    </row>
    <row r="43" spans="1:17" ht="15">
      <c r="A43" s="555"/>
      <c r="B43" s="798" t="s">
        <v>68</v>
      </c>
      <c r="C43" s="798"/>
      <c r="D43" s="798"/>
      <c r="E43" s="798"/>
      <c r="F43" s="557">
        <f>SUM(F41:F42)</f>
        <v>1</v>
      </c>
      <c r="G43" s="557">
        <f>SUM(G41:G42)</f>
        <v>1</v>
      </c>
      <c r="H43" s="550">
        <f>SUM(H41:H42)</f>
        <v>1</v>
      </c>
      <c r="J43" s="555"/>
      <c r="K43" s="798" t="s">
        <v>68</v>
      </c>
      <c r="L43" s="798"/>
      <c r="M43" s="798"/>
      <c r="N43" s="798"/>
      <c r="O43" s="557">
        <f>SUM(O41:O42)</f>
        <v>0.99999999999999989</v>
      </c>
      <c r="P43" s="557">
        <f>SUM(P41:P42)</f>
        <v>1</v>
      </c>
      <c r="Q43" s="550">
        <f>SUM(Q41:Q42)</f>
        <v>1</v>
      </c>
    </row>
  </sheetData>
  <mergeCells count="66">
    <mergeCell ref="L2:L3"/>
    <mergeCell ref="A2:A3"/>
    <mergeCell ref="B2:B3"/>
    <mergeCell ref="C2:C3"/>
    <mergeCell ref="J2:J3"/>
    <mergeCell ref="K2:K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P33:P35"/>
    <mergeCell ref="K24:K30"/>
    <mergeCell ref="B24:B30"/>
    <mergeCell ref="G24:G30"/>
    <mergeCell ref="A39:A40"/>
    <mergeCell ref="B43:E43"/>
    <mergeCell ref="K43:N43"/>
    <mergeCell ref="B39:B40"/>
    <mergeCell ref="G39:G40"/>
    <mergeCell ref="H39:H40"/>
    <mergeCell ref="K39:K40"/>
    <mergeCell ref="Q39:Q40"/>
    <mergeCell ref="B41:C41"/>
    <mergeCell ref="K41:L41"/>
    <mergeCell ref="B42:E42"/>
    <mergeCell ref="K42:N42"/>
    <mergeCell ref="J39:J40"/>
    <mergeCell ref="P39:P40"/>
    <mergeCell ref="Q24:Q38"/>
    <mergeCell ref="B36:B38"/>
    <mergeCell ref="J24:J38"/>
    <mergeCell ref="A24:A38"/>
    <mergeCell ref="G36:G38"/>
    <mergeCell ref="H24:H38"/>
    <mergeCell ref="P24:P30"/>
    <mergeCell ref="K36:K38"/>
    <mergeCell ref="P36:P38"/>
    <mergeCell ref="B31:B32"/>
    <mergeCell ref="G31:G32"/>
    <mergeCell ref="K31:K32"/>
    <mergeCell ref="P31:P32"/>
    <mergeCell ref="B33:B35"/>
    <mergeCell ref="G33:G35"/>
    <mergeCell ref="K33:K35"/>
  </mergeCells>
  <conditionalFormatting sqref="D4:D40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40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40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6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H31" sqref="H31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42578125" style="153" customWidth="1"/>
    <col min="14" max="16384" width="9.140625" style="153"/>
  </cols>
  <sheetData>
    <row r="1" spans="1:15" ht="15.75">
      <c r="A1" s="152"/>
    </row>
    <row r="2" spans="1:15" ht="15.75">
      <c r="A2" s="152" t="s">
        <v>236</v>
      </c>
    </row>
    <row r="3" spans="1:15" ht="15">
      <c r="A3" s="154"/>
    </row>
    <row r="4" spans="1:15" ht="20.25">
      <c r="A4" s="155" t="s">
        <v>3</v>
      </c>
      <c r="B4" s="156"/>
      <c r="F4" s="157" t="s">
        <v>28</v>
      </c>
      <c r="G4" s="158">
        <v>31</v>
      </c>
      <c r="H4" s="158" t="str">
        <f>+'1'!H4</f>
        <v>.10.25</v>
      </c>
    </row>
    <row r="5" spans="1:15" ht="13.5" thickBot="1">
      <c r="C5" s="159"/>
      <c r="D5" s="159"/>
    </row>
    <row r="6" spans="1:15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422+599+601</f>
        <v>1622</v>
      </c>
    </row>
    <row r="7" spans="1:15" ht="13.5" customHeight="1" thickBot="1">
      <c r="A7" s="810" t="s">
        <v>415</v>
      </c>
      <c r="B7" s="217" t="s">
        <v>431</v>
      </c>
      <c r="C7" s="218">
        <v>14211</v>
      </c>
      <c r="D7" s="219"/>
      <c r="E7" s="220"/>
      <c r="F7" s="228">
        <v>10</v>
      </c>
      <c r="G7" s="558" t="s">
        <v>11</v>
      </c>
      <c r="H7" s="559" t="s">
        <v>456</v>
      </c>
      <c r="I7" s="813" t="s">
        <v>900</v>
      </c>
      <c r="J7" s="216" t="str">
        <f>+'30'!J7</f>
        <v>T 12,5 VP OW</v>
      </c>
      <c r="K7" s="237">
        <f>+C7+C16+C25</f>
        <v>42016</v>
      </c>
      <c r="L7" s="241"/>
      <c r="M7" s="121">
        <f>+L7+'30'!M7+K7</f>
        <v>108342</v>
      </c>
    </row>
    <row r="8" spans="1:15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+'30'!J8</f>
        <v>F 12.5 VP OW</v>
      </c>
      <c r="K8" s="238"/>
      <c r="L8" s="238"/>
      <c r="M8" s="121">
        <f>+L8+'30'!M8+K8</f>
        <v>111865</v>
      </c>
      <c r="N8" s="153">
        <v>1360</v>
      </c>
      <c r="O8" s="153">
        <f>+N8-N8*0.23</f>
        <v>1047.2</v>
      </c>
    </row>
    <row r="9" spans="1:15" ht="13.5" thickBot="1">
      <c r="A9" s="811"/>
      <c r="B9" s="217"/>
      <c r="C9" s="218"/>
      <c r="D9" s="219"/>
      <c r="E9" s="222"/>
      <c r="F9" s="228">
        <v>7</v>
      </c>
      <c r="G9" s="560" t="s">
        <v>11</v>
      </c>
      <c r="H9" s="561" t="s">
        <v>428</v>
      </c>
      <c r="I9" s="814"/>
      <c r="J9" s="216" t="str">
        <f>+'30'!J9</f>
        <v>F 13 VP OW</v>
      </c>
      <c r="K9" s="238"/>
      <c r="L9" s="238"/>
      <c r="M9" s="121">
        <f>+L9+'30'!M9+K9</f>
        <v>123705</v>
      </c>
      <c r="N9" s="153">
        <v>1360</v>
      </c>
      <c r="O9" s="153">
        <f>+N9-N9*0.23</f>
        <v>1047.2</v>
      </c>
    </row>
    <row r="10" spans="1:15" ht="13.5" thickBot="1">
      <c r="A10" s="811"/>
      <c r="B10" s="217"/>
      <c r="C10" s="218"/>
      <c r="D10" s="219"/>
      <c r="E10" s="221"/>
      <c r="F10" s="228"/>
      <c r="G10" s="558"/>
      <c r="H10" s="561" t="s">
        <v>892</v>
      </c>
      <c r="I10" s="814"/>
      <c r="J10" s="216" t="str">
        <f>+'30'!J10</f>
        <v>T 12 VP OW</v>
      </c>
      <c r="K10" s="238"/>
      <c r="L10" s="238"/>
      <c r="M10" s="121">
        <f>+L10+'30'!M10+K10</f>
        <v>23281</v>
      </c>
    </row>
    <row r="11" spans="1:15" ht="51.75" thickBot="1">
      <c r="A11" s="811"/>
      <c r="B11" s="217"/>
      <c r="C11" s="218"/>
      <c r="D11" s="219"/>
      <c r="E11" s="221"/>
      <c r="F11" s="228"/>
      <c r="G11" s="232"/>
      <c r="H11" s="230" t="s">
        <v>896</v>
      </c>
      <c r="I11" s="814"/>
      <c r="J11" s="216" t="str">
        <f>+'30'!J11</f>
        <v>T 13,5 VP OW</v>
      </c>
      <c r="K11" s="238"/>
      <c r="L11" s="238"/>
      <c r="M11" s="121">
        <f>+L11+'30'!M11+K11</f>
        <v>15672</v>
      </c>
    </row>
    <row r="12" spans="1:15" ht="26.25" thickBot="1">
      <c r="A12" s="811"/>
      <c r="B12" s="217"/>
      <c r="C12" s="218"/>
      <c r="D12" s="219"/>
      <c r="E12" s="221"/>
      <c r="F12" s="228"/>
      <c r="G12" s="232"/>
      <c r="H12" s="233" t="s">
        <v>894</v>
      </c>
      <c r="I12" s="814"/>
      <c r="J12" s="216" t="str">
        <f>+'30'!J12</f>
        <v>F 12 VP OW</v>
      </c>
      <c r="K12" s="238"/>
      <c r="L12" s="238"/>
      <c r="M12" s="121">
        <f>+L12+'30'!M12+K12</f>
        <v>360637</v>
      </c>
    </row>
    <row r="13" spans="1:15" ht="26.25" thickBot="1">
      <c r="A13" s="811"/>
      <c r="B13" s="217"/>
      <c r="C13" s="218"/>
      <c r="D13" s="218"/>
      <c r="E13" s="221"/>
      <c r="F13" s="228"/>
      <c r="G13" s="232"/>
      <c r="H13" s="233" t="s">
        <v>895</v>
      </c>
      <c r="I13" s="815"/>
      <c r="J13" s="216" t="str">
        <f>+'30'!J13</f>
        <v>T 12,5 VP OW</v>
      </c>
      <c r="K13" s="238"/>
      <c r="L13" s="238"/>
      <c r="M13" s="121">
        <f>+L13+'30'!M13+K13</f>
        <v>393765</v>
      </c>
    </row>
    <row r="14" spans="1:15" ht="13.5" thickBot="1">
      <c r="A14" s="812"/>
      <c r="B14" s="169" t="s">
        <v>2</v>
      </c>
      <c r="C14" s="103">
        <f>SUM(C7:C13)</f>
        <v>14211</v>
      </c>
      <c r="D14" s="115">
        <f>SUM(D7:D13)</f>
        <v>0</v>
      </c>
      <c r="E14" s="116">
        <f>SUM(E5:E13)</f>
        <v>0</v>
      </c>
      <c r="F14" s="120">
        <f>SUM(F7:F13)</f>
        <v>17</v>
      </c>
      <c r="G14" s="163"/>
      <c r="H14" s="170"/>
      <c r="I14" s="171"/>
      <c r="J14" s="216" t="str">
        <f>+'30'!J14</f>
        <v>T 14 VP OW</v>
      </c>
      <c r="K14" s="238"/>
      <c r="L14" s="238"/>
      <c r="M14" s="121">
        <f>+L14+'30'!M14+K14</f>
        <v>88884</v>
      </c>
    </row>
    <row r="15" spans="1:15" ht="13.5" customHeight="1" thickBot="1">
      <c r="A15" s="810" t="s">
        <v>239</v>
      </c>
      <c r="B15" s="510"/>
      <c r="C15" s="117">
        <f>C14/($C$23+$D$23+$E$23)</f>
        <v>0.97302293735022249</v>
      </c>
      <c r="D15" s="118">
        <f>D14/($C$23+$D$23+$E$23)</f>
        <v>0</v>
      </c>
      <c r="E15" s="119">
        <f>E14/($C$23+$D$23+$E$23)</f>
        <v>0</v>
      </c>
      <c r="F15" s="228"/>
      <c r="G15" s="558" t="s">
        <v>11</v>
      </c>
      <c r="H15" s="559" t="s">
        <v>404</v>
      </c>
      <c r="I15" s="813" t="s">
        <v>900</v>
      </c>
      <c r="J15" s="216" t="str">
        <f>+'30'!J15</f>
        <v>T 15 VP OW</v>
      </c>
      <c r="K15" s="238"/>
      <c r="L15" s="238"/>
      <c r="M15" s="121">
        <f>+L15+'30'!M15+K15</f>
        <v>65211</v>
      </c>
    </row>
    <row r="16" spans="1:15" ht="13.5" thickBot="1">
      <c r="A16" s="816"/>
      <c r="B16" s="217" t="s">
        <v>431</v>
      </c>
      <c r="C16" s="511">
        <v>13945</v>
      </c>
      <c r="D16" s="223">
        <v>660</v>
      </c>
      <c r="E16" s="224"/>
      <c r="F16" s="228"/>
      <c r="G16" s="560" t="s">
        <v>11</v>
      </c>
      <c r="H16" s="559" t="s">
        <v>426</v>
      </c>
      <c r="I16" s="814"/>
      <c r="J16" s="216" t="str">
        <f>+'30'!J16</f>
        <v>T 17 VP OW</v>
      </c>
      <c r="K16" s="229"/>
      <c r="L16" s="229"/>
      <c r="M16" s="121">
        <f>+L16+'30'!M16+K16</f>
        <v>22278</v>
      </c>
    </row>
    <row r="17" spans="1:18" ht="13.5" thickBot="1">
      <c r="A17" s="816"/>
      <c r="B17" s="217"/>
      <c r="C17" s="218"/>
      <c r="D17" s="219"/>
      <c r="E17" s="225"/>
      <c r="F17" s="228">
        <v>10</v>
      </c>
      <c r="G17" s="560" t="s">
        <v>11</v>
      </c>
      <c r="H17" s="561" t="s">
        <v>428</v>
      </c>
      <c r="I17" s="814"/>
      <c r="J17" s="216" t="str">
        <f>+'30'!J17</f>
        <v>T 14,5 VP OW</v>
      </c>
      <c r="K17" s="229"/>
      <c r="L17" s="229"/>
      <c r="M17" s="121">
        <f>+L17+'30'!M17+K17</f>
        <v>37152</v>
      </c>
    </row>
    <row r="18" spans="1:18" ht="13.5" thickBot="1">
      <c r="A18" s="816"/>
      <c r="B18" s="217"/>
      <c r="C18" s="218"/>
      <c r="D18" s="219"/>
      <c r="E18" s="225"/>
      <c r="F18" s="228"/>
      <c r="G18" s="558"/>
      <c r="H18" s="561" t="s">
        <v>892</v>
      </c>
      <c r="I18" s="814"/>
      <c r="J18" s="216" t="str">
        <f>+'30'!J18</f>
        <v>T 18 VP OW</v>
      </c>
      <c r="K18" s="238"/>
      <c r="L18" s="238"/>
      <c r="M18" s="121">
        <f>+L18+'30'!M18+K18</f>
        <v>33402</v>
      </c>
    </row>
    <row r="19" spans="1:18" ht="26.25" thickBot="1">
      <c r="A19" s="816"/>
      <c r="B19" s="217"/>
      <c r="C19" s="218"/>
      <c r="D19" s="219"/>
      <c r="E19" s="225"/>
      <c r="F19" s="234"/>
      <c r="G19" s="232"/>
      <c r="H19" s="233" t="s">
        <v>893</v>
      </c>
      <c r="I19" s="814"/>
      <c r="J19" s="216" t="s">
        <v>905</v>
      </c>
      <c r="K19" s="238">
        <f>+C26</f>
        <v>3186</v>
      </c>
      <c r="L19" s="238"/>
      <c r="M19" s="121">
        <f>+L19+'30'!M19+K19</f>
        <v>3186</v>
      </c>
    </row>
    <row r="20" spans="1:18" ht="13.5" thickBot="1">
      <c r="A20" s="816"/>
      <c r="B20" s="217"/>
      <c r="C20" s="218"/>
      <c r="D20" s="219"/>
      <c r="E20" s="225"/>
      <c r="F20" s="228"/>
      <c r="G20" s="232"/>
      <c r="H20" s="233"/>
      <c r="I20" s="814"/>
      <c r="J20" s="216">
        <f>+'30'!J20</f>
        <v>0</v>
      </c>
      <c r="K20" s="239"/>
      <c r="L20" s="239"/>
      <c r="M20" s="121">
        <f>+L20+'30'!M20+K20</f>
        <v>0</v>
      </c>
    </row>
    <row r="21" spans="1:18" ht="13.5" thickBot="1">
      <c r="A21" s="816"/>
      <c r="B21" s="217"/>
      <c r="C21" s="218"/>
      <c r="D21" s="219"/>
      <c r="E21" s="225"/>
      <c r="F21" s="231"/>
      <c r="G21" s="232"/>
      <c r="H21" s="233"/>
      <c r="I21" s="814"/>
      <c r="J21" s="216">
        <f>+'30'!J21</f>
        <v>0</v>
      </c>
      <c r="K21" s="238"/>
      <c r="L21" s="238"/>
      <c r="M21" s="121">
        <f>+L21+'30'!M21+K21</f>
        <v>0</v>
      </c>
    </row>
    <row r="22" spans="1:18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+'30'!J22</f>
        <v>0</v>
      </c>
      <c r="K22" s="238"/>
      <c r="L22" s="238"/>
      <c r="M22" s="121">
        <f>+L22+'30'!M22+K22</f>
        <v>0</v>
      </c>
    </row>
    <row r="23" spans="1:18" ht="13.5" thickBot="1">
      <c r="A23" s="817"/>
      <c r="B23" s="169" t="s">
        <v>2</v>
      </c>
      <c r="C23" s="103">
        <f>SUM(C16:C22)</f>
        <v>13945</v>
      </c>
      <c r="D23" s="115">
        <f>SUM(D16:D22)</f>
        <v>660</v>
      </c>
      <c r="E23" s="116">
        <f>SUM(E18:E22)</f>
        <v>0</v>
      </c>
      <c r="F23" s="120">
        <f>SUM(F15:F22)</f>
        <v>10</v>
      </c>
      <c r="G23" s="163"/>
      <c r="H23" s="170"/>
      <c r="I23" s="172"/>
      <c r="J23" s="216">
        <f>+'30'!J23</f>
        <v>0</v>
      </c>
      <c r="K23" s="238"/>
      <c r="L23" s="238"/>
      <c r="M23" s="121">
        <f>+L23+'30'!M23+K23</f>
        <v>0</v>
      </c>
    </row>
    <row r="24" spans="1:18" ht="13.5" customHeight="1" thickBot="1">
      <c r="A24" s="810" t="s">
        <v>573</v>
      </c>
      <c r="B24" s="510"/>
      <c r="C24" s="117">
        <f>C23/($C$23+$D$23+$E$23)</f>
        <v>0.95480999657651489</v>
      </c>
      <c r="D24" s="118">
        <f>D23/($C$23+$D$23+$E$23)</f>
        <v>4.5190003423485108E-2</v>
      </c>
      <c r="E24" s="119">
        <f>E23/($C$23+$D$23+$E$23)</f>
        <v>0</v>
      </c>
      <c r="F24" s="235"/>
      <c r="G24" s="558" t="s">
        <v>11</v>
      </c>
      <c r="H24" s="559" t="s">
        <v>404</v>
      </c>
      <c r="I24" s="813" t="s">
        <v>902</v>
      </c>
      <c r="J24" s="216">
        <f>+'30'!J24</f>
        <v>0</v>
      </c>
      <c r="K24" s="238"/>
      <c r="L24" s="238"/>
      <c r="M24" s="121">
        <f>+L24+'30'!M24+K24</f>
        <v>0</v>
      </c>
    </row>
    <row r="25" spans="1:18" ht="13.5" thickBot="1">
      <c r="A25" s="818"/>
      <c r="B25" s="217" t="s">
        <v>431</v>
      </c>
      <c r="C25" s="226">
        <f>1312+12548</f>
        <v>13860</v>
      </c>
      <c r="D25" s="219"/>
      <c r="E25" s="225"/>
      <c r="F25" s="231">
        <v>1</v>
      </c>
      <c r="G25" s="560" t="s">
        <v>11</v>
      </c>
      <c r="H25" s="559" t="s">
        <v>513</v>
      </c>
      <c r="I25" s="814"/>
      <c r="J25" s="216">
        <f>+'30'!J25</f>
        <v>0</v>
      </c>
      <c r="K25" s="238"/>
      <c r="L25" s="238"/>
      <c r="M25" s="121">
        <f>+L25+'30'!M25+K25</f>
        <v>0</v>
      </c>
      <c r="N25" s="153">
        <v>1360</v>
      </c>
      <c r="O25" s="153">
        <f>+N25-N25*0.23</f>
        <v>1047.2</v>
      </c>
      <c r="P25" s="153">
        <v>180</v>
      </c>
      <c r="Q25" s="153">
        <f>+N25*P25</f>
        <v>244800</v>
      </c>
      <c r="R25" s="153">
        <f>+O25*P25</f>
        <v>188496</v>
      </c>
    </row>
    <row r="26" spans="1:18" ht="13.5" thickBot="1">
      <c r="A26" s="818"/>
      <c r="B26" s="217" t="s">
        <v>905</v>
      </c>
      <c r="C26" s="226">
        <v>3186</v>
      </c>
      <c r="D26" s="219"/>
      <c r="E26" s="227"/>
      <c r="F26" s="231">
        <v>9</v>
      </c>
      <c r="G26" s="560" t="s">
        <v>11</v>
      </c>
      <c r="H26" s="561" t="s">
        <v>455</v>
      </c>
      <c r="I26" s="814"/>
      <c r="J26" s="216">
        <f>+'30'!J26</f>
        <v>0</v>
      </c>
      <c r="K26" s="238"/>
      <c r="L26" s="238"/>
      <c r="M26" s="121">
        <f>+L26+'30'!M26+K26</f>
        <v>0</v>
      </c>
      <c r="N26" s="153">
        <v>1350</v>
      </c>
      <c r="O26" s="153">
        <f>+N26-N26*0.23</f>
        <v>1039.5</v>
      </c>
      <c r="P26" s="153">
        <v>300</v>
      </c>
      <c r="Q26" s="153">
        <f>+N26*P26</f>
        <v>405000</v>
      </c>
      <c r="R26" s="153">
        <f>+O26*P26</f>
        <v>311850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892</v>
      </c>
      <c r="I27" s="814"/>
      <c r="J27" s="216">
        <f>+'30'!J27</f>
        <v>0</v>
      </c>
      <c r="K27" s="238"/>
      <c r="L27" s="238"/>
      <c r="M27" s="121">
        <f>+L27+'30'!M27+K27</f>
        <v>0</v>
      </c>
      <c r="P27" s="153">
        <f>SUM(P25:P26)</f>
        <v>480</v>
      </c>
      <c r="Q27" s="153">
        <f t="shared" ref="Q27:R27" si="0">SUM(Q25:Q26)</f>
        <v>649800</v>
      </c>
      <c r="R27" s="153">
        <f t="shared" si="0"/>
        <v>500346</v>
      </c>
    </row>
    <row r="28" spans="1:18" ht="13.5" thickBot="1">
      <c r="A28" s="818"/>
      <c r="B28" s="217"/>
      <c r="C28" s="218"/>
      <c r="D28" s="219"/>
      <c r="E28" s="225"/>
      <c r="F28" s="231"/>
      <c r="G28" s="232"/>
      <c r="H28" s="233" t="s">
        <v>897</v>
      </c>
      <c r="I28" s="814"/>
      <c r="J28" s="216">
        <f>+'30'!J28</f>
        <v>0</v>
      </c>
      <c r="K28" s="238"/>
      <c r="L28" s="238"/>
      <c r="M28" s="121">
        <f>+L28+'30'!M28+K28</f>
        <v>0</v>
      </c>
      <c r="Q28" s="153">
        <f>+Q27/P27</f>
        <v>1353.75</v>
      </c>
      <c r="R28" s="153">
        <f>+R27/P27</f>
        <v>1042.3875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 t="s">
        <v>898</v>
      </c>
      <c r="I29" s="814"/>
      <c r="J29" s="216">
        <f>+'30'!J29</f>
        <v>0</v>
      </c>
      <c r="K29" s="238"/>
      <c r="L29" s="238"/>
      <c r="M29" s="121">
        <f>+L29+'30'!M29+K29</f>
        <v>0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 t="s">
        <v>899</v>
      </c>
      <c r="I30" s="814"/>
      <c r="J30" s="216">
        <f>+'30'!J30</f>
        <v>0</v>
      </c>
      <c r="K30" s="238"/>
      <c r="L30" s="238"/>
      <c r="M30" s="121">
        <f>+L30+'30'!M30+K30</f>
        <v>0</v>
      </c>
      <c r="N30" s="159"/>
    </row>
    <row r="31" spans="1:18" ht="13.5" thickBot="1">
      <c r="A31" s="818"/>
      <c r="B31" s="217"/>
      <c r="C31" s="226"/>
      <c r="D31" s="219"/>
      <c r="E31" s="225"/>
      <c r="F31" s="235"/>
      <c r="G31" s="236"/>
      <c r="H31" s="439" t="s">
        <v>901</v>
      </c>
      <c r="I31" s="815"/>
      <c r="J31" s="216">
        <f>+'30'!J31</f>
        <v>0</v>
      </c>
      <c r="K31" s="238"/>
      <c r="L31" s="238"/>
      <c r="M31" s="121">
        <f>+L31+'30'!M31+K31</f>
        <v>0</v>
      </c>
    </row>
    <row r="32" spans="1:18" ht="13.5" thickBot="1">
      <c r="A32" s="819"/>
      <c r="B32" s="169" t="s">
        <v>2</v>
      </c>
      <c r="C32" s="103">
        <f>SUM(C25:C31)</f>
        <v>17046</v>
      </c>
      <c r="D32" s="104">
        <f>SUM(D25:D31)</f>
        <v>0</v>
      </c>
      <c r="E32" s="105">
        <f>SUM(E25:E31)</f>
        <v>0</v>
      </c>
      <c r="F32" s="103">
        <f>SUM(F24:F31)</f>
        <v>10</v>
      </c>
      <c r="G32" s="173"/>
      <c r="H32" s="174"/>
      <c r="I32" s="172"/>
      <c r="J32" s="216">
        <f>+'30'!J32</f>
        <v>0</v>
      </c>
      <c r="K32" s="240"/>
      <c r="L32" s="242"/>
      <c r="M32" s="121">
        <f>+L32+'30'!M32+K32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/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45202</v>
      </c>
      <c r="D34" s="111">
        <f>D14+D23+D32</f>
        <v>660</v>
      </c>
      <c r="E34" s="111">
        <f>E14+E23+E32</f>
        <v>0</v>
      </c>
      <c r="F34" s="112">
        <f>F14+F23+F32</f>
        <v>37</v>
      </c>
      <c r="H34" s="180"/>
      <c r="I34" s="180"/>
      <c r="J34" s="127" t="s">
        <v>27</v>
      </c>
      <c r="K34" s="128">
        <f>SUM(K7:K32)</f>
        <v>45202</v>
      </c>
      <c r="L34" s="214">
        <f>SUM(L7:L32)</f>
        <v>0</v>
      </c>
      <c r="M34" s="124">
        <f>SUM(M7:M32)</f>
        <v>1387380</v>
      </c>
      <c r="N34" s="159"/>
    </row>
    <row r="35" spans="1:14" ht="13.5" thickBot="1">
      <c r="A35" s="181"/>
      <c r="B35" s="182"/>
      <c r="C35" s="108">
        <f>C34/($C$34+$D$34+$E$34)</f>
        <v>0.98560900091579084</v>
      </c>
      <c r="D35" s="108">
        <f>D34/($C$34+$D$34+$E$34)</f>
        <v>1.439099908420915E-2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(12.5*1140+13*300)/1440*G42*2.85*1440/1000000</f>
        <v>54.086058468749997</v>
      </c>
      <c r="J37" s="129">
        <f>+I37+'30'!J37</f>
        <v>1653.2895912632196</v>
      </c>
      <c r="K37" s="130" t="s">
        <v>74</v>
      </c>
      <c r="N37" s="159">
        <f>+I38-N38</f>
        <v>40.042000000000002</v>
      </c>
    </row>
    <row r="38" spans="1:14" ht="17.45" customHeight="1">
      <c r="A38" s="824" t="s">
        <v>11</v>
      </c>
      <c r="B38" s="825"/>
      <c r="C38" s="168">
        <f>SUMIF($G$7:$G$31,"Process",$F$7:$F$31)</f>
        <v>37</v>
      </c>
      <c r="D38" s="122">
        <f>+C38+'30'!D38</f>
        <v>1560</v>
      </c>
      <c r="E38" s="147">
        <f t="shared" ref="E38:E51" si="1">D38/60</f>
        <v>26</v>
      </c>
      <c r="F38" s="334">
        <v>1360</v>
      </c>
      <c r="G38" s="334">
        <f>+F38-F38*0.23</f>
        <v>1047.2</v>
      </c>
      <c r="H38" s="189" t="s">
        <v>75</v>
      </c>
      <c r="I38" s="244">
        <f>15.89+17.08+17.332</f>
        <v>50.302</v>
      </c>
      <c r="J38" s="131">
        <f>+I38+'30'!J38</f>
        <v>1512.7539999999999</v>
      </c>
      <c r="K38" s="132" t="s">
        <v>74</v>
      </c>
      <c r="N38" s="153">
        <f>2.153+1.794+2.151+2.153+2.009</f>
        <v>10.26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+C39+'30'!D39</f>
        <v>0</v>
      </c>
      <c r="E39" s="147">
        <f t="shared" si="1"/>
        <v>0</v>
      </c>
      <c r="F39" s="334">
        <v>1360</v>
      </c>
      <c r="G39" s="334">
        <f>+F39-F39*0.23</f>
        <v>1047.2</v>
      </c>
      <c r="H39" s="189" t="s">
        <v>76</v>
      </c>
      <c r="I39" s="146"/>
      <c r="J39" s="133">
        <f>J37/G4</f>
        <v>53.331922298813531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+C40+'30'!D40</f>
        <v>101</v>
      </c>
      <c r="E40" s="147">
        <f t="shared" ca="1" si="1"/>
        <v>1.6833333333333333</v>
      </c>
      <c r="F40" s="334">
        <v>1353.75</v>
      </c>
      <c r="G40" s="334">
        <v>1042.3875</v>
      </c>
      <c r="H40" s="189" t="s">
        <v>78</v>
      </c>
      <c r="I40" s="122">
        <f>(K34+L34)/1000</f>
        <v>45.201999999999998</v>
      </c>
      <c r="J40" s="135">
        <f>+I40+'30'!J40</f>
        <v>1387.3799999999999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+C41+'30'!D41</f>
        <v>50</v>
      </c>
      <c r="E41" s="147">
        <f t="shared" ca="1" si="1"/>
        <v>0.83333333333333337</v>
      </c>
      <c r="F41" s="334"/>
      <c r="G41" s="334"/>
      <c r="H41" s="189" t="s">
        <v>80</v>
      </c>
      <c r="I41" s="146"/>
      <c r="J41" s="133">
        <f>J40/G4</f>
        <v>44.754193548387093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+C42+'30'!D42</f>
        <v>0</v>
      </c>
      <c r="E42" s="147">
        <f t="shared" ca="1" si="1"/>
        <v>0</v>
      </c>
      <c r="F42" s="334">
        <f>+(F38*480+F39*480+F40*480)/1440</f>
        <v>1357.9166666666667</v>
      </c>
      <c r="G42" s="334">
        <f>+(G38*480+G39*480+G40*480)/1440</f>
        <v>1045.5958333333333</v>
      </c>
      <c r="H42" s="189" t="s">
        <v>81</v>
      </c>
      <c r="I42" s="245" t="s">
        <v>903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+C43+'30'!D43</f>
        <v>0</v>
      </c>
      <c r="E43" s="147">
        <f t="shared" ca="1" si="1"/>
        <v>0</v>
      </c>
      <c r="F43" s="334"/>
      <c r="G43" s="335"/>
      <c r="H43" s="190" t="s">
        <v>84</v>
      </c>
      <c r="I43" s="122">
        <f>+Report1!Z39</f>
        <v>140.30000000000001</v>
      </c>
      <c r="J43" s="137">
        <f>+I43+'30'!J43</f>
        <v>3942.2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+C44+'30'!D44</f>
        <v>0</v>
      </c>
      <c r="E44" s="147">
        <f t="shared" si="1"/>
        <v>0</v>
      </c>
      <c r="F44" s="334"/>
      <c r="G44" s="335"/>
      <c r="H44" s="190" t="s">
        <v>85</v>
      </c>
      <c r="I44" s="122">
        <f>I43/I38</f>
        <v>2.789153512782792</v>
      </c>
      <c r="J44" s="138">
        <f>J43/J38</f>
        <v>2.6059755915370246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+C45+'30'!D45</f>
        <v>0</v>
      </c>
      <c r="E45" s="147">
        <f t="shared" si="1"/>
        <v>0</v>
      </c>
      <c r="F45" s="334"/>
      <c r="G45" s="337"/>
      <c r="H45" s="190" t="s">
        <v>86</v>
      </c>
      <c r="I45" s="122">
        <f>I43/I40</f>
        <v>3.1038449626122744</v>
      </c>
      <c r="J45" s="138">
        <f>J43/J40</f>
        <v>2.8414709740662256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+C46+'30'!D46</f>
        <v>0</v>
      </c>
      <c r="E46" s="147">
        <f t="shared" si="1"/>
        <v>0</v>
      </c>
      <c r="F46" s="334"/>
      <c r="G46" s="335"/>
      <c r="H46" s="190" t="s">
        <v>88</v>
      </c>
      <c r="I46" s="144">
        <f>+SUMIF(Listrik!AN38,"&gt;0")</f>
        <v>59209.960000000545</v>
      </c>
      <c r="J46" s="139">
        <f>+I46+'30'!J46</f>
        <v>1518616.5276000001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+C47+'30'!D47</f>
        <v>0</v>
      </c>
      <c r="E47" s="147">
        <f t="shared" si="1"/>
        <v>0</v>
      </c>
      <c r="F47" s="334"/>
      <c r="G47" s="335"/>
      <c r="H47" s="190" t="s">
        <v>91</v>
      </c>
      <c r="I47" s="122">
        <f>I46/I38</f>
        <v>1177.0895789431941</v>
      </c>
      <c r="J47" s="139">
        <f>J46/J38</f>
        <v>1003.875400494727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+C48+'30'!D48</f>
        <v>0</v>
      </c>
      <c r="E48" s="147">
        <f t="shared" si="1"/>
        <v>0</v>
      </c>
      <c r="F48" s="334"/>
      <c r="G48" s="335"/>
      <c r="H48" s="190" t="s">
        <v>92</v>
      </c>
      <c r="I48" s="122">
        <f>I46/I40</f>
        <v>1309.8969072165069</v>
      </c>
      <c r="J48" s="139">
        <f>J46/J40</f>
        <v>1094.5930657786621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+C49+'30'!D49</f>
        <v>717</v>
      </c>
      <c r="E49" s="147">
        <f t="shared" si="1"/>
        <v>11.95</v>
      </c>
      <c r="F49" s="187"/>
      <c r="H49" s="190" t="s">
        <v>93</v>
      </c>
      <c r="I49" s="122">
        <v>0</v>
      </c>
      <c r="J49" s="139">
        <f>+I49+'30'!J49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+C50+'30'!D50</f>
        <v>0</v>
      </c>
      <c r="E50" s="147">
        <f t="shared" si="1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+C51+'30'!D51</f>
        <v>0</v>
      </c>
      <c r="E51" s="147">
        <f t="shared" si="1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37</v>
      </c>
      <c r="D52" s="148">
        <f ca="1">SUM(D38:D51)</f>
        <v>2428</v>
      </c>
      <c r="E52" s="149">
        <f ca="1">SUM(E38:E51)</f>
        <v>40.466666666666669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2.5694444444444443E-2</v>
      </c>
      <c r="D53" s="150">
        <f ca="1">D52/(24*60*G4)</f>
        <v>5.4390681003584226E-2</v>
      </c>
      <c r="E53" s="151">
        <f ca="1">E52/(G4*24)</f>
        <v>5.4390681003584233E-2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+D34+'30'!J56</f>
        <v>25168</v>
      </c>
      <c r="K56" s="203">
        <f>J56/(J40+J56/1000)/1000</f>
        <v>1.7817447619479128E-2</v>
      </c>
    </row>
    <row r="57" spans="1:11">
      <c r="A57" s="178"/>
      <c r="I57" s="201" t="s">
        <v>100</v>
      </c>
      <c r="J57" s="202">
        <f>+E34+'30'!J57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13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140625" style="153" customWidth="1"/>
    <col min="14" max="16384" width="9.140625" style="153"/>
  </cols>
  <sheetData>
    <row r="1" spans="1:15" ht="15.75">
      <c r="A1" s="152"/>
    </row>
    <row r="2" spans="1:15" ht="15.75">
      <c r="A2" s="152" t="s">
        <v>236</v>
      </c>
    </row>
    <row r="3" spans="1:15" ht="15">
      <c r="A3" s="154"/>
    </row>
    <row r="4" spans="1:15" ht="20.25">
      <c r="A4" s="155" t="s">
        <v>3</v>
      </c>
      <c r="B4" s="156"/>
      <c r="F4" s="157" t="s">
        <v>28</v>
      </c>
      <c r="G4" s="158">
        <v>30</v>
      </c>
      <c r="H4" s="158" t="str">
        <f>+'1'!H4</f>
        <v>.10.25</v>
      </c>
    </row>
    <row r="5" spans="1:15" ht="13.5" thickBot="1">
      <c r="C5" s="159"/>
      <c r="D5" s="159"/>
    </row>
    <row r="6" spans="1:15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335+333+459</f>
        <v>1127</v>
      </c>
    </row>
    <row r="7" spans="1:15" ht="13.5" customHeight="1" thickBot="1">
      <c r="A7" s="810" t="s">
        <v>415</v>
      </c>
      <c r="B7" s="217" t="s">
        <v>518</v>
      </c>
      <c r="C7" s="218">
        <v>10306</v>
      </c>
      <c r="D7" s="219">
        <v>245</v>
      </c>
      <c r="E7" s="220"/>
      <c r="F7" s="231">
        <v>10</v>
      </c>
      <c r="G7" s="558" t="s">
        <v>11</v>
      </c>
      <c r="H7" s="559" t="s">
        <v>456</v>
      </c>
      <c r="I7" s="813" t="s">
        <v>637</v>
      </c>
      <c r="J7" s="216" t="str">
        <f>+'29'!J7</f>
        <v>T 12,5 VP OW</v>
      </c>
      <c r="K7" s="237"/>
      <c r="L7" s="241"/>
      <c r="M7" s="121">
        <f>+K7+'29'!M7+L7</f>
        <v>66326</v>
      </c>
    </row>
    <row r="8" spans="1:15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+'29'!J8</f>
        <v>F 12.5 VP OW</v>
      </c>
      <c r="K8" s="238"/>
      <c r="L8" s="238"/>
      <c r="M8" s="121">
        <f>+K8+'29'!M8+L8</f>
        <v>111865</v>
      </c>
      <c r="N8" s="153">
        <v>1400</v>
      </c>
      <c r="O8" s="153">
        <f>+N8-N8*0.24</f>
        <v>1064</v>
      </c>
    </row>
    <row r="9" spans="1:15" ht="13.5" thickBot="1">
      <c r="A9" s="811"/>
      <c r="B9" s="217"/>
      <c r="C9" s="218"/>
      <c r="D9" s="219"/>
      <c r="E9" s="222"/>
      <c r="F9" s="231">
        <v>11</v>
      </c>
      <c r="G9" s="560" t="s">
        <v>11</v>
      </c>
      <c r="H9" s="561" t="s">
        <v>428</v>
      </c>
      <c r="I9" s="814"/>
      <c r="J9" s="216" t="str">
        <f>+'29'!J9</f>
        <v>F 13 VP OW</v>
      </c>
      <c r="K9" s="238"/>
      <c r="L9" s="238"/>
      <c r="M9" s="121">
        <f>+K9+'29'!M9+L9</f>
        <v>123705</v>
      </c>
    </row>
    <row r="10" spans="1:15" ht="13.5" thickBot="1">
      <c r="A10" s="811"/>
      <c r="B10" s="217"/>
      <c r="C10" s="218"/>
      <c r="D10" s="219"/>
      <c r="E10" s="221"/>
      <c r="F10" s="231"/>
      <c r="G10" s="558"/>
      <c r="H10" s="561" t="s">
        <v>850</v>
      </c>
      <c r="I10" s="814"/>
      <c r="J10" s="216" t="str">
        <f>+'29'!J10</f>
        <v>T 12 VP OW</v>
      </c>
      <c r="K10" s="238"/>
      <c r="L10" s="238"/>
      <c r="M10" s="121">
        <f>+K10+'29'!M10+L10</f>
        <v>23281</v>
      </c>
    </row>
    <row r="11" spans="1:15" ht="51.75" thickBot="1">
      <c r="A11" s="811"/>
      <c r="B11" s="217"/>
      <c r="C11" s="218"/>
      <c r="D11" s="219"/>
      <c r="E11" s="221"/>
      <c r="F11" s="481"/>
      <c r="G11" s="482"/>
      <c r="H11" s="230" t="s">
        <v>880</v>
      </c>
      <c r="I11" s="814"/>
      <c r="J11" s="216" t="str">
        <f>+'29'!J11</f>
        <v>T 13,5 VP OW</v>
      </c>
      <c r="K11" s="238"/>
      <c r="L11" s="238"/>
      <c r="M11" s="121">
        <f>+K11+'29'!M11+L11</f>
        <v>15672</v>
      </c>
    </row>
    <row r="12" spans="1:15" ht="26.25" thickBot="1">
      <c r="A12" s="811"/>
      <c r="B12" s="217"/>
      <c r="C12" s="218"/>
      <c r="D12" s="219"/>
      <c r="E12" s="221"/>
      <c r="F12" s="228"/>
      <c r="G12" s="232"/>
      <c r="H12" s="233" t="s">
        <v>881</v>
      </c>
      <c r="I12" s="814"/>
      <c r="J12" s="216" t="str">
        <f>+'29'!J12</f>
        <v>F 12 VP OW</v>
      </c>
      <c r="K12" s="238">
        <f>+C7+C16+C25</f>
        <v>33145</v>
      </c>
      <c r="L12" s="238"/>
      <c r="M12" s="121">
        <f>+K12+'29'!M12+L12</f>
        <v>360637</v>
      </c>
    </row>
    <row r="13" spans="1:15" ht="26.25" thickBot="1">
      <c r="A13" s="811"/>
      <c r="B13" s="217"/>
      <c r="C13" s="218"/>
      <c r="D13" s="218"/>
      <c r="E13" s="221"/>
      <c r="F13" s="228"/>
      <c r="G13" s="232"/>
      <c r="H13" s="233" t="s">
        <v>882</v>
      </c>
      <c r="I13" s="815"/>
      <c r="J13" s="216" t="str">
        <f>+'29'!J13</f>
        <v>T 12,5 VP OW</v>
      </c>
      <c r="K13" s="238">
        <f>+C26</f>
        <v>5839</v>
      </c>
      <c r="L13" s="238"/>
      <c r="M13" s="121">
        <f>+K13+'29'!M13+L13</f>
        <v>393765</v>
      </c>
    </row>
    <row r="14" spans="1:15" ht="13.5" thickBot="1">
      <c r="A14" s="812"/>
      <c r="B14" s="169" t="s">
        <v>2</v>
      </c>
      <c r="C14" s="103">
        <f>SUM(C7:C13)</f>
        <v>10306</v>
      </c>
      <c r="D14" s="115">
        <f>SUM(D7:D13)</f>
        <v>245</v>
      </c>
      <c r="E14" s="116">
        <f>SUM(E5:E13)</f>
        <v>0</v>
      </c>
      <c r="F14" s="106">
        <f>SUM(F6:F13)</f>
        <v>21</v>
      </c>
      <c r="G14" s="163"/>
      <c r="H14" s="170"/>
      <c r="I14" s="171"/>
      <c r="J14" s="216" t="str">
        <f>+'29'!J14</f>
        <v>T 14 VP OW</v>
      </c>
      <c r="K14" s="238"/>
      <c r="L14" s="238"/>
      <c r="M14" s="121">
        <f>+K14+'29'!M14+L14</f>
        <v>88884</v>
      </c>
    </row>
    <row r="15" spans="1:15" ht="13.5" customHeight="1" thickBot="1">
      <c r="A15" s="810" t="s">
        <v>239</v>
      </c>
      <c r="B15" s="510"/>
      <c r="C15" s="117">
        <f>C14/($C$23+$D$23+$E$23)</f>
        <v>0.78677761661195511</v>
      </c>
      <c r="D15" s="118">
        <f>D14/($C$23+$D$23+$E$23)</f>
        <v>1.870371784105657E-2</v>
      </c>
      <c r="E15" s="119">
        <f>E14/($C$23+$D$23+$E$23)</f>
        <v>0</v>
      </c>
      <c r="F15" s="231">
        <v>10</v>
      </c>
      <c r="G15" s="558" t="s">
        <v>11</v>
      </c>
      <c r="H15" s="559" t="s">
        <v>456</v>
      </c>
      <c r="I15" s="813" t="s">
        <v>637</v>
      </c>
      <c r="J15" s="216" t="str">
        <f>+'29'!J15</f>
        <v>T 15 VP OW</v>
      </c>
      <c r="K15" s="238"/>
      <c r="L15" s="238"/>
      <c r="M15" s="121">
        <f>+K15+'29'!M15+L15</f>
        <v>65211</v>
      </c>
    </row>
    <row r="16" spans="1:15" ht="13.5" thickBot="1">
      <c r="A16" s="816"/>
      <c r="B16" s="512" t="s">
        <v>518</v>
      </c>
      <c r="C16" s="511">
        <v>12361</v>
      </c>
      <c r="D16" s="223">
        <v>738</v>
      </c>
      <c r="E16" s="224"/>
      <c r="F16" s="231"/>
      <c r="G16" s="560" t="s">
        <v>11</v>
      </c>
      <c r="H16" s="559" t="s">
        <v>426</v>
      </c>
      <c r="I16" s="814"/>
      <c r="J16" s="216" t="str">
        <f>+'29'!J16</f>
        <v>T 17 VP OW</v>
      </c>
      <c r="K16" s="229"/>
      <c r="L16" s="229"/>
      <c r="M16" s="121">
        <f>+K16+'29'!M16+L16</f>
        <v>22278</v>
      </c>
    </row>
    <row r="17" spans="1:18" ht="13.5" thickBot="1">
      <c r="A17" s="816"/>
      <c r="B17" s="217"/>
      <c r="C17" s="218"/>
      <c r="D17" s="219"/>
      <c r="E17" s="225"/>
      <c r="F17" s="231">
        <v>8</v>
      </c>
      <c r="G17" s="560" t="s">
        <v>11</v>
      </c>
      <c r="H17" s="561" t="s">
        <v>428</v>
      </c>
      <c r="I17" s="814"/>
      <c r="J17" s="216" t="str">
        <f>+'29'!J17</f>
        <v>T 14,5 VP OW</v>
      </c>
      <c r="K17" s="229"/>
      <c r="L17" s="229"/>
      <c r="M17" s="121">
        <f>+K17+'29'!M17+L17</f>
        <v>37152</v>
      </c>
    </row>
    <row r="18" spans="1:18" ht="13.5" thickBot="1">
      <c r="A18" s="816"/>
      <c r="B18" s="217"/>
      <c r="C18" s="218"/>
      <c r="D18" s="219"/>
      <c r="E18" s="225"/>
      <c r="F18" s="231"/>
      <c r="G18" s="558"/>
      <c r="H18" s="561" t="s">
        <v>850</v>
      </c>
      <c r="I18" s="814"/>
      <c r="J18" s="216" t="str">
        <f>+'29'!J18</f>
        <v>T 18 VP OW</v>
      </c>
      <c r="K18" s="238"/>
      <c r="L18" s="238"/>
      <c r="M18" s="121">
        <f>+K18+'29'!M18+L18</f>
        <v>33402</v>
      </c>
    </row>
    <row r="19" spans="1:18" ht="26.25" thickBot="1">
      <c r="A19" s="816"/>
      <c r="B19" s="217"/>
      <c r="C19" s="218"/>
      <c r="D19" s="219"/>
      <c r="E19" s="225"/>
      <c r="F19" s="228"/>
      <c r="G19" s="232"/>
      <c r="H19" s="230" t="s">
        <v>883</v>
      </c>
      <c r="I19" s="814"/>
      <c r="J19" s="216">
        <f>+'29'!J19</f>
        <v>0</v>
      </c>
      <c r="K19" s="238"/>
      <c r="L19" s="238"/>
      <c r="M19" s="121">
        <f>+K19+'29'!M19+L19</f>
        <v>0</v>
      </c>
    </row>
    <row r="20" spans="1:18" ht="13.5" thickBot="1">
      <c r="A20" s="816"/>
      <c r="B20" s="217"/>
      <c r="C20" s="218"/>
      <c r="D20" s="219"/>
      <c r="E20" s="225"/>
      <c r="F20" s="228"/>
      <c r="G20" s="232"/>
      <c r="H20" s="233" t="s">
        <v>884</v>
      </c>
      <c r="I20" s="814"/>
      <c r="J20" s="216">
        <f>+'29'!J20</f>
        <v>0</v>
      </c>
      <c r="K20" s="239"/>
      <c r="L20" s="239"/>
      <c r="M20" s="121">
        <f>+K20+'29'!M20+L20</f>
        <v>0</v>
      </c>
    </row>
    <row r="21" spans="1:18" ht="13.5" thickBot="1">
      <c r="A21" s="816"/>
      <c r="B21" s="217"/>
      <c r="C21" s="218"/>
      <c r="D21" s="219"/>
      <c r="E21" s="225"/>
      <c r="F21" s="231"/>
      <c r="G21" s="232"/>
      <c r="H21" s="233"/>
      <c r="I21" s="814"/>
      <c r="J21" s="216">
        <f>+'29'!J21</f>
        <v>0</v>
      </c>
      <c r="K21" s="238"/>
      <c r="L21" s="238"/>
      <c r="M21" s="121">
        <f>+K21+'29'!M21+L21</f>
        <v>0</v>
      </c>
    </row>
    <row r="22" spans="1:18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+'29'!J22</f>
        <v>0</v>
      </c>
      <c r="K22" s="238"/>
      <c r="L22" s="238"/>
      <c r="M22" s="121">
        <f>+K22+'29'!M22+L22</f>
        <v>0</v>
      </c>
    </row>
    <row r="23" spans="1:18" ht="13.5" thickBot="1">
      <c r="A23" s="817"/>
      <c r="B23" s="169" t="s">
        <v>2</v>
      </c>
      <c r="C23" s="103">
        <f>SUM(C16:C22)</f>
        <v>12361</v>
      </c>
      <c r="D23" s="115">
        <f>SUM(D16:D22)</f>
        <v>738</v>
      </c>
      <c r="E23" s="116">
        <f>SUM(E18:E22)</f>
        <v>0</v>
      </c>
      <c r="F23" s="106">
        <f>SUM(F15:F22)</f>
        <v>18</v>
      </c>
      <c r="G23" s="163"/>
      <c r="H23" s="170"/>
      <c r="I23" s="172"/>
      <c r="J23" s="216">
        <f>+'29'!J23</f>
        <v>0</v>
      </c>
      <c r="K23" s="238"/>
      <c r="L23" s="238"/>
      <c r="M23" s="121">
        <f>+K23+'29'!M23+L23</f>
        <v>0</v>
      </c>
    </row>
    <row r="24" spans="1:18" ht="13.5" customHeight="1" thickBot="1">
      <c r="A24" s="810" t="s">
        <v>573</v>
      </c>
      <c r="B24" s="510"/>
      <c r="C24" s="117">
        <f>C23/($C$23+$D$23+$E$23)</f>
        <v>0.94365982136040916</v>
      </c>
      <c r="D24" s="118">
        <f>D23/($C$23+$D$23+$E$23)</f>
        <v>5.6340178639590809E-2</v>
      </c>
      <c r="E24" s="119">
        <f>E23/($C$23+$D$23+$E$23)</f>
        <v>0</v>
      </c>
      <c r="F24" s="231">
        <v>10</v>
      </c>
      <c r="G24" s="558" t="s">
        <v>11</v>
      </c>
      <c r="H24" s="559" t="s">
        <v>456</v>
      </c>
      <c r="I24" s="813" t="s">
        <v>889</v>
      </c>
      <c r="J24" s="216">
        <f>+'29'!J24</f>
        <v>0</v>
      </c>
      <c r="K24" s="238"/>
      <c r="L24" s="238"/>
      <c r="M24" s="121">
        <f>+K24+'29'!M24+L24</f>
        <v>0</v>
      </c>
    </row>
    <row r="25" spans="1:18" ht="13.5" thickBot="1">
      <c r="A25" s="818"/>
      <c r="B25" s="217" t="s">
        <v>518</v>
      </c>
      <c r="C25" s="226">
        <v>10478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+'29'!J25</f>
        <v>0</v>
      </c>
      <c r="K25" s="238"/>
      <c r="L25" s="238"/>
      <c r="M25" s="121">
        <f>+K25+'29'!M25+L25</f>
        <v>0</v>
      </c>
      <c r="N25" s="153">
        <v>1400</v>
      </c>
      <c r="O25" s="153">
        <f>+N25-N25*0.24</f>
        <v>1064</v>
      </c>
      <c r="P25" s="153">
        <v>60</v>
      </c>
      <c r="Q25" s="153">
        <f>+N25*P25</f>
        <v>84000</v>
      </c>
      <c r="R25" s="153">
        <f>+O25*P25</f>
        <v>63840</v>
      </c>
    </row>
    <row r="26" spans="1:18" ht="13.5" thickBot="1">
      <c r="A26" s="818"/>
      <c r="B26" s="217" t="s">
        <v>431</v>
      </c>
      <c r="C26" s="226">
        <f>540+5299</f>
        <v>5839</v>
      </c>
      <c r="D26" s="219"/>
      <c r="E26" s="227"/>
      <c r="F26" s="231">
        <v>8</v>
      </c>
      <c r="G26" s="560" t="s">
        <v>11</v>
      </c>
      <c r="H26" s="561" t="s">
        <v>428</v>
      </c>
      <c r="I26" s="814"/>
      <c r="J26" s="216">
        <f>+'29'!J26</f>
        <v>0</v>
      </c>
      <c r="K26" s="238"/>
      <c r="L26" s="238"/>
      <c r="M26" s="121">
        <f>+K26+'29'!M26+L26</f>
        <v>0</v>
      </c>
      <c r="N26" s="153">
        <v>1360</v>
      </c>
      <c r="O26" s="153">
        <f>+N26-N26*0.23</f>
        <v>1047.2</v>
      </c>
      <c r="P26" s="153">
        <v>420</v>
      </c>
      <c r="Q26" s="153">
        <f>+N26*P26</f>
        <v>571200</v>
      </c>
      <c r="R26" s="153">
        <f>+O26*P26</f>
        <v>439824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850</v>
      </c>
      <c r="I27" s="814"/>
      <c r="J27" s="216">
        <f>+'29'!J27</f>
        <v>0</v>
      </c>
      <c r="K27" s="238"/>
      <c r="L27" s="238"/>
      <c r="M27" s="121">
        <f>+K27+'29'!M27+L27</f>
        <v>0</v>
      </c>
      <c r="P27" s="153">
        <f>SUM(P25:P26)</f>
        <v>480</v>
      </c>
      <c r="Q27" s="153">
        <f t="shared" ref="Q27:R27" si="0">SUM(Q25:Q26)</f>
        <v>655200</v>
      </c>
      <c r="R27" s="153">
        <f t="shared" si="0"/>
        <v>503664</v>
      </c>
    </row>
    <row r="28" spans="1:18" ht="13.5" thickBot="1">
      <c r="A28" s="818"/>
      <c r="B28" s="217"/>
      <c r="C28" s="218"/>
      <c r="D28" s="219"/>
      <c r="E28" s="225"/>
      <c r="F28" s="228"/>
      <c r="G28" s="232"/>
      <c r="H28" s="230" t="s">
        <v>885</v>
      </c>
      <c r="I28" s="814"/>
      <c r="J28" s="216">
        <f>+'29'!J28</f>
        <v>0</v>
      </c>
      <c r="K28" s="238"/>
      <c r="L28" s="238"/>
      <c r="M28" s="121">
        <f>+K28+'29'!M28+L28</f>
        <v>0</v>
      </c>
      <c r="Q28" s="153">
        <f>+Q27/P27</f>
        <v>1365</v>
      </c>
      <c r="R28" s="153">
        <f>+R27/P27</f>
        <v>1049.3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 t="s">
        <v>888</v>
      </c>
      <c r="I29" s="814"/>
      <c r="J29" s="216">
        <f>+'29'!J29</f>
        <v>0</v>
      </c>
      <c r="K29" s="238"/>
      <c r="L29" s="238"/>
      <c r="M29" s="121">
        <f>+K29+'29'!M29+L29</f>
        <v>0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 t="s">
        <v>886</v>
      </c>
      <c r="I30" s="814"/>
      <c r="J30" s="216">
        <f>+'29'!J30</f>
        <v>0</v>
      </c>
      <c r="K30" s="238"/>
      <c r="L30" s="238"/>
      <c r="M30" s="121">
        <f>+K30+'29'!M30+L30</f>
        <v>0</v>
      </c>
      <c r="N30" s="159"/>
    </row>
    <row r="31" spans="1:18" ht="26.25" thickBot="1">
      <c r="A31" s="818"/>
      <c r="B31" s="217"/>
      <c r="C31" s="226"/>
      <c r="D31" s="219"/>
      <c r="E31" s="225"/>
      <c r="F31" s="235"/>
      <c r="G31" s="236"/>
      <c r="H31" s="439" t="s">
        <v>887</v>
      </c>
      <c r="I31" s="815"/>
      <c r="J31" s="216">
        <f>+'29'!J31</f>
        <v>0</v>
      </c>
      <c r="K31" s="238"/>
      <c r="L31" s="238"/>
      <c r="M31" s="121">
        <f>+K31+'29'!M31+L31</f>
        <v>0</v>
      </c>
    </row>
    <row r="32" spans="1:18" ht="13.5" thickBot="1">
      <c r="A32" s="819"/>
      <c r="B32" s="169" t="s">
        <v>2</v>
      </c>
      <c r="C32" s="103">
        <f>SUM(C25:C31)</f>
        <v>16317</v>
      </c>
      <c r="D32" s="104">
        <f>SUM(D25:D31)</f>
        <v>0</v>
      </c>
      <c r="E32" s="105">
        <f>SUM(E25:E31)</f>
        <v>0</v>
      </c>
      <c r="F32" s="103">
        <f>SUM(F24:F31)</f>
        <v>18</v>
      </c>
      <c r="G32" s="173"/>
      <c r="H32" s="174"/>
      <c r="I32" s="172"/>
      <c r="J32" s="216">
        <f>+'29'!J32</f>
        <v>0</v>
      </c>
      <c r="K32" s="240"/>
      <c r="L32" s="242"/>
      <c r="M32" s="121">
        <f>+K32+'29'!M32+L32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38984</v>
      </c>
      <c r="D34" s="111">
        <f>D14+D23+D32</f>
        <v>983</v>
      </c>
      <c r="E34" s="111">
        <f>E14+E23+E32</f>
        <v>0</v>
      </c>
      <c r="F34" s="112">
        <f>F14+F23+F32</f>
        <v>57</v>
      </c>
      <c r="H34" s="180"/>
      <c r="I34" s="180"/>
      <c r="J34" s="127" t="s">
        <v>27</v>
      </c>
      <c r="K34" s="128">
        <f>SUM(K7:K32)</f>
        <v>38984</v>
      </c>
      <c r="L34" s="214">
        <f>SUM(L7:L32)</f>
        <v>0</v>
      </c>
      <c r="M34" s="124">
        <f>SUM(M7:M32)</f>
        <v>1342178</v>
      </c>
      <c r="N34" s="159"/>
    </row>
    <row r="35" spans="1:14" ht="13.5" thickBot="1">
      <c r="A35" s="181"/>
      <c r="B35" s="182"/>
      <c r="C35" s="108">
        <f>C34/($C$34+$D$34+$E$34)</f>
        <v>0.97540470888483</v>
      </c>
      <c r="D35" s="108">
        <f>D34/($C$34+$D$34+$E$34)</f>
        <v>2.4595291115170014E-2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(12*1020+12.5*420)/1440*G42*2.85*1440/1000000</f>
        <v>52.792428150000006</v>
      </c>
      <c r="J37" s="129">
        <f>+I37+'29'!J37</f>
        <v>1599.2035327944695</v>
      </c>
      <c r="K37" s="130" t="s">
        <v>74</v>
      </c>
      <c r="N37" s="159">
        <f>+I38-N38</f>
        <v>34.273000000000003</v>
      </c>
    </row>
    <row r="38" spans="1:14" ht="17.45" customHeight="1">
      <c r="A38" s="824" t="s">
        <v>11</v>
      </c>
      <c r="B38" s="825"/>
      <c r="C38" s="168">
        <f>SUMIF($G$7:$G$31,"Process",$F$7:$F$31)</f>
        <v>57</v>
      </c>
      <c r="D38" s="122">
        <f>+C38+'29'!D38</f>
        <v>1523</v>
      </c>
      <c r="E38" s="147">
        <f t="shared" ref="E38:E51" si="1">D38/60</f>
        <v>25.383333333333333</v>
      </c>
      <c r="F38" s="334">
        <v>1400</v>
      </c>
      <c r="G38" s="334">
        <f t="shared" ref="G38:G39" si="2">+F38-F38*0.24</f>
        <v>1064</v>
      </c>
      <c r="H38" s="189" t="s">
        <v>75</v>
      </c>
      <c r="I38" s="244">
        <f>15.576+16.681+16.366</f>
        <v>48.623000000000005</v>
      </c>
      <c r="J38" s="131">
        <f>+I38+'29'!J38</f>
        <v>1462.452</v>
      </c>
      <c r="K38" s="132" t="s">
        <v>74</v>
      </c>
      <c r="N38" s="153">
        <f>16.366-2.016</f>
        <v>14.35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+C39+'29'!D39</f>
        <v>0</v>
      </c>
      <c r="E39" s="147">
        <f t="shared" si="1"/>
        <v>0</v>
      </c>
      <c r="F39" s="334">
        <v>1400</v>
      </c>
      <c r="G39" s="334">
        <f t="shared" si="2"/>
        <v>1064</v>
      </c>
      <c r="H39" s="189" t="s">
        <v>76</v>
      </c>
      <c r="I39" s="146"/>
      <c r="J39" s="133">
        <f>J37/G4</f>
        <v>53.306784426482317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+C40+'29'!D40</f>
        <v>101</v>
      </c>
      <c r="E40" s="147">
        <f t="shared" ca="1" si="1"/>
        <v>1.6833333333333333</v>
      </c>
      <c r="F40" s="334">
        <v>1365</v>
      </c>
      <c r="G40" s="334">
        <v>1049.3</v>
      </c>
      <c r="H40" s="189" t="s">
        <v>78</v>
      </c>
      <c r="I40" s="122">
        <f>(K34+L34)/1000</f>
        <v>38.984000000000002</v>
      </c>
      <c r="J40" s="135">
        <f>+I40+'29'!J40</f>
        <v>1342.1779999999999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+C41+'29'!D41</f>
        <v>50</v>
      </c>
      <c r="E41" s="147">
        <f t="shared" ca="1" si="1"/>
        <v>0.83333333333333337</v>
      </c>
      <c r="F41" s="334"/>
      <c r="G41" s="334"/>
      <c r="H41" s="189" t="s">
        <v>80</v>
      </c>
      <c r="I41" s="146"/>
      <c r="J41" s="133">
        <f>J40/G4</f>
        <v>44.739266666666666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+C42+'29'!D42</f>
        <v>0</v>
      </c>
      <c r="E42" s="147">
        <f t="shared" ca="1" si="1"/>
        <v>0</v>
      </c>
      <c r="F42" s="334">
        <f>+(F38*480+F39*480+F40*480)/1440</f>
        <v>1388.3333333333333</v>
      </c>
      <c r="G42" s="334">
        <f>+(G38*480+G39*480+G40*480)/1440</f>
        <v>1059.0999999999999</v>
      </c>
      <c r="H42" s="189" t="s">
        <v>81</v>
      </c>
      <c r="I42" s="245" t="s">
        <v>890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+C43+'29'!D43</f>
        <v>0</v>
      </c>
      <c r="E43" s="147">
        <f t="shared" ca="1" si="1"/>
        <v>0</v>
      </c>
      <c r="F43" s="334"/>
      <c r="G43" s="335"/>
      <c r="H43" s="190" t="s">
        <v>84</v>
      </c>
      <c r="I43" s="122">
        <f>+Report1!Z38</f>
        <v>138.30000000000001</v>
      </c>
      <c r="J43" s="137">
        <f>+I43+'29'!J43</f>
        <v>3801.8999999999996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+C44+'29'!D44</f>
        <v>0</v>
      </c>
      <c r="E44" s="147">
        <f t="shared" si="1"/>
        <v>0</v>
      </c>
      <c r="F44" s="334"/>
      <c r="G44" s="335"/>
      <c r="H44" s="190" t="s">
        <v>85</v>
      </c>
      <c r="I44" s="122">
        <f>I43/I38</f>
        <v>2.844332928860827</v>
      </c>
      <c r="J44" s="138">
        <f>J43/J38</f>
        <v>2.5996750662585848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+C45+'29'!D45</f>
        <v>0</v>
      </c>
      <c r="E45" s="147">
        <f t="shared" si="1"/>
        <v>0</v>
      </c>
      <c r="F45" s="334"/>
      <c r="G45" s="337"/>
      <c r="H45" s="190" t="s">
        <v>86</v>
      </c>
      <c r="I45" s="122">
        <f>I43/I40</f>
        <v>3.5476092756002462</v>
      </c>
      <c r="J45" s="138">
        <f>J43/J40</f>
        <v>2.8326347176007949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+C46+'29'!D46</f>
        <v>0</v>
      </c>
      <c r="E46" s="147">
        <f t="shared" si="1"/>
        <v>0</v>
      </c>
      <c r="F46" s="334"/>
      <c r="G46" s="335"/>
      <c r="H46" s="190" t="s">
        <v>88</v>
      </c>
      <c r="I46" s="144">
        <f>+SUMIF(Listrik!AN37,"&gt;0")</f>
        <v>55118.019999999451</v>
      </c>
      <c r="J46" s="139">
        <f>+I46+'29'!J46</f>
        <v>1459406.5675999995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+C47+'29'!D47</f>
        <v>0</v>
      </c>
      <c r="E47" s="147">
        <f t="shared" si="1"/>
        <v>0</v>
      </c>
      <c r="F47" s="334"/>
      <c r="G47" s="335"/>
      <c r="H47" s="190" t="s">
        <v>91</v>
      </c>
      <c r="I47" s="122">
        <f>I46/I38</f>
        <v>1133.5791703514683</v>
      </c>
      <c r="J47" s="139">
        <f>J46/J38</f>
        <v>997.91758471389107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+C48+'29'!D48</f>
        <v>0</v>
      </c>
      <c r="E48" s="147">
        <f t="shared" si="1"/>
        <v>0</v>
      </c>
      <c r="F48" s="334"/>
      <c r="G48" s="335"/>
      <c r="H48" s="190" t="s">
        <v>92</v>
      </c>
      <c r="I48" s="122">
        <f>I46/I40</f>
        <v>1413.8626103016481</v>
      </c>
      <c r="J48" s="139">
        <f>J46/J40</f>
        <v>1087.3420422626505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+C49+'29'!D49</f>
        <v>717</v>
      </c>
      <c r="E49" s="147">
        <f t="shared" si="1"/>
        <v>11.95</v>
      </c>
      <c r="F49" s="187"/>
      <c r="H49" s="190" t="s">
        <v>93</v>
      </c>
      <c r="I49" s="122">
        <v>0</v>
      </c>
      <c r="J49" s="139">
        <f>+I49+'29'!J49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+C50+'29'!D50</f>
        <v>0</v>
      </c>
      <c r="E50" s="147">
        <f t="shared" si="1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+C51+'29'!D51</f>
        <v>0</v>
      </c>
      <c r="E51" s="147">
        <f t="shared" si="1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57</v>
      </c>
      <c r="D52" s="148">
        <f ca="1">SUM(D38:D51)</f>
        <v>2391</v>
      </c>
      <c r="E52" s="149">
        <f ca="1">SUM(E38:E51)</f>
        <v>39.849999999999994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3.9583333333333331E-2</v>
      </c>
      <c r="D53" s="150">
        <f ca="1">D52/(24*60*G4)</f>
        <v>5.5347222222222221E-2</v>
      </c>
      <c r="E53" s="151">
        <f ca="1">E52/(G4*24)</f>
        <v>5.5347222222222214E-2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+D34+'29'!J56</f>
        <v>24508</v>
      </c>
      <c r="K56" s="203">
        <f>J56/(J40+J56/1000)/1000</f>
        <v>1.7932429248561848E-2</v>
      </c>
    </row>
    <row r="57" spans="1:11">
      <c r="A57" s="178"/>
      <c r="I57" s="201" t="s">
        <v>100</v>
      </c>
      <c r="J57" s="202">
        <f>+E34+'29'!J57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54" firstPageNumber="4294963191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view="pageBreakPreview" topLeftCell="A10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140625" style="153" customWidth="1"/>
    <col min="14" max="16384" width="9.140625" style="153"/>
  </cols>
  <sheetData>
    <row r="1" spans="1:15" ht="15.75">
      <c r="A1" s="152"/>
    </row>
    <row r="2" spans="1:15" ht="15.75">
      <c r="A2" s="152" t="s">
        <v>236</v>
      </c>
    </row>
    <row r="3" spans="1:15" ht="15">
      <c r="A3" s="154"/>
    </row>
    <row r="4" spans="1:15" ht="20.25">
      <c r="A4" s="155" t="s">
        <v>3</v>
      </c>
      <c r="B4" s="156"/>
      <c r="F4" s="157" t="s">
        <v>28</v>
      </c>
      <c r="G4" s="158">
        <v>29</v>
      </c>
      <c r="H4" s="158" t="str">
        <f>+'1'!H4</f>
        <v>.10.25</v>
      </c>
    </row>
    <row r="5" spans="1:15" ht="13.5" thickBot="1">
      <c r="C5" s="159"/>
      <c r="D5" s="159"/>
    </row>
    <row r="6" spans="1:15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322+322+356</f>
        <v>1000</v>
      </c>
    </row>
    <row r="7" spans="1:15" ht="13.5" customHeight="1" thickBot="1">
      <c r="A7" s="810" t="s">
        <v>415</v>
      </c>
      <c r="B7" s="217" t="s">
        <v>399</v>
      </c>
      <c r="C7" s="218">
        <v>10595</v>
      </c>
      <c r="D7" s="219">
        <v>260</v>
      </c>
      <c r="E7" s="220"/>
      <c r="F7" s="231">
        <v>5</v>
      </c>
      <c r="G7" s="558" t="s">
        <v>11</v>
      </c>
      <c r="H7" s="559" t="s">
        <v>522</v>
      </c>
      <c r="I7" s="813" t="s">
        <v>879</v>
      </c>
      <c r="J7" s="216" t="str">
        <f>+'28'!J7</f>
        <v>T 12,5 VP OW</v>
      </c>
      <c r="K7" s="237"/>
      <c r="L7" s="241"/>
      <c r="M7" s="121">
        <f>+K7+'28'!M7+L7</f>
        <v>66326</v>
      </c>
    </row>
    <row r="8" spans="1:15" ht="13.5" thickBot="1">
      <c r="A8" s="811"/>
      <c r="B8" s="217" t="s">
        <v>518</v>
      </c>
      <c r="C8" s="218">
        <f>1317+1200</f>
        <v>2517</v>
      </c>
      <c r="D8" s="219"/>
      <c r="E8" s="221"/>
      <c r="F8" s="231"/>
      <c r="G8" s="560" t="s">
        <v>11</v>
      </c>
      <c r="H8" s="559" t="s">
        <v>426</v>
      </c>
      <c r="I8" s="814"/>
      <c r="J8" s="216" t="str">
        <f>+'28'!J8</f>
        <v>F 12.5 VP OW</v>
      </c>
      <c r="K8" s="238"/>
      <c r="L8" s="238"/>
      <c r="M8" s="121">
        <f>+K8+'28'!M8+L8</f>
        <v>111865</v>
      </c>
      <c r="N8" s="153">
        <v>1310</v>
      </c>
      <c r="O8" s="153">
        <f>+N8-N8*0.24</f>
        <v>995.6</v>
      </c>
    </row>
    <row r="9" spans="1:15" ht="13.5" thickBot="1">
      <c r="A9" s="811"/>
      <c r="B9" s="217"/>
      <c r="C9" s="218"/>
      <c r="D9" s="219"/>
      <c r="E9" s="222"/>
      <c r="F9" s="231">
        <v>10</v>
      </c>
      <c r="G9" s="560" t="s">
        <v>11</v>
      </c>
      <c r="H9" s="561" t="s">
        <v>413</v>
      </c>
      <c r="I9" s="814"/>
      <c r="J9" s="216" t="str">
        <f>+'28'!J9</f>
        <v>F 13 VP OW</v>
      </c>
      <c r="K9" s="238">
        <f>+C7+C17+C26</f>
        <v>21527</v>
      </c>
      <c r="L9" s="238"/>
      <c r="M9" s="121">
        <f>+K9+'28'!M9+L9</f>
        <v>123705</v>
      </c>
      <c r="N9" s="153">
        <v>1400</v>
      </c>
      <c r="O9" s="153">
        <f>+N9-N9*0.24</f>
        <v>1064</v>
      </c>
    </row>
    <row r="10" spans="1:15" ht="13.5" thickBot="1">
      <c r="A10" s="811"/>
      <c r="B10" s="217"/>
      <c r="C10" s="218"/>
      <c r="D10" s="219"/>
      <c r="E10" s="221"/>
      <c r="F10" s="231"/>
      <c r="G10" s="558"/>
      <c r="H10" s="561" t="s">
        <v>869</v>
      </c>
      <c r="I10" s="814"/>
      <c r="J10" s="216" t="str">
        <f>+'28'!J10</f>
        <v>T 12 VP OW</v>
      </c>
      <c r="K10" s="238"/>
      <c r="L10" s="238"/>
      <c r="M10" s="121">
        <f>+K10+'28'!M10+L10</f>
        <v>23281</v>
      </c>
      <c r="N10" s="153">
        <v>1400</v>
      </c>
      <c r="O10" s="153">
        <f>+N10-N10*0.24</f>
        <v>1064</v>
      </c>
    </row>
    <row r="11" spans="1:15" ht="26.25" thickBot="1">
      <c r="A11" s="811"/>
      <c r="B11" s="217"/>
      <c r="C11" s="218"/>
      <c r="D11" s="219"/>
      <c r="E11" s="221"/>
      <c r="F11" s="481"/>
      <c r="G11" s="482"/>
      <c r="H11" s="230" t="s">
        <v>870</v>
      </c>
      <c r="I11" s="814"/>
      <c r="J11" s="216" t="str">
        <f>+'28'!J11</f>
        <v>T 13,5 VP OW</v>
      </c>
      <c r="K11" s="238"/>
      <c r="L11" s="238"/>
      <c r="M11" s="121">
        <f>+K11+'28'!M11+L11</f>
        <v>15672</v>
      </c>
    </row>
    <row r="12" spans="1:15" ht="26.25" thickBot="1">
      <c r="A12" s="811"/>
      <c r="B12" s="217"/>
      <c r="C12" s="218"/>
      <c r="D12" s="219"/>
      <c r="E12" s="221"/>
      <c r="F12" s="228"/>
      <c r="G12" s="232"/>
      <c r="H12" s="233" t="s">
        <v>871</v>
      </c>
      <c r="I12" s="814"/>
      <c r="J12" s="216" t="str">
        <f>+'28'!J12</f>
        <v>F 12 VP OW</v>
      </c>
      <c r="K12" s="238">
        <f>+C8+C16+C25</f>
        <v>21547</v>
      </c>
      <c r="L12" s="238"/>
      <c r="M12" s="121">
        <f>+K12+'28'!M12+L12</f>
        <v>327492</v>
      </c>
    </row>
    <row r="13" spans="1:15" ht="26.25" thickBot="1">
      <c r="A13" s="811"/>
      <c r="B13" s="217"/>
      <c r="C13" s="218"/>
      <c r="D13" s="218"/>
      <c r="E13" s="221"/>
      <c r="F13" s="228"/>
      <c r="G13" s="232"/>
      <c r="H13" s="233" t="s">
        <v>872</v>
      </c>
      <c r="I13" s="815"/>
      <c r="J13" s="216" t="str">
        <f>+'28'!J13</f>
        <v>T 12,5 VP OW</v>
      </c>
      <c r="K13" s="238"/>
      <c r="L13" s="238"/>
      <c r="M13" s="121">
        <f>+K13+'28'!M13+L13</f>
        <v>387926</v>
      </c>
    </row>
    <row r="14" spans="1:15" ht="13.5" thickBot="1">
      <c r="A14" s="812"/>
      <c r="B14" s="169" t="s">
        <v>2</v>
      </c>
      <c r="C14" s="103">
        <f>SUM(C7:C13)</f>
        <v>13112</v>
      </c>
      <c r="D14" s="115">
        <f>SUM(D7:D13)</f>
        <v>260</v>
      </c>
      <c r="E14" s="116">
        <f>SUM(E5:E13)</f>
        <v>0</v>
      </c>
      <c r="F14" s="106">
        <f>SUM(F6:F13)</f>
        <v>15</v>
      </c>
      <c r="G14" s="163"/>
      <c r="H14" s="170"/>
      <c r="I14" s="171"/>
      <c r="J14" s="216" t="str">
        <f>+'28'!J14</f>
        <v>T 14 VP OW</v>
      </c>
      <c r="K14" s="238"/>
      <c r="L14" s="238"/>
      <c r="M14" s="121">
        <f>+K14+'28'!M14+L14</f>
        <v>88884</v>
      </c>
    </row>
    <row r="15" spans="1:15" ht="13.5" customHeight="1" thickBot="1">
      <c r="A15" s="810" t="s">
        <v>374</v>
      </c>
      <c r="B15" s="510"/>
      <c r="C15" s="117">
        <f>C14/($C$23+$D$23+$E$23)</f>
        <v>0.70810606469730519</v>
      </c>
      <c r="D15" s="118">
        <f>D14/($C$23+$D$23+$E$23)</f>
        <v>1.4041151374412702E-2</v>
      </c>
      <c r="E15" s="119">
        <f>E14/($C$23+$D$23+$E$23)</f>
        <v>0</v>
      </c>
      <c r="F15" s="231"/>
      <c r="G15" s="558" t="s">
        <v>11</v>
      </c>
      <c r="H15" s="559" t="s">
        <v>404</v>
      </c>
      <c r="I15" s="813" t="s">
        <v>637</v>
      </c>
      <c r="J15" s="216" t="str">
        <f>+'28'!J15</f>
        <v>T 15 VP OW</v>
      </c>
      <c r="K15" s="238"/>
      <c r="L15" s="238"/>
      <c r="M15" s="121">
        <f>+K15+'28'!M15+L15</f>
        <v>65211</v>
      </c>
    </row>
    <row r="16" spans="1:15" ht="13.5" thickBot="1">
      <c r="A16" s="816"/>
      <c r="B16" s="512" t="s">
        <v>518</v>
      </c>
      <c r="C16" s="511">
        <v>10490</v>
      </c>
      <c r="D16" s="223">
        <v>520</v>
      </c>
      <c r="E16" s="224"/>
      <c r="F16" s="231"/>
      <c r="G16" s="560" t="s">
        <v>11</v>
      </c>
      <c r="H16" s="559" t="s">
        <v>426</v>
      </c>
      <c r="I16" s="814"/>
      <c r="J16" s="216" t="str">
        <f>+'28'!J16</f>
        <v>T 17 VP OW</v>
      </c>
      <c r="K16" s="229"/>
      <c r="L16" s="229"/>
      <c r="M16" s="121">
        <f>+K16+'28'!M16+L16</f>
        <v>22278</v>
      </c>
    </row>
    <row r="17" spans="1:14" ht="13.5" thickBot="1">
      <c r="A17" s="816"/>
      <c r="B17" s="217" t="s">
        <v>399</v>
      </c>
      <c r="C17" s="218">
        <v>7507</v>
      </c>
      <c r="D17" s="219"/>
      <c r="E17" s="225"/>
      <c r="F17" s="231">
        <v>8</v>
      </c>
      <c r="G17" s="560" t="s">
        <v>11</v>
      </c>
      <c r="H17" s="561" t="s">
        <v>428</v>
      </c>
      <c r="I17" s="814"/>
      <c r="J17" s="216" t="str">
        <f>+'28'!J17</f>
        <v>T 14,5 VP OW</v>
      </c>
      <c r="K17" s="229"/>
      <c r="L17" s="229"/>
      <c r="M17" s="121">
        <f>+K17+'28'!M17+L17</f>
        <v>37152</v>
      </c>
    </row>
    <row r="18" spans="1:14" ht="13.5" thickBot="1">
      <c r="A18" s="816"/>
      <c r="B18" s="217"/>
      <c r="C18" s="218"/>
      <c r="D18" s="219"/>
      <c r="E18" s="225"/>
      <c r="F18" s="231"/>
      <c r="G18" s="558"/>
      <c r="H18" s="561" t="s">
        <v>874</v>
      </c>
      <c r="I18" s="814"/>
      <c r="J18" s="216" t="str">
        <f>+'28'!J18</f>
        <v>T 18 VP OW</v>
      </c>
      <c r="K18" s="238"/>
      <c r="L18" s="238"/>
      <c r="M18" s="121">
        <f>+K18+'28'!M18+L18</f>
        <v>33402</v>
      </c>
    </row>
    <row r="19" spans="1:14" ht="26.25" thickBot="1">
      <c r="A19" s="816"/>
      <c r="B19" s="217"/>
      <c r="C19" s="218"/>
      <c r="D19" s="219"/>
      <c r="E19" s="225"/>
      <c r="F19" s="228"/>
      <c r="G19" s="232"/>
      <c r="H19" s="230" t="s">
        <v>873</v>
      </c>
      <c r="I19" s="814"/>
      <c r="J19" s="216">
        <f>+'28'!J19</f>
        <v>0</v>
      </c>
      <c r="K19" s="238"/>
      <c r="L19" s="238"/>
      <c r="M19" s="121">
        <f>+K19+'28'!M19+L19</f>
        <v>0</v>
      </c>
    </row>
    <row r="20" spans="1:14" ht="13.5" thickBot="1">
      <c r="A20" s="816"/>
      <c r="B20" s="217"/>
      <c r="C20" s="218"/>
      <c r="D20" s="219"/>
      <c r="E20" s="225"/>
      <c r="F20" s="228"/>
      <c r="G20" s="232"/>
      <c r="H20" s="233"/>
      <c r="I20" s="814"/>
      <c r="J20" s="216">
        <f>+'28'!J20</f>
        <v>0</v>
      </c>
      <c r="K20" s="239"/>
      <c r="L20" s="239"/>
      <c r="M20" s="121">
        <f>+K20+'28'!M20+L20</f>
        <v>0</v>
      </c>
    </row>
    <row r="21" spans="1:14" ht="13.5" thickBot="1">
      <c r="A21" s="816"/>
      <c r="B21" s="217"/>
      <c r="C21" s="218"/>
      <c r="D21" s="219"/>
      <c r="E21" s="225"/>
      <c r="F21" s="231"/>
      <c r="G21" s="232"/>
      <c r="H21" s="233"/>
      <c r="I21" s="814"/>
      <c r="J21" s="216">
        <f>+'28'!J21</f>
        <v>0</v>
      </c>
      <c r="K21" s="238"/>
      <c r="L21" s="238"/>
      <c r="M21" s="121">
        <f>+K21+'28'!M21+L21</f>
        <v>0</v>
      </c>
    </row>
    <row r="22" spans="1:14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+'28'!J22</f>
        <v>0</v>
      </c>
      <c r="K22" s="238"/>
      <c r="L22" s="238"/>
      <c r="M22" s="121">
        <f>+K22+'28'!M22+L22</f>
        <v>0</v>
      </c>
    </row>
    <row r="23" spans="1:14" ht="13.5" thickBot="1">
      <c r="A23" s="817"/>
      <c r="B23" s="169" t="s">
        <v>2</v>
      </c>
      <c r="C23" s="103">
        <f>SUM(C16:C22)</f>
        <v>17997</v>
      </c>
      <c r="D23" s="115">
        <f>SUM(D16:D22)</f>
        <v>520</v>
      </c>
      <c r="E23" s="116">
        <f>SUM(E18:E22)</f>
        <v>0</v>
      </c>
      <c r="F23" s="106">
        <f>SUM(F15:F22)</f>
        <v>8</v>
      </c>
      <c r="G23" s="163"/>
      <c r="H23" s="170"/>
      <c r="I23" s="172"/>
      <c r="J23" s="216">
        <f>+'28'!J23</f>
        <v>0</v>
      </c>
      <c r="K23" s="238"/>
      <c r="L23" s="238"/>
      <c r="M23" s="121">
        <f>+K23+'28'!M23+L23</f>
        <v>0</v>
      </c>
    </row>
    <row r="24" spans="1:14" ht="13.5" customHeight="1" thickBot="1">
      <c r="A24" s="810" t="s">
        <v>573</v>
      </c>
      <c r="B24" s="510"/>
      <c r="C24" s="117">
        <f>C23/($C$23+$D$23+$E$23)</f>
        <v>0.97191769725117461</v>
      </c>
      <c r="D24" s="118">
        <f>D23/($C$23+$D$23+$E$23)</f>
        <v>2.8082302748825404E-2</v>
      </c>
      <c r="E24" s="119">
        <f>E23/($C$23+$D$23+$E$23)</f>
        <v>0</v>
      </c>
      <c r="F24" s="231">
        <v>10</v>
      </c>
      <c r="G24" s="558" t="s">
        <v>11</v>
      </c>
      <c r="H24" s="559" t="s">
        <v>456</v>
      </c>
      <c r="I24" s="813" t="s">
        <v>637</v>
      </c>
      <c r="J24" s="216">
        <f>+'28'!J24</f>
        <v>0</v>
      </c>
      <c r="K24" s="238"/>
      <c r="L24" s="238"/>
      <c r="M24" s="121">
        <f>+K24+'28'!M24+L24</f>
        <v>0</v>
      </c>
    </row>
    <row r="25" spans="1:14" ht="13.5" customHeight="1" thickBot="1">
      <c r="A25" s="818"/>
      <c r="B25" s="217" t="s">
        <v>518</v>
      </c>
      <c r="C25" s="226">
        <v>8540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+'28'!J25</f>
        <v>0</v>
      </c>
      <c r="K25" s="238"/>
      <c r="L25" s="238"/>
      <c r="M25" s="121">
        <f>+K25+'28'!M25+L25</f>
        <v>0</v>
      </c>
    </row>
    <row r="26" spans="1:14" ht="13.5" customHeight="1" thickBot="1">
      <c r="A26" s="818"/>
      <c r="B26" s="217" t="s">
        <v>399</v>
      </c>
      <c r="C26" s="226">
        <v>3425</v>
      </c>
      <c r="D26" s="219"/>
      <c r="E26" s="227"/>
      <c r="F26" s="231">
        <v>8</v>
      </c>
      <c r="G26" s="560" t="s">
        <v>11</v>
      </c>
      <c r="H26" s="561" t="s">
        <v>455</v>
      </c>
      <c r="I26" s="814"/>
      <c r="J26" s="216">
        <f>+'28'!J26</f>
        <v>0</v>
      </c>
      <c r="K26" s="238"/>
      <c r="L26" s="238"/>
      <c r="M26" s="121">
        <f>+K26+'28'!M26+L26</f>
        <v>0</v>
      </c>
    </row>
    <row r="27" spans="1:14" ht="13.5" customHeight="1" thickBot="1">
      <c r="A27" s="818"/>
      <c r="B27" s="217"/>
      <c r="C27" s="218"/>
      <c r="D27" s="219"/>
      <c r="E27" s="225"/>
      <c r="F27" s="231"/>
      <c r="G27" s="558"/>
      <c r="H27" s="561" t="s">
        <v>874</v>
      </c>
      <c r="I27" s="814"/>
      <c r="J27" s="216">
        <f>+'28'!J27</f>
        <v>0</v>
      </c>
      <c r="K27" s="238"/>
      <c r="L27" s="238"/>
      <c r="M27" s="121">
        <f>+K27+'28'!M27+L27</f>
        <v>0</v>
      </c>
    </row>
    <row r="28" spans="1:14" ht="13.5" thickBot="1">
      <c r="A28" s="818"/>
      <c r="B28" s="217"/>
      <c r="C28" s="218"/>
      <c r="D28" s="219"/>
      <c r="E28" s="225"/>
      <c r="F28" s="228"/>
      <c r="G28" s="232"/>
      <c r="H28" s="230" t="s">
        <v>875</v>
      </c>
      <c r="I28" s="814"/>
      <c r="J28" s="216">
        <f>+'28'!J28</f>
        <v>0</v>
      </c>
      <c r="K28" s="238"/>
      <c r="L28" s="238"/>
      <c r="M28" s="121">
        <f>+K28+'28'!M28+L28</f>
        <v>0</v>
      </c>
    </row>
    <row r="29" spans="1:14" ht="13.5" customHeight="1" thickBot="1">
      <c r="A29" s="818"/>
      <c r="B29" s="217"/>
      <c r="C29" s="218"/>
      <c r="D29" s="219"/>
      <c r="E29" s="225"/>
      <c r="F29" s="235"/>
      <c r="G29" s="232"/>
      <c r="H29" s="233" t="s">
        <v>876</v>
      </c>
      <c r="I29" s="814"/>
      <c r="J29" s="216">
        <f>+'28'!J29</f>
        <v>0</v>
      </c>
      <c r="K29" s="238"/>
      <c r="L29" s="238"/>
      <c r="M29" s="121">
        <f>+K29+'28'!M29+L29</f>
        <v>0</v>
      </c>
    </row>
    <row r="30" spans="1:14" ht="13.5" customHeight="1" thickBot="1">
      <c r="A30" s="818"/>
      <c r="B30" s="217"/>
      <c r="C30" s="226"/>
      <c r="D30" s="219"/>
      <c r="E30" s="225"/>
      <c r="F30" s="235"/>
      <c r="G30" s="232"/>
      <c r="H30" s="233" t="s">
        <v>877</v>
      </c>
      <c r="I30" s="814"/>
      <c r="J30" s="216">
        <f>+'28'!J30</f>
        <v>0</v>
      </c>
      <c r="K30" s="238"/>
      <c r="L30" s="238"/>
      <c r="M30" s="121">
        <f>+K30+'28'!M30+L30</f>
        <v>0</v>
      </c>
      <c r="N30" s="159"/>
    </row>
    <row r="31" spans="1:14" ht="13.5" customHeight="1" thickBot="1">
      <c r="A31" s="818"/>
      <c r="B31" s="217"/>
      <c r="C31" s="226"/>
      <c r="D31" s="219"/>
      <c r="E31" s="225"/>
      <c r="F31" s="235"/>
      <c r="G31" s="236"/>
      <c r="H31" s="439" t="s">
        <v>878</v>
      </c>
      <c r="I31" s="815"/>
      <c r="J31" s="216">
        <f>+'28'!J31</f>
        <v>0</v>
      </c>
      <c r="K31" s="238"/>
      <c r="L31" s="238"/>
      <c r="M31" s="121">
        <f>+K31+'28'!M31+L31</f>
        <v>0</v>
      </c>
    </row>
    <row r="32" spans="1:14" ht="13.5" customHeight="1" thickBot="1">
      <c r="A32" s="819"/>
      <c r="B32" s="169" t="s">
        <v>2</v>
      </c>
      <c r="C32" s="103">
        <f>SUM(C25:C31)</f>
        <v>11965</v>
      </c>
      <c r="D32" s="104">
        <f>SUM(D25:D31)</f>
        <v>0</v>
      </c>
      <c r="E32" s="105">
        <f>SUM(E25:E31)</f>
        <v>0</v>
      </c>
      <c r="F32" s="103">
        <f>SUM(F24:F31)</f>
        <v>18</v>
      </c>
      <c r="G32" s="173"/>
      <c r="H32" s="174"/>
      <c r="I32" s="172"/>
      <c r="J32" s="216">
        <f>+'28'!J32</f>
        <v>0</v>
      </c>
      <c r="K32" s="240"/>
      <c r="L32" s="242"/>
      <c r="M32" s="121">
        <f>+K32+'28'!M32+L32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43074</v>
      </c>
      <c r="D34" s="111">
        <f>D14+D23+D32</f>
        <v>780</v>
      </c>
      <c r="E34" s="111">
        <f>E14+E23+E32</f>
        <v>0</v>
      </c>
      <c r="F34" s="112">
        <f>F14+F23+F32</f>
        <v>41</v>
      </c>
      <c r="H34" s="180"/>
      <c r="I34" s="180"/>
      <c r="J34" s="127" t="s">
        <v>27</v>
      </c>
      <c r="K34" s="128">
        <f>SUM(K7:K32)</f>
        <v>43074</v>
      </c>
      <c r="L34" s="214">
        <f>SUM(L7:L32)</f>
        <v>0</v>
      </c>
      <c r="M34" s="124">
        <f>SUM(M7:M32)</f>
        <v>1303194</v>
      </c>
      <c r="N34" s="159"/>
    </row>
    <row r="35" spans="1:14" ht="13.5" thickBot="1">
      <c r="A35" s="181"/>
      <c r="B35" s="182"/>
      <c r="C35" s="108">
        <f>C34/($C$34+$D$34+$E$34)</f>
        <v>0.98221370912573536</v>
      </c>
      <c r="D35" s="108">
        <f>D34/($C$34+$D$34+$E$34)</f>
        <v>1.7786290874264605E-2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(12*1440)/1440*G42*2.85*1440/1000000</f>
        <v>51.277017600000008</v>
      </c>
      <c r="J37" s="129">
        <f>+I37+'28'!J37</f>
        <v>1546.4111046444696</v>
      </c>
      <c r="K37" s="130" t="s">
        <v>74</v>
      </c>
      <c r="N37" s="153">
        <f>16.471</f>
        <v>16.471</v>
      </c>
    </row>
    <row r="38" spans="1:14" ht="17.45" customHeight="1">
      <c r="A38" s="824" t="s">
        <v>11</v>
      </c>
      <c r="B38" s="825"/>
      <c r="C38" s="168">
        <f>SUMIF($G$7:$G$31,"Process",$F$7:$F$31)</f>
        <v>41</v>
      </c>
      <c r="D38" s="122">
        <f>+C38+'28'!D38</f>
        <v>1466</v>
      </c>
      <c r="E38" s="147">
        <f t="shared" ref="E38:E51" si="0">D38/60</f>
        <v>24.433333333333334</v>
      </c>
      <c r="F38" s="334">
        <v>1310</v>
      </c>
      <c r="G38" s="334">
        <f>+F38-F38*0.24</f>
        <v>995.6</v>
      </c>
      <c r="H38" s="189" t="s">
        <v>75</v>
      </c>
      <c r="I38" s="513">
        <v>47.158999999999999</v>
      </c>
      <c r="J38" s="131">
        <f>+I38+'28'!J38</f>
        <v>1413.829</v>
      </c>
      <c r="K38" s="132" t="s">
        <v>74</v>
      </c>
      <c r="N38" s="153">
        <f>15.49+15.198</f>
        <v>30.688000000000002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+C39+'28'!D39</f>
        <v>0</v>
      </c>
      <c r="E39" s="147">
        <f t="shared" si="0"/>
        <v>0</v>
      </c>
      <c r="F39" s="334">
        <v>1400</v>
      </c>
      <c r="G39" s="334">
        <f>+F39-F39*0.24</f>
        <v>1064</v>
      </c>
      <c r="H39" s="189" t="s">
        <v>76</v>
      </c>
      <c r="I39" s="146"/>
      <c r="J39" s="133">
        <f>J37/G4</f>
        <v>53.324520849809296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+C40+'28'!D40</f>
        <v>101</v>
      </c>
      <c r="E40" s="147">
        <f t="shared" ca="1" si="0"/>
        <v>1.6833333333333333</v>
      </c>
      <c r="F40" s="334">
        <v>1400</v>
      </c>
      <c r="G40" s="334">
        <f>+F40-F40*0.24</f>
        <v>1064</v>
      </c>
      <c r="H40" s="189" t="s">
        <v>78</v>
      </c>
      <c r="I40" s="122">
        <f>(K34+L34)/1000</f>
        <v>43.073999999999998</v>
      </c>
      <c r="J40" s="135">
        <f>+I40+'28'!J40</f>
        <v>1303.194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+C41+'28'!D41</f>
        <v>50</v>
      </c>
      <c r="E41" s="147">
        <f t="shared" ca="1" si="0"/>
        <v>0.83333333333333337</v>
      </c>
      <c r="F41" s="334"/>
      <c r="G41" s="334"/>
      <c r="H41" s="189" t="s">
        <v>80</v>
      </c>
      <c r="I41" s="146"/>
      <c r="J41" s="133">
        <f>J40/G4</f>
        <v>44.937724137931035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+C42+'28'!D42</f>
        <v>0</v>
      </c>
      <c r="E42" s="147">
        <f t="shared" ca="1" si="0"/>
        <v>0</v>
      </c>
      <c r="F42" s="334">
        <f>+(F38*480+F39*480+F40*480)/1440</f>
        <v>1370</v>
      </c>
      <c r="G42" s="334">
        <f>+(G38*480+G39*480+G40*480)/1440</f>
        <v>1041.2</v>
      </c>
      <c r="H42" s="189" t="s">
        <v>81</v>
      </c>
      <c r="I42" s="245" t="s">
        <v>519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+C43+'28'!D43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+Report1!Z37</f>
        <v>136.19999999999999</v>
      </c>
      <c r="J43" s="137">
        <f>+I43+'28'!J43</f>
        <v>3663.5999999999995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+C44+'28'!D44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2.8881019529676202</v>
      </c>
      <c r="J44" s="138">
        <f>J43/J38</f>
        <v>2.5912610365185604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+C45+'28'!D45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3.1620002785903329</v>
      </c>
      <c r="J45" s="138">
        <f>J43/J40</f>
        <v>2.8112468289448844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+C46+'28'!D46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+SUMIF(Listrik!AN36,"&gt;0")</f>
        <v>49073.740000000544</v>
      </c>
      <c r="J46" s="139">
        <f>+I46+'28'!J46</f>
        <v>1404288.5475999999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+C47+'28'!D47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1040.6017939311805</v>
      </c>
      <c r="J47" s="139">
        <f>J46/J38</f>
        <v>993.25204646389341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+C48+'28'!D48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1139.2891303338567</v>
      </c>
      <c r="J48" s="139">
        <f>J46/J40</f>
        <v>1077.5744421782174</v>
      </c>
      <c r="K48" s="134" t="s">
        <v>23</v>
      </c>
    </row>
    <row r="49" spans="1:11" ht="17.45" customHeight="1">
      <c r="A49" s="830" t="s">
        <v>19</v>
      </c>
      <c r="B49" s="809"/>
      <c r="C49" s="168">
        <f>SUMIF($G$7:$G$31,"Others",$F$7:$F$31)</f>
        <v>0</v>
      </c>
      <c r="D49" s="122">
        <f>+C49+'28'!D49</f>
        <v>717</v>
      </c>
      <c r="E49" s="147">
        <f t="shared" si="0"/>
        <v>11.95</v>
      </c>
      <c r="F49" s="187"/>
      <c r="H49" s="190" t="s">
        <v>93</v>
      </c>
      <c r="I49" s="122">
        <v>0</v>
      </c>
      <c r="J49" s="139">
        <f>+I49+'28'!J49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+C50+'28'!D50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+C51+'28'!D51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41</v>
      </c>
      <c r="D52" s="148">
        <f ca="1">SUM(D38:D51)</f>
        <v>2334</v>
      </c>
      <c r="E52" s="149">
        <f ca="1">SUM(E38:E51)</f>
        <v>38.9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2.8472222222222222E-2</v>
      </c>
      <c r="D53" s="150">
        <f ca="1">D52/(24*60*G4)</f>
        <v>5.5890804597701148E-2</v>
      </c>
      <c r="E53" s="151">
        <f ca="1">E52/(G4*24)</f>
        <v>5.5890804597701148E-2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+D34+'28'!J56</f>
        <v>23525</v>
      </c>
      <c r="K56" s="203">
        <f>J56/(J40+J56/1000)/1000</f>
        <v>1.7731712593246952E-2</v>
      </c>
    </row>
    <row r="57" spans="1:11">
      <c r="A57" s="178"/>
      <c r="I57" s="201" t="s">
        <v>100</v>
      </c>
      <c r="J57" s="202">
        <f>+E34+'28'!J57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6" firstPageNumber="4294963191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13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5.4257812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28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356+392+354</f>
        <v>1102</v>
      </c>
    </row>
    <row r="7" spans="1:18" ht="13.5" customHeight="1" thickBot="1">
      <c r="A7" s="810" t="s">
        <v>415</v>
      </c>
      <c r="B7" s="217" t="s">
        <v>518</v>
      </c>
      <c r="C7" s="218">
        <v>15413</v>
      </c>
      <c r="D7" s="219"/>
      <c r="E7" s="220"/>
      <c r="F7" s="231">
        <v>5</v>
      </c>
      <c r="G7" s="558" t="s">
        <v>11</v>
      </c>
      <c r="H7" s="559" t="s">
        <v>522</v>
      </c>
      <c r="I7" s="813" t="s">
        <v>637</v>
      </c>
      <c r="J7" s="216" t="str">
        <f>+'27'!J7</f>
        <v>T 12,5 VP OW</v>
      </c>
      <c r="K7" s="237"/>
      <c r="L7" s="241"/>
      <c r="M7" s="121">
        <f>+K7+'27'!M7+L7</f>
        <v>66326</v>
      </c>
    </row>
    <row r="8" spans="1:18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+'27'!J8</f>
        <v>F 12.5 VP OW</v>
      </c>
      <c r="K8" s="238"/>
      <c r="L8" s="238"/>
      <c r="M8" s="121">
        <f>+K8+'27'!M8+L8</f>
        <v>111865</v>
      </c>
      <c r="N8" s="178">
        <v>1400</v>
      </c>
      <c r="O8" s="178">
        <f>+N8-N8*0.24</f>
        <v>1064</v>
      </c>
      <c r="P8" s="153">
        <v>480</v>
      </c>
      <c r="Q8" s="153">
        <f>+N8*P8</f>
        <v>672000</v>
      </c>
      <c r="R8" s="153">
        <f>+O8*P8</f>
        <v>510720</v>
      </c>
    </row>
    <row r="9" spans="1:18" ht="13.5" thickBot="1">
      <c r="A9" s="811"/>
      <c r="B9" s="217"/>
      <c r="C9" s="218"/>
      <c r="D9" s="219"/>
      <c r="E9" s="222"/>
      <c r="F9" s="231">
        <v>12</v>
      </c>
      <c r="G9" s="560" t="s">
        <v>11</v>
      </c>
      <c r="H9" s="561" t="s">
        <v>454</v>
      </c>
      <c r="I9" s="814"/>
      <c r="J9" s="216" t="str">
        <f>+'27'!J9</f>
        <v>F 13 VP OW</v>
      </c>
      <c r="K9" s="238">
        <f>+C26</f>
        <v>2164</v>
      </c>
      <c r="L9" s="238"/>
      <c r="M9" s="121">
        <f>+K9+'27'!M9+L9</f>
        <v>102178</v>
      </c>
      <c r="N9" s="178">
        <v>1400</v>
      </c>
      <c r="O9" s="178">
        <f>+N9-N9*0.24</f>
        <v>1064</v>
      </c>
      <c r="P9" s="178">
        <v>480</v>
      </c>
      <c r="Q9" s="153">
        <f>+N9*P9</f>
        <v>672000</v>
      </c>
      <c r="R9" s="153">
        <f>+O9*P9</f>
        <v>510720</v>
      </c>
    </row>
    <row r="10" spans="1:18" ht="13.5" thickBot="1">
      <c r="A10" s="811"/>
      <c r="B10" s="217"/>
      <c r="C10" s="218"/>
      <c r="D10" s="219"/>
      <c r="E10" s="221"/>
      <c r="F10" s="231"/>
      <c r="G10" s="558"/>
      <c r="H10" s="561" t="s">
        <v>850</v>
      </c>
      <c r="I10" s="814"/>
      <c r="J10" s="216" t="str">
        <f>+'27'!J10</f>
        <v>T 12 VP OW</v>
      </c>
      <c r="K10" s="238"/>
      <c r="L10" s="238"/>
      <c r="M10" s="121">
        <f>+K10+'27'!M10+L10</f>
        <v>23281</v>
      </c>
      <c r="P10" s="153">
        <f>SUM(P8:P9)</f>
        <v>960</v>
      </c>
      <c r="Q10" s="153">
        <f t="shared" ref="Q10" si="0">SUM(Q8:Q9)</f>
        <v>1344000</v>
      </c>
      <c r="R10" s="153">
        <f t="shared" ref="R10" si="1">SUM(R8:R9)</f>
        <v>1021440</v>
      </c>
    </row>
    <row r="11" spans="1:18" ht="39" thickBot="1">
      <c r="A11" s="811"/>
      <c r="B11" s="217"/>
      <c r="C11" s="218"/>
      <c r="D11" s="219"/>
      <c r="E11" s="221"/>
      <c r="F11" s="481"/>
      <c r="G11" s="482"/>
      <c r="H11" s="230" t="s">
        <v>855</v>
      </c>
      <c r="I11" s="814"/>
      <c r="J11" s="216" t="str">
        <f>+'27'!J11</f>
        <v>T 13,5 VP OW</v>
      </c>
      <c r="K11" s="238"/>
      <c r="L11" s="238"/>
      <c r="M11" s="121">
        <f>+K11+'27'!M11+L11</f>
        <v>15672</v>
      </c>
      <c r="Q11" s="153">
        <f>+Q10/P10</f>
        <v>1400</v>
      </c>
      <c r="R11" s="153">
        <f>+R10/P10</f>
        <v>1064</v>
      </c>
    </row>
    <row r="12" spans="1:18" ht="26.25" thickBot="1">
      <c r="A12" s="811"/>
      <c r="B12" s="217"/>
      <c r="C12" s="218"/>
      <c r="D12" s="219"/>
      <c r="E12" s="221"/>
      <c r="F12" s="228"/>
      <c r="G12" s="232"/>
      <c r="H12" s="233" t="s">
        <v>856</v>
      </c>
      <c r="I12" s="814"/>
      <c r="J12" s="216" t="str">
        <f>+'27'!J12</f>
        <v>F 12 VP OW</v>
      </c>
      <c r="K12" s="238">
        <f>+C7+C16+C25</f>
        <v>37710</v>
      </c>
      <c r="L12" s="238"/>
      <c r="M12" s="121">
        <f>+K12+'27'!M12+L12</f>
        <v>305945</v>
      </c>
    </row>
    <row r="13" spans="1:18" ht="26.25" thickBot="1">
      <c r="A13" s="811"/>
      <c r="B13" s="217"/>
      <c r="C13" s="218"/>
      <c r="D13" s="218"/>
      <c r="E13" s="221"/>
      <c r="F13" s="228"/>
      <c r="G13" s="232"/>
      <c r="H13" s="233" t="s">
        <v>857</v>
      </c>
      <c r="I13" s="815"/>
      <c r="J13" s="216" t="str">
        <f>+'27'!J13</f>
        <v>T 12,5 VP OW</v>
      </c>
      <c r="K13" s="238">
        <f>+C17</f>
        <v>596</v>
      </c>
      <c r="L13" s="238"/>
      <c r="M13" s="121">
        <f>+K13+'27'!M13+L13</f>
        <v>387926</v>
      </c>
    </row>
    <row r="14" spans="1:18" ht="13.5" thickBot="1">
      <c r="A14" s="812"/>
      <c r="B14" s="169" t="s">
        <v>2</v>
      </c>
      <c r="C14" s="103">
        <f>SUM(C7:C13)</f>
        <v>15413</v>
      </c>
      <c r="D14" s="115">
        <f>SUM(D7:D13)</f>
        <v>0</v>
      </c>
      <c r="E14" s="116">
        <f>SUM(E5:E13)</f>
        <v>0</v>
      </c>
      <c r="F14" s="106">
        <f>SUM(F6:F13)</f>
        <v>17</v>
      </c>
      <c r="G14" s="163"/>
      <c r="H14" s="170"/>
      <c r="I14" s="171"/>
      <c r="J14" s="216" t="str">
        <f>+'27'!J14</f>
        <v>T 14 VP OW</v>
      </c>
      <c r="K14" s="238"/>
      <c r="L14" s="238"/>
      <c r="M14" s="121">
        <f>+K14+'27'!M14+L14</f>
        <v>88884</v>
      </c>
    </row>
    <row r="15" spans="1:18" ht="13.5" customHeight="1" thickBot="1">
      <c r="A15" s="810" t="s">
        <v>374</v>
      </c>
      <c r="B15" s="510"/>
      <c r="C15" s="117">
        <f>C14/($C$23+$D$23+$E$23)</f>
        <v>1.0730297967140072</v>
      </c>
      <c r="D15" s="118">
        <f>D14/($C$23+$D$23+$E$23)</f>
        <v>0</v>
      </c>
      <c r="E15" s="119">
        <f>E14/($C$23+$D$23+$E$23)</f>
        <v>0</v>
      </c>
      <c r="F15" s="231">
        <v>10</v>
      </c>
      <c r="G15" s="558" t="s">
        <v>11</v>
      </c>
      <c r="H15" s="559" t="s">
        <v>456</v>
      </c>
      <c r="I15" s="813" t="s">
        <v>637</v>
      </c>
      <c r="J15" s="216" t="str">
        <f>+'27'!J15</f>
        <v>T 15 VP OW</v>
      </c>
      <c r="K15" s="238"/>
      <c r="L15" s="238"/>
      <c r="M15" s="121">
        <f>+K15+'27'!M15+L15</f>
        <v>65211</v>
      </c>
    </row>
    <row r="16" spans="1:18" ht="13.5" thickBot="1">
      <c r="A16" s="816"/>
      <c r="B16" s="512" t="s">
        <v>518</v>
      </c>
      <c r="C16" s="511">
        <f>8900+4868</f>
        <v>13768</v>
      </c>
      <c r="D16" s="223"/>
      <c r="E16" s="224"/>
      <c r="F16" s="231"/>
      <c r="G16" s="560" t="s">
        <v>11</v>
      </c>
      <c r="H16" s="559" t="s">
        <v>426</v>
      </c>
      <c r="I16" s="814"/>
      <c r="J16" s="216" t="str">
        <f>+'27'!J16</f>
        <v>T 17 VP OW</v>
      </c>
      <c r="K16" s="229"/>
      <c r="L16" s="229"/>
      <c r="M16" s="121">
        <f>+K16+'27'!M16+L16</f>
        <v>22278</v>
      </c>
    </row>
    <row r="17" spans="1:18" ht="13.5" thickBot="1">
      <c r="A17" s="816"/>
      <c r="B17" s="217" t="s">
        <v>431</v>
      </c>
      <c r="C17" s="218">
        <v>596</v>
      </c>
      <c r="D17" s="219"/>
      <c r="E17" s="225"/>
      <c r="F17" s="231">
        <v>9</v>
      </c>
      <c r="G17" s="560" t="s">
        <v>11</v>
      </c>
      <c r="H17" s="561" t="s">
        <v>455</v>
      </c>
      <c r="I17" s="814"/>
      <c r="J17" s="216" t="str">
        <f>+'27'!J17</f>
        <v>T 14,5 VP OW</v>
      </c>
      <c r="K17" s="229"/>
      <c r="L17" s="229"/>
      <c r="M17" s="121">
        <f>+K17+'27'!M17+L17</f>
        <v>37152</v>
      </c>
    </row>
    <row r="18" spans="1:18" ht="13.5" thickBot="1">
      <c r="A18" s="816"/>
      <c r="B18" s="217"/>
      <c r="C18" s="218"/>
      <c r="D18" s="219"/>
      <c r="E18" s="225"/>
      <c r="F18" s="231"/>
      <c r="G18" s="558"/>
      <c r="H18" s="561" t="s">
        <v>858</v>
      </c>
      <c r="I18" s="814"/>
      <c r="J18" s="216" t="str">
        <f>+'27'!J18</f>
        <v>T 18 VP OW</v>
      </c>
      <c r="K18" s="238"/>
      <c r="L18" s="238"/>
      <c r="M18" s="121">
        <f>+K18+'27'!M18+L18</f>
        <v>33402</v>
      </c>
      <c r="P18" s="178"/>
    </row>
    <row r="19" spans="1:18" ht="26.25" thickBot="1">
      <c r="A19" s="816"/>
      <c r="B19" s="217"/>
      <c r="C19" s="218"/>
      <c r="D19" s="219"/>
      <c r="E19" s="225"/>
      <c r="F19" s="228"/>
      <c r="G19" s="232"/>
      <c r="H19" s="230" t="s">
        <v>859</v>
      </c>
      <c r="I19" s="814"/>
      <c r="J19" s="216">
        <f>+'27'!J19</f>
        <v>0</v>
      </c>
      <c r="K19" s="238"/>
      <c r="L19" s="238"/>
      <c r="M19" s="121">
        <f>+K19+'27'!M19+L19</f>
        <v>0</v>
      </c>
      <c r="Q19" s="178"/>
      <c r="R19" s="178"/>
    </row>
    <row r="20" spans="1:18" ht="26.25" thickBot="1">
      <c r="A20" s="816"/>
      <c r="B20" s="217"/>
      <c r="C20" s="218"/>
      <c r="D20" s="219"/>
      <c r="E20" s="225"/>
      <c r="F20" s="228"/>
      <c r="G20" s="232"/>
      <c r="H20" s="233" t="s">
        <v>860</v>
      </c>
      <c r="I20" s="814"/>
      <c r="J20" s="216">
        <f>+'27'!J20</f>
        <v>0</v>
      </c>
      <c r="K20" s="239"/>
      <c r="L20" s="239"/>
      <c r="M20" s="121">
        <f>+K20+'27'!M20+L20</f>
        <v>0</v>
      </c>
    </row>
    <row r="21" spans="1:18" ht="26.25" thickBot="1">
      <c r="A21" s="816"/>
      <c r="B21" s="217"/>
      <c r="C21" s="218"/>
      <c r="D21" s="219"/>
      <c r="E21" s="225"/>
      <c r="F21" s="231"/>
      <c r="G21" s="232"/>
      <c r="H21" s="233" t="s">
        <v>861</v>
      </c>
      <c r="I21" s="814"/>
      <c r="J21" s="216">
        <f>+'27'!J21</f>
        <v>0</v>
      </c>
      <c r="K21" s="238"/>
      <c r="L21" s="238"/>
      <c r="M21" s="121">
        <f>+K21+'27'!M21+L21</f>
        <v>0</v>
      </c>
    </row>
    <row r="22" spans="1:18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+'27'!J22</f>
        <v>0</v>
      </c>
      <c r="K22" s="238"/>
      <c r="L22" s="238"/>
      <c r="M22" s="121">
        <f>+K22+'27'!M22+L22</f>
        <v>0</v>
      </c>
    </row>
    <row r="23" spans="1:18" ht="13.5" thickBot="1">
      <c r="A23" s="817"/>
      <c r="B23" s="169" t="s">
        <v>2</v>
      </c>
      <c r="C23" s="103">
        <f>SUM(C16:C22)</f>
        <v>14364</v>
      </c>
      <c r="D23" s="115">
        <f>SUM(D16:D22)</f>
        <v>0</v>
      </c>
      <c r="E23" s="116">
        <f>SUM(E18:E22)</f>
        <v>0</v>
      </c>
      <c r="F23" s="106">
        <f>SUM(F15:F22)</f>
        <v>19</v>
      </c>
      <c r="G23" s="163"/>
      <c r="H23" s="170"/>
      <c r="I23" s="172"/>
      <c r="J23" s="216">
        <f>+'27'!J23</f>
        <v>0</v>
      </c>
      <c r="K23" s="238"/>
      <c r="L23" s="238"/>
      <c r="M23" s="121">
        <f>+K23+'27'!M23+L23</f>
        <v>0</v>
      </c>
    </row>
    <row r="24" spans="1:18" ht="13.5" customHeight="1" thickBot="1">
      <c r="A24" s="810" t="s">
        <v>573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10</v>
      </c>
      <c r="G24" s="558" t="s">
        <v>11</v>
      </c>
      <c r="H24" s="559" t="s">
        <v>456</v>
      </c>
      <c r="I24" s="813" t="s">
        <v>866</v>
      </c>
      <c r="J24" s="216">
        <f>+'27'!J24</f>
        <v>0</v>
      </c>
      <c r="K24" s="238"/>
      <c r="L24" s="238"/>
      <c r="M24" s="121">
        <f>+K24+'27'!M24+L24</f>
        <v>0</v>
      </c>
    </row>
    <row r="25" spans="1:18" ht="13.5" customHeight="1" thickBot="1">
      <c r="A25" s="818"/>
      <c r="B25" s="217" t="s">
        <v>518</v>
      </c>
      <c r="C25" s="226">
        <f>4331+4198</f>
        <v>8529</v>
      </c>
      <c r="D25" s="219">
        <v>260</v>
      </c>
      <c r="E25" s="225"/>
      <c r="F25" s="231"/>
      <c r="G25" s="560" t="s">
        <v>11</v>
      </c>
      <c r="H25" s="559" t="s">
        <v>426</v>
      </c>
      <c r="I25" s="814"/>
      <c r="J25" s="216">
        <f>+'27'!J25</f>
        <v>0</v>
      </c>
      <c r="K25" s="238"/>
      <c r="L25" s="238"/>
      <c r="M25" s="121">
        <f>+K25+'27'!M25+L25</f>
        <v>0</v>
      </c>
      <c r="N25" s="153">
        <v>1400</v>
      </c>
      <c r="O25" s="178">
        <f t="shared" ref="O25:O26" si="2">+N25-N25*0.24</f>
        <v>1064</v>
      </c>
      <c r="P25" s="153">
        <f>240+10</f>
        <v>250</v>
      </c>
      <c r="Q25" s="153">
        <f>+N25*P25</f>
        <v>350000</v>
      </c>
      <c r="R25" s="153">
        <f>+O25*P25</f>
        <v>266000</v>
      </c>
    </row>
    <row r="26" spans="1:18" ht="13.5" customHeight="1" thickBot="1">
      <c r="A26" s="818"/>
      <c r="B26" s="217" t="s">
        <v>399</v>
      </c>
      <c r="C26" s="226">
        <v>2164</v>
      </c>
      <c r="D26" s="219"/>
      <c r="E26" s="227"/>
      <c r="F26" s="231">
        <v>9</v>
      </c>
      <c r="G26" s="560" t="s">
        <v>11</v>
      </c>
      <c r="H26" s="561" t="s">
        <v>455</v>
      </c>
      <c r="I26" s="814"/>
      <c r="J26" s="216">
        <f>+'27'!J26</f>
        <v>0</v>
      </c>
      <c r="K26" s="238"/>
      <c r="L26" s="238"/>
      <c r="M26" s="121">
        <f>+K26+'27'!M26+L26</f>
        <v>0</v>
      </c>
      <c r="N26" s="178">
        <v>1310</v>
      </c>
      <c r="O26" s="178">
        <f t="shared" si="2"/>
        <v>995.6</v>
      </c>
      <c r="P26" s="178">
        <v>230</v>
      </c>
      <c r="Q26" s="153">
        <f>+N26*P26</f>
        <v>301300</v>
      </c>
      <c r="R26" s="153">
        <f>+O26*P26</f>
        <v>228988</v>
      </c>
    </row>
    <row r="27" spans="1:18" ht="13.5" customHeight="1" thickBot="1">
      <c r="A27" s="818"/>
      <c r="B27" s="217" t="s">
        <v>431</v>
      </c>
      <c r="C27" s="218"/>
      <c r="D27" s="219">
        <v>590</v>
      </c>
      <c r="E27" s="225"/>
      <c r="F27" s="231"/>
      <c r="G27" s="558"/>
      <c r="H27" s="561" t="s">
        <v>858</v>
      </c>
      <c r="I27" s="814"/>
      <c r="J27" s="216">
        <f>+'27'!J27</f>
        <v>0</v>
      </c>
      <c r="K27" s="238"/>
      <c r="L27" s="238"/>
      <c r="M27" s="121">
        <f>+K27+'27'!M27+L27</f>
        <v>0</v>
      </c>
      <c r="P27" s="153">
        <f>SUM(P25:P26)</f>
        <v>480</v>
      </c>
      <c r="Q27" s="153">
        <f t="shared" ref="Q27:R27" si="3">SUM(Q25:Q26)</f>
        <v>651300</v>
      </c>
      <c r="R27" s="153">
        <f t="shared" si="3"/>
        <v>494988</v>
      </c>
    </row>
    <row r="28" spans="1:18" ht="13.5" thickBot="1">
      <c r="A28" s="818"/>
      <c r="B28" s="217"/>
      <c r="C28" s="218"/>
      <c r="D28" s="219"/>
      <c r="E28" s="225"/>
      <c r="F28" s="228"/>
      <c r="G28" s="232"/>
      <c r="H28" s="230" t="s">
        <v>863</v>
      </c>
      <c r="I28" s="814"/>
      <c r="J28" s="216">
        <f>+'27'!J28</f>
        <v>0</v>
      </c>
      <c r="K28" s="238"/>
      <c r="L28" s="238"/>
      <c r="M28" s="121">
        <f>+K28+'27'!M28+L28</f>
        <v>0</v>
      </c>
      <c r="Q28" s="153">
        <f>+Q27/P27</f>
        <v>1356.875</v>
      </c>
      <c r="R28" s="153">
        <f>+R27/P27</f>
        <v>1031.2249999999999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 t="s">
        <v>864</v>
      </c>
      <c r="I29" s="814"/>
      <c r="J29" s="216">
        <f>+'27'!J29</f>
        <v>0</v>
      </c>
      <c r="K29" s="238"/>
      <c r="L29" s="238"/>
      <c r="M29" s="121">
        <f>+K29+'27'!M29+L29</f>
        <v>0</v>
      </c>
    </row>
    <row r="30" spans="1:18" ht="13.5" customHeight="1" thickBot="1">
      <c r="A30" s="818"/>
      <c r="B30" s="217"/>
      <c r="C30" s="226"/>
      <c r="D30" s="219"/>
      <c r="E30" s="225"/>
      <c r="F30" s="235"/>
      <c r="G30" s="232"/>
      <c r="H30" s="233" t="s">
        <v>862</v>
      </c>
      <c r="I30" s="814"/>
      <c r="J30" s="216">
        <f>+'27'!J30</f>
        <v>0</v>
      </c>
      <c r="K30" s="238"/>
      <c r="L30" s="238"/>
      <c r="M30" s="121">
        <f>+K30+'27'!M30+L30</f>
        <v>0</v>
      </c>
      <c r="N30" s="159"/>
    </row>
    <row r="31" spans="1:18" ht="13.5" customHeight="1" thickBot="1">
      <c r="A31" s="818"/>
      <c r="B31" s="217"/>
      <c r="C31" s="226"/>
      <c r="D31" s="219"/>
      <c r="E31" s="225"/>
      <c r="F31" s="235"/>
      <c r="G31" s="236"/>
      <c r="H31" s="439" t="s">
        <v>865</v>
      </c>
      <c r="I31" s="815"/>
      <c r="J31" s="216">
        <f>+'27'!J31</f>
        <v>0</v>
      </c>
      <c r="K31" s="238"/>
      <c r="L31" s="238"/>
      <c r="M31" s="121">
        <f>+K31+'27'!M31+L31</f>
        <v>0</v>
      </c>
    </row>
    <row r="32" spans="1:18" ht="13.5" customHeight="1" thickBot="1">
      <c r="A32" s="819"/>
      <c r="B32" s="169" t="s">
        <v>2</v>
      </c>
      <c r="C32" s="103">
        <f>SUM(C25:C31)</f>
        <v>10693</v>
      </c>
      <c r="D32" s="104">
        <f>SUM(D25:D31)</f>
        <v>850</v>
      </c>
      <c r="E32" s="105">
        <f>SUM(E25:E31)</f>
        <v>0</v>
      </c>
      <c r="F32" s="103">
        <f>SUM(F24:F31)</f>
        <v>19</v>
      </c>
      <c r="G32" s="173"/>
      <c r="H32" s="174"/>
      <c r="I32" s="172"/>
      <c r="J32" s="216">
        <f>+'27'!J32</f>
        <v>0</v>
      </c>
      <c r="K32" s="240"/>
      <c r="L32" s="242"/>
      <c r="M32" s="121">
        <f>+K32+'27'!M32+L32</f>
        <v>0</v>
      </c>
    </row>
    <row r="33" spans="1:14" ht="13.5" thickBot="1">
      <c r="A33" s="175"/>
      <c r="B33" s="176"/>
      <c r="C33" s="107">
        <f>C32/($C$32+$D$32+$E$32)</f>
        <v>0.92636229749631815</v>
      </c>
      <c r="D33" s="108">
        <f>D32/($C$32+$D$32+$E$32)</f>
        <v>7.3637702503681887E-2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40470</v>
      </c>
      <c r="D34" s="111">
        <f>D14+D23+D32</f>
        <v>850</v>
      </c>
      <c r="E34" s="111">
        <f>E14+E23+E32</f>
        <v>0</v>
      </c>
      <c r="F34" s="112">
        <f>F14+F23+F32</f>
        <v>55</v>
      </c>
      <c r="H34" s="180"/>
      <c r="I34" s="180"/>
      <c r="J34" s="127" t="s">
        <v>27</v>
      </c>
      <c r="K34" s="128">
        <f>SUM(K7:K32)</f>
        <v>40470</v>
      </c>
      <c r="L34" s="214">
        <f>SUM(L7:L32)</f>
        <v>0</v>
      </c>
      <c r="M34" s="124">
        <f>SUM(M7:M32)</f>
        <v>1260120</v>
      </c>
      <c r="N34" s="159"/>
    </row>
    <row r="35" spans="1:14" ht="13.5" thickBot="1">
      <c r="A35" s="181"/>
      <c r="B35" s="182"/>
      <c r="C35" s="108">
        <f>C34/($C$34+$D$34+$E$34)</f>
        <v>0.97942884801548891</v>
      </c>
      <c r="D35" s="108">
        <f>D34/($C$34+$D$34+$E$34)</f>
        <v>2.0571151984511132E-2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(12*1210+13*230)/1440*G42*2.85*1440/1000000</f>
        <v>52.552128262500005</v>
      </c>
      <c r="J37" s="129">
        <f>+I37+'27'!J37</f>
        <v>1495.1340870444697</v>
      </c>
      <c r="K37" s="130" t="s">
        <v>74</v>
      </c>
      <c r="N37" s="580">
        <f>+I38-N38</f>
        <v>37.425000000000004</v>
      </c>
    </row>
    <row r="38" spans="1:14" ht="17.45" customHeight="1">
      <c r="A38" s="824" t="s">
        <v>11</v>
      </c>
      <c r="B38" s="825"/>
      <c r="C38" s="168">
        <f>SUMIF($G$7:$G$31,"Process",$F$7:$F$31)</f>
        <v>55</v>
      </c>
      <c r="D38" s="122">
        <f>+C38+'27'!D38</f>
        <v>1425</v>
      </c>
      <c r="E38" s="147">
        <f t="shared" ref="E38:E51" si="4">D38/60</f>
        <v>23.75</v>
      </c>
      <c r="F38" s="334">
        <v>1400</v>
      </c>
      <c r="G38" s="334">
        <v>1064</v>
      </c>
      <c r="H38" s="189" t="s">
        <v>75</v>
      </c>
      <c r="I38" s="581">
        <f>14.582+15.131+15.472</f>
        <v>45.185000000000002</v>
      </c>
      <c r="J38" s="131">
        <f>+I38+'27'!J38</f>
        <v>1366.6699999999998</v>
      </c>
      <c r="K38" s="132" t="s">
        <v>74</v>
      </c>
      <c r="N38" s="580">
        <f>2.33+1.456+1.987+1.987</f>
        <v>7.76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+C39+'27'!D39</f>
        <v>0</v>
      </c>
      <c r="E39" s="147">
        <f t="shared" si="4"/>
        <v>0</v>
      </c>
      <c r="F39" s="334">
        <v>1400</v>
      </c>
      <c r="G39" s="334">
        <v>1064</v>
      </c>
      <c r="H39" s="189" t="s">
        <v>76</v>
      </c>
      <c r="I39" s="146"/>
      <c r="J39" s="133">
        <f>J37/G4</f>
        <v>53.397645965873913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+C40+'27'!D40</f>
        <v>101</v>
      </c>
      <c r="E40" s="147">
        <f t="shared" ca="1" si="4"/>
        <v>1.6833333333333333</v>
      </c>
      <c r="F40" s="334">
        <v>1356.875</v>
      </c>
      <c r="G40" s="334">
        <v>1031.2249999999999</v>
      </c>
      <c r="H40" s="189" t="s">
        <v>78</v>
      </c>
      <c r="I40" s="122">
        <f>(K34+L34)/1000</f>
        <v>40.47</v>
      </c>
      <c r="J40" s="135">
        <f>+I40+'27'!J40</f>
        <v>1260.1199999999999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+C41+'27'!D41</f>
        <v>50</v>
      </c>
      <c r="E41" s="147">
        <f t="shared" ca="1" si="4"/>
        <v>0.83333333333333337</v>
      </c>
      <c r="F41" s="334"/>
      <c r="G41" s="334"/>
      <c r="H41" s="189" t="s">
        <v>80</v>
      </c>
      <c r="I41" s="146"/>
      <c r="J41" s="133">
        <f>J40/G4</f>
        <v>45.004285714285707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+C42+'27'!D42</f>
        <v>0</v>
      </c>
      <c r="E42" s="147">
        <f t="shared" ca="1" si="4"/>
        <v>0</v>
      </c>
      <c r="F42" s="334">
        <f>+(F38*480+F39*480+F40*480)/1440</f>
        <v>1385.625</v>
      </c>
      <c r="G42" s="334">
        <f>+(G38*480+G39*480+G40*480)/1440</f>
        <v>1053.075</v>
      </c>
      <c r="H42" s="189" t="s">
        <v>81</v>
      </c>
      <c r="I42" s="245" t="s">
        <v>867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+C43+'27'!D43</f>
        <v>0</v>
      </c>
      <c r="E43" s="147">
        <f t="shared" ca="1" si="4"/>
        <v>0</v>
      </c>
      <c r="F43" s="334"/>
      <c r="G43" s="335"/>
      <c r="H43" s="190" t="s">
        <v>84</v>
      </c>
      <c r="I43" s="122">
        <f>+Report1!Z36</f>
        <v>133.6</v>
      </c>
      <c r="J43" s="137">
        <f>+I43+'27'!J43</f>
        <v>3527.3999999999996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+C44+'27'!D44</f>
        <v>0</v>
      </c>
      <c r="E44" s="147">
        <f t="shared" si="4"/>
        <v>0</v>
      </c>
      <c r="F44" s="334"/>
      <c r="G44" s="335"/>
      <c r="H44" s="190" t="s">
        <v>85</v>
      </c>
      <c r="I44" s="122">
        <f>I43/I38</f>
        <v>2.9567334292353653</v>
      </c>
      <c r="J44" s="138">
        <f>J43/J38</f>
        <v>2.581018095077817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+C45+'27'!D45</f>
        <v>0</v>
      </c>
      <c r="E45" s="147">
        <f t="shared" si="4"/>
        <v>0</v>
      </c>
      <c r="F45" s="334"/>
      <c r="G45" s="337"/>
      <c r="H45" s="190" t="s">
        <v>86</v>
      </c>
      <c r="I45" s="122">
        <f>I43/I40</f>
        <v>3.3012107734124041</v>
      </c>
      <c r="J45" s="138">
        <f>J43/J40</f>
        <v>2.7992572135987048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+C46+'27'!D46</f>
        <v>0</v>
      </c>
      <c r="E46" s="147">
        <f t="shared" si="4"/>
        <v>0</v>
      </c>
      <c r="F46" s="334"/>
      <c r="G46" s="335"/>
      <c r="H46" s="190" t="s">
        <v>88</v>
      </c>
      <c r="I46" s="144">
        <f>+SUMIF(Listrik!AN35,"&gt;0")</f>
        <v>45213.169999999598</v>
      </c>
      <c r="J46" s="139">
        <f>+I46+'27'!J46</f>
        <v>1355214.8075999995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+C47+'27'!D47</f>
        <v>0</v>
      </c>
      <c r="E47" s="147">
        <f t="shared" si="4"/>
        <v>0</v>
      </c>
      <c r="F47" s="334"/>
      <c r="G47" s="335"/>
      <c r="H47" s="190" t="s">
        <v>91</v>
      </c>
      <c r="I47" s="122">
        <f>I46/I38</f>
        <v>1000.6234369812902</v>
      </c>
      <c r="J47" s="139">
        <f>J46/J38</f>
        <v>991.61817234592081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+C48+'27'!D48</f>
        <v>0</v>
      </c>
      <c r="E48" s="147">
        <f t="shared" si="4"/>
        <v>0</v>
      </c>
      <c r="F48" s="334"/>
      <c r="G48" s="335"/>
      <c r="H48" s="190" t="s">
        <v>92</v>
      </c>
      <c r="I48" s="122">
        <f>I46/I40</f>
        <v>1117.2021250308771</v>
      </c>
      <c r="J48" s="139">
        <f>J46/J40</f>
        <v>1075.4648823921527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+C49+'27'!D49</f>
        <v>717</v>
      </c>
      <c r="E49" s="147">
        <f t="shared" si="4"/>
        <v>11.95</v>
      </c>
      <c r="F49" s="187"/>
      <c r="H49" s="190" t="s">
        <v>93</v>
      </c>
      <c r="I49" s="122">
        <v>0</v>
      </c>
      <c r="J49" s="139">
        <f>+I49+'27'!J49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+C50+'27'!D50</f>
        <v>0</v>
      </c>
      <c r="E50" s="147">
        <f t="shared" si="4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+C51+'27'!D51</f>
        <v>0</v>
      </c>
      <c r="E51" s="147">
        <f t="shared" si="4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55</v>
      </c>
      <c r="D52" s="148">
        <f ca="1">SUM(D38:D51)</f>
        <v>2293</v>
      </c>
      <c r="E52" s="149">
        <f ca="1">SUM(E38:E51)</f>
        <v>38.216666666666669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3.8194444444444448E-2</v>
      </c>
      <c r="D53" s="150">
        <f ca="1">D52/(24*60*G4)</f>
        <v>5.6870039682539682E-2</v>
      </c>
      <c r="E53" s="151">
        <f ca="1">E52/(G4*24)</f>
        <v>5.6870039682539689E-2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+D34+'27'!J56</f>
        <v>22745</v>
      </c>
      <c r="K56" s="203">
        <f>J56/(J40+J56/1000)/1000</f>
        <v>1.772984686619403E-2</v>
      </c>
    </row>
    <row r="57" spans="1:11">
      <c r="A57" s="178"/>
      <c r="I57" s="201" t="s">
        <v>100</v>
      </c>
      <c r="J57" s="202">
        <f>+E34+'27'!J57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05" right="0.05" top="0.19513888888888889" bottom="0.39027777777777778" header="0" footer="0"/>
  <pageSetup paperSize="9" scale="55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61"/>
  <sheetViews>
    <sheetView view="pageBreakPreview" topLeftCell="A7" zoomScale="80" zoomScaleNormal="80" zoomScaleSheetLayoutView="80" workbookViewId="0">
      <selection activeCell="A15" sqref="A15:A23"/>
    </sheetView>
  </sheetViews>
  <sheetFormatPr defaultColWidth="9.140625" defaultRowHeight="12.75"/>
  <cols>
    <col min="1" max="1" width="8" style="153" customWidth="1"/>
    <col min="2" max="2" width="7" style="153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28515625" style="153" customWidth="1"/>
    <col min="14" max="16384" width="9.140625" style="153"/>
  </cols>
  <sheetData>
    <row r="1" spans="1:35" ht="15.75">
      <c r="A1" s="152"/>
      <c r="W1" s="539"/>
      <c r="Y1" s="534"/>
      <c r="AD1" s="531"/>
      <c r="AF1" s="534"/>
    </row>
    <row r="2" spans="1:35" ht="15.75">
      <c r="A2" s="152" t="s">
        <v>236</v>
      </c>
      <c r="Y2" s="534"/>
      <c r="AD2" s="533"/>
      <c r="AF2" s="534"/>
    </row>
    <row r="3" spans="1:35" ht="15">
      <c r="A3" s="154"/>
      <c r="Y3" s="534"/>
      <c r="AG3" s="178"/>
    </row>
    <row r="4" spans="1:35" ht="20.25">
      <c r="A4" s="155" t="s">
        <v>3</v>
      </c>
      <c r="B4" s="156"/>
      <c r="F4" s="157" t="s">
        <v>28</v>
      </c>
      <c r="G4" s="158">
        <v>27</v>
      </c>
      <c r="H4" s="158" t="str">
        <f>+'1'!H4</f>
        <v>.10.25</v>
      </c>
      <c r="Y4" s="534"/>
      <c r="AH4" s="178"/>
      <c r="AI4" s="178"/>
    </row>
    <row r="5" spans="1:35" ht="13.5" thickBot="1">
      <c r="C5" s="159"/>
      <c r="D5" s="159"/>
      <c r="W5" s="539"/>
      <c r="Y5" s="534"/>
    </row>
    <row r="6" spans="1:35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357+400+336</f>
        <v>1093</v>
      </c>
      <c r="Z6" s="540"/>
    </row>
    <row r="7" spans="1:35" ht="13.5" customHeight="1" thickBot="1">
      <c r="A7" s="810" t="s">
        <v>415</v>
      </c>
      <c r="B7" s="217" t="s">
        <v>431</v>
      </c>
      <c r="C7" s="218">
        <v>10925</v>
      </c>
      <c r="D7" s="219">
        <v>1000</v>
      </c>
      <c r="E7" s="220"/>
      <c r="F7" s="231">
        <v>15</v>
      </c>
      <c r="G7" s="558" t="s">
        <v>11</v>
      </c>
      <c r="H7" s="559" t="s">
        <v>526</v>
      </c>
      <c r="I7" s="813" t="s">
        <v>835</v>
      </c>
      <c r="J7" s="216" t="str">
        <f>+'26'!J7</f>
        <v>T 12,5 VP OW</v>
      </c>
      <c r="K7" s="237"/>
      <c r="L7" s="241"/>
      <c r="M7" s="121">
        <f>+K7+'26'!M7+L7</f>
        <v>66326</v>
      </c>
      <c r="AA7" s="540"/>
      <c r="AB7" s="540"/>
    </row>
    <row r="8" spans="1:35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+'26'!J8</f>
        <v>F 12.5 VP OW</v>
      </c>
      <c r="K8" s="238"/>
      <c r="L8" s="238"/>
      <c r="M8" s="121">
        <f>+K8+'26'!M8+L8</f>
        <v>111865</v>
      </c>
      <c r="N8" s="539">
        <v>1395</v>
      </c>
      <c r="O8" s="153">
        <f>+N8-N8*0.24</f>
        <v>1060.2</v>
      </c>
      <c r="P8" s="534">
        <f>480+38</f>
        <v>518</v>
      </c>
    </row>
    <row r="9" spans="1:35" ht="13.5" thickBot="1">
      <c r="A9" s="811"/>
      <c r="B9" s="217"/>
      <c r="C9" s="218"/>
      <c r="D9" s="219"/>
      <c r="E9" s="222"/>
      <c r="F9" s="231">
        <v>10</v>
      </c>
      <c r="G9" s="560" t="s">
        <v>11</v>
      </c>
      <c r="H9" s="561" t="s">
        <v>428</v>
      </c>
      <c r="I9" s="814"/>
      <c r="J9" s="216" t="str">
        <f>+'26'!J9</f>
        <v>F 13 VP OW</v>
      </c>
      <c r="K9" s="238"/>
      <c r="L9" s="238"/>
      <c r="M9" s="121">
        <f>+K9+'26'!M9+L9</f>
        <v>100014</v>
      </c>
      <c r="P9" s="534"/>
    </row>
    <row r="10" spans="1:35" ht="13.5" thickBot="1">
      <c r="A10" s="811"/>
      <c r="B10" s="217"/>
      <c r="C10" s="218"/>
      <c r="D10" s="219"/>
      <c r="E10" s="221"/>
      <c r="F10" s="231"/>
      <c r="G10" s="558"/>
      <c r="H10" s="561" t="s">
        <v>820</v>
      </c>
      <c r="I10" s="814"/>
      <c r="J10" s="216" t="str">
        <f>+'26'!J10</f>
        <v>T 12 VP OW</v>
      </c>
      <c r="K10" s="238"/>
      <c r="L10" s="238"/>
      <c r="M10" s="121">
        <f>+K10+'26'!M10+L10</f>
        <v>23281</v>
      </c>
      <c r="P10" s="534"/>
    </row>
    <row r="11" spans="1:35" ht="51.75" thickBot="1">
      <c r="A11" s="811"/>
      <c r="B11" s="217"/>
      <c r="C11" s="218"/>
      <c r="D11" s="219"/>
      <c r="E11" s="221"/>
      <c r="F11" s="481"/>
      <c r="G11" s="482"/>
      <c r="H11" s="230" t="s">
        <v>842</v>
      </c>
      <c r="I11" s="814"/>
      <c r="J11" s="216" t="str">
        <f>+'26'!J11</f>
        <v>T 13,5 VP OW</v>
      </c>
      <c r="K11" s="238"/>
      <c r="L11" s="238"/>
      <c r="M11" s="121">
        <f>+K11+'26'!M11+L11</f>
        <v>15672</v>
      </c>
      <c r="P11" s="534"/>
    </row>
    <row r="12" spans="1:35" ht="51.75" thickBot="1">
      <c r="A12" s="811"/>
      <c r="B12" s="217"/>
      <c r="C12" s="218"/>
      <c r="D12" s="219"/>
      <c r="E12" s="221"/>
      <c r="F12" s="228"/>
      <c r="G12" s="232"/>
      <c r="H12" s="233" t="s">
        <v>843</v>
      </c>
      <c r="I12" s="814"/>
      <c r="J12" s="216" t="str">
        <f>+'26'!J12</f>
        <v>F 12 VP OW</v>
      </c>
      <c r="K12" s="238">
        <f>+C17+C25</f>
        <v>21867</v>
      </c>
      <c r="L12" s="238"/>
      <c r="M12" s="121">
        <f>+K12+'26'!M12+L12</f>
        <v>268235</v>
      </c>
      <c r="Q12" s="540"/>
    </row>
    <row r="13" spans="1:35" ht="51.75" thickBot="1">
      <c r="A13" s="811"/>
      <c r="B13" s="217"/>
      <c r="C13" s="218"/>
      <c r="D13" s="218"/>
      <c r="E13" s="221"/>
      <c r="F13" s="228"/>
      <c r="G13" s="232"/>
      <c r="H13" s="233" t="s">
        <v>844</v>
      </c>
      <c r="I13" s="815"/>
      <c r="J13" s="216" t="str">
        <f>+'26'!J13</f>
        <v>T 12,5 VP OW</v>
      </c>
      <c r="K13" s="238">
        <f>+C7+C16</f>
        <v>16288</v>
      </c>
      <c r="L13" s="238"/>
      <c r="M13" s="121">
        <f>+K13+'26'!M13+L13</f>
        <v>387330</v>
      </c>
      <c r="R13" s="540"/>
      <c r="S13" s="540"/>
    </row>
    <row r="14" spans="1:35" ht="13.5" thickBot="1">
      <c r="A14" s="812"/>
      <c r="B14" s="169" t="s">
        <v>2</v>
      </c>
      <c r="C14" s="103">
        <f>SUM(C7:C13)</f>
        <v>10925</v>
      </c>
      <c r="D14" s="115">
        <f>SUM(D7:D13)</f>
        <v>1000</v>
      </c>
      <c r="E14" s="116">
        <f>SUM(E5:E13)</f>
        <v>0</v>
      </c>
      <c r="F14" s="106">
        <f>SUM(F6:F13)</f>
        <v>25</v>
      </c>
      <c r="G14" s="163"/>
      <c r="H14" s="170"/>
      <c r="I14" s="171"/>
      <c r="J14" s="216" t="str">
        <f>+'26'!J14</f>
        <v>T 14 VP OW</v>
      </c>
      <c r="K14" s="238"/>
      <c r="L14" s="238"/>
      <c r="M14" s="121">
        <f>+K14+'26'!M14+L14</f>
        <v>88884</v>
      </c>
    </row>
    <row r="15" spans="1:35" ht="13.5" customHeight="1" thickBot="1">
      <c r="A15" s="810" t="s">
        <v>374</v>
      </c>
      <c r="B15" s="510"/>
      <c r="C15" s="117">
        <f>C14/($C$23+$D$23+$E$23)</f>
        <v>0.79605071407752837</v>
      </c>
      <c r="D15" s="118">
        <f>D14/($C$23+$D$23+$E$23)</f>
        <v>7.2865053920139908E-2</v>
      </c>
      <c r="E15" s="119">
        <f>E14/($C$23+$D$23+$E$23)</f>
        <v>0</v>
      </c>
      <c r="F15" s="231"/>
      <c r="G15" s="558" t="s">
        <v>11</v>
      </c>
      <c r="H15" s="559" t="s">
        <v>404</v>
      </c>
      <c r="I15" s="813" t="s">
        <v>852</v>
      </c>
      <c r="J15" s="216" t="str">
        <f>+'26'!J15</f>
        <v>T 15 VP OW</v>
      </c>
      <c r="K15" s="238"/>
      <c r="L15" s="238"/>
      <c r="M15" s="121">
        <f>+K15+'26'!M15+L15</f>
        <v>65211</v>
      </c>
    </row>
    <row r="16" spans="1:35" ht="13.5" thickBot="1">
      <c r="A16" s="816"/>
      <c r="B16" s="512" t="s">
        <v>431</v>
      </c>
      <c r="C16" s="511">
        <v>5363</v>
      </c>
      <c r="D16" s="223"/>
      <c r="E16" s="224"/>
      <c r="F16" s="231"/>
      <c r="G16" s="560" t="s">
        <v>11</v>
      </c>
      <c r="H16" s="559" t="s">
        <v>426</v>
      </c>
      <c r="I16" s="814"/>
      <c r="J16" s="216" t="str">
        <f>+'26'!J16</f>
        <v>T 17 VP OW</v>
      </c>
      <c r="K16" s="229"/>
      <c r="L16" s="229"/>
      <c r="M16" s="121">
        <f>+K16+'26'!M16+L16</f>
        <v>22278</v>
      </c>
      <c r="N16" s="539"/>
      <c r="P16" s="534"/>
    </row>
    <row r="17" spans="1:19" ht="13.5" thickBot="1">
      <c r="A17" s="816"/>
      <c r="B17" s="217" t="s">
        <v>518</v>
      </c>
      <c r="C17" s="218">
        <v>8361</v>
      </c>
      <c r="D17" s="219"/>
      <c r="E17" s="225"/>
      <c r="F17" s="231">
        <v>10</v>
      </c>
      <c r="G17" s="560" t="s">
        <v>11</v>
      </c>
      <c r="H17" s="561" t="s">
        <v>455</v>
      </c>
      <c r="I17" s="814"/>
      <c r="J17" s="216" t="str">
        <f>+'26'!J17</f>
        <v>T 14,5 VP OW</v>
      </c>
      <c r="K17" s="229"/>
      <c r="L17" s="229"/>
      <c r="M17" s="121">
        <f>+K17+'26'!M17+L17</f>
        <v>37152</v>
      </c>
      <c r="N17" s="531">
        <v>1395</v>
      </c>
      <c r="O17" s="153">
        <f>+N17-N17*0.24</f>
        <v>1060.2</v>
      </c>
      <c r="P17" s="534">
        <v>38</v>
      </c>
      <c r="Q17" s="153">
        <f>+N17*P17</f>
        <v>53010</v>
      </c>
      <c r="R17" s="153">
        <f>+O17*P17</f>
        <v>40287.599999999999</v>
      </c>
    </row>
    <row r="18" spans="1:19" ht="13.5" thickBot="1">
      <c r="A18" s="816"/>
      <c r="B18" s="217"/>
      <c r="C18" s="218"/>
      <c r="D18" s="219"/>
      <c r="E18" s="225"/>
      <c r="F18" s="231"/>
      <c r="G18" s="558"/>
      <c r="H18" s="561" t="s">
        <v>820</v>
      </c>
      <c r="I18" s="814"/>
      <c r="J18" s="216" t="str">
        <f>+'26'!J18</f>
        <v>T 18 VP OW</v>
      </c>
      <c r="K18" s="238"/>
      <c r="L18" s="238"/>
      <c r="M18" s="121">
        <f>+K18+'26'!M18+L18</f>
        <v>33402</v>
      </c>
      <c r="N18" s="153">
        <v>1400</v>
      </c>
      <c r="O18" s="153">
        <f>+N18-N18*0.24</f>
        <v>1064</v>
      </c>
      <c r="P18" s="534">
        <f>480-P17</f>
        <v>442</v>
      </c>
      <c r="Q18" s="153">
        <f>+N18*P18</f>
        <v>618800</v>
      </c>
      <c r="R18" s="153">
        <f>+O18*P18</f>
        <v>470288</v>
      </c>
    </row>
    <row r="19" spans="1:19" ht="39" thickBot="1">
      <c r="A19" s="816"/>
      <c r="B19" s="217"/>
      <c r="C19" s="218"/>
      <c r="D19" s="219"/>
      <c r="E19" s="225"/>
      <c r="F19" s="228"/>
      <c r="G19" s="232"/>
      <c r="H19" s="230" t="s">
        <v>846</v>
      </c>
      <c r="I19" s="814"/>
      <c r="J19" s="216">
        <f>+'26'!J19</f>
        <v>0</v>
      </c>
      <c r="K19" s="238"/>
      <c r="L19" s="238"/>
      <c r="M19" s="121">
        <f>+K19+'26'!M19+L19</f>
        <v>0</v>
      </c>
      <c r="P19" s="534">
        <f>+P17+P18</f>
        <v>480</v>
      </c>
      <c r="Q19" s="534">
        <f t="shared" ref="Q19:R19" si="0">+Q17+Q18</f>
        <v>671810</v>
      </c>
      <c r="R19" s="534">
        <f t="shared" si="0"/>
        <v>510575.6</v>
      </c>
      <c r="S19" s="178"/>
    </row>
    <row r="20" spans="1:19" ht="26.25" thickBot="1">
      <c r="A20" s="816"/>
      <c r="B20" s="217"/>
      <c r="C20" s="218"/>
      <c r="D20" s="219"/>
      <c r="E20" s="225"/>
      <c r="F20" s="228"/>
      <c r="G20" s="232"/>
      <c r="H20" s="233" t="s">
        <v>831</v>
      </c>
      <c r="I20" s="814"/>
      <c r="J20" s="216">
        <f>+'26'!J20</f>
        <v>0</v>
      </c>
      <c r="K20" s="239"/>
      <c r="L20" s="239"/>
      <c r="M20" s="121">
        <f>+K20+'26'!M20+L20</f>
        <v>0</v>
      </c>
      <c r="Q20" s="153">
        <f>+Q19/P19</f>
        <v>1399.6041666666667</v>
      </c>
      <c r="R20" s="153">
        <f>+R19/P19</f>
        <v>1063.6991666666665</v>
      </c>
    </row>
    <row r="21" spans="1:19" ht="13.5" thickBot="1">
      <c r="A21" s="816"/>
      <c r="B21" s="217"/>
      <c r="C21" s="218"/>
      <c r="D21" s="219"/>
      <c r="E21" s="225"/>
      <c r="F21" s="231"/>
      <c r="G21" s="232"/>
      <c r="H21" s="233" t="s">
        <v>845</v>
      </c>
      <c r="I21" s="814"/>
      <c r="J21" s="216">
        <f>+'26'!J21</f>
        <v>0</v>
      </c>
      <c r="K21" s="238"/>
      <c r="L21" s="238"/>
      <c r="M21" s="121">
        <f>+K21+'26'!M21+L21</f>
        <v>0</v>
      </c>
    </row>
    <row r="22" spans="1:19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+'26'!J22</f>
        <v>0</v>
      </c>
      <c r="K22" s="238"/>
      <c r="L22" s="238"/>
      <c r="M22" s="121">
        <f>+K22+'26'!M22+L22</f>
        <v>0</v>
      </c>
    </row>
    <row r="23" spans="1:19" ht="13.5" thickBot="1">
      <c r="A23" s="817"/>
      <c r="B23" s="169" t="s">
        <v>2</v>
      </c>
      <c r="C23" s="103">
        <f>SUM(C16:C22)</f>
        <v>13724</v>
      </c>
      <c r="D23" s="115">
        <f>SUM(D16:D22)</f>
        <v>0</v>
      </c>
      <c r="E23" s="116">
        <f>SUM(E18:E22)</f>
        <v>0</v>
      </c>
      <c r="F23" s="106">
        <f>SUM(F15:F22)</f>
        <v>10</v>
      </c>
      <c r="G23" s="163"/>
      <c r="H23" s="170"/>
      <c r="I23" s="172"/>
      <c r="J23" s="216">
        <f>+'26'!J23</f>
        <v>0</v>
      </c>
      <c r="K23" s="238"/>
      <c r="L23" s="238"/>
      <c r="M23" s="121">
        <f>+K23+'26'!M23+L23</f>
        <v>0</v>
      </c>
    </row>
    <row r="24" spans="1:19" ht="13.5" customHeight="1" thickBot="1">
      <c r="A24" s="810" t="s">
        <v>239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5</v>
      </c>
      <c r="G24" s="558" t="s">
        <v>11</v>
      </c>
      <c r="H24" s="559" t="s">
        <v>522</v>
      </c>
      <c r="I24" s="813" t="s">
        <v>637</v>
      </c>
      <c r="J24" s="216">
        <f>+'26'!J24</f>
        <v>0</v>
      </c>
      <c r="K24" s="238"/>
      <c r="L24" s="238"/>
      <c r="M24" s="121">
        <f>+K24+'26'!M24+L24</f>
        <v>0</v>
      </c>
    </row>
    <row r="25" spans="1:19" ht="13.5" thickBot="1">
      <c r="A25" s="818"/>
      <c r="B25" s="217" t="s">
        <v>518</v>
      </c>
      <c r="C25" s="226">
        <v>13506</v>
      </c>
      <c r="D25" s="219">
        <v>250</v>
      </c>
      <c r="E25" s="225"/>
      <c r="F25" s="231"/>
      <c r="G25" s="560" t="s">
        <v>11</v>
      </c>
      <c r="H25" s="559" t="s">
        <v>426</v>
      </c>
      <c r="I25" s="814"/>
      <c r="J25" s="216">
        <f>+'26'!J25</f>
        <v>0</v>
      </c>
      <c r="K25" s="238"/>
      <c r="L25" s="238"/>
      <c r="M25" s="121">
        <f>+K25+'26'!M25+L25</f>
        <v>0</v>
      </c>
      <c r="N25" s="531"/>
      <c r="O25" s="178"/>
      <c r="P25" s="535"/>
      <c r="Q25" s="178"/>
    </row>
    <row r="26" spans="1:19" ht="13.5" thickBot="1">
      <c r="A26" s="818"/>
      <c r="B26" s="217"/>
      <c r="C26" s="226"/>
      <c r="D26" s="219"/>
      <c r="E26" s="227"/>
      <c r="F26" s="231">
        <v>10</v>
      </c>
      <c r="G26" s="560" t="s">
        <v>11</v>
      </c>
      <c r="H26" s="561" t="s">
        <v>455</v>
      </c>
      <c r="I26" s="814"/>
      <c r="J26" s="216">
        <f>+'26'!J26</f>
        <v>0</v>
      </c>
      <c r="K26" s="238"/>
      <c r="L26" s="238"/>
      <c r="M26" s="121">
        <f>+K26+'26'!M26+L26</f>
        <v>0</v>
      </c>
      <c r="N26" s="153">
        <v>1400</v>
      </c>
      <c r="O26" s="153">
        <f>+N26-N26*0.24</f>
        <v>1064</v>
      </c>
      <c r="P26" s="153">
        <f>480+442</f>
        <v>922</v>
      </c>
    </row>
    <row r="27" spans="1:19" ht="13.5" thickBot="1">
      <c r="A27" s="818"/>
      <c r="B27" s="217"/>
      <c r="C27" s="218"/>
      <c r="D27" s="219"/>
      <c r="E27" s="225"/>
      <c r="F27" s="231"/>
      <c r="G27" s="558"/>
      <c r="H27" s="561" t="s">
        <v>850</v>
      </c>
      <c r="I27" s="814"/>
      <c r="J27" s="216">
        <f>+'26'!J27</f>
        <v>0</v>
      </c>
      <c r="K27" s="238"/>
      <c r="L27" s="238"/>
      <c r="M27" s="121">
        <f>+K27+'26'!M27+L27</f>
        <v>0</v>
      </c>
    </row>
    <row r="28" spans="1:19" ht="26.25" thickBot="1">
      <c r="A28" s="818"/>
      <c r="B28" s="217"/>
      <c r="C28" s="218"/>
      <c r="D28" s="219"/>
      <c r="E28" s="225"/>
      <c r="F28" s="228"/>
      <c r="G28" s="232"/>
      <c r="H28" s="230" t="s">
        <v>847</v>
      </c>
      <c r="I28" s="814"/>
      <c r="J28" s="216">
        <f>+'26'!J28</f>
        <v>0</v>
      </c>
      <c r="K28" s="238"/>
      <c r="L28" s="238"/>
      <c r="M28" s="121">
        <f>+K28+'26'!M28+L28</f>
        <v>0</v>
      </c>
    </row>
    <row r="29" spans="1:19" ht="13.5" thickBot="1">
      <c r="A29" s="818"/>
      <c r="B29" s="217"/>
      <c r="C29" s="218"/>
      <c r="D29" s="219"/>
      <c r="E29" s="225"/>
      <c r="F29" s="235"/>
      <c r="G29" s="232"/>
      <c r="H29" s="233" t="s">
        <v>848</v>
      </c>
      <c r="I29" s="814"/>
      <c r="J29" s="216">
        <f>+'26'!J29</f>
        <v>0</v>
      </c>
      <c r="K29" s="238"/>
      <c r="L29" s="238"/>
      <c r="M29" s="121">
        <f>+K29+'26'!M29+L29</f>
        <v>0</v>
      </c>
    </row>
    <row r="30" spans="1:19" ht="13.5" thickBot="1">
      <c r="A30" s="818"/>
      <c r="B30" s="217"/>
      <c r="C30" s="226"/>
      <c r="D30" s="219"/>
      <c r="E30" s="225"/>
      <c r="F30" s="235"/>
      <c r="G30" s="232"/>
      <c r="H30" s="233" t="s">
        <v>849</v>
      </c>
      <c r="I30" s="814"/>
      <c r="J30" s="216">
        <f>+'26'!J30</f>
        <v>0</v>
      </c>
      <c r="K30" s="238"/>
      <c r="L30" s="238"/>
      <c r="M30" s="121">
        <f>+K30+'26'!M30+L30</f>
        <v>0</v>
      </c>
      <c r="N30" s="159"/>
    </row>
    <row r="31" spans="1:19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+'26'!J31</f>
        <v>0</v>
      </c>
      <c r="K31" s="238"/>
      <c r="L31" s="238"/>
      <c r="M31" s="121">
        <f>+K31+'26'!M31+L31</f>
        <v>0</v>
      </c>
    </row>
    <row r="32" spans="1:19" ht="13.5" thickBot="1">
      <c r="A32" s="819"/>
      <c r="B32" s="169" t="s">
        <v>2</v>
      </c>
      <c r="C32" s="103">
        <f>SUM(C25:C31)</f>
        <v>13506</v>
      </c>
      <c r="D32" s="104">
        <f>SUM(D25:D31)</f>
        <v>250</v>
      </c>
      <c r="E32" s="105">
        <f>SUM(E25:E31)</f>
        <v>0</v>
      </c>
      <c r="F32" s="103">
        <f>SUM(F24:F31)</f>
        <v>15</v>
      </c>
      <c r="G32" s="173"/>
      <c r="H32" s="174"/>
      <c r="I32" s="172"/>
      <c r="J32" s="216">
        <f>+'26'!J32</f>
        <v>0</v>
      </c>
      <c r="K32" s="240"/>
      <c r="L32" s="242"/>
      <c r="M32" s="121">
        <f>+K32+'26'!M32+L32</f>
        <v>0</v>
      </c>
    </row>
    <row r="33" spans="1:14" ht="13.5" thickBot="1">
      <c r="A33" s="175"/>
      <c r="B33" s="176"/>
      <c r="C33" s="107">
        <f>C32/($C$32+$D$32+$E$32)</f>
        <v>0.98182611224193084</v>
      </c>
      <c r="D33" s="108">
        <f>D32/($C$32+$D$32+$E$32)</f>
        <v>1.8173887758069208E-2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38155</v>
      </c>
      <c r="D34" s="111">
        <f>D14+D23+D32</f>
        <v>1250</v>
      </c>
      <c r="E34" s="111">
        <f>E14+E23+E32</f>
        <v>0</v>
      </c>
      <c r="F34" s="112">
        <f>F14+F23+F32</f>
        <v>50</v>
      </c>
      <c r="H34" s="180"/>
      <c r="I34" s="180"/>
      <c r="J34" s="127" t="s">
        <v>27</v>
      </c>
      <c r="K34" s="128">
        <f>SUM(K7:K32)</f>
        <v>38155</v>
      </c>
      <c r="L34" s="214">
        <f>SUM(L7:L32)</f>
        <v>0</v>
      </c>
      <c r="M34" s="124">
        <f>SUM(M7:M32)</f>
        <v>1219650</v>
      </c>
      <c r="N34" s="159"/>
    </row>
    <row r="35" spans="1:14" ht="13.5" thickBot="1">
      <c r="A35" s="181"/>
      <c r="B35" s="182"/>
      <c r="C35" s="108">
        <f>C34/($C$34+$D$34+$E$34)</f>
        <v>0.96827813729222179</v>
      </c>
      <c r="D35" s="108">
        <f>D34/($C$34+$D$34+$E$34)</f>
        <v>3.1721862707778201E-2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9"/>
      <c r="G37" s="336"/>
      <c r="H37" s="188" t="s">
        <v>73</v>
      </c>
      <c r="I37" s="243">
        <f>(12.5*518+12*922)/1440*G42*2.85*1440/1000000</f>
        <v>53.116935309958329</v>
      </c>
      <c r="J37" s="129">
        <f>+I37+'26'!J37</f>
        <v>1442.5819587819697</v>
      </c>
      <c r="K37" s="130" t="s">
        <v>74</v>
      </c>
      <c r="N37" s="153">
        <f>15.254+2.302</f>
        <v>17.556000000000001</v>
      </c>
    </row>
    <row r="38" spans="1:14" ht="17.45" customHeight="1">
      <c r="A38" s="824" t="s">
        <v>11</v>
      </c>
      <c r="B38" s="825"/>
      <c r="C38" s="168">
        <f>SUMIF($G$7:$G$31,"Process",$F$7:$F$31)</f>
        <v>50</v>
      </c>
      <c r="D38" s="122">
        <f>+C38+'26'!D38</f>
        <v>1370</v>
      </c>
      <c r="E38" s="147">
        <f t="shared" ref="E38:E51" si="1">D38/60</f>
        <v>22.833333333333332</v>
      </c>
      <c r="F38" s="334">
        <v>1395</v>
      </c>
      <c r="G38" s="334">
        <f>+F38-F38*0.24</f>
        <v>1060.2</v>
      </c>
      <c r="H38" s="189" t="s">
        <v>75</v>
      </c>
      <c r="I38" s="513">
        <f>15.254+15.684+16.43</f>
        <v>47.367999999999995</v>
      </c>
      <c r="J38" s="131">
        <f>+I38+'26'!J38</f>
        <v>1321.4849999999999</v>
      </c>
      <c r="K38" s="132" t="s">
        <v>74</v>
      </c>
      <c r="N38" s="159">
        <f>+I38-N37</f>
        <v>29.811999999999994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+C39+'26'!D39</f>
        <v>0</v>
      </c>
      <c r="E39" s="147">
        <f t="shared" si="1"/>
        <v>0</v>
      </c>
      <c r="F39" s="334">
        <v>1399.6041666666667</v>
      </c>
      <c r="G39" s="334">
        <v>1063.6991666666665</v>
      </c>
      <c r="H39" s="189" t="s">
        <v>76</v>
      </c>
      <c r="I39" s="146"/>
      <c r="J39" s="133">
        <f>J37/G4</f>
        <v>53.428961436369249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+C40+'26'!D40</f>
        <v>101</v>
      </c>
      <c r="E40" s="147">
        <f t="shared" ca="1" si="1"/>
        <v>1.6833333333333333</v>
      </c>
      <c r="F40" s="334">
        <v>1400</v>
      </c>
      <c r="G40" s="334">
        <f>+F40-F40*0.24</f>
        <v>1064</v>
      </c>
      <c r="H40" s="189" t="s">
        <v>78</v>
      </c>
      <c r="I40" s="122">
        <f>(K34+L34)/1000</f>
        <v>38.155000000000001</v>
      </c>
      <c r="J40" s="135">
        <f>+I40+'26'!J40</f>
        <v>1219.6499999999999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+C41+'26'!D41</f>
        <v>50</v>
      </c>
      <c r="E41" s="147">
        <f t="shared" ca="1" si="1"/>
        <v>0.83333333333333337</v>
      </c>
      <c r="F41" s="334"/>
      <c r="G41" s="334"/>
      <c r="H41" s="189" t="s">
        <v>80</v>
      </c>
      <c r="I41" s="146"/>
      <c r="J41" s="133">
        <f>J40/G4</f>
        <v>45.172222222222217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+C42+'26'!D42</f>
        <v>0</v>
      </c>
      <c r="E42" s="147">
        <f t="shared" ca="1" si="1"/>
        <v>0</v>
      </c>
      <c r="F42" s="334">
        <f>+(F38*480+F39*480+F40*480)/1440</f>
        <v>1398.2013888888889</v>
      </c>
      <c r="G42" s="334">
        <f>+(G38*480+G39*480+G40*480)/1440</f>
        <v>1062.6330555555555</v>
      </c>
      <c r="H42" s="189" t="s">
        <v>81</v>
      </c>
      <c r="I42" s="245" t="s">
        <v>853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+C43+'26'!D43</f>
        <v>0</v>
      </c>
      <c r="E43" s="147">
        <f t="shared" ca="1" si="1"/>
        <v>0</v>
      </c>
      <c r="F43" s="334"/>
      <c r="G43" s="335"/>
      <c r="H43" s="190" t="s">
        <v>84</v>
      </c>
      <c r="I43" s="122">
        <f>+Report1!Z35</f>
        <v>133.1</v>
      </c>
      <c r="J43" s="137">
        <f>+I43+'26'!J43</f>
        <v>3393.7999999999997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+C44+'26'!D44</f>
        <v>0</v>
      </c>
      <c r="E44" s="147">
        <f t="shared" si="1"/>
        <v>0</v>
      </c>
      <c r="F44" s="334"/>
      <c r="G44" s="335"/>
      <c r="H44" s="190" t="s">
        <v>85</v>
      </c>
      <c r="I44" s="122">
        <f>I43/I38</f>
        <v>2.8099138659010303</v>
      </c>
      <c r="J44" s="138">
        <f>J43/J38</f>
        <v>2.5681714132207327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+C45+'26'!D45</f>
        <v>0</v>
      </c>
      <c r="E45" s="147">
        <f t="shared" si="1"/>
        <v>0</v>
      </c>
      <c r="F45" s="334"/>
      <c r="G45" s="337"/>
      <c r="H45" s="190" t="s">
        <v>86</v>
      </c>
      <c r="I45" s="122">
        <f>I43/I40</f>
        <v>3.4884025684707112</v>
      </c>
      <c r="J45" s="138">
        <f>J43/J40</f>
        <v>2.7826015660230397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+C46+'26'!D46</f>
        <v>0</v>
      </c>
      <c r="E46" s="147">
        <f t="shared" si="1"/>
        <v>0</v>
      </c>
      <c r="F46" s="334"/>
      <c r="G46" s="335"/>
      <c r="H46" s="190" t="s">
        <v>88</v>
      </c>
      <c r="I46" s="144">
        <f>+SUMIF(Listrik!AN34,"&gt;0")</f>
        <v>49997.73000000004</v>
      </c>
      <c r="J46" s="139">
        <f>+I46+'26'!J46</f>
        <v>1310001.6375999998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+C47+'26'!D47</f>
        <v>0</v>
      </c>
      <c r="E47" s="147">
        <f t="shared" si="1"/>
        <v>0</v>
      </c>
      <c r="F47" s="334"/>
      <c r="G47" s="335"/>
      <c r="H47" s="190" t="s">
        <v>91</v>
      </c>
      <c r="I47" s="122">
        <f>I46/I38</f>
        <v>1055.5170157068073</v>
      </c>
      <c r="J47" s="139">
        <f>J46/J38</f>
        <v>991.3102589889404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+C48+'26'!D48</f>
        <v>0</v>
      </c>
      <c r="E48" s="147">
        <f t="shared" si="1"/>
        <v>0</v>
      </c>
      <c r="F48" s="334"/>
      <c r="G48" s="335"/>
      <c r="H48" s="190" t="s">
        <v>92</v>
      </c>
      <c r="I48" s="122">
        <f>I46/I40</f>
        <v>1310.3847464290404</v>
      </c>
      <c r="J48" s="139">
        <f>J46/J40</f>
        <v>1074.079971795187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+C49+'26'!D49</f>
        <v>717</v>
      </c>
      <c r="E49" s="147">
        <f t="shared" si="1"/>
        <v>11.95</v>
      </c>
      <c r="F49" s="187"/>
      <c r="H49" s="190" t="s">
        <v>93</v>
      </c>
      <c r="I49" s="122">
        <v>0</v>
      </c>
      <c r="J49" s="139">
        <f>+I49+'26'!J49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+C50+'26'!D50</f>
        <v>0</v>
      </c>
      <c r="E50" s="147">
        <f t="shared" si="1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+C51+'26'!D51</f>
        <v>0</v>
      </c>
      <c r="E51" s="147">
        <f t="shared" si="1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50</v>
      </c>
      <c r="D52" s="148">
        <f ca="1">SUM(D38:D51)</f>
        <v>2238</v>
      </c>
      <c r="E52" s="149">
        <f ca="1">SUM(E38:E51)</f>
        <v>37.299999999999997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3.4722222222222224E-2</v>
      </c>
      <c r="D53" s="150">
        <f ca="1">D52/(24*60*G4)</f>
        <v>5.7561728395061726E-2</v>
      </c>
      <c r="E53" s="151">
        <f ca="1">E52/(G4*24)</f>
        <v>5.7561728395061726E-2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+D34+'26'!J56</f>
        <v>21895</v>
      </c>
      <c r="K56" s="203">
        <f>J56/(J40+J56/1000)/1000</f>
        <v>1.7635285068201317E-2</v>
      </c>
    </row>
    <row r="57" spans="1:11">
      <c r="A57" s="178"/>
      <c r="I57" s="201" t="s">
        <v>100</v>
      </c>
      <c r="J57" s="202">
        <f>+E34+'26'!J57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0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16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4.140625" style="153" customWidth="1"/>
    <col min="14" max="16384" width="9.140625" style="153"/>
  </cols>
  <sheetData>
    <row r="1" spans="1:19" ht="15.75">
      <c r="A1" s="152"/>
    </row>
    <row r="2" spans="1:19" ht="15.75">
      <c r="A2" s="152" t="s">
        <v>236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26</v>
      </c>
      <c r="H4" s="158" t="str">
        <f>+'1'!H4</f>
        <v>.10.25</v>
      </c>
    </row>
    <row r="5" spans="1:19" ht="13.5" thickBot="1">
      <c r="C5" s="159"/>
      <c r="D5" s="159"/>
    </row>
    <row r="6" spans="1:19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367+382+356</f>
        <v>1105</v>
      </c>
    </row>
    <row r="7" spans="1:19" ht="13.5" customHeight="1" thickBot="1">
      <c r="A7" s="810" t="s">
        <v>415</v>
      </c>
      <c r="B7" s="217" t="s">
        <v>431</v>
      </c>
      <c r="C7" s="218">
        <v>15051</v>
      </c>
      <c r="D7" s="219"/>
      <c r="E7" s="220"/>
      <c r="F7" s="231">
        <v>15</v>
      </c>
      <c r="G7" s="558" t="s">
        <v>11</v>
      </c>
      <c r="H7" s="559" t="s">
        <v>526</v>
      </c>
      <c r="I7" s="813" t="s">
        <v>835</v>
      </c>
      <c r="J7" s="216" t="str">
        <f>+'25'!J7</f>
        <v>T 12,5 VP OW</v>
      </c>
      <c r="K7" s="237"/>
      <c r="L7" s="241"/>
      <c r="M7" s="121">
        <f>+K7+'25'!M7+L7</f>
        <v>66326</v>
      </c>
    </row>
    <row r="8" spans="1:19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+'25'!J8</f>
        <v>F 12.5 VP OW</v>
      </c>
      <c r="K8" s="238"/>
      <c r="L8" s="238"/>
      <c r="M8" s="121">
        <f>+K8+'25'!M8+L8</f>
        <v>111865</v>
      </c>
      <c r="N8" s="531">
        <v>1395</v>
      </c>
      <c r="O8" s="153">
        <f>+N8-N8*0.24</f>
        <v>1060.2</v>
      </c>
      <c r="P8" s="534"/>
    </row>
    <row r="9" spans="1:19" ht="13.5" thickBot="1">
      <c r="A9" s="811"/>
      <c r="B9" s="217"/>
      <c r="C9" s="218"/>
      <c r="D9" s="219"/>
      <c r="E9" s="222"/>
      <c r="F9" s="231">
        <v>8</v>
      </c>
      <c r="G9" s="560" t="s">
        <v>11</v>
      </c>
      <c r="H9" s="561" t="s">
        <v>455</v>
      </c>
      <c r="I9" s="814"/>
      <c r="J9" s="216" t="str">
        <f>+'25'!J9</f>
        <v>F 13 VP OW</v>
      </c>
      <c r="K9" s="238"/>
      <c r="L9" s="238"/>
      <c r="M9" s="121">
        <f>+K9+'25'!M9+L9</f>
        <v>100014</v>
      </c>
      <c r="N9" s="153">
        <v>1395</v>
      </c>
      <c r="O9" s="153">
        <f>+N9-N9*0.24</f>
        <v>1060.2</v>
      </c>
      <c r="P9" s="534"/>
    </row>
    <row r="10" spans="1:19" ht="13.5" thickBot="1">
      <c r="A10" s="811"/>
      <c r="B10" s="217"/>
      <c r="C10" s="218"/>
      <c r="D10" s="219"/>
      <c r="E10" s="221"/>
      <c r="F10" s="231"/>
      <c r="G10" s="558"/>
      <c r="H10" s="561" t="s">
        <v>820</v>
      </c>
      <c r="I10" s="814"/>
      <c r="J10" s="216" t="str">
        <f>+'25'!J10</f>
        <v>T 12 VP OW</v>
      </c>
      <c r="K10" s="238"/>
      <c r="L10" s="238"/>
      <c r="M10" s="121">
        <f>+K10+'25'!M10+L10</f>
        <v>23281</v>
      </c>
      <c r="N10" s="539"/>
      <c r="P10" s="534"/>
    </row>
    <row r="11" spans="1:19" ht="26.25" thickBot="1">
      <c r="A11" s="811"/>
      <c r="B11" s="217"/>
      <c r="C11" s="218"/>
      <c r="D11" s="219"/>
      <c r="E11" s="221"/>
      <c r="F11" s="481"/>
      <c r="G11" s="482"/>
      <c r="H11" s="230" t="s">
        <v>823</v>
      </c>
      <c r="I11" s="814"/>
      <c r="J11" s="216" t="str">
        <f>+'25'!J11</f>
        <v>T 13,5 VP OW</v>
      </c>
      <c r="K11" s="238"/>
      <c r="L11" s="238"/>
      <c r="M11" s="121">
        <f>+K11+'25'!M11+L11</f>
        <v>15672</v>
      </c>
      <c r="Q11" s="178"/>
    </row>
    <row r="12" spans="1:19" ht="26.25" thickBot="1">
      <c r="A12" s="811"/>
      <c r="B12" s="217"/>
      <c r="C12" s="218"/>
      <c r="D12" s="219"/>
      <c r="E12" s="221"/>
      <c r="F12" s="228"/>
      <c r="G12" s="232"/>
      <c r="H12" s="233" t="s">
        <v>824</v>
      </c>
      <c r="I12" s="814"/>
      <c r="J12" s="216" t="str">
        <f>+'25'!J12</f>
        <v>F 12 VP OW</v>
      </c>
      <c r="K12" s="238"/>
      <c r="L12" s="238"/>
      <c r="M12" s="121">
        <f>+K12+'25'!M12+L12</f>
        <v>246368</v>
      </c>
      <c r="R12" s="178"/>
      <c r="S12" s="178"/>
    </row>
    <row r="13" spans="1:19" ht="51.75" thickBot="1">
      <c r="A13" s="811"/>
      <c r="B13" s="217"/>
      <c r="C13" s="218"/>
      <c r="D13" s="218"/>
      <c r="E13" s="221"/>
      <c r="F13" s="228"/>
      <c r="G13" s="232"/>
      <c r="H13" s="233" t="s">
        <v>826</v>
      </c>
      <c r="I13" s="815"/>
      <c r="J13" s="216" t="str">
        <f>+'25'!J13</f>
        <v>T 12,5 VP OW</v>
      </c>
      <c r="K13" s="238">
        <f>+C34</f>
        <v>42771</v>
      </c>
      <c r="L13" s="238"/>
      <c r="M13" s="121">
        <f>+K13+'25'!M13+L13</f>
        <v>371042</v>
      </c>
    </row>
    <row r="14" spans="1:19" ht="13.5" thickBot="1">
      <c r="A14" s="812"/>
      <c r="B14" s="169" t="s">
        <v>2</v>
      </c>
      <c r="C14" s="115">
        <f>SUM(C7:C13)</f>
        <v>15051</v>
      </c>
      <c r="D14" s="115">
        <f>SUM(D7:D13)</f>
        <v>0</v>
      </c>
      <c r="E14" s="116">
        <f>SUM(E5:E13)</f>
        <v>0</v>
      </c>
      <c r="F14" s="106">
        <f>SUM(F6:F13)</f>
        <v>23</v>
      </c>
      <c r="G14" s="163"/>
      <c r="H14" s="170" t="s">
        <v>825</v>
      </c>
      <c r="I14" s="171"/>
      <c r="J14" s="216" t="str">
        <f>+'25'!J14</f>
        <v>T 14 VP OW</v>
      </c>
      <c r="K14" s="238"/>
      <c r="L14" s="238"/>
      <c r="M14" s="121">
        <f>+K14+'25'!M14+L14</f>
        <v>88884</v>
      </c>
    </row>
    <row r="15" spans="1:19" ht="13.5" customHeight="1" thickBot="1">
      <c r="A15" s="810" t="s">
        <v>374</v>
      </c>
      <c r="B15" s="510"/>
      <c r="C15" s="118">
        <f>C14/($C$23+$D$23+$E$23)</f>
        <v>1.0531803232803862</v>
      </c>
      <c r="D15" s="118">
        <f>D14/($C$23+$D$23+$E$23)</f>
        <v>0</v>
      </c>
      <c r="E15" s="119">
        <f>E14/($C$23+$D$23+$E$23)</f>
        <v>0</v>
      </c>
      <c r="F15" s="231">
        <v>5</v>
      </c>
      <c r="G15" s="558" t="s">
        <v>11</v>
      </c>
      <c r="H15" s="559" t="s">
        <v>522</v>
      </c>
      <c r="I15" s="813" t="s">
        <v>835</v>
      </c>
      <c r="J15" s="216" t="str">
        <f>+'25'!J15</f>
        <v>T 15 VP OW</v>
      </c>
      <c r="K15" s="238"/>
      <c r="L15" s="238"/>
      <c r="M15" s="121">
        <f>+K15+'25'!M15+L15</f>
        <v>65211</v>
      </c>
      <c r="N15" s="539"/>
      <c r="P15" s="534"/>
    </row>
    <row r="16" spans="1:19" ht="13.5" thickBot="1">
      <c r="A16" s="816"/>
      <c r="B16" s="512" t="s">
        <v>431</v>
      </c>
      <c r="C16" s="511">
        <v>12791</v>
      </c>
      <c r="D16" s="223">
        <v>1500</v>
      </c>
      <c r="E16" s="224"/>
      <c r="F16" s="231"/>
      <c r="G16" s="560" t="s">
        <v>11</v>
      </c>
      <c r="H16" s="559" t="s">
        <v>426</v>
      </c>
      <c r="I16" s="814"/>
      <c r="J16" s="216" t="str">
        <f>+'25'!J16</f>
        <v>T 17 VP OW</v>
      </c>
      <c r="K16" s="229"/>
      <c r="L16" s="229"/>
      <c r="M16" s="121">
        <f>+K16+'25'!M16+L16</f>
        <v>22278</v>
      </c>
      <c r="P16" s="534"/>
    </row>
    <row r="17" spans="1:19" ht="13.5" thickBot="1">
      <c r="A17" s="816"/>
      <c r="B17" s="217"/>
      <c r="C17" s="218"/>
      <c r="D17" s="219"/>
      <c r="E17" s="225"/>
      <c r="F17" s="231">
        <v>10</v>
      </c>
      <c r="G17" s="560" t="s">
        <v>11</v>
      </c>
      <c r="H17" s="561" t="s">
        <v>455</v>
      </c>
      <c r="I17" s="814"/>
      <c r="J17" s="216" t="str">
        <f>+'25'!J17</f>
        <v>T 14,5 VP OW</v>
      </c>
      <c r="K17" s="229"/>
      <c r="L17" s="229"/>
      <c r="M17" s="121">
        <f>+K17+'25'!M17+L17</f>
        <v>37152</v>
      </c>
      <c r="P17" s="534"/>
    </row>
    <row r="18" spans="1:19" ht="13.5" thickBot="1">
      <c r="A18" s="816"/>
      <c r="B18" s="217"/>
      <c r="C18" s="218"/>
      <c r="D18" s="219"/>
      <c r="E18" s="225"/>
      <c r="F18" s="231"/>
      <c r="G18" s="558"/>
      <c r="H18" s="561" t="s">
        <v>820</v>
      </c>
      <c r="I18" s="814"/>
      <c r="J18" s="216" t="str">
        <f>+'25'!J18</f>
        <v>T 18 VP OW</v>
      </c>
      <c r="K18" s="238"/>
      <c r="L18" s="238"/>
      <c r="M18" s="121">
        <f>+K18+'25'!M18+L18</f>
        <v>33402</v>
      </c>
      <c r="Q18" s="178"/>
    </row>
    <row r="19" spans="1:19" ht="26.25" thickBot="1">
      <c r="A19" s="816"/>
      <c r="B19" s="217"/>
      <c r="C19" s="218"/>
      <c r="D19" s="219"/>
      <c r="E19" s="225"/>
      <c r="F19" s="228"/>
      <c r="G19" s="232"/>
      <c r="H19" s="230" t="s">
        <v>830</v>
      </c>
      <c r="I19" s="814"/>
      <c r="J19" s="216">
        <f>+'25'!J19</f>
        <v>0</v>
      </c>
      <c r="K19" s="238"/>
      <c r="L19" s="238"/>
      <c r="M19" s="121">
        <f>+K19+'25'!M19+L19</f>
        <v>0</v>
      </c>
      <c r="R19" s="178"/>
      <c r="S19" s="178"/>
    </row>
    <row r="20" spans="1:19" ht="26.25" thickBot="1">
      <c r="A20" s="816"/>
      <c r="B20" s="217"/>
      <c r="C20" s="218"/>
      <c r="D20" s="219"/>
      <c r="E20" s="225"/>
      <c r="F20" s="228"/>
      <c r="G20" s="232"/>
      <c r="H20" s="233" t="s">
        <v>831</v>
      </c>
      <c r="I20" s="814"/>
      <c r="J20" s="216">
        <f>+'25'!J20</f>
        <v>0</v>
      </c>
      <c r="K20" s="239"/>
      <c r="L20" s="239"/>
      <c r="M20" s="121">
        <f>+K20+'25'!M20+L20</f>
        <v>0</v>
      </c>
    </row>
    <row r="21" spans="1:19" ht="13.5" thickBot="1">
      <c r="A21" s="816"/>
      <c r="B21" s="217"/>
      <c r="C21" s="218"/>
      <c r="D21" s="219"/>
      <c r="E21" s="225"/>
      <c r="F21" s="231"/>
      <c r="G21" s="232"/>
      <c r="H21" s="233" t="s">
        <v>832</v>
      </c>
      <c r="I21" s="814"/>
      <c r="J21" s="216">
        <f>+'25'!J21</f>
        <v>0</v>
      </c>
      <c r="K21" s="238"/>
      <c r="L21" s="238"/>
      <c r="M21" s="121">
        <f>+K21+'25'!M21+L21</f>
        <v>0</v>
      </c>
    </row>
    <row r="22" spans="1:19" ht="26.25" thickBot="1">
      <c r="A22" s="816"/>
      <c r="B22" s="217"/>
      <c r="C22" s="218"/>
      <c r="D22" s="219"/>
      <c r="E22" s="225"/>
      <c r="F22" s="235"/>
      <c r="G22" s="232"/>
      <c r="H22" s="233" t="s">
        <v>833</v>
      </c>
      <c r="I22" s="815"/>
      <c r="J22" s="216">
        <f>+'25'!J22</f>
        <v>0</v>
      </c>
      <c r="K22" s="238"/>
      <c r="L22" s="238"/>
      <c r="M22" s="121">
        <f>+K22+'25'!M22+L22</f>
        <v>0</v>
      </c>
    </row>
    <row r="23" spans="1:19" ht="13.5" thickBot="1">
      <c r="A23" s="817"/>
      <c r="B23" s="169" t="s">
        <v>2</v>
      </c>
      <c r="C23" s="103">
        <f>SUM(C16:C22)</f>
        <v>12791</v>
      </c>
      <c r="D23" s="115">
        <f>SUM(D16:D22)</f>
        <v>1500</v>
      </c>
      <c r="E23" s="116">
        <f>SUM(E18:E22)</f>
        <v>0</v>
      </c>
      <c r="F23" s="106">
        <f>SUM(F15:F22)</f>
        <v>15</v>
      </c>
      <c r="G23" s="163"/>
      <c r="H23" s="170"/>
      <c r="I23" s="172"/>
      <c r="J23" s="216">
        <f>+'25'!J23</f>
        <v>0</v>
      </c>
      <c r="K23" s="238"/>
      <c r="L23" s="238"/>
      <c r="M23" s="121">
        <f>+K23+'25'!M23+L23</f>
        <v>0</v>
      </c>
    </row>
    <row r="24" spans="1:19" ht="13.5" customHeight="1" thickBot="1">
      <c r="A24" s="810" t="s">
        <v>239</v>
      </c>
      <c r="B24" s="510"/>
      <c r="C24" s="117">
        <f>C23/($C$23+$D$23+$E$23)</f>
        <v>0.89503883563081654</v>
      </c>
      <c r="D24" s="118">
        <f>D23/($C$23+$D$23+$E$23)</f>
        <v>0.1049611643691834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837</v>
      </c>
      <c r="J24" s="216">
        <f>+'25'!J24</f>
        <v>0</v>
      </c>
      <c r="K24" s="238"/>
      <c r="L24" s="238"/>
      <c r="M24" s="121">
        <f>+K24+'25'!M24+L24</f>
        <v>0</v>
      </c>
    </row>
    <row r="25" spans="1:19" ht="13.5" thickBot="1">
      <c r="A25" s="818"/>
      <c r="B25" s="512" t="s">
        <v>431</v>
      </c>
      <c r="C25" s="226">
        <v>14929</v>
      </c>
      <c r="D25" s="219">
        <v>1000</v>
      </c>
      <c r="E25" s="225"/>
      <c r="F25" s="231"/>
      <c r="G25" s="560" t="s">
        <v>11</v>
      </c>
      <c r="H25" s="559" t="s">
        <v>426</v>
      </c>
      <c r="I25" s="814"/>
      <c r="J25" s="216">
        <f>+'25'!J25</f>
        <v>0</v>
      </c>
      <c r="K25" s="238"/>
      <c r="L25" s="238"/>
      <c r="M25" s="121">
        <f>+K25+'25'!M25+L25</f>
        <v>0</v>
      </c>
      <c r="N25" s="539"/>
      <c r="O25" s="540"/>
      <c r="P25" s="541"/>
      <c r="Q25" s="540"/>
    </row>
    <row r="26" spans="1:19" ht="13.5" thickBot="1">
      <c r="A26" s="818"/>
      <c r="B26" s="217"/>
      <c r="C26" s="226"/>
      <c r="D26" s="219"/>
      <c r="E26" s="227"/>
      <c r="F26" s="231">
        <v>10</v>
      </c>
      <c r="G26" s="560" t="s">
        <v>11</v>
      </c>
      <c r="H26" s="561" t="s">
        <v>455</v>
      </c>
      <c r="I26" s="814"/>
      <c r="J26" s="216">
        <f>+'25'!J26</f>
        <v>0</v>
      </c>
      <c r="K26" s="238"/>
      <c r="L26" s="238"/>
      <c r="M26" s="121">
        <f>+K26+'25'!M26+L26</f>
        <v>0</v>
      </c>
      <c r="N26" s="531">
        <v>1395</v>
      </c>
      <c r="O26" s="153">
        <f>+N26-N26*0.24</f>
        <v>1060.2</v>
      </c>
      <c r="P26" s="153">
        <f>180+18</f>
        <v>198</v>
      </c>
      <c r="Q26" s="153">
        <f>+N26*P26</f>
        <v>276210</v>
      </c>
      <c r="R26" s="153">
        <f>+O26*P26</f>
        <v>209919.6</v>
      </c>
    </row>
    <row r="27" spans="1:19" ht="13.5" thickBot="1">
      <c r="A27" s="818"/>
      <c r="B27" s="217"/>
      <c r="C27" s="218"/>
      <c r="D27" s="219"/>
      <c r="E27" s="225"/>
      <c r="F27" s="231"/>
      <c r="G27" s="558"/>
      <c r="H27" s="561" t="s">
        <v>820</v>
      </c>
      <c r="I27" s="814"/>
      <c r="J27" s="216">
        <f>+'25'!J27</f>
        <v>0</v>
      </c>
      <c r="K27" s="238"/>
      <c r="L27" s="238"/>
      <c r="M27" s="121">
        <f>+K27+'25'!M27+L27</f>
        <v>0</v>
      </c>
      <c r="N27" s="153">
        <v>1390</v>
      </c>
      <c r="O27" s="153">
        <f>+N27-N27*0.24</f>
        <v>1056.4000000000001</v>
      </c>
      <c r="P27" s="153">
        <f>60-18+240</f>
        <v>282</v>
      </c>
      <c r="Q27" s="153">
        <f>+N27*P27</f>
        <v>391980</v>
      </c>
      <c r="R27" s="153">
        <f>+O27*P27</f>
        <v>297904.80000000005</v>
      </c>
    </row>
    <row r="28" spans="1:19" ht="26.25" thickBot="1">
      <c r="A28" s="818"/>
      <c r="B28" s="217"/>
      <c r="C28" s="218"/>
      <c r="D28" s="219"/>
      <c r="E28" s="225"/>
      <c r="F28" s="228"/>
      <c r="G28" s="232"/>
      <c r="H28" s="230" t="s">
        <v>827</v>
      </c>
      <c r="I28" s="814"/>
      <c r="J28" s="216">
        <f>+'25'!J28</f>
        <v>0</v>
      </c>
      <c r="K28" s="238"/>
      <c r="L28" s="238"/>
      <c r="M28" s="121">
        <f>+K28+'25'!M28+L28</f>
        <v>0</v>
      </c>
      <c r="P28" s="153">
        <f>SUM(P26:P27)</f>
        <v>480</v>
      </c>
      <c r="Q28" s="153">
        <f t="shared" ref="Q28:R28" si="0">SUM(Q26:Q27)</f>
        <v>668190</v>
      </c>
      <c r="R28" s="153">
        <f t="shared" si="0"/>
        <v>507824.4</v>
      </c>
    </row>
    <row r="29" spans="1:19" ht="13.5" thickBot="1">
      <c r="A29" s="818"/>
      <c r="B29" s="217"/>
      <c r="C29" s="218"/>
      <c r="D29" s="219"/>
      <c r="E29" s="225"/>
      <c r="F29" s="235"/>
      <c r="G29" s="232"/>
      <c r="H29" s="233" t="s">
        <v>828</v>
      </c>
      <c r="I29" s="814"/>
      <c r="J29" s="216">
        <f>+'25'!J29</f>
        <v>0</v>
      </c>
      <c r="K29" s="238"/>
      <c r="L29" s="238"/>
      <c r="M29" s="121">
        <f>+K29+'25'!M29+L29</f>
        <v>0</v>
      </c>
      <c r="Q29" s="153">
        <f>+Q28/P28</f>
        <v>1392.0625</v>
      </c>
      <c r="R29" s="153">
        <f>+R28/P28</f>
        <v>1057.9675</v>
      </c>
    </row>
    <row r="30" spans="1:19" ht="13.5" thickBot="1">
      <c r="A30" s="818"/>
      <c r="B30" s="217"/>
      <c r="C30" s="226"/>
      <c r="D30" s="219"/>
      <c r="E30" s="225"/>
      <c r="F30" s="235"/>
      <c r="G30" s="232"/>
      <c r="H30" s="233" t="s">
        <v>829</v>
      </c>
      <c r="I30" s="814"/>
      <c r="J30" s="216">
        <f>+'25'!J30</f>
        <v>0</v>
      </c>
      <c r="K30" s="238"/>
      <c r="L30" s="238"/>
      <c r="M30" s="121">
        <f>+K30+'25'!M30+L30</f>
        <v>0</v>
      </c>
      <c r="N30" s="159"/>
    </row>
    <row r="31" spans="1:19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+'25'!J31</f>
        <v>0</v>
      </c>
      <c r="K31" s="238"/>
      <c r="L31" s="238"/>
      <c r="M31" s="121">
        <f>+K31+'25'!M31+L31</f>
        <v>0</v>
      </c>
    </row>
    <row r="32" spans="1:19" ht="13.5" thickBot="1">
      <c r="A32" s="819"/>
      <c r="B32" s="169" t="s">
        <v>2</v>
      </c>
      <c r="C32" s="103">
        <f>SUM(C25:C31)</f>
        <v>14929</v>
      </c>
      <c r="D32" s="104">
        <f>SUM(D25:D31)</f>
        <v>1000</v>
      </c>
      <c r="E32" s="105">
        <f>SUM(E25:E31)</f>
        <v>0</v>
      </c>
      <c r="F32" s="103">
        <f>SUM(F24:F31)</f>
        <v>10</v>
      </c>
      <c r="G32" s="173"/>
      <c r="H32" s="174"/>
      <c r="I32" s="172"/>
      <c r="J32" s="216">
        <f>+'25'!J32</f>
        <v>0</v>
      </c>
      <c r="K32" s="240"/>
      <c r="L32" s="242"/>
      <c r="M32" s="121">
        <f>+K32+'25'!M32+L32</f>
        <v>0</v>
      </c>
    </row>
    <row r="33" spans="1:14" ht="13.5" thickBot="1">
      <c r="A33" s="175"/>
      <c r="B33" s="176"/>
      <c r="C33" s="107">
        <f>C32/($C$32+$D$32+$E$32)</f>
        <v>0.93722142005147846</v>
      </c>
      <c r="D33" s="108">
        <f>D32/($C$32+$D$32+$E$32)</f>
        <v>6.2778579948521568E-2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42771</v>
      </c>
      <c r="D34" s="111">
        <f>D14+D23+D32</f>
        <v>2500</v>
      </c>
      <c r="E34" s="111">
        <f>E14+E23+E32</f>
        <v>0</v>
      </c>
      <c r="F34" s="112">
        <f>F14+F23+F32</f>
        <v>48</v>
      </c>
      <c r="H34" s="180"/>
      <c r="I34" s="180"/>
      <c r="J34" s="127" t="s">
        <v>27</v>
      </c>
      <c r="K34" s="128">
        <f>SUM(K7:K32)</f>
        <v>42771</v>
      </c>
      <c r="L34" s="214">
        <f>SUM(L7:L32)</f>
        <v>0</v>
      </c>
      <c r="M34" s="124">
        <f>SUM(M7:M32)</f>
        <v>1181495</v>
      </c>
      <c r="N34" s="159"/>
    </row>
    <row r="35" spans="1:14" ht="13.5" thickBot="1">
      <c r="A35" s="181"/>
      <c r="B35" s="182"/>
      <c r="C35" s="108">
        <f>C34/($C$34+$D$34+$E$34)</f>
        <v>0.94477700956462196</v>
      </c>
      <c r="D35" s="108">
        <f>D34/($C$34+$D$34+$E$34)</f>
        <v>5.522299043537806E-2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(12.5*1440)/1440*G42*2.85*1440/1000000</f>
        <v>54.350084249999995</v>
      </c>
      <c r="J37" s="129">
        <f>+I37+'25'!J37</f>
        <v>1389.4650234720114</v>
      </c>
      <c r="K37" s="130" t="s">
        <v>74</v>
      </c>
    </row>
    <row r="38" spans="1:14" ht="17.45" customHeight="1">
      <c r="A38" s="824" t="s">
        <v>11</v>
      </c>
      <c r="B38" s="825"/>
      <c r="C38" s="168">
        <f>SUMIF($G$7:$G$31,"Process",$F$7:$F$31)</f>
        <v>48</v>
      </c>
      <c r="D38" s="122">
        <f>+C38+'25'!D38</f>
        <v>1320</v>
      </c>
      <c r="E38" s="147">
        <f t="shared" ref="E38:E51" si="1">D38/60</f>
        <v>22</v>
      </c>
      <c r="F38" s="334">
        <v>1395</v>
      </c>
      <c r="G38" s="334">
        <f>+F38-F38*0.24</f>
        <v>1060.2</v>
      </c>
      <c r="H38" s="189" t="s">
        <v>75</v>
      </c>
      <c r="I38" s="581">
        <f>15.685+15.31+17.101</f>
        <v>48.096000000000004</v>
      </c>
      <c r="J38" s="131">
        <f>+I38+'25'!J38</f>
        <v>1274.117</v>
      </c>
      <c r="K38" s="132" t="s">
        <v>74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+C39+'25'!D39</f>
        <v>0</v>
      </c>
      <c r="E39" s="147">
        <f t="shared" si="1"/>
        <v>0</v>
      </c>
      <c r="F39" s="334">
        <v>1395</v>
      </c>
      <c r="G39" s="334">
        <f>+F39-F39*0.24</f>
        <v>1060.2</v>
      </c>
      <c r="H39" s="189" t="s">
        <v>76</v>
      </c>
      <c r="I39" s="146"/>
      <c r="J39" s="133">
        <f>J37/G4</f>
        <v>53.440962441231207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+C40+'25'!D40</f>
        <v>101</v>
      </c>
      <c r="E40" s="147">
        <f t="shared" ca="1" si="1"/>
        <v>1.6833333333333333</v>
      </c>
      <c r="F40" s="334">
        <v>1392.0625</v>
      </c>
      <c r="G40" s="334">
        <v>1057.9675</v>
      </c>
      <c r="H40" s="189" t="s">
        <v>78</v>
      </c>
      <c r="I40" s="122">
        <f>(K34+L34)/1000</f>
        <v>42.771000000000001</v>
      </c>
      <c r="J40" s="135">
        <f>+I40+'25'!J40</f>
        <v>1181.4949999999999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+C41+'25'!D41</f>
        <v>50</v>
      </c>
      <c r="E41" s="147">
        <f t="shared" ca="1" si="1"/>
        <v>0.83333333333333337</v>
      </c>
      <c r="F41" s="334"/>
      <c r="G41" s="334"/>
      <c r="H41" s="189" t="s">
        <v>80</v>
      </c>
      <c r="I41" s="146"/>
      <c r="J41" s="133">
        <f>J40/G4</f>
        <v>45.442115384615377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+C42+'25'!D42</f>
        <v>0</v>
      </c>
      <c r="E42" s="147">
        <f t="shared" ca="1" si="1"/>
        <v>0</v>
      </c>
      <c r="F42" s="334">
        <f>+(F38*480+F39*480+F40*480)/1440</f>
        <v>1394.0208333333333</v>
      </c>
      <c r="G42" s="334">
        <f>+(G38*480+G39*480+G40*480)/1440</f>
        <v>1059.4558333333332</v>
      </c>
      <c r="H42" s="189" t="s">
        <v>81</v>
      </c>
      <c r="I42" s="245" t="s">
        <v>838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+C43+'25'!D43</f>
        <v>0</v>
      </c>
      <c r="E43" s="147">
        <f t="shared" ca="1" si="1"/>
        <v>0</v>
      </c>
      <c r="F43" s="334"/>
      <c r="G43" s="335"/>
      <c r="H43" s="190" t="s">
        <v>84</v>
      </c>
      <c r="I43" s="122">
        <f>+Report1!Z34</f>
        <v>135.80000000000001</v>
      </c>
      <c r="J43" s="137">
        <f>+I43+'25'!J43</f>
        <v>3260.7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+C44+'25'!D44</f>
        <v>0</v>
      </c>
      <c r="E44" s="147">
        <f t="shared" si="1"/>
        <v>0</v>
      </c>
      <c r="F44" s="334"/>
      <c r="G44" s="335"/>
      <c r="H44" s="190" t="s">
        <v>85</v>
      </c>
      <c r="I44" s="122">
        <f>I43/I38</f>
        <v>2.823519627411843</v>
      </c>
      <c r="J44" s="138">
        <f>J43/J38</f>
        <v>2.5591841251627598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+C45+'25'!D45</f>
        <v>0</v>
      </c>
      <c r="E45" s="147">
        <f t="shared" si="1"/>
        <v>0</v>
      </c>
      <c r="F45" s="334"/>
      <c r="G45" s="337"/>
      <c r="H45" s="190" t="s">
        <v>86</v>
      </c>
      <c r="I45" s="122">
        <f>I43/I40</f>
        <v>3.175048514180169</v>
      </c>
      <c r="J45" s="138">
        <f>J43/J40</f>
        <v>2.7598085476451444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+C46+'25'!D46</f>
        <v>0</v>
      </c>
      <c r="E46" s="147">
        <f t="shared" si="1"/>
        <v>0</v>
      </c>
      <c r="F46" s="334"/>
      <c r="G46" s="335"/>
      <c r="H46" s="190" t="s">
        <v>88</v>
      </c>
      <c r="I46" s="144">
        <f>+SUMIF(Listrik!AN33,"&gt;0")</f>
        <v>47430.329999999987</v>
      </c>
      <c r="J46" s="139">
        <f>+I46+'25'!J46</f>
        <v>1260003.9075999998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+C47+'25'!D47</f>
        <v>0</v>
      </c>
      <c r="E47" s="147">
        <f t="shared" si="1"/>
        <v>0</v>
      </c>
      <c r="F47" s="334"/>
      <c r="G47" s="335"/>
      <c r="H47" s="190" t="s">
        <v>91</v>
      </c>
      <c r="I47" s="122">
        <f>I46/I38</f>
        <v>986.15955588822317</v>
      </c>
      <c r="J47" s="139">
        <f>J46/J38</f>
        <v>988.92323672001851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+C48+'25'!D48</f>
        <v>0</v>
      </c>
      <c r="E48" s="147">
        <f t="shared" si="1"/>
        <v>0</v>
      </c>
      <c r="F48" s="334"/>
      <c r="G48" s="335"/>
      <c r="H48" s="190" t="s">
        <v>92</v>
      </c>
      <c r="I48" s="122">
        <f>I46/I40</f>
        <v>1108.9366626920107</v>
      </c>
      <c r="J48" s="139">
        <f>J46/J40</f>
        <v>1066.4487853101366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+C49+'25'!D49</f>
        <v>717</v>
      </c>
      <c r="E49" s="147">
        <f t="shared" si="1"/>
        <v>11.95</v>
      </c>
      <c r="F49" s="187"/>
      <c r="H49" s="190" t="s">
        <v>93</v>
      </c>
      <c r="I49" s="122">
        <v>0</v>
      </c>
      <c r="J49" s="139">
        <f>+I49+'25'!J49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+C50+'25'!D50</f>
        <v>0</v>
      </c>
      <c r="E50" s="147">
        <f t="shared" si="1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+C51+'25'!D51</f>
        <v>0</v>
      </c>
      <c r="E51" s="147">
        <f t="shared" si="1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48</v>
      </c>
      <c r="D52" s="148">
        <f ca="1">SUM(D38:D51)</f>
        <v>2188</v>
      </c>
      <c r="E52" s="149">
        <f ca="1">SUM(E38:E51)</f>
        <v>36.466666666666669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3.3333333333333333E-2</v>
      </c>
      <c r="D53" s="150">
        <f ca="1">D52/(24*60*G4)</f>
        <v>5.8440170940170941E-2</v>
      </c>
      <c r="E53" s="151">
        <f ca="1">E52/(G4*24)</f>
        <v>5.8440170940170941E-2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+D34+'25'!J56</f>
        <v>20645</v>
      </c>
      <c r="K56" s="203">
        <f>J56/(J40+J56/1000)/1000</f>
        <v>1.717354051940706E-2</v>
      </c>
    </row>
    <row r="57" spans="1:11">
      <c r="A57" s="178"/>
      <c r="I57" s="201" t="s">
        <v>100</v>
      </c>
      <c r="J57" s="202">
        <f>+E34+'25'!J57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topLeftCell="A7" zoomScale="80" zoomScaleNormal="80" zoomScaleSheetLayoutView="80" workbookViewId="0">
      <selection activeCell="D16" sqref="D16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140625" style="153" customWidth="1"/>
    <col min="14" max="16384" width="9.140625" style="153"/>
  </cols>
  <sheetData>
    <row r="1" spans="1:15" ht="15.75">
      <c r="A1" s="152"/>
    </row>
    <row r="2" spans="1:15" ht="15.75">
      <c r="A2" s="152" t="s">
        <v>236</v>
      </c>
    </row>
    <row r="3" spans="1:15" ht="15">
      <c r="A3" s="154"/>
    </row>
    <row r="4" spans="1:15" ht="20.25">
      <c r="A4" s="155" t="s">
        <v>3</v>
      </c>
      <c r="B4" s="156"/>
      <c r="F4" s="157" t="s">
        <v>28</v>
      </c>
      <c r="G4" s="158">
        <v>25</v>
      </c>
      <c r="H4" s="158" t="str">
        <f>+'1'!H4</f>
        <v>.10.25</v>
      </c>
    </row>
    <row r="5" spans="1:15" ht="13.5" thickBot="1">
      <c r="C5" s="159"/>
      <c r="D5" s="159"/>
    </row>
    <row r="6" spans="1:15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375+393+353</f>
        <v>1121</v>
      </c>
    </row>
    <row r="7" spans="1:15" ht="13.5" customHeight="1" thickBot="1">
      <c r="A7" s="810" t="s">
        <v>467</v>
      </c>
      <c r="B7" s="217" t="s">
        <v>431</v>
      </c>
      <c r="C7" s="218">
        <v>16074</v>
      </c>
      <c r="D7" s="219"/>
      <c r="E7" s="220"/>
      <c r="F7" s="231"/>
      <c r="G7" s="558" t="s">
        <v>11</v>
      </c>
      <c r="H7" s="559" t="s">
        <v>404</v>
      </c>
      <c r="I7" s="813" t="s">
        <v>834</v>
      </c>
      <c r="J7" s="216" t="str">
        <f>+'24'!J7</f>
        <v>T 12,5 VP OW</v>
      </c>
      <c r="K7" s="237"/>
      <c r="L7" s="241"/>
      <c r="M7" s="121">
        <f>+K7+'24'!M7+L7</f>
        <v>66326</v>
      </c>
    </row>
    <row r="8" spans="1:15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+'24'!J8</f>
        <v>F 12.5 VP OW</v>
      </c>
      <c r="K8" s="238"/>
      <c r="L8" s="238"/>
      <c r="M8" s="121">
        <f>+K8+'24'!M8+L8</f>
        <v>111865</v>
      </c>
      <c r="N8" s="153">
        <v>1390</v>
      </c>
      <c r="O8" s="534">
        <f>+N8-N8*0.24</f>
        <v>1056.4000000000001</v>
      </c>
    </row>
    <row r="9" spans="1:15" ht="13.5" thickBot="1">
      <c r="A9" s="811"/>
      <c r="B9" s="217"/>
      <c r="C9" s="218"/>
      <c r="D9" s="219"/>
      <c r="E9" s="222"/>
      <c r="F9" s="231">
        <v>10</v>
      </c>
      <c r="G9" s="560" t="s">
        <v>11</v>
      </c>
      <c r="H9" s="561" t="s">
        <v>455</v>
      </c>
      <c r="I9" s="814"/>
      <c r="J9" s="216" t="str">
        <f>+'24'!J9</f>
        <v>F 13 VP OW</v>
      </c>
      <c r="K9" s="238"/>
      <c r="L9" s="238"/>
      <c r="M9" s="121">
        <f>+K9+'24'!M9+L9</f>
        <v>100014</v>
      </c>
      <c r="N9" s="153">
        <v>1395</v>
      </c>
      <c r="O9" s="534">
        <f>+N9-N9*0.24</f>
        <v>1060.2</v>
      </c>
    </row>
    <row r="10" spans="1:15" ht="13.5" thickBot="1">
      <c r="A10" s="811"/>
      <c r="B10" s="217"/>
      <c r="C10" s="218"/>
      <c r="D10" s="219"/>
      <c r="E10" s="221"/>
      <c r="F10" s="231"/>
      <c r="G10" s="558"/>
      <c r="H10" s="561" t="s">
        <v>814</v>
      </c>
      <c r="I10" s="814"/>
      <c r="J10" s="216" t="str">
        <f>+'24'!J10</f>
        <v>T 12 VP OW</v>
      </c>
      <c r="K10" s="238"/>
      <c r="L10" s="238"/>
      <c r="M10" s="121">
        <f>+K10+'24'!M10+L10</f>
        <v>23281</v>
      </c>
      <c r="N10" s="153">
        <v>1395</v>
      </c>
      <c r="O10" s="534">
        <f>+N10-N10*0.24</f>
        <v>1060.2</v>
      </c>
    </row>
    <row r="11" spans="1:15" ht="13.5" thickBot="1">
      <c r="A11" s="811"/>
      <c r="B11" s="217"/>
      <c r="C11" s="218"/>
      <c r="D11" s="219"/>
      <c r="E11" s="221"/>
      <c r="F11" s="481"/>
      <c r="G11" s="482"/>
      <c r="H11" s="230" t="s">
        <v>815</v>
      </c>
      <c r="I11" s="814"/>
      <c r="J11" s="216" t="str">
        <f>+'24'!J11</f>
        <v>T 13,5 VP OW</v>
      </c>
      <c r="K11" s="238"/>
      <c r="L11" s="238"/>
      <c r="M11" s="121">
        <f>+K11+'24'!M11+L11</f>
        <v>15672</v>
      </c>
    </row>
    <row r="12" spans="1:15" ht="13.5" thickBot="1">
      <c r="A12" s="811"/>
      <c r="B12" s="217"/>
      <c r="C12" s="218"/>
      <c r="D12" s="219"/>
      <c r="E12" s="221"/>
      <c r="F12" s="228"/>
      <c r="G12" s="232"/>
      <c r="H12" s="233" t="s">
        <v>816</v>
      </c>
      <c r="I12" s="814"/>
      <c r="J12" s="216" t="str">
        <f>+'24'!J12</f>
        <v>F 12 VP OW</v>
      </c>
      <c r="K12" s="238"/>
      <c r="L12" s="238"/>
      <c r="M12" s="121">
        <f>+K12+'24'!M12+L12</f>
        <v>246368</v>
      </c>
    </row>
    <row r="13" spans="1:15" ht="13.5" thickBot="1">
      <c r="A13" s="811"/>
      <c r="B13" s="217"/>
      <c r="C13" s="218"/>
      <c r="D13" s="218"/>
      <c r="E13" s="221"/>
      <c r="F13" s="228"/>
      <c r="G13" s="232"/>
      <c r="H13" s="233"/>
      <c r="I13" s="815"/>
      <c r="J13" s="216" t="str">
        <f>+'24'!J13</f>
        <v>T 12,5 VP OW</v>
      </c>
      <c r="K13" s="238">
        <f>+C34</f>
        <v>46291</v>
      </c>
      <c r="L13" s="238"/>
      <c r="M13" s="121">
        <f>+K13+'24'!M13+L13</f>
        <v>328271</v>
      </c>
    </row>
    <row r="14" spans="1:15" ht="13.5" thickBot="1">
      <c r="A14" s="812"/>
      <c r="B14" s="169" t="s">
        <v>2</v>
      </c>
      <c r="C14" s="115">
        <f>SUM(C7:C13)</f>
        <v>16074</v>
      </c>
      <c r="D14" s="115">
        <f>SUM(D7:D13)</f>
        <v>0</v>
      </c>
      <c r="E14" s="116">
        <f>SUM(E5:E13)</f>
        <v>0</v>
      </c>
      <c r="F14" s="106">
        <f>SUM(F6:F13)</f>
        <v>10</v>
      </c>
      <c r="G14" s="163"/>
      <c r="H14" s="170"/>
      <c r="I14" s="171"/>
      <c r="J14" s="216" t="str">
        <f>+'24'!J14</f>
        <v>T 14 VP OW</v>
      </c>
      <c r="K14" s="238"/>
      <c r="L14" s="238"/>
      <c r="M14" s="121">
        <f>+K14+'24'!M14+L14</f>
        <v>88884</v>
      </c>
    </row>
    <row r="15" spans="1:15" ht="13.5" customHeight="1" thickBot="1">
      <c r="A15" s="810" t="s">
        <v>374</v>
      </c>
      <c r="B15" s="510"/>
      <c r="C15" s="118">
        <f>C14/($C$23+$D$23+$E$23)</f>
        <v>1.2149659863945579</v>
      </c>
      <c r="D15" s="118">
        <f>D14/($C$23+$D$23+$E$23)</f>
        <v>0</v>
      </c>
      <c r="E15" s="119">
        <f>E14/($C$23+$D$23+$E$23)</f>
        <v>0</v>
      </c>
      <c r="F15" s="231">
        <v>5</v>
      </c>
      <c r="G15" s="558" t="s">
        <v>11</v>
      </c>
      <c r="H15" s="559" t="s">
        <v>522</v>
      </c>
      <c r="I15" s="813" t="s">
        <v>835</v>
      </c>
      <c r="J15" s="216" t="str">
        <f>+'24'!J15</f>
        <v>T 15 VP OW</v>
      </c>
      <c r="K15" s="238"/>
      <c r="L15" s="238"/>
      <c r="M15" s="121">
        <f>+K15+'24'!M15+L15</f>
        <v>65211</v>
      </c>
    </row>
    <row r="16" spans="1:15" ht="13.5" thickBot="1">
      <c r="A16" s="816"/>
      <c r="B16" s="217" t="s">
        <v>431</v>
      </c>
      <c r="C16" s="511">
        <v>12630</v>
      </c>
      <c r="D16" s="223">
        <v>600</v>
      </c>
      <c r="E16" s="224"/>
      <c r="F16" s="231"/>
      <c r="G16" s="560" t="s">
        <v>11</v>
      </c>
      <c r="H16" s="559" t="s">
        <v>426</v>
      </c>
      <c r="I16" s="814"/>
      <c r="J16" s="216" t="str">
        <f>+'24'!J16</f>
        <v>T 17 VP OW</v>
      </c>
      <c r="K16" s="229"/>
      <c r="L16" s="229"/>
      <c r="M16" s="121">
        <f>+K16+'24'!M16+L16</f>
        <v>22278</v>
      </c>
      <c r="O16" s="534"/>
    </row>
    <row r="17" spans="1:15" ht="13.5" thickBot="1">
      <c r="A17" s="816"/>
      <c r="B17" s="217"/>
      <c r="C17" s="218"/>
      <c r="D17" s="219"/>
      <c r="E17" s="225"/>
      <c r="F17" s="231">
        <v>7</v>
      </c>
      <c r="G17" s="560" t="s">
        <v>11</v>
      </c>
      <c r="H17" s="561" t="s">
        <v>428</v>
      </c>
      <c r="I17" s="814"/>
      <c r="J17" s="216" t="str">
        <f>+'24'!J17</f>
        <v>T 14,5 VP OW</v>
      </c>
      <c r="K17" s="229"/>
      <c r="L17" s="229"/>
      <c r="M17" s="121">
        <f>+K17+'24'!M17+L17</f>
        <v>37152</v>
      </c>
    </row>
    <row r="18" spans="1:15" ht="13.5" thickBot="1">
      <c r="A18" s="816"/>
      <c r="B18" s="217"/>
      <c r="C18" s="218"/>
      <c r="D18" s="219"/>
      <c r="E18" s="225"/>
      <c r="F18" s="231"/>
      <c r="G18" s="558"/>
      <c r="H18" s="561" t="s">
        <v>820</v>
      </c>
      <c r="I18" s="814"/>
      <c r="J18" s="216" t="str">
        <f>+'24'!J18</f>
        <v>T 18 VP OW</v>
      </c>
      <c r="K18" s="238"/>
      <c r="L18" s="238"/>
      <c r="M18" s="121">
        <f>+K18+'24'!M18+L18</f>
        <v>33402</v>
      </c>
    </row>
    <row r="19" spans="1:15" ht="26.25" thickBot="1">
      <c r="A19" s="816"/>
      <c r="B19" s="217"/>
      <c r="C19" s="218"/>
      <c r="D19" s="219"/>
      <c r="E19" s="225"/>
      <c r="F19" s="228"/>
      <c r="G19" s="232"/>
      <c r="H19" s="230" t="s">
        <v>817</v>
      </c>
      <c r="I19" s="814"/>
      <c r="J19" s="216">
        <f>+'24'!J19</f>
        <v>0</v>
      </c>
      <c r="K19" s="238"/>
      <c r="L19" s="238"/>
      <c r="M19" s="121">
        <f>+K19+'24'!M19+L19</f>
        <v>0</v>
      </c>
    </row>
    <row r="20" spans="1:15" ht="26.25" thickBot="1">
      <c r="A20" s="816"/>
      <c r="B20" s="217"/>
      <c r="C20" s="218"/>
      <c r="D20" s="219"/>
      <c r="E20" s="225"/>
      <c r="F20" s="228"/>
      <c r="G20" s="232"/>
      <c r="H20" s="233" t="s">
        <v>818</v>
      </c>
      <c r="I20" s="814"/>
      <c r="J20" s="216">
        <f>+'24'!J20</f>
        <v>0</v>
      </c>
      <c r="K20" s="239"/>
      <c r="L20" s="239"/>
      <c r="M20" s="121">
        <f>+K20+'24'!M20+L20</f>
        <v>0</v>
      </c>
    </row>
    <row r="21" spans="1:15" ht="26.25" thickBot="1">
      <c r="A21" s="816"/>
      <c r="B21" s="217"/>
      <c r="C21" s="218"/>
      <c r="D21" s="219"/>
      <c r="E21" s="225"/>
      <c r="F21" s="231"/>
      <c r="G21" s="232"/>
      <c r="H21" s="233" t="s">
        <v>819</v>
      </c>
      <c r="I21" s="814"/>
      <c r="J21" s="216">
        <f>+'24'!J21</f>
        <v>0</v>
      </c>
      <c r="K21" s="238"/>
      <c r="L21" s="238"/>
      <c r="M21" s="121">
        <f>+K21+'24'!M21+L21</f>
        <v>0</v>
      </c>
    </row>
    <row r="22" spans="1:15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+'24'!J22</f>
        <v>0</v>
      </c>
      <c r="K22" s="238"/>
      <c r="L22" s="238"/>
      <c r="M22" s="121">
        <f>+K22+'24'!M22+L22</f>
        <v>0</v>
      </c>
    </row>
    <row r="23" spans="1:15" ht="13.5" thickBot="1">
      <c r="A23" s="817"/>
      <c r="B23" s="169" t="s">
        <v>2</v>
      </c>
      <c r="C23" s="103">
        <f>SUM(C16:C22)</f>
        <v>12630</v>
      </c>
      <c r="D23" s="115">
        <f>SUM(D16:D22)</f>
        <v>600</v>
      </c>
      <c r="E23" s="116">
        <f>SUM(E18:E22)</f>
        <v>0</v>
      </c>
      <c r="F23" s="106">
        <f>SUM(F15:F22)</f>
        <v>12</v>
      </c>
      <c r="G23" s="163"/>
      <c r="H23" s="170"/>
      <c r="I23" s="172"/>
      <c r="J23" s="216">
        <f>+'24'!J23</f>
        <v>0</v>
      </c>
      <c r="K23" s="238"/>
      <c r="L23" s="238"/>
      <c r="M23" s="121">
        <f>+K23+'24'!M23+L23</f>
        <v>0</v>
      </c>
    </row>
    <row r="24" spans="1:15" ht="13.5" customHeight="1" thickBot="1">
      <c r="A24" s="810" t="s">
        <v>239</v>
      </c>
      <c r="B24" s="510"/>
      <c r="C24" s="117">
        <f>C23/($C$23+$D$23+$E$23)</f>
        <v>0.95464852607709749</v>
      </c>
      <c r="D24" s="118">
        <f>D23/($C$23+$D$23+$E$23)</f>
        <v>4.5351473922902494E-2</v>
      </c>
      <c r="E24" s="119">
        <f>E23/($C$23+$D$23+$E$23)</f>
        <v>0</v>
      </c>
      <c r="F24" s="231">
        <v>10</v>
      </c>
      <c r="G24" s="558" t="s">
        <v>11</v>
      </c>
      <c r="H24" s="559" t="s">
        <v>456</v>
      </c>
      <c r="I24" s="813" t="s">
        <v>835</v>
      </c>
      <c r="J24" s="216">
        <f>+'24'!J24</f>
        <v>0</v>
      </c>
      <c r="K24" s="238"/>
      <c r="L24" s="238"/>
      <c r="M24" s="121">
        <f>+K24+'24'!M24+L24</f>
        <v>0</v>
      </c>
    </row>
    <row r="25" spans="1:15" ht="13.5" thickBot="1">
      <c r="A25" s="818"/>
      <c r="B25" s="217" t="s">
        <v>431</v>
      </c>
      <c r="C25" s="226">
        <v>17587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+'24'!J25</f>
        <v>0</v>
      </c>
      <c r="K25" s="238"/>
      <c r="L25" s="238"/>
      <c r="M25" s="121">
        <f>+K25+'24'!M25+L25</f>
        <v>0</v>
      </c>
      <c r="O25" s="534"/>
    </row>
    <row r="26" spans="1:15" ht="13.5" thickBot="1">
      <c r="A26" s="818"/>
      <c r="B26" s="217"/>
      <c r="C26" s="226"/>
      <c r="D26" s="219"/>
      <c r="E26" s="227"/>
      <c r="F26" s="231">
        <v>12</v>
      </c>
      <c r="G26" s="560" t="s">
        <v>11</v>
      </c>
      <c r="H26" s="561" t="s">
        <v>455</v>
      </c>
      <c r="I26" s="814"/>
      <c r="J26" s="216">
        <f>+'24'!J26</f>
        <v>0</v>
      </c>
      <c r="K26" s="238"/>
      <c r="L26" s="238"/>
      <c r="M26" s="121">
        <f>+K26+'24'!M26+L26</f>
        <v>0</v>
      </c>
    </row>
    <row r="27" spans="1:15" ht="13.5" thickBot="1">
      <c r="A27" s="818"/>
      <c r="B27" s="217"/>
      <c r="C27" s="218"/>
      <c r="D27" s="219"/>
      <c r="E27" s="225"/>
      <c r="F27" s="231"/>
      <c r="G27" s="558"/>
      <c r="H27" s="561" t="s">
        <v>820</v>
      </c>
      <c r="I27" s="814"/>
      <c r="J27" s="216">
        <f>+'24'!J27</f>
        <v>0</v>
      </c>
      <c r="K27" s="238"/>
      <c r="L27" s="238"/>
      <c r="M27" s="121">
        <f>+K27+'24'!M27+L27</f>
        <v>0</v>
      </c>
    </row>
    <row r="28" spans="1:15" ht="26.25" thickBot="1">
      <c r="A28" s="818"/>
      <c r="B28" s="217"/>
      <c r="C28" s="218"/>
      <c r="D28" s="219"/>
      <c r="E28" s="225"/>
      <c r="F28" s="228"/>
      <c r="G28" s="232"/>
      <c r="H28" s="230" t="s">
        <v>821</v>
      </c>
      <c r="I28" s="814"/>
      <c r="J28" s="216">
        <f>+'24'!J28</f>
        <v>0</v>
      </c>
      <c r="K28" s="238"/>
      <c r="L28" s="238"/>
      <c r="M28" s="121">
        <f>+K28+'24'!M28+L28</f>
        <v>0</v>
      </c>
    </row>
    <row r="29" spans="1:15" ht="26.25" thickBot="1">
      <c r="A29" s="818"/>
      <c r="B29" s="217"/>
      <c r="C29" s="218"/>
      <c r="D29" s="219"/>
      <c r="E29" s="225"/>
      <c r="F29" s="235"/>
      <c r="G29" s="232"/>
      <c r="H29" s="233" t="s">
        <v>822</v>
      </c>
      <c r="I29" s="814"/>
      <c r="J29" s="216">
        <f>+'24'!J29</f>
        <v>0</v>
      </c>
      <c r="K29" s="238"/>
      <c r="L29" s="238"/>
      <c r="M29" s="121">
        <f>+K29+'24'!M29+L29</f>
        <v>0</v>
      </c>
    </row>
    <row r="30" spans="1:15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+'24'!J30</f>
        <v>0</v>
      </c>
      <c r="K30" s="238"/>
      <c r="L30" s="238"/>
      <c r="M30" s="121">
        <f>+K30+'24'!M30+L30</f>
        <v>0</v>
      </c>
      <c r="N30" s="159"/>
    </row>
    <row r="31" spans="1:15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+'24'!J31</f>
        <v>0</v>
      </c>
      <c r="K31" s="238"/>
      <c r="L31" s="238"/>
      <c r="M31" s="121">
        <f>+K31+'24'!M31+L31</f>
        <v>0</v>
      </c>
    </row>
    <row r="32" spans="1:15" ht="13.5" thickBot="1">
      <c r="A32" s="819"/>
      <c r="B32" s="169" t="s">
        <v>2</v>
      </c>
      <c r="C32" s="103">
        <f>SUM(C25:C31)</f>
        <v>17587</v>
      </c>
      <c r="D32" s="104">
        <f>SUM(D25:D31)</f>
        <v>0</v>
      </c>
      <c r="E32" s="105">
        <f>SUM(E25:E31)</f>
        <v>0</v>
      </c>
      <c r="F32" s="103">
        <f>SUM(F24:F31)</f>
        <v>22</v>
      </c>
      <c r="G32" s="173"/>
      <c r="H32" s="174"/>
      <c r="I32" s="172"/>
      <c r="J32" s="216">
        <f>+'24'!J32</f>
        <v>0</v>
      </c>
      <c r="K32" s="240"/>
      <c r="L32" s="242"/>
      <c r="M32" s="121">
        <f>+K32+'24'!M32+L32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46291</v>
      </c>
      <c r="D34" s="111">
        <f>D14+D23+D32</f>
        <v>600</v>
      </c>
      <c r="E34" s="111">
        <f>E14+E23+E32</f>
        <v>0</v>
      </c>
      <c r="F34" s="112">
        <f>F14+F23+F32</f>
        <v>44</v>
      </c>
      <c r="H34" s="180"/>
      <c r="I34" s="180"/>
      <c r="J34" s="127" t="s">
        <v>27</v>
      </c>
      <c r="K34" s="128">
        <f>SUM(K7:K32)</f>
        <v>46291</v>
      </c>
      <c r="L34" s="214">
        <f>SUM(L7:L32)</f>
        <v>0</v>
      </c>
      <c r="M34" s="124">
        <f>SUM(M7:M32)</f>
        <v>1138724</v>
      </c>
      <c r="N34" s="159"/>
    </row>
    <row r="35" spans="1:14" ht="13.5" thickBot="1">
      <c r="A35" s="181"/>
      <c r="B35" s="182"/>
      <c r="C35" s="108">
        <f>C34/($C$34+$D$34+$E$34)</f>
        <v>0.98720436757586749</v>
      </c>
      <c r="D35" s="108">
        <f>D34/($C$34+$D$34+$E$34)</f>
        <v>1.2795632424132562E-2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(12.5*1440)/1440*G42*2.85*1440/1000000</f>
        <v>54.323280000000004</v>
      </c>
      <c r="J37" s="129">
        <f>+I37+'24'!J37</f>
        <v>1335.1149392220113</v>
      </c>
      <c r="K37" s="130" t="s">
        <v>74</v>
      </c>
    </row>
    <row r="38" spans="1:14" ht="17.45" customHeight="1">
      <c r="A38" s="824" t="s">
        <v>11</v>
      </c>
      <c r="B38" s="825"/>
      <c r="C38" s="168">
        <f>SUMIF($G$7:$G$31,"Process",$F$7:$F$31)</f>
        <v>44</v>
      </c>
      <c r="D38" s="122">
        <f>+C38+'24'!D38</f>
        <v>1272</v>
      </c>
      <c r="E38" s="147">
        <f t="shared" ref="E38:E51" si="0">D38/60</f>
        <v>21.2</v>
      </c>
      <c r="F38" s="334">
        <v>1390</v>
      </c>
      <c r="G38" s="334">
        <f>+F38-F38*0.24</f>
        <v>1056.4000000000001</v>
      </c>
      <c r="H38" s="189" t="s">
        <v>75</v>
      </c>
      <c r="I38" s="581">
        <f>17.318+15.186+16.397</f>
        <v>48.901000000000003</v>
      </c>
      <c r="J38" s="131">
        <f>+I38+'24'!J38</f>
        <v>1226.021</v>
      </c>
      <c r="K38" s="132" t="s">
        <v>74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+C39+'24'!D39</f>
        <v>0</v>
      </c>
      <c r="E39" s="147">
        <f t="shared" si="0"/>
        <v>0</v>
      </c>
      <c r="F39" s="334">
        <v>1395</v>
      </c>
      <c r="G39" s="334">
        <f>+F39-F39*0.24</f>
        <v>1060.2</v>
      </c>
      <c r="H39" s="189" t="s">
        <v>76</v>
      </c>
      <c r="I39" s="146"/>
      <c r="J39" s="133">
        <f>J37/G4</f>
        <v>53.404597568880455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+C40+'24'!D40</f>
        <v>101</v>
      </c>
      <c r="E40" s="147">
        <f t="shared" ca="1" si="0"/>
        <v>1.6833333333333333</v>
      </c>
      <c r="F40" s="334">
        <v>1395</v>
      </c>
      <c r="G40" s="334">
        <f>+F40-F40*0.24</f>
        <v>1060.2</v>
      </c>
      <c r="H40" s="189" t="s">
        <v>78</v>
      </c>
      <c r="I40" s="122">
        <f>(K34+L34)/1000</f>
        <v>46.290999999999997</v>
      </c>
      <c r="J40" s="135">
        <f>+I40+'24'!J40</f>
        <v>1138.7239999999999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+C41+'24'!D41</f>
        <v>50</v>
      </c>
      <c r="E41" s="147">
        <f t="shared" ca="1" si="0"/>
        <v>0.83333333333333337</v>
      </c>
      <c r="F41" s="334"/>
      <c r="G41" s="334"/>
      <c r="H41" s="189" t="s">
        <v>80</v>
      </c>
      <c r="I41" s="146"/>
      <c r="J41" s="133">
        <f>J40/G4</f>
        <v>45.548959999999994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+C42+'24'!D42</f>
        <v>0</v>
      </c>
      <c r="E42" s="147">
        <f t="shared" ca="1" si="0"/>
        <v>0</v>
      </c>
      <c r="F42" s="334">
        <f>+(F38*480+F39*480+F40*480)/1440</f>
        <v>1393.3333333333333</v>
      </c>
      <c r="G42" s="334">
        <f>+(G38*480+G39*480+G40*480)/1440</f>
        <v>1058.9333333333334</v>
      </c>
      <c r="H42" s="189" t="s">
        <v>81</v>
      </c>
      <c r="I42" s="245" t="s">
        <v>836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+C43+'24'!D43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+Report1!Z33</f>
        <v>134.9</v>
      </c>
      <c r="J43" s="137">
        <f>+I43+'24'!J43</f>
        <v>3124.8999999999996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+C44+'24'!D44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2.7586347927445245</v>
      </c>
      <c r="J44" s="138">
        <f>J43/J38</f>
        <v>2.5488144167188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+C45+'24'!D45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2.9141733814348365</v>
      </c>
      <c r="J45" s="138">
        <f>J43/J40</f>
        <v>2.7442119424900149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+C46+'24'!D46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+SUMIF(Listrik!AN32,"&gt;0")</f>
        <v>49875.960000000014</v>
      </c>
      <c r="J46" s="139">
        <f>+I46+'24'!J46</f>
        <v>1212573.5775999997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+C47+'24'!D47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1019.9374245925443</v>
      </c>
      <c r="J47" s="139">
        <f>J46/J38</f>
        <v>989.03165410706652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+C48+'24'!D48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1077.4439955930961</v>
      </c>
      <c r="J48" s="139">
        <f>J46/J40</f>
        <v>1064.8529209887556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+C49+'24'!D49</f>
        <v>717</v>
      </c>
      <c r="E49" s="147">
        <f t="shared" si="0"/>
        <v>11.95</v>
      </c>
      <c r="F49" s="187"/>
      <c r="H49" s="190" t="s">
        <v>93</v>
      </c>
      <c r="I49" s="122">
        <v>0</v>
      </c>
      <c r="J49" s="139">
        <f>+I49+'24'!J49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+C50+'24'!D50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+C51+'24'!D51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44</v>
      </c>
      <c r="D52" s="148">
        <f ca="1">SUM(D38:D51)</f>
        <v>2140</v>
      </c>
      <c r="E52" s="149">
        <f ca="1">SUM(E38:E51)</f>
        <v>35.666666666666664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3.0555555555555555E-2</v>
      </c>
      <c r="D53" s="150">
        <f ca="1">D52/(24*60*G4)</f>
        <v>5.9444444444444446E-2</v>
      </c>
      <c r="E53" s="151">
        <f ca="1">E52/(G4*24)</f>
        <v>5.9444444444444439E-2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+D34+'24'!J56</f>
        <v>18145</v>
      </c>
      <c r="K56" s="203">
        <f>J56/(J40+J56/1000)/1000</f>
        <v>1.5684576213901489E-2</v>
      </c>
    </row>
    <row r="57" spans="1:11">
      <c r="A57" s="178"/>
      <c r="I57" s="201" t="s">
        <v>100</v>
      </c>
      <c r="J57" s="202">
        <f>+E34+'24'!J57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topLeftCell="A16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3.5703125" style="153" customWidth="1"/>
    <col min="14" max="16384" width="9.140625" style="153"/>
  </cols>
  <sheetData>
    <row r="1" spans="1:27" ht="15.75">
      <c r="A1" s="152"/>
      <c r="V1" s="531"/>
    </row>
    <row r="2" spans="1:27" ht="15.75">
      <c r="A2" s="152" t="s">
        <v>236</v>
      </c>
      <c r="V2" s="531"/>
    </row>
    <row r="3" spans="1:27" ht="15">
      <c r="A3" s="154"/>
      <c r="Y3" s="178"/>
    </row>
    <row r="4" spans="1:27" ht="20.25">
      <c r="A4" s="155" t="s">
        <v>3</v>
      </c>
      <c r="B4" s="156"/>
      <c r="F4" s="157" t="s">
        <v>28</v>
      </c>
      <c r="G4" s="158">
        <v>24</v>
      </c>
      <c r="H4" s="158" t="str">
        <f>+'1'!H4</f>
        <v>.10.25</v>
      </c>
      <c r="Z4" s="178"/>
      <c r="AA4" s="178"/>
    </row>
    <row r="5" spans="1:27" ht="13.5" thickBot="1">
      <c r="C5" s="159"/>
      <c r="D5" s="159"/>
    </row>
    <row r="6" spans="1:27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423+332+384</f>
        <v>1139</v>
      </c>
      <c r="V6" s="532"/>
    </row>
    <row r="7" spans="1:27" ht="13.5" customHeight="1" thickBot="1">
      <c r="A7" s="810" t="s">
        <v>467</v>
      </c>
      <c r="B7" s="217" t="s">
        <v>431</v>
      </c>
      <c r="C7" s="218">
        <v>12738</v>
      </c>
      <c r="D7" s="219"/>
      <c r="E7" s="220"/>
      <c r="F7" s="231"/>
      <c r="G7" s="558" t="s">
        <v>11</v>
      </c>
      <c r="H7" s="559" t="s">
        <v>404</v>
      </c>
      <c r="I7" s="813" t="s">
        <v>798</v>
      </c>
      <c r="J7" s="216" t="str">
        <f>+'23'!J7</f>
        <v>T 12,5 VP OW</v>
      </c>
      <c r="K7" s="237"/>
      <c r="L7" s="241"/>
      <c r="M7" s="121">
        <f>+K7+'23'!M7+L7</f>
        <v>66326</v>
      </c>
      <c r="V7" s="537"/>
      <c r="W7" s="538"/>
      <c r="X7" s="538"/>
      <c r="Y7" s="538"/>
    </row>
    <row r="8" spans="1:27" ht="13.5" thickBot="1">
      <c r="A8" s="811"/>
      <c r="B8" s="217" t="s">
        <v>775</v>
      </c>
      <c r="C8" s="218">
        <v>2540</v>
      </c>
      <c r="D8" s="219"/>
      <c r="E8" s="221"/>
      <c r="F8" s="231">
        <v>2</v>
      </c>
      <c r="G8" s="560" t="s">
        <v>11</v>
      </c>
      <c r="H8" s="559" t="s">
        <v>513</v>
      </c>
      <c r="I8" s="814"/>
      <c r="J8" s="216" t="str">
        <f>+'23'!J8</f>
        <v>F 12.5 VP OW</v>
      </c>
      <c r="K8" s="238"/>
      <c r="L8" s="238"/>
      <c r="M8" s="121">
        <f>+K8+'23'!M8+L8</f>
        <v>111865</v>
      </c>
      <c r="N8" s="531">
        <v>1360</v>
      </c>
      <c r="O8" s="153">
        <f>+N8-N8*0.24</f>
        <v>1033.5999999999999</v>
      </c>
      <c r="P8" s="153">
        <f>180+10</f>
        <v>190</v>
      </c>
      <c r="Q8" s="153">
        <f>+N8*P8</f>
        <v>258400</v>
      </c>
      <c r="R8" s="153">
        <f>+O8*P8</f>
        <v>196383.99999999997</v>
      </c>
      <c r="V8" s="532"/>
    </row>
    <row r="9" spans="1:27" ht="13.5" thickBot="1">
      <c r="A9" s="811"/>
      <c r="B9" s="217" t="s">
        <v>458</v>
      </c>
      <c r="C9" s="218">
        <v>1222</v>
      </c>
      <c r="D9" s="219"/>
      <c r="E9" s="222"/>
      <c r="F9" s="231">
        <v>10</v>
      </c>
      <c r="G9" s="560" t="s">
        <v>11</v>
      </c>
      <c r="H9" s="561" t="s">
        <v>413</v>
      </c>
      <c r="I9" s="814"/>
      <c r="J9" s="216" t="str">
        <f>+'23'!J9</f>
        <v>F 13 VP OW</v>
      </c>
      <c r="K9" s="238"/>
      <c r="L9" s="238"/>
      <c r="M9" s="121">
        <f>+K9+'23'!M9+L9</f>
        <v>100014</v>
      </c>
      <c r="N9" s="532">
        <v>1050</v>
      </c>
      <c r="O9" s="153">
        <f>+N9-N9*0.2</f>
        <v>840</v>
      </c>
      <c r="P9" s="153">
        <f>50+26</f>
        <v>76</v>
      </c>
      <c r="Q9" s="153">
        <f>+N9*P9</f>
        <v>79800</v>
      </c>
      <c r="R9" s="153">
        <f>+O9*P9</f>
        <v>63840</v>
      </c>
      <c r="Y9" s="536"/>
    </row>
    <row r="10" spans="1:27" ht="13.5" thickBot="1">
      <c r="A10" s="811"/>
      <c r="B10" s="217"/>
      <c r="C10" s="218"/>
      <c r="D10" s="219"/>
      <c r="E10" s="221"/>
      <c r="F10" s="231"/>
      <c r="G10" s="558"/>
      <c r="H10" s="561" t="s">
        <v>792</v>
      </c>
      <c r="I10" s="814"/>
      <c r="J10" s="216" t="str">
        <f>+'23'!J10</f>
        <v>T 12 VP OW</v>
      </c>
      <c r="K10" s="238"/>
      <c r="L10" s="238"/>
      <c r="M10" s="121">
        <f>+K10+'23'!M10+L10</f>
        <v>23281</v>
      </c>
      <c r="N10" s="153">
        <v>1300</v>
      </c>
      <c r="O10" s="153">
        <f>+N10-N10*0.2</f>
        <v>1040</v>
      </c>
      <c r="P10" s="153">
        <f>60+19</f>
        <v>79</v>
      </c>
      <c r="Q10" s="153">
        <f>+N10*P10</f>
        <v>102700</v>
      </c>
      <c r="R10" s="153">
        <f>+O10*P10</f>
        <v>82160</v>
      </c>
      <c r="Z10" s="536"/>
      <c r="AA10" s="536"/>
    </row>
    <row r="11" spans="1:27" ht="26.25" thickBot="1">
      <c r="A11" s="811"/>
      <c r="B11" s="217"/>
      <c r="C11" s="218"/>
      <c r="D11" s="219"/>
      <c r="E11" s="221"/>
      <c r="F11" s="481"/>
      <c r="G11" s="232"/>
      <c r="H11" s="230" t="s">
        <v>797</v>
      </c>
      <c r="I11" s="814"/>
      <c r="J11" s="216" t="str">
        <f>+'23'!J11</f>
        <v>T 13,5 VP OW</v>
      </c>
      <c r="K11" s="238"/>
      <c r="L11" s="238"/>
      <c r="M11" s="121">
        <f>+K11+'23'!M11+L11</f>
        <v>15672</v>
      </c>
      <c r="N11" s="153">
        <v>1250</v>
      </c>
      <c r="O11" s="153">
        <f>+N11-N11*0.2</f>
        <v>1000</v>
      </c>
      <c r="P11" s="153">
        <f>15+120</f>
        <v>135</v>
      </c>
      <c r="Q11" s="153">
        <f>+N11*P11</f>
        <v>168750</v>
      </c>
      <c r="R11" s="153">
        <f>+O11*P11</f>
        <v>135000</v>
      </c>
      <c r="S11" s="178" t="s">
        <v>434</v>
      </c>
      <c r="T11" s="531">
        <v>1360</v>
      </c>
      <c r="U11" s="153">
        <f>+T11-T11*0.24</f>
        <v>1033.5999999999999</v>
      </c>
      <c r="V11" s="153">
        <f>180+10</f>
        <v>190</v>
      </c>
      <c r="W11" s="153">
        <f>+T11*V11</f>
        <v>258400</v>
      </c>
      <c r="X11" s="153">
        <f>+U11*V11</f>
        <v>196383.99999999997</v>
      </c>
    </row>
    <row r="12" spans="1:27" ht="26.25" thickBot="1">
      <c r="A12" s="811"/>
      <c r="B12" s="217"/>
      <c r="C12" s="218"/>
      <c r="D12" s="219"/>
      <c r="E12" s="221"/>
      <c r="F12" s="228"/>
      <c r="G12" s="232"/>
      <c r="H12" s="233" t="s">
        <v>804</v>
      </c>
      <c r="I12" s="814"/>
      <c r="J12" s="216" t="str">
        <f>+'23'!J12</f>
        <v>F 12 VP OW</v>
      </c>
      <c r="K12" s="238"/>
      <c r="L12" s="238"/>
      <c r="M12" s="121">
        <f>+K12+'23'!M12+L12</f>
        <v>246368</v>
      </c>
      <c r="P12" s="153">
        <f>SUM(P8:P11)</f>
        <v>480</v>
      </c>
      <c r="Q12" s="153">
        <f t="shared" ref="Q12:R12" si="0">SUM(Q8:Q11)</f>
        <v>609650</v>
      </c>
      <c r="R12" s="153">
        <f t="shared" si="0"/>
        <v>477384</v>
      </c>
      <c r="T12" s="153">
        <v>1300</v>
      </c>
      <c r="U12" s="536">
        <v>1001</v>
      </c>
      <c r="V12" s="153">
        <v>329</v>
      </c>
      <c r="W12" s="153">
        <f t="shared" ref="W12:W13" si="1">+T12*V12</f>
        <v>427700</v>
      </c>
      <c r="X12" s="153">
        <f t="shared" ref="X12:X13" si="2">+U12*V12</f>
        <v>329329</v>
      </c>
    </row>
    <row r="13" spans="1:27" ht="39" thickBot="1">
      <c r="A13" s="811"/>
      <c r="B13" s="217"/>
      <c r="C13" s="218"/>
      <c r="D13" s="218"/>
      <c r="E13" s="221"/>
      <c r="F13" s="228"/>
      <c r="G13" s="232"/>
      <c r="H13" s="233" t="s">
        <v>805</v>
      </c>
      <c r="I13" s="815"/>
      <c r="J13" s="216" t="str">
        <f>+'23'!J13</f>
        <v>T 12,5 VP OW</v>
      </c>
      <c r="K13" s="238">
        <f>+C7+C16+C25</f>
        <v>25766</v>
      </c>
      <c r="L13" s="238"/>
      <c r="M13" s="121">
        <f>+K13+'23'!M13+L13</f>
        <v>281980</v>
      </c>
      <c r="Q13" s="153">
        <f>+Q12/P12</f>
        <v>1270.1041666666667</v>
      </c>
      <c r="R13" s="153">
        <f>+R12/P12</f>
        <v>994.55</v>
      </c>
      <c r="T13" s="531">
        <v>1320</v>
      </c>
      <c r="U13" s="153">
        <v>1003.2</v>
      </c>
      <c r="V13" s="153">
        <f>100+320</f>
        <v>420</v>
      </c>
      <c r="W13" s="153">
        <f t="shared" si="1"/>
        <v>554400</v>
      </c>
      <c r="X13" s="153">
        <f t="shared" si="2"/>
        <v>421344</v>
      </c>
    </row>
    <row r="14" spans="1:27" ht="13.5" thickBot="1">
      <c r="A14" s="812"/>
      <c r="B14" s="169" t="s">
        <v>2</v>
      </c>
      <c r="C14" s="115">
        <f>SUM(C7:C13)</f>
        <v>16500</v>
      </c>
      <c r="D14" s="115">
        <f>SUM(D7:D13)</f>
        <v>0</v>
      </c>
      <c r="E14" s="116">
        <f>SUM(E5:E13)</f>
        <v>0</v>
      </c>
      <c r="F14" s="106">
        <f>SUM(F6:F13)</f>
        <v>12</v>
      </c>
      <c r="G14" s="163"/>
      <c r="H14" s="170"/>
      <c r="I14" s="171"/>
      <c r="J14" s="216" t="str">
        <f>+'23'!J14</f>
        <v>T 14 VP OW</v>
      </c>
      <c r="K14" s="238"/>
      <c r="L14" s="238"/>
      <c r="M14" s="121">
        <f>+K14+'23'!M14+L14</f>
        <v>88884</v>
      </c>
      <c r="V14" s="153">
        <f>SUM(V11:V13)</f>
        <v>939</v>
      </c>
      <c r="W14" s="153">
        <f t="shared" ref="W14" si="3">SUM(W11:W13)</f>
        <v>1240500</v>
      </c>
      <c r="X14" s="153">
        <f t="shared" ref="X14" si="4">SUM(X11:X13)</f>
        <v>947057</v>
      </c>
    </row>
    <row r="15" spans="1:27" ht="13.5" customHeight="1" thickBot="1">
      <c r="A15" s="810" t="s">
        <v>374</v>
      </c>
      <c r="B15" s="510"/>
      <c r="C15" s="118">
        <f>C14/($C$23+$D$23+$E$23)</f>
        <v>1.2852469231967596</v>
      </c>
      <c r="D15" s="118">
        <f>D14/($C$23+$D$23+$E$23)</f>
        <v>0</v>
      </c>
      <c r="E15" s="119">
        <f>E14/($C$23+$D$23+$E$23)</f>
        <v>0</v>
      </c>
      <c r="F15" s="231"/>
      <c r="G15" s="558" t="s">
        <v>11</v>
      </c>
      <c r="H15" s="559" t="s">
        <v>404</v>
      </c>
      <c r="I15" s="813" t="s">
        <v>806</v>
      </c>
      <c r="J15" s="216" t="str">
        <f>+'23'!J15</f>
        <v>T 15 VP OW</v>
      </c>
      <c r="K15" s="238">
        <f>+C19+C26</f>
        <v>10201</v>
      </c>
      <c r="L15" s="238"/>
      <c r="M15" s="121">
        <f>+K15+'23'!M15+L15</f>
        <v>65211</v>
      </c>
      <c r="W15" s="153">
        <f>+W14/V14</f>
        <v>1321.0862619808306</v>
      </c>
      <c r="X15" s="153">
        <f>+X14/V14</f>
        <v>1008.580404685836</v>
      </c>
    </row>
    <row r="16" spans="1:27" ht="13.5" thickBot="1">
      <c r="A16" s="816"/>
      <c r="B16" s="217" t="s">
        <v>431</v>
      </c>
      <c r="C16" s="511">
        <v>3011</v>
      </c>
      <c r="D16" s="223">
        <v>490</v>
      </c>
      <c r="E16" s="224"/>
      <c r="F16" s="231"/>
      <c r="G16" s="560" t="s">
        <v>11</v>
      </c>
      <c r="H16" s="559" t="s">
        <v>426</v>
      </c>
      <c r="I16" s="814"/>
      <c r="J16" s="216" t="str">
        <f>+'23'!J16</f>
        <v>T 17 VP OW</v>
      </c>
      <c r="K16" s="229"/>
      <c r="L16" s="229"/>
      <c r="M16" s="121">
        <f>+K16+'23'!M16+L16</f>
        <v>22278</v>
      </c>
      <c r="N16" s="532">
        <v>1250</v>
      </c>
      <c r="O16" s="536">
        <f>+N16-N16*0.24</f>
        <v>950</v>
      </c>
      <c r="P16" s="536">
        <f>120+31</f>
        <v>151</v>
      </c>
      <c r="Q16" s="536">
        <f>+N16*P16</f>
        <v>188750</v>
      </c>
      <c r="R16" s="153">
        <f>+O16*P16</f>
        <v>143450</v>
      </c>
    </row>
    <row r="17" spans="1:24" ht="13.5" thickBot="1">
      <c r="A17" s="816"/>
      <c r="B17" s="217" t="s">
        <v>775</v>
      </c>
      <c r="C17" s="218">
        <v>665</v>
      </c>
      <c r="D17" s="219"/>
      <c r="E17" s="225"/>
      <c r="F17" s="231">
        <v>12</v>
      </c>
      <c r="G17" s="560" t="s">
        <v>11</v>
      </c>
      <c r="H17" s="561" t="s">
        <v>455</v>
      </c>
      <c r="I17" s="814"/>
      <c r="J17" s="216" t="str">
        <f>+'23'!J17</f>
        <v>T 14,5 VP OW</v>
      </c>
      <c r="K17" s="229">
        <f>+C9+C18</f>
        <v>3631</v>
      </c>
      <c r="L17" s="229"/>
      <c r="M17" s="121">
        <f>+K17+'23'!M17+L17</f>
        <v>37152</v>
      </c>
      <c r="N17" s="153">
        <v>1300</v>
      </c>
      <c r="O17" s="536">
        <f>+N17-N17*0.24</f>
        <v>988</v>
      </c>
      <c r="P17" s="153">
        <f>29+300</f>
        <v>329</v>
      </c>
      <c r="Q17" s="536">
        <f>+N17*P17</f>
        <v>427700</v>
      </c>
      <c r="R17" s="153">
        <f>+O17*P17</f>
        <v>325052</v>
      </c>
    </row>
    <row r="18" spans="1:24" ht="13.5" thickBot="1">
      <c r="A18" s="816"/>
      <c r="B18" s="217" t="s">
        <v>458</v>
      </c>
      <c r="C18" s="218">
        <v>2409</v>
      </c>
      <c r="D18" s="219"/>
      <c r="E18" s="225"/>
      <c r="F18" s="231"/>
      <c r="G18" s="558"/>
      <c r="H18" s="561" t="s">
        <v>799</v>
      </c>
      <c r="I18" s="814"/>
      <c r="J18" s="216" t="str">
        <f>+'23'!J18</f>
        <v>T 18 VP OW</v>
      </c>
      <c r="K18" s="238">
        <f>+C8+C17</f>
        <v>3205</v>
      </c>
      <c r="L18" s="238"/>
      <c r="M18" s="121">
        <f>+K18+'23'!M18+L18</f>
        <v>33402</v>
      </c>
      <c r="P18" s="153">
        <f>SUM(P16:P17)</f>
        <v>480</v>
      </c>
      <c r="Q18" s="153">
        <f t="shared" ref="Q18:R18" si="5">SUM(Q16:Q17)</f>
        <v>616450</v>
      </c>
      <c r="R18" s="153">
        <f t="shared" si="5"/>
        <v>468502</v>
      </c>
    </row>
    <row r="19" spans="1:24" ht="26.25" thickBot="1">
      <c r="A19" s="816"/>
      <c r="B19" s="217" t="s">
        <v>432</v>
      </c>
      <c r="C19" s="218">
        <v>5922</v>
      </c>
      <c r="D19" s="219">
        <v>341</v>
      </c>
      <c r="E19" s="225"/>
      <c r="F19" s="228"/>
      <c r="G19" s="232"/>
      <c r="H19" s="230" t="s">
        <v>793</v>
      </c>
      <c r="I19" s="814"/>
      <c r="J19" s="216">
        <f>+'23'!J19</f>
        <v>0</v>
      </c>
      <c r="K19" s="238"/>
      <c r="L19" s="238"/>
      <c r="M19" s="121">
        <f>+K19+'23'!M19+L19</f>
        <v>0</v>
      </c>
      <c r="Q19" s="153">
        <f>+Q18/P18</f>
        <v>1284.2708333333333</v>
      </c>
      <c r="R19" s="153">
        <f>+R18/P18</f>
        <v>976.04583333333335</v>
      </c>
    </row>
    <row r="20" spans="1:24" ht="13.5" thickBot="1">
      <c r="A20" s="816"/>
      <c r="B20" s="217"/>
      <c r="C20" s="218"/>
      <c r="D20" s="219"/>
      <c r="E20" s="225"/>
      <c r="F20" s="228"/>
      <c r="G20" s="232"/>
      <c r="H20" s="233" t="s">
        <v>794</v>
      </c>
      <c r="I20" s="814"/>
      <c r="J20" s="216">
        <f>+'23'!J20</f>
        <v>0</v>
      </c>
      <c r="K20" s="239"/>
      <c r="L20" s="238"/>
      <c r="M20" s="121">
        <f>+K20+'23'!M20+L20</f>
        <v>0</v>
      </c>
      <c r="S20" s="153" t="s">
        <v>435</v>
      </c>
      <c r="T20" s="153">
        <v>1250</v>
      </c>
      <c r="U20" s="153">
        <v>1000</v>
      </c>
      <c r="V20" s="153">
        <v>135</v>
      </c>
      <c r="W20" s="153">
        <v>168750</v>
      </c>
      <c r="X20" s="153">
        <v>135000</v>
      </c>
    </row>
    <row r="21" spans="1:24" ht="26.25" thickBot="1">
      <c r="A21" s="816"/>
      <c r="B21" s="217"/>
      <c r="C21" s="218"/>
      <c r="D21" s="219"/>
      <c r="E21" s="225"/>
      <c r="F21" s="231"/>
      <c r="G21" s="232"/>
      <c r="H21" s="233" t="s">
        <v>795</v>
      </c>
      <c r="I21" s="814"/>
      <c r="J21" s="216">
        <f>+'23'!J21</f>
        <v>0</v>
      </c>
      <c r="K21" s="238"/>
      <c r="L21" s="238"/>
      <c r="M21" s="121">
        <f>+K21+'23'!M21+L21</f>
        <v>0</v>
      </c>
      <c r="T21" s="532">
        <v>1250</v>
      </c>
      <c r="U21" s="536">
        <v>950</v>
      </c>
      <c r="V21" s="536">
        <v>151</v>
      </c>
      <c r="W21" s="536">
        <v>188750</v>
      </c>
      <c r="X21" s="153">
        <v>143450</v>
      </c>
    </row>
    <row r="22" spans="1:24" ht="13.5" thickBot="1">
      <c r="A22" s="816"/>
      <c r="B22" s="217"/>
      <c r="C22" s="218"/>
      <c r="D22" s="219"/>
      <c r="E22" s="225"/>
      <c r="F22" s="235"/>
      <c r="G22" s="232"/>
      <c r="H22" s="233" t="s">
        <v>796</v>
      </c>
      <c r="I22" s="815"/>
      <c r="J22" s="216">
        <f>+'23'!J22</f>
        <v>0</v>
      </c>
      <c r="K22" s="238"/>
      <c r="L22" s="238"/>
      <c r="M22" s="121">
        <f>+K22+'23'!M22+L22</f>
        <v>0</v>
      </c>
      <c r="T22" s="153">
        <v>1230</v>
      </c>
      <c r="U22" s="153">
        <v>934.8</v>
      </c>
      <c r="V22" s="153">
        <v>60</v>
      </c>
      <c r="W22" s="153">
        <v>73800</v>
      </c>
      <c r="X22" s="153">
        <v>56088</v>
      </c>
    </row>
    <row r="23" spans="1:24" ht="13.5" thickBot="1">
      <c r="A23" s="817"/>
      <c r="B23" s="169" t="s">
        <v>2</v>
      </c>
      <c r="C23" s="103">
        <f>SUM(C16:C22)</f>
        <v>12007</v>
      </c>
      <c r="D23" s="115">
        <f>SUM(D16:D22)</f>
        <v>831</v>
      </c>
      <c r="E23" s="116">
        <f>SUM(E18:E22)</f>
        <v>0</v>
      </c>
      <c r="F23" s="106">
        <f>SUM(F15:F22)</f>
        <v>12</v>
      </c>
      <c r="G23" s="163"/>
      <c r="H23" s="170"/>
      <c r="I23" s="172"/>
      <c r="J23" s="216">
        <f>+'23'!J23</f>
        <v>0</v>
      </c>
      <c r="K23" s="238"/>
      <c r="L23" s="238"/>
      <c r="M23" s="121">
        <f>+K23+'23'!M23+L23</f>
        <v>0</v>
      </c>
      <c r="V23" s="153">
        <f>SUM(V20:V22)</f>
        <v>346</v>
      </c>
      <c r="W23" s="153">
        <f t="shared" ref="W23" si="6">SUM(W20:W22)</f>
        <v>431300</v>
      </c>
      <c r="X23" s="153">
        <f t="shared" ref="X23" si="7">SUM(X20:X22)</f>
        <v>334538</v>
      </c>
    </row>
    <row r="24" spans="1:24" ht="13.5" customHeight="1" thickBot="1">
      <c r="A24" s="810" t="s">
        <v>239</v>
      </c>
      <c r="B24" s="510"/>
      <c r="C24" s="117">
        <f>C23/($C$23+$D$23+$E$23)</f>
        <v>0.93527029132263595</v>
      </c>
      <c r="D24" s="118">
        <f>D23/($C$23+$D$23+$E$23)</f>
        <v>6.4729708677364078E-2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803</v>
      </c>
      <c r="J24" s="216">
        <f>+'23'!J24</f>
        <v>0</v>
      </c>
      <c r="K24" s="238"/>
      <c r="L24" s="238"/>
      <c r="M24" s="121">
        <f>+K24+'23'!M24+L24</f>
        <v>0</v>
      </c>
      <c r="N24" s="532"/>
      <c r="W24" s="153">
        <f>+W23/V23</f>
        <v>1246.5317919075144</v>
      </c>
      <c r="X24" s="153">
        <f>+X23/V23</f>
        <v>966.87283236994222</v>
      </c>
    </row>
    <row r="25" spans="1:24" ht="13.5" thickBot="1">
      <c r="A25" s="818"/>
      <c r="B25" s="217" t="s">
        <v>431</v>
      </c>
      <c r="C25" s="226">
        <v>10017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+'23'!J25</f>
        <v>0</v>
      </c>
      <c r="K25" s="238"/>
      <c r="L25" s="238"/>
      <c r="M25" s="121">
        <f>+K25+'23'!M25+L25</f>
        <v>0</v>
      </c>
      <c r="N25" s="531">
        <v>1320</v>
      </c>
      <c r="O25" s="153">
        <f>+N25-N25*0.24</f>
        <v>1003.2</v>
      </c>
      <c r="P25" s="153">
        <v>100</v>
      </c>
      <c r="Q25" s="153">
        <f>+N25*P25</f>
        <v>132000</v>
      </c>
      <c r="R25" s="153">
        <f>+O25*P25</f>
        <v>100320</v>
      </c>
    </row>
    <row r="26" spans="1:24" ht="13.5" thickBot="1">
      <c r="A26" s="818"/>
      <c r="B26" s="217" t="s">
        <v>432</v>
      </c>
      <c r="C26" s="226">
        <v>4279</v>
      </c>
      <c r="D26" s="219">
        <v>959</v>
      </c>
      <c r="E26" s="227"/>
      <c r="F26" s="231">
        <v>10</v>
      </c>
      <c r="G26" s="560" t="s">
        <v>11</v>
      </c>
      <c r="H26" s="561" t="s">
        <v>413</v>
      </c>
      <c r="I26" s="814"/>
      <c r="J26" s="216">
        <f>+'23'!J26</f>
        <v>0</v>
      </c>
      <c r="K26" s="238"/>
      <c r="L26" s="238"/>
      <c r="M26" s="121">
        <f>+K26+'23'!M26+L26</f>
        <v>0</v>
      </c>
      <c r="N26" s="153">
        <v>1230</v>
      </c>
      <c r="O26" s="153">
        <f>+N26-N26*0.24</f>
        <v>934.8</v>
      </c>
      <c r="P26" s="153">
        <v>60</v>
      </c>
      <c r="Q26" s="153">
        <f>+N26*P26</f>
        <v>73800</v>
      </c>
      <c r="R26" s="153">
        <f>+O26*P26</f>
        <v>56088</v>
      </c>
    </row>
    <row r="27" spans="1:24" ht="13.5" thickBot="1">
      <c r="A27" s="818"/>
      <c r="B27" s="217"/>
      <c r="C27" s="218"/>
      <c r="D27" s="219"/>
      <c r="E27" s="225"/>
      <c r="F27" s="231"/>
      <c r="G27" s="558"/>
      <c r="H27" s="561" t="s">
        <v>800</v>
      </c>
      <c r="I27" s="814"/>
      <c r="J27" s="216">
        <f>+'23'!J27</f>
        <v>0</v>
      </c>
      <c r="K27" s="238"/>
      <c r="L27" s="238"/>
      <c r="M27" s="121">
        <f>+K27+'23'!M27+L27</f>
        <v>0</v>
      </c>
      <c r="N27" s="153">
        <v>1320</v>
      </c>
      <c r="O27" s="153">
        <f>+N27-N27*0.24</f>
        <v>1003.2</v>
      </c>
      <c r="P27" s="153">
        <f>20+300</f>
        <v>320</v>
      </c>
      <c r="Q27" s="153">
        <f>+N27*P27</f>
        <v>422400</v>
      </c>
      <c r="R27" s="153">
        <f>+O27*P27</f>
        <v>321024</v>
      </c>
      <c r="S27" s="178"/>
    </row>
    <row r="28" spans="1:24" ht="26.25" thickBot="1">
      <c r="A28" s="818"/>
      <c r="B28" s="217"/>
      <c r="C28" s="218"/>
      <c r="D28" s="219"/>
      <c r="E28" s="225"/>
      <c r="F28" s="228"/>
      <c r="G28" s="232"/>
      <c r="H28" s="230" t="s">
        <v>801</v>
      </c>
      <c r="I28" s="814"/>
      <c r="J28" s="216">
        <f>+'23'!J28</f>
        <v>0</v>
      </c>
      <c r="K28" s="238"/>
      <c r="L28" s="238"/>
      <c r="M28" s="121">
        <f>+K28+'23'!M28+L28</f>
        <v>0</v>
      </c>
      <c r="P28" s="153">
        <f>SUM(P25:P27)</f>
        <v>480</v>
      </c>
      <c r="Q28" s="153">
        <f t="shared" ref="Q28:R28" si="8">SUM(Q25:Q27)</f>
        <v>628200</v>
      </c>
      <c r="R28" s="153">
        <f t="shared" si="8"/>
        <v>477432</v>
      </c>
    </row>
    <row r="29" spans="1:24" ht="26.25" thickBot="1">
      <c r="A29" s="818"/>
      <c r="B29" s="217"/>
      <c r="C29" s="218"/>
      <c r="D29" s="219"/>
      <c r="E29" s="225"/>
      <c r="F29" s="235"/>
      <c r="G29" s="232"/>
      <c r="H29" s="233" t="s">
        <v>802</v>
      </c>
      <c r="I29" s="814"/>
      <c r="J29" s="216">
        <f>+'23'!J29</f>
        <v>0</v>
      </c>
      <c r="K29" s="238"/>
      <c r="L29" s="238"/>
      <c r="M29" s="121">
        <f>+K29+'23'!M29+L29</f>
        <v>0</v>
      </c>
      <c r="Q29" s="153">
        <f>+Q28/P28</f>
        <v>1308.75</v>
      </c>
      <c r="R29" s="153">
        <f>+R28/P28</f>
        <v>994.65</v>
      </c>
    </row>
    <row r="30" spans="1:24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+'23'!J30</f>
        <v>0</v>
      </c>
      <c r="K30" s="238"/>
      <c r="L30" s="238"/>
      <c r="M30" s="121">
        <f>+K30+'23'!M30+L30</f>
        <v>0</v>
      </c>
      <c r="N30" s="159"/>
    </row>
    <row r="31" spans="1:24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+'23'!J31</f>
        <v>0</v>
      </c>
      <c r="K31" s="238"/>
      <c r="L31" s="238"/>
      <c r="M31" s="121">
        <f>+K31+'23'!M31+L31</f>
        <v>0</v>
      </c>
    </row>
    <row r="32" spans="1:24" ht="13.5" thickBot="1">
      <c r="A32" s="819"/>
      <c r="B32" s="169" t="s">
        <v>2</v>
      </c>
      <c r="C32" s="103">
        <f>SUM(C25:C31)</f>
        <v>14296</v>
      </c>
      <c r="D32" s="104">
        <f>SUM(D25:D31)</f>
        <v>959</v>
      </c>
      <c r="E32" s="105">
        <f>SUM(E25:E31)</f>
        <v>0</v>
      </c>
      <c r="F32" s="103">
        <f>SUM(F24:F31)</f>
        <v>10</v>
      </c>
      <c r="G32" s="173"/>
      <c r="H32" s="174"/>
      <c r="I32" s="172"/>
      <c r="J32" s="216">
        <f>+'23'!J32</f>
        <v>0</v>
      </c>
      <c r="K32" s="240"/>
      <c r="L32" s="242"/>
      <c r="M32" s="121">
        <f>+K32+'23'!M32+L32</f>
        <v>0</v>
      </c>
    </row>
    <row r="33" spans="1:15" ht="13.5" thickBot="1">
      <c r="A33" s="175"/>
      <c r="B33" s="176"/>
      <c r="C33" s="107">
        <f>C32/($C$32+$D$32+$E$32)</f>
        <v>0.93713536545394949</v>
      </c>
      <c r="D33" s="108">
        <f>D32/($C$32+$D$32+$E$32)</f>
        <v>6.2864634546050471E-2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5" ht="13.5" thickBot="1">
      <c r="A34" s="820" t="s">
        <v>68</v>
      </c>
      <c r="B34" s="821"/>
      <c r="C34" s="111">
        <f>C14+C23+C32</f>
        <v>42803</v>
      </c>
      <c r="D34" s="111">
        <f>D14+D23+D32</f>
        <v>1790</v>
      </c>
      <c r="E34" s="111">
        <f>E14+E23+E32</f>
        <v>0</v>
      </c>
      <c r="F34" s="112">
        <f>F14+F23+F32</f>
        <v>34</v>
      </c>
      <c r="H34" s="180"/>
      <c r="I34" s="180"/>
      <c r="J34" s="127" t="s">
        <v>27</v>
      </c>
      <c r="K34" s="128">
        <f>SUM(K7:K32)</f>
        <v>42803</v>
      </c>
      <c r="L34" s="214">
        <f>SUM(L7:L32)</f>
        <v>0</v>
      </c>
      <c r="M34" s="124">
        <f>SUM(M7:M32)</f>
        <v>1092433</v>
      </c>
      <c r="N34" s="159"/>
    </row>
    <row r="35" spans="1:15" ht="13.5" thickBot="1">
      <c r="A35" s="181"/>
      <c r="B35" s="182"/>
      <c r="C35" s="108">
        <f>C34/($C$34+$D$34+$E$34)</f>
        <v>0.95985917072186222</v>
      </c>
      <c r="D35" s="108">
        <f>D34/($C$34+$D$34+$E$34)</f>
        <v>4.0140829278137821E-2</v>
      </c>
      <c r="E35" s="113">
        <f>E34/($C$34+$D$34+$E$34)</f>
        <v>0</v>
      </c>
      <c r="K35" s="159"/>
    </row>
    <row r="36" spans="1:15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5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(12*240+13*1200)/1440*G42*2.66*1440/1000000</f>
        <v>48.587332126666674</v>
      </c>
      <c r="J37" s="129">
        <f>+I37+'23'!J37</f>
        <v>1280.7916592220113</v>
      </c>
      <c r="K37" s="130" t="s">
        <v>74</v>
      </c>
      <c r="N37" s="153" t="s">
        <v>434</v>
      </c>
      <c r="O37" s="159">
        <f>+I38-O38-O39-O40</f>
        <v>31.673999999999999</v>
      </c>
    </row>
    <row r="38" spans="1:15" ht="17.45" customHeight="1">
      <c r="A38" s="824" t="s">
        <v>11</v>
      </c>
      <c r="B38" s="825"/>
      <c r="C38" s="168">
        <f>SUMIF($G$7:$G$31,"Process",$F$7:$F$31)</f>
        <v>34</v>
      </c>
      <c r="D38" s="122">
        <f>+C38+'23'!D38</f>
        <v>1228</v>
      </c>
      <c r="E38" s="147">
        <f t="shared" ref="E38:E51" si="9">D38/60</f>
        <v>20.466666666666665</v>
      </c>
      <c r="F38" s="334">
        <v>1270.1041666666667</v>
      </c>
      <c r="G38" s="334">
        <v>994.55</v>
      </c>
      <c r="H38" s="189" t="s">
        <v>75</v>
      </c>
      <c r="I38" s="244">
        <f>17.476+16.182+16.052</f>
        <v>49.71</v>
      </c>
      <c r="J38" s="131">
        <f>+I38+'23'!J38</f>
        <v>1177.1199999999999</v>
      </c>
      <c r="K38" s="132" t="s">
        <v>74</v>
      </c>
      <c r="N38" s="153" t="s">
        <v>774</v>
      </c>
      <c r="O38" s="153">
        <f>1.184+1.26</f>
        <v>2.444</v>
      </c>
    </row>
    <row r="39" spans="1:15" ht="17.45" customHeight="1">
      <c r="A39" s="808" t="s">
        <v>12</v>
      </c>
      <c r="B39" s="809"/>
      <c r="C39" s="168">
        <f>SUMIF($G$7:$G$31,"Cleaning",$F$7:$F$31)</f>
        <v>0</v>
      </c>
      <c r="D39" s="122">
        <f>+C39+'23'!D39</f>
        <v>0</v>
      </c>
      <c r="E39" s="147">
        <f t="shared" si="9"/>
        <v>0</v>
      </c>
      <c r="F39" s="334">
        <v>1284.2708333333333</v>
      </c>
      <c r="G39" s="334">
        <v>976.04583333333335</v>
      </c>
      <c r="H39" s="189" t="s">
        <v>76</v>
      </c>
      <c r="I39" s="146"/>
      <c r="J39" s="133">
        <f>J37/G4</f>
        <v>53.366319134250467</v>
      </c>
      <c r="K39" s="134" t="s">
        <v>74</v>
      </c>
      <c r="N39" s="153" t="s">
        <v>465</v>
      </c>
      <c r="O39" s="153">
        <f>1.543+1.543</f>
        <v>3.0859999999999999</v>
      </c>
    </row>
    <row r="40" spans="1:15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+C40+'23'!D40</f>
        <v>101</v>
      </c>
      <c r="E40" s="147">
        <f t="shared" ca="1" si="9"/>
        <v>1.6833333333333333</v>
      </c>
      <c r="F40" s="334">
        <v>1308.75</v>
      </c>
      <c r="G40" s="334">
        <v>994.65</v>
      </c>
      <c r="H40" s="189" t="s">
        <v>78</v>
      </c>
      <c r="I40" s="122">
        <f>(K34+L34)/1000</f>
        <v>42.802999999999997</v>
      </c>
      <c r="J40" s="135">
        <f>+I40+'23'!J40</f>
        <v>1092.433</v>
      </c>
      <c r="K40" s="134" t="s">
        <v>74</v>
      </c>
      <c r="N40" s="153" t="s">
        <v>435</v>
      </c>
      <c r="O40" s="153">
        <f>2.153+2.153+2.055+2.384+0.863+0.74+0.617+1.541</f>
        <v>12.506</v>
      </c>
    </row>
    <row r="41" spans="1:15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+C41+'23'!D41</f>
        <v>50</v>
      </c>
      <c r="E41" s="147">
        <f t="shared" ca="1" si="9"/>
        <v>0.83333333333333337</v>
      </c>
      <c r="F41" s="334"/>
      <c r="G41" s="334"/>
      <c r="H41" s="189" t="s">
        <v>80</v>
      </c>
      <c r="I41" s="146"/>
      <c r="J41" s="133">
        <f>J40/G4</f>
        <v>45.518041666666669</v>
      </c>
      <c r="K41" s="134" t="s">
        <v>74</v>
      </c>
    </row>
    <row r="42" spans="1:15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+C42+'23'!D42</f>
        <v>0</v>
      </c>
      <c r="E42" s="147">
        <f t="shared" ca="1" si="9"/>
        <v>0</v>
      </c>
      <c r="F42" s="334">
        <f>+(F38*480+F39*480+F40*480)/1440</f>
        <v>1287.7083333333333</v>
      </c>
      <c r="G42" s="334">
        <f>+(G38*480+G39*480+G40*480)/1440</f>
        <v>988.41527777777776</v>
      </c>
      <c r="H42" s="189" t="s">
        <v>81</v>
      </c>
      <c r="I42" s="245" t="s">
        <v>807</v>
      </c>
      <c r="J42" s="136"/>
      <c r="K42" s="134" t="s">
        <v>82</v>
      </c>
    </row>
    <row r="43" spans="1:15" ht="17.45" customHeight="1">
      <c r="A43" s="808" t="s">
        <v>83</v>
      </c>
      <c r="B43" s="809"/>
      <c r="C43" s="168">
        <f>SUMIF($G$7:$G$31,"Water",$F$7:$F$31)</f>
        <v>0</v>
      </c>
      <c r="D43" s="122">
        <f ca="1">+C43+'23'!D43</f>
        <v>0</v>
      </c>
      <c r="E43" s="147">
        <f t="shared" ca="1" si="9"/>
        <v>0</v>
      </c>
      <c r="F43" s="334"/>
      <c r="G43" s="335"/>
      <c r="H43" s="190" t="s">
        <v>84</v>
      </c>
      <c r="I43" s="122">
        <f>+Report1!Z32</f>
        <v>132</v>
      </c>
      <c r="J43" s="137">
        <f>+I43+'23'!J43</f>
        <v>2989.9999999999995</v>
      </c>
      <c r="K43" s="134" t="s">
        <v>74</v>
      </c>
      <c r="L43" s="191"/>
    </row>
    <row r="44" spans="1:15" ht="17.45" customHeight="1">
      <c r="A44" s="808" t="s">
        <v>16</v>
      </c>
      <c r="B44" s="809"/>
      <c r="C44" s="168">
        <f>SUMIF($G$7:$G$31,"PLN",$F$7:$F$31)</f>
        <v>0</v>
      </c>
      <c r="D44" s="122">
        <f>+C44+'23'!D44</f>
        <v>0</v>
      </c>
      <c r="E44" s="147">
        <f t="shared" si="9"/>
        <v>0</v>
      </c>
      <c r="F44" s="334"/>
      <c r="G44" s="335"/>
      <c r="H44" s="190" t="s">
        <v>85</v>
      </c>
      <c r="I44" s="122">
        <f>I43/I38</f>
        <v>2.6554013277006638</v>
      </c>
      <c r="J44" s="138">
        <f>J43/J38</f>
        <v>2.5400978659779798</v>
      </c>
      <c r="K44" s="134" t="s">
        <v>74</v>
      </c>
    </row>
    <row r="45" spans="1:15" ht="17.45" customHeight="1">
      <c r="A45" s="808" t="s">
        <v>17</v>
      </c>
      <c r="B45" s="809"/>
      <c r="C45" s="168">
        <f>SUMIF($G$7:$G$31,"Boiler",$F$7:$F$31)</f>
        <v>0</v>
      </c>
      <c r="D45" s="122">
        <f>+C45+'23'!D45</f>
        <v>0</v>
      </c>
      <c r="E45" s="147">
        <f t="shared" si="9"/>
        <v>0</v>
      </c>
      <c r="F45" s="334"/>
      <c r="G45" s="337"/>
      <c r="H45" s="190" t="s">
        <v>86</v>
      </c>
      <c r="I45" s="122">
        <f>I43/I40</f>
        <v>3.0838959885989303</v>
      </c>
      <c r="J45" s="138">
        <f>J43/J40</f>
        <v>2.7370099585054639</v>
      </c>
      <c r="K45" s="134" t="s">
        <v>74</v>
      </c>
    </row>
    <row r="46" spans="1:15" ht="17.45" customHeight="1">
      <c r="A46" s="808" t="s">
        <v>87</v>
      </c>
      <c r="B46" s="809"/>
      <c r="C46" s="168">
        <f>SUMIF($G$7:$G$31,"Gas",$F$7:$F$31)</f>
        <v>0</v>
      </c>
      <c r="D46" s="122">
        <f>+C46+'23'!D46</f>
        <v>0</v>
      </c>
      <c r="E46" s="147">
        <f t="shared" si="9"/>
        <v>0</v>
      </c>
      <c r="F46" s="334"/>
      <c r="G46" s="335"/>
      <c r="H46" s="190" t="s">
        <v>88</v>
      </c>
      <c r="I46" s="144">
        <f>+SUMIF(Listrik!AN31,"&gt;0")</f>
        <v>47208.190000000148</v>
      </c>
      <c r="J46" s="139">
        <f>+I46+'23'!J46</f>
        <v>1162697.6175999998</v>
      </c>
      <c r="K46" s="134" t="s">
        <v>89</v>
      </c>
    </row>
    <row r="47" spans="1:15" ht="17.45" customHeight="1">
      <c r="A47" s="808" t="s">
        <v>90</v>
      </c>
      <c r="B47" s="809"/>
      <c r="C47" s="168">
        <f>SUMIF($G$7:$G$31,"Gas",$F$7:$F$31)</f>
        <v>0</v>
      </c>
      <c r="D47" s="122">
        <f>+C47+'23'!D47</f>
        <v>0</v>
      </c>
      <c r="E47" s="147">
        <f t="shared" si="9"/>
        <v>0</v>
      </c>
      <c r="F47" s="334"/>
      <c r="G47" s="335"/>
      <c r="H47" s="190" t="s">
        <v>91</v>
      </c>
      <c r="I47" s="122">
        <f>I46/I38</f>
        <v>949.67189700261815</v>
      </c>
      <c r="J47" s="139">
        <f>J46/J38</f>
        <v>987.74773820850885</v>
      </c>
      <c r="K47" s="134" t="s">
        <v>23</v>
      </c>
    </row>
    <row r="48" spans="1:15" ht="17.45" customHeight="1">
      <c r="A48" s="808" t="s">
        <v>13</v>
      </c>
      <c r="B48" s="809"/>
      <c r="C48" s="168">
        <f>SUMIF($G$7:$G$31,"Start Up",$F$7:$F$31)</f>
        <v>0</v>
      </c>
      <c r="D48" s="122">
        <f>+C48+'23'!D48</f>
        <v>0</v>
      </c>
      <c r="E48" s="147">
        <f t="shared" si="9"/>
        <v>0</v>
      </c>
      <c r="F48" s="334"/>
      <c r="G48" s="335"/>
      <c r="H48" s="190" t="s">
        <v>92</v>
      </c>
      <c r="I48" s="122">
        <f>I46/I40</f>
        <v>1102.9177861364892</v>
      </c>
      <c r="J48" s="139">
        <f>J46/J40</f>
        <v>1064.3193839805276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+C49+'23'!D49</f>
        <v>717</v>
      </c>
      <c r="E49" s="147">
        <f t="shared" si="9"/>
        <v>11.95</v>
      </c>
      <c r="F49" s="187"/>
      <c r="H49" s="190" t="s">
        <v>93</v>
      </c>
      <c r="I49" s="122">
        <v>0</v>
      </c>
      <c r="J49" s="139">
        <f>+I49+'23'!J49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+C50+'23'!D50</f>
        <v>0</v>
      </c>
      <c r="E50" s="147">
        <f t="shared" si="9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+C51+'23'!D51</f>
        <v>0</v>
      </c>
      <c r="E51" s="147">
        <f t="shared" si="9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34</v>
      </c>
      <c r="D52" s="148">
        <f ca="1">SUM(D38:D51)</f>
        <v>2096</v>
      </c>
      <c r="E52" s="149">
        <f ca="1">SUM(E38:E51)</f>
        <v>34.93333333333333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2.361111111111111E-2</v>
      </c>
      <c r="D53" s="150">
        <f ca="1">D52/(24*60*G4)</f>
        <v>6.0648148148148145E-2</v>
      </c>
      <c r="E53" s="151">
        <f ca="1">E52/(G4*24)</f>
        <v>6.0648148148148145E-2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+D34+'23'!J56</f>
        <v>17545</v>
      </c>
      <c r="K56" s="203">
        <f>J56/(J40+J56/1000)/1000</f>
        <v>1.5806619590658554E-2</v>
      </c>
    </row>
    <row r="57" spans="1:11">
      <c r="A57" s="178"/>
      <c r="I57" s="201" t="s">
        <v>100</v>
      </c>
      <c r="J57" s="202">
        <f>+E34+'23'!J57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view="pageBreakPreview" topLeftCell="D7" zoomScale="80" zoomScaleNormal="80" zoomScaleSheetLayoutView="80" workbookViewId="0">
      <selection activeCell="F13" activeCellId="2" sqref="F30 F21 F13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3.7109375" style="153" customWidth="1"/>
    <col min="14" max="16384" width="9.140625" style="153"/>
  </cols>
  <sheetData>
    <row r="1" spans="1:23" ht="15.75">
      <c r="A1" s="152"/>
    </row>
    <row r="2" spans="1:23" ht="15.75">
      <c r="A2" s="152" t="s">
        <v>236</v>
      </c>
    </row>
    <row r="3" spans="1:23" ht="15">
      <c r="A3" s="154"/>
    </row>
    <row r="4" spans="1:23" ht="20.25">
      <c r="A4" s="155" t="s">
        <v>3</v>
      </c>
      <c r="B4" s="156"/>
      <c r="F4" s="157" t="s">
        <v>28</v>
      </c>
      <c r="G4" s="158">
        <v>23</v>
      </c>
      <c r="H4" s="158" t="str">
        <f>+'1'!H4</f>
        <v>.10.25</v>
      </c>
    </row>
    <row r="5" spans="1:23" ht="13.5" thickBot="1">
      <c r="C5" s="159"/>
      <c r="D5" s="159"/>
    </row>
    <row r="6" spans="1:23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400+400+387</f>
        <v>1187</v>
      </c>
    </row>
    <row r="7" spans="1:23" ht="13.5" customHeight="1" thickBot="1">
      <c r="A7" s="810" t="s">
        <v>467</v>
      </c>
      <c r="B7" s="217" t="s">
        <v>775</v>
      </c>
      <c r="C7" s="218">
        <v>11477</v>
      </c>
      <c r="D7" s="219">
        <v>1026</v>
      </c>
      <c r="E7" s="220"/>
      <c r="F7" s="231"/>
      <c r="G7" s="558" t="s">
        <v>11</v>
      </c>
      <c r="H7" s="559" t="s">
        <v>404</v>
      </c>
      <c r="I7" s="813" t="s">
        <v>782</v>
      </c>
      <c r="J7" s="216" t="str">
        <f>+'22'!J7</f>
        <v>T 12,5 VP OW</v>
      </c>
      <c r="K7" s="237"/>
      <c r="L7" s="241"/>
      <c r="M7" s="121">
        <f>+K7+'22'!M7+L7</f>
        <v>66326</v>
      </c>
    </row>
    <row r="8" spans="1:23" ht="13.5" thickBot="1">
      <c r="A8" s="811"/>
      <c r="B8" s="217"/>
      <c r="C8" s="218"/>
      <c r="D8" s="219"/>
      <c r="E8" s="221"/>
      <c r="F8" s="231">
        <v>1</v>
      </c>
      <c r="G8" s="560" t="s">
        <v>11</v>
      </c>
      <c r="H8" s="559" t="s">
        <v>513</v>
      </c>
      <c r="I8" s="814"/>
      <c r="J8" s="216" t="str">
        <f>+'22'!J8</f>
        <v>F 12.5 VP OW</v>
      </c>
      <c r="K8" s="238"/>
      <c r="L8" s="238"/>
      <c r="M8" s="121">
        <f>+K8+'22'!M8+L8</f>
        <v>111865</v>
      </c>
      <c r="N8" s="178">
        <v>1030</v>
      </c>
      <c r="O8" s="535">
        <f>+N8-N8*0.24</f>
        <v>782.8</v>
      </c>
      <c r="P8" s="178"/>
    </row>
    <row r="9" spans="1:23" ht="13.5" thickBot="1">
      <c r="A9" s="811"/>
      <c r="B9" s="217"/>
      <c r="C9" s="218"/>
      <c r="D9" s="219"/>
      <c r="E9" s="222"/>
      <c r="F9" s="231">
        <v>8</v>
      </c>
      <c r="G9" s="560" t="s">
        <v>11</v>
      </c>
      <c r="H9" s="561" t="s">
        <v>428</v>
      </c>
      <c r="I9" s="814"/>
      <c r="J9" s="216" t="str">
        <f>+'22'!J9</f>
        <v>F 13 VP OW</v>
      </c>
      <c r="K9" s="238"/>
      <c r="L9" s="238"/>
      <c r="M9" s="121">
        <f>+K9+'22'!M9+L9</f>
        <v>100014</v>
      </c>
    </row>
    <row r="10" spans="1:23" ht="13.5" thickBot="1">
      <c r="A10" s="811"/>
      <c r="B10" s="217"/>
      <c r="C10" s="218"/>
      <c r="D10" s="219"/>
      <c r="E10" s="221"/>
      <c r="F10" s="231"/>
      <c r="G10" s="558"/>
      <c r="H10" s="561" t="s">
        <v>778</v>
      </c>
      <c r="I10" s="814"/>
      <c r="J10" s="216" t="str">
        <f>+'22'!J10</f>
        <v>T 12 VP OW</v>
      </c>
      <c r="K10" s="238"/>
      <c r="L10" s="238"/>
      <c r="M10" s="121">
        <f>+K10+'22'!M10+L10</f>
        <v>23281</v>
      </c>
      <c r="N10" s="183" t="s">
        <v>106</v>
      </c>
      <c r="O10" s="583" t="s">
        <v>478</v>
      </c>
      <c r="P10" s="583" t="s">
        <v>478</v>
      </c>
      <c r="Q10" s="583" t="s">
        <v>479</v>
      </c>
      <c r="R10" s="583" t="s">
        <v>480</v>
      </c>
      <c r="S10" s="583" t="s">
        <v>481</v>
      </c>
      <c r="T10" s="583" t="s">
        <v>482</v>
      </c>
      <c r="U10" s="584" t="s">
        <v>483</v>
      </c>
      <c r="V10" s="583" t="s">
        <v>484</v>
      </c>
      <c r="W10" s="583" t="s">
        <v>485</v>
      </c>
    </row>
    <row r="11" spans="1:23" ht="13.5" thickBot="1">
      <c r="A11" s="811"/>
      <c r="B11" s="217"/>
      <c r="C11" s="218"/>
      <c r="D11" s="219"/>
      <c r="E11" s="221"/>
      <c r="F11" s="481"/>
      <c r="G11" s="482"/>
      <c r="H11" s="230" t="s">
        <v>779</v>
      </c>
      <c r="I11" s="814"/>
      <c r="J11" s="216" t="str">
        <f>+'22'!J11</f>
        <v>T 13,5 VP OW</v>
      </c>
      <c r="K11" s="238"/>
      <c r="L11" s="238"/>
      <c r="M11" s="121">
        <f>+K11+'22'!M11+L11</f>
        <v>15672</v>
      </c>
      <c r="N11" s="585">
        <v>18</v>
      </c>
      <c r="O11" s="201">
        <v>1030</v>
      </c>
      <c r="P11" s="201">
        <v>1030</v>
      </c>
      <c r="Q11" s="201">
        <f>+P11-P11*0.24</f>
        <v>782.8</v>
      </c>
      <c r="R11" s="586">
        <f>1-(Q11/P11)</f>
        <v>0.24</v>
      </c>
      <c r="S11" s="587">
        <v>24</v>
      </c>
      <c r="T11" s="588">
        <f>+'Trim Rwd'!H87</f>
        <v>280</v>
      </c>
      <c r="U11" s="589">
        <f>(O11*(1-R11)*N11*T11*S11)/100000000</f>
        <v>0.94687487999999997</v>
      </c>
      <c r="V11" s="590">
        <f>+C18/1000</f>
        <v>0</v>
      </c>
      <c r="W11" s="591">
        <f>SUM(V11:V13)/SUM(U11:U13)</f>
        <v>0</v>
      </c>
    </row>
    <row r="12" spans="1:23" ht="13.5" thickBot="1">
      <c r="A12" s="811"/>
      <c r="B12" s="217"/>
      <c r="C12" s="218"/>
      <c r="D12" s="219"/>
      <c r="E12" s="221"/>
      <c r="F12" s="228"/>
      <c r="G12" s="232"/>
      <c r="H12" s="233" t="s">
        <v>780</v>
      </c>
      <c r="I12" s="814"/>
      <c r="J12" s="216" t="str">
        <f>+'22'!J12</f>
        <v>F 12 VP OW</v>
      </c>
      <c r="K12" s="238"/>
      <c r="L12" s="238"/>
      <c r="M12" s="121">
        <f>+K12+'22'!M12+L12</f>
        <v>246368</v>
      </c>
      <c r="U12" s="153">
        <v>0.94</v>
      </c>
    </row>
    <row r="13" spans="1:23" ht="13.5" thickBot="1">
      <c r="A13" s="811"/>
      <c r="B13" s="217"/>
      <c r="C13" s="218"/>
      <c r="D13" s="218"/>
      <c r="E13" s="221"/>
      <c r="F13" s="228">
        <v>24</v>
      </c>
      <c r="G13" s="232" t="s">
        <v>19</v>
      </c>
      <c r="H13" s="233" t="s">
        <v>840</v>
      </c>
      <c r="I13" s="815"/>
      <c r="J13" s="216" t="str">
        <f>+'22'!J13</f>
        <v>T 12,5 VP OW</v>
      </c>
      <c r="K13" s="238">
        <f>+C27</f>
        <v>4614</v>
      </c>
      <c r="L13" s="238"/>
      <c r="M13" s="121">
        <f>+K13+'22'!M13+L13</f>
        <v>256214</v>
      </c>
    </row>
    <row r="14" spans="1:23" ht="13.5" thickBot="1">
      <c r="A14" s="812"/>
      <c r="B14" s="169"/>
      <c r="C14" s="115">
        <f>SUM(C7:C13)</f>
        <v>11477</v>
      </c>
      <c r="D14" s="115">
        <f>SUM(D7:D13)</f>
        <v>1026</v>
      </c>
      <c r="E14" s="116">
        <f>SUM(E5:E13)</f>
        <v>0</v>
      </c>
      <c r="F14" s="106">
        <f>SUM(F6:F13)</f>
        <v>33</v>
      </c>
      <c r="G14" s="163"/>
      <c r="H14" s="170"/>
      <c r="I14" s="171"/>
      <c r="J14" s="216" t="str">
        <f>+'22'!J14</f>
        <v>T 14 VP OW</v>
      </c>
      <c r="K14" s="238"/>
      <c r="L14" s="238"/>
      <c r="M14" s="121">
        <f>+K14+'22'!M14+L14</f>
        <v>88884</v>
      </c>
    </row>
    <row r="15" spans="1:23" ht="13.5" customHeight="1" thickBot="1">
      <c r="A15" s="810" t="s">
        <v>415</v>
      </c>
      <c r="B15" s="510"/>
      <c r="C15" s="118">
        <f>C14/($C$23+$D$23+$E$23)</f>
        <v>0.75481749424531408</v>
      </c>
      <c r="D15" s="118">
        <f>D14/($C$23+$D$23+$E$23)</f>
        <v>6.7477803354159815E-2</v>
      </c>
      <c r="E15" s="119">
        <f>E14/($C$23+$D$23+$E$23)</f>
        <v>0</v>
      </c>
      <c r="F15" s="231">
        <v>5</v>
      </c>
      <c r="G15" s="558" t="s">
        <v>11</v>
      </c>
      <c r="H15" s="559" t="s">
        <v>522</v>
      </c>
      <c r="I15" s="813" t="s">
        <v>787</v>
      </c>
      <c r="J15" s="216" t="str">
        <f>+'22'!J15</f>
        <v>T 15 VP OW</v>
      </c>
      <c r="K15" s="238"/>
      <c r="L15" s="238"/>
      <c r="M15" s="121">
        <f>+K15+'22'!M15+L15</f>
        <v>55010</v>
      </c>
      <c r="N15" s="178">
        <v>1030</v>
      </c>
      <c r="O15" s="535">
        <f>+N15-N15*0.24</f>
        <v>782.8</v>
      </c>
      <c r="P15" s="178">
        <v>300</v>
      </c>
      <c r="Q15" s="153">
        <f>+N15*P15</f>
        <v>309000</v>
      </c>
      <c r="R15" s="153">
        <f>+O15*P15</f>
        <v>234840</v>
      </c>
    </row>
    <row r="16" spans="1:23" ht="13.5" thickBot="1">
      <c r="A16" s="816"/>
      <c r="B16" s="512" t="s">
        <v>775</v>
      </c>
      <c r="C16" s="511">
        <v>14255</v>
      </c>
      <c r="D16" s="223">
        <v>950</v>
      </c>
      <c r="E16" s="224"/>
      <c r="F16" s="231">
        <v>3</v>
      </c>
      <c r="G16" s="560" t="s">
        <v>11</v>
      </c>
      <c r="H16" s="559" t="s">
        <v>513</v>
      </c>
      <c r="I16" s="814"/>
      <c r="J16" s="216" t="str">
        <f>+'22'!J16</f>
        <v>T 17 VP OW</v>
      </c>
      <c r="K16" s="229"/>
      <c r="L16" s="229"/>
      <c r="M16" s="121">
        <f>+K16+'22'!M16+L16</f>
        <v>22278</v>
      </c>
      <c r="N16" s="178">
        <v>1300</v>
      </c>
      <c r="O16" s="535">
        <f>+N16-N16*0.24</f>
        <v>988</v>
      </c>
      <c r="P16" s="153">
        <v>180</v>
      </c>
      <c r="Q16" s="153">
        <f>+N16*P16</f>
        <v>234000</v>
      </c>
      <c r="R16" s="153">
        <f>+O16*P16</f>
        <v>177840</v>
      </c>
    </row>
    <row r="17" spans="1:23" ht="13.5" thickBot="1">
      <c r="A17" s="816"/>
      <c r="B17" s="217"/>
      <c r="C17" s="218"/>
      <c r="D17" s="219"/>
      <c r="E17" s="225"/>
      <c r="F17" s="231">
        <v>10</v>
      </c>
      <c r="G17" s="560" t="s">
        <v>11</v>
      </c>
      <c r="H17" s="561" t="s">
        <v>455</v>
      </c>
      <c r="I17" s="814"/>
      <c r="J17" s="216" t="str">
        <f>+'22'!J17</f>
        <v>T 14,5 VP OW</v>
      </c>
      <c r="K17" s="229">
        <f>+C26</f>
        <v>6292</v>
      </c>
      <c r="L17" s="229"/>
      <c r="M17" s="121">
        <f>+K17+'22'!M17+L17</f>
        <v>33521</v>
      </c>
      <c r="P17" s="153">
        <f>SUM(P15:P16)</f>
        <v>480</v>
      </c>
      <c r="Q17" s="153">
        <f t="shared" ref="Q17" si="0">SUM(Q15:Q16)</f>
        <v>543000</v>
      </c>
      <c r="R17" s="153">
        <f t="shared" ref="R17" si="1">SUM(R15:R16)</f>
        <v>412680</v>
      </c>
    </row>
    <row r="18" spans="1:23" ht="13.5" thickBot="1">
      <c r="A18" s="816"/>
      <c r="B18" s="217"/>
      <c r="C18" s="218"/>
      <c r="D18" s="219"/>
      <c r="E18" s="225"/>
      <c r="F18" s="231"/>
      <c r="G18" s="558"/>
      <c r="H18" s="561" t="s">
        <v>778</v>
      </c>
      <c r="I18" s="814"/>
      <c r="J18" s="216" t="str">
        <f>+'22'!J18</f>
        <v>T 18 VP OW</v>
      </c>
      <c r="K18" s="238">
        <f>+C7+C16+C25</f>
        <v>26914</v>
      </c>
      <c r="L18" s="238"/>
      <c r="M18" s="121">
        <f>+K18+'22'!M18+L18</f>
        <v>30197</v>
      </c>
      <c r="Q18" s="153">
        <f>+Q17/P17</f>
        <v>1131.25</v>
      </c>
      <c r="R18" s="153">
        <f>+R17/P17</f>
        <v>859.75</v>
      </c>
    </row>
    <row r="19" spans="1:23" ht="13.5" thickBot="1">
      <c r="A19" s="816"/>
      <c r="B19" s="217"/>
      <c r="C19" s="218"/>
      <c r="D19" s="219"/>
      <c r="E19" s="225"/>
      <c r="F19" s="228"/>
      <c r="G19" s="232"/>
      <c r="H19" s="230" t="s">
        <v>781</v>
      </c>
      <c r="I19" s="814"/>
      <c r="J19" s="216">
        <f>+'22'!J19</f>
        <v>0</v>
      </c>
      <c r="K19" s="238"/>
      <c r="L19" s="238"/>
      <c r="M19" s="121">
        <f>+K19+'22'!M19+L19</f>
        <v>0</v>
      </c>
    </row>
    <row r="20" spans="1:23" ht="13.5" thickBot="1">
      <c r="A20" s="816"/>
      <c r="B20" s="217"/>
      <c r="C20" s="218"/>
      <c r="D20" s="219"/>
      <c r="E20" s="225"/>
      <c r="F20" s="228"/>
      <c r="G20" s="232"/>
      <c r="H20" s="233" t="s">
        <v>785</v>
      </c>
      <c r="I20" s="814"/>
      <c r="J20" s="216">
        <f>+'22'!J20</f>
        <v>0</v>
      </c>
      <c r="K20" s="239"/>
      <c r="L20" s="239"/>
      <c r="M20" s="121">
        <f>+K20+'22'!M20+L20</f>
        <v>0</v>
      </c>
      <c r="N20" s="183" t="s">
        <v>106</v>
      </c>
      <c r="O20" s="583" t="s">
        <v>478</v>
      </c>
      <c r="P20" s="583" t="s">
        <v>478</v>
      </c>
      <c r="Q20" s="583" t="s">
        <v>479</v>
      </c>
      <c r="R20" s="583" t="s">
        <v>480</v>
      </c>
      <c r="S20" s="583" t="s">
        <v>481</v>
      </c>
      <c r="T20" s="583" t="s">
        <v>482</v>
      </c>
      <c r="U20" s="584" t="s">
        <v>483</v>
      </c>
      <c r="V20" s="583" t="s">
        <v>484</v>
      </c>
      <c r="W20" s="583" t="s">
        <v>485</v>
      </c>
    </row>
    <row r="21" spans="1:23" ht="13.5" thickBot="1">
      <c r="A21" s="816"/>
      <c r="B21" s="217"/>
      <c r="C21" s="218"/>
      <c r="D21" s="219"/>
      <c r="E21" s="225"/>
      <c r="F21" s="228">
        <v>63</v>
      </c>
      <c r="G21" s="232" t="s">
        <v>19</v>
      </c>
      <c r="H21" s="233" t="s">
        <v>840</v>
      </c>
      <c r="I21" s="814"/>
      <c r="J21" s="216">
        <f>+'22'!J21</f>
        <v>0</v>
      </c>
      <c r="K21" s="238"/>
      <c r="L21" s="238"/>
      <c r="M21" s="121">
        <f>+K21+'22'!M21+L21</f>
        <v>0</v>
      </c>
      <c r="N21" s="585">
        <v>18</v>
      </c>
      <c r="O21" s="201">
        <v>1030</v>
      </c>
      <c r="P21" s="201">
        <v>1030</v>
      </c>
      <c r="Q21" s="201">
        <f>+P21-P21*0.24</f>
        <v>782.8</v>
      </c>
      <c r="R21" s="586">
        <f>1-(Q21/P21)</f>
        <v>0.24</v>
      </c>
      <c r="S21" s="587">
        <v>63</v>
      </c>
      <c r="T21" s="588">
        <f>+T11</f>
        <v>280</v>
      </c>
      <c r="U21" s="589">
        <f>(O21*(1-R21)*N21*T21*S21)/100000000</f>
        <v>2.48554656</v>
      </c>
      <c r="V21" s="590">
        <f>+C28/1000</f>
        <v>0</v>
      </c>
      <c r="W21" s="591">
        <f>SUM(V21:V23)/SUM(U21:U23)</f>
        <v>0</v>
      </c>
    </row>
    <row r="22" spans="1:23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+'22'!J22</f>
        <v>0</v>
      </c>
      <c r="K22" s="238"/>
      <c r="L22" s="238"/>
      <c r="M22" s="121">
        <f>+K22+'22'!M22+L22</f>
        <v>0</v>
      </c>
      <c r="U22" s="153">
        <v>2.4900000000000002</v>
      </c>
    </row>
    <row r="23" spans="1:23" ht="13.5" thickBot="1">
      <c r="A23" s="817"/>
      <c r="B23" s="169" t="s">
        <v>2</v>
      </c>
      <c r="C23" s="103">
        <f>SUM(C16:C22)</f>
        <v>14255</v>
      </c>
      <c r="D23" s="115">
        <f>SUM(D16:D22)</f>
        <v>950</v>
      </c>
      <c r="E23" s="116">
        <f>SUM(E18:E22)</f>
        <v>0</v>
      </c>
      <c r="F23" s="106">
        <f>SUM(F15:F22)</f>
        <v>81</v>
      </c>
      <c r="G23" s="163"/>
      <c r="H23" s="170"/>
      <c r="I23" s="172"/>
      <c r="J23" s="216">
        <f>+'22'!J23</f>
        <v>0</v>
      </c>
      <c r="K23" s="238"/>
      <c r="L23" s="238"/>
      <c r="M23" s="121">
        <f>+K23+'22'!M23+L23</f>
        <v>0</v>
      </c>
    </row>
    <row r="24" spans="1:23" ht="13.5" customHeight="1" thickBot="1">
      <c r="A24" s="810" t="s">
        <v>239</v>
      </c>
      <c r="B24" s="510"/>
      <c r="C24" s="117">
        <f>C23/($C$23+$D$23+$E$23)</f>
        <v>0.937520552449852</v>
      </c>
      <c r="D24" s="118">
        <f>D23/($C$23+$D$23+$E$23)</f>
        <v>6.2479447550147976E-2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788</v>
      </c>
      <c r="J24" s="216">
        <f>+'22'!J24</f>
        <v>0</v>
      </c>
      <c r="K24" s="238"/>
      <c r="L24" s="238"/>
      <c r="M24" s="121">
        <f>+K24+'22'!M24+L24</f>
        <v>0</v>
      </c>
    </row>
    <row r="25" spans="1:23" ht="13.5" thickBot="1">
      <c r="A25" s="818"/>
      <c r="B25" s="217" t="s">
        <v>775</v>
      </c>
      <c r="C25" s="226">
        <v>1182</v>
      </c>
      <c r="D25" s="219">
        <v>1900</v>
      </c>
      <c r="E25" s="225"/>
      <c r="F25" s="231"/>
      <c r="G25" s="560" t="s">
        <v>11</v>
      </c>
      <c r="H25" s="559" t="s">
        <v>426</v>
      </c>
      <c r="I25" s="814"/>
      <c r="J25" s="216">
        <f>+'22'!J25</f>
        <v>0</v>
      </c>
      <c r="K25" s="238"/>
      <c r="L25" s="238"/>
      <c r="M25" s="121">
        <f>+K25+'22'!M25+L25</f>
        <v>0</v>
      </c>
      <c r="N25" s="178">
        <v>1300</v>
      </c>
      <c r="O25" s="535">
        <f>+N25-N25*0.24</f>
        <v>988</v>
      </c>
      <c r="P25" s="178">
        <v>115</v>
      </c>
      <c r="Q25" s="153">
        <f>+N25*P25</f>
        <v>149500</v>
      </c>
      <c r="R25" s="153">
        <f>+O25*P25</f>
        <v>113620</v>
      </c>
    </row>
    <row r="26" spans="1:23" ht="13.5" thickBot="1">
      <c r="A26" s="818"/>
      <c r="B26" s="217" t="s">
        <v>458</v>
      </c>
      <c r="C26" s="226">
        <v>6292</v>
      </c>
      <c r="D26" s="219">
        <v>540</v>
      </c>
      <c r="E26" s="227"/>
      <c r="F26" s="231">
        <v>8</v>
      </c>
      <c r="G26" s="560" t="s">
        <v>11</v>
      </c>
      <c r="H26" s="561" t="s">
        <v>455</v>
      </c>
      <c r="I26" s="814"/>
      <c r="J26" s="216">
        <f>+'22'!J26</f>
        <v>0</v>
      </c>
      <c r="K26" s="238"/>
      <c r="L26" s="238"/>
      <c r="M26" s="121">
        <f>+K26+'22'!M26+L26</f>
        <v>0</v>
      </c>
      <c r="N26" s="178">
        <v>1350</v>
      </c>
      <c r="O26" s="535">
        <f>+N26-N26*0.24</f>
        <v>1026</v>
      </c>
      <c r="P26" s="153">
        <f>5+360</f>
        <v>365</v>
      </c>
      <c r="Q26" s="153">
        <f>+N26*P26</f>
        <v>492750</v>
      </c>
      <c r="R26" s="153">
        <f>+O26*P26</f>
        <v>374490</v>
      </c>
    </row>
    <row r="27" spans="1:23" ht="13.5" thickBot="1">
      <c r="A27" s="818"/>
      <c r="B27" s="217" t="s">
        <v>431</v>
      </c>
      <c r="C27" s="218">
        <v>4614</v>
      </c>
      <c r="D27" s="219"/>
      <c r="E27" s="225"/>
      <c r="F27" s="231"/>
      <c r="G27" s="558"/>
      <c r="H27" s="561" t="s">
        <v>786</v>
      </c>
      <c r="I27" s="814"/>
      <c r="J27" s="216">
        <f>+'22'!J27</f>
        <v>0</v>
      </c>
      <c r="K27" s="238"/>
      <c r="L27" s="238"/>
      <c r="M27" s="121">
        <f>+K27+'22'!M27+L27</f>
        <v>0</v>
      </c>
      <c r="P27" s="153">
        <f>SUM(P25:P26)</f>
        <v>480</v>
      </c>
      <c r="Q27" s="153">
        <f t="shared" ref="Q27:R27" si="2">SUM(Q25:Q26)</f>
        <v>642250</v>
      </c>
      <c r="R27" s="153">
        <f t="shared" si="2"/>
        <v>488110</v>
      </c>
    </row>
    <row r="28" spans="1:23" ht="13.5" thickBot="1">
      <c r="A28" s="818"/>
      <c r="B28" s="217"/>
      <c r="C28" s="218"/>
      <c r="D28" s="219"/>
      <c r="E28" s="225"/>
      <c r="F28" s="228"/>
      <c r="G28" s="232"/>
      <c r="H28" s="230" t="s">
        <v>783</v>
      </c>
      <c r="I28" s="814"/>
      <c r="J28" s="216">
        <f>+'22'!J28</f>
        <v>0</v>
      </c>
      <c r="K28" s="238"/>
      <c r="L28" s="238"/>
      <c r="M28" s="121">
        <f>+K28+'22'!M28+L28</f>
        <v>0</v>
      </c>
      <c r="Q28" s="153">
        <f>+Q27/P27</f>
        <v>1338.0208333333333</v>
      </c>
      <c r="R28" s="153">
        <f>+R27/P27</f>
        <v>1016.8958333333334</v>
      </c>
    </row>
    <row r="29" spans="1:23" ht="13.5" thickBot="1">
      <c r="A29" s="818"/>
      <c r="B29" s="217"/>
      <c r="C29" s="218"/>
      <c r="D29" s="219"/>
      <c r="E29" s="225"/>
      <c r="F29" s="235"/>
      <c r="G29" s="232"/>
      <c r="H29" s="233" t="s">
        <v>784</v>
      </c>
      <c r="I29" s="814"/>
      <c r="J29" s="216">
        <f>+'22'!J29</f>
        <v>0</v>
      </c>
      <c r="K29" s="238"/>
      <c r="L29" s="238"/>
      <c r="M29" s="121">
        <f>+K29+'22'!M29+L29</f>
        <v>0</v>
      </c>
    </row>
    <row r="30" spans="1:23" ht="13.5" thickBot="1">
      <c r="A30" s="818"/>
      <c r="B30" s="217"/>
      <c r="C30" s="226"/>
      <c r="D30" s="219"/>
      <c r="E30" s="225"/>
      <c r="F30" s="228">
        <v>85</v>
      </c>
      <c r="G30" s="232" t="s">
        <v>19</v>
      </c>
      <c r="H30" s="233" t="s">
        <v>840</v>
      </c>
      <c r="I30" s="814"/>
      <c r="J30" s="216">
        <f>+'22'!J30</f>
        <v>0</v>
      </c>
      <c r="K30" s="238"/>
      <c r="L30" s="238"/>
      <c r="M30" s="121">
        <f>+K30+'22'!M30+L30</f>
        <v>0</v>
      </c>
      <c r="N30" s="183" t="s">
        <v>106</v>
      </c>
      <c r="O30" s="583" t="s">
        <v>478</v>
      </c>
      <c r="P30" s="583" t="s">
        <v>478</v>
      </c>
      <c r="Q30" s="583" t="s">
        <v>479</v>
      </c>
      <c r="R30" s="583" t="s">
        <v>480</v>
      </c>
      <c r="S30" s="583" t="s">
        <v>481</v>
      </c>
      <c r="T30" s="583" t="s">
        <v>482</v>
      </c>
      <c r="U30" s="584" t="s">
        <v>483</v>
      </c>
      <c r="V30" s="583" t="s">
        <v>484</v>
      </c>
      <c r="W30" s="583" t="s">
        <v>485</v>
      </c>
    </row>
    <row r="31" spans="1:23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+'22'!J31</f>
        <v>0</v>
      </c>
      <c r="K31" s="238"/>
      <c r="L31" s="238"/>
      <c r="M31" s="121">
        <f>+K31+'22'!M31+L31</f>
        <v>0</v>
      </c>
      <c r="N31" s="585">
        <v>18</v>
      </c>
      <c r="O31" s="201">
        <v>1030</v>
      </c>
      <c r="P31" s="201">
        <v>1030</v>
      </c>
      <c r="Q31" s="201">
        <f>+P31-P31*0.24</f>
        <v>782.8</v>
      </c>
      <c r="R31" s="586">
        <f>1-(Q31/P31)</f>
        <v>0.24</v>
      </c>
      <c r="S31" s="587">
        <v>85</v>
      </c>
      <c r="T31" s="588">
        <f>+T21</f>
        <v>280</v>
      </c>
      <c r="U31" s="589">
        <f>(O31*(1-R31)*N31*T31*S31)/100000000</f>
        <v>3.3535151999999999</v>
      </c>
      <c r="V31" s="590">
        <f>+C38/1000</f>
        <v>3.5000000000000003E-2</v>
      </c>
      <c r="W31" s="591">
        <f>SUM(V31:V33)/SUM(U31:U33)</f>
        <v>5.2094843813109181E-3</v>
      </c>
    </row>
    <row r="32" spans="1:23" ht="13.5" thickBot="1">
      <c r="A32" s="819"/>
      <c r="B32" s="169" t="s">
        <v>2</v>
      </c>
      <c r="C32" s="103">
        <f>SUM(C25:C31)</f>
        <v>12088</v>
      </c>
      <c r="D32" s="104">
        <f>SUM(D25:D31)</f>
        <v>2440</v>
      </c>
      <c r="E32" s="105">
        <f>SUM(E25:E31)</f>
        <v>0</v>
      </c>
      <c r="F32" s="103">
        <f>SUM(F24:F31)</f>
        <v>93</v>
      </c>
      <c r="G32" s="173"/>
      <c r="H32" s="174"/>
      <c r="I32" s="172"/>
      <c r="J32" s="216">
        <f>+'22'!J32</f>
        <v>0</v>
      </c>
      <c r="K32" s="240"/>
      <c r="L32" s="242"/>
      <c r="M32" s="121">
        <f>+K32+'22'!M32+L32</f>
        <v>0</v>
      </c>
      <c r="U32" s="153">
        <f>2.495+0.87</f>
        <v>3.3650000000000002</v>
      </c>
    </row>
    <row r="33" spans="1:14" ht="13.5" thickBot="1">
      <c r="A33" s="175"/>
      <c r="B33" s="176"/>
      <c r="C33" s="107">
        <f>C32/($C$32+$D$32+$E$32)</f>
        <v>0.83204845814977979</v>
      </c>
      <c r="D33" s="108">
        <f>D32/($C$32+$D$32+$E$32)</f>
        <v>0.16795154185022027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37820</v>
      </c>
      <c r="D34" s="111">
        <f>D14+D23+D32</f>
        <v>4416</v>
      </c>
      <c r="E34" s="111">
        <f>E14+E23+E32</f>
        <v>0</v>
      </c>
      <c r="F34" s="112">
        <f>F14+F23+F32</f>
        <v>207</v>
      </c>
      <c r="H34" s="180"/>
      <c r="I34" s="180"/>
      <c r="J34" s="127" t="s">
        <v>27</v>
      </c>
      <c r="K34" s="128">
        <f>SUM(K7:K32)</f>
        <v>37820</v>
      </c>
      <c r="L34" s="214">
        <f>SUM(L7:L32)</f>
        <v>0</v>
      </c>
      <c r="M34" s="124">
        <f>SUM(M7:M32)</f>
        <v>1049630</v>
      </c>
      <c r="N34" s="159"/>
    </row>
    <row r="35" spans="1:14" ht="13.5" thickBot="1">
      <c r="A35" s="181"/>
      <c r="B35" s="182"/>
      <c r="C35" s="108">
        <f>C34/($C$34+$D$34+$E$34)</f>
        <v>0.89544464437920257</v>
      </c>
      <c r="D35" s="108">
        <f>D34/($C$34+$D$34+$E$34)</f>
        <v>0.10455535562079743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(18*780+14.5*295+12.5*365)/1440*G42*2.85*1440/1000000</f>
        <v>57.805714633333331</v>
      </c>
      <c r="J37" s="129">
        <f>+I37+'22'!J37</f>
        <v>1232.2043270953445</v>
      </c>
      <c r="K37" s="130" t="s">
        <v>74</v>
      </c>
      <c r="N37" s="153">
        <v>31.657</v>
      </c>
    </row>
    <row r="38" spans="1:14" ht="17.45" customHeight="1">
      <c r="A38" s="824" t="s">
        <v>11</v>
      </c>
      <c r="B38" s="825"/>
      <c r="C38" s="168">
        <f>SUMIF($G$7:$G$31,"Process",$F$7:$F$31)</f>
        <v>35</v>
      </c>
      <c r="D38" s="122">
        <f>+C38+'22'!D38</f>
        <v>1194</v>
      </c>
      <c r="E38" s="147">
        <f t="shared" ref="E38:E51" si="3">D38/60</f>
        <v>19.899999999999999</v>
      </c>
      <c r="F38" s="334">
        <v>1030</v>
      </c>
      <c r="G38" s="334">
        <v>782.8</v>
      </c>
      <c r="H38" s="189" t="s">
        <v>75</v>
      </c>
      <c r="I38" s="581">
        <f>18.144+16.924+19.368</f>
        <v>54.435999999999993</v>
      </c>
      <c r="J38" s="131">
        <f>+I38+'22'!J38</f>
        <v>1127.4099999999999</v>
      </c>
      <c r="K38" s="132" t="s">
        <v>74</v>
      </c>
      <c r="N38" s="153">
        <f>3.411+2.355+2.339+2.355</f>
        <v>10.46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+C39+'22'!D39</f>
        <v>0</v>
      </c>
      <c r="E39" s="147">
        <f t="shared" si="3"/>
        <v>0</v>
      </c>
      <c r="F39" s="334">
        <v>1131.25</v>
      </c>
      <c r="G39" s="334">
        <v>859.75</v>
      </c>
      <c r="H39" s="189" t="s">
        <v>76</v>
      </c>
      <c r="I39" s="146"/>
      <c r="J39" s="133">
        <f>J37/G4</f>
        <v>53.574101178058456</v>
      </c>
      <c r="K39" s="134" t="s">
        <v>74</v>
      </c>
      <c r="N39" s="580">
        <f>+I38-N37-N38</f>
        <v>12.318999999999992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+C40+'22'!D40</f>
        <v>101</v>
      </c>
      <c r="E40" s="147">
        <f t="shared" ca="1" si="3"/>
        <v>1.6833333333333333</v>
      </c>
      <c r="F40" s="334">
        <v>1338.0208333333333</v>
      </c>
      <c r="G40" s="334">
        <v>1016.8958333333334</v>
      </c>
      <c r="H40" s="189" t="s">
        <v>78</v>
      </c>
      <c r="I40" s="122">
        <f>(K34+L34)/1000</f>
        <v>37.82</v>
      </c>
      <c r="J40" s="135">
        <f>+I40+'22'!J40</f>
        <v>1049.6300000000001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+C41+'22'!D41</f>
        <v>50</v>
      </c>
      <c r="E41" s="147">
        <f t="shared" ca="1" si="3"/>
        <v>0.83333333333333337</v>
      </c>
      <c r="F41" s="334"/>
      <c r="G41" s="334"/>
      <c r="H41" s="189" t="s">
        <v>80</v>
      </c>
      <c r="I41" s="146"/>
      <c r="J41" s="133">
        <f>J40/G4</f>
        <v>45.636086956521744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+C42+'22'!D42</f>
        <v>0</v>
      </c>
      <c r="E42" s="147">
        <f t="shared" ca="1" si="3"/>
        <v>0</v>
      </c>
      <c r="F42" s="334">
        <f>+(F38*480+F39*480+F40*480)/1440</f>
        <v>1166.4236111111111</v>
      </c>
      <c r="G42" s="334">
        <f>+(G38*480+G39*480+G40*480)/1440</f>
        <v>886.48194444444448</v>
      </c>
      <c r="H42" s="189" t="s">
        <v>81</v>
      </c>
      <c r="I42" s="245" t="s">
        <v>789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+C43+'22'!D43</f>
        <v>0</v>
      </c>
      <c r="E43" s="147">
        <f t="shared" ca="1" si="3"/>
        <v>0</v>
      </c>
      <c r="F43" s="334"/>
      <c r="G43" s="335"/>
      <c r="H43" s="190" t="s">
        <v>84</v>
      </c>
      <c r="I43" s="122">
        <f>+Report1!Z31</f>
        <v>128.9</v>
      </c>
      <c r="J43" s="137">
        <f>+I43+'22'!J43</f>
        <v>2857.9999999999995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+C44+'22'!D44</f>
        <v>0</v>
      </c>
      <c r="E44" s="147">
        <f t="shared" si="3"/>
        <v>0</v>
      </c>
      <c r="F44" s="334"/>
      <c r="G44" s="335"/>
      <c r="H44" s="190" t="s">
        <v>85</v>
      </c>
      <c r="I44" s="122">
        <f>I43/I38</f>
        <v>2.367918289367331</v>
      </c>
      <c r="J44" s="138">
        <f>J43/J38</f>
        <v>2.5350138813741228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+C45+'22'!D45</f>
        <v>0</v>
      </c>
      <c r="E45" s="147">
        <f t="shared" si="3"/>
        <v>0</v>
      </c>
      <c r="F45" s="334"/>
      <c r="G45" s="337"/>
      <c r="H45" s="190" t="s">
        <v>86</v>
      </c>
      <c r="I45" s="122">
        <f>I43/I40</f>
        <v>3.4082496033844527</v>
      </c>
      <c r="J45" s="138">
        <f>J43/J40</f>
        <v>2.7228642474014646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+C46+'22'!D46</f>
        <v>0</v>
      </c>
      <c r="E46" s="147">
        <f t="shared" si="3"/>
        <v>0</v>
      </c>
      <c r="F46" s="334"/>
      <c r="G46" s="335"/>
      <c r="H46" s="190" t="s">
        <v>88</v>
      </c>
      <c r="I46" s="144">
        <f>+SUMIF(Listrik!AN30,"&gt;0")</f>
        <v>42635.910000000207</v>
      </c>
      <c r="J46" s="139">
        <f>+I46+'22'!J46</f>
        <v>1115489.4275999996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+C47+'22'!D47</f>
        <v>0</v>
      </c>
      <c r="E47" s="147">
        <f t="shared" si="3"/>
        <v>0</v>
      </c>
      <c r="F47" s="334"/>
      <c r="G47" s="335"/>
      <c r="H47" s="190" t="s">
        <v>91</v>
      </c>
      <c r="I47" s="122">
        <f>I46/I38</f>
        <v>783.23003159674136</v>
      </c>
      <c r="J47" s="139">
        <f>J46/J38</f>
        <v>989.42658624635203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+C48+'22'!D48</f>
        <v>0</v>
      </c>
      <c r="E48" s="147">
        <f t="shared" si="3"/>
        <v>0</v>
      </c>
      <c r="F48" s="334"/>
      <c r="G48" s="335"/>
      <c r="H48" s="190" t="s">
        <v>92</v>
      </c>
      <c r="I48" s="122">
        <f>I46/I40</f>
        <v>1127.3376520359652</v>
      </c>
      <c r="J48" s="139">
        <f>J46/J40</f>
        <v>1062.7453746558306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172</v>
      </c>
      <c r="D49" s="122">
        <f>+C49+'22'!D49</f>
        <v>717</v>
      </c>
      <c r="E49" s="147">
        <f t="shared" si="3"/>
        <v>11.95</v>
      </c>
      <c r="F49" s="187"/>
      <c r="H49" s="190" t="s">
        <v>93</v>
      </c>
      <c r="I49" s="122">
        <v>0</v>
      </c>
      <c r="J49" s="139">
        <f>+I49+'22'!J49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+C50+'22'!D50</f>
        <v>0</v>
      </c>
      <c r="E50" s="147">
        <f t="shared" si="3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+C51+'22'!D51</f>
        <v>0</v>
      </c>
      <c r="E51" s="147">
        <f t="shared" si="3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207</v>
      </c>
      <c r="D52" s="148">
        <f ca="1">SUM(D38:D51)</f>
        <v>2062</v>
      </c>
      <c r="E52" s="149">
        <f ca="1">SUM(E38:E51)</f>
        <v>34.36666666666666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0.14374999999999999</v>
      </c>
      <c r="D53" s="150">
        <f ca="1">D52/(24*60*G4)</f>
        <v>6.2258454106280191E-2</v>
      </c>
      <c r="E53" s="151">
        <f ca="1">E52/(G4*24)</f>
        <v>6.2258454106280184E-2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+D34+'22'!J56</f>
        <v>15755</v>
      </c>
      <c r="K56" s="203">
        <f>J56/(J40+J56/1000)/1000</f>
        <v>1.4788081303941764E-2</v>
      </c>
    </row>
    <row r="57" spans="1:11">
      <c r="A57" s="178"/>
      <c r="I57" s="201" t="s">
        <v>100</v>
      </c>
      <c r="J57" s="202">
        <f>+E34+'22'!J57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7109375" style="153" bestFit="1" customWidth="1"/>
    <col min="12" max="12" width="8.28515625" style="153" customWidth="1"/>
    <col min="13" max="13" width="14.14062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22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363+438+400</f>
        <v>1201</v>
      </c>
    </row>
    <row r="7" spans="1:18" ht="13.5" customHeight="1" thickBot="1">
      <c r="A7" s="810" t="s">
        <v>467</v>
      </c>
      <c r="B7" s="217" t="s">
        <v>431</v>
      </c>
      <c r="C7" s="218">
        <v>17103</v>
      </c>
      <c r="D7" s="219"/>
      <c r="E7" s="220"/>
      <c r="F7" s="231"/>
      <c r="G7" s="558" t="s">
        <v>11</v>
      </c>
      <c r="H7" s="559" t="s">
        <v>404</v>
      </c>
      <c r="I7" s="813" t="s">
        <v>777</v>
      </c>
      <c r="J7" s="216" t="str">
        <f>+'21'!J7</f>
        <v>T 12,5 VP OW</v>
      </c>
      <c r="K7" s="237">
        <f>+C7+C16</f>
        <v>22746</v>
      </c>
      <c r="L7" s="241"/>
      <c r="M7" s="121">
        <f>+K7+'21'!M7+L7</f>
        <v>66326</v>
      </c>
    </row>
    <row r="8" spans="1:18" ht="13.5" thickBot="1">
      <c r="A8" s="811"/>
      <c r="B8" s="217"/>
      <c r="C8" s="218"/>
      <c r="D8" s="219"/>
      <c r="E8" s="221"/>
      <c r="F8" s="231">
        <v>1</v>
      </c>
      <c r="G8" s="560" t="s">
        <v>11</v>
      </c>
      <c r="H8" s="559" t="s">
        <v>513</v>
      </c>
      <c r="I8" s="814"/>
      <c r="J8" s="216" t="str">
        <f>+'21'!J8</f>
        <v>F 12.5 VP OW</v>
      </c>
      <c r="K8" s="238"/>
      <c r="L8" s="238"/>
      <c r="M8" s="121">
        <f>+K8+'21'!M8+L8</f>
        <v>111865</v>
      </c>
      <c r="N8" s="178">
        <v>1330</v>
      </c>
      <c r="O8" s="178">
        <f>+N8-N8*0.22</f>
        <v>1037.4000000000001</v>
      </c>
      <c r="P8" s="178">
        <v>420</v>
      </c>
      <c r="Q8" s="153">
        <f>+N8*P8</f>
        <v>558600</v>
      </c>
      <c r="R8" s="153">
        <f>+O8*P8</f>
        <v>435708.00000000006</v>
      </c>
    </row>
    <row r="9" spans="1:18" ht="13.5" thickBot="1">
      <c r="A9" s="811"/>
      <c r="B9" s="217"/>
      <c r="C9" s="218"/>
      <c r="D9" s="219"/>
      <c r="E9" s="222"/>
      <c r="F9" s="231">
        <v>7</v>
      </c>
      <c r="G9" s="560" t="s">
        <v>11</v>
      </c>
      <c r="H9" s="561" t="s">
        <v>428</v>
      </c>
      <c r="I9" s="814"/>
      <c r="J9" s="216" t="str">
        <f>+'21'!J9</f>
        <v>F 13 VP OW</v>
      </c>
      <c r="K9" s="238"/>
      <c r="L9" s="238"/>
      <c r="M9" s="121">
        <f>+K9+'21'!M9+L9</f>
        <v>100014</v>
      </c>
      <c r="N9" s="153">
        <v>1330</v>
      </c>
      <c r="O9" s="178">
        <f>+N9-N9*0.24</f>
        <v>1010.8</v>
      </c>
      <c r="P9" s="153">
        <v>60</v>
      </c>
      <c r="Q9" s="153">
        <f>+N9*P9</f>
        <v>79800</v>
      </c>
      <c r="R9" s="153">
        <f>+O9*P9</f>
        <v>60648</v>
      </c>
    </row>
    <row r="10" spans="1:18" ht="13.5" thickBot="1">
      <c r="A10" s="811"/>
      <c r="B10" s="217"/>
      <c r="C10" s="218"/>
      <c r="D10" s="219"/>
      <c r="E10" s="221"/>
      <c r="F10" s="231"/>
      <c r="G10" s="558"/>
      <c r="H10" s="561" t="s">
        <v>776</v>
      </c>
      <c r="I10" s="814"/>
      <c r="J10" s="216" t="str">
        <f>+'21'!J10</f>
        <v>T 12 VP OW</v>
      </c>
      <c r="K10" s="238"/>
      <c r="L10" s="238"/>
      <c r="M10" s="121">
        <f>+K10+'21'!M10+L10</f>
        <v>23281</v>
      </c>
      <c r="P10" s="153">
        <f>SUM(P8:P9)</f>
        <v>480</v>
      </c>
      <c r="Q10" s="153">
        <f t="shared" ref="Q10:R10" si="0">SUM(Q8:Q9)</f>
        <v>638400</v>
      </c>
      <c r="R10" s="153">
        <f t="shared" si="0"/>
        <v>496356.00000000006</v>
      </c>
    </row>
    <row r="11" spans="1:18" ht="39" thickBot="1">
      <c r="A11" s="811"/>
      <c r="B11" s="217"/>
      <c r="C11" s="218"/>
      <c r="D11" s="219"/>
      <c r="E11" s="221"/>
      <c r="F11" s="481">
        <v>8</v>
      </c>
      <c r="G11" s="482" t="s">
        <v>261</v>
      </c>
      <c r="H11" s="230" t="s">
        <v>766</v>
      </c>
      <c r="I11" s="814"/>
      <c r="J11" s="216" t="str">
        <f>+'21'!J11</f>
        <v>T 13,5 VP OW</v>
      </c>
      <c r="K11" s="238"/>
      <c r="L11" s="238"/>
      <c r="M11" s="121">
        <f>+K11+'21'!M11+L11</f>
        <v>15672</v>
      </c>
      <c r="Q11" s="153">
        <f>+Q10/P10</f>
        <v>1330</v>
      </c>
      <c r="R11" s="153">
        <f>+R10/P10</f>
        <v>1034.075</v>
      </c>
    </row>
    <row r="12" spans="1:18" ht="26.25" thickBot="1">
      <c r="A12" s="811"/>
      <c r="B12" s="217"/>
      <c r="C12" s="218"/>
      <c r="D12" s="219"/>
      <c r="E12" s="221"/>
      <c r="F12" s="228"/>
      <c r="G12" s="232"/>
      <c r="H12" s="233" t="s">
        <v>767</v>
      </c>
      <c r="I12" s="814"/>
      <c r="J12" s="216" t="str">
        <f>+'21'!J12</f>
        <v>F 12 VP OW</v>
      </c>
      <c r="K12" s="238"/>
      <c r="L12" s="238"/>
      <c r="M12" s="121">
        <f>+K12+'21'!M12+L12</f>
        <v>246368</v>
      </c>
    </row>
    <row r="13" spans="1:18" ht="26.25" thickBot="1">
      <c r="A13" s="811"/>
      <c r="B13" s="217"/>
      <c r="C13" s="218"/>
      <c r="D13" s="218"/>
      <c r="E13" s="221"/>
      <c r="F13" s="228"/>
      <c r="G13" s="232"/>
      <c r="H13" s="233" t="s">
        <v>769</v>
      </c>
      <c r="I13" s="815"/>
      <c r="J13" s="216" t="str">
        <f>+'21'!J13</f>
        <v>T 12,5 VP OW</v>
      </c>
      <c r="K13" s="238"/>
      <c r="L13" s="238"/>
      <c r="M13" s="121">
        <f>+K13+'21'!M13+L13</f>
        <v>251600</v>
      </c>
    </row>
    <row r="14" spans="1:18" ht="13.5" thickBot="1">
      <c r="A14" s="812"/>
      <c r="B14" s="169" t="s">
        <v>2</v>
      </c>
      <c r="C14" s="115">
        <f>SUM(C7:C13)</f>
        <v>17103</v>
      </c>
      <c r="D14" s="115">
        <f>SUM(D7:D13)</f>
        <v>0</v>
      </c>
      <c r="E14" s="116">
        <f>SUM(E5:E13)</f>
        <v>0</v>
      </c>
      <c r="F14" s="106">
        <f>SUM(F6:F13)</f>
        <v>16</v>
      </c>
      <c r="G14" s="163"/>
      <c r="H14" s="170"/>
      <c r="I14" s="171"/>
      <c r="J14" s="216" t="str">
        <f>+'21'!J14</f>
        <v>T 14 VP OW</v>
      </c>
      <c r="K14" s="238"/>
      <c r="L14" s="238"/>
      <c r="M14" s="121">
        <f>+K14+'21'!M14+L14</f>
        <v>88884</v>
      </c>
    </row>
    <row r="15" spans="1:18" ht="13.5" customHeight="1" thickBot="1">
      <c r="A15" s="810" t="s">
        <v>415</v>
      </c>
      <c r="B15" s="510"/>
      <c r="C15" s="118">
        <f>C14/($C$23+$D$23+$E$23)</f>
        <v>0.88685506870624842</v>
      </c>
      <c r="D15" s="118">
        <f>D14/($C$23+$D$23+$E$23)</f>
        <v>0</v>
      </c>
      <c r="E15" s="119">
        <f>E14/($C$23+$D$23+$E$23)</f>
        <v>0</v>
      </c>
      <c r="F15" s="231"/>
      <c r="G15" s="558" t="s">
        <v>11</v>
      </c>
      <c r="H15" s="559" t="s">
        <v>404</v>
      </c>
      <c r="I15" s="813" t="s">
        <v>619</v>
      </c>
      <c r="J15" s="216" t="str">
        <f>+'21'!J15</f>
        <v>T 15 VP OW</v>
      </c>
      <c r="K15" s="238"/>
      <c r="L15" s="238"/>
      <c r="M15" s="121">
        <f>+K15+'21'!M15+L15</f>
        <v>55010</v>
      </c>
      <c r="N15" s="153">
        <v>1330</v>
      </c>
      <c r="O15" s="178">
        <f>+N15-N15*0.24</f>
        <v>1010.8</v>
      </c>
      <c r="P15" s="153">
        <v>60</v>
      </c>
      <c r="Q15" s="153">
        <f>+N15*P15</f>
        <v>79800</v>
      </c>
      <c r="R15" s="153">
        <f>+O15*P15</f>
        <v>60648</v>
      </c>
    </row>
    <row r="16" spans="1:18" ht="13.5" thickBot="1">
      <c r="A16" s="816"/>
      <c r="B16" s="217" t="s">
        <v>431</v>
      </c>
      <c r="C16" s="511">
        <v>5643</v>
      </c>
      <c r="D16" s="223"/>
      <c r="E16" s="224"/>
      <c r="F16" s="231"/>
      <c r="G16" s="560" t="s">
        <v>11</v>
      </c>
      <c r="H16" s="559" t="s">
        <v>426</v>
      </c>
      <c r="I16" s="814"/>
      <c r="J16" s="216" t="str">
        <f>+'21'!J16</f>
        <v>T 17 VP OW</v>
      </c>
      <c r="K16" s="229"/>
      <c r="L16" s="229"/>
      <c r="M16" s="121">
        <f>+K16+'21'!M16+L16</f>
        <v>22278</v>
      </c>
      <c r="N16" s="153">
        <v>1300</v>
      </c>
      <c r="O16" s="534">
        <f>+N16-N16*0.24</f>
        <v>988</v>
      </c>
      <c r="P16" s="153">
        <f>480+200</f>
        <v>680</v>
      </c>
      <c r="Q16" s="153">
        <f>+N16*P16</f>
        <v>884000</v>
      </c>
      <c r="R16" s="153">
        <f>+O16*P16</f>
        <v>671840</v>
      </c>
    </row>
    <row r="17" spans="1:18" ht="13.5" thickBot="1">
      <c r="A17" s="816"/>
      <c r="B17" s="217" t="s">
        <v>458</v>
      </c>
      <c r="C17" s="218">
        <v>13642</v>
      </c>
      <c r="D17" s="219"/>
      <c r="E17" s="225"/>
      <c r="F17" s="231">
        <v>12</v>
      </c>
      <c r="G17" s="560" t="s">
        <v>11</v>
      </c>
      <c r="H17" s="561" t="s">
        <v>455</v>
      </c>
      <c r="I17" s="814"/>
      <c r="J17" s="216" t="s">
        <v>458</v>
      </c>
      <c r="K17" s="229">
        <f>+C17+C25</f>
        <v>27229</v>
      </c>
      <c r="L17" s="229"/>
      <c r="M17" s="121">
        <f>+K17+'21'!M17+L17</f>
        <v>27229</v>
      </c>
      <c r="P17" s="153">
        <f>SUM(P15:P16)</f>
        <v>740</v>
      </c>
      <c r="Q17" s="153">
        <f t="shared" ref="Q17" si="1">SUM(Q15:Q16)</f>
        <v>963800</v>
      </c>
      <c r="R17" s="153">
        <f t="shared" ref="R17" si="2">SUM(R15:R16)</f>
        <v>732488</v>
      </c>
    </row>
    <row r="18" spans="1:18" ht="13.5" thickBot="1">
      <c r="A18" s="816"/>
      <c r="B18" s="217"/>
      <c r="C18" s="218"/>
      <c r="D18" s="219"/>
      <c r="E18" s="225"/>
      <c r="F18" s="231"/>
      <c r="G18" s="558"/>
      <c r="H18" s="561" t="s">
        <v>770</v>
      </c>
      <c r="I18" s="814"/>
      <c r="J18" s="216" t="s">
        <v>775</v>
      </c>
      <c r="K18" s="238">
        <f>+C26</f>
        <v>3283</v>
      </c>
      <c r="L18" s="238"/>
      <c r="M18" s="121">
        <f>+K18+'21'!M18+L18</f>
        <v>3283</v>
      </c>
      <c r="Q18" s="153">
        <f>+Q17/P17</f>
        <v>1302.4324324324325</v>
      </c>
      <c r="R18" s="153">
        <f>+R17/P17</f>
        <v>989.84864864864869</v>
      </c>
    </row>
    <row r="19" spans="1:18" ht="26.25" thickBot="1">
      <c r="A19" s="816"/>
      <c r="B19" s="217"/>
      <c r="C19" s="218"/>
      <c r="D19" s="219"/>
      <c r="E19" s="225"/>
      <c r="F19" s="228"/>
      <c r="G19" s="232"/>
      <c r="H19" s="230" t="s">
        <v>763</v>
      </c>
      <c r="I19" s="814"/>
      <c r="J19" s="216">
        <f>+'21'!J19</f>
        <v>0</v>
      </c>
      <c r="K19" s="238"/>
      <c r="L19" s="238"/>
      <c r="M19" s="121">
        <f>+K19+'21'!M19+L19</f>
        <v>0</v>
      </c>
    </row>
    <row r="20" spans="1:18" ht="26.25" thickBot="1">
      <c r="A20" s="816"/>
      <c r="B20" s="217"/>
      <c r="C20" s="218"/>
      <c r="D20" s="219"/>
      <c r="E20" s="225"/>
      <c r="F20" s="228"/>
      <c r="G20" s="232"/>
      <c r="H20" s="233" t="s">
        <v>764</v>
      </c>
      <c r="I20" s="814"/>
      <c r="J20" s="216">
        <f>+'21'!J20</f>
        <v>0</v>
      </c>
      <c r="K20" s="239"/>
      <c r="L20" s="239"/>
      <c r="M20" s="121">
        <f>+K20+'21'!M20+L20</f>
        <v>0</v>
      </c>
    </row>
    <row r="21" spans="1:18" ht="26.25" thickBot="1">
      <c r="A21" s="816"/>
      <c r="B21" s="217"/>
      <c r="C21" s="218"/>
      <c r="D21" s="219"/>
      <c r="E21" s="225"/>
      <c r="F21" s="231"/>
      <c r="G21" s="232"/>
      <c r="H21" s="233" t="s">
        <v>765</v>
      </c>
      <c r="I21" s="814"/>
      <c r="J21" s="216">
        <f>+'21'!J21</f>
        <v>0</v>
      </c>
      <c r="K21" s="238"/>
      <c r="L21" s="238"/>
      <c r="M21" s="121">
        <f>+K21+'21'!M21+L21</f>
        <v>0</v>
      </c>
    </row>
    <row r="22" spans="1:18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+'21'!J22</f>
        <v>0</v>
      </c>
      <c r="K22" s="238"/>
      <c r="L22" s="238"/>
      <c r="M22" s="121">
        <f>+K22+'21'!M22+L22</f>
        <v>0</v>
      </c>
    </row>
    <row r="23" spans="1:18" ht="13.5" thickBot="1">
      <c r="A23" s="817"/>
      <c r="B23" s="169" t="s">
        <v>2</v>
      </c>
      <c r="C23" s="103">
        <f>SUM(C16:C22)</f>
        <v>19285</v>
      </c>
      <c r="D23" s="115">
        <f>SUM(D16:D22)</f>
        <v>0</v>
      </c>
      <c r="E23" s="116">
        <f>SUM(E18:E22)</f>
        <v>0</v>
      </c>
      <c r="F23" s="106">
        <f>SUM(F15:F22)</f>
        <v>12</v>
      </c>
      <c r="G23" s="163"/>
      <c r="H23" s="170"/>
      <c r="I23" s="172"/>
      <c r="J23" s="216">
        <f>+'21'!J23</f>
        <v>0</v>
      </c>
      <c r="K23" s="238"/>
      <c r="L23" s="238"/>
      <c r="M23" s="121">
        <f>+K23+'21'!M23+L23</f>
        <v>0</v>
      </c>
    </row>
    <row r="24" spans="1:18" ht="13.5" customHeight="1" thickBot="1">
      <c r="A24" s="810" t="s">
        <v>239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771</v>
      </c>
      <c r="J24" s="216">
        <f>+'21'!J24</f>
        <v>0</v>
      </c>
      <c r="K24" s="238"/>
      <c r="L24" s="238"/>
      <c r="M24" s="121">
        <f>+K24+'21'!M24+L24</f>
        <v>0</v>
      </c>
    </row>
    <row r="25" spans="1:18" ht="13.5" thickBot="1">
      <c r="A25" s="818"/>
      <c r="B25" s="217" t="s">
        <v>458</v>
      </c>
      <c r="C25" s="226">
        <v>13587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+'21'!J25</f>
        <v>0</v>
      </c>
      <c r="K25" s="238"/>
      <c r="L25" s="238"/>
      <c r="M25" s="121">
        <f>+K25+'21'!M25+L25</f>
        <v>0</v>
      </c>
      <c r="N25" s="178">
        <v>1300</v>
      </c>
      <c r="O25" s="534">
        <f>+N25-N25*0.24</f>
        <v>988</v>
      </c>
      <c r="P25" s="178">
        <f>180+20</f>
        <v>200</v>
      </c>
      <c r="Q25" s="153">
        <f>+N25*P25</f>
        <v>260000</v>
      </c>
      <c r="R25" s="153">
        <f>+O25*P25</f>
        <v>197600</v>
      </c>
    </row>
    <row r="26" spans="1:18" ht="13.5" thickBot="1">
      <c r="A26" s="818"/>
      <c r="B26" s="217" t="s">
        <v>775</v>
      </c>
      <c r="C26" s="226">
        <v>3283</v>
      </c>
      <c r="D26" s="219"/>
      <c r="E26" s="227"/>
      <c r="F26" s="231">
        <v>5</v>
      </c>
      <c r="G26" s="560" t="s">
        <v>11</v>
      </c>
      <c r="H26" s="561" t="s">
        <v>413</v>
      </c>
      <c r="I26" s="814"/>
      <c r="J26" s="216">
        <f>+'21'!J26</f>
        <v>0</v>
      </c>
      <c r="K26" s="238"/>
      <c r="L26" s="238"/>
      <c r="M26" s="121">
        <f>+K26+'21'!M26+L26</f>
        <v>0</v>
      </c>
      <c r="N26" s="153">
        <v>1030</v>
      </c>
      <c r="O26" s="534">
        <f>+N26-N26*0.24</f>
        <v>782.8</v>
      </c>
      <c r="P26" s="153">
        <f>40+240</f>
        <v>280</v>
      </c>
      <c r="Q26" s="153">
        <f>+N26*P26</f>
        <v>288400</v>
      </c>
      <c r="R26" s="153">
        <f>+O26*P26</f>
        <v>219184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770</v>
      </c>
      <c r="I27" s="814"/>
      <c r="J27" s="216">
        <f>+'21'!J27</f>
        <v>0</v>
      </c>
      <c r="K27" s="238"/>
      <c r="L27" s="238"/>
      <c r="M27" s="121">
        <f>+K27+'21'!M27+L27</f>
        <v>0</v>
      </c>
      <c r="P27" s="153">
        <f>SUM(P25:P26)</f>
        <v>480</v>
      </c>
      <c r="Q27" s="153">
        <f t="shared" ref="Q27" si="3">SUM(Q25:Q26)</f>
        <v>548400</v>
      </c>
      <c r="R27" s="153">
        <f t="shared" ref="R27" si="4">SUM(R25:R26)</f>
        <v>416784</v>
      </c>
    </row>
    <row r="28" spans="1:18" ht="26.25" thickBot="1">
      <c r="A28" s="818"/>
      <c r="B28" s="217"/>
      <c r="C28" s="218"/>
      <c r="D28" s="219"/>
      <c r="E28" s="225"/>
      <c r="F28" s="228"/>
      <c r="G28" s="232"/>
      <c r="H28" s="230" t="s">
        <v>768</v>
      </c>
      <c r="I28" s="814"/>
      <c r="J28" s="216">
        <f>+'21'!J28</f>
        <v>0</v>
      </c>
      <c r="K28" s="238"/>
      <c r="L28" s="238"/>
      <c r="M28" s="121">
        <f>+K28+'21'!M28+L28</f>
        <v>0</v>
      </c>
      <c r="Q28" s="153">
        <f>+Q27/P27</f>
        <v>1142.5</v>
      </c>
      <c r="R28" s="153">
        <f>+R27/P27</f>
        <v>868.3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/>
      <c r="I29" s="814"/>
      <c r="J29" s="216">
        <f>+'21'!J29</f>
        <v>0</v>
      </c>
      <c r="K29" s="238"/>
      <c r="L29" s="238"/>
      <c r="M29" s="121">
        <f>+K29+'21'!M29+L29</f>
        <v>0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+'21'!J30</f>
        <v>0</v>
      </c>
      <c r="K30" s="238"/>
      <c r="L30" s="238"/>
      <c r="M30" s="121">
        <f>+K30+'21'!M30+L30</f>
        <v>0</v>
      </c>
      <c r="N30" s="159"/>
    </row>
    <row r="31" spans="1:18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+'21'!J31</f>
        <v>0</v>
      </c>
      <c r="K31" s="238"/>
      <c r="L31" s="238"/>
      <c r="M31" s="121">
        <f>+K31+'21'!M31+L31</f>
        <v>0</v>
      </c>
    </row>
    <row r="32" spans="1:18" ht="13.5" thickBot="1">
      <c r="A32" s="819"/>
      <c r="B32" s="169" t="s">
        <v>2</v>
      </c>
      <c r="C32" s="103">
        <f>SUM(C25:C31)</f>
        <v>16870</v>
      </c>
      <c r="D32" s="104">
        <f>SUM(D25:D31)</f>
        <v>0</v>
      </c>
      <c r="E32" s="105">
        <f>SUM(E25:E31)</f>
        <v>0</v>
      </c>
      <c r="F32" s="103">
        <f>SUM(F24:F31)</f>
        <v>5</v>
      </c>
      <c r="G32" s="173"/>
      <c r="H32" s="174"/>
      <c r="I32" s="172"/>
      <c r="J32" s="216">
        <f>+'21'!J32</f>
        <v>0</v>
      </c>
      <c r="K32" s="240"/>
      <c r="L32" s="242"/>
      <c r="M32" s="121">
        <f>+K32+'21'!M32+L32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53258</v>
      </c>
      <c r="D34" s="111">
        <f>D14+D23+D32</f>
        <v>0</v>
      </c>
      <c r="E34" s="111">
        <f>E14+E23+E32</f>
        <v>0</v>
      </c>
      <c r="F34" s="112">
        <f>F14+F23+F32</f>
        <v>33</v>
      </c>
      <c r="H34" s="180"/>
      <c r="I34" s="180"/>
      <c r="J34" s="127" t="s">
        <v>27</v>
      </c>
      <c r="K34" s="128">
        <f>SUM(K7:K32)</f>
        <v>53258</v>
      </c>
      <c r="L34" s="214">
        <f>SUM(L7:L32)</f>
        <v>0</v>
      </c>
      <c r="M34" s="124">
        <f>SUM(M7:M32)</f>
        <v>1011810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(12.5*420+14.5*740+18*280)/1440*G42*2.85*1440/1000000</f>
        <v>57.717898374999997</v>
      </c>
      <c r="J37" s="129">
        <f>+I37+'21'!J37</f>
        <v>1174.3986124620112</v>
      </c>
      <c r="K37" s="130" t="s">
        <v>74</v>
      </c>
      <c r="N37" s="153">
        <f>16.194</f>
        <v>16.193999999999999</v>
      </c>
    </row>
    <row r="38" spans="1:14" ht="17.45" customHeight="1">
      <c r="A38" s="824" t="s">
        <v>11</v>
      </c>
      <c r="B38" s="825"/>
      <c r="C38" s="168">
        <f>SUMIF($G$7:$G$31,"Process",$F$7:$F$31)</f>
        <v>25</v>
      </c>
      <c r="D38" s="122">
        <f>+C38+'21'!D38</f>
        <v>1159</v>
      </c>
      <c r="E38" s="147">
        <f t="shared" ref="E38:E51" si="5">D38/60</f>
        <v>19.316666666666666</v>
      </c>
      <c r="F38" s="334">
        <v>1330</v>
      </c>
      <c r="G38" s="334">
        <v>1034.075</v>
      </c>
      <c r="H38" s="189" t="s">
        <v>75</v>
      </c>
      <c r="I38" s="581">
        <f>16.194+18.677+19.55</f>
        <v>54.420999999999992</v>
      </c>
      <c r="J38" s="131">
        <f>+I38+'21'!J38</f>
        <v>1072.9739999999999</v>
      </c>
      <c r="K38" s="132" t="s">
        <v>74</v>
      </c>
      <c r="N38" s="153">
        <f>18.677+19.55-N39</f>
        <v>27.995000000000005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+C39+'21'!D39</f>
        <v>0</v>
      </c>
      <c r="E39" s="147">
        <f t="shared" si="5"/>
        <v>0</v>
      </c>
      <c r="F39" s="334">
        <v>1300</v>
      </c>
      <c r="G39" s="334">
        <v>988</v>
      </c>
      <c r="H39" s="189" t="s">
        <v>76</v>
      </c>
      <c r="I39" s="146"/>
      <c r="J39" s="133">
        <f>J37/G4</f>
        <v>53.381755111909598</v>
      </c>
      <c r="K39" s="134" t="s">
        <v>74</v>
      </c>
      <c r="N39" s="153">
        <f>1.058+1.764+2.47+2.47+2.47</f>
        <v>10.232000000000001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+C40+'21'!D40</f>
        <v>101</v>
      </c>
      <c r="E40" s="147">
        <f t="shared" ca="1" si="5"/>
        <v>1.6833333333333333</v>
      </c>
      <c r="F40" s="334">
        <v>1142.5</v>
      </c>
      <c r="G40" s="334">
        <v>868.3</v>
      </c>
      <c r="H40" s="189" t="s">
        <v>78</v>
      </c>
      <c r="I40" s="122">
        <f>(K34+L34)/1000</f>
        <v>53.258000000000003</v>
      </c>
      <c r="J40" s="135">
        <f>+I40+'21'!J40</f>
        <v>1011.8100000000002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+C41+'21'!D41</f>
        <v>50</v>
      </c>
      <c r="E41" s="147">
        <f t="shared" ca="1" si="5"/>
        <v>0.83333333333333337</v>
      </c>
      <c r="F41" s="334"/>
      <c r="G41" s="334"/>
      <c r="H41" s="189" t="s">
        <v>80</v>
      </c>
      <c r="I41" s="146"/>
      <c r="J41" s="133">
        <f>J40/G4</f>
        <v>45.991363636363644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+C42+'21'!D42</f>
        <v>0</v>
      </c>
      <c r="E42" s="147">
        <f t="shared" ca="1" si="5"/>
        <v>0</v>
      </c>
      <c r="F42" s="334">
        <f>+(F38*480+F39*480+F40*480)/1440</f>
        <v>1257.5</v>
      </c>
      <c r="G42" s="334">
        <f>+(G38*480+G39*480+G40*480)/1440</f>
        <v>963.45833333333337</v>
      </c>
      <c r="H42" s="189" t="s">
        <v>81</v>
      </c>
      <c r="I42" s="245" t="s">
        <v>772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+C43+'21'!D43</f>
        <v>0</v>
      </c>
      <c r="E43" s="147">
        <f t="shared" ca="1" si="5"/>
        <v>0</v>
      </c>
      <c r="F43" s="334"/>
      <c r="G43" s="335"/>
      <c r="H43" s="190" t="s">
        <v>84</v>
      </c>
      <c r="I43" s="122">
        <f>+Report1!Z30</f>
        <v>134.19999999999999</v>
      </c>
      <c r="J43" s="137">
        <f>+I43+'21'!J43</f>
        <v>2729.0999999999995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+C44+'21'!D44</f>
        <v>0</v>
      </c>
      <c r="E44" s="147">
        <f t="shared" si="5"/>
        <v>0</v>
      </c>
      <c r="F44" s="334"/>
      <c r="G44" s="335"/>
      <c r="H44" s="190" t="s">
        <v>85</v>
      </c>
      <c r="I44" s="122">
        <f>I43/I38</f>
        <v>2.4659598316826226</v>
      </c>
      <c r="J44" s="138">
        <f>J43/J38</f>
        <v>2.5434912681947557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+C45+'21'!D45</f>
        <v>0</v>
      </c>
      <c r="E45" s="147">
        <f t="shared" si="5"/>
        <v>0</v>
      </c>
      <c r="F45" s="334"/>
      <c r="G45" s="337"/>
      <c r="H45" s="190" t="s">
        <v>86</v>
      </c>
      <c r="I45" s="122">
        <f>I43/I40</f>
        <v>2.5198092305381348</v>
      </c>
      <c r="J45" s="138">
        <f>J43/J40</f>
        <v>2.6972455302873057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+C46+'21'!D46</f>
        <v>0</v>
      </c>
      <c r="E46" s="147">
        <f t="shared" si="5"/>
        <v>0</v>
      </c>
      <c r="F46" s="334"/>
      <c r="G46" s="335"/>
      <c r="H46" s="190" t="s">
        <v>88</v>
      </c>
      <c r="I46" s="144">
        <f>+SUMIF(Listrik!AN29,"&gt;0")</f>
        <v>44206.219999999972</v>
      </c>
      <c r="J46" s="139">
        <f>+I46+'21'!J46</f>
        <v>1072853.5175999994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+C47+'21'!D47</f>
        <v>0</v>
      </c>
      <c r="E47" s="147">
        <f t="shared" si="5"/>
        <v>0</v>
      </c>
      <c r="F47" s="334"/>
      <c r="G47" s="335"/>
      <c r="H47" s="190" t="s">
        <v>91</v>
      </c>
      <c r="I47" s="122">
        <f>I46/I38</f>
        <v>812.30076624832282</v>
      </c>
      <c r="J47" s="139">
        <f>J46/J38</f>
        <v>999.88771172460793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+C48+'21'!D48</f>
        <v>0</v>
      </c>
      <c r="E48" s="147">
        <f t="shared" si="5"/>
        <v>0</v>
      </c>
      <c r="F48" s="334"/>
      <c r="G48" s="335"/>
      <c r="H48" s="190" t="s">
        <v>92</v>
      </c>
      <c r="I48" s="122">
        <f>I46/I40</f>
        <v>830.03905516542056</v>
      </c>
      <c r="J48" s="139">
        <f>J46/J40</f>
        <v>1060.3310083909028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+C49+'21'!D49</f>
        <v>545</v>
      </c>
      <c r="E49" s="147">
        <f t="shared" si="5"/>
        <v>9.0833333333333339</v>
      </c>
      <c r="F49" s="187"/>
      <c r="H49" s="190" t="s">
        <v>93</v>
      </c>
      <c r="I49" s="122">
        <v>0</v>
      </c>
      <c r="J49" s="139">
        <f>+I49+'21'!J49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+C50+'21'!D50</f>
        <v>0</v>
      </c>
      <c r="E50" s="147">
        <f t="shared" si="5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+C51+'21'!D51</f>
        <v>0</v>
      </c>
      <c r="E51" s="147">
        <f t="shared" si="5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25</v>
      </c>
      <c r="D52" s="148">
        <f ca="1">SUM(D38:D51)</f>
        <v>1855</v>
      </c>
      <c r="E52" s="149">
        <f ca="1">SUM(E38:E51)</f>
        <v>30.916666666666664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1.7361111111111112E-2</v>
      </c>
      <c r="D53" s="150">
        <f ca="1">D52/(24*60*G4)</f>
        <v>5.8554292929292928E-2</v>
      </c>
      <c r="E53" s="151">
        <f ca="1">E52/(G4*24)</f>
        <v>5.8554292929292928E-2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+D34+'21'!J56</f>
        <v>11339</v>
      </c>
      <c r="K56" s="203">
        <f>J56/(J40+J56/1000)/1000</f>
        <v>1.1082452311442417E-2</v>
      </c>
    </row>
    <row r="57" spans="1:11">
      <c r="A57" s="178"/>
      <c r="I57" s="201" t="s">
        <v>100</v>
      </c>
      <c r="J57" s="202">
        <f>+E34+'21'!J57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6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710937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710937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21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405+382+382</f>
        <v>1169</v>
      </c>
    </row>
    <row r="7" spans="1:18" ht="13.5" customHeight="1" thickBot="1">
      <c r="A7" s="810" t="s">
        <v>467</v>
      </c>
      <c r="B7" s="217" t="s">
        <v>518</v>
      </c>
      <c r="C7" s="218">
        <v>15662</v>
      </c>
      <c r="D7" s="219"/>
      <c r="E7" s="220"/>
      <c r="F7" s="231"/>
      <c r="G7" s="558" t="s">
        <v>11</v>
      </c>
      <c r="H7" s="559" t="s">
        <v>404</v>
      </c>
      <c r="I7" s="813" t="s">
        <v>637</v>
      </c>
      <c r="J7" s="338" t="str">
        <f>+'20'!J7</f>
        <v>T 12,5 VP OW</v>
      </c>
      <c r="K7" s="237"/>
      <c r="L7" s="241"/>
      <c r="M7" s="121">
        <f>+K7+'20'!M7+L7</f>
        <v>43580</v>
      </c>
    </row>
    <row r="8" spans="1:18" ht="13.5" thickBot="1">
      <c r="A8" s="811"/>
      <c r="B8" s="217"/>
      <c r="C8" s="218"/>
      <c r="D8" s="219"/>
      <c r="E8" s="221"/>
      <c r="F8" s="231">
        <v>1</v>
      </c>
      <c r="G8" s="560" t="s">
        <v>11</v>
      </c>
      <c r="H8" s="559" t="s">
        <v>513</v>
      </c>
      <c r="I8" s="814"/>
      <c r="J8" s="216" t="str">
        <f>+'20'!J8</f>
        <v>F 12.5 VP OW</v>
      </c>
      <c r="K8" s="238"/>
      <c r="L8" s="238"/>
      <c r="M8" s="121">
        <f>+K8+'20'!M8+L8</f>
        <v>111865</v>
      </c>
      <c r="N8" s="153">
        <v>1400</v>
      </c>
      <c r="O8" s="153">
        <f>+N8-N8*0.24</f>
        <v>1064</v>
      </c>
      <c r="P8" s="153">
        <f>480+260</f>
        <v>740</v>
      </c>
    </row>
    <row r="9" spans="1:18" ht="13.5" thickBot="1">
      <c r="A9" s="811"/>
      <c r="B9" s="217"/>
      <c r="C9" s="218"/>
      <c r="D9" s="219"/>
      <c r="E9" s="222"/>
      <c r="F9" s="231">
        <v>9</v>
      </c>
      <c r="G9" s="560" t="s">
        <v>11</v>
      </c>
      <c r="H9" s="561" t="s">
        <v>455</v>
      </c>
      <c r="I9" s="814"/>
      <c r="J9" s="216" t="str">
        <f>+'20'!J9</f>
        <v>F 13 VP OW</v>
      </c>
      <c r="K9" s="238"/>
      <c r="L9" s="238"/>
      <c r="M9" s="121">
        <f>+K9+'20'!M9+L9</f>
        <v>100014</v>
      </c>
    </row>
    <row r="10" spans="1:18" ht="13.5" thickBot="1">
      <c r="A10" s="811"/>
      <c r="B10" s="217"/>
      <c r="C10" s="218"/>
      <c r="D10" s="219"/>
      <c r="E10" s="221"/>
      <c r="F10" s="231"/>
      <c r="G10" s="558"/>
      <c r="H10" s="561" t="s">
        <v>749</v>
      </c>
      <c r="I10" s="814"/>
      <c r="J10" s="216" t="str">
        <f>+'20'!J10</f>
        <v>T 12 VP OW</v>
      </c>
      <c r="K10" s="238"/>
      <c r="L10" s="238"/>
      <c r="M10" s="121">
        <f>+K10+'20'!M10+L10</f>
        <v>23281</v>
      </c>
    </row>
    <row r="11" spans="1:18" ht="26.25" thickBot="1">
      <c r="A11" s="811"/>
      <c r="B11" s="217"/>
      <c r="C11" s="218"/>
      <c r="D11" s="219"/>
      <c r="E11" s="221"/>
      <c r="F11" s="481"/>
      <c r="G11" s="232"/>
      <c r="H11" s="233" t="s">
        <v>746</v>
      </c>
      <c r="I11" s="814"/>
      <c r="J11" s="216" t="str">
        <f>+'20'!J11</f>
        <v>T 13,5 VP OW</v>
      </c>
      <c r="K11" s="238"/>
      <c r="L11" s="238"/>
      <c r="M11" s="121">
        <f>+K11+'20'!M11+L11</f>
        <v>15672</v>
      </c>
    </row>
    <row r="12" spans="1:18" ht="13.5" thickBot="1">
      <c r="A12" s="811"/>
      <c r="B12" s="217"/>
      <c r="C12" s="218"/>
      <c r="D12" s="219"/>
      <c r="E12" s="221"/>
      <c r="F12" s="228"/>
      <c r="G12" s="232"/>
      <c r="H12" s="233" t="s">
        <v>747</v>
      </c>
      <c r="I12" s="814"/>
      <c r="J12" s="216" t="str">
        <f>+'20'!J12</f>
        <v>F 12 VP OW</v>
      </c>
      <c r="K12" s="238">
        <f>+C7+C16</f>
        <v>28648</v>
      </c>
      <c r="L12" s="238"/>
      <c r="M12" s="121">
        <f>+K12+'20'!M12+L12</f>
        <v>246368</v>
      </c>
      <c r="P12" s="178"/>
    </row>
    <row r="13" spans="1:18" ht="13.5" thickBot="1">
      <c r="A13" s="811"/>
      <c r="B13" s="217"/>
      <c r="C13" s="218"/>
      <c r="D13" s="218"/>
      <c r="E13" s="221"/>
      <c r="F13" s="228"/>
      <c r="G13" s="232"/>
      <c r="H13" s="233" t="s">
        <v>748</v>
      </c>
      <c r="I13" s="815"/>
      <c r="J13" s="216" t="str">
        <f>+'20'!J13</f>
        <v>T 12,5 VP OW</v>
      </c>
      <c r="K13" s="238">
        <f>+C25</f>
        <v>13680</v>
      </c>
      <c r="L13" s="238"/>
      <c r="M13" s="121">
        <f>+K13+'20'!M13+L13</f>
        <v>251600</v>
      </c>
      <c r="Q13" s="178"/>
      <c r="R13" s="178"/>
    </row>
    <row r="14" spans="1:18" ht="13.5" thickBot="1">
      <c r="A14" s="812"/>
      <c r="B14" s="169" t="s">
        <v>2</v>
      </c>
      <c r="C14" s="115">
        <f>SUM(C7:C13)</f>
        <v>15662</v>
      </c>
      <c r="D14" s="115">
        <f>SUM(D7:D13)</f>
        <v>0</v>
      </c>
      <c r="E14" s="116">
        <f>SUM(E5:E13)</f>
        <v>0</v>
      </c>
      <c r="F14" s="106">
        <f>SUM(F6:F13)</f>
        <v>10</v>
      </c>
      <c r="G14" s="163"/>
      <c r="H14" s="170"/>
      <c r="I14" s="171"/>
      <c r="J14" s="216" t="str">
        <f>+'20'!J14</f>
        <v>T 14 VP OW</v>
      </c>
      <c r="K14" s="238"/>
      <c r="L14" s="238"/>
      <c r="M14" s="121">
        <f>+K14+'20'!M14+L14</f>
        <v>88884</v>
      </c>
    </row>
    <row r="15" spans="1:18" ht="13.5" customHeight="1" thickBot="1">
      <c r="A15" s="810" t="s">
        <v>415</v>
      </c>
      <c r="B15" s="510"/>
      <c r="C15" s="118">
        <f>C14/($C$23+$D$23+$E$23)</f>
        <v>1.1611803084223014</v>
      </c>
      <c r="D15" s="118">
        <f>D14/($C$23+$D$23+$E$23)</f>
        <v>0</v>
      </c>
      <c r="E15" s="119">
        <f>E14/($C$23+$D$23+$E$23)</f>
        <v>0</v>
      </c>
      <c r="F15" s="231">
        <v>20</v>
      </c>
      <c r="G15" s="558" t="s">
        <v>11</v>
      </c>
      <c r="H15" s="559" t="s">
        <v>515</v>
      </c>
      <c r="I15" s="813" t="s">
        <v>759</v>
      </c>
      <c r="J15" s="216" t="str">
        <f>+'20'!J15</f>
        <v>T 15 VP OW</v>
      </c>
      <c r="K15" s="238"/>
      <c r="L15" s="238"/>
      <c r="M15" s="121">
        <f>+K15+'20'!M15+L15</f>
        <v>55010</v>
      </c>
    </row>
    <row r="16" spans="1:18" ht="13.5" thickBot="1">
      <c r="A16" s="816"/>
      <c r="B16" s="217" t="s">
        <v>518</v>
      </c>
      <c r="C16" s="511">
        <v>12986</v>
      </c>
      <c r="D16" s="223">
        <v>502</v>
      </c>
      <c r="E16" s="224"/>
      <c r="F16" s="231"/>
      <c r="G16" s="560" t="s">
        <v>11</v>
      </c>
      <c r="H16" s="559" t="s">
        <v>426</v>
      </c>
      <c r="I16" s="814"/>
      <c r="J16" s="216" t="str">
        <f>+'20'!J16</f>
        <v>T 17 VP OW</v>
      </c>
      <c r="K16" s="229"/>
      <c r="L16" s="229"/>
      <c r="M16" s="121">
        <f>+K16+'20'!M16+L16</f>
        <v>22278</v>
      </c>
    </row>
    <row r="17" spans="1:18" ht="13.5" thickBot="1">
      <c r="A17" s="816"/>
      <c r="B17" s="217"/>
      <c r="C17" s="218"/>
      <c r="D17" s="219"/>
      <c r="E17" s="225"/>
      <c r="F17" s="231">
        <v>11</v>
      </c>
      <c r="G17" s="560" t="s">
        <v>11</v>
      </c>
      <c r="H17" s="561" t="s">
        <v>413</v>
      </c>
      <c r="I17" s="814"/>
      <c r="J17" s="216">
        <f>+'20'!J17</f>
        <v>0</v>
      </c>
      <c r="K17" s="229"/>
      <c r="L17" s="229"/>
      <c r="M17" s="121">
        <f>+K17+'20'!M17+L17</f>
        <v>0</v>
      </c>
      <c r="N17" s="178">
        <v>1400</v>
      </c>
      <c r="O17" s="178">
        <f>+N17-N17*0.24</f>
        <v>1064</v>
      </c>
      <c r="P17" s="178">
        <f>240+20</f>
        <v>260</v>
      </c>
      <c r="Q17" s="153">
        <f>+N17*P17</f>
        <v>364000</v>
      </c>
      <c r="R17" s="153">
        <f>+O17*P17</f>
        <v>276640</v>
      </c>
    </row>
    <row r="18" spans="1:18" ht="13.5" thickBot="1">
      <c r="A18" s="816"/>
      <c r="B18" s="217"/>
      <c r="C18" s="218"/>
      <c r="D18" s="219"/>
      <c r="E18" s="225"/>
      <c r="F18" s="231"/>
      <c r="G18" s="558"/>
      <c r="H18" s="561" t="s">
        <v>749</v>
      </c>
      <c r="I18" s="814"/>
      <c r="J18" s="216">
        <f>+'20'!J18</f>
        <v>0</v>
      </c>
      <c r="K18" s="238"/>
      <c r="L18" s="238"/>
      <c r="M18" s="121">
        <f>+K18+'20'!M18+L18</f>
        <v>0</v>
      </c>
      <c r="N18" s="153">
        <v>1320</v>
      </c>
      <c r="O18" s="178">
        <f>+N18-N18*0.22</f>
        <v>1029.5999999999999</v>
      </c>
      <c r="P18" s="153">
        <f>40+180</f>
        <v>220</v>
      </c>
      <c r="Q18" s="153">
        <f>+N18*P18</f>
        <v>290400</v>
      </c>
      <c r="R18" s="153">
        <f>+O18*P18</f>
        <v>226511.99999999997</v>
      </c>
    </row>
    <row r="19" spans="1:18" ht="51.75" thickBot="1">
      <c r="A19" s="816"/>
      <c r="B19" s="217"/>
      <c r="C19" s="218"/>
      <c r="D19" s="219"/>
      <c r="E19" s="225"/>
      <c r="F19" s="228"/>
      <c r="G19" s="232"/>
      <c r="H19" s="230" t="s">
        <v>750</v>
      </c>
      <c r="I19" s="814"/>
      <c r="J19" s="216">
        <f>+'20'!J19</f>
        <v>0</v>
      </c>
      <c r="K19" s="238"/>
      <c r="L19" s="238"/>
      <c r="M19" s="121">
        <f>+K19+'20'!M19+L19</f>
        <v>0</v>
      </c>
      <c r="P19" s="153">
        <f>SUM(P17:P18)</f>
        <v>480</v>
      </c>
      <c r="Q19" s="153">
        <f t="shared" ref="Q19:R19" si="0">SUM(Q17:Q18)</f>
        <v>654400</v>
      </c>
      <c r="R19" s="153">
        <f t="shared" si="0"/>
        <v>503152</v>
      </c>
    </row>
    <row r="20" spans="1:18" ht="13.5" thickBot="1">
      <c r="A20" s="816"/>
      <c r="B20" s="217"/>
      <c r="C20" s="218"/>
      <c r="D20" s="219"/>
      <c r="E20" s="225"/>
      <c r="F20" s="228"/>
      <c r="G20" s="232"/>
      <c r="H20" s="233" t="s">
        <v>751</v>
      </c>
      <c r="I20" s="814"/>
      <c r="J20" s="216">
        <f>+'20'!J20</f>
        <v>0</v>
      </c>
      <c r="K20" s="239"/>
      <c r="L20" s="239"/>
      <c r="M20" s="121">
        <f>+K20+'20'!M20+L20</f>
        <v>0</v>
      </c>
      <c r="Q20" s="153">
        <f>+Q19/P19</f>
        <v>1363.3333333333333</v>
      </c>
      <c r="R20" s="153">
        <f>+R19/P19</f>
        <v>1048.2333333333333</v>
      </c>
    </row>
    <row r="21" spans="1:18" ht="26.25" thickBot="1">
      <c r="A21" s="816"/>
      <c r="B21" s="217"/>
      <c r="C21" s="218"/>
      <c r="D21" s="219"/>
      <c r="E21" s="225"/>
      <c r="F21" s="231"/>
      <c r="G21" s="232"/>
      <c r="H21" s="233" t="s">
        <v>758</v>
      </c>
      <c r="I21" s="814"/>
      <c r="J21" s="216">
        <f>+'20'!J21</f>
        <v>0</v>
      </c>
      <c r="K21" s="238"/>
      <c r="L21" s="238"/>
      <c r="M21" s="121">
        <f>+K21+'20'!M21+L21</f>
        <v>0</v>
      </c>
    </row>
    <row r="22" spans="1:18" ht="26.25" thickBot="1">
      <c r="A22" s="816"/>
      <c r="B22" s="217"/>
      <c r="C22" s="218"/>
      <c r="D22" s="219"/>
      <c r="E22" s="225"/>
      <c r="F22" s="235"/>
      <c r="G22" s="232"/>
      <c r="H22" s="233" t="s">
        <v>752</v>
      </c>
      <c r="I22" s="815"/>
      <c r="J22" s="216">
        <f>+'20'!J22</f>
        <v>0</v>
      </c>
      <c r="K22" s="238"/>
      <c r="L22" s="238"/>
      <c r="M22" s="121">
        <f>+K22+'20'!M22+L22</f>
        <v>0</v>
      </c>
    </row>
    <row r="23" spans="1:18" ht="13.5" thickBot="1">
      <c r="A23" s="817"/>
      <c r="B23" s="169" t="s">
        <v>2</v>
      </c>
      <c r="C23" s="103">
        <f>SUM(C16:C22)</f>
        <v>12986</v>
      </c>
      <c r="D23" s="115">
        <f>SUM(D16:D22)</f>
        <v>502</v>
      </c>
      <c r="E23" s="116">
        <f>SUM(E18:E22)</f>
        <v>0</v>
      </c>
      <c r="F23" s="106">
        <f>SUM(F15:F22)</f>
        <v>31</v>
      </c>
      <c r="G23" s="163"/>
      <c r="H23" s="170"/>
      <c r="I23" s="172"/>
      <c r="J23" s="216">
        <f>+'20'!J23</f>
        <v>0</v>
      </c>
      <c r="K23" s="238"/>
      <c r="L23" s="238"/>
      <c r="M23" s="121">
        <f>+K23+'20'!M23+L23</f>
        <v>0</v>
      </c>
    </row>
    <row r="24" spans="1:18" ht="13.5" customHeight="1" thickBot="1">
      <c r="A24" s="810" t="s">
        <v>374</v>
      </c>
      <c r="B24" s="510"/>
      <c r="C24" s="117">
        <f>C23/($C$23+$D$23+$E$23)</f>
        <v>0.96278173190984584</v>
      </c>
      <c r="D24" s="118">
        <f>D23/($C$23+$D$23+$E$23)</f>
        <v>3.7218268090154209E-2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760</v>
      </c>
      <c r="J24" s="216">
        <f>+'20'!J24</f>
        <v>0</v>
      </c>
      <c r="K24" s="238"/>
      <c r="L24" s="238"/>
      <c r="M24" s="121">
        <f>+K24+'20'!M24+L24</f>
        <v>0</v>
      </c>
      <c r="N24" s="153">
        <v>1320</v>
      </c>
      <c r="O24" s="178">
        <f t="shared" ref="O24" si="1">+N24-N24*0.24</f>
        <v>1003.2</v>
      </c>
      <c r="P24" s="153">
        <f>60+50+220</f>
        <v>330</v>
      </c>
      <c r="Q24" s="153">
        <f>+N24*P24</f>
        <v>435600</v>
      </c>
      <c r="R24" s="153">
        <f>+O24*P24</f>
        <v>331056</v>
      </c>
    </row>
    <row r="25" spans="1:18" ht="13.5" thickBot="1">
      <c r="A25" s="818"/>
      <c r="B25" s="217" t="s">
        <v>431</v>
      </c>
      <c r="C25" s="226">
        <v>13680</v>
      </c>
      <c r="D25" s="219">
        <v>706</v>
      </c>
      <c r="E25" s="225"/>
      <c r="F25" s="231"/>
      <c r="G25" s="560" t="s">
        <v>11</v>
      </c>
      <c r="H25" s="559" t="s">
        <v>426</v>
      </c>
      <c r="I25" s="814"/>
      <c r="J25" s="216">
        <f>+'20'!J25</f>
        <v>0</v>
      </c>
      <c r="K25" s="238"/>
      <c r="L25" s="238"/>
      <c r="M25" s="121">
        <f>+K25+'20'!M25+L25</f>
        <v>0</v>
      </c>
      <c r="N25" s="153">
        <v>1300</v>
      </c>
      <c r="O25" s="178">
        <f t="shared" ref="O25" si="2">+N25-N25*0.22</f>
        <v>1014</v>
      </c>
      <c r="P25" s="153">
        <f>10+180+12</f>
        <v>202</v>
      </c>
      <c r="Q25" s="153">
        <f>+N25*P25</f>
        <v>262600</v>
      </c>
      <c r="R25" s="153">
        <f>+O25*P25</f>
        <v>204828</v>
      </c>
    </row>
    <row r="26" spans="1:18" ht="13.5" thickBot="1">
      <c r="A26" s="818"/>
      <c r="B26" s="217"/>
      <c r="C26" s="226"/>
      <c r="D26" s="219"/>
      <c r="E26" s="227"/>
      <c r="F26" s="231">
        <v>5</v>
      </c>
      <c r="G26" s="560" t="s">
        <v>11</v>
      </c>
      <c r="H26" s="561" t="s">
        <v>428</v>
      </c>
      <c r="I26" s="814"/>
      <c r="J26" s="216">
        <f>+'20'!J26</f>
        <v>0</v>
      </c>
      <c r="K26" s="238"/>
      <c r="L26" s="238"/>
      <c r="M26" s="121">
        <f>+K26+'20'!M26+L26</f>
        <v>0</v>
      </c>
      <c r="N26" s="178">
        <v>1350</v>
      </c>
      <c r="O26" s="178">
        <f t="shared" ref="O26" si="3">+N26-N26*0.24</f>
        <v>1026</v>
      </c>
      <c r="P26" s="178">
        <f>48+60+20</f>
        <v>128</v>
      </c>
      <c r="Q26" s="153">
        <f>+N26*P26</f>
        <v>172800</v>
      </c>
      <c r="R26" s="153">
        <f>+O26*P26</f>
        <v>131328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753</v>
      </c>
      <c r="I27" s="814"/>
      <c r="J27" s="216">
        <f>+'20'!J27</f>
        <v>0</v>
      </c>
      <c r="K27" s="238"/>
      <c r="L27" s="238"/>
      <c r="M27" s="121">
        <f>+K27+'20'!M27+L27</f>
        <v>0</v>
      </c>
      <c r="N27" s="153">
        <v>1330</v>
      </c>
      <c r="O27" s="178">
        <f t="shared" ref="O27" si="4">+N27-N27*0.22</f>
        <v>1037.4000000000001</v>
      </c>
      <c r="P27" s="153">
        <v>40</v>
      </c>
      <c r="Q27" s="153">
        <f>+N27*P27</f>
        <v>53200</v>
      </c>
      <c r="R27" s="153">
        <f>+O27*P27</f>
        <v>41496</v>
      </c>
    </row>
    <row r="28" spans="1:18" ht="39" thickBot="1">
      <c r="A28" s="818"/>
      <c r="B28" s="217"/>
      <c r="C28" s="218"/>
      <c r="D28" s="219"/>
      <c r="E28" s="225"/>
      <c r="F28" s="228"/>
      <c r="G28" s="232"/>
      <c r="H28" s="230" t="s">
        <v>754</v>
      </c>
      <c r="I28" s="814"/>
      <c r="J28" s="216">
        <f>+'20'!J28</f>
        <v>0</v>
      </c>
      <c r="K28" s="238"/>
      <c r="L28" s="238"/>
      <c r="M28" s="121">
        <f>+K28+'20'!M28+L28</f>
        <v>0</v>
      </c>
      <c r="P28" s="153">
        <f>SUM(P24:P27)</f>
        <v>700</v>
      </c>
      <c r="Q28" s="153">
        <f t="shared" ref="Q28:R28" si="5">SUM(Q24:Q27)</f>
        <v>924200</v>
      </c>
      <c r="R28" s="153">
        <f t="shared" si="5"/>
        <v>708708</v>
      </c>
    </row>
    <row r="29" spans="1:18" ht="26.25" thickBot="1">
      <c r="A29" s="818"/>
      <c r="B29" s="217"/>
      <c r="C29" s="218"/>
      <c r="D29" s="219"/>
      <c r="E29" s="225"/>
      <c r="F29" s="235"/>
      <c r="G29" s="232"/>
      <c r="H29" s="233" t="s">
        <v>755</v>
      </c>
      <c r="I29" s="814"/>
      <c r="J29" s="216">
        <f>+'20'!J29</f>
        <v>0</v>
      </c>
      <c r="K29" s="238"/>
      <c r="L29" s="238"/>
      <c r="M29" s="121">
        <f>+K29+'20'!M29+L29</f>
        <v>0</v>
      </c>
      <c r="Q29" s="153">
        <f>+Q28/P28</f>
        <v>1320.2857142857142</v>
      </c>
      <c r="R29" s="153">
        <f>+R28/P28</f>
        <v>1012.44</v>
      </c>
    </row>
    <row r="30" spans="1:18" ht="26.25" thickBot="1">
      <c r="A30" s="818"/>
      <c r="B30" s="217"/>
      <c r="C30" s="226"/>
      <c r="D30" s="219"/>
      <c r="E30" s="225"/>
      <c r="F30" s="235"/>
      <c r="G30" s="232"/>
      <c r="H30" s="233" t="s">
        <v>756</v>
      </c>
      <c r="I30" s="814"/>
      <c r="J30" s="216">
        <f>+'20'!J30</f>
        <v>0</v>
      </c>
      <c r="K30" s="238"/>
      <c r="L30" s="238"/>
      <c r="M30" s="121">
        <f>+K30+'20'!M30+L30</f>
        <v>0</v>
      </c>
      <c r="N30" s="159"/>
    </row>
    <row r="31" spans="1:18" ht="26.25" thickBot="1">
      <c r="A31" s="818"/>
      <c r="B31" s="217"/>
      <c r="C31" s="226"/>
      <c r="D31" s="219"/>
      <c r="E31" s="225"/>
      <c r="F31" s="235"/>
      <c r="G31" s="236"/>
      <c r="H31" s="439" t="s">
        <v>757</v>
      </c>
      <c r="I31" s="815"/>
      <c r="J31" s="216">
        <f>+'20'!J31</f>
        <v>0</v>
      </c>
      <c r="K31" s="238"/>
      <c r="L31" s="238"/>
      <c r="M31" s="121">
        <f>+K31+'20'!M31+L31</f>
        <v>0</v>
      </c>
    </row>
    <row r="32" spans="1:18" ht="13.5" thickBot="1">
      <c r="A32" s="819"/>
      <c r="B32" s="169" t="s">
        <v>2</v>
      </c>
      <c r="C32" s="103">
        <f>SUM(C25:C31)</f>
        <v>13680</v>
      </c>
      <c r="D32" s="104">
        <f>SUM(D25:D31)</f>
        <v>706</v>
      </c>
      <c r="E32" s="105">
        <f>SUM(E25:E31)</f>
        <v>0</v>
      </c>
      <c r="F32" s="103">
        <f>SUM(F24:F31)</f>
        <v>5</v>
      </c>
      <c r="G32" s="173"/>
      <c r="H32" s="174"/>
      <c r="I32" s="172"/>
      <c r="J32" s="216">
        <f>+'20'!J32</f>
        <v>0</v>
      </c>
      <c r="K32" s="240"/>
      <c r="L32" s="242"/>
      <c r="M32" s="121">
        <f>+K32+'20'!M32+L32</f>
        <v>0</v>
      </c>
    </row>
    <row r="33" spans="1:14" ht="13.5" thickBot="1">
      <c r="A33" s="175"/>
      <c r="B33" s="176"/>
      <c r="C33" s="107">
        <f>C32/($C$32+$D$32+$E$32)</f>
        <v>0.95092450994021971</v>
      </c>
      <c r="D33" s="108">
        <f>D32/($C$32+$D$32+$E$32)</f>
        <v>4.907549005978034E-2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42328</v>
      </c>
      <c r="D34" s="111">
        <f>D14+D23+D32</f>
        <v>1208</v>
      </c>
      <c r="E34" s="111">
        <f>E14+E23+E32</f>
        <v>0</v>
      </c>
      <c r="F34" s="112">
        <f>F14+F23+F32</f>
        <v>46</v>
      </c>
      <c r="H34" s="180"/>
      <c r="I34" s="180"/>
      <c r="J34" s="127" t="s">
        <v>27</v>
      </c>
      <c r="K34" s="128">
        <f>SUM(K7:K32)</f>
        <v>42328</v>
      </c>
      <c r="L34" s="214">
        <f>SUM(L7:L32)</f>
        <v>0</v>
      </c>
      <c r="M34" s="124">
        <f>SUM(M7:M32)</f>
        <v>958552</v>
      </c>
      <c r="N34" s="159"/>
    </row>
    <row r="35" spans="1:14" ht="13.5" thickBot="1">
      <c r="A35" s="181"/>
      <c r="B35" s="182"/>
      <c r="C35" s="108">
        <f>C34/($C$34+$D$34+$E$34)</f>
        <v>0.97225284821756708</v>
      </c>
      <c r="D35" s="108">
        <f>D34/($C$34+$D$34+$E$34)</f>
        <v>2.7747151782432929E-2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(12*740+12.5*700)/1440*G42*2.85*1440/1000000</f>
        <v>52.404521220833338</v>
      </c>
      <c r="J37" s="129">
        <f>+I37+'20'!J37</f>
        <v>1116.6807140870112</v>
      </c>
      <c r="K37" s="130" t="s">
        <v>74</v>
      </c>
      <c r="N37" s="580">
        <f>+I38-N38</f>
        <v>25.087000000000007</v>
      </c>
    </row>
    <row r="38" spans="1:14" ht="17.45" customHeight="1">
      <c r="A38" s="824" t="s">
        <v>11</v>
      </c>
      <c r="B38" s="825"/>
      <c r="C38" s="168">
        <f>SUMIF($G$7:$G$31,"Process",$F$7:$F$31)</f>
        <v>46</v>
      </c>
      <c r="D38" s="122">
        <f>+C38+'20'!D38</f>
        <v>1134</v>
      </c>
      <c r="E38" s="147">
        <f t="shared" ref="E38:E51" si="6">D38/60</f>
        <v>18.899999999999999</v>
      </c>
      <c r="F38" s="334">
        <v>1400</v>
      </c>
      <c r="G38" s="334">
        <v>1064</v>
      </c>
      <c r="H38" s="189" t="s">
        <v>75</v>
      </c>
      <c r="I38" s="513">
        <f>15.192+15.487+16.2</f>
        <v>46.879000000000005</v>
      </c>
      <c r="J38" s="131">
        <f>+I38+'20'!J38</f>
        <v>1018.553</v>
      </c>
      <c r="K38" s="132" t="s">
        <v>74</v>
      </c>
      <c r="N38" s="153">
        <f>1.695+1.775+2.122+16.2</f>
        <v>21.791999999999998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+C39+'20'!D39</f>
        <v>0</v>
      </c>
      <c r="E39" s="147">
        <f t="shared" si="6"/>
        <v>0</v>
      </c>
      <c r="F39" s="334">
        <v>1363.3333333333333</v>
      </c>
      <c r="G39" s="334">
        <v>1048.2333333333333</v>
      </c>
      <c r="H39" s="189" t="s">
        <v>76</v>
      </c>
      <c r="I39" s="146"/>
      <c r="J39" s="133">
        <f>J37/G4</f>
        <v>53.175272099381488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+C40+'20'!D40</f>
        <v>101</v>
      </c>
      <c r="E40" s="147">
        <f t="shared" ca="1" si="6"/>
        <v>1.6833333333333333</v>
      </c>
      <c r="F40" s="334">
        <v>1320.4166666666667</v>
      </c>
      <c r="G40" s="334">
        <v>1016.675</v>
      </c>
      <c r="H40" s="189" t="s">
        <v>78</v>
      </c>
      <c r="I40" s="122">
        <f>(K34+L34)/1000</f>
        <v>42.328000000000003</v>
      </c>
      <c r="J40" s="135">
        <f>+I40+'20'!J40</f>
        <v>958.55200000000013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+C41+'20'!D41</f>
        <v>50</v>
      </c>
      <c r="E41" s="147">
        <f t="shared" ca="1" si="6"/>
        <v>0.83333333333333337</v>
      </c>
      <c r="F41" s="334"/>
      <c r="G41" s="334"/>
      <c r="H41" s="189" t="s">
        <v>80</v>
      </c>
      <c r="I41" s="146"/>
      <c r="J41" s="133">
        <f>J40/G4</f>
        <v>45.64533333333334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+C42+'20'!D42</f>
        <v>0</v>
      </c>
      <c r="E42" s="147">
        <f t="shared" ca="1" si="6"/>
        <v>0</v>
      </c>
      <c r="F42" s="334">
        <f>+(F38*480+F39*480+F40*480)/1440</f>
        <v>1361.25</v>
      </c>
      <c r="G42" s="334">
        <f>+(G38*480+G39*480+G40*480)/1440</f>
        <v>1042.9694444444444</v>
      </c>
      <c r="H42" s="189" t="s">
        <v>81</v>
      </c>
      <c r="I42" s="245" t="s">
        <v>761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+C43+'20'!D43</f>
        <v>0</v>
      </c>
      <c r="E43" s="147">
        <f t="shared" ca="1" si="6"/>
        <v>0</v>
      </c>
      <c r="F43" s="334"/>
      <c r="G43" s="335"/>
      <c r="H43" s="190" t="s">
        <v>84</v>
      </c>
      <c r="I43" s="122">
        <f>+Report1!Z29</f>
        <v>131.80000000000001</v>
      </c>
      <c r="J43" s="137">
        <f>+I43+'20'!J43</f>
        <v>2594.8999999999996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+C44+'20'!D44</f>
        <v>0</v>
      </c>
      <c r="E44" s="147">
        <f t="shared" si="6"/>
        <v>0</v>
      </c>
      <c r="F44" s="334"/>
      <c r="G44" s="335"/>
      <c r="H44" s="190" t="s">
        <v>85</v>
      </c>
      <c r="I44" s="122">
        <f>I43/I38</f>
        <v>2.8114934192282259</v>
      </c>
      <c r="J44" s="138">
        <f>J43/J38</f>
        <v>2.5476337510173743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+C45+'20'!D45</f>
        <v>0</v>
      </c>
      <c r="E45" s="147">
        <f t="shared" si="6"/>
        <v>0</v>
      </c>
      <c r="F45" s="334"/>
      <c r="G45" s="337"/>
      <c r="H45" s="190" t="s">
        <v>86</v>
      </c>
      <c r="I45" s="122">
        <f>I43/I40</f>
        <v>3.113778113778114</v>
      </c>
      <c r="J45" s="138">
        <f>J43/J40</f>
        <v>2.7071040486066478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+C46+'20'!D46</f>
        <v>0</v>
      </c>
      <c r="E46" s="147">
        <f t="shared" si="6"/>
        <v>0</v>
      </c>
      <c r="F46" s="334"/>
      <c r="G46" s="335"/>
      <c r="H46" s="190" t="s">
        <v>88</v>
      </c>
      <c r="I46" s="144">
        <f>+SUMIF(Listrik!AN28,"&gt;0")</f>
        <v>48122.289999999448</v>
      </c>
      <c r="J46" s="139">
        <f>+I46+'20'!J46</f>
        <v>1028647.2975999995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+C47+'20'!D47</f>
        <v>0</v>
      </c>
      <c r="E47" s="147">
        <f t="shared" si="6"/>
        <v>0</v>
      </c>
      <c r="F47" s="334"/>
      <c r="G47" s="335"/>
      <c r="H47" s="190" t="s">
        <v>91</v>
      </c>
      <c r="I47" s="122">
        <f>I46/I38</f>
        <v>1026.5212568527368</v>
      </c>
      <c r="J47" s="139">
        <f>J46/J38</f>
        <v>1009.9104294032804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+C48+'20'!D48</f>
        <v>0</v>
      </c>
      <c r="E48" s="147">
        <f t="shared" si="6"/>
        <v>0</v>
      </c>
      <c r="F48" s="334"/>
      <c r="G48" s="335"/>
      <c r="H48" s="190" t="s">
        <v>92</v>
      </c>
      <c r="I48" s="122">
        <f>I46/I40</f>
        <v>1136.8902381402249</v>
      </c>
      <c r="J48" s="139">
        <f>J46/J40</f>
        <v>1073.1262337358842</v>
      </c>
      <c r="K48" s="134" t="s">
        <v>23</v>
      </c>
    </row>
    <row r="49" spans="1:11" ht="17.45" customHeight="1">
      <c r="A49" s="830" t="s">
        <v>19</v>
      </c>
      <c r="B49" s="809"/>
      <c r="C49" s="168">
        <f>SUMIF($G$7:$G$31,"Others",$F$7:$F$31)</f>
        <v>0</v>
      </c>
      <c r="D49" s="122">
        <f>+C49+'20'!D49</f>
        <v>545</v>
      </c>
      <c r="E49" s="147">
        <f t="shared" si="6"/>
        <v>9.0833333333333339</v>
      </c>
      <c r="F49" s="187"/>
      <c r="H49" s="190" t="s">
        <v>93</v>
      </c>
      <c r="I49" s="122">
        <v>0</v>
      </c>
      <c r="J49" s="139">
        <f>+I49+'20'!J49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+C50+'20'!D50</f>
        <v>0</v>
      </c>
      <c r="E50" s="147">
        <f t="shared" si="6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+C51+'20'!D51</f>
        <v>0</v>
      </c>
      <c r="E51" s="147">
        <f t="shared" si="6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46</v>
      </c>
      <c r="D52" s="148">
        <f ca="1">SUM(D38:D51)</f>
        <v>1830</v>
      </c>
      <c r="E52" s="149">
        <f ca="1">SUM(E38:E51)</f>
        <v>30.5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3.1944444444444442E-2</v>
      </c>
      <c r="D53" s="150">
        <f ca="1">D52/(24*60*G4)</f>
        <v>6.0515873015873016E-2</v>
      </c>
      <c r="E53" s="151">
        <f ca="1">E52/(G4*24)</f>
        <v>6.0515873015873016E-2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+D34+'20'!J56</f>
        <v>11339</v>
      </c>
      <c r="K56" s="203">
        <f>J56/(J40+J56/1000)/1000</f>
        <v>1.1691004453077716E-2</v>
      </c>
    </row>
    <row r="57" spans="1:11">
      <c r="A57" s="178"/>
      <c r="I57" s="201" t="s">
        <v>100</v>
      </c>
      <c r="J57" s="202">
        <f>+E34+'20'!J57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view="pageBreakPreview" topLeftCell="A28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5.42578125" style="153" customWidth="1"/>
    <col min="14" max="16384" width="9.140625" style="153"/>
  </cols>
  <sheetData>
    <row r="1" spans="1:15" ht="15.75">
      <c r="A1" s="152"/>
    </row>
    <row r="2" spans="1:15" ht="15.75">
      <c r="A2" s="152" t="s">
        <v>236</v>
      </c>
    </row>
    <row r="3" spans="1:15" ht="15">
      <c r="A3" s="154"/>
    </row>
    <row r="4" spans="1:15" ht="20.25">
      <c r="A4" s="155" t="s">
        <v>3</v>
      </c>
      <c r="B4" s="156"/>
      <c r="F4" s="157" t="s">
        <v>28</v>
      </c>
      <c r="G4" s="158">
        <v>20</v>
      </c>
      <c r="H4" s="158" t="str">
        <f>+'1'!H4</f>
        <v>.10.25</v>
      </c>
    </row>
    <row r="5" spans="1:15" ht="13.5" thickBot="1">
      <c r="C5" s="159"/>
      <c r="D5" s="159"/>
    </row>
    <row r="6" spans="1:15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427+438+407</f>
        <v>1272</v>
      </c>
    </row>
    <row r="7" spans="1:15" ht="13.5" customHeight="1" thickBot="1">
      <c r="A7" s="810" t="s">
        <v>467</v>
      </c>
      <c r="B7" s="217" t="s">
        <v>518</v>
      </c>
      <c r="C7" s="218">
        <v>18754</v>
      </c>
      <c r="D7" s="219"/>
      <c r="E7" s="220"/>
      <c r="F7" s="231"/>
      <c r="G7" s="558" t="s">
        <v>11</v>
      </c>
      <c r="H7" s="559" t="s">
        <v>404</v>
      </c>
      <c r="I7" s="813" t="s">
        <v>730</v>
      </c>
      <c r="J7" s="216" t="str">
        <f>+'19'!J7</f>
        <v>T 12,5 VP OW</v>
      </c>
      <c r="K7" s="237"/>
      <c r="L7" s="241"/>
      <c r="M7" s="121">
        <f>+K7+'19'!M7+L7</f>
        <v>43580</v>
      </c>
    </row>
    <row r="8" spans="1:15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+'19'!J8</f>
        <v>F 12.5 VP OW</v>
      </c>
      <c r="K8" s="238"/>
      <c r="L8" s="238"/>
      <c r="M8" s="121">
        <f>+K8+'19'!M8+L8</f>
        <v>111865</v>
      </c>
      <c r="N8" s="153">
        <v>1400</v>
      </c>
      <c r="O8" s="153">
        <f>+N8-N8*0.25</f>
        <v>1050</v>
      </c>
    </row>
    <row r="9" spans="1:15" ht="13.5" thickBot="1">
      <c r="A9" s="811"/>
      <c r="B9" s="217"/>
      <c r="C9" s="218"/>
      <c r="D9" s="219"/>
      <c r="E9" s="222"/>
      <c r="F9" s="231">
        <v>9</v>
      </c>
      <c r="G9" s="560" t="s">
        <v>11</v>
      </c>
      <c r="H9" s="561" t="s">
        <v>455</v>
      </c>
      <c r="I9" s="814"/>
      <c r="J9" s="216" t="str">
        <f>+'19'!J9</f>
        <v>F 13 VP OW</v>
      </c>
      <c r="K9" s="238"/>
      <c r="L9" s="238"/>
      <c r="M9" s="121">
        <f>+K9+'19'!M9+L9</f>
        <v>100014</v>
      </c>
    </row>
    <row r="10" spans="1:15" ht="13.5" thickBot="1">
      <c r="A10" s="811"/>
      <c r="B10" s="217"/>
      <c r="C10" s="218"/>
      <c r="D10" s="219"/>
      <c r="E10" s="221"/>
      <c r="F10" s="231"/>
      <c r="G10" s="558"/>
      <c r="H10" s="561" t="s">
        <v>709</v>
      </c>
      <c r="I10" s="814"/>
      <c r="J10" s="216" t="str">
        <f>+'19'!J10</f>
        <v>T 12 VP OW</v>
      </c>
      <c r="K10" s="238"/>
      <c r="L10" s="238"/>
      <c r="M10" s="121">
        <f>+K10+'19'!M10+L10</f>
        <v>23281</v>
      </c>
    </row>
    <row r="11" spans="1:15" ht="26.25" thickBot="1">
      <c r="A11" s="811"/>
      <c r="B11" s="217"/>
      <c r="C11" s="218"/>
      <c r="D11" s="219"/>
      <c r="E11" s="221"/>
      <c r="F11" s="481"/>
      <c r="G11" s="482"/>
      <c r="H11" s="230" t="s">
        <v>736</v>
      </c>
      <c r="I11" s="814"/>
      <c r="J11" s="216" t="str">
        <f>+'19'!J11</f>
        <v>T 13,5 VP OW</v>
      </c>
      <c r="K11" s="238"/>
      <c r="L11" s="238"/>
      <c r="M11" s="121">
        <f>+K11+'19'!M11+L11</f>
        <v>15672</v>
      </c>
    </row>
    <row r="12" spans="1:15" ht="26.25" thickBot="1">
      <c r="A12" s="811"/>
      <c r="B12" s="217"/>
      <c r="C12" s="218"/>
      <c r="D12" s="219"/>
      <c r="E12" s="221"/>
      <c r="F12" s="228"/>
      <c r="G12" s="232"/>
      <c r="H12" s="233" t="s">
        <v>737</v>
      </c>
      <c r="I12" s="814"/>
      <c r="J12" s="216" t="str">
        <f>+'19'!J12</f>
        <v>F 12 VP OW</v>
      </c>
      <c r="K12" s="238">
        <f>+C34</f>
        <v>50112</v>
      </c>
      <c r="L12" s="238"/>
      <c r="M12" s="121">
        <f>+K12+'19'!M12+L12</f>
        <v>217720</v>
      </c>
    </row>
    <row r="13" spans="1:15" ht="13.5" thickBot="1">
      <c r="A13" s="811"/>
      <c r="B13" s="217"/>
      <c r="C13" s="218"/>
      <c r="D13" s="218"/>
      <c r="E13" s="221"/>
      <c r="F13" s="228"/>
      <c r="G13" s="232"/>
      <c r="H13" s="233" t="s">
        <v>738</v>
      </c>
      <c r="I13" s="815"/>
      <c r="J13" s="216" t="str">
        <f>+'19'!J13</f>
        <v>T 12,5 VP OW</v>
      </c>
      <c r="K13" s="238"/>
      <c r="L13" s="238"/>
      <c r="M13" s="121">
        <f>+K13+'19'!M13+L13</f>
        <v>237920</v>
      </c>
    </row>
    <row r="14" spans="1:15" ht="13.5" thickBot="1">
      <c r="A14" s="812"/>
      <c r="B14" s="169" t="s">
        <v>2</v>
      </c>
      <c r="C14" s="103">
        <f>SUM(C7:C13)</f>
        <v>18754</v>
      </c>
      <c r="D14" s="115">
        <f>SUM(D7:D13)</f>
        <v>0</v>
      </c>
      <c r="E14" s="116">
        <f>SUM(E5:E13)</f>
        <v>0</v>
      </c>
      <c r="F14" s="106">
        <f>SUM(F6:F13)</f>
        <v>9</v>
      </c>
      <c r="G14" s="163"/>
      <c r="H14" s="170"/>
      <c r="I14" s="171"/>
      <c r="J14" s="216" t="str">
        <f>+'19'!J14</f>
        <v>T 14 VP OW</v>
      </c>
      <c r="K14" s="238"/>
      <c r="L14" s="238"/>
      <c r="M14" s="121">
        <f>+K14+'19'!M14+L14</f>
        <v>88884</v>
      </c>
    </row>
    <row r="15" spans="1:15" ht="13.5" customHeight="1" thickBot="1">
      <c r="A15" s="810" t="s">
        <v>415</v>
      </c>
      <c r="B15" s="510"/>
      <c r="C15" s="117">
        <f>C14/($C$23+$D$23+$E$23)</f>
        <v>1.1593002410830191</v>
      </c>
      <c r="D15" s="118">
        <f>D14/($C$23+$D$23+$E$23)</f>
        <v>0</v>
      </c>
      <c r="E15" s="119">
        <f>E14/($C$23+$D$23+$E$23)</f>
        <v>0</v>
      </c>
      <c r="F15" s="231">
        <v>5</v>
      </c>
      <c r="G15" s="558" t="s">
        <v>11</v>
      </c>
      <c r="H15" s="559" t="s">
        <v>522</v>
      </c>
      <c r="I15" s="813" t="s">
        <v>730</v>
      </c>
      <c r="J15" s="216" t="str">
        <f>+'19'!J15</f>
        <v>T 15 VP OW</v>
      </c>
      <c r="K15" s="238"/>
      <c r="L15" s="238"/>
      <c r="M15" s="121">
        <f>+K15+'19'!M15+L15</f>
        <v>55010</v>
      </c>
    </row>
    <row r="16" spans="1:15" ht="13.5" thickBot="1">
      <c r="A16" s="816"/>
      <c r="B16" s="217" t="s">
        <v>518</v>
      </c>
      <c r="C16" s="511">
        <v>16177</v>
      </c>
      <c r="D16" s="223"/>
      <c r="E16" s="224"/>
      <c r="F16" s="231"/>
      <c r="G16" s="560" t="s">
        <v>11</v>
      </c>
      <c r="H16" s="559" t="s">
        <v>426</v>
      </c>
      <c r="I16" s="814"/>
      <c r="J16" s="216" t="str">
        <f>+'19'!J16</f>
        <v>T 17 VP OW</v>
      </c>
      <c r="K16" s="229"/>
      <c r="L16" s="229"/>
      <c r="M16" s="121">
        <f>+K16+'19'!M16+L16</f>
        <v>22278</v>
      </c>
    </row>
    <row r="17" spans="1:14" ht="13.5" thickBot="1">
      <c r="A17" s="816"/>
      <c r="B17" s="217"/>
      <c r="C17" s="218"/>
      <c r="D17" s="219"/>
      <c r="E17" s="225"/>
      <c r="F17" s="231">
        <v>10</v>
      </c>
      <c r="G17" s="560" t="s">
        <v>11</v>
      </c>
      <c r="H17" s="561" t="s">
        <v>650</v>
      </c>
      <c r="I17" s="814"/>
      <c r="J17" s="216">
        <f>+'19'!J17</f>
        <v>0</v>
      </c>
      <c r="K17" s="229"/>
      <c r="L17" s="229"/>
      <c r="M17" s="121">
        <f>+K17+'19'!M17+L17</f>
        <v>0</v>
      </c>
    </row>
    <row r="18" spans="1:14" ht="13.5" thickBot="1">
      <c r="A18" s="816"/>
      <c r="B18" s="217"/>
      <c r="C18" s="218"/>
      <c r="D18" s="219"/>
      <c r="E18" s="225"/>
      <c r="F18" s="231"/>
      <c r="G18" s="558"/>
      <c r="H18" s="561" t="s">
        <v>709</v>
      </c>
      <c r="I18" s="814"/>
      <c r="J18" s="216">
        <f>+'19'!J18</f>
        <v>0</v>
      </c>
      <c r="K18" s="238"/>
      <c r="L18" s="238"/>
      <c r="M18" s="121">
        <f>+K18+'19'!M18+L18</f>
        <v>0</v>
      </c>
    </row>
    <row r="19" spans="1:14" ht="13.5" customHeight="1" thickBot="1">
      <c r="A19" s="816"/>
      <c r="B19" s="217"/>
      <c r="C19" s="218"/>
      <c r="D19" s="219"/>
      <c r="E19" s="225"/>
      <c r="F19" s="228"/>
      <c r="G19" s="232"/>
      <c r="H19" s="230" t="s">
        <v>739</v>
      </c>
      <c r="I19" s="814"/>
      <c r="J19" s="216">
        <f>+'19'!J19</f>
        <v>0</v>
      </c>
      <c r="K19" s="238"/>
      <c r="L19" s="238"/>
      <c r="M19" s="121">
        <f>+K19+'19'!M19+L19</f>
        <v>0</v>
      </c>
    </row>
    <row r="20" spans="1:14" ht="13.5" customHeight="1" thickBot="1">
      <c r="A20" s="816"/>
      <c r="B20" s="217"/>
      <c r="C20" s="218"/>
      <c r="D20" s="219"/>
      <c r="E20" s="225"/>
      <c r="F20" s="228"/>
      <c r="G20" s="232"/>
      <c r="H20" s="233" t="s">
        <v>740</v>
      </c>
      <c r="I20" s="814"/>
      <c r="J20" s="216">
        <f>+'19'!J20</f>
        <v>0</v>
      </c>
      <c r="K20" s="239"/>
      <c r="L20" s="239"/>
      <c r="M20" s="121">
        <f>+K20+'19'!M20+L20</f>
        <v>0</v>
      </c>
    </row>
    <row r="21" spans="1:14" ht="13.5" customHeight="1" thickBot="1">
      <c r="A21" s="816"/>
      <c r="B21" s="217"/>
      <c r="C21" s="218"/>
      <c r="D21" s="219"/>
      <c r="E21" s="225"/>
      <c r="F21" s="231"/>
      <c r="G21" s="232"/>
      <c r="H21" s="233" t="s">
        <v>741</v>
      </c>
      <c r="I21" s="814"/>
      <c r="J21" s="216">
        <f>+'19'!J21</f>
        <v>0</v>
      </c>
      <c r="K21" s="238"/>
      <c r="L21" s="238"/>
      <c r="M21" s="121">
        <f>+K21+'19'!M21+L21</f>
        <v>0</v>
      </c>
    </row>
    <row r="22" spans="1:14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+'19'!J22</f>
        <v>0</v>
      </c>
      <c r="K22" s="238"/>
      <c r="L22" s="238"/>
      <c r="M22" s="121">
        <f>+K22+'19'!M22+L22</f>
        <v>0</v>
      </c>
    </row>
    <row r="23" spans="1:14" ht="13.5" thickBot="1">
      <c r="A23" s="817"/>
      <c r="B23" s="169" t="s">
        <v>2</v>
      </c>
      <c r="C23" s="103">
        <f>SUM(C16:C22)</f>
        <v>16177</v>
      </c>
      <c r="D23" s="115">
        <f>SUM(D16:D22)</f>
        <v>0</v>
      </c>
      <c r="E23" s="116">
        <f>SUM(E18:E22)</f>
        <v>0</v>
      </c>
      <c r="F23" s="106">
        <f>SUM(F15:F22)</f>
        <v>15</v>
      </c>
      <c r="G23" s="163"/>
      <c r="H23" s="170"/>
      <c r="I23" s="172"/>
      <c r="J23" s="216">
        <f>+'19'!J23</f>
        <v>0</v>
      </c>
      <c r="K23" s="238"/>
      <c r="L23" s="238"/>
      <c r="M23" s="121">
        <f>+K23+'19'!M23+L23</f>
        <v>0</v>
      </c>
    </row>
    <row r="24" spans="1:14" ht="13.5" customHeight="1" thickBot="1">
      <c r="A24" s="810" t="s">
        <v>374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730</v>
      </c>
      <c r="J24" s="216">
        <f>+'19'!J24</f>
        <v>0</v>
      </c>
      <c r="K24" s="238"/>
      <c r="L24" s="238"/>
      <c r="M24" s="121">
        <f>+K24+'19'!M24+L24</f>
        <v>0</v>
      </c>
    </row>
    <row r="25" spans="1:14" ht="13.5" thickBot="1">
      <c r="A25" s="818"/>
      <c r="B25" s="217" t="s">
        <v>518</v>
      </c>
      <c r="C25" s="226">
        <v>15181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+'19'!J25</f>
        <v>0</v>
      </c>
      <c r="K25" s="238"/>
      <c r="L25" s="238"/>
      <c r="M25" s="121">
        <f>+K25+'19'!M25+L25</f>
        <v>0</v>
      </c>
    </row>
    <row r="26" spans="1:14" ht="13.5" thickBot="1">
      <c r="A26" s="818"/>
      <c r="B26" s="217"/>
      <c r="C26" s="226"/>
      <c r="D26" s="219"/>
      <c r="E26" s="227"/>
      <c r="F26" s="231">
        <v>8</v>
      </c>
      <c r="G26" s="560" t="s">
        <v>11</v>
      </c>
      <c r="H26" s="561" t="s">
        <v>413</v>
      </c>
      <c r="I26" s="814"/>
      <c r="J26" s="216">
        <f>+'19'!J26</f>
        <v>0</v>
      </c>
      <c r="K26" s="238"/>
      <c r="L26" s="238"/>
      <c r="M26" s="121">
        <f>+K26+'19'!M26+L26</f>
        <v>0</v>
      </c>
    </row>
    <row r="27" spans="1:14" ht="13.5" thickBot="1">
      <c r="A27" s="818"/>
      <c r="B27" s="217"/>
      <c r="C27" s="218"/>
      <c r="D27" s="219"/>
      <c r="E27" s="225"/>
      <c r="F27" s="231"/>
      <c r="G27" s="558"/>
      <c r="H27" s="561" t="s">
        <v>709</v>
      </c>
      <c r="I27" s="814"/>
      <c r="J27" s="216">
        <f>+'19'!J27</f>
        <v>0</v>
      </c>
      <c r="K27" s="238"/>
      <c r="L27" s="238"/>
      <c r="M27" s="121">
        <f>+K27+'19'!M27+L27</f>
        <v>0</v>
      </c>
    </row>
    <row r="28" spans="1:14" ht="13.5" thickBot="1">
      <c r="A28" s="818"/>
      <c r="B28" s="217"/>
      <c r="C28" s="218"/>
      <c r="D28" s="219"/>
      <c r="E28" s="225"/>
      <c r="F28" s="228"/>
      <c r="G28" s="232"/>
      <c r="H28" s="230" t="s">
        <v>742</v>
      </c>
      <c r="I28" s="814"/>
      <c r="J28" s="216">
        <f>+'19'!J28</f>
        <v>0</v>
      </c>
      <c r="K28" s="238"/>
      <c r="L28" s="238"/>
      <c r="M28" s="121">
        <f>+K28+'19'!M28+L28</f>
        <v>0</v>
      </c>
    </row>
    <row r="29" spans="1:14" ht="13.5" thickBot="1">
      <c r="A29" s="818"/>
      <c r="B29" s="217"/>
      <c r="C29" s="218"/>
      <c r="D29" s="219"/>
      <c r="E29" s="225"/>
      <c r="F29" s="235"/>
      <c r="G29" s="232"/>
      <c r="H29" s="233" t="s">
        <v>743</v>
      </c>
      <c r="I29" s="814"/>
      <c r="J29" s="216">
        <f>+'19'!J29</f>
        <v>0</v>
      </c>
      <c r="K29" s="238"/>
      <c r="L29" s="238"/>
      <c r="M29" s="121">
        <f>+K29+'19'!M29+L29</f>
        <v>0</v>
      </c>
    </row>
    <row r="30" spans="1:14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+'19'!J30</f>
        <v>0</v>
      </c>
      <c r="K30" s="238"/>
      <c r="L30" s="238"/>
      <c r="M30" s="121">
        <f>+K30+'19'!M30+L30</f>
        <v>0</v>
      </c>
      <c r="N30" s="159"/>
    </row>
    <row r="31" spans="1:14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+'19'!J31</f>
        <v>0</v>
      </c>
      <c r="K31" s="238"/>
      <c r="L31" s="238"/>
      <c r="M31" s="121">
        <f>+K31+'19'!M31+L31</f>
        <v>0</v>
      </c>
    </row>
    <row r="32" spans="1:14" ht="13.5" thickBot="1">
      <c r="A32" s="819"/>
      <c r="B32" s="169" t="s">
        <v>2</v>
      </c>
      <c r="C32" s="103">
        <f>SUM(C25:C31)</f>
        <v>15181</v>
      </c>
      <c r="D32" s="104">
        <f>SUM(D25:D31)</f>
        <v>0</v>
      </c>
      <c r="E32" s="105">
        <f>SUM(E25:E31)</f>
        <v>0</v>
      </c>
      <c r="F32" s="103">
        <f>SUM(F24:F31)</f>
        <v>8</v>
      </c>
      <c r="G32" s="173"/>
      <c r="H32" s="174"/>
      <c r="I32" s="172"/>
      <c r="J32" s="216">
        <f>+'19'!J32</f>
        <v>0</v>
      </c>
      <c r="K32" s="240"/>
      <c r="L32" s="242"/>
      <c r="M32" s="121">
        <f>+K32+'19'!M32+L32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50112</v>
      </c>
      <c r="D34" s="111">
        <f>D14+D23+D32</f>
        <v>0</v>
      </c>
      <c r="E34" s="111">
        <f>E14+E23+E32</f>
        <v>0</v>
      </c>
      <c r="F34" s="112">
        <f>F14+F23+F32</f>
        <v>32</v>
      </c>
      <c r="H34" s="180"/>
      <c r="I34" s="180"/>
      <c r="J34" s="127" t="s">
        <v>27</v>
      </c>
      <c r="K34" s="128">
        <f>SUM(K7:K32)</f>
        <v>50112</v>
      </c>
      <c r="L34" s="214">
        <f>SUM(L7:L32)</f>
        <v>0</v>
      </c>
      <c r="M34" s="124">
        <f>SUM(M7:M32)</f>
        <v>916224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(12*1440)/1440*G42*2.85*1440/1000000</f>
        <v>51.7104</v>
      </c>
      <c r="J37" s="129">
        <f>+I37+'19'!J37</f>
        <v>1064.2761928661778</v>
      </c>
      <c r="K37" s="130" t="s">
        <v>74</v>
      </c>
    </row>
    <row r="38" spans="1:14" ht="17.45" customHeight="1">
      <c r="A38" s="824" t="s">
        <v>11</v>
      </c>
      <c r="B38" s="825"/>
      <c r="C38" s="168">
        <f>SUMIF($G$7:$G$31,"Process",$F$7:$F$31)</f>
        <v>32</v>
      </c>
      <c r="D38" s="122">
        <f>+C38+'19'!D38</f>
        <v>1088</v>
      </c>
      <c r="E38" s="147">
        <f t="shared" ref="E38:E51" si="0">D38/60</f>
        <v>18.133333333333333</v>
      </c>
      <c r="F38" s="334">
        <v>1400</v>
      </c>
      <c r="G38" s="334">
        <f t="shared" ref="G38:G40" si="1">+F38-F38*0.25</f>
        <v>1050</v>
      </c>
      <c r="H38" s="189" t="s">
        <v>75</v>
      </c>
      <c r="I38" s="513">
        <f>16.726+17.111+16.88</f>
        <v>50.716999999999999</v>
      </c>
      <c r="J38" s="131">
        <f>+I38+'19'!J38</f>
        <v>971.67399999999998</v>
      </c>
      <c r="K38" s="132" t="s">
        <v>74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+C39+'19'!D39</f>
        <v>0</v>
      </c>
      <c r="E39" s="147">
        <f t="shared" si="0"/>
        <v>0</v>
      </c>
      <c r="F39" s="334">
        <v>1400</v>
      </c>
      <c r="G39" s="334">
        <f t="shared" si="1"/>
        <v>1050</v>
      </c>
      <c r="H39" s="189" t="s">
        <v>76</v>
      </c>
      <c r="I39" s="146"/>
      <c r="J39" s="133">
        <f>J37/G4</f>
        <v>53.213809643308892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+C40+'19'!D40</f>
        <v>101</v>
      </c>
      <c r="E40" s="147">
        <f t="shared" ca="1" si="0"/>
        <v>1.6833333333333333</v>
      </c>
      <c r="F40" s="334">
        <v>1400</v>
      </c>
      <c r="G40" s="334">
        <f t="shared" si="1"/>
        <v>1050</v>
      </c>
      <c r="H40" s="189" t="s">
        <v>78</v>
      </c>
      <c r="I40" s="122">
        <f>(K34+L34)/1000</f>
        <v>50.112000000000002</v>
      </c>
      <c r="J40" s="135">
        <f>+I40+'19'!J40</f>
        <v>916.22400000000016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+C41+'19'!D41</f>
        <v>50</v>
      </c>
      <c r="E41" s="147">
        <f t="shared" ca="1" si="0"/>
        <v>0.83333333333333337</v>
      </c>
      <c r="F41" s="334"/>
      <c r="G41" s="334"/>
      <c r="H41" s="189" t="s">
        <v>80</v>
      </c>
      <c r="I41" s="146"/>
      <c r="J41" s="133">
        <f>J40/G4</f>
        <v>45.811200000000007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+C42+'19'!D42</f>
        <v>0</v>
      </c>
      <c r="E42" s="147">
        <f t="shared" ca="1" si="0"/>
        <v>0</v>
      </c>
      <c r="F42" s="334">
        <f>+(F38*480+F39*480+F40*480)/1440</f>
        <v>1400</v>
      </c>
      <c r="G42" s="334">
        <f>+(G38*480+G39*480+G40*480)/1440</f>
        <v>1050</v>
      </c>
      <c r="H42" s="189" t="s">
        <v>81</v>
      </c>
      <c r="I42" s="245" t="s">
        <v>730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+C43+'19'!D43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+Report1!Z28</f>
        <v>129.10000000000002</v>
      </c>
      <c r="J43" s="137">
        <f>+I43+'19'!J43</f>
        <v>2463.0999999999995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+C44+'19'!D44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2.545497564919061</v>
      </c>
      <c r="J44" s="138">
        <f>J43/J38</f>
        <v>2.5349036816874793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+C45+'19'!D45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2.5762292464878676</v>
      </c>
      <c r="J45" s="138">
        <f>J43/J40</f>
        <v>2.6883163942442012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+C46+'19'!D46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+SUMIF(Listrik!AN27,"&gt;0")</f>
        <v>51377.829999999856</v>
      </c>
      <c r="J46" s="139">
        <f>+I46+'19'!J46</f>
        <v>980525.00760000001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+C47+'19'!D47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1013.0297533371426</v>
      </c>
      <c r="J47" s="139">
        <f>J46/J38</f>
        <v>1009.1090299833072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+C48+'19'!D48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1025.2600175606613</v>
      </c>
      <c r="J48" s="139">
        <f>J46/J40</f>
        <v>1070.1804445201171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+C49+'19'!D49</f>
        <v>545</v>
      </c>
      <c r="E49" s="147">
        <f t="shared" si="0"/>
        <v>9.0833333333333339</v>
      </c>
      <c r="F49" s="187"/>
      <c r="H49" s="190" t="s">
        <v>93</v>
      </c>
      <c r="I49" s="122">
        <v>0</v>
      </c>
      <c r="J49" s="139">
        <f>+I49+'19'!J49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+C50+'19'!D50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+C51+'19'!D51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32</v>
      </c>
      <c r="D52" s="148">
        <f ca="1">SUM(D38:D51)</f>
        <v>1784</v>
      </c>
      <c r="E52" s="149">
        <f ca="1">SUM(E38:E51)</f>
        <v>29.733333333333334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2.2222222222222223E-2</v>
      </c>
      <c r="D53" s="150">
        <f ca="1">D52/(24*60*G4)</f>
        <v>6.1944444444444448E-2</v>
      </c>
      <c r="E53" s="151">
        <f ca="1">E52/(G4*24)</f>
        <v>6.1944444444444448E-2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+D34+'19'!J56</f>
        <v>10131</v>
      </c>
      <c r="K56" s="203">
        <f>J56/(J40+J56/1000)/1000</f>
        <v>1.0936412066648315E-2</v>
      </c>
    </row>
    <row r="57" spans="1:11">
      <c r="A57" s="178"/>
      <c r="I57" s="201" t="s">
        <v>100</v>
      </c>
      <c r="J57" s="202">
        <f>+E34+'19'!J57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5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3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14062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19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426+380+440</f>
        <v>1246</v>
      </c>
    </row>
    <row r="7" spans="1:18" ht="13.5" customHeight="1" thickBot="1">
      <c r="A7" s="810" t="s">
        <v>694</v>
      </c>
      <c r="B7" s="217" t="s">
        <v>518</v>
      </c>
      <c r="C7" s="218">
        <v>16295</v>
      </c>
      <c r="D7" s="219"/>
      <c r="E7" s="220"/>
      <c r="F7" s="231">
        <v>25</v>
      </c>
      <c r="G7" s="558" t="s">
        <v>11</v>
      </c>
      <c r="H7" s="559" t="s">
        <v>586</v>
      </c>
      <c r="I7" s="813" t="s">
        <v>731</v>
      </c>
      <c r="J7" s="216" t="str">
        <f>+'18'!J7</f>
        <v>T 12,5 VP OW</v>
      </c>
      <c r="K7" s="237"/>
      <c r="L7" s="241"/>
      <c r="M7" s="121">
        <f>+K7+'18'!M7+L7</f>
        <v>43580</v>
      </c>
    </row>
    <row r="8" spans="1:18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+'18'!J8</f>
        <v>F 12.5 VP OW</v>
      </c>
      <c r="K8" s="238"/>
      <c r="L8" s="238"/>
      <c r="M8" s="121">
        <f>+K8+'18'!M8+L8</f>
        <v>111865</v>
      </c>
    </row>
    <row r="9" spans="1:18" ht="13.5" thickBot="1">
      <c r="A9" s="811"/>
      <c r="B9" s="217"/>
      <c r="C9" s="218"/>
      <c r="D9" s="219"/>
      <c r="E9" s="222"/>
      <c r="F9" s="231">
        <v>10</v>
      </c>
      <c r="G9" s="560" t="s">
        <v>11</v>
      </c>
      <c r="H9" s="561" t="s">
        <v>455</v>
      </c>
      <c r="I9" s="814"/>
      <c r="J9" s="216" t="str">
        <f>+'18'!J9</f>
        <v>F 13 VP OW</v>
      </c>
      <c r="K9" s="238"/>
      <c r="L9" s="238"/>
      <c r="M9" s="121">
        <f>+K9+'18'!M9+L9</f>
        <v>100014</v>
      </c>
    </row>
    <row r="10" spans="1:18" ht="13.5" thickBot="1">
      <c r="A10" s="811"/>
      <c r="B10" s="217"/>
      <c r="C10" s="218"/>
      <c r="D10" s="219"/>
      <c r="E10" s="221"/>
      <c r="F10" s="231"/>
      <c r="G10" s="558"/>
      <c r="H10" s="561" t="s">
        <v>709</v>
      </c>
      <c r="I10" s="814"/>
      <c r="J10" s="216" t="str">
        <f>+'18'!J10</f>
        <v>T 12 VP OW</v>
      </c>
      <c r="K10" s="238"/>
      <c r="L10" s="238"/>
      <c r="M10" s="121">
        <f>+K10+'18'!M10+L10</f>
        <v>23281</v>
      </c>
      <c r="N10" s="153">
        <v>1400</v>
      </c>
      <c r="O10" s="153">
        <f>+N10-N10*0.25</f>
        <v>1050</v>
      </c>
      <c r="P10" s="153">
        <v>39</v>
      </c>
      <c r="Q10" s="153">
        <f>+N10*P10</f>
        <v>54600</v>
      </c>
      <c r="R10" s="153">
        <f>+O10*P10</f>
        <v>40950</v>
      </c>
    </row>
    <row r="11" spans="1:18" ht="64.5" thickBot="1">
      <c r="A11" s="811"/>
      <c r="B11" s="217"/>
      <c r="C11" s="218"/>
      <c r="D11" s="219"/>
      <c r="E11" s="221"/>
      <c r="F11" s="481"/>
      <c r="G11" s="482"/>
      <c r="H11" s="230" t="s">
        <v>721</v>
      </c>
      <c r="I11" s="814"/>
      <c r="J11" s="216" t="str">
        <f>+'18'!J11</f>
        <v>T 13,5 VP OW</v>
      </c>
      <c r="K11" s="238"/>
      <c r="L11" s="238"/>
      <c r="M11" s="121">
        <f>+K11+'18'!M11+L11</f>
        <v>15672</v>
      </c>
      <c r="N11" s="153">
        <v>1300</v>
      </c>
      <c r="O11" s="153">
        <f>+N11-N11*0.25</f>
        <v>975</v>
      </c>
      <c r="P11" s="153">
        <v>34</v>
      </c>
      <c r="Q11" s="153">
        <f>+N11*P11</f>
        <v>44200</v>
      </c>
      <c r="R11" s="153">
        <f>+O11*P11</f>
        <v>33150</v>
      </c>
    </row>
    <row r="12" spans="1:18" ht="51.75" thickBot="1">
      <c r="A12" s="811"/>
      <c r="B12" s="217"/>
      <c r="C12" s="218"/>
      <c r="D12" s="219"/>
      <c r="E12" s="221"/>
      <c r="F12" s="228"/>
      <c r="G12" s="232"/>
      <c r="H12" s="233" t="s">
        <v>722</v>
      </c>
      <c r="I12" s="814"/>
      <c r="J12" s="216" t="str">
        <f>+'18'!J12</f>
        <v>F 12 VP OW</v>
      </c>
      <c r="K12" s="238">
        <f>+C34</f>
        <v>46784</v>
      </c>
      <c r="L12" s="238"/>
      <c r="M12" s="121">
        <f>+K12+'18'!M12+L12</f>
        <v>167608</v>
      </c>
      <c r="N12" s="153">
        <v>1400</v>
      </c>
      <c r="O12" s="153">
        <f>+N12-N12*0.25</f>
        <v>1050</v>
      </c>
      <c r="P12" s="153">
        <f>480-P10-P11</f>
        <v>407</v>
      </c>
      <c r="Q12" s="153">
        <f>+N12*P12</f>
        <v>569800</v>
      </c>
      <c r="R12" s="153">
        <f>+O12*P12</f>
        <v>427350</v>
      </c>
    </row>
    <row r="13" spans="1:18" ht="64.5" customHeight="1" thickBot="1">
      <c r="A13" s="811"/>
      <c r="B13" s="217"/>
      <c r="C13" s="218"/>
      <c r="D13" s="218"/>
      <c r="E13" s="221"/>
      <c r="F13" s="228"/>
      <c r="G13" s="232"/>
      <c r="H13" s="233" t="s">
        <v>723</v>
      </c>
      <c r="I13" s="815"/>
      <c r="J13" s="216" t="str">
        <f>+'18'!J13</f>
        <v>T 12,5 VP OW</v>
      </c>
      <c r="K13" s="238"/>
      <c r="L13" s="238"/>
      <c r="M13" s="121">
        <f>+K13+'18'!M13+L13</f>
        <v>237920</v>
      </c>
      <c r="P13" s="153">
        <f>SUM(P10:P12)</f>
        <v>480</v>
      </c>
      <c r="Q13" s="153">
        <f t="shared" ref="Q13:R13" si="0">SUM(Q10:Q12)</f>
        <v>668600</v>
      </c>
      <c r="R13" s="153">
        <f t="shared" si="0"/>
        <v>501450</v>
      </c>
    </row>
    <row r="14" spans="1:18" ht="13.5" thickBot="1">
      <c r="A14" s="812"/>
      <c r="B14" s="169" t="s">
        <v>2</v>
      </c>
      <c r="C14" s="103">
        <f>SUM(C7:C13)</f>
        <v>16295</v>
      </c>
      <c r="D14" s="115">
        <f>SUM(D7:D13)</f>
        <v>0</v>
      </c>
      <c r="E14" s="116">
        <f>SUM(E5:E13)</f>
        <v>0</v>
      </c>
      <c r="F14" s="106">
        <f>SUM(F6:F13)</f>
        <v>35</v>
      </c>
      <c r="G14" s="163"/>
      <c r="H14" s="170"/>
      <c r="I14" s="171"/>
      <c r="J14" s="216" t="str">
        <f>+'18'!J14</f>
        <v>T 14 VP OW</v>
      </c>
      <c r="K14" s="238"/>
      <c r="L14" s="238"/>
      <c r="M14" s="121">
        <f>+K14+'18'!M14+L14</f>
        <v>88884</v>
      </c>
      <c r="Q14" s="153">
        <f>+Q13/P13</f>
        <v>1392.9166666666667</v>
      </c>
      <c r="R14" s="153">
        <f>+R13/P13</f>
        <v>1044.6875</v>
      </c>
    </row>
    <row r="15" spans="1:18" ht="13.5" customHeight="1" thickBot="1">
      <c r="A15" s="810" t="s">
        <v>415</v>
      </c>
      <c r="B15" s="510"/>
      <c r="C15" s="117">
        <f>C14/($C$23+$D$23+$E$23)</f>
        <v>0.92622065594270453</v>
      </c>
      <c r="D15" s="118">
        <f>D14/($C$23+$D$23+$E$23)</f>
        <v>0</v>
      </c>
      <c r="E15" s="119">
        <f>E14/($C$23+$D$23+$E$23)</f>
        <v>0</v>
      </c>
      <c r="F15" s="231"/>
      <c r="G15" s="558" t="s">
        <v>11</v>
      </c>
      <c r="H15" s="559" t="s">
        <v>404</v>
      </c>
      <c r="I15" s="813" t="s">
        <v>730</v>
      </c>
      <c r="J15" s="216" t="str">
        <f>+'18'!J15</f>
        <v>T 15 VP OW</v>
      </c>
      <c r="K15" s="238"/>
      <c r="L15" s="238"/>
      <c r="M15" s="121">
        <f>+K15+'18'!M15+L15</f>
        <v>55010</v>
      </c>
    </row>
    <row r="16" spans="1:18" ht="13.5" thickBot="1">
      <c r="A16" s="816"/>
      <c r="B16" s="512" t="s">
        <v>518</v>
      </c>
      <c r="C16" s="511">
        <v>17593</v>
      </c>
      <c r="D16" s="223"/>
      <c r="E16" s="224"/>
      <c r="F16" s="231"/>
      <c r="G16" s="560" t="s">
        <v>11</v>
      </c>
      <c r="H16" s="559" t="s">
        <v>426</v>
      </c>
      <c r="I16" s="814"/>
      <c r="J16" s="216" t="str">
        <f>+'18'!J16</f>
        <v>T 17 VP OW</v>
      </c>
      <c r="K16" s="229"/>
      <c r="L16" s="229"/>
      <c r="M16" s="121">
        <f>+K16+'18'!M16+L16</f>
        <v>22278</v>
      </c>
    </row>
    <row r="17" spans="1:14" ht="13.5" thickBot="1">
      <c r="A17" s="816"/>
      <c r="B17" s="217"/>
      <c r="C17" s="218"/>
      <c r="D17" s="219"/>
      <c r="E17" s="225"/>
      <c r="F17" s="231">
        <v>5</v>
      </c>
      <c r="G17" s="560" t="s">
        <v>11</v>
      </c>
      <c r="H17" s="561" t="s">
        <v>413</v>
      </c>
      <c r="I17" s="814"/>
      <c r="J17" s="216">
        <f>+'18'!J17</f>
        <v>0</v>
      </c>
      <c r="K17" s="229"/>
      <c r="L17" s="229"/>
      <c r="M17" s="121">
        <f>+K17+'18'!M17+L17</f>
        <v>0</v>
      </c>
    </row>
    <row r="18" spans="1:14" ht="13.5" thickBot="1">
      <c r="A18" s="816"/>
      <c r="B18" s="217"/>
      <c r="C18" s="218"/>
      <c r="D18" s="219"/>
      <c r="E18" s="225"/>
      <c r="F18" s="231"/>
      <c r="G18" s="558"/>
      <c r="H18" s="561" t="s">
        <v>709</v>
      </c>
      <c r="I18" s="814"/>
      <c r="J18" s="216">
        <f>+'18'!J18</f>
        <v>0</v>
      </c>
      <c r="K18" s="238"/>
      <c r="L18" s="238"/>
      <c r="M18" s="121">
        <f>+K18+'18'!M18+L18</f>
        <v>0</v>
      </c>
    </row>
    <row r="19" spans="1:14" ht="13.5" thickBot="1">
      <c r="A19" s="816"/>
      <c r="B19" s="217"/>
      <c r="C19" s="218"/>
      <c r="D19" s="219"/>
      <c r="E19" s="225"/>
      <c r="F19" s="228"/>
      <c r="G19" s="232"/>
      <c r="H19" s="230" t="s">
        <v>724</v>
      </c>
      <c r="I19" s="814"/>
      <c r="J19" s="216">
        <f>+'18'!J19</f>
        <v>0</v>
      </c>
      <c r="K19" s="238"/>
      <c r="L19" s="238"/>
      <c r="M19" s="121">
        <f>+K19+'18'!M19+L19</f>
        <v>0</v>
      </c>
    </row>
    <row r="20" spans="1:14" ht="13.5" thickBot="1">
      <c r="A20" s="816"/>
      <c r="B20" s="217"/>
      <c r="C20" s="218"/>
      <c r="D20" s="219"/>
      <c r="E20" s="225"/>
      <c r="F20" s="228"/>
      <c r="G20" s="232"/>
      <c r="H20" s="233" t="s">
        <v>725</v>
      </c>
      <c r="I20" s="814"/>
      <c r="J20" s="216">
        <f>+'18'!J20</f>
        <v>0</v>
      </c>
      <c r="K20" s="239"/>
      <c r="L20" s="239"/>
      <c r="M20" s="121">
        <f>+K20+'18'!M20+L20</f>
        <v>0</v>
      </c>
    </row>
    <row r="21" spans="1:14" ht="13.5" thickBot="1">
      <c r="A21" s="816"/>
      <c r="B21" s="217"/>
      <c r="C21" s="218"/>
      <c r="D21" s="219"/>
      <c r="E21" s="225"/>
      <c r="F21" s="231"/>
      <c r="G21" s="232"/>
      <c r="H21" s="233"/>
      <c r="I21" s="814"/>
      <c r="J21" s="216">
        <f>+'18'!J21</f>
        <v>0</v>
      </c>
      <c r="K21" s="238"/>
      <c r="L21" s="238"/>
      <c r="M21" s="121">
        <f>+K21+'18'!M21+L21</f>
        <v>0</v>
      </c>
    </row>
    <row r="22" spans="1:14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+'18'!J22</f>
        <v>0</v>
      </c>
      <c r="K22" s="238"/>
      <c r="L22" s="238"/>
      <c r="M22" s="121">
        <f>+K22+'18'!M22+L22</f>
        <v>0</v>
      </c>
    </row>
    <row r="23" spans="1:14" ht="13.5" thickBot="1">
      <c r="A23" s="817"/>
      <c r="B23" s="169" t="s">
        <v>2</v>
      </c>
      <c r="C23" s="103">
        <f>SUM(C16:C22)</f>
        <v>17593</v>
      </c>
      <c r="D23" s="115">
        <f>SUM(D16:D22)</f>
        <v>0</v>
      </c>
      <c r="E23" s="116">
        <f>SUM(E18:E22)</f>
        <v>0</v>
      </c>
      <c r="F23" s="106">
        <f>SUM(F15:F22)</f>
        <v>5</v>
      </c>
      <c r="G23" s="163"/>
      <c r="H23" s="170"/>
      <c r="I23" s="172"/>
      <c r="J23" s="216">
        <f>+'18'!J23</f>
        <v>0</v>
      </c>
      <c r="K23" s="238"/>
      <c r="L23" s="238"/>
      <c r="M23" s="121">
        <f>+K23+'18'!M23+L23</f>
        <v>0</v>
      </c>
    </row>
    <row r="24" spans="1:14" ht="13.5" customHeight="1" thickBot="1">
      <c r="A24" s="810" t="s">
        <v>374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10</v>
      </c>
      <c r="G24" s="558" t="s">
        <v>11</v>
      </c>
      <c r="H24" s="559" t="s">
        <v>456</v>
      </c>
      <c r="I24" s="813" t="s">
        <v>730</v>
      </c>
      <c r="J24" s="216">
        <f>+'18'!J24</f>
        <v>0</v>
      </c>
      <c r="K24" s="238"/>
      <c r="L24" s="238"/>
      <c r="M24" s="121">
        <f>+K24+'18'!M24+L24</f>
        <v>0</v>
      </c>
    </row>
    <row r="25" spans="1:14" ht="13.5" thickBot="1">
      <c r="A25" s="818"/>
      <c r="B25" s="217" t="s">
        <v>518</v>
      </c>
      <c r="C25" s="226">
        <v>12896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+'18'!J25</f>
        <v>0</v>
      </c>
      <c r="K25" s="238"/>
      <c r="L25" s="238"/>
      <c r="M25" s="121">
        <f>+K25+'18'!M25+L25</f>
        <v>0</v>
      </c>
    </row>
    <row r="26" spans="1:14" ht="13.5" thickBot="1">
      <c r="A26" s="818"/>
      <c r="B26" s="217"/>
      <c r="C26" s="226"/>
      <c r="D26" s="219"/>
      <c r="E26" s="227"/>
      <c r="F26" s="231">
        <v>10</v>
      </c>
      <c r="G26" s="560" t="s">
        <v>11</v>
      </c>
      <c r="H26" s="561" t="s">
        <v>428</v>
      </c>
      <c r="I26" s="814"/>
      <c r="J26" s="216">
        <f>+'18'!J26</f>
        <v>0</v>
      </c>
      <c r="K26" s="238"/>
      <c r="L26" s="238"/>
      <c r="M26" s="121">
        <f>+K26+'18'!M26+L26</f>
        <v>0</v>
      </c>
    </row>
    <row r="27" spans="1:14" ht="13.5" thickBot="1">
      <c r="A27" s="818"/>
      <c r="B27" s="217"/>
      <c r="C27" s="218"/>
      <c r="D27" s="219"/>
      <c r="E27" s="225"/>
      <c r="F27" s="231"/>
      <c r="G27" s="558"/>
      <c r="H27" s="561" t="s">
        <v>709</v>
      </c>
      <c r="I27" s="814"/>
      <c r="J27" s="216">
        <f>+'18'!J27</f>
        <v>0</v>
      </c>
      <c r="K27" s="238"/>
      <c r="L27" s="238"/>
      <c r="M27" s="121">
        <f>+K27+'18'!M27+L27</f>
        <v>0</v>
      </c>
    </row>
    <row r="28" spans="1:14" ht="13.5" thickBot="1">
      <c r="A28" s="818"/>
      <c r="B28" s="217"/>
      <c r="C28" s="218"/>
      <c r="D28" s="219"/>
      <c r="E28" s="225"/>
      <c r="F28" s="228"/>
      <c r="G28" s="232"/>
      <c r="H28" s="230" t="s">
        <v>726</v>
      </c>
      <c r="I28" s="814"/>
      <c r="J28" s="216">
        <f>+'18'!J28</f>
        <v>0</v>
      </c>
      <c r="K28" s="238"/>
      <c r="L28" s="238"/>
      <c r="M28" s="121">
        <f>+K28+'18'!M28+L28</f>
        <v>0</v>
      </c>
    </row>
    <row r="29" spans="1:14" ht="26.25" customHeight="1" thickBot="1">
      <c r="A29" s="818"/>
      <c r="B29" s="217"/>
      <c r="C29" s="218"/>
      <c r="D29" s="219"/>
      <c r="E29" s="225"/>
      <c r="F29" s="235"/>
      <c r="G29" s="232"/>
      <c r="H29" s="233" t="s">
        <v>727</v>
      </c>
      <c r="I29" s="814"/>
      <c r="J29" s="216">
        <f>+'18'!J29</f>
        <v>0</v>
      </c>
      <c r="K29" s="238"/>
      <c r="L29" s="238"/>
      <c r="M29" s="121">
        <f>+K29+'18'!M29+L29</f>
        <v>0</v>
      </c>
    </row>
    <row r="30" spans="1:14" ht="13.5" thickBot="1">
      <c r="A30" s="818"/>
      <c r="B30" s="217"/>
      <c r="C30" s="226"/>
      <c r="D30" s="219"/>
      <c r="E30" s="225"/>
      <c r="F30" s="235"/>
      <c r="G30" s="232"/>
      <c r="H30" s="233" t="s">
        <v>728</v>
      </c>
      <c r="I30" s="814"/>
      <c r="J30" s="216">
        <f>+'18'!J30</f>
        <v>0</v>
      </c>
      <c r="K30" s="238"/>
      <c r="L30" s="238"/>
      <c r="M30" s="121">
        <f>+K30+'18'!M30+L30</f>
        <v>0</v>
      </c>
      <c r="N30" s="159"/>
    </row>
    <row r="31" spans="1:14" ht="39" thickBot="1">
      <c r="A31" s="818"/>
      <c r="B31" s="217"/>
      <c r="C31" s="226"/>
      <c r="D31" s="219"/>
      <c r="E31" s="225"/>
      <c r="F31" s="235"/>
      <c r="G31" s="236"/>
      <c r="H31" s="439" t="s">
        <v>729</v>
      </c>
      <c r="I31" s="815"/>
      <c r="J31" s="216">
        <f>+'18'!J31</f>
        <v>0</v>
      </c>
      <c r="K31" s="238"/>
      <c r="L31" s="238"/>
      <c r="M31" s="121">
        <f>+K31+'18'!M31+L31</f>
        <v>0</v>
      </c>
    </row>
    <row r="32" spans="1:14" ht="13.5" thickBot="1">
      <c r="A32" s="819"/>
      <c r="B32" s="169" t="s">
        <v>2</v>
      </c>
      <c r="C32" s="103">
        <f>SUM(C25:C31)</f>
        <v>12896</v>
      </c>
      <c r="D32" s="104">
        <f>SUM(D25:D31)</f>
        <v>0</v>
      </c>
      <c r="E32" s="105">
        <f>SUM(E25:E31)</f>
        <v>0</v>
      </c>
      <c r="F32" s="103">
        <f>SUM(F24:F31)</f>
        <v>20</v>
      </c>
      <c r="G32" s="173"/>
      <c r="H32" s="174"/>
      <c r="I32" s="172"/>
      <c r="J32" s="216">
        <f>+'18'!J32</f>
        <v>0</v>
      </c>
      <c r="K32" s="240"/>
      <c r="L32" s="242"/>
      <c r="M32" s="121">
        <f>+K32+'18'!M32+L32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46784</v>
      </c>
      <c r="D34" s="111">
        <f>D14+D23+D32</f>
        <v>0</v>
      </c>
      <c r="E34" s="111">
        <f>E14+E23+E32</f>
        <v>0</v>
      </c>
      <c r="F34" s="112">
        <f>F14+F23+F32</f>
        <v>60</v>
      </c>
      <c r="H34" s="180"/>
      <c r="I34" s="180"/>
      <c r="J34" s="127" t="s">
        <v>27</v>
      </c>
      <c r="K34" s="128">
        <f>SUM(K7:K32)</f>
        <v>46784</v>
      </c>
      <c r="L34" s="214">
        <f>SUM(L7:L32)</f>
        <v>0</v>
      </c>
      <c r="M34" s="124">
        <f>SUM(M7:M32)</f>
        <v>866112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(12*1440)/1440*G42*2.85*1440/1000000</f>
        <v>51.623190000000001</v>
      </c>
      <c r="J37" s="129">
        <f>+I37+'18'!J37</f>
        <v>1012.5657928661778</v>
      </c>
      <c r="K37" s="130" t="s">
        <v>74</v>
      </c>
    </row>
    <row r="38" spans="1:14" ht="17.45" customHeight="1">
      <c r="A38" s="824" t="s">
        <v>11</v>
      </c>
      <c r="B38" s="825"/>
      <c r="C38" s="168">
        <f>SUMIF($G$7:$G$31,"Process",$F$7:$F$31)</f>
        <v>60</v>
      </c>
      <c r="D38" s="122">
        <f>+C38+'18'!D38</f>
        <v>1056</v>
      </c>
      <c r="E38" s="147">
        <f t="shared" ref="E38:E51" si="1">D38/60</f>
        <v>17.600000000000001</v>
      </c>
      <c r="F38" s="334">
        <v>1392.9166666666667</v>
      </c>
      <c r="G38" s="334">
        <v>1044.6875</v>
      </c>
      <c r="H38" s="189" t="s">
        <v>75</v>
      </c>
      <c r="I38" s="513">
        <f>15.782+18.137+14.928</f>
        <v>48.846999999999994</v>
      </c>
      <c r="J38" s="131">
        <f>+I38+'18'!J38</f>
        <v>920.95699999999999</v>
      </c>
      <c r="K38" s="132" t="s">
        <v>74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+C39+'18'!D39</f>
        <v>0</v>
      </c>
      <c r="E39" s="147">
        <f t="shared" si="1"/>
        <v>0</v>
      </c>
      <c r="F39" s="334">
        <v>1400</v>
      </c>
      <c r="G39" s="334">
        <f t="shared" ref="G39:G40" si="2">+F39-F39*0.25</f>
        <v>1050</v>
      </c>
      <c r="H39" s="189" t="s">
        <v>76</v>
      </c>
      <c r="I39" s="146"/>
      <c r="J39" s="133">
        <f>J37/G4</f>
        <v>53.292936466640938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+C40+'18'!D40</f>
        <v>101</v>
      </c>
      <c r="E40" s="147">
        <f t="shared" ca="1" si="1"/>
        <v>1.6833333333333333</v>
      </c>
      <c r="F40" s="334">
        <v>1400</v>
      </c>
      <c r="G40" s="334">
        <f t="shared" si="2"/>
        <v>1050</v>
      </c>
      <c r="H40" s="189" t="s">
        <v>78</v>
      </c>
      <c r="I40" s="122">
        <f>(K34+L34)/1000</f>
        <v>46.783999999999999</v>
      </c>
      <c r="J40" s="135">
        <f>+I40+'18'!J40</f>
        <v>866.11200000000019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+C41+'18'!D41</f>
        <v>50</v>
      </c>
      <c r="E41" s="147">
        <f t="shared" ca="1" si="1"/>
        <v>0.83333333333333337</v>
      </c>
      <c r="F41" s="334"/>
      <c r="G41" s="334"/>
      <c r="H41" s="189" t="s">
        <v>80</v>
      </c>
      <c r="I41" s="146"/>
      <c r="J41" s="133">
        <f>J40/G4</f>
        <v>45.584842105263171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+C42+'18'!D42</f>
        <v>0</v>
      </c>
      <c r="E42" s="147">
        <f t="shared" ca="1" si="1"/>
        <v>0</v>
      </c>
      <c r="F42" s="334">
        <f>+(F38*480+F39*480+F40*480)/1440</f>
        <v>1397.6388888888889</v>
      </c>
      <c r="G42" s="334">
        <f>+(G38*480+G39*480+G40*480)/1440</f>
        <v>1048.2291666666667</v>
      </c>
      <c r="H42" s="189" t="s">
        <v>81</v>
      </c>
      <c r="I42" s="245" t="s">
        <v>732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+C43+'18'!D43</f>
        <v>0</v>
      </c>
      <c r="E43" s="147">
        <f t="shared" ca="1" si="1"/>
        <v>0</v>
      </c>
      <c r="F43" s="334"/>
      <c r="G43" s="335"/>
      <c r="H43" s="190" t="s">
        <v>84</v>
      </c>
      <c r="I43" s="122">
        <f>+Report1!Z27</f>
        <v>128.5</v>
      </c>
      <c r="J43" s="137">
        <f>+I43+'18'!J43</f>
        <v>2333.9999999999995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+C44+'18'!D44</f>
        <v>0</v>
      </c>
      <c r="E44" s="147">
        <f t="shared" si="1"/>
        <v>0</v>
      </c>
      <c r="F44" s="334"/>
      <c r="G44" s="335"/>
      <c r="H44" s="190" t="s">
        <v>85</v>
      </c>
      <c r="I44" s="122">
        <f>I43/I38</f>
        <v>2.6306630908755912</v>
      </c>
      <c r="J44" s="138">
        <f>J43/J38</f>
        <v>2.5343202777111196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+C45+'18'!D45</f>
        <v>0</v>
      </c>
      <c r="E45" s="147">
        <f t="shared" si="1"/>
        <v>0</v>
      </c>
      <c r="F45" s="334"/>
      <c r="G45" s="337"/>
      <c r="H45" s="190" t="s">
        <v>86</v>
      </c>
      <c r="I45" s="122">
        <f>I43/I40</f>
        <v>2.7466655266757867</v>
      </c>
      <c r="J45" s="138">
        <f>J43/J40</f>
        <v>2.6948015960984248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+C46+'18'!D46</f>
        <v>0</v>
      </c>
      <c r="E46" s="147">
        <f t="shared" si="1"/>
        <v>0</v>
      </c>
      <c r="F46" s="334"/>
      <c r="G46" s="335"/>
      <c r="H46" s="190" t="s">
        <v>88</v>
      </c>
      <c r="I46" s="144">
        <f>+SUMIF(Listrik!AN26,"&gt;0")</f>
        <v>54304.870000000723</v>
      </c>
      <c r="J46" s="139">
        <f>+I46+'18'!J46</f>
        <v>929147.17760000017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+C47+'18'!D47</f>
        <v>0</v>
      </c>
      <c r="E47" s="147">
        <f t="shared" si="1"/>
        <v>0</v>
      </c>
      <c r="F47" s="334"/>
      <c r="G47" s="335"/>
      <c r="H47" s="190" t="s">
        <v>91</v>
      </c>
      <c r="I47" s="122">
        <f>I46/I38</f>
        <v>1111.7339857104987</v>
      </c>
      <c r="J47" s="139">
        <f>J46/J38</f>
        <v>1008.8931161824061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+C48+'18'!D48</f>
        <v>0</v>
      </c>
      <c r="E48" s="147">
        <f t="shared" si="1"/>
        <v>0</v>
      </c>
      <c r="F48" s="334"/>
      <c r="G48" s="335"/>
      <c r="H48" s="190" t="s">
        <v>92</v>
      </c>
      <c r="I48" s="122">
        <f>I46/I40</f>
        <v>1160.7573101915339</v>
      </c>
      <c r="J48" s="139">
        <f>J46/J40</f>
        <v>1072.7794760954703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+C49+'18'!D49</f>
        <v>545</v>
      </c>
      <c r="E49" s="147">
        <f t="shared" si="1"/>
        <v>9.0833333333333339</v>
      </c>
      <c r="F49" s="187"/>
      <c r="H49" s="190" t="s">
        <v>93</v>
      </c>
      <c r="I49" s="122">
        <v>0</v>
      </c>
      <c r="J49" s="139">
        <f>+I49+'18'!J49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+C50+'18'!D50</f>
        <v>0</v>
      </c>
      <c r="E50" s="147">
        <f t="shared" si="1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+C51+'18'!D51</f>
        <v>0</v>
      </c>
      <c r="E51" s="147">
        <f t="shared" si="1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60</v>
      </c>
      <c r="D52" s="148">
        <f ca="1">SUM(D38:D51)</f>
        <v>1752</v>
      </c>
      <c r="E52" s="149">
        <f ca="1">SUM(E38:E51)</f>
        <v>29.200000000000003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4.1666666666666664E-2</v>
      </c>
      <c r="D53" s="150">
        <f ca="1">D52/(24*60*G4)</f>
        <v>6.403508771929825E-2</v>
      </c>
      <c r="E53" s="151">
        <f ca="1">E52/(G4*24)</f>
        <v>6.403508771929825E-2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+D34+'18'!J56</f>
        <v>10131</v>
      </c>
      <c r="K56" s="203">
        <f>J56/(J40+J56/1000)/1000</f>
        <v>1.156186126451224E-2</v>
      </c>
    </row>
    <row r="57" spans="1:11">
      <c r="A57" s="178"/>
      <c r="I57" s="201" t="s">
        <v>100</v>
      </c>
      <c r="J57" s="202">
        <f>+E34+'18'!J57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3" zoomScale="80" zoomScaleNormal="80" zoomScaleSheetLayoutView="80" workbookViewId="0">
      <selection activeCell="D26" sqref="D26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2.28515625" style="153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5.14062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18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375+328+328</f>
        <v>1031</v>
      </c>
    </row>
    <row r="7" spans="1:18" ht="13.5" customHeight="1" thickBot="1">
      <c r="A7" s="810" t="s">
        <v>694</v>
      </c>
      <c r="B7" s="217" t="s">
        <v>518</v>
      </c>
      <c r="C7" s="218">
        <v>13305</v>
      </c>
      <c r="D7" s="219"/>
      <c r="E7" s="220"/>
      <c r="F7" s="231">
        <v>15</v>
      </c>
      <c r="G7" s="558" t="s">
        <v>11</v>
      </c>
      <c r="H7" s="559" t="s">
        <v>526</v>
      </c>
      <c r="I7" s="813" t="s">
        <v>730</v>
      </c>
      <c r="J7" s="216" t="str">
        <f>+'17'!J7</f>
        <v>T 12,5 VP OW</v>
      </c>
      <c r="K7" s="237"/>
      <c r="L7" s="241"/>
      <c r="M7" s="121">
        <f>+K7+'17'!M7+L7</f>
        <v>43580</v>
      </c>
    </row>
    <row r="8" spans="1:18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+'17'!J8</f>
        <v>F 12.5 VP OW</v>
      </c>
      <c r="K8" s="238"/>
      <c r="L8" s="238"/>
      <c r="M8" s="121">
        <f>+K8+'17'!M8+L8</f>
        <v>111865</v>
      </c>
      <c r="N8" s="153">
        <v>1400</v>
      </c>
      <c r="O8" s="153">
        <f>+N8-N8*0.25</f>
        <v>1050</v>
      </c>
    </row>
    <row r="9" spans="1:18" ht="13.5" thickBot="1">
      <c r="A9" s="811"/>
      <c r="B9" s="217"/>
      <c r="C9" s="218"/>
      <c r="D9" s="219"/>
      <c r="E9" s="222"/>
      <c r="F9" s="231">
        <v>8</v>
      </c>
      <c r="G9" s="560" t="s">
        <v>11</v>
      </c>
      <c r="H9" s="561" t="s">
        <v>428</v>
      </c>
      <c r="I9" s="814"/>
      <c r="J9" s="216" t="str">
        <f>+'17'!J9</f>
        <v>F 13 VP OW</v>
      </c>
      <c r="K9" s="238"/>
      <c r="L9" s="238"/>
      <c r="M9" s="121">
        <f>+K9+'17'!M9+L9</f>
        <v>100014</v>
      </c>
    </row>
    <row r="10" spans="1:18" ht="13.5" thickBot="1">
      <c r="A10" s="811"/>
      <c r="B10" s="217"/>
      <c r="C10" s="218"/>
      <c r="D10" s="219"/>
      <c r="E10" s="221"/>
      <c r="F10" s="231"/>
      <c r="G10" s="558"/>
      <c r="H10" s="561" t="s">
        <v>709</v>
      </c>
      <c r="I10" s="814"/>
      <c r="J10" s="216" t="str">
        <f>+'17'!J10</f>
        <v>T 12 VP OW</v>
      </c>
      <c r="K10" s="238"/>
      <c r="L10" s="238"/>
      <c r="M10" s="121">
        <f>+K10+'17'!M10+L10</f>
        <v>23281</v>
      </c>
    </row>
    <row r="11" spans="1:18" ht="64.5" thickBot="1">
      <c r="A11" s="811"/>
      <c r="B11" s="217"/>
      <c r="C11" s="218"/>
      <c r="D11" s="219"/>
      <c r="E11" s="221"/>
      <c r="F11" s="481"/>
      <c r="G11" s="482"/>
      <c r="H11" s="230" t="s">
        <v>710</v>
      </c>
      <c r="I11" s="814"/>
      <c r="J11" s="216" t="str">
        <f>+'17'!J11</f>
        <v>T 13,5 VP OW</v>
      </c>
      <c r="K11" s="238"/>
      <c r="L11" s="238"/>
      <c r="M11" s="121">
        <f>+K11+'17'!M11+L11</f>
        <v>15672</v>
      </c>
    </row>
    <row r="12" spans="1:18" ht="26.25" thickBot="1">
      <c r="A12" s="811"/>
      <c r="B12" s="217"/>
      <c r="C12" s="218"/>
      <c r="D12" s="219"/>
      <c r="E12" s="221"/>
      <c r="F12" s="228"/>
      <c r="G12" s="232"/>
      <c r="H12" s="233" t="s">
        <v>711</v>
      </c>
      <c r="I12" s="814"/>
      <c r="J12" s="216" t="str">
        <f>+'17'!J12</f>
        <v>F 12 VP OW</v>
      </c>
      <c r="K12" s="238">
        <f>+C34</f>
        <v>44657</v>
      </c>
      <c r="L12" s="238"/>
      <c r="M12" s="121">
        <f>+K12+'17'!M12+L12</f>
        <v>120824</v>
      </c>
      <c r="P12" s="178"/>
    </row>
    <row r="13" spans="1:18" ht="39" thickBot="1">
      <c r="A13" s="811"/>
      <c r="B13" s="217"/>
      <c r="C13" s="218"/>
      <c r="D13" s="218"/>
      <c r="E13" s="221"/>
      <c r="F13" s="228"/>
      <c r="G13" s="232"/>
      <c r="H13" s="233" t="s">
        <v>712</v>
      </c>
      <c r="I13" s="815"/>
      <c r="J13" s="216" t="str">
        <f>+'17'!J13</f>
        <v>T 12,5 VP OW</v>
      </c>
      <c r="K13" s="238"/>
      <c r="L13" s="238"/>
      <c r="M13" s="121">
        <f>+K13+'17'!M13+L13</f>
        <v>237920</v>
      </c>
      <c r="Q13" s="178"/>
      <c r="R13" s="178"/>
    </row>
    <row r="14" spans="1:18" ht="13.5" thickBot="1">
      <c r="A14" s="812"/>
      <c r="B14" s="169" t="s">
        <v>2</v>
      </c>
      <c r="C14" s="103">
        <f>SUM(C7:C13)</f>
        <v>13305</v>
      </c>
      <c r="D14" s="115">
        <f>SUM(D7:D13)</f>
        <v>0</v>
      </c>
      <c r="E14" s="116">
        <f>SUM(E5:E13)</f>
        <v>0</v>
      </c>
      <c r="F14" s="106">
        <f>SUM(F6:F13)</f>
        <v>23</v>
      </c>
      <c r="G14" s="163"/>
      <c r="H14" s="170"/>
      <c r="I14" s="171"/>
      <c r="J14" s="216" t="str">
        <f>+'17'!J14</f>
        <v>T 14 VP OW</v>
      </c>
      <c r="K14" s="238"/>
      <c r="L14" s="238"/>
      <c r="M14" s="121">
        <f>+K14+'17'!M14+L14</f>
        <v>88884</v>
      </c>
    </row>
    <row r="15" spans="1:18" ht="13.5" customHeight="1" thickBot="1">
      <c r="A15" s="810" t="s">
        <v>415</v>
      </c>
      <c r="B15" s="510"/>
      <c r="C15" s="117">
        <f>C14/($C$23+$D$23+$E$23)</f>
        <v>0.74663299663299665</v>
      </c>
      <c r="D15" s="118">
        <f>D14/($C$23+$D$23+$E$23)</f>
        <v>0</v>
      </c>
      <c r="E15" s="119">
        <f>E14/($C$23+$D$23+$E$23)</f>
        <v>0</v>
      </c>
      <c r="F15" s="231">
        <v>10</v>
      </c>
      <c r="G15" s="558" t="s">
        <v>11</v>
      </c>
      <c r="H15" s="559" t="s">
        <v>456</v>
      </c>
      <c r="I15" s="813" t="s">
        <v>730</v>
      </c>
      <c r="J15" s="216" t="str">
        <f>+'17'!J15</f>
        <v>T 15 VP OW</v>
      </c>
      <c r="K15" s="238"/>
      <c r="L15" s="238"/>
      <c r="M15" s="121">
        <f>+K15+'17'!M15+L15</f>
        <v>55010</v>
      </c>
    </row>
    <row r="16" spans="1:18" ht="13.5" thickBot="1">
      <c r="A16" s="816"/>
      <c r="B16" s="512" t="s">
        <v>518</v>
      </c>
      <c r="C16" s="511">
        <v>17820</v>
      </c>
      <c r="D16" s="223"/>
      <c r="E16" s="224"/>
      <c r="F16" s="231"/>
      <c r="G16" s="560" t="s">
        <v>11</v>
      </c>
      <c r="H16" s="559" t="s">
        <v>426</v>
      </c>
      <c r="I16" s="814"/>
      <c r="J16" s="216" t="str">
        <f>+'17'!J16</f>
        <v>T 17 VP OW</v>
      </c>
      <c r="K16" s="229"/>
      <c r="L16" s="229"/>
      <c r="M16" s="121">
        <f>+K16+'17'!M16+L16</f>
        <v>22278</v>
      </c>
      <c r="N16" s="178"/>
      <c r="O16" s="178"/>
      <c r="P16" s="178"/>
    </row>
    <row r="17" spans="1:16" ht="13.5" thickBot="1">
      <c r="A17" s="816"/>
      <c r="B17" s="217"/>
      <c r="C17" s="218"/>
      <c r="D17" s="219"/>
      <c r="E17" s="225"/>
      <c r="F17" s="231">
        <v>10</v>
      </c>
      <c r="G17" s="560" t="s">
        <v>11</v>
      </c>
      <c r="H17" s="561" t="s">
        <v>455</v>
      </c>
      <c r="I17" s="814"/>
      <c r="J17" s="216">
        <f>+'17'!J17</f>
        <v>0</v>
      </c>
      <c r="K17" s="229"/>
      <c r="L17" s="229"/>
      <c r="M17" s="121">
        <f>+K17+'17'!M17+L17</f>
        <v>0</v>
      </c>
      <c r="N17" s="178"/>
      <c r="O17" s="178"/>
      <c r="P17" s="178"/>
    </row>
    <row r="18" spans="1:16" ht="13.5" thickBot="1">
      <c r="A18" s="816"/>
      <c r="B18" s="217"/>
      <c r="C18" s="218"/>
      <c r="D18" s="219"/>
      <c r="E18" s="225"/>
      <c r="F18" s="231"/>
      <c r="G18" s="558"/>
      <c r="H18" s="561" t="s">
        <v>709</v>
      </c>
      <c r="I18" s="814"/>
      <c r="J18" s="216">
        <f>+'17'!J18</f>
        <v>0</v>
      </c>
      <c r="K18" s="238"/>
      <c r="L18" s="238"/>
      <c r="M18" s="121">
        <f>+K18+'17'!M18+L18</f>
        <v>0</v>
      </c>
    </row>
    <row r="19" spans="1:16" ht="13.5" thickBot="1">
      <c r="A19" s="816"/>
      <c r="B19" s="217"/>
      <c r="C19" s="218"/>
      <c r="D19" s="219"/>
      <c r="E19" s="225"/>
      <c r="F19" s="228"/>
      <c r="G19" s="232"/>
      <c r="H19" s="230" t="s">
        <v>713</v>
      </c>
      <c r="I19" s="814"/>
      <c r="J19" s="216">
        <f>+'17'!J19</f>
        <v>0</v>
      </c>
      <c r="K19" s="238"/>
      <c r="L19" s="238"/>
      <c r="M19" s="121">
        <f>+K19+'17'!M19+L19</f>
        <v>0</v>
      </c>
    </row>
    <row r="20" spans="1:16" ht="26.25" thickBot="1">
      <c r="A20" s="816"/>
      <c r="B20" s="217"/>
      <c r="C20" s="218"/>
      <c r="D20" s="219"/>
      <c r="E20" s="225"/>
      <c r="F20" s="228"/>
      <c r="G20" s="232"/>
      <c r="H20" s="233" t="s">
        <v>714</v>
      </c>
      <c r="I20" s="814"/>
      <c r="J20" s="216">
        <f>+'17'!J20</f>
        <v>0</v>
      </c>
      <c r="K20" s="239"/>
      <c r="L20" s="239"/>
      <c r="M20" s="121">
        <f>+K20+'17'!M20+L20</f>
        <v>0</v>
      </c>
    </row>
    <row r="21" spans="1:16" ht="13.5" thickBot="1">
      <c r="A21" s="816"/>
      <c r="B21" s="217"/>
      <c r="C21" s="218"/>
      <c r="D21" s="219"/>
      <c r="E21" s="225"/>
      <c r="F21" s="231"/>
      <c r="G21" s="232"/>
      <c r="H21" s="233" t="s">
        <v>715</v>
      </c>
      <c r="I21" s="814"/>
      <c r="J21" s="216">
        <f>+'17'!J21</f>
        <v>0</v>
      </c>
      <c r="K21" s="238"/>
      <c r="L21" s="238"/>
      <c r="M21" s="121">
        <f>+K21+'17'!M21+L21</f>
        <v>0</v>
      </c>
    </row>
    <row r="22" spans="1:16" ht="13.5" thickBot="1">
      <c r="A22" s="816"/>
      <c r="B22" s="217"/>
      <c r="C22" s="218"/>
      <c r="D22" s="219"/>
      <c r="E22" s="225"/>
      <c r="F22" s="235"/>
      <c r="G22" s="232"/>
      <c r="H22" s="233" t="s">
        <v>716</v>
      </c>
      <c r="I22" s="815"/>
      <c r="J22" s="216">
        <f>+'17'!J22</f>
        <v>0</v>
      </c>
      <c r="K22" s="238"/>
      <c r="L22" s="238"/>
      <c r="M22" s="121">
        <f>+K22+'17'!M22+L22</f>
        <v>0</v>
      </c>
    </row>
    <row r="23" spans="1:16" ht="13.5" thickBot="1">
      <c r="A23" s="817"/>
      <c r="B23" s="169" t="s">
        <v>2</v>
      </c>
      <c r="C23" s="103">
        <f>SUM(C16:C22)</f>
        <v>17820</v>
      </c>
      <c r="D23" s="115">
        <f>SUM(D16:D22)</f>
        <v>0</v>
      </c>
      <c r="E23" s="116">
        <f>SUM(E18:E22)</f>
        <v>0</v>
      </c>
      <c r="F23" s="106">
        <f>SUM(F15:F22)</f>
        <v>20</v>
      </c>
      <c r="G23" s="163"/>
      <c r="H23" s="170"/>
      <c r="I23" s="172"/>
      <c r="J23" s="216">
        <f>+'17'!J23</f>
        <v>0</v>
      </c>
      <c r="K23" s="238"/>
      <c r="L23" s="238"/>
      <c r="M23" s="121">
        <f>+K23+'17'!M23+L23</f>
        <v>0</v>
      </c>
    </row>
    <row r="24" spans="1:16" ht="13.5" customHeight="1" thickBot="1">
      <c r="A24" s="810" t="s">
        <v>374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10</v>
      </c>
      <c r="G24" s="558" t="s">
        <v>11</v>
      </c>
      <c r="H24" s="559" t="s">
        <v>456</v>
      </c>
      <c r="I24" s="813" t="s">
        <v>730</v>
      </c>
      <c r="J24" s="216">
        <f>+'17'!J24</f>
        <v>0</v>
      </c>
      <c r="K24" s="238"/>
      <c r="L24" s="238"/>
      <c r="M24" s="121">
        <f>+K24+'17'!M24+L24</f>
        <v>0</v>
      </c>
    </row>
    <row r="25" spans="1:16" ht="13.5" thickBot="1">
      <c r="A25" s="818"/>
      <c r="B25" s="217" t="s">
        <v>518</v>
      </c>
      <c r="C25" s="226">
        <v>13532</v>
      </c>
      <c r="D25" s="219">
        <v>250</v>
      </c>
      <c r="E25" s="225"/>
      <c r="F25" s="231">
        <v>4</v>
      </c>
      <c r="G25" s="560" t="s">
        <v>11</v>
      </c>
      <c r="H25" s="559" t="s">
        <v>513</v>
      </c>
      <c r="I25" s="814"/>
      <c r="J25" s="216">
        <f>+'17'!J25</f>
        <v>0</v>
      </c>
      <c r="K25" s="238"/>
      <c r="L25" s="238"/>
      <c r="M25" s="121">
        <f>+K25+'17'!M25+L25</f>
        <v>0</v>
      </c>
      <c r="N25" s="178"/>
      <c r="O25" s="178"/>
      <c r="P25" s="178"/>
    </row>
    <row r="26" spans="1:16" ht="13.5" thickBot="1">
      <c r="A26" s="818"/>
      <c r="B26" s="217"/>
      <c r="C26" s="226"/>
      <c r="D26" s="219"/>
      <c r="E26" s="227"/>
      <c r="F26" s="231">
        <v>10</v>
      </c>
      <c r="G26" s="560" t="s">
        <v>11</v>
      </c>
      <c r="H26" s="561" t="s">
        <v>428</v>
      </c>
      <c r="I26" s="814"/>
      <c r="J26" s="216">
        <f>+'17'!J26</f>
        <v>0</v>
      </c>
      <c r="K26" s="238"/>
      <c r="L26" s="238"/>
      <c r="M26" s="121">
        <f>+K26+'17'!M26+L26</f>
        <v>0</v>
      </c>
    </row>
    <row r="27" spans="1:16" ht="13.5" thickBot="1">
      <c r="A27" s="818"/>
      <c r="B27" s="217"/>
      <c r="C27" s="218"/>
      <c r="D27" s="219"/>
      <c r="E27" s="225"/>
      <c r="F27" s="231"/>
      <c r="G27" s="558"/>
      <c r="H27" s="561" t="s">
        <v>709</v>
      </c>
      <c r="I27" s="814"/>
      <c r="J27" s="216">
        <f>+'17'!J27</f>
        <v>0</v>
      </c>
      <c r="K27" s="238"/>
      <c r="L27" s="238"/>
      <c r="M27" s="121">
        <f>+K27+'17'!M27+L27</f>
        <v>0</v>
      </c>
    </row>
    <row r="28" spans="1:16" ht="26.25" thickBot="1">
      <c r="A28" s="818"/>
      <c r="B28" s="217"/>
      <c r="C28" s="218"/>
      <c r="D28" s="219"/>
      <c r="E28" s="225"/>
      <c r="F28" s="228"/>
      <c r="G28" s="232"/>
      <c r="H28" s="230" t="s">
        <v>719</v>
      </c>
      <c r="I28" s="814"/>
      <c r="J28" s="216">
        <f>+'17'!J28</f>
        <v>0</v>
      </c>
      <c r="K28" s="238"/>
      <c r="L28" s="238"/>
      <c r="M28" s="121">
        <f>+K28+'17'!M28+L28</f>
        <v>0</v>
      </c>
    </row>
    <row r="29" spans="1:16" ht="26.25" thickBot="1">
      <c r="A29" s="818"/>
      <c r="B29" s="217"/>
      <c r="C29" s="218"/>
      <c r="D29" s="219"/>
      <c r="E29" s="225"/>
      <c r="F29" s="235"/>
      <c r="G29" s="232"/>
      <c r="H29" s="233" t="s">
        <v>720</v>
      </c>
      <c r="I29" s="814"/>
      <c r="J29" s="216">
        <f>+'17'!J29</f>
        <v>0</v>
      </c>
      <c r="K29" s="238"/>
      <c r="L29" s="238"/>
      <c r="M29" s="121">
        <f>+K29+'17'!M29+L29</f>
        <v>0</v>
      </c>
    </row>
    <row r="30" spans="1:16" ht="39" thickBot="1">
      <c r="A30" s="818"/>
      <c r="B30" s="217"/>
      <c r="C30" s="226"/>
      <c r="D30" s="219"/>
      <c r="E30" s="225"/>
      <c r="F30" s="235"/>
      <c r="G30" s="232"/>
      <c r="H30" s="233" t="s">
        <v>717</v>
      </c>
      <c r="I30" s="814"/>
      <c r="J30" s="216">
        <f>+'17'!J30</f>
        <v>0</v>
      </c>
      <c r="K30" s="238"/>
      <c r="L30" s="238"/>
      <c r="M30" s="121">
        <f>+K30+'17'!M30+L30</f>
        <v>0</v>
      </c>
      <c r="N30" s="159"/>
    </row>
    <row r="31" spans="1:16" ht="26.25" thickBot="1">
      <c r="A31" s="818"/>
      <c r="B31" s="217"/>
      <c r="C31" s="226"/>
      <c r="D31" s="219"/>
      <c r="E31" s="225"/>
      <c r="F31" s="235"/>
      <c r="G31" s="236"/>
      <c r="H31" s="233" t="s">
        <v>718</v>
      </c>
      <c r="I31" s="815"/>
      <c r="J31" s="216">
        <f>+'17'!J31</f>
        <v>0</v>
      </c>
      <c r="K31" s="238"/>
      <c r="L31" s="238"/>
      <c r="M31" s="121">
        <f>+K31+'17'!M31+L31</f>
        <v>0</v>
      </c>
    </row>
    <row r="32" spans="1:16" ht="13.5" thickBot="1">
      <c r="A32" s="819"/>
      <c r="B32" s="169" t="s">
        <v>2</v>
      </c>
      <c r="C32" s="103">
        <f>SUM(C25:C31)</f>
        <v>13532</v>
      </c>
      <c r="D32" s="104">
        <f>SUM(D25:D31)</f>
        <v>250</v>
      </c>
      <c r="E32" s="105">
        <f>SUM(E25:E31)</f>
        <v>0</v>
      </c>
      <c r="F32" s="103">
        <f>SUM(F24:F31)</f>
        <v>24</v>
      </c>
      <c r="G32" s="173"/>
      <c r="H32" s="174"/>
      <c r="I32" s="172"/>
      <c r="J32" s="216">
        <f>+'17'!J32</f>
        <v>0</v>
      </c>
      <c r="K32" s="240"/>
      <c r="L32" s="242"/>
      <c r="M32" s="121">
        <f>+K32+'17'!M32+L32</f>
        <v>0</v>
      </c>
    </row>
    <row r="33" spans="1:14" ht="13.5" thickBot="1">
      <c r="A33" s="175"/>
      <c r="B33" s="176"/>
      <c r="C33" s="107">
        <f>C32/($C$32+$D$32+$E$32)</f>
        <v>0.98186039762008415</v>
      </c>
      <c r="D33" s="108">
        <f>D32/($C$32+$D$32+$E$32)</f>
        <v>1.8139602379915833E-2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44657</v>
      </c>
      <c r="D34" s="111">
        <f>D14+D23+D32</f>
        <v>250</v>
      </c>
      <c r="E34" s="111">
        <f>E14+E23+E32</f>
        <v>0</v>
      </c>
      <c r="F34" s="112">
        <f>F14+F23+F32</f>
        <v>67</v>
      </c>
      <c r="H34" s="180"/>
      <c r="I34" s="180"/>
      <c r="J34" s="127" t="s">
        <v>27</v>
      </c>
      <c r="K34" s="128">
        <f>SUM(K7:K32)</f>
        <v>44657</v>
      </c>
      <c r="L34" s="214">
        <f>SUM(L7:L32)</f>
        <v>0</v>
      </c>
      <c r="M34" s="124">
        <f>SUM(M7:M32)</f>
        <v>819328</v>
      </c>
      <c r="N34" s="159"/>
    </row>
    <row r="35" spans="1:14" ht="13.5" thickBot="1">
      <c r="A35" s="181"/>
      <c r="B35" s="182"/>
      <c r="C35" s="108">
        <f>C34/($C$34+$D$34+$E$34)</f>
        <v>0.99443293918542763</v>
      </c>
      <c r="D35" s="108">
        <f>D34/($C$34+$D$34+$E$34)</f>
        <v>5.5670608145723388E-3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(12*1440)/1440*G42*2.85*1440/1000000</f>
        <v>51.7104</v>
      </c>
      <c r="J37" s="129">
        <f>+I37+'17'!J37</f>
        <v>960.94260286617782</v>
      </c>
      <c r="K37" s="130" t="s">
        <v>74</v>
      </c>
    </row>
    <row r="38" spans="1:14" ht="17.45" customHeight="1">
      <c r="A38" s="824" t="s">
        <v>11</v>
      </c>
      <c r="B38" s="825"/>
      <c r="C38" s="168">
        <f>SUMIF($G$7:$G$31,"Process",$F$7:$F$31)</f>
        <v>67</v>
      </c>
      <c r="D38" s="122">
        <f>+C38+'17'!D38</f>
        <v>996</v>
      </c>
      <c r="E38" s="147">
        <f t="shared" ref="E38:E51" si="0">D38/60</f>
        <v>16.600000000000001</v>
      </c>
      <c r="F38" s="334">
        <v>1400</v>
      </c>
      <c r="G38" s="334">
        <f t="shared" ref="G38:G40" si="1">+F38-F38*0.25</f>
        <v>1050</v>
      </c>
      <c r="H38" s="189" t="s">
        <v>75</v>
      </c>
      <c r="I38" s="513">
        <f>15.154+15.429+14.952</f>
        <v>45.534999999999997</v>
      </c>
      <c r="J38" s="131">
        <f>+I38+'17'!J38</f>
        <v>872.11</v>
      </c>
      <c r="K38" s="132" t="s">
        <v>74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+C39+'17'!D39</f>
        <v>0</v>
      </c>
      <c r="E39" s="147">
        <f t="shared" si="0"/>
        <v>0</v>
      </c>
      <c r="F39" s="334">
        <v>1400</v>
      </c>
      <c r="G39" s="334">
        <f t="shared" si="1"/>
        <v>1050</v>
      </c>
      <c r="H39" s="189" t="s">
        <v>76</v>
      </c>
      <c r="I39" s="146"/>
      <c r="J39" s="133">
        <f>J37/G4</f>
        <v>53.385700159232101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+C40+'17'!D40</f>
        <v>101</v>
      </c>
      <c r="E40" s="147">
        <f t="shared" ca="1" si="0"/>
        <v>1.6833333333333333</v>
      </c>
      <c r="F40" s="334">
        <v>1400</v>
      </c>
      <c r="G40" s="334">
        <f t="shared" si="1"/>
        <v>1050</v>
      </c>
      <c r="H40" s="189" t="s">
        <v>78</v>
      </c>
      <c r="I40" s="122">
        <f>(K34+L34)/1000</f>
        <v>44.656999999999996</v>
      </c>
      <c r="J40" s="135">
        <f>+I40+'17'!J40</f>
        <v>819.3280000000002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+C41+'17'!D41</f>
        <v>50</v>
      </c>
      <c r="E41" s="147">
        <f t="shared" ca="1" si="0"/>
        <v>0.83333333333333337</v>
      </c>
      <c r="F41" s="334"/>
      <c r="G41" s="334"/>
      <c r="H41" s="189" t="s">
        <v>80</v>
      </c>
      <c r="I41" s="146"/>
      <c r="J41" s="133">
        <f>J40/G4</f>
        <v>45.518222222222235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+C42+'17'!D42</f>
        <v>0</v>
      </c>
      <c r="E42" s="147">
        <f t="shared" ca="1" si="0"/>
        <v>0</v>
      </c>
      <c r="F42" s="334">
        <f>+(F38*480+F39*480+F40*480)/1440</f>
        <v>1400</v>
      </c>
      <c r="G42" s="334">
        <f>+(G38*480+G39*480+G40*480)/1440</f>
        <v>1050</v>
      </c>
      <c r="H42" s="189" t="s">
        <v>81</v>
      </c>
      <c r="I42" s="245" t="s">
        <v>730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+C43+'17'!D43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+Report1!Z26</f>
        <v>126.7</v>
      </c>
      <c r="J43" s="137">
        <f>+I43+'17'!J43</f>
        <v>2205.4999999999995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+C44+'17'!D44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2.7824750192159882</v>
      </c>
      <c r="J44" s="138">
        <f>J43/J38</f>
        <v>2.5289241036107826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+C45+'17'!D45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2.837181181001859</v>
      </c>
      <c r="J45" s="138">
        <f>J43/J40</f>
        <v>2.6918401421652853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+C46+'17'!D46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+SUMIF(Listrik!AN25,"&gt;0")</f>
        <v>52391.969999999812</v>
      </c>
      <c r="J46" s="139">
        <f>+I46+'17'!J46</f>
        <v>874842.30759999948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+C47+'17'!D47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1150.5868013615859</v>
      </c>
      <c r="J47" s="139">
        <f>J46/J38</f>
        <v>1003.1329850592235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+C48+'17'!D48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1173.2084555612741</v>
      </c>
      <c r="J48" s="139">
        <f>J46/J40</f>
        <v>1067.7559019098569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+C49+'17'!D49</f>
        <v>545</v>
      </c>
      <c r="E49" s="147">
        <f t="shared" si="0"/>
        <v>9.0833333333333339</v>
      </c>
      <c r="F49" s="187"/>
      <c r="H49" s="190" t="s">
        <v>93</v>
      </c>
      <c r="I49" s="122">
        <v>0</v>
      </c>
      <c r="J49" s="139">
        <f>+I49+'17'!J49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+C50+'17'!D50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+C51+'17'!D51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67</v>
      </c>
      <c r="D52" s="148">
        <f ca="1">SUM(D38:D51)</f>
        <v>1692</v>
      </c>
      <c r="E52" s="149">
        <f ca="1">SUM(E38:E51)</f>
        <v>28.200000000000003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4.6527777777777779E-2</v>
      </c>
      <c r="D53" s="150">
        <f ca="1">D52/(24*60*G4)</f>
        <v>6.5277777777777782E-2</v>
      </c>
      <c r="E53" s="151">
        <f ca="1">E52/(G4*24)</f>
        <v>6.5277777777777782E-2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+D34+'17'!J56</f>
        <v>10131</v>
      </c>
      <c r="K56" s="203">
        <f>J56/(J40+J56/1000)/1000</f>
        <v>1.2213985260272054E-2</v>
      </c>
    </row>
    <row r="57" spans="1:11">
      <c r="A57" s="178"/>
      <c r="I57" s="201" t="s">
        <v>100</v>
      </c>
      <c r="J57" s="202">
        <f>+E34+'17'!J57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F42" sqref="F42:G4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4" width="14.28515625" style="153" bestFit="1" customWidth="1"/>
    <col min="15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17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409+397+363</f>
        <v>1169</v>
      </c>
    </row>
    <row r="7" spans="1:18" ht="13.5" customHeight="1" thickBot="1">
      <c r="A7" s="810" t="s">
        <v>694</v>
      </c>
      <c r="B7" s="217" t="s">
        <v>399</v>
      </c>
      <c r="C7" s="218">
        <v>15653</v>
      </c>
      <c r="D7" s="219"/>
      <c r="E7" s="220"/>
      <c r="F7" s="231">
        <v>10</v>
      </c>
      <c r="G7" s="558" t="s">
        <v>11</v>
      </c>
      <c r="H7" s="559" t="s">
        <v>456</v>
      </c>
      <c r="I7" s="813" t="s">
        <v>706</v>
      </c>
      <c r="J7" s="216" t="str">
        <f>+'16'!J7</f>
        <v>T 12,5 VP OW</v>
      </c>
      <c r="K7" s="237"/>
      <c r="L7" s="241"/>
      <c r="M7" s="121">
        <f>+K7+'16'!M7+L7</f>
        <v>43580</v>
      </c>
    </row>
    <row r="8" spans="1:18" ht="13.5" thickBot="1">
      <c r="A8" s="811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+'16'!J8</f>
        <v>F 12.5 VP OW</v>
      </c>
      <c r="K8" s="238"/>
      <c r="L8" s="238"/>
      <c r="M8" s="121">
        <f>+K8+'16'!M8+L8</f>
        <v>111865</v>
      </c>
      <c r="N8" s="153">
        <v>1350</v>
      </c>
      <c r="O8" s="153">
        <f>+N8-N8*0.25</f>
        <v>1012.5</v>
      </c>
    </row>
    <row r="9" spans="1:18" ht="13.5" thickBot="1">
      <c r="A9" s="811"/>
      <c r="B9" s="217"/>
      <c r="C9" s="218"/>
      <c r="D9" s="219"/>
      <c r="E9" s="222"/>
      <c r="F9" s="231">
        <v>10</v>
      </c>
      <c r="G9" s="560" t="s">
        <v>11</v>
      </c>
      <c r="H9" s="561" t="s">
        <v>455</v>
      </c>
      <c r="I9" s="814"/>
      <c r="J9" s="216" t="str">
        <f>+'16'!J9</f>
        <v>F 13 VP OW</v>
      </c>
      <c r="K9" s="238">
        <f>+C7+C16+C25</f>
        <v>39992</v>
      </c>
      <c r="L9" s="238"/>
      <c r="M9" s="121">
        <f>+K9+'16'!M9+L9</f>
        <v>100014</v>
      </c>
    </row>
    <row r="10" spans="1:18" ht="13.5" thickBot="1">
      <c r="A10" s="811"/>
      <c r="B10" s="217"/>
      <c r="C10" s="218"/>
      <c r="D10" s="219"/>
      <c r="E10" s="221"/>
      <c r="F10" s="231"/>
      <c r="G10" s="558"/>
      <c r="H10" s="561" t="s">
        <v>696</v>
      </c>
      <c r="I10" s="814"/>
      <c r="J10" s="216" t="str">
        <f>+'16'!J10</f>
        <v>T 12 VP OW</v>
      </c>
      <c r="K10" s="238"/>
      <c r="L10" s="238"/>
      <c r="M10" s="121">
        <f>+K10+'16'!M10+L10</f>
        <v>23281</v>
      </c>
    </row>
    <row r="11" spans="1:18" ht="13.5" thickBot="1">
      <c r="A11" s="811"/>
      <c r="B11" s="217"/>
      <c r="C11" s="218"/>
      <c r="D11" s="219"/>
      <c r="E11" s="221"/>
      <c r="F11" s="481"/>
      <c r="G11" s="482"/>
      <c r="H11" s="230" t="s">
        <v>697</v>
      </c>
      <c r="I11" s="814"/>
      <c r="J11" s="216" t="str">
        <f>+'16'!J11</f>
        <v>T 13,5 VP OW</v>
      </c>
      <c r="K11" s="238"/>
      <c r="L11" s="238"/>
      <c r="M11" s="121">
        <f>+K11+'16'!M11+L11</f>
        <v>15672</v>
      </c>
      <c r="P11" s="178"/>
    </row>
    <row r="12" spans="1:18" ht="13.5" thickBot="1">
      <c r="A12" s="811"/>
      <c r="B12" s="217"/>
      <c r="C12" s="218"/>
      <c r="D12" s="219"/>
      <c r="E12" s="221"/>
      <c r="F12" s="228"/>
      <c r="G12" s="232"/>
      <c r="H12" s="233" t="s">
        <v>698</v>
      </c>
      <c r="I12" s="814"/>
      <c r="J12" s="216" t="str">
        <f>+'16'!J12</f>
        <v>F 12 VP OW</v>
      </c>
      <c r="K12" s="238">
        <f>+C26</f>
        <v>6863</v>
      </c>
      <c r="L12" s="238"/>
      <c r="M12" s="121">
        <f>+K12+'16'!M12+L12</f>
        <v>76167</v>
      </c>
      <c r="Q12" s="178"/>
      <c r="R12" s="178"/>
    </row>
    <row r="13" spans="1:18" ht="13.5" thickBot="1">
      <c r="A13" s="811"/>
      <c r="B13" s="217"/>
      <c r="C13" s="218"/>
      <c r="D13" s="218"/>
      <c r="E13" s="221"/>
      <c r="F13" s="228"/>
      <c r="G13" s="232"/>
      <c r="H13" s="233"/>
      <c r="I13" s="815"/>
      <c r="J13" s="216" t="str">
        <f>+'16'!J13</f>
        <v>T 12,5 VP OW</v>
      </c>
      <c r="K13" s="238"/>
      <c r="L13" s="238"/>
      <c r="M13" s="121">
        <f>+K13+'16'!M13+L13</f>
        <v>237920</v>
      </c>
    </row>
    <row r="14" spans="1:18" ht="13.5" thickBot="1">
      <c r="A14" s="812"/>
      <c r="B14" s="169" t="s">
        <v>2</v>
      </c>
      <c r="C14" s="103">
        <f>SUM(C7:C13)</f>
        <v>15653</v>
      </c>
      <c r="D14" s="115">
        <f>SUM(D7:D13)</f>
        <v>0</v>
      </c>
      <c r="E14" s="116">
        <f>SUM(E5:E13)</f>
        <v>0</v>
      </c>
      <c r="F14" s="106">
        <f>SUM(F6:F13)</f>
        <v>20</v>
      </c>
      <c r="G14" s="163"/>
      <c r="H14" s="170"/>
      <c r="I14" s="171"/>
      <c r="J14" s="216" t="str">
        <f>+'16'!J14</f>
        <v>T 14 VP OW</v>
      </c>
      <c r="K14" s="238"/>
      <c r="L14" s="238"/>
      <c r="M14" s="121">
        <f>+K14+'16'!M14+L14</f>
        <v>88884</v>
      </c>
    </row>
    <row r="15" spans="1:18" ht="13.5" thickBot="1">
      <c r="A15" s="810" t="s">
        <v>467</v>
      </c>
      <c r="B15" s="510"/>
      <c r="C15" s="117">
        <f>C14/($C$23+$D$23+$E$23)</f>
        <v>1.0482153619500436</v>
      </c>
      <c r="D15" s="118">
        <f>D14/($C$23+$D$23+$E$23)</f>
        <v>0</v>
      </c>
      <c r="E15" s="119">
        <f>E14/($C$23+$D$23+$E$23)</f>
        <v>0</v>
      </c>
      <c r="F15" s="231"/>
      <c r="G15" s="558" t="s">
        <v>11</v>
      </c>
      <c r="H15" s="559" t="s">
        <v>404</v>
      </c>
      <c r="I15" s="813" t="s">
        <v>706</v>
      </c>
      <c r="J15" s="216" t="str">
        <f>+'16'!J15</f>
        <v>T 15 VP OW</v>
      </c>
      <c r="K15" s="238"/>
      <c r="L15" s="238"/>
      <c r="M15" s="121">
        <f>+K15+'16'!M15+L15</f>
        <v>55010</v>
      </c>
    </row>
    <row r="16" spans="1:18" ht="13.5" thickBot="1">
      <c r="A16" s="816"/>
      <c r="B16" s="217" t="s">
        <v>399</v>
      </c>
      <c r="C16" s="511">
        <v>14933</v>
      </c>
      <c r="D16" s="223"/>
      <c r="E16" s="224"/>
      <c r="F16" s="231"/>
      <c r="G16" s="560" t="s">
        <v>11</v>
      </c>
      <c r="H16" s="559" t="s">
        <v>426</v>
      </c>
      <c r="I16" s="814"/>
      <c r="J16" s="216" t="str">
        <f>+'16'!J16</f>
        <v>T 17 VP OW</v>
      </c>
      <c r="K16" s="229"/>
      <c r="L16" s="229"/>
      <c r="M16" s="121">
        <f>+K16+'16'!M16+L16</f>
        <v>22278</v>
      </c>
    </row>
    <row r="17" spans="1:18" ht="13.5" thickBot="1">
      <c r="A17" s="816"/>
      <c r="B17" s="217"/>
      <c r="C17" s="218"/>
      <c r="D17" s="219"/>
      <c r="E17" s="225"/>
      <c r="F17" s="231">
        <v>12</v>
      </c>
      <c r="G17" s="560" t="s">
        <v>11</v>
      </c>
      <c r="H17" s="561" t="s">
        <v>428</v>
      </c>
      <c r="I17" s="814"/>
      <c r="J17" s="216">
        <f>+'16'!J17</f>
        <v>0</v>
      </c>
      <c r="K17" s="229"/>
      <c r="L17" s="229"/>
      <c r="M17" s="121">
        <f>+K17+'16'!M17+L17</f>
        <v>0</v>
      </c>
      <c r="N17" s="153">
        <v>1350</v>
      </c>
      <c r="O17" s="153">
        <f>+N17-N17*0.25</f>
        <v>1012.5</v>
      </c>
      <c r="P17" s="178"/>
    </row>
    <row r="18" spans="1:18" ht="13.5" thickBot="1">
      <c r="A18" s="816"/>
      <c r="B18" s="217"/>
      <c r="C18" s="218"/>
      <c r="D18" s="219"/>
      <c r="E18" s="225"/>
      <c r="F18" s="231"/>
      <c r="G18" s="558"/>
      <c r="H18" s="561" t="s">
        <v>699</v>
      </c>
      <c r="I18" s="814"/>
      <c r="J18" s="216">
        <f>+'16'!J18</f>
        <v>0</v>
      </c>
      <c r="K18" s="238"/>
      <c r="L18" s="238"/>
      <c r="M18" s="121">
        <f>+K18+'16'!M18+L18</f>
        <v>0</v>
      </c>
      <c r="Q18" s="178"/>
      <c r="R18" s="178"/>
    </row>
    <row r="19" spans="1:18" ht="13.5" thickBot="1">
      <c r="A19" s="816"/>
      <c r="B19" s="217"/>
      <c r="C19" s="218"/>
      <c r="D19" s="219"/>
      <c r="E19" s="225"/>
      <c r="F19" s="228"/>
      <c r="G19" s="232"/>
      <c r="H19" s="230" t="s">
        <v>700</v>
      </c>
      <c r="I19" s="814"/>
      <c r="J19" s="216">
        <f>+'16'!J19</f>
        <v>0</v>
      </c>
      <c r="K19" s="238"/>
      <c r="L19" s="238"/>
      <c r="M19" s="121">
        <f>+K19+'16'!M19+L19</f>
        <v>0</v>
      </c>
    </row>
    <row r="20" spans="1:18" ht="13.5" thickBot="1">
      <c r="A20" s="816"/>
      <c r="B20" s="217"/>
      <c r="C20" s="218"/>
      <c r="D20" s="219"/>
      <c r="E20" s="225"/>
      <c r="F20" s="228"/>
      <c r="G20" s="232"/>
      <c r="H20" s="233" t="s">
        <v>701</v>
      </c>
      <c r="I20" s="814"/>
      <c r="J20" s="216">
        <f>+'16'!J20</f>
        <v>0</v>
      </c>
      <c r="K20" s="239"/>
      <c r="L20" s="239"/>
      <c r="M20" s="121">
        <f>+K20+'16'!M20+L20</f>
        <v>0</v>
      </c>
    </row>
    <row r="21" spans="1:18" ht="13.5" thickBot="1">
      <c r="A21" s="816"/>
      <c r="B21" s="217"/>
      <c r="C21" s="218"/>
      <c r="D21" s="219"/>
      <c r="E21" s="225"/>
      <c r="F21" s="231"/>
      <c r="G21" s="232"/>
      <c r="H21" s="233"/>
      <c r="I21" s="814"/>
      <c r="J21" s="216">
        <f>+'16'!J21</f>
        <v>0</v>
      </c>
      <c r="K21" s="238"/>
      <c r="L21" s="238"/>
      <c r="M21" s="121">
        <f>+K21+'16'!M21+L21</f>
        <v>0</v>
      </c>
    </row>
    <row r="22" spans="1:18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+'16'!J22</f>
        <v>0</v>
      </c>
      <c r="K22" s="238"/>
      <c r="L22" s="238"/>
      <c r="M22" s="121">
        <f>+K22+'16'!M22+L22</f>
        <v>0</v>
      </c>
    </row>
    <row r="23" spans="1:18" ht="13.5" thickBot="1">
      <c r="A23" s="817"/>
      <c r="B23" s="169" t="s">
        <v>2</v>
      </c>
      <c r="C23" s="103">
        <f>SUM(C16:C22)</f>
        <v>14933</v>
      </c>
      <c r="D23" s="115">
        <f>SUM(D16:D22)</f>
        <v>0</v>
      </c>
      <c r="E23" s="116">
        <f>SUM(E18:E22)</f>
        <v>0</v>
      </c>
      <c r="F23" s="106">
        <f>SUM(F15:F22)</f>
        <v>12</v>
      </c>
      <c r="G23" s="163"/>
      <c r="H23" s="170"/>
      <c r="I23" s="172"/>
      <c r="J23" s="216">
        <f>+'16'!J23</f>
        <v>0</v>
      </c>
      <c r="K23" s="238"/>
      <c r="L23" s="238"/>
      <c r="M23" s="121">
        <f>+K23+'16'!M23+L23</f>
        <v>0</v>
      </c>
    </row>
    <row r="24" spans="1:18" ht="13.5" thickBot="1">
      <c r="A24" s="810" t="s">
        <v>374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5</v>
      </c>
      <c r="G24" s="558" t="s">
        <v>11</v>
      </c>
      <c r="H24" s="559" t="s">
        <v>522</v>
      </c>
      <c r="I24" s="813" t="s">
        <v>707</v>
      </c>
      <c r="J24" s="216">
        <f>+'16'!J24</f>
        <v>0</v>
      </c>
      <c r="K24" s="238"/>
      <c r="L24" s="238"/>
      <c r="M24" s="121">
        <f>+K24+'16'!M24+L24</f>
        <v>0</v>
      </c>
    </row>
    <row r="25" spans="1:18" ht="13.5" thickBot="1">
      <c r="A25" s="818"/>
      <c r="B25" s="217" t="s">
        <v>399</v>
      </c>
      <c r="C25" s="226">
        <v>9406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+'16'!J25</f>
        <v>0</v>
      </c>
      <c r="K25" s="238"/>
      <c r="L25" s="238"/>
      <c r="M25" s="121">
        <f>+K25+'16'!M25+L25</f>
        <v>0</v>
      </c>
      <c r="N25" s="153">
        <v>1350</v>
      </c>
      <c r="O25" s="153">
        <f>+N25-N25*0.25</f>
        <v>1012.5</v>
      </c>
      <c r="P25" s="153">
        <v>60</v>
      </c>
      <c r="Q25" s="153">
        <f>+N25*P25</f>
        <v>81000</v>
      </c>
      <c r="R25" s="153">
        <f>+O25*P25</f>
        <v>60750</v>
      </c>
    </row>
    <row r="26" spans="1:18" ht="13.5" thickBot="1">
      <c r="A26" s="818"/>
      <c r="B26" s="217" t="s">
        <v>518</v>
      </c>
      <c r="C26" s="226">
        <v>6863</v>
      </c>
      <c r="D26" s="219"/>
      <c r="E26" s="227"/>
      <c r="F26" s="231">
        <v>10</v>
      </c>
      <c r="G26" s="560" t="s">
        <v>11</v>
      </c>
      <c r="H26" s="561" t="s">
        <v>413</v>
      </c>
      <c r="I26" s="814"/>
      <c r="J26" s="216">
        <f>+'16'!J26</f>
        <v>0</v>
      </c>
      <c r="K26" s="238"/>
      <c r="L26" s="238"/>
      <c r="M26" s="121">
        <f>+K26+'16'!M26+L26</f>
        <v>0</v>
      </c>
      <c r="N26" s="153">
        <v>1400</v>
      </c>
      <c r="O26" s="153">
        <f>+N26-N26*0.24</f>
        <v>1064</v>
      </c>
      <c r="P26" s="153">
        <v>420</v>
      </c>
      <c r="Q26" s="153">
        <f>+N26*P26</f>
        <v>588000</v>
      </c>
      <c r="R26" s="153">
        <f>+O26*P26</f>
        <v>446880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696</v>
      </c>
      <c r="I27" s="814"/>
      <c r="J27" s="216">
        <f>+'16'!J27</f>
        <v>0</v>
      </c>
      <c r="K27" s="238"/>
      <c r="L27" s="238"/>
      <c r="M27" s="121">
        <f>+K27+'16'!M27+L27</f>
        <v>0</v>
      </c>
      <c r="P27" s="153">
        <f>SUM(P25:P26)</f>
        <v>480</v>
      </c>
      <c r="Q27" s="153">
        <f t="shared" ref="Q27:R27" si="0">SUM(Q25:Q26)</f>
        <v>669000</v>
      </c>
      <c r="R27" s="153">
        <f t="shared" si="0"/>
        <v>507630</v>
      </c>
    </row>
    <row r="28" spans="1:18" ht="51.75" thickBot="1">
      <c r="A28" s="818"/>
      <c r="B28" s="217"/>
      <c r="C28" s="218"/>
      <c r="D28" s="219"/>
      <c r="E28" s="225"/>
      <c r="F28" s="228"/>
      <c r="G28" s="232"/>
      <c r="H28" s="230" t="s">
        <v>702</v>
      </c>
      <c r="I28" s="814"/>
      <c r="J28" s="216">
        <f>+'16'!J28</f>
        <v>0</v>
      </c>
      <c r="K28" s="238"/>
      <c r="L28" s="238"/>
      <c r="M28" s="121">
        <f>+K28+'16'!M28+L28</f>
        <v>0</v>
      </c>
      <c r="P28" s="178"/>
      <c r="Q28" s="153">
        <f>+Q27/P27</f>
        <v>1393.75</v>
      </c>
      <c r="R28" s="153">
        <f>+R27/P27</f>
        <v>1057.5625</v>
      </c>
    </row>
    <row r="29" spans="1:18" ht="39" thickBot="1">
      <c r="A29" s="818"/>
      <c r="B29" s="217"/>
      <c r="C29" s="218"/>
      <c r="D29" s="219"/>
      <c r="E29" s="225"/>
      <c r="F29" s="235"/>
      <c r="G29" s="232"/>
      <c r="H29" s="233" t="s">
        <v>705</v>
      </c>
      <c r="I29" s="814"/>
      <c r="J29" s="216">
        <f>+'16'!J29</f>
        <v>0</v>
      </c>
      <c r="K29" s="238"/>
      <c r="L29" s="238"/>
      <c r="M29" s="121">
        <f>+K29+'16'!M29+L29</f>
        <v>0</v>
      </c>
      <c r="Q29" s="178"/>
      <c r="R29" s="178"/>
    </row>
    <row r="30" spans="1:18" ht="39" thickBot="1">
      <c r="A30" s="818"/>
      <c r="B30" s="217"/>
      <c r="C30" s="226"/>
      <c r="D30" s="219"/>
      <c r="E30" s="225"/>
      <c r="F30" s="235"/>
      <c r="G30" s="232"/>
      <c r="H30" s="233" t="s">
        <v>703</v>
      </c>
      <c r="I30" s="814"/>
      <c r="J30" s="216">
        <f>+'16'!J30</f>
        <v>0</v>
      </c>
      <c r="K30" s="238"/>
      <c r="L30" s="238"/>
      <c r="M30" s="121">
        <f>+K30+'16'!M30+L30</f>
        <v>0</v>
      </c>
      <c r="N30" s="159"/>
    </row>
    <row r="31" spans="1:18" ht="13.5" thickBot="1">
      <c r="A31" s="818"/>
      <c r="B31" s="217"/>
      <c r="C31" s="226"/>
      <c r="D31" s="219"/>
      <c r="E31" s="225"/>
      <c r="F31" s="235"/>
      <c r="G31" s="236"/>
      <c r="H31" s="439" t="s">
        <v>704</v>
      </c>
      <c r="I31" s="815"/>
      <c r="J31" s="216">
        <f>+'16'!J31</f>
        <v>0</v>
      </c>
      <c r="K31" s="238"/>
      <c r="L31" s="238"/>
      <c r="M31" s="121">
        <f>+K31+'16'!M31+L31</f>
        <v>0</v>
      </c>
    </row>
    <row r="32" spans="1:18" ht="13.5" thickBot="1">
      <c r="A32" s="819"/>
      <c r="B32" s="169" t="s">
        <v>2</v>
      </c>
      <c r="C32" s="103">
        <f>SUM(C25:C31)</f>
        <v>16269</v>
      </c>
      <c r="D32" s="104">
        <f>SUM(D25:D31)</f>
        <v>0</v>
      </c>
      <c r="E32" s="105">
        <f>SUM(E25:E31)</f>
        <v>0</v>
      </c>
      <c r="F32" s="103">
        <f>SUM(F24:F31)</f>
        <v>15</v>
      </c>
      <c r="G32" s="173"/>
      <c r="H32" s="174"/>
      <c r="I32" s="172"/>
      <c r="J32" s="216">
        <f>+'16'!J32</f>
        <v>0</v>
      </c>
      <c r="K32" s="240"/>
      <c r="L32" s="242"/>
      <c r="M32" s="121">
        <f>+K32+'16'!M32+L32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46855</v>
      </c>
      <c r="D34" s="111">
        <f>D14+D23+D32</f>
        <v>0</v>
      </c>
      <c r="E34" s="111">
        <f>E14+E23+E32</f>
        <v>0</v>
      </c>
      <c r="F34" s="112">
        <f>F14+F23+F32</f>
        <v>47</v>
      </c>
      <c r="H34" s="180"/>
      <c r="I34" s="180"/>
      <c r="J34" s="127" t="s">
        <v>27</v>
      </c>
      <c r="K34" s="128">
        <f>SUM(K7:K32)</f>
        <v>46855</v>
      </c>
      <c r="L34" s="214">
        <f>SUM(L7:L32)</f>
        <v>0</v>
      </c>
      <c r="M34" s="124">
        <f>SUM(M7:M32)</f>
        <v>774671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(13*1020+12*420)/1440*G42*2.85*1440/1000000</f>
        <v>53.580570000000002</v>
      </c>
      <c r="J37" s="129">
        <f>+I37+'16'!J37</f>
        <v>909.23220286617777</v>
      </c>
      <c r="K37" s="130" t="s">
        <v>74</v>
      </c>
      <c r="N37" s="580">
        <f>+I38-N38</f>
        <v>35.760000000000005</v>
      </c>
    </row>
    <row r="38" spans="1:14" ht="17.45" customHeight="1">
      <c r="A38" s="824" t="s">
        <v>11</v>
      </c>
      <c r="B38" s="825"/>
      <c r="C38" s="168">
        <f>SUMIF($G$7:$G$31,"Process",$F$7:$F$31)</f>
        <v>47</v>
      </c>
      <c r="D38" s="122">
        <f>+C38+'16'!D38</f>
        <v>929</v>
      </c>
      <c r="E38" s="147">
        <f t="shared" ref="E38:E51" si="1">D38/60</f>
        <v>15.483333333333333</v>
      </c>
      <c r="F38" s="334">
        <v>1350</v>
      </c>
      <c r="G38" s="334">
        <v>1012.5</v>
      </c>
      <c r="H38" s="189" t="s">
        <v>75</v>
      </c>
      <c r="I38" s="581">
        <f>16.46+17.101+16.196</f>
        <v>49.757000000000005</v>
      </c>
      <c r="J38" s="131">
        <f>+I38+'16'!J38</f>
        <v>826.57500000000005</v>
      </c>
      <c r="K38" s="132" t="s">
        <v>74</v>
      </c>
      <c r="N38" s="153">
        <f>16.196-2.199</f>
        <v>13.997000000000002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+C39+'16'!D39</f>
        <v>0</v>
      </c>
      <c r="E39" s="147">
        <f t="shared" si="1"/>
        <v>0</v>
      </c>
      <c r="F39" s="334">
        <v>1350</v>
      </c>
      <c r="G39" s="334">
        <v>1012.5</v>
      </c>
      <c r="H39" s="189" t="s">
        <v>76</v>
      </c>
      <c r="I39" s="146"/>
      <c r="J39" s="133">
        <f>J37/G4</f>
        <v>53.484247227422223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+C40+'16'!D40</f>
        <v>101</v>
      </c>
      <c r="E40" s="147">
        <f t="shared" ca="1" si="1"/>
        <v>1.6833333333333333</v>
      </c>
      <c r="F40" s="334">
        <v>1393.75</v>
      </c>
      <c r="G40" s="334">
        <v>1057</v>
      </c>
      <c r="H40" s="189" t="s">
        <v>78</v>
      </c>
      <c r="I40" s="122">
        <f>(K34+L34)/1000</f>
        <v>46.854999999999997</v>
      </c>
      <c r="J40" s="135">
        <f>+I40+'16'!J40</f>
        <v>774.67100000000016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+C41+'16'!D41</f>
        <v>50</v>
      </c>
      <c r="E41" s="147">
        <f t="shared" ca="1" si="1"/>
        <v>0.83333333333333337</v>
      </c>
      <c r="F41" s="334"/>
      <c r="G41" s="334"/>
      <c r="H41" s="189" t="s">
        <v>80</v>
      </c>
      <c r="I41" s="146"/>
      <c r="J41" s="133">
        <f>J40/G4</f>
        <v>45.568882352941188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+C42+'16'!D42</f>
        <v>0</v>
      </c>
      <c r="E42" s="147">
        <f t="shared" ca="1" si="1"/>
        <v>0</v>
      </c>
      <c r="F42" s="334">
        <f>+(F38*480+F39*480+F40*480)/1440</f>
        <v>1364.5833333333333</v>
      </c>
      <c r="G42" s="334">
        <f>+(G38*480+G39*480+G40*480)/1440</f>
        <v>1027.3333333333333</v>
      </c>
      <c r="H42" s="189" t="s">
        <v>81</v>
      </c>
      <c r="I42" s="245" t="s">
        <v>708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+C43+'16'!D43</f>
        <v>0</v>
      </c>
      <c r="E43" s="147">
        <f t="shared" ca="1" si="1"/>
        <v>0</v>
      </c>
      <c r="F43" s="334"/>
      <c r="G43" s="335"/>
      <c r="H43" s="190" t="s">
        <v>84</v>
      </c>
      <c r="I43" s="122">
        <f>+Report1!Z25</f>
        <v>130</v>
      </c>
      <c r="J43" s="137">
        <f>+I43+'16'!J43</f>
        <v>2078.7999999999997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+C44+'16'!D44</f>
        <v>0</v>
      </c>
      <c r="E44" s="147">
        <f t="shared" si="1"/>
        <v>0</v>
      </c>
      <c r="F44" s="334"/>
      <c r="G44" s="335"/>
      <c r="H44" s="190" t="s">
        <v>85</v>
      </c>
      <c r="I44" s="122">
        <f>I43/I38</f>
        <v>2.6126977108748517</v>
      </c>
      <c r="J44" s="138">
        <f>J43/J38</f>
        <v>2.5149562955569666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+C45+'16'!D45</f>
        <v>0</v>
      </c>
      <c r="E45" s="147">
        <f t="shared" si="1"/>
        <v>0</v>
      </c>
      <c r="F45" s="334"/>
      <c r="G45" s="337"/>
      <c r="H45" s="190" t="s">
        <v>86</v>
      </c>
      <c r="I45" s="122">
        <f>I43/I40</f>
        <v>2.7745171273076514</v>
      </c>
      <c r="J45" s="138">
        <f>J43/J40</f>
        <v>2.6834617534411374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+C46+'16'!D46</f>
        <v>0</v>
      </c>
      <c r="E46" s="147">
        <f t="shared" si="1"/>
        <v>0</v>
      </c>
      <c r="F46" s="334"/>
      <c r="G46" s="335"/>
      <c r="H46" s="190" t="s">
        <v>88</v>
      </c>
      <c r="I46" s="144">
        <f>+SUMIF(Listrik!AN24,"&gt;0")</f>
        <v>50788.139999999825</v>
      </c>
      <c r="J46" s="139">
        <f>+I46+'16'!J46</f>
        <v>822450.33759999962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+C47+'16'!D47</f>
        <v>0</v>
      </c>
      <c r="E47" s="147">
        <f t="shared" si="1"/>
        <v>0</v>
      </c>
      <c r="F47" s="334"/>
      <c r="G47" s="335"/>
      <c r="H47" s="190" t="s">
        <v>91</v>
      </c>
      <c r="I47" s="122">
        <f>I46/I38</f>
        <v>1020.7235162891617</v>
      </c>
      <c r="J47" s="139">
        <f>J46/J38</f>
        <v>995.00993569851448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+C48+'16'!D48</f>
        <v>0</v>
      </c>
      <c r="E48" s="147">
        <f t="shared" si="1"/>
        <v>0</v>
      </c>
      <c r="F48" s="334"/>
      <c r="G48" s="335"/>
      <c r="H48" s="190" t="s">
        <v>92</v>
      </c>
      <c r="I48" s="122">
        <f>I46/I40</f>
        <v>1083.9428022622949</v>
      </c>
      <c r="J48" s="139">
        <f>J46/J40</f>
        <v>1061.6769410498127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+C49+'16'!D49</f>
        <v>545</v>
      </c>
      <c r="E49" s="147">
        <f t="shared" si="1"/>
        <v>9.0833333333333339</v>
      </c>
      <c r="F49" s="187"/>
      <c r="H49" s="190" t="s">
        <v>93</v>
      </c>
      <c r="I49" s="122">
        <v>0</v>
      </c>
      <c r="J49" s="139">
        <f>+I49+'16'!J49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+C50+'16'!D50</f>
        <v>0</v>
      </c>
      <c r="E50" s="147">
        <f t="shared" si="1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+C51+'16'!D51</f>
        <v>0</v>
      </c>
      <c r="E51" s="147">
        <f t="shared" si="1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47</v>
      </c>
      <c r="D52" s="148">
        <f ca="1">SUM(D38:D51)</f>
        <v>1625</v>
      </c>
      <c r="E52" s="149">
        <f ca="1">SUM(E38:E51)</f>
        <v>27.083333333333329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3.2638888888888891E-2</v>
      </c>
      <c r="D53" s="150">
        <f ca="1">D52/(24*60*G4)</f>
        <v>6.6380718954248366E-2</v>
      </c>
      <c r="E53" s="151">
        <f ca="1">E52/(G4*24)</f>
        <v>6.6380718954248352E-2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+D34+'16'!J56</f>
        <v>9881</v>
      </c>
      <c r="K56" s="203">
        <f>J56/(J40+J56/1000)/1000</f>
        <v>1.2594448806452597E-2</v>
      </c>
    </row>
    <row r="57" spans="1:11">
      <c r="A57" s="178"/>
      <c r="I57" s="201" t="s">
        <v>100</v>
      </c>
      <c r="J57" s="202">
        <f>+E34+'16'!J57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2:B52"/>
    <mergeCell ref="A53:B53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7" zoomScale="80" zoomScaleNormal="80" zoomScaleSheetLayoutView="80" workbookViewId="0">
      <selection activeCell="J17" sqref="J17:K17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16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366+361+386</f>
        <v>1113</v>
      </c>
    </row>
    <row r="7" spans="1:18" ht="13.5" customHeight="1" thickBot="1">
      <c r="A7" s="810" t="s">
        <v>694</v>
      </c>
      <c r="B7" s="217" t="s">
        <v>666</v>
      </c>
      <c r="C7" s="218">
        <v>4557</v>
      </c>
      <c r="D7" s="219"/>
      <c r="E7" s="220"/>
      <c r="F7" s="231">
        <v>10</v>
      </c>
      <c r="G7" s="558" t="s">
        <v>11</v>
      </c>
      <c r="H7" s="559" t="s">
        <v>456</v>
      </c>
      <c r="I7" s="813" t="s">
        <v>683</v>
      </c>
      <c r="J7" s="216" t="str">
        <f>+'15'!J7</f>
        <v>T 12,5 VP OW</v>
      </c>
      <c r="K7" s="237"/>
      <c r="L7" s="241"/>
      <c r="M7" s="121">
        <f>+K7+'15'!M7+L7</f>
        <v>43580</v>
      </c>
    </row>
    <row r="8" spans="1:18" ht="13.5" thickBot="1">
      <c r="A8" s="811"/>
      <c r="B8" s="217" t="s">
        <v>622</v>
      </c>
      <c r="C8" s="218">
        <v>8211</v>
      </c>
      <c r="D8" s="219"/>
      <c r="E8" s="221"/>
      <c r="F8" s="231"/>
      <c r="G8" s="560" t="s">
        <v>11</v>
      </c>
      <c r="H8" s="559" t="s">
        <v>426</v>
      </c>
      <c r="I8" s="814"/>
      <c r="J8" s="216" t="str">
        <f>+'15'!J8</f>
        <v>F 12.5 VP OW</v>
      </c>
      <c r="K8" s="238"/>
      <c r="L8" s="238"/>
      <c r="M8" s="121">
        <f>+K8+'15'!M8+L8</f>
        <v>111865</v>
      </c>
      <c r="N8" s="153">
        <v>1080</v>
      </c>
      <c r="O8" s="153">
        <f>+N8-N8*0.2</f>
        <v>864</v>
      </c>
    </row>
    <row r="9" spans="1:18" ht="13.5" thickBot="1">
      <c r="A9" s="811"/>
      <c r="B9" s="217"/>
      <c r="C9" s="218"/>
      <c r="D9" s="219"/>
      <c r="E9" s="222"/>
      <c r="F9" s="231">
        <v>5</v>
      </c>
      <c r="G9" s="560" t="s">
        <v>11</v>
      </c>
      <c r="H9" s="561" t="s">
        <v>454</v>
      </c>
      <c r="I9" s="814"/>
      <c r="J9" s="216" t="str">
        <f>+'15'!J9</f>
        <v>F 13 VP OW</v>
      </c>
      <c r="K9" s="238">
        <f>+C17+C25</f>
        <v>21424</v>
      </c>
      <c r="L9" s="238"/>
      <c r="M9" s="121">
        <f>+K9+'15'!M9+L9</f>
        <v>60022</v>
      </c>
    </row>
    <row r="10" spans="1:18" ht="13.5" thickBot="1">
      <c r="A10" s="811"/>
      <c r="B10" s="217"/>
      <c r="C10" s="218"/>
      <c r="D10" s="219"/>
      <c r="E10" s="221"/>
      <c r="F10" s="231"/>
      <c r="G10" s="558"/>
      <c r="H10" s="561" t="s">
        <v>672</v>
      </c>
      <c r="I10" s="814"/>
      <c r="J10" s="216" t="str">
        <f>+'15'!J10</f>
        <v>T 12 VP OW</v>
      </c>
      <c r="K10" s="238"/>
      <c r="L10" s="238"/>
      <c r="M10" s="121">
        <f>+K10+'15'!M10+L10</f>
        <v>23281</v>
      </c>
    </row>
    <row r="11" spans="1:18" ht="13.5" thickBot="1">
      <c r="A11" s="811"/>
      <c r="B11" s="217"/>
      <c r="C11" s="218"/>
      <c r="D11" s="219"/>
      <c r="E11" s="221"/>
      <c r="F11" s="481"/>
      <c r="G11" s="232"/>
      <c r="H11" s="230" t="s">
        <v>678</v>
      </c>
      <c r="I11" s="814"/>
      <c r="J11" s="216" t="str">
        <f>+'15'!J11</f>
        <v>T 13,5 VP OW</v>
      </c>
      <c r="K11" s="238"/>
      <c r="L11" s="238"/>
      <c r="M11" s="121">
        <f>+K11+'15'!M11+L11</f>
        <v>15672</v>
      </c>
    </row>
    <row r="12" spans="1:18" ht="13.5" thickBot="1">
      <c r="A12" s="811"/>
      <c r="B12" s="217"/>
      <c r="C12" s="218"/>
      <c r="D12" s="219"/>
      <c r="E12" s="221" t="s">
        <v>486</v>
      </c>
      <c r="F12" s="481">
        <v>40</v>
      </c>
      <c r="G12" s="232" t="s">
        <v>77</v>
      </c>
      <c r="H12" s="233" t="s">
        <v>679</v>
      </c>
      <c r="I12" s="814"/>
      <c r="J12" s="216" t="str">
        <f>+'15'!J12</f>
        <v>F 12 VP OW</v>
      </c>
      <c r="K12" s="238"/>
      <c r="L12" s="238"/>
      <c r="M12" s="121">
        <f>+K12+'15'!M12+L12</f>
        <v>69304</v>
      </c>
    </row>
    <row r="13" spans="1:18" ht="13.5" thickBot="1">
      <c r="A13" s="811"/>
      <c r="B13" s="217"/>
      <c r="C13" s="218"/>
      <c r="D13" s="218"/>
      <c r="E13" s="221"/>
      <c r="F13" s="228"/>
      <c r="G13" s="232"/>
      <c r="H13" s="233"/>
      <c r="I13" s="815"/>
      <c r="J13" s="216" t="str">
        <f>+'15'!J13</f>
        <v>T 12,5 VP OW</v>
      </c>
      <c r="K13" s="238"/>
      <c r="L13" s="238"/>
      <c r="M13" s="121">
        <f>+K13+'15'!M13+L13</f>
        <v>237920</v>
      </c>
    </row>
    <row r="14" spans="1:18" ht="13.5" thickBot="1">
      <c r="A14" s="812"/>
      <c r="B14" s="169" t="s">
        <v>2</v>
      </c>
      <c r="C14" s="115">
        <f>SUM(C7:C13)</f>
        <v>12768</v>
      </c>
      <c r="D14" s="115">
        <f>SUM(D7:D13)</f>
        <v>0</v>
      </c>
      <c r="E14" s="116">
        <f>SUM(E5:E13)</f>
        <v>0</v>
      </c>
      <c r="F14" s="106">
        <f>SUM(F6:F13)</f>
        <v>55</v>
      </c>
      <c r="G14" s="163"/>
      <c r="H14" s="170"/>
      <c r="I14" s="171"/>
      <c r="J14" s="216" t="str">
        <f>+'15'!J14</f>
        <v>T 14 VP OW</v>
      </c>
      <c r="K14" s="238">
        <f>+C8</f>
        <v>8211</v>
      </c>
      <c r="L14" s="238"/>
      <c r="M14" s="121">
        <f>+K14+'15'!M14+L14</f>
        <v>88884</v>
      </c>
    </row>
    <row r="15" spans="1:18" ht="13.5" thickBot="1">
      <c r="A15" s="810" t="s">
        <v>467</v>
      </c>
      <c r="B15" s="510"/>
      <c r="C15" s="118">
        <f>C14/($C$23+$D$23+$E$23)</f>
        <v>0.6692525421951987</v>
      </c>
      <c r="D15" s="118">
        <f>D14/($C$23+$D$23+$E$23)</f>
        <v>0</v>
      </c>
      <c r="E15" s="119">
        <f>E14/($C$23+$D$23+$E$23)</f>
        <v>0</v>
      </c>
      <c r="F15" s="231">
        <v>35</v>
      </c>
      <c r="G15" s="558" t="s">
        <v>11</v>
      </c>
      <c r="H15" s="559" t="s">
        <v>687</v>
      </c>
      <c r="I15" s="813" t="s">
        <v>684</v>
      </c>
      <c r="J15" s="216" t="str">
        <f>+'15'!J15</f>
        <v>T 15 VP OW</v>
      </c>
      <c r="K15" s="238"/>
      <c r="L15" s="238"/>
      <c r="M15" s="121">
        <f>+K15+'15'!M15+L15</f>
        <v>55010</v>
      </c>
    </row>
    <row r="16" spans="1:18" ht="13.5" thickBot="1">
      <c r="A16" s="816"/>
      <c r="B16" s="512" t="s">
        <v>666</v>
      </c>
      <c r="C16" s="511">
        <v>17721</v>
      </c>
      <c r="D16" s="223">
        <v>284</v>
      </c>
      <c r="E16" s="224"/>
      <c r="F16" s="231">
        <v>5</v>
      </c>
      <c r="G16" s="560" t="s">
        <v>11</v>
      </c>
      <c r="H16" s="559" t="s">
        <v>513</v>
      </c>
      <c r="I16" s="814"/>
      <c r="J16" s="216" t="str">
        <f>+'15'!J16</f>
        <v>T 17 VP OW</v>
      </c>
      <c r="K16" s="229">
        <f>+C7+C16</f>
        <v>22278</v>
      </c>
      <c r="L16" s="229"/>
      <c r="M16" s="121">
        <f>+K16+'15'!M16+L16</f>
        <v>22278</v>
      </c>
      <c r="N16" s="153">
        <v>1080</v>
      </c>
      <c r="O16" s="153">
        <f>+N16-N16*0.2</f>
        <v>864</v>
      </c>
      <c r="P16" s="153">
        <v>5</v>
      </c>
      <c r="Q16" s="153">
        <f>+N16*P16</f>
        <v>5400</v>
      </c>
      <c r="R16" s="153">
        <f>+O16*P16</f>
        <v>4320</v>
      </c>
    </row>
    <row r="17" spans="1:18" ht="13.5" thickBot="1">
      <c r="A17" s="816"/>
      <c r="B17" s="217" t="s">
        <v>399</v>
      </c>
      <c r="C17" s="218">
        <v>1073</v>
      </c>
      <c r="D17" s="219"/>
      <c r="E17" s="225"/>
      <c r="F17" s="231">
        <v>10</v>
      </c>
      <c r="G17" s="560" t="s">
        <v>11</v>
      </c>
      <c r="H17" s="561" t="s">
        <v>454</v>
      </c>
      <c r="I17" s="814"/>
      <c r="J17" s="216"/>
      <c r="K17" s="229"/>
      <c r="L17" s="229"/>
      <c r="M17" s="121">
        <f>+K17+'15'!M17+L17</f>
        <v>0</v>
      </c>
      <c r="N17" s="153">
        <v>1350</v>
      </c>
      <c r="O17" s="153">
        <f>+N17-N17*0.25</f>
        <v>1012.5</v>
      </c>
      <c r="P17" s="153">
        <v>475</v>
      </c>
      <c r="Q17" s="153">
        <f>+N17*P17</f>
        <v>641250</v>
      </c>
      <c r="R17" s="153">
        <f>+O17*P17</f>
        <v>480937.5</v>
      </c>
    </row>
    <row r="18" spans="1:18" ht="13.5" thickBot="1">
      <c r="A18" s="816"/>
      <c r="B18" s="217"/>
      <c r="C18" s="218"/>
      <c r="D18" s="219"/>
      <c r="E18" s="225"/>
      <c r="F18" s="231"/>
      <c r="G18" s="558"/>
      <c r="H18" s="561" t="s">
        <v>672</v>
      </c>
      <c r="I18" s="814"/>
      <c r="J18" s="216">
        <f>+'15'!J18</f>
        <v>0</v>
      </c>
      <c r="K18" s="238"/>
      <c r="L18" s="238"/>
      <c r="M18" s="121">
        <f>+K18+'15'!M18+L18</f>
        <v>0</v>
      </c>
      <c r="P18" s="153">
        <f>SUM(P16:P17)</f>
        <v>480</v>
      </c>
      <c r="Q18" s="153">
        <f>SUM(Q16:Q17)</f>
        <v>646650</v>
      </c>
      <c r="R18" s="153">
        <f>SUM(R16:R17)</f>
        <v>485257.5</v>
      </c>
    </row>
    <row r="19" spans="1:18" ht="26.25" thickBot="1">
      <c r="A19" s="816"/>
      <c r="B19" s="217"/>
      <c r="C19" s="218"/>
      <c r="D19" s="219"/>
      <c r="E19" s="225" t="s">
        <v>486</v>
      </c>
      <c r="F19" s="228">
        <v>50</v>
      </c>
      <c r="G19" s="232" t="s">
        <v>79</v>
      </c>
      <c r="H19" s="230" t="s">
        <v>682</v>
      </c>
      <c r="I19" s="814"/>
      <c r="J19" s="216">
        <f>+'15'!J19</f>
        <v>0</v>
      </c>
      <c r="K19" s="238"/>
      <c r="L19" s="238"/>
      <c r="M19" s="121">
        <f>+K19+'15'!M19+L19</f>
        <v>0</v>
      </c>
      <c r="Q19" s="153">
        <f>+Q18/P18</f>
        <v>1347.1875</v>
      </c>
      <c r="R19" s="153">
        <f>+R18/P18</f>
        <v>1010.953125</v>
      </c>
    </row>
    <row r="20" spans="1:18" ht="51.75" thickBot="1">
      <c r="A20" s="816"/>
      <c r="B20" s="217"/>
      <c r="C20" s="218"/>
      <c r="D20" s="219"/>
      <c r="E20" s="225"/>
      <c r="F20" s="228"/>
      <c r="G20" s="232"/>
      <c r="H20" s="233" t="s">
        <v>673</v>
      </c>
      <c r="I20" s="814"/>
      <c r="J20" s="216">
        <f>+'15'!J20</f>
        <v>0</v>
      </c>
      <c r="K20" s="239"/>
      <c r="L20" s="239"/>
      <c r="M20" s="121">
        <f>+K20+'15'!M20+L20</f>
        <v>0</v>
      </c>
    </row>
    <row r="21" spans="1:18" ht="13.5" thickBot="1">
      <c r="A21" s="816"/>
      <c r="B21" s="217"/>
      <c r="C21" s="218"/>
      <c r="D21" s="219"/>
      <c r="E21" s="225"/>
      <c r="F21" s="231"/>
      <c r="G21" s="232"/>
      <c r="H21" s="233" t="s">
        <v>674</v>
      </c>
      <c r="I21" s="814"/>
      <c r="J21" s="216">
        <f>+'15'!J21</f>
        <v>0</v>
      </c>
      <c r="K21" s="238"/>
      <c r="L21" s="238"/>
      <c r="M21" s="121">
        <f>+K21+'15'!M21+L21</f>
        <v>0</v>
      </c>
    </row>
    <row r="22" spans="1:18" ht="13.5" thickBot="1">
      <c r="A22" s="816"/>
      <c r="B22" s="217"/>
      <c r="C22" s="218"/>
      <c r="D22" s="219"/>
      <c r="E22" s="225"/>
      <c r="F22" s="235"/>
      <c r="G22" s="232"/>
      <c r="H22" s="233"/>
      <c r="I22" s="815"/>
      <c r="J22" s="216">
        <f>+'15'!J22</f>
        <v>0</v>
      </c>
      <c r="K22" s="238"/>
      <c r="L22" s="238"/>
      <c r="M22" s="121">
        <f>+K22+'15'!M22+L22</f>
        <v>0</v>
      </c>
    </row>
    <row r="23" spans="1:18" ht="13.5" thickBot="1">
      <c r="A23" s="817"/>
      <c r="B23" s="169" t="s">
        <v>2</v>
      </c>
      <c r="C23" s="103">
        <f>SUM(C16:C22)</f>
        <v>18794</v>
      </c>
      <c r="D23" s="115">
        <f>SUM(D16:D22)</f>
        <v>284</v>
      </c>
      <c r="E23" s="116">
        <f>SUM(E18:E22)</f>
        <v>0</v>
      </c>
      <c r="F23" s="106">
        <f>SUM(F15:F22)</f>
        <v>100</v>
      </c>
      <c r="G23" s="163"/>
      <c r="H23" s="170"/>
      <c r="I23" s="172"/>
      <c r="J23" s="216">
        <f>+'15'!J23</f>
        <v>0</v>
      </c>
      <c r="K23" s="238"/>
      <c r="L23" s="238"/>
      <c r="M23" s="121">
        <f>+K23+'15'!M23+L23</f>
        <v>0</v>
      </c>
    </row>
    <row r="24" spans="1:18" ht="13.5" thickBot="1">
      <c r="A24" s="810" t="s">
        <v>374</v>
      </c>
      <c r="B24" s="510"/>
      <c r="C24" s="117">
        <f>C23/($C$23+$D$23+$E$23)</f>
        <v>0.98511374357899151</v>
      </c>
      <c r="D24" s="118">
        <f>D23/($C$23+$D$23+$E$23)</f>
        <v>1.4886256421008491E-2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685</v>
      </c>
      <c r="J24" s="216">
        <f>+'15'!J24</f>
        <v>0</v>
      </c>
      <c r="K24" s="238"/>
      <c r="L24" s="238"/>
      <c r="M24" s="121">
        <f>+K24+'15'!M24+L24</f>
        <v>0</v>
      </c>
    </row>
    <row r="25" spans="1:18" ht="13.5" thickBot="1">
      <c r="A25" s="818"/>
      <c r="B25" s="217" t="s">
        <v>399</v>
      </c>
      <c r="C25" s="226">
        <v>20351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+'15'!J25</f>
        <v>0</v>
      </c>
      <c r="K25" s="238"/>
      <c r="L25" s="238"/>
      <c r="M25" s="121">
        <f>+K25+'15'!M25+L25</f>
        <v>0</v>
      </c>
    </row>
    <row r="26" spans="1:18" ht="13.5" thickBot="1">
      <c r="A26" s="818"/>
      <c r="B26" s="217"/>
      <c r="C26" s="226"/>
      <c r="D26" s="219"/>
      <c r="E26" s="227"/>
      <c r="F26" s="231">
        <v>8</v>
      </c>
      <c r="G26" s="560" t="s">
        <v>11</v>
      </c>
      <c r="H26" s="561" t="s">
        <v>428</v>
      </c>
      <c r="I26" s="814"/>
      <c r="J26" s="216">
        <f>+'15'!J26</f>
        <v>0</v>
      </c>
      <c r="K26" s="238"/>
      <c r="L26" s="238"/>
      <c r="M26" s="121">
        <f>+K26+'15'!M26+L26</f>
        <v>0</v>
      </c>
      <c r="N26" s="153">
        <v>1350</v>
      </c>
      <c r="O26" s="153">
        <f>+N26-N26*0.25</f>
        <v>1012.5</v>
      </c>
      <c r="P26" s="153">
        <f>30+475</f>
        <v>505</v>
      </c>
      <c r="Q26" s="153">
        <f>+N26*P26</f>
        <v>681750</v>
      </c>
      <c r="R26" s="153">
        <f>+O26*P26</f>
        <v>511312.5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681</v>
      </c>
      <c r="I27" s="814"/>
      <c r="J27" s="216">
        <f>+'15'!J27</f>
        <v>0</v>
      </c>
      <c r="K27" s="238"/>
      <c r="L27" s="238"/>
      <c r="M27" s="121">
        <f>+K27+'15'!M27+L27</f>
        <v>0</v>
      </c>
      <c r="N27" s="153">
        <v>1370</v>
      </c>
      <c r="O27" s="153">
        <f>+N27-N27*0.25</f>
        <v>1027.5</v>
      </c>
      <c r="P27" s="153">
        <v>30</v>
      </c>
      <c r="Q27" s="153">
        <f>+N27*P27</f>
        <v>41100</v>
      </c>
      <c r="R27" s="153">
        <f>+O27*P27</f>
        <v>30825</v>
      </c>
    </row>
    <row r="28" spans="1:18" ht="26.25" thickBot="1">
      <c r="A28" s="818"/>
      <c r="B28" s="217"/>
      <c r="C28" s="218"/>
      <c r="D28" s="219"/>
      <c r="E28" s="225"/>
      <c r="F28" s="228"/>
      <c r="G28" s="232"/>
      <c r="H28" s="230" t="s">
        <v>680</v>
      </c>
      <c r="I28" s="814"/>
      <c r="J28" s="216">
        <f>+'15'!J28</f>
        <v>0</v>
      </c>
      <c r="K28" s="238"/>
      <c r="L28" s="238"/>
      <c r="M28" s="121">
        <f>+K28+'15'!M28+L28</f>
        <v>0</v>
      </c>
      <c r="N28" s="153">
        <v>1360</v>
      </c>
      <c r="O28" s="153">
        <f>+N28-N28*0.25</f>
        <v>1020</v>
      </c>
      <c r="P28" s="153">
        <f>180+14</f>
        <v>194</v>
      </c>
      <c r="Q28" s="153">
        <f>+N28*P28</f>
        <v>263840</v>
      </c>
      <c r="R28" s="153">
        <f>+O28*P28</f>
        <v>197880</v>
      </c>
    </row>
    <row r="29" spans="1:18" ht="39" customHeight="1" thickBot="1">
      <c r="A29" s="818"/>
      <c r="B29" s="217"/>
      <c r="C29" s="218"/>
      <c r="D29" s="219"/>
      <c r="E29" s="225"/>
      <c r="F29" s="235"/>
      <c r="G29" s="232"/>
      <c r="H29" s="233" t="s">
        <v>675</v>
      </c>
      <c r="I29" s="814"/>
      <c r="J29" s="216">
        <f>+'15'!J29</f>
        <v>0</v>
      </c>
      <c r="K29" s="238"/>
      <c r="L29" s="238"/>
      <c r="M29" s="121">
        <f>+K29+'15'!M29+L29</f>
        <v>0</v>
      </c>
      <c r="N29" s="153">
        <v>1355</v>
      </c>
      <c r="O29" s="153">
        <f>+N29-N29*0.25</f>
        <v>1016.25</v>
      </c>
      <c r="P29" s="153">
        <f>46+20+60</f>
        <v>126</v>
      </c>
      <c r="Q29" s="153">
        <f>+N29*P29</f>
        <v>170730</v>
      </c>
      <c r="R29" s="153">
        <f>+O29*P29</f>
        <v>128047.5</v>
      </c>
    </row>
    <row r="30" spans="1:18" ht="51.75" thickBot="1">
      <c r="A30" s="818"/>
      <c r="B30" s="217"/>
      <c r="C30" s="226"/>
      <c r="D30" s="219"/>
      <c r="E30" s="225"/>
      <c r="F30" s="235"/>
      <c r="G30" s="232"/>
      <c r="H30" s="233" t="s">
        <v>676</v>
      </c>
      <c r="I30" s="814"/>
      <c r="J30" s="216">
        <f>+'15'!J30</f>
        <v>0</v>
      </c>
      <c r="K30" s="238"/>
      <c r="L30" s="238"/>
      <c r="M30" s="121">
        <f>+K30+'15'!M30+L30</f>
        <v>0</v>
      </c>
      <c r="N30" s="153">
        <v>1350</v>
      </c>
      <c r="O30" s="153">
        <f>+N30-N30*0.25</f>
        <v>1012.5</v>
      </c>
      <c r="P30" s="153">
        <f>40+60</f>
        <v>100</v>
      </c>
      <c r="Q30" s="153">
        <f>+N30*P30</f>
        <v>135000</v>
      </c>
      <c r="R30" s="153">
        <f>+O30*P30</f>
        <v>101250</v>
      </c>
    </row>
    <row r="31" spans="1:18" ht="39" thickBot="1">
      <c r="A31" s="818"/>
      <c r="B31" s="217"/>
      <c r="C31" s="226"/>
      <c r="D31" s="219"/>
      <c r="E31" s="225"/>
      <c r="F31" s="235"/>
      <c r="G31" s="236"/>
      <c r="H31" s="439" t="s">
        <v>677</v>
      </c>
      <c r="I31" s="815"/>
      <c r="J31" s="216">
        <f>+'15'!J31</f>
        <v>0</v>
      </c>
      <c r="K31" s="238"/>
      <c r="L31" s="238"/>
      <c r="M31" s="121">
        <f>+K31+'15'!M31+L31</f>
        <v>0</v>
      </c>
      <c r="P31" s="153">
        <f>SUM(P26:P30)</f>
        <v>955</v>
      </c>
      <c r="Q31" s="153">
        <f>SUM(Q26:Q30)</f>
        <v>1292420</v>
      </c>
      <c r="R31" s="153">
        <f>SUM(R26:R30)</f>
        <v>969315</v>
      </c>
    </row>
    <row r="32" spans="1:18" ht="13.5" thickBot="1">
      <c r="A32" s="819"/>
      <c r="B32" s="169" t="s">
        <v>2</v>
      </c>
      <c r="C32" s="103">
        <f>SUM(C25:C31)</f>
        <v>20351</v>
      </c>
      <c r="D32" s="104">
        <f>SUM(D25:D31)</f>
        <v>0</v>
      </c>
      <c r="E32" s="105">
        <f>SUM(E25:E31)</f>
        <v>0</v>
      </c>
      <c r="F32" s="103">
        <f>SUM(F24:F31)</f>
        <v>8</v>
      </c>
      <c r="G32" s="173"/>
      <c r="H32" s="174"/>
      <c r="I32" s="172"/>
      <c r="J32" s="216">
        <f>+'15'!J32</f>
        <v>0</v>
      </c>
      <c r="K32" s="240"/>
      <c r="L32" s="242"/>
      <c r="M32" s="121">
        <f>+K32+'15'!M32+L32</f>
        <v>0</v>
      </c>
      <c r="Q32" s="153">
        <f>+Q31/P31</f>
        <v>1353.3193717277486</v>
      </c>
      <c r="R32" s="153">
        <f>+R31/P31</f>
        <v>1014.9895287958116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51913</v>
      </c>
      <c r="D34" s="111">
        <f>D14+D23+D32</f>
        <v>284</v>
      </c>
      <c r="E34" s="111">
        <f>E14+E23+E32</f>
        <v>0</v>
      </c>
      <c r="F34" s="112">
        <f>F14+F23+F32</f>
        <v>163</v>
      </c>
      <c r="H34" s="180"/>
      <c r="I34" s="180"/>
      <c r="J34" s="127" t="s">
        <v>27</v>
      </c>
      <c r="K34" s="128">
        <f>SUM(K7:K32)</f>
        <v>51913</v>
      </c>
      <c r="L34" s="214">
        <f>SUM(L7:L32)</f>
        <v>0</v>
      </c>
      <c r="M34" s="124">
        <f>SUM(M7:M32)</f>
        <v>727816</v>
      </c>
      <c r="N34" s="159"/>
    </row>
    <row r="35" spans="1:14" ht="13.5" thickBot="1">
      <c r="A35" s="181"/>
      <c r="B35" s="182"/>
      <c r="C35" s="108">
        <f>C34/($C$34+$D$34+$E$34)</f>
        <v>0.99455907427629942</v>
      </c>
      <c r="D35" s="108">
        <f>D34/($C$34+$D$34+$E$34)</f>
        <v>5.4409257237005961E-3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(17*485+13*955)/1440*G42*2.85*1440/1000000</f>
        <v>56.769257468749998</v>
      </c>
      <c r="J37" s="129">
        <f>+I37+'15'!J37</f>
        <v>855.65163286617781</v>
      </c>
      <c r="K37" s="130" t="s">
        <v>74</v>
      </c>
      <c r="N37" s="153">
        <f>16.914+2.41</f>
        <v>19.324000000000002</v>
      </c>
    </row>
    <row r="38" spans="1:14" ht="17.45" customHeight="1">
      <c r="A38" s="824" t="s">
        <v>11</v>
      </c>
      <c r="B38" s="825"/>
      <c r="C38" s="168">
        <f>SUMIF($G$7:$G$31,"Process",$F$7:$F$31)</f>
        <v>73</v>
      </c>
      <c r="D38" s="122">
        <f>+C38+'15'!D38</f>
        <v>882</v>
      </c>
      <c r="E38" s="147">
        <f t="shared" ref="E38:E51" si="0">D38/60</f>
        <v>14.7</v>
      </c>
      <c r="F38" s="334">
        <v>1080</v>
      </c>
      <c r="G38" s="334">
        <v>864</v>
      </c>
      <c r="H38" s="189" t="s">
        <v>75</v>
      </c>
      <c r="I38" s="513">
        <f>16.914+15.659+16.671</f>
        <v>49.244</v>
      </c>
      <c r="J38" s="131">
        <f>+I38+'15'!J38</f>
        <v>776.8180000000001</v>
      </c>
      <c r="K38" s="132" t="s">
        <v>74</v>
      </c>
      <c r="N38" s="159">
        <f>+I38-N37</f>
        <v>29.919999999999998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+C39+'15'!D39</f>
        <v>0</v>
      </c>
      <c r="E39" s="147">
        <f t="shared" si="0"/>
        <v>0</v>
      </c>
      <c r="F39" s="334">
        <v>1347.1875</v>
      </c>
      <c r="G39" s="334">
        <v>1010.953125</v>
      </c>
      <c r="H39" s="189" t="s">
        <v>76</v>
      </c>
      <c r="I39" s="146"/>
      <c r="J39" s="133">
        <f>J37/G4</f>
        <v>53.478227054136113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40</v>
      </c>
      <c r="D40" s="122">
        <f ca="1">+C40+'15'!D40</f>
        <v>101</v>
      </c>
      <c r="E40" s="147">
        <f t="shared" ca="1" si="0"/>
        <v>1.6833333333333333</v>
      </c>
      <c r="F40" s="334">
        <v>1356.6041666666667</v>
      </c>
      <c r="G40" s="334">
        <v>1017.453125</v>
      </c>
      <c r="H40" s="189" t="s">
        <v>78</v>
      </c>
      <c r="I40" s="122">
        <f>(K34+L34)/1000</f>
        <v>51.912999999999997</v>
      </c>
      <c r="J40" s="135">
        <f>+I40+'15'!J40</f>
        <v>727.81600000000014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50</v>
      </c>
      <c r="D41" s="122">
        <f ca="1">+C41+'15'!D41</f>
        <v>50</v>
      </c>
      <c r="E41" s="147">
        <f t="shared" ca="1" si="0"/>
        <v>0.83333333333333337</v>
      </c>
      <c r="F41" s="334"/>
      <c r="G41" s="334"/>
      <c r="H41" s="189" t="s">
        <v>80</v>
      </c>
      <c r="I41" s="146"/>
      <c r="J41" s="133">
        <f>J40/G4</f>
        <v>45.488500000000009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+C42+'15'!D42</f>
        <v>0</v>
      </c>
      <c r="E42" s="147">
        <f t="shared" ca="1" si="0"/>
        <v>0</v>
      </c>
      <c r="F42" s="334">
        <f>+(F38*480+F39*480+F40*480)/1440</f>
        <v>1261.2638888888889</v>
      </c>
      <c r="G42" s="334">
        <f>+(G38*480+G39*480+G40*480)/1440</f>
        <v>964.13541666666663</v>
      </c>
      <c r="H42" s="189" t="s">
        <v>81</v>
      </c>
      <c r="I42" s="245" t="s">
        <v>686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+C43+'15'!D43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+Report1!Z24</f>
        <v>130</v>
      </c>
      <c r="J43" s="137">
        <f>+I43+'15'!J43</f>
        <v>1948.7999999999997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+C44+'15'!D44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2.6399155227032733</v>
      </c>
      <c r="J44" s="138">
        <f>J43/J38</f>
        <v>2.5086957305314752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+C45+'15'!D45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2.5041897020014257</v>
      </c>
      <c r="J45" s="138">
        <f>J43/J40</f>
        <v>2.6775998329248041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+C46+'15'!D46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+SUMIF(Listrik!AN23,"&gt;0")</f>
        <v>49460.599999999977</v>
      </c>
      <c r="J46" s="139">
        <f>+I46+'15'!J46</f>
        <v>771662.19759999984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+C47+'15'!D47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1004.3985054016729</v>
      </c>
      <c r="J47" s="139">
        <f>J46/J38</f>
        <v>993.36292104456868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+C48+'15'!D48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952.75942442162807</v>
      </c>
      <c r="J48" s="139">
        <f>J46/J40</f>
        <v>1060.2435197907159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+C49+'15'!D49</f>
        <v>545</v>
      </c>
      <c r="E49" s="147">
        <f t="shared" si="0"/>
        <v>9.0833333333333339</v>
      </c>
      <c r="F49" s="187"/>
      <c r="H49" s="190" t="s">
        <v>93</v>
      </c>
      <c r="I49" s="122">
        <v>0</v>
      </c>
      <c r="J49" s="139">
        <f>+I49+'15'!J49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+C50+'15'!D50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+C51+'15'!D51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163</v>
      </c>
      <c r="D52" s="148">
        <f ca="1">SUM(D38:D51)</f>
        <v>1578</v>
      </c>
      <c r="E52" s="149">
        <f ca="1">SUM(E38:E51)</f>
        <v>26.299999999999997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0.11319444444444444</v>
      </c>
      <c r="D53" s="150">
        <f ca="1">D52/(24*60*G4)</f>
        <v>6.848958333333334E-2</v>
      </c>
      <c r="E53" s="151">
        <f ca="1">E52/(G4*24)</f>
        <v>6.8489583333333326E-2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+D34+'15'!J56</f>
        <v>9881</v>
      </c>
      <c r="K56" s="203">
        <f>J56/(J40+J56/1000)/1000</f>
        <v>1.3394388210877907E-2</v>
      </c>
    </row>
    <row r="57" spans="1:11">
      <c r="A57" s="178"/>
      <c r="I57" s="201" t="s">
        <v>100</v>
      </c>
      <c r="J57" s="202">
        <f>+E34+'15'!J57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38:B38"/>
    <mergeCell ref="A41:B41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1" zoomScale="80" zoomScaleNormal="75" zoomScaleSheetLayoutView="80" workbookViewId="0">
      <selection activeCell="C26" sqref="C26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710937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15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458+356+378</f>
        <v>1192</v>
      </c>
    </row>
    <row r="7" spans="1:18" ht="13.5" customHeight="1" thickBot="1">
      <c r="A7" s="810" t="s">
        <v>415</v>
      </c>
      <c r="B7" s="217" t="s">
        <v>432</v>
      </c>
      <c r="C7" s="218">
        <v>11216</v>
      </c>
      <c r="D7" s="219">
        <v>1830</v>
      </c>
      <c r="E7" s="220"/>
      <c r="F7" s="231"/>
      <c r="G7" s="558" t="s">
        <v>11</v>
      </c>
      <c r="H7" s="559" t="s">
        <v>404</v>
      </c>
      <c r="I7" s="813" t="s">
        <v>662</v>
      </c>
      <c r="J7" s="216" t="str">
        <f>+'14'!J7</f>
        <v>T 12,5 VP OW</v>
      </c>
      <c r="K7" s="237"/>
      <c r="L7" s="241"/>
      <c r="M7" s="121">
        <f>+K7+'14'!M7+L7</f>
        <v>43580</v>
      </c>
    </row>
    <row r="8" spans="1:18" ht="13.5" thickBot="1">
      <c r="A8" s="818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16" t="str">
        <f>+'14'!J8</f>
        <v>F 12.5 VP OW</v>
      </c>
      <c r="K8" s="238"/>
      <c r="L8" s="238"/>
      <c r="M8" s="121">
        <f>+K8+'14'!M8+L8</f>
        <v>111865</v>
      </c>
    </row>
    <row r="9" spans="1:18" ht="13.5" thickBot="1">
      <c r="A9" s="818"/>
      <c r="B9" s="217"/>
      <c r="C9" s="218"/>
      <c r="D9" s="219"/>
      <c r="E9" s="222"/>
      <c r="F9" s="231">
        <v>6</v>
      </c>
      <c r="G9" s="560" t="s">
        <v>11</v>
      </c>
      <c r="H9" s="561" t="s">
        <v>454</v>
      </c>
      <c r="I9" s="814"/>
      <c r="J9" s="216" t="str">
        <f>+'14'!J9</f>
        <v>F 13 VP OW</v>
      </c>
      <c r="K9" s="238"/>
      <c r="L9" s="238"/>
      <c r="M9" s="121">
        <f>+K9+'14'!M9+L9</f>
        <v>38598</v>
      </c>
      <c r="N9" s="153">
        <v>1180</v>
      </c>
      <c r="O9" s="153">
        <f>+N9-N9*0.22</f>
        <v>920.4</v>
      </c>
      <c r="P9" s="153">
        <f>360+30</f>
        <v>390</v>
      </c>
      <c r="Q9" s="153">
        <f>+N9*P9</f>
        <v>460200</v>
      </c>
      <c r="R9" s="153">
        <f>+O9*P9</f>
        <v>358956</v>
      </c>
    </row>
    <row r="10" spans="1:18" ht="13.5" thickBot="1">
      <c r="A10" s="818"/>
      <c r="B10" s="217"/>
      <c r="C10" s="218"/>
      <c r="D10" s="219"/>
      <c r="E10" s="221"/>
      <c r="F10" s="231"/>
      <c r="G10" s="558"/>
      <c r="H10" s="561" t="s">
        <v>661</v>
      </c>
      <c r="I10" s="814"/>
      <c r="J10" s="216" t="str">
        <f>+'14'!J10</f>
        <v>T 12 VP OW</v>
      </c>
      <c r="K10" s="238"/>
      <c r="L10" s="238"/>
      <c r="M10" s="121">
        <f>+K10+'14'!M10+L10</f>
        <v>23281</v>
      </c>
      <c r="N10" s="153">
        <v>1250</v>
      </c>
      <c r="O10" s="153">
        <f>+N10-N10*0.23</f>
        <v>962.5</v>
      </c>
      <c r="P10" s="178">
        <f>30+60</f>
        <v>90</v>
      </c>
      <c r="Q10" s="153">
        <f>+N10*P10</f>
        <v>112500</v>
      </c>
      <c r="R10" s="153">
        <f>+O10*P10</f>
        <v>86625</v>
      </c>
    </row>
    <row r="11" spans="1:18" ht="26.25" thickBot="1">
      <c r="A11" s="818"/>
      <c r="B11" s="217"/>
      <c r="C11" s="218"/>
      <c r="D11" s="219"/>
      <c r="E11" s="221"/>
      <c r="F11" s="481"/>
      <c r="G11" s="482"/>
      <c r="H11" s="230" t="s">
        <v>653</v>
      </c>
      <c r="I11" s="814"/>
      <c r="J11" s="216" t="str">
        <f>+'14'!J11</f>
        <v>T 13,5 VP OW</v>
      </c>
      <c r="K11" s="238"/>
      <c r="L11" s="238"/>
      <c r="M11" s="121">
        <f>+K11+'14'!M11+L11</f>
        <v>15672</v>
      </c>
      <c r="P11" s="153">
        <f>SUM(P9:P10)</f>
        <v>480</v>
      </c>
      <c r="Q11" s="153">
        <f>SUM(Q9:Q10)</f>
        <v>572700</v>
      </c>
      <c r="R11" s="153">
        <f>SUM(R9:R10)</f>
        <v>445581</v>
      </c>
    </row>
    <row r="12" spans="1:18" ht="13.5" thickBot="1">
      <c r="A12" s="818"/>
      <c r="B12" s="217"/>
      <c r="C12" s="218"/>
      <c r="D12" s="219"/>
      <c r="E12" s="221"/>
      <c r="F12" s="228"/>
      <c r="G12" s="232"/>
      <c r="H12" s="233" t="s">
        <v>654</v>
      </c>
      <c r="I12" s="814"/>
      <c r="J12" s="216" t="str">
        <f>+'14'!J12</f>
        <v>F 12 VP OW</v>
      </c>
      <c r="K12" s="238"/>
      <c r="L12" s="238"/>
      <c r="M12" s="121">
        <f>+K12+'14'!M12+L12</f>
        <v>69304</v>
      </c>
      <c r="Q12" s="153">
        <f>+Q11/P11</f>
        <v>1193.125</v>
      </c>
      <c r="R12" s="153">
        <f>+R11/P11</f>
        <v>928.29375000000005</v>
      </c>
    </row>
    <row r="13" spans="1:18" ht="13.5" thickBot="1">
      <c r="A13" s="818"/>
      <c r="B13" s="217"/>
      <c r="C13" s="218"/>
      <c r="D13" s="218"/>
      <c r="E13" s="221"/>
      <c r="F13" s="228"/>
      <c r="G13" s="232"/>
      <c r="H13" s="233" t="s">
        <v>658</v>
      </c>
      <c r="I13" s="815"/>
      <c r="J13" s="216" t="str">
        <f>+'14'!J13</f>
        <v>T 12,5 VP OW</v>
      </c>
      <c r="K13" s="238"/>
      <c r="L13" s="238"/>
      <c r="M13" s="121">
        <f>+K13+'14'!M13+L13</f>
        <v>237920</v>
      </c>
    </row>
    <row r="14" spans="1:18" ht="13.5" thickBot="1">
      <c r="A14" s="819"/>
      <c r="B14" s="169" t="s">
        <v>2</v>
      </c>
      <c r="C14" s="103">
        <f>SUM(C7:C13)</f>
        <v>11216</v>
      </c>
      <c r="D14" s="115">
        <f>SUM(D7:D13)</f>
        <v>1830</v>
      </c>
      <c r="E14" s="116">
        <f>SUM(E9:E13)</f>
        <v>0</v>
      </c>
      <c r="F14" s="106">
        <f>SUM(F6:F13)</f>
        <v>6</v>
      </c>
      <c r="G14" s="163"/>
      <c r="H14" s="170"/>
      <c r="I14" s="171"/>
      <c r="J14" s="216" t="str">
        <f>+'14'!J14</f>
        <v>T 14 VP OW</v>
      </c>
      <c r="K14" s="238">
        <f>+C17+C25</f>
        <v>26379</v>
      </c>
      <c r="L14" s="238"/>
      <c r="M14" s="121">
        <f>+K14+'14'!M14+L14</f>
        <v>80673</v>
      </c>
    </row>
    <row r="15" spans="1:18" ht="13.5" customHeight="1" thickBot="1">
      <c r="A15" s="831" t="s">
        <v>415</v>
      </c>
      <c r="B15" s="510"/>
      <c r="C15" s="563">
        <f>C14/($C$32+$D$32+$E$32)</f>
        <v>0.58474532089046449</v>
      </c>
      <c r="D15" s="108">
        <f>D14/($C$32+$D$32+$E$32)</f>
        <v>9.5406913091079709E-2</v>
      </c>
      <c r="E15" s="109">
        <f>E14/($C$32+$D$32+$E$32)</f>
        <v>0</v>
      </c>
      <c r="F15" s="231"/>
      <c r="G15" s="558" t="s">
        <v>11</v>
      </c>
      <c r="H15" s="559" t="s">
        <v>404</v>
      </c>
      <c r="I15" s="813" t="s">
        <v>663</v>
      </c>
      <c r="J15" s="216" t="str">
        <f>+'14'!J15</f>
        <v>T 15 VP OW</v>
      </c>
      <c r="K15" s="238">
        <f>+C7+C16</f>
        <v>20726</v>
      </c>
      <c r="L15" s="238"/>
      <c r="M15" s="121">
        <f>+K15+'14'!M15+L15</f>
        <v>55010</v>
      </c>
    </row>
    <row r="16" spans="1:18" ht="13.5" thickBot="1">
      <c r="A16" s="818"/>
      <c r="B16" s="217" t="s">
        <v>432</v>
      </c>
      <c r="C16" s="511">
        <f>5914+3596</f>
        <v>9510</v>
      </c>
      <c r="D16" s="223"/>
      <c r="E16" s="224"/>
      <c r="F16" s="231"/>
      <c r="G16" s="560" t="s">
        <v>11</v>
      </c>
      <c r="H16" s="559" t="s">
        <v>426</v>
      </c>
      <c r="I16" s="814"/>
      <c r="J16" s="216" t="s">
        <v>666</v>
      </c>
      <c r="K16" s="229"/>
      <c r="L16" s="229"/>
      <c r="M16" s="121">
        <f>+K16+'14'!M16+L16</f>
        <v>0</v>
      </c>
      <c r="N16" s="178"/>
      <c r="O16" s="178"/>
      <c r="P16" s="178"/>
    </row>
    <row r="17" spans="1:18" ht="13.5" thickBot="1">
      <c r="A17" s="818"/>
      <c r="B17" s="217" t="s">
        <v>622</v>
      </c>
      <c r="C17" s="218">
        <v>7198</v>
      </c>
      <c r="D17" s="219">
        <v>280</v>
      </c>
      <c r="E17" s="225"/>
      <c r="F17" s="231">
        <v>6</v>
      </c>
      <c r="G17" s="560" t="s">
        <v>11</v>
      </c>
      <c r="H17" s="561" t="s">
        <v>428</v>
      </c>
      <c r="I17" s="814"/>
      <c r="J17" s="216">
        <f>+'14'!J17</f>
        <v>0</v>
      </c>
      <c r="K17" s="229"/>
      <c r="L17" s="229"/>
      <c r="M17" s="121">
        <f>+K17+'14'!M17+L17</f>
        <v>0</v>
      </c>
      <c r="N17" s="153">
        <v>1250</v>
      </c>
      <c r="O17" s="153">
        <f>+N17-N17*0.23</f>
        <v>962.5</v>
      </c>
      <c r="P17" s="178">
        <f>55+90</f>
        <v>145</v>
      </c>
      <c r="Q17" s="153">
        <f>+N17*P17</f>
        <v>181250</v>
      </c>
      <c r="R17" s="153">
        <f>+O17*P17</f>
        <v>139562.5</v>
      </c>
    </row>
    <row r="18" spans="1:18" ht="13.5" thickBot="1">
      <c r="A18" s="818"/>
      <c r="B18" s="217"/>
      <c r="C18" s="218"/>
      <c r="D18" s="219"/>
      <c r="E18" s="225"/>
      <c r="F18" s="231"/>
      <c r="G18" s="558"/>
      <c r="H18" s="561" t="s">
        <v>657</v>
      </c>
      <c r="I18" s="814"/>
      <c r="J18" s="216">
        <f>+'14'!J18</f>
        <v>0</v>
      </c>
      <c r="K18" s="238"/>
      <c r="L18" s="238"/>
      <c r="M18" s="121">
        <f>+K18+'14'!M18+L18</f>
        <v>0</v>
      </c>
      <c r="N18" s="153">
        <v>1300</v>
      </c>
      <c r="O18" s="153">
        <f>+N18-N18*0.23</f>
        <v>1001</v>
      </c>
      <c r="P18" s="178">
        <f>425+310</f>
        <v>735</v>
      </c>
      <c r="Q18" s="153">
        <f>+N18*P18</f>
        <v>955500</v>
      </c>
      <c r="R18" s="153">
        <f>+O18*P18</f>
        <v>735735</v>
      </c>
    </row>
    <row r="19" spans="1:18" ht="13.5" thickBot="1">
      <c r="A19" s="818"/>
      <c r="B19" s="217"/>
      <c r="C19" s="218"/>
      <c r="D19" s="219"/>
      <c r="E19" s="225"/>
      <c r="F19" s="228"/>
      <c r="G19" s="232"/>
      <c r="H19" s="230" t="s">
        <v>655</v>
      </c>
      <c r="I19" s="814"/>
      <c r="J19" s="216">
        <f>+'14'!J19</f>
        <v>0</v>
      </c>
      <c r="K19" s="238"/>
      <c r="L19" s="238"/>
      <c r="M19" s="121">
        <f>+K19+'14'!M19+L19</f>
        <v>0</v>
      </c>
      <c r="P19" s="153">
        <f>SUM(P17:P18)</f>
        <v>880</v>
      </c>
      <c r="Q19" s="153">
        <f>SUM(Q17:Q18)</f>
        <v>1136750</v>
      </c>
      <c r="R19" s="153">
        <f>SUM(R17:R18)</f>
        <v>875297.5</v>
      </c>
    </row>
    <row r="20" spans="1:18" ht="13.5" thickBot="1">
      <c r="A20" s="818"/>
      <c r="B20" s="217"/>
      <c r="C20" s="218"/>
      <c r="D20" s="219"/>
      <c r="E20" s="225"/>
      <c r="F20" s="228"/>
      <c r="G20" s="232"/>
      <c r="H20" s="233" t="s">
        <v>656</v>
      </c>
      <c r="I20" s="814"/>
      <c r="J20" s="216">
        <f>+'14'!J20</f>
        <v>0</v>
      </c>
      <c r="K20" s="239"/>
      <c r="L20" s="239"/>
      <c r="M20" s="121">
        <f>+K20+'14'!M20+L20</f>
        <v>0</v>
      </c>
      <c r="Q20" s="153">
        <f>+Q19/P19</f>
        <v>1291.7613636363637</v>
      </c>
      <c r="R20" s="153">
        <f>+R19/P19</f>
        <v>994.65625</v>
      </c>
    </row>
    <row r="21" spans="1:18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+'14'!J21</f>
        <v>0</v>
      </c>
      <c r="K21" s="238"/>
      <c r="L21" s="238"/>
      <c r="M21" s="121">
        <f>+K21+'14'!M21+L21</f>
        <v>0</v>
      </c>
    </row>
    <row r="22" spans="1:18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+'14'!J22</f>
        <v>0</v>
      </c>
      <c r="K22" s="238"/>
      <c r="L22" s="238"/>
      <c r="M22" s="121">
        <f>+K22+'14'!M22+L22</f>
        <v>0</v>
      </c>
    </row>
    <row r="23" spans="1:18" ht="13.5" thickBot="1">
      <c r="A23" s="819"/>
      <c r="B23" s="169" t="s">
        <v>2</v>
      </c>
      <c r="C23" s="103">
        <f>SUM(C16:C22)</f>
        <v>16708</v>
      </c>
      <c r="D23" s="115">
        <f>SUM(D16:D22)</f>
        <v>280</v>
      </c>
      <c r="E23" s="116">
        <f>SUM(E18:E22)</f>
        <v>0</v>
      </c>
      <c r="F23" s="106">
        <f>SUM(F15:F22)</f>
        <v>6</v>
      </c>
      <c r="G23" s="163"/>
      <c r="H23" s="170"/>
      <c r="I23" s="172"/>
      <c r="J23" s="216">
        <f>+'14'!J23</f>
        <v>0</v>
      </c>
      <c r="K23" s="238"/>
      <c r="L23" s="238"/>
      <c r="M23" s="121">
        <f>+K23+'14'!M23+L23</f>
        <v>0</v>
      </c>
    </row>
    <row r="24" spans="1:18" ht="13.5" thickBot="1">
      <c r="A24" s="831" t="s">
        <v>467</v>
      </c>
      <c r="B24" s="510"/>
      <c r="C24" s="117">
        <f>C23/($C$23+$D$23+$E$23)</f>
        <v>0.9835177772545326</v>
      </c>
      <c r="D24" s="118">
        <f>D23/($C$23+$D$23+$E$23)</f>
        <v>1.648222274546739E-2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664</v>
      </c>
      <c r="J24" s="216">
        <f>+'14'!J24</f>
        <v>0</v>
      </c>
      <c r="K24" s="238"/>
      <c r="L24" s="238"/>
      <c r="M24" s="121">
        <f>+K24+'14'!M24+L24</f>
        <v>0</v>
      </c>
    </row>
    <row r="25" spans="1:18" ht="13.5" thickBot="1">
      <c r="A25" s="818"/>
      <c r="B25" s="217" t="s">
        <v>622</v>
      </c>
      <c r="C25" s="226">
        <v>19181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+'14'!J25</f>
        <v>0</v>
      </c>
      <c r="K25" s="238"/>
      <c r="L25" s="238"/>
      <c r="M25" s="121">
        <f>+K25+'14'!M25+L25</f>
        <v>0</v>
      </c>
      <c r="N25" s="153">
        <v>1300</v>
      </c>
      <c r="O25" s="153">
        <f>+N25-N25*0.23</f>
        <v>1001</v>
      </c>
      <c r="P25" s="178">
        <v>310</v>
      </c>
      <c r="Q25" s="153">
        <f>+N25*P25</f>
        <v>403000</v>
      </c>
      <c r="R25" s="153">
        <f>+O25*P25</f>
        <v>310310</v>
      </c>
    </row>
    <row r="26" spans="1:18" ht="13.5" thickBot="1">
      <c r="A26" s="818"/>
      <c r="B26" s="217"/>
      <c r="C26" s="226"/>
      <c r="D26" s="219"/>
      <c r="E26" s="227"/>
      <c r="F26" s="231">
        <v>5</v>
      </c>
      <c r="G26" s="560" t="s">
        <v>11</v>
      </c>
      <c r="H26" s="561" t="s">
        <v>428</v>
      </c>
      <c r="I26" s="814"/>
      <c r="J26" s="216">
        <f>+'14'!J26</f>
        <v>0</v>
      </c>
      <c r="K26" s="238"/>
      <c r="L26" s="238"/>
      <c r="M26" s="121">
        <f>+K26+'14'!M26+L26</f>
        <v>0</v>
      </c>
      <c r="N26" s="153">
        <v>1080</v>
      </c>
      <c r="O26" s="153">
        <f>+N26-N26*0.2</f>
        <v>864</v>
      </c>
      <c r="P26" s="178">
        <f>50+120</f>
        <v>170</v>
      </c>
      <c r="Q26" s="153">
        <f>+N26*P26</f>
        <v>183600</v>
      </c>
      <c r="R26" s="153">
        <f>+O26*P26</f>
        <v>146880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659</v>
      </c>
      <c r="I27" s="814"/>
      <c r="J27" s="216">
        <f>+'14'!J27</f>
        <v>0</v>
      </c>
      <c r="K27" s="238"/>
      <c r="L27" s="238"/>
      <c r="M27" s="121">
        <f>+K27+'14'!M27+L27</f>
        <v>0</v>
      </c>
      <c r="P27" s="153">
        <f>SUM(P25:P26)</f>
        <v>480</v>
      </c>
      <c r="Q27" s="153">
        <f>SUM(Q25:Q26)</f>
        <v>586600</v>
      </c>
      <c r="R27" s="153">
        <f>SUM(R25:R26)</f>
        <v>457190</v>
      </c>
    </row>
    <row r="28" spans="1:18" ht="13.5" thickBot="1">
      <c r="A28" s="818"/>
      <c r="B28" s="217"/>
      <c r="C28" s="218"/>
      <c r="D28" s="219"/>
      <c r="E28" s="225"/>
      <c r="F28" s="228"/>
      <c r="G28" s="232"/>
      <c r="H28" s="230" t="s">
        <v>660</v>
      </c>
      <c r="I28" s="814"/>
      <c r="J28" s="216">
        <f>+'14'!J28</f>
        <v>0</v>
      </c>
      <c r="K28" s="238"/>
      <c r="L28" s="238"/>
      <c r="M28" s="121">
        <f>+K28+'14'!M28+L28</f>
        <v>0</v>
      </c>
      <c r="Q28" s="153">
        <f>+Q27/P27</f>
        <v>1222.0833333333333</v>
      </c>
      <c r="R28" s="153">
        <f>+R27/P27</f>
        <v>952.47916666666663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/>
      <c r="I29" s="814"/>
      <c r="J29" s="216">
        <f>+'14'!J29</f>
        <v>0</v>
      </c>
      <c r="K29" s="238"/>
      <c r="L29" s="238"/>
      <c r="M29" s="121">
        <f>+K29+'14'!M29+L29</f>
        <v>0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+'14'!J30</f>
        <v>0</v>
      </c>
      <c r="K30" s="238"/>
      <c r="L30" s="238"/>
      <c r="M30" s="121">
        <f>+K30+'14'!M30+L30</f>
        <v>0</v>
      </c>
      <c r="N30" s="159"/>
    </row>
    <row r="31" spans="1:18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+'14'!J31</f>
        <v>0</v>
      </c>
      <c r="K31" s="238"/>
      <c r="L31" s="238"/>
      <c r="M31" s="121">
        <f>+K31+'14'!M31+L31</f>
        <v>0</v>
      </c>
    </row>
    <row r="32" spans="1:18" ht="13.5" thickBot="1">
      <c r="A32" s="819"/>
      <c r="B32" s="169" t="s">
        <v>2</v>
      </c>
      <c r="C32" s="103">
        <f>SUM(C25:C31)</f>
        <v>19181</v>
      </c>
      <c r="D32" s="104">
        <f>SUM(D25:D31)</f>
        <v>0</v>
      </c>
      <c r="E32" s="105">
        <f>SUM(E25:E31)</f>
        <v>0</v>
      </c>
      <c r="F32" s="103">
        <f>SUM(F24:F31)</f>
        <v>5</v>
      </c>
      <c r="G32" s="173"/>
      <c r="H32" s="174"/>
      <c r="I32" s="172"/>
      <c r="J32" s="216">
        <f>+'14'!J32</f>
        <v>0</v>
      </c>
      <c r="K32" s="240"/>
      <c r="L32" s="242"/>
      <c r="M32" s="121">
        <f>+K32+'14'!M32+L32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47105</v>
      </c>
      <c r="D34" s="111">
        <f>D14+D23+D32</f>
        <v>2110</v>
      </c>
      <c r="E34" s="111">
        <f>E14+E23+E32</f>
        <v>0</v>
      </c>
      <c r="F34" s="112">
        <f>F14+F23+F32</f>
        <v>17</v>
      </c>
      <c r="H34" s="180"/>
      <c r="I34" s="180"/>
      <c r="J34" s="127" t="s">
        <v>27</v>
      </c>
      <c r="K34" s="128">
        <f>SUM(K7:K32)</f>
        <v>47105</v>
      </c>
      <c r="L34" s="214">
        <f>SUM(L7:L32)</f>
        <v>0</v>
      </c>
      <c r="M34" s="124">
        <f>SUM(M7:M32)</f>
        <v>675903</v>
      </c>
      <c r="N34" s="159"/>
    </row>
    <row r="35" spans="1:14" ht="13.5" thickBot="1">
      <c r="A35" s="181"/>
      <c r="B35" s="182"/>
      <c r="C35" s="108">
        <f>C34/($C$34+$D$34+$E$34)</f>
        <v>0.95712689220766023</v>
      </c>
      <c r="D35" s="108">
        <f>D34/($C$34+$D$34+$E$34)</f>
        <v>4.2873107792339736E-2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(15*390+14*790+17*170)/1440*G42*2.85*1440/1000000</f>
        <v>54.123169031250001</v>
      </c>
      <c r="J37" s="129">
        <f>+I37+'14'!J37</f>
        <v>798.88237539742784</v>
      </c>
      <c r="K37" s="130" t="s">
        <v>74</v>
      </c>
      <c r="N37" s="153">
        <f>16.651-2.239</f>
        <v>14.411999999999999</v>
      </c>
    </row>
    <row r="38" spans="1:14" ht="17.45" customHeight="1">
      <c r="A38" s="824" t="s">
        <v>11</v>
      </c>
      <c r="B38" s="825"/>
      <c r="C38" s="168">
        <f>SUMIF($G$7:$G$31,"Process",$F$7:$F$31)</f>
        <v>17</v>
      </c>
      <c r="D38" s="122">
        <f>+C38+'14'!D38</f>
        <v>809</v>
      </c>
      <c r="E38" s="147">
        <f t="shared" ref="E38:E51" si="0">D38/60</f>
        <v>13.483333333333333</v>
      </c>
      <c r="F38" s="334">
        <v>1193.125</v>
      </c>
      <c r="G38" s="334">
        <v>928.29375000000005</v>
      </c>
      <c r="H38" s="189" t="s">
        <v>75</v>
      </c>
      <c r="I38" s="581">
        <f>16.651+17.224+17.183</f>
        <v>51.058</v>
      </c>
      <c r="J38" s="131">
        <f>+I38+'14'!J38</f>
        <v>727.57400000000007</v>
      </c>
      <c r="K38" s="132" t="s">
        <v>74</v>
      </c>
      <c r="N38" s="580">
        <f>+I38-N37-N39</f>
        <v>31.826000000000001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+C39+'14'!D39</f>
        <v>0</v>
      </c>
      <c r="E39" s="147">
        <f t="shared" si="0"/>
        <v>0</v>
      </c>
      <c r="F39" s="334">
        <v>1294.2708333333333</v>
      </c>
      <c r="G39" s="334">
        <v>996.58854166666663</v>
      </c>
      <c r="H39" s="189" t="s">
        <v>76</v>
      </c>
      <c r="I39" s="146"/>
      <c r="J39" s="133">
        <f>J37/G4</f>
        <v>53.258825026495188</v>
      </c>
      <c r="K39" s="134" t="s">
        <v>74</v>
      </c>
      <c r="N39" s="594">
        <f>2.41+2.41</f>
        <v>4.82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+C40+'14'!D40</f>
        <v>61</v>
      </c>
      <c r="E40" s="147">
        <f t="shared" ca="1" si="0"/>
        <v>1.0166666666666666</v>
      </c>
      <c r="F40" s="334">
        <v>1222.0833333333333</v>
      </c>
      <c r="G40" s="334">
        <v>952.47916666666663</v>
      </c>
      <c r="H40" s="189" t="s">
        <v>78</v>
      </c>
      <c r="I40" s="122">
        <f>(K34+L34)/1000</f>
        <v>47.104999999999997</v>
      </c>
      <c r="J40" s="135">
        <f>+I40+'14'!J40</f>
        <v>675.90300000000013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+C41+'14'!D41</f>
        <v>0</v>
      </c>
      <c r="E41" s="147">
        <f t="shared" ca="1" si="0"/>
        <v>0</v>
      </c>
      <c r="F41" s="334"/>
      <c r="G41" s="334"/>
      <c r="H41" s="189" t="s">
        <v>80</v>
      </c>
      <c r="I41" s="146"/>
      <c r="J41" s="133">
        <f>J40/G4</f>
        <v>45.060200000000009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+C42+'14'!D42</f>
        <v>0</v>
      </c>
      <c r="E42" s="147">
        <f t="shared" ca="1" si="0"/>
        <v>0</v>
      </c>
      <c r="F42" s="334">
        <f>+(F38*480+F39*480+F40*480)/1440</f>
        <v>1236.4930555555557</v>
      </c>
      <c r="G42" s="334">
        <f>+(G38*480+G39*480+G40*480)/1440</f>
        <v>959.12048611111106</v>
      </c>
      <c r="H42" s="189" t="s">
        <v>81</v>
      </c>
      <c r="I42" s="245" t="s">
        <v>665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+C43+'14'!D43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+Report1!Z23</f>
        <v>130.80000000000001</v>
      </c>
      <c r="J43" s="137">
        <f>+I43+'14'!J43</f>
        <v>1818.7999999999997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+C44+'14'!D44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2.5617924713071409</v>
      </c>
      <c r="J44" s="138">
        <f>J43/J38</f>
        <v>2.499814451863315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+C45+'14'!D45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2.7767752892474262</v>
      </c>
      <c r="J45" s="138">
        <f>J43/J40</f>
        <v>2.6909186673235648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+C46+'14'!D46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+SUMIF(Listrik!AN22,"&gt;0")</f>
        <v>44240.800000000032</v>
      </c>
      <c r="J46" s="139">
        <f>+I46+'14'!J46</f>
        <v>722201.59759999986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+C47+'14'!D47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866.48125661013023</v>
      </c>
      <c r="J47" s="139">
        <f>J46/J38</f>
        <v>992.61600551971321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+C48+'14'!D48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939.19541449952305</v>
      </c>
      <c r="J48" s="139">
        <f>J46/J40</f>
        <v>1068.4988786852548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+C49+'14'!D49</f>
        <v>545</v>
      </c>
      <c r="E49" s="147">
        <f t="shared" si="0"/>
        <v>9.0833333333333339</v>
      </c>
      <c r="F49" s="187"/>
      <c r="H49" s="190" t="s">
        <v>93</v>
      </c>
      <c r="I49" s="122">
        <v>0</v>
      </c>
      <c r="J49" s="139">
        <f>+I49+'14'!J49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+C50+'14'!D50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+C51+'14'!D51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17</v>
      </c>
      <c r="D52" s="148">
        <f ca="1">SUM(D38:D51)</f>
        <v>1415</v>
      </c>
      <c r="E52" s="149">
        <f ca="1">SUM(E38:E51)</f>
        <v>23.583333333333336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1.1805555555555555E-2</v>
      </c>
      <c r="D53" s="150">
        <f ca="1">D52/(24*60*G4)</f>
        <v>6.5509259259259253E-2</v>
      </c>
      <c r="E53" s="151">
        <f ca="1">E52/(G4*24)</f>
        <v>6.5509259259259267E-2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+D34+'14'!J56</f>
        <v>9597</v>
      </c>
      <c r="K56" s="203">
        <f>J56/(J40+J56/1000)/1000</f>
        <v>1.3999999999999999E-2</v>
      </c>
    </row>
    <row r="57" spans="1:11">
      <c r="A57" s="178"/>
      <c r="I57" s="201" t="s">
        <v>100</v>
      </c>
      <c r="J57" s="202">
        <f>+E34+'14'!J57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8:B48"/>
    <mergeCell ref="A49:B49"/>
    <mergeCell ref="A50:B50"/>
    <mergeCell ref="A51:B51"/>
    <mergeCell ref="A52:B5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I7:I13"/>
    <mergeCell ref="A15:A23"/>
    <mergeCell ref="I15:I22"/>
    <mergeCell ref="A44:B44"/>
    <mergeCell ref="A45:B45"/>
    <mergeCell ref="A42:B42"/>
    <mergeCell ref="I24:I31"/>
    <mergeCell ref="A24:A3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14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424+358+371</f>
        <v>1153</v>
      </c>
    </row>
    <row r="7" spans="1:18" ht="13.5" customHeight="1" thickBot="1">
      <c r="A7" s="810" t="s">
        <v>415</v>
      </c>
      <c r="B7" s="217" t="s">
        <v>622</v>
      </c>
      <c r="C7" s="218">
        <v>12290</v>
      </c>
      <c r="D7" s="219"/>
      <c r="E7" s="220"/>
      <c r="F7" s="231"/>
      <c r="G7" s="558" t="s">
        <v>11</v>
      </c>
      <c r="H7" s="559" t="s">
        <v>404</v>
      </c>
      <c r="I7" s="813" t="s">
        <v>619</v>
      </c>
      <c r="J7" s="216" t="str">
        <f>+'13'!J7</f>
        <v>T 12,5 VP OW</v>
      </c>
      <c r="K7" s="237"/>
      <c r="L7" s="241"/>
      <c r="M7" s="121">
        <f>+K7+'13'!M7+L7</f>
        <v>43580</v>
      </c>
    </row>
    <row r="8" spans="1:18" ht="13.5" thickBot="1">
      <c r="A8" s="818"/>
      <c r="B8" s="217" t="s">
        <v>431</v>
      </c>
      <c r="C8" s="218">
        <v>534</v>
      </c>
      <c r="D8" s="219"/>
      <c r="E8" s="221"/>
      <c r="F8" s="231"/>
      <c r="G8" s="560" t="s">
        <v>11</v>
      </c>
      <c r="H8" s="559" t="s">
        <v>426</v>
      </c>
      <c r="I8" s="814"/>
      <c r="J8" s="216" t="str">
        <f>+'13'!J8</f>
        <v>F 12.5 VP OW</v>
      </c>
      <c r="K8" s="238"/>
      <c r="L8" s="238"/>
      <c r="M8" s="121">
        <f>+K8+'13'!M8+L8</f>
        <v>111865</v>
      </c>
      <c r="N8" s="153">
        <v>1300</v>
      </c>
      <c r="O8" s="153">
        <f>+N8-N8*0.24</f>
        <v>988</v>
      </c>
      <c r="P8" s="153">
        <f>480+15</f>
        <v>495</v>
      </c>
    </row>
    <row r="9" spans="1:18" ht="13.5" thickBot="1">
      <c r="A9" s="818"/>
      <c r="B9" s="217"/>
      <c r="C9" s="218"/>
      <c r="D9" s="219"/>
      <c r="E9" s="222"/>
      <c r="F9" s="231">
        <v>5</v>
      </c>
      <c r="G9" s="560" t="s">
        <v>11</v>
      </c>
      <c r="H9" s="561" t="s">
        <v>650</v>
      </c>
      <c r="I9" s="814"/>
      <c r="J9" s="216" t="str">
        <f>+'13'!J9</f>
        <v>F 13 VP OW</v>
      </c>
      <c r="K9" s="238"/>
      <c r="L9" s="238"/>
      <c r="M9" s="121">
        <f>+K9+'13'!M9+L9</f>
        <v>38598</v>
      </c>
    </row>
    <row r="10" spans="1:18" ht="13.5" thickBot="1">
      <c r="A10" s="818"/>
      <c r="B10" s="217"/>
      <c r="C10" s="218"/>
      <c r="D10" s="219"/>
      <c r="E10" s="221"/>
      <c r="F10" s="231"/>
      <c r="G10" s="558"/>
      <c r="H10" s="561" t="s">
        <v>640</v>
      </c>
      <c r="I10" s="814"/>
      <c r="J10" s="216" t="str">
        <f>+'13'!J10</f>
        <v>T 12 VP OW</v>
      </c>
      <c r="K10" s="238"/>
      <c r="L10" s="238"/>
      <c r="M10" s="121">
        <f>+K10+'13'!M10+L10</f>
        <v>23281</v>
      </c>
    </row>
    <row r="11" spans="1:18" ht="13.5" thickBot="1">
      <c r="A11" s="818"/>
      <c r="B11" s="217"/>
      <c r="C11" s="218"/>
      <c r="D11" s="219"/>
      <c r="E11" s="221"/>
      <c r="F11" s="481"/>
      <c r="G11" s="482"/>
      <c r="H11" s="230" t="s">
        <v>641</v>
      </c>
      <c r="I11" s="814"/>
      <c r="J11" s="216" t="str">
        <f>+'13'!J11</f>
        <v>T 13,5 VP OW</v>
      </c>
      <c r="K11" s="238"/>
      <c r="L11" s="238"/>
      <c r="M11" s="121">
        <f>+K11+'13'!M11+L11</f>
        <v>15672</v>
      </c>
      <c r="P11" s="178"/>
    </row>
    <row r="12" spans="1:18" ht="13.5" thickBot="1">
      <c r="A12" s="818"/>
      <c r="B12" s="217"/>
      <c r="C12" s="218"/>
      <c r="D12" s="219"/>
      <c r="E12" s="221"/>
      <c r="F12" s="228"/>
      <c r="G12" s="232"/>
      <c r="H12" s="233" t="s">
        <v>642</v>
      </c>
      <c r="I12" s="814"/>
      <c r="J12" s="216" t="str">
        <f>+'13'!J12</f>
        <v>F 12 VP OW</v>
      </c>
      <c r="K12" s="238"/>
      <c r="L12" s="238"/>
      <c r="M12" s="121">
        <f>+K12+'13'!M12+L12</f>
        <v>69304</v>
      </c>
      <c r="Q12" s="178"/>
      <c r="R12" s="178"/>
    </row>
    <row r="13" spans="1:18" ht="13.5" thickBot="1">
      <c r="A13" s="818"/>
      <c r="B13" s="217"/>
      <c r="C13" s="218"/>
      <c r="D13" s="218"/>
      <c r="E13" s="221"/>
      <c r="F13" s="228"/>
      <c r="G13" s="232"/>
      <c r="H13" s="233"/>
      <c r="I13" s="815"/>
      <c r="J13" s="216" t="str">
        <f>+'13'!J13</f>
        <v>T 12,5 VP OW</v>
      </c>
      <c r="K13" s="238">
        <f>+C8</f>
        <v>534</v>
      </c>
      <c r="L13" s="238"/>
      <c r="M13" s="121">
        <f>+K13+'13'!M13+L13</f>
        <v>237920</v>
      </c>
    </row>
    <row r="14" spans="1:18" ht="13.5" thickBot="1">
      <c r="A14" s="819"/>
      <c r="B14" s="169" t="s">
        <v>2</v>
      </c>
      <c r="C14" s="103">
        <f>SUM(C7:C13)</f>
        <v>12824</v>
      </c>
      <c r="D14" s="115">
        <f>SUM(D7:D13)</f>
        <v>0</v>
      </c>
      <c r="E14" s="116">
        <f>SUM(E9:E13)</f>
        <v>0</v>
      </c>
      <c r="F14" s="106">
        <f>SUM(F6:F13)</f>
        <v>5</v>
      </c>
      <c r="G14" s="163"/>
      <c r="H14" s="170"/>
      <c r="I14" s="171"/>
      <c r="J14" s="216" t="str">
        <f>+'13'!J14</f>
        <v>T 14 VP OW</v>
      </c>
      <c r="K14" s="238">
        <f>+C7+C16+C25</f>
        <v>27901</v>
      </c>
      <c r="L14" s="238"/>
      <c r="M14" s="121">
        <f>+K14+'13'!M14+L14</f>
        <v>54294</v>
      </c>
    </row>
    <row r="15" spans="1:18" ht="13.5" thickBot="1">
      <c r="A15" s="831" t="s">
        <v>415</v>
      </c>
      <c r="B15" s="510"/>
      <c r="C15" s="563">
        <f>C14/($C$32+$D$32+$E$32)</f>
        <v>0.85865416806160022</v>
      </c>
      <c r="D15" s="108">
        <f>D14/($C$32+$D$32+$E$32)</f>
        <v>0</v>
      </c>
      <c r="E15" s="109">
        <f>E14/($C$32+$D$32+$E$32)</f>
        <v>0</v>
      </c>
      <c r="F15" s="231"/>
      <c r="G15" s="558" t="s">
        <v>11</v>
      </c>
      <c r="H15" s="559" t="s">
        <v>404</v>
      </c>
      <c r="I15" s="813" t="s">
        <v>648</v>
      </c>
      <c r="J15" s="216" t="str">
        <f>+'13'!J15</f>
        <v>T 15 VP OW</v>
      </c>
      <c r="K15" s="238">
        <f>+C17+C26</f>
        <v>13813</v>
      </c>
      <c r="L15" s="238"/>
      <c r="M15" s="121">
        <f>+K15+'13'!M15+L15</f>
        <v>34284</v>
      </c>
    </row>
    <row r="16" spans="1:18" ht="13.5" thickBot="1">
      <c r="A16" s="818"/>
      <c r="B16" s="217" t="s">
        <v>622</v>
      </c>
      <c r="C16" s="511">
        <v>11031</v>
      </c>
      <c r="D16" s="223"/>
      <c r="E16" s="224"/>
      <c r="F16" s="231"/>
      <c r="G16" s="560" t="s">
        <v>11</v>
      </c>
      <c r="H16" s="559" t="s">
        <v>426</v>
      </c>
      <c r="I16" s="814"/>
      <c r="J16" s="216">
        <f>+'13'!J16</f>
        <v>0</v>
      </c>
      <c r="K16" s="229"/>
      <c r="L16" s="229"/>
      <c r="M16" s="121">
        <f>+K16+'13'!M16+L16</f>
        <v>0</v>
      </c>
    </row>
    <row r="17" spans="1:18" ht="13.5" thickBot="1">
      <c r="A17" s="818"/>
      <c r="B17" s="217" t="s">
        <v>432</v>
      </c>
      <c r="C17" s="218">
        <f>2906+1772</f>
        <v>4678</v>
      </c>
      <c r="D17" s="219"/>
      <c r="E17" s="225"/>
      <c r="F17" s="231">
        <v>7</v>
      </c>
      <c r="G17" s="560" t="s">
        <v>11</v>
      </c>
      <c r="H17" s="561" t="s">
        <v>428</v>
      </c>
      <c r="I17" s="814"/>
      <c r="J17" s="216">
        <f>+'13'!J17</f>
        <v>0</v>
      </c>
      <c r="K17" s="229"/>
      <c r="L17" s="229"/>
      <c r="M17" s="121">
        <f>+K17+'13'!M17+L17</f>
        <v>0</v>
      </c>
      <c r="N17" s="153">
        <v>1300</v>
      </c>
      <c r="O17" s="153">
        <f>+N17-N17*0.24</f>
        <v>988</v>
      </c>
      <c r="P17" s="153">
        <v>15</v>
      </c>
      <c r="Q17" s="153">
        <f>+N17*P17</f>
        <v>19500</v>
      </c>
      <c r="R17" s="153">
        <f>+O17*P17</f>
        <v>14820</v>
      </c>
    </row>
    <row r="18" spans="1:18" ht="13.5" thickBot="1">
      <c r="A18" s="818"/>
      <c r="B18" s="217"/>
      <c r="C18" s="218"/>
      <c r="D18" s="219"/>
      <c r="E18" s="225"/>
      <c r="F18" s="231"/>
      <c r="G18" s="558"/>
      <c r="H18" s="561" t="s">
        <v>640</v>
      </c>
      <c r="I18" s="814"/>
      <c r="J18" s="216">
        <f>+'13'!J18</f>
        <v>0</v>
      </c>
      <c r="K18" s="238"/>
      <c r="L18" s="238"/>
      <c r="M18" s="121">
        <f>+K18+'13'!M18+L18</f>
        <v>0</v>
      </c>
      <c r="N18" s="153">
        <v>1250</v>
      </c>
      <c r="O18" s="153">
        <f>+N18-N18*0.23</f>
        <v>962.5</v>
      </c>
      <c r="P18" s="153">
        <f>480-P17</f>
        <v>465</v>
      </c>
      <c r="Q18" s="153">
        <f>+N18*P18</f>
        <v>581250</v>
      </c>
      <c r="R18" s="153">
        <f>+O18*P18</f>
        <v>447562.5</v>
      </c>
    </row>
    <row r="19" spans="1:18" ht="13.5" thickBot="1">
      <c r="A19" s="818"/>
      <c r="B19" s="217"/>
      <c r="C19" s="218"/>
      <c r="D19" s="219"/>
      <c r="E19" s="225"/>
      <c r="F19" s="228"/>
      <c r="G19" s="232"/>
      <c r="H19" s="230" t="s">
        <v>644</v>
      </c>
      <c r="I19" s="814"/>
      <c r="J19" s="216">
        <f>+'13'!J19</f>
        <v>0</v>
      </c>
      <c r="K19" s="238"/>
      <c r="L19" s="238"/>
      <c r="M19" s="121">
        <f>+K19+'13'!M19+L19</f>
        <v>0</v>
      </c>
      <c r="P19" s="178">
        <f>SUM(P17:P18)</f>
        <v>480</v>
      </c>
      <c r="Q19" s="178">
        <f>SUM(Q17:Q18)</f>
        <v>600750</v>
      </c>
      <c r="R19" s="178">
        <f>SUM(R17:R18)</f>
        <v>462382.5</v>
      </c>
    </row>
    <row r="20" spans="1:18" ht="26.25" thickBot="1">
      <c r="A20" s="818"/>
      <c r="B20" s="217"/>
      <c r="C20" s="218"/>
      <c r="D20" s="219"/>
      <c r="E20" s="225"/>
      <c r="F20" s="228"/>
      <c r="G20" s="232"/>
      <c r="H20" s="233" t="s">
        <v>643</v>
      </c>
      <c r="I20" s="814"/>
      <c r="J20" s="216">
        <f>+'13'!J20</f>
        <v>0</v>
      </c>
      <c r="K20" s="239"/>
      <c r="L20" s="239"/>
      <c r="M20" s="121">
        <f>+K20+'13'!M20+L20</f>
        <v>0</v>
      </c>
      <c r="Q20" s="178">
        <f>+Q19/P19</f>
        <v>1251.5625</v>
      </c>
      <c r="R20" s="178">
        <f>+R19/P19</f>
        <v>963.296875</v>
      </c>
    </row>
    <row r="21" spans="1:18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+'13'!J21</f>
        <v>0</v>
      </c>
      <c r="K21" s="238"/>
      <c r="L21" s="238"/>
      <c r="M21" s="121">
        <f>+K21+'13'!M21+L21</f>
        <v>0</v>
      </c>
    </row>
    <row r="22" spans="1:18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+'13'!J22</f>
        <v>0</v>
      </c>
      <c r="K22" s="238"/>
      <c r="L22" s="238"/>
      <c r="M22" s="121">
        <f>+K22+'13'!M22+L22</f>
        <v>0</v>
      </c>
    </row>
    <row r="23" spans="1:18" ht="13.5" thickBot="1">
      <c r="A23" s="819"/>
      <c r="B23" s="169" t="s">
        <v>2</v>
      </c>
      <c r="C23" s="103">
        <f>SUM(C16:C22)</f>
        <v>15709</v>
      </c>
      <c r="D23" s="115">
        <f>SUM(D16:D22)</f>
        <v>0</v>
      </c>
      <c r="E23" s="116">
        <f>SUM(E18:E22)</f>
        <v>0</v>
      </c>
      <c r="F23" s="106">
        <f>SUM(F15:F22)</f>
        <v>7</v>
      </c>
      <c r="G23" s="163"/>
      <c r="H23" s="170"/>
      <c r="I23" s="172"/>
      <c r="J23" s="216">
        <f>+'13'!J23</f>
        <v>0</v>
      </c>
      <c r="K23" s="238"/>
      <c r="L23" s="238"/>
      <c r="M23" s="121">
        <f>+K23+'13'!M23+L23</f>
        <v>0</v>
      </c>
    </row>
    <row r="24" spans="1:18" ht="13.5" thickBot="1">
      <c r="A24" s="831" t="s">
        <v>467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649</v>
      </c>
      <c r="J24" s="216">
        <f>+'13'!J24</f>
        <v>0</v>
      </c>
      <c r="K24" s="238"/>
      <c r="L24" s="238"/>
      <c r="M24" s="121">
        <f>+K24+'13'!M24+L24</f>
        <v>0</v>
      </c>
      <c r="N24" s="153">
        <v>1250</v>
      </c>
      <c r="O24" s="153">
        <f>+N24-N24*0.23</f>
        <v>962.5</v>
      </c>
      <c r="P24" s="153">
        <v>465</v>
      </c>
      <c r="Q24" s="153">
        <f>+N24*P24</f>
        <v>581250</v>
      </c>
      <c r="R24" s="153">
        <f>+O24*P24</f>
        <v>447562.5</v>
      </c>
    </row>
    <row r="25" spans="1:18" ht="13.5" thickBot="1">
      <c r="A25" s="818"/>
      <c r="B25" s="217" t="s">
        <v>622</v>
      </c>
      <c r="C25" s="226">
        <v>4580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+'13'!J25</f>
        <v>0</v>
      </c>
      <c r="K25" s="238"/>
      <c r="L25" s="238"/>
      <c r="M25" s="121">
        <f>+K25+'13'!M25+L25</f>
        <v>0</v>
      </c>
      <c r="N25" s="178">
        <v>1200</v>
      </c>
      <c r="O25" s="153">
        <f>+N25-N25*0.23</f>
        <v>924</v>
      </c>
      <c r="P25" s="153">
        <v>35</v>
      </c>
      <c r="Q25" s="153">
        <f>+N25*P25</f>
        <v>42000</v>
      </c>
      <c r="R25" s="153">
        <f>+O25*P25</f>
        <v>32340</v>
      </c>
    </row>
    <row r="26" spans="1:18" ht="13.5" thickBot="1">
      <c r="A26" s="818"/>
      <c r="B26" s="217" t="s">
        <v>432</v>
      </c>
      <c r="C26" s="226">
        <f>5662+3473</f>
        <v>9135</v>
      </c>
      <c r="D26" s="219">
        <v>1220</v>
      </c>
      <c r="E26" s="227"/>
      <c r="F26" s="231">
        <v>6</v>
      </c>
      <c r="G26" s="560" t="s">
        <v>11</v>
      </c>
      <c r="H26" s="561" t="s">
        <v>428</v>
      </c>
      <c r="I26" s="814"/>
      <c r="J26" s="216">
        <f>+'13'!J26</f>
        <v>0</v>
      </c>
      <c r="K26" s="238"/>
      <c r="L26" s="238"/>
      <c r="M26" s="121">
        <f>+K26+'13'!M26+L26</f>
        <v>0</v>
      </c>
      <c r="N26" s="153">
        <v>1150</v>
      </c>
      <c r="O26" s="153">
        <f>+N26-N26*0.23</f>
        <v>885.5</v>
      </c>
      <c r="P26" s="153">
        <f>480-35</f>
        <v>445</v>
      </c>
      <c r="Q26" s="153">
        <f>+N26*P26</f>
        <v>511750</v>
      </c>
      <c r="R26" s="153">
        <f>+O26*P26</f>
        <v>394047.5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645</v>
      </c>
      <c r="I27" s="814"/>
      <c r="J27" s="216">
        <f>+'13'!J27</f>
        <v>0</v>
      </c>
      <c r="K27" s="238"/>
      <c r="L27" s="238"/>
      <c r="M27" s="121">
        <f>+K27+'13'!M27+L27</f>
        <v>0</v>
      </c>
      <c r="P27" s="178">
        <f>SUM(P24:P26)</f>
        <v>945</v>
      </c>
      <c r="Q27" s="178">
        <f>SUM(Q24:Q26)</f>
        <v>1135000</v>
      </c>
      <c r="R27" s="178">
        <f>SUM(R24:R26)</f>
        <v>873950</v>
      </c>
    </row>
    <row r="28" spans="1:18" ht="26.25" thickBot="1">
      <c r="A28" s="818"/>
      <c r="B28" s="217"/>
      <c r="C28" s="218"/>
      <c r="D28" s="219"/>
      <c r="E28" s="225"/>
      <c r="F28" s="228"/>
      <c r="G28" s="232"/>
      <c r="H28" s="230" t="s">
        <v>646</v>
      </c>
      <c r="I28" s="814"/>
      <c r="J28" s="216">
        <f>+'13'!J28</f>
        <v>0</v>
      </c>
      <c r="K28" s="238"/>
      <c r="L28" s="238"/>
      <c r="M28" s="121">
        <f>+K28+'13'!M28+L28</f>
        <v>0</v>
      </c>
      <c r="Q28" s="178">
        <f>+Q27/P27</f>
        <v>1201.0582010582011</v>
      </c>
      <c r="R28" s="178">
        <f>+R27/P27</f>
        <v>924.81481481481478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 t="s">
        <v>647</v>
      </c>
      <c r="I29" s="814"/>
      <c r="J29" s="216">
        <f>+'13'!J29</f>
        <v>0</v>
      </c>
      <c r="K29" s="238"/>
      <c r="L29" s="238"/>
      <c r="M29" s="121">
        <f>+K29+'13'!M29+L29</f>
        <v>0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+'13'!J30</f>
        <v>0</v>
      </c>
      <c r="K30" s="238"/>
      <c r="L30" s="238"/>
      <c r="M30" s="121">
        <f>+K30+'13'!M30+L30</f>
        <v>0</v>
      </c>
      <c r="N30" s="159"/>
    </row>
    <row r="31" spans="1:18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+'13'!J31</f>
        <v>0</v>
      </c>
      <c r="K31" s="238"/>
      <c r="L31" s="238"/>
      <c r="M31" s="121">
        <f>+K31+'13'!M31+L31</f>
        <v>0</v>
      </c>
    </row>
    <row r="32" spans="1:18" ht="13.5" thickBot="1">
      <c r="A32" s="819"/>
      <c r="B32" s="169" t="s">
        <v>2</v>
      </c>
      <c r="C32" s="103">
        <f>SUM(C25:C31)</f>
        <v>13715</v>
      </c>
      <c r="D32" s="104">
        <f>SUM(D25:D31)</f>
        <v>1220</v>
      </c>
      <c r="E32" s="105">
        <f>SUM(E25:E31)</f>
        <v>0</v>
      </c>
      <c r="F32" s="103">
        <f>SUM(F24:F31)</f>
        <v>6</v>
      </c>
      <c r="G32" s="173"/>
      <c r="H32" s="174"/>
      <c r="I32" s="172"/>
      <c r="J32" s="216">
        <f>+'13'!J32</f>
        <v>0</v>
      </c>
      <c r="K32" s="240"/>
      <c r="L32" s="242"/>
      <c r="M32" s="121">
        <f>+K32+'13'!M32+L32</f>
        <v>0</v>
      </c>
    </row>
    <row r="33" spans="1:14" ht="13.5" thickBot="1">
      <c r="A33" s="175"/>
      <c r="B33" s="176"/>
      <c r="C33" s="107">
        <f>C32/($C$32+$D$32+$E$32)</f>
        <v>0.91831268831603619</v>
      </c>
      <c r="D33" s="108">
        <f>D32/($C$32+$D$32+$E$32)</f>
        <v>8.1687311683963842E-2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42248</v>
      </c>
      <c r="D34" s="111">
        <f>D14+D23+D32</f>
        <v>1220</v>
      </c>
      <c r="E34" s="111">
        <f>E14+E23+E32</f>
        <v>0</v>
      </c>
      <c r="F34" s="112">
        <f>F14+F23+F32</f>
        <v>18</v>
      </c>
      <c r="H34" s="180"/>
      <c r="I34" s="180"/>
      <c r="J34" s="127" t="s">
        <v>27</v>
      </c>
      <c r="K34" s="128">
        <f>SUM(K7:K32)</f>
        <v>42248</v>
      </c>
      <c r="L34" s="214">
        <f>SUM(L7:L32)</f>
        <v>0</v>
      </c>
      <c r="M34" s="124">
        <f>SUM(M7:M32)</f>
        <v>628798</v>
      </c>
      <c r="N34" s="159"/>
    </row>
    <row r="35" spans="1:14" ht="13.5" thickBot="1">
      <c r="A35" s="181"/>
      <c r="B35" s="182"/>
      <c r="C35" s="108">
        <f>C34/($C$34+$D$34+$E$34)</f>
        <v>0.97193337627680132</v>
      </c>
      <c r="D35" s="108">
        <f>D34/($C$34+$D$34+$E$34)</f>
        <v>2.8066623723198673E-2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(14*495+15*945)/1440*G42*2.85*1440/1000000</f>
        <v>56.915810109375002</v>
      </c>
      <c r="J37" s="129">
        <f>+I37+'13'!J37</f>
        <v>744.75920636617786</v>
      </c>
      <c r="K37" s="130" t="s">
        <v>74</v>
      </c>
      <c r="N37" s="153">
        <f>17.428+1.788</f>
        <v>19.216000000000001</v>
      </c>
    </row>
    <row r="38" spans="1:14" ht="17.45" customHeight="1">
      <c r="A38" s="824" t="s">
        <v>11</v>
      </c>
      <c r="B38" s="825"/>
      <c r="C38" s="168">
        <f>SUMIF($G$7:$G$31,"Process",$F$7:$F$31)</f>
        <v>18</v>
      </c>
      <c r="D38" s="122">
        <f>+C38+'13'!D38</f>
        <v>792</v>
      </c>
      <c r="E38" s="147">
        <f t="shared" ref="E38:E51" si="0">D38/60</f>
        <v>13.2</v>
      </c>
      <c r="F38" s="334">
        <v>1300</v>
      </c>
      <c r="G38" s="334">
        <v>988</v>
      </c>
      <c r="H38" s="189" t="s">
        <v>75</v>
      </c>
      <c r="I38" s="581">
        <f>17.428+18.322+19.263</f>
        <v>55.013000000000005</v>
      </c>
      <c r="J38" s="131">
        <f>+I38+'13'!J38</f>
        <v>676.51600000000008</v>
      </c>
      <c r="K38" s="132" t="s">
        <v>74</v>
      </c>
      <c r="N38" s="580">
        <f>+I38-N37</f>
        <v>35.797000000000004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+C39+'13'!D39</f>
        <v>0</v>
      </c>
      <c r="E39" s="147">
        <f t="shared" si="0"/>
        <v>0</v>
      </c>
      <c r="F39" s="334">
        <v>1251.5625</v>
      </c>
      <c r="G39" s="334">
        <v>963.296875</v>
      </c>
      <c r="H39" s="189" t="s">
        <v>76</v>
      </c>
      <c r="I39" s="146"/>
      <c r="J39" s="133">
        <f>J37/G4</f>
        <v>53.197086169012707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+C40+'13'!D40</f>
        <v>61</v>
      </c>
      <c r="E40" s="147">
        <f t="shared" ca="1" si="0"/>
        <v>1.0166666666666666</v>
      </c>
      <c r="F40" s="334">
        <v>1153.6458333333333</v>
      </c>
      <c r="G40" s="334">
        <v>887.43229166666663</v>
      </c>
      <c r="H40" s="189" t="s">
        <v>78</v>
      </c>
      <c r="I40" s="122">
        <f>(K34+L34)/1000</f>
        <v>42.247999999999998</v>
      </c>
      <c r="J40" s="135">
        <f>+I40+'13'!J40</f>
        <v>628.79800000000012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+C41+'13'!D41</f>
        <v>0</v>
      </c>
      <c r="E41" s="147">
        <f t="shared" ca="1" si="0"/>
        <v>0</v>
      </c>
      <c r="F41" s="334"/>
      <c r="G41" s="334"/>
      <c r="H41" s="189" t="s">
        <v>80</v>
      </c>
      <c r="I41" s="146"/>
      <c r="J41" s="133">
        <f>J40/G4</f>
        <v>44.914142857142863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+C42+'13'!D42</f>
        <v>0</v>
      </c>
      <c r="E42" s="147">
        <f t="shared" ca="1" si="0"/>
        <v>0</v>
      </c>
      <c r="F42" s="334">
        <f>+(F38*480+F39*480+F40*480)/1440</f>
        <v>1235.0694444444443</v>
      </c>
      <c r="G42" s="334">
        <f>+(G38*480+G39*480+G40*480)/1440</f>
        <v>946.24305555555554</v>
      </c>
      <c r="H42" s="189" t="s">
        <v>81</v>
      </c>
      <c r="I42" s="245"/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+C43+'13'!D43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+Report1!Z22</f>
        <v>129.30000000000001</v>
      </c>
      <c r="J43" s="137">
        <f>+I43+'13'!J43</f>
        <v>1687.9999999999998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+C44+'13'!D44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2.3503535527966117</v>
      </c>
      <c r="J44" s="138">
        <f>J43/J38</f>
        <v>2.4951368482046243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+C45+'13'!D45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3.0604999053209623</v>
      </c>
      <c r="J45" s="138">
        <f>J43/J40</f>
        <v>2.6844869099456417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+C46+'13'!D46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+SUMIF(Listrik!AN21,"&gt;0")</f>
        <v>43708.599999999649</v>
      </c>
      <c r="J46" s="139">
        <f>+I46+'13'!J46</f>
        <v>677960.79759999982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+C47+'13'!D47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794.51402395796708</v>
      </c>
      <c r="J47" s="139">
        <f>J46/J38</f>
        <v>1002.1356443897849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+C48+'13'!D48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1034.5720507479562</v>
      </c>
      <c r="J48" s="139">
        <f>J46/J40</f>
        <v>1078.1853593681908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+C49+'13'!D49</f>
        <v>545</v>
      </c>
      <c r="E49" s="147">
        <f t="shared" si="0"/>
        <v>9.0833333333333339</v>
      </c>
      <c r="F49" s="187"/>
      <c r="H49" s="190" t="s">
        <v>93</v>
      </c>
      <c r="I49" s="122">
        <v>0</v>
      </c>
      <c r="J49" s="139">
        <f>+I49+'13'!J49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+C50+'13'!D50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+C51+'13'!D51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18</v>
      </c>
      <c r="D52" s="148">
        <f ca="1">SUM(D38:D51)</f>
        <v>1398</v>
      </c>
      <c r="E52" s="149">
        <f ca="1">SUM(E38:E51)</f>
        <v>23.299999999999997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1.2500000000000001E-2</v>
      </c>
      <c r="D53" s="150">
        <f ca="1">D52/(24*60*G4)</f>
        <v>6.9345238095238099E-2</v>
      </c>
      <c r="E53" s="151">
        <f ca="1">E52/(G4*24)</f>
        <v>6.9345238095238085E-2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+D34+'13'!J56</f>
        <v>7487</v>
      </c>
      <c r="K56" s="203">
        <f>J56/(J40+J56/1000)/1000</f>
        <v>1.1766739747125892E-2</v>
      </c>
    </row>
    <row r="57" spans="1:11">
      <c r="A57" s="178"/>
      <c r="I57" s="201" t="s">
        <v>100</v>
      </c>
      <c r="J57" s="202">
        <f>+E34+'13'!J57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7" zoomScale="80" zoomScaleNormal="70" zoomScaleSheetLayoutView="80" workbookViewId="0">
      <selection activeCell="G24" sqref="G24:H29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13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438+391+434</f>
        <v>1263</v>
      </c>
    </row>
    <row r="7" spans="1:18" ht="13.5" customHeight="1" thickBot="1">
      <c r="A7" s="810" t="s">
        <v>415</v>
      </c>
      <c r="B7" s="217" t="s">
        <v>431</v>
      </c>
      <c r="C7" s="218">
        <v>14389</v>
      </c>
      <c r="D7" s="219">
        <v>660</v>
      </c>
      <c r="E7" s="220"/>
      <c r="F7" s="231">
        <v>5</v>
      </c>
      <c r="G7" s="558" t="s">
        <v>11</v>
      </c>
      <c r="H7" s="559" t="s">
        <v>522</v>
      </c>
      <c r="I7" s="813" t="s">
        <v>637</v>
      </c>
      <c r="J7" s="216" t="str">
        <f>+'12'!J7</f>
        <v>T 12,5 VP OW</v>
      </c>
      <c r="K7" s="237"/>
      <c r="L7" s="241"/>
      <c r="M7" s="121">
        <f>+K7+'12'!M7+L7</f>
        <v>43580</v>
      </c>
    </row>
    <row r="8" spans="1:18" ht="13.5" thickBot="1">
      <c r="A8" s="818"/>
      <c r="B8" s="217"/>
      <c r="C8" s="218"/>
      <c r="D8" s="219"/>
      <c r="E8" s="221"/>
      <c r="F8" s="231">
        <v>5</v>
      </c>
      <c r="G8" s="560" t="s">
        <v>11</v>
      </c>
      <c r="H8" s="559" t="s">
        <v>513</v>
      </c>
      <c r="I8" s="814"/>
      <c r="J8" s="216" t="str">
        <f>+'12'!J8</f>
        <v>F 12.5 VP OW</v>
      </c>
      <c r="K8" s="238"/>
      <c r="L8" s="238"/>
      <c r="M8" s="121">
        <f>+K8+'12'!M8+L8</f>
        <v>111865</v>
      </c>
      <c r="N8" s="153">
        <v>1400</v>
      </c>
      <c r="O8" s="153">
        <f>+N8-N8*0.24</f>
        <v>1064</v>
      </c>
      <c r="P8" s="153">
        <f>480+60+300</f>
        <v>840</v>
      </c>
    </row>
    <row r="9" spans="1:18" ht="13.5" thickBot="1">
      <c r="A9" s="818"/>
      <c r="B9" s="217"/>
      <c r="C9" s="218"/>
      <c r="D9" s="219"/>
      <c r="E9" s="222"/>
      <c r="F9" s="231">
        <v>10</v>
      </c>
      <c r="G9" s="560" t="s">
        <v>11</v>
      </c>
      <c r="H9" s="561" t="s">
        <v>413</v>
      </c>
      <c r="I9" s="814"/>
      <c r="J9" s="216" t="str">
        <f>+'12'!J9</f>
        <v>F 13 VP OW</v>
      </c>
      <c r="K9" s="238"/>
      <c r="L9" s="238"/>
      <c r="M9" s="121">
        <f>+K9+'12'!M9+L9</f>
        <v>38598</v>
      </c>
      <c r="N9" s="153">
        <v>1400</v>
      </c>
      <c r="O9" s="153">
        <f>+N9-N9*0.24</f>
        <v>1064</v>
      </c>
      <c r="P9" s="153">
        <v>420</v>
      </c>
    </row>
    <row r="10" spans="1:18" ht="13.5" thickBot="1">
      <c r="A10" s="818"/>
      <c r="B10" s="217"/>
      <c r="C10" s="218"/>
      <c r="D10" s="219"/>
      <c r="E10" s="221"/>
      <c r="F10" s="231"/>
      <c r="G10" s="558"/>
      <c r="H10" s="561" t="s">
        <v>628</v>
      </c>
      <c r="I10" s="814"/>
      <c r="J10" s="216" t="str">
        <f>+'12'!J10</f>
        <v>T 12 VP OW</v>
      </c>
      <c r="K10" s="238">
        <f>+C17+C26</f>
        <v>12202</v>
      </c>
      <c r="L10" s="238"/>
      <c r="M10" s="121">
        <f>+K10+'12'!M10+L10</f>
        <v>23281</v>
      </c>
      <c r="N10" s="153">
        <v>1300</v>
      </c>
      <c r="O10" s="153">
        <f>+N10-N10*0.24</f>
        <v>988</v>
      </c>
      <c r="P10" s="153">
        <v>180</v>
      </c>
    </row>
    <row r="11" spans="1:18" ht="13.5" thickBot="1">
      <c r="A11" s="818"/>
      <c r="B11" s="217"/>
      <c r="C11" s="218"/>
      <c r="D11" s="219"/>
      <c r="E11" s="221"/>
      <c r="F11" s="481"/>
      <c r="G11" s="482"/>
      <c r="H11" s="230" t="s">
        <v>629</v>
      </c>
      <c r="I11" s="814"/>
      <c r="J11" s="216" t="str">
        <f>+'12'!J11</f>
        <v>T 13,5 VP OW</v>
      </c>
      <c r="K11" s="238"/>
      <c r="L11" s="238"/>
      <c r="M11" s="121">
        <f>+K11+'12'!M11+L11</f>
        <v>15672</v>
      </c>
      <c r="P11" s="153">
        <f>SUM(P8:P10)</f>
        <v>1440</v>
      </c>
    </row>
    <row r="12" spans="1:18" ht="13.5" thickBot="1">
      <c r="A12" s="818"/>
      <c r="B12" s="217"/>
      <c r="C12" s="218"/>
      <c r="D12" s="219"/>
      <c r="E12" s="221"/>
      <c r="F12" s="228"/>
      <c r="G12" s="232"/>
      <c r="H12" s="233" t="s">
        <v>630</v>
      </c>
      <c r="I12" s="814"/>
      <c r="J12" s="216" t="str">
        <f>+'12'!J12</f>
        <v>F 12 VP OW</v>
      </c>
      <c r="K12" s="238"/>
      <c r="L12" s="238"/>
      <c r="M12" s="121">
        <f>+K12+'12'!M12+L12</f>
        <v>69304</v>
      </c>
    </row>
    <row r="13" spans="1:18" ht="13.5" thickBot="1">
      <c r="A13" s="818"/>
      <c r="B13" s="217"/>
      <c r="C13" s="218"/>
      <c r="D13" s="218"/>
      <c r="E13" s="221"/>
      <c r="F13" s="228"/>
      <c r="G13" s="232"/>
      <c r="H13" s="233"/>
      <c r="I13" s="815"/>
      <c r="J13" s="216" t="str">
        <f>+'12'!J13</f>
        <v>T 12,5 VP OW</v>
      </c>
      <c r="K13" s="238">
        <f>+C7+C16+C25</f>
        <v>34926</v>
      </c>
      <c r="L13" s="238"/>
      <c r="M13" s="121">
        <f>+K13+'12'!M13+L13</f>
        <v>237386</v>
      </c>
      <c r="P13" s="178"/>
    </row>
    <row r="14" spans="1:18" ht="13.5" thickBot="1">
      <c r="A14" s="819"/>
      <c r="B14" s="169" t="s">
        <v>2</v>
      </c>
      <c r="C14" s="103">
        <f>SUM(C7:C13)</f>
        <v>14389</v>
      </c>
      <c r="D14" s="115">
        <f>SUM(D7:D13)</f>
        <v>660</v>
      </c>
      <c r="E14" s="116">
        <f>SUM(E9:E13)</f>
        <v>0</v>
      </c>
      <c r="F14" s="106">
        <f>SUM(F6:F13)</f>
        <v>20</v>
      </c>
      <c r="G14" s="163"/>
      <c r="H14" s="170"/>
      <c r="I14" s="171"/>
      <c r="J14" s="216" t="str">
        <f>+'12'!J14</f>
        <v>T 14 VP OW</v>
      </c>
      <c r="K14" s="238"/>
      <c r="L14" s="238"/>
      <c r="M14" s="121">
        <f>+K14+'12'!M14+L14</f>
        <v>26393</v>
      </c>
      <c r="Q14" s="178"/>
      <c r="R14" s="178"/>
    </row>
    <row r="15" spans="1:18" ht="13.5" thickBot="1">
      <c r="A15" s="831" t="s">
        <v>415</v>
      </c>
      <c r="B15" s="510"/>
      <c r="C15" s="563">
        <f>C14/($C$32+$D$32+$E$32)</f>
        <v>0.84780815460758896</v>
      </c>
      <c r="D15" s="108">
        <f>D14/($C$32+$D$32+$E$32)</f>
        <v>3.8887579542776336E-2</v>
      </c>
      <c r="E15" s="109">
        <f>E14/($C$32+$D$32+$E$32)</f>
        <v>0</v>
      </c>
      <c r="F15" s="231"/>
      <c r="G15" s="558" t="s">
        <v>11</v>
      </c>
      <c r="H15" s="559" t="s">
        <v>404</v>
      </c>
      <c r="I15" s="813" t="s">
        <v>637</v>
      </c>
      <c r="J15" s="216" t="str">
        <f>+'12'!J15</f>
        <v>T 15 VP OW</v>
      </c>
      <c r="K15" s="238"/>
      <c r="L15" s="238"/>
      <c r="M15" s="121">
        <f>+K15+'12'!M15+L15</f>
        <v>20471</v>
      </c>
    </row>
    <row r="16" spans="1:18" ht="13.5" thickBot="1">
      <c r="A16" s="818"/>
      <c r="B16" s="217" t="s">
        <v>431</v>
      </c>
      <c r="C16" s="511">
        <v>10119</v>
      </c>
      <c r="D16" s="223"/>
      <c r="E16" s="224"/>
      <c r="F16" s="231"/>
      <c r="G16" s="560" t="s">
        <v>11</v>
      </c>
      <c r="H16" s="559" t="s">
        <v>426</v>
      </c>
      <c r="I16" s="814"/>
      <c r="J16" s="216">
        <f>+'12'!J16</f>
        <v>0</v>
      </c>
      <c r="K16" s="229"/>
      <c r="L16" s="229"/>
      <c r="M16" s="121">
        <f>+K16+'12'!M16+L16</f>
        <v>0</v>
      </c>
    </row>
    <row r="17" spans="1:18" ht="13.5" thickBot="1">
      <c r="A17" s="818"/>
      <c r="B17" s="217" t="s">
        <v>516</v>
      </c>
      <c r="C17" s="218">
        <v>5648</v>
      </c>
      <c r="D17" s="219"/>
      <c r="E17" s="225"/>
      <c r="F17" s="231">
        <v>6</v>
      </c>
      <c r="G17" s="560" t="s">
        <v>11</v>
      </c>
      <c r="H17" s="561" t="s">
        <v>455</v>
      </c>
      <c r="I17" s="814"/>
      <c r="J17" s="216">
        <f>+'12'!J17</f>
        <v>0</v>
      </c>
      <c r="K17" s="229"/>
      <c r="L17" s="229"/>
      <c r="M17" s="121">
        <f>+K17+'12'!M17+L17</f>
        <v>0</v>
      </c>
    </row>
    <row r="18" spans="1:18" ht="13.5" thickBot="1">
      <c r="A18" s="818"/>
      <c r="B18" s="217"/>
      <c r="C18" s="218"/>
      <c r="D18" s="219"/>
      <c r="E18" s="225"/>
      <c r="F18" s="231"/>
      <c r="G18" s="558"/>
      <c r="H18" s="561" t="s">
        <v>628</v>
      </c>
      <c r="I18" s="814"/>
      <c r="J18" s="216">
        <f>+'12'!J18</f>
        <v>0</v>
      </c>
      <c r="K18" s="238"/>
      <c r="L18" s="238"/>
      <c r="M18" s="121">
        <f>+K18+'12'!M18+L18</f>
        <v>0</v>
      </c>
    </row>
    <row r="19" spans="1:18" ht="13.5" thickBot="1">
      <c r="A19" s="818"/>
      <c r="B19" s="217"/>
      <c r="C19" s="218"/>
      <c r="D19" s="219"/>
      <c r="E19" s="225"/>
      <c r="F19" s="228"/>
      <c r="G19" s="482"/>
      <c r="H19" s="230" t="s">
        <v>633</v>
      </c>
      <c r="I19" s="814"/>
      <c r="J19" s="216">
        <f>+'12'!J19</f>
        <v>0</v>
      </c>
      <c r="K19" s="238"/>
      <c r="L19" s="238"/>
      <c r="M19" s="121">
        <f>+K19+'12'!M19+L19</f>
        <v>0</v>
      </c>
      <c r="P19" s="178"/>
    </row>
    <row r="20" spans="1:18" ht="13.5" thickBot="1">
      <c r="A20" s="818"/>
      <c r="B20" s="217"/>
      <c r="C20" s="218"/>
      <c r="D20" s="219"/>
      <c r="E20" s="225"/>
      <c r="F20" s="228"/>
      <c r="G20" s="232"/>
      <c r="H20" s="233" t="s">
        <v>631</v>
      </c>
      <c r="I20" s="814"/>
      <c r="J20" s="216">
        <f>+'12'!J20</f>
        <v>0</v>
      </c>
      <c r="K20" s="239"/>
      <c r="L20" s="239"/>
      <c r="M20" s="121">
        <f>+K20+'12'!M20+L20</f>
        <v>0</v>
      </c>
      <c r="Q20" s="178"/>
      <c r="R20" s="178"/>
    </row>
    <row r="21" spans="1:18" ht="13.5" thickBot="1">
      <c r="A21" s="818"/>
      <c r="B21" s="217"/>
      <c r="C21" s="218"/>
      <c r="D21" s="219"/>
      <c r="E21" s="225"/>
      <c r="F21" s="231"/>
      <c r="G21" s="232"/>
      <c r="H21" s="233" t="s">
        <v>632</v>
      </c>
      <c r="I21" s="814"/>
      <c r="J21" s="216">
        <f>+'12'!J21</f>
        <v>0</v>
      </c>
      <c r="K21" s="238"/>
      <c r="L21" s="238"/>
      <c r="M21" s="121">
        <f>+K21+'12'!M21+L21</f>
        <v>0</v>
      </c>
    </row>
    <row r="22" spans="1:18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+'12'!J22</f>
        <v>0</v>
      </c>
      <c r="K22" s="238"/>
      <c r="L22" s="238"/>
      <c r="M22" s="121">
        <f>+K22+'12'!M22+L22</f>
        <v>0</v>
      </c>
    </row>
    <row r="23" spans="1:18" ht="13.5" thickBot="1">
      <c r="A23" s="819"/>
      <c r="B23" s="169" t="s">
        <v>2</v>
      </c>
      <c r="C23" s="103">
        <f>SUM(C16:C22)</f>
        <v>15767</v>
      </c>
      <c r="D23" s="115">
        <f>SUM(D16:D22)</f>
        <v>0</v>
      </c>
      <c r="E23" s="116">
        <f>SUM(E18:E22)</f>
        <v>0</v>
      </c>
      <c r="F23" s="106">
        <f>SUM(F15:F22)</f>
        <v>6</v>
      </c>
      <c r="G23" s="163"/>
      <c r="H23" s="170"/>
      <c r="I23" s="172"/>
      <c r="J23" s="216">
        <f>+'12'!J23</f>
        <v>0</v>
      </c>
      <c r="K23" s="238"/>
      <c r="L23" s="238"/>
      <c r="M23" s="121">
        <f>+K23+'12'!M23+L23</f>
        <v>0</v>
      </c>
    </row>
    <row r="24" spans="1:18" ht="13.5" thickBot="1">
      <c r="A24" s="831" t="s">
        <v>590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638</v>
      </c>
      <c r="J24" s="216">
        <f>+'12'!J24</f>
        <v>0</v>
      </c>
      <c r="K24" s="238"/>
      <c r="L24" s="238"/>
      <c r="M24" s="121">
        <f>+K24+'12'!M24+L24</f>
        <v>0</v>
      </c>
    </row>
    <row r="25" spans="1:18" ht="13.5" thickBot="1">
      <c r="A25" s="818"/>
      <c r="B25" s="217" t="s">
        <v>431</v>
      </c>
      <c r="C25" s="226">
        <v>10418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+'12'!J25</f>
        <v>0</v>
      </c>
      <c r="K25" s="238"/>
      <c r="L25" s="238"/>
      <c r="M25" s="121">
        <f>+K25+'12'!M25+L25</f>
        <v>0</v>
      </c>
      <c r="N25" s="178"/>
      <c r="O25" s="178"/>
      <c r="P25" s="178"/>
    </row>
    <row r="26" spans="1:18" ht="13.5" thickBot="1">
      <c r="A26" s="818"/>
      <c r="B26" s="217" t="s">
        <v>516</v>
      </c>
      <c r="C26" s="226">
        <v>6554</v>
      </c>
      <c r="D26" s="219"/>
      <c r="E26" s="227"/>
      <c r="F26" s="231">
        <v>6</v>
      </c>
      <c r="G26" s="560" t="s">
        <v>11</v>
      </c>
      <c r="H26" s="561" t="s">
        <v>514</v>
      </c>
      <c r="I26" s="814"/>
      <c r="J26" s="216">
        <f>+'12'!J26</f>
        <v>0</v>
      </c>
      <c r="K26" s="238"/>
      <c r="L26" s="238"/>
      <c r="M26" s="121">
        <f>+K26+'12'!M26+L26</f>
        <v>0</v>
      </c>
      <c r="N26" s="153">
        <v>1400</v>
      </c>
      <c r="O26" s="153">
        <f>+N26-N26*0.24</f>
        <v>1064</v>
      </c>
      <c r="P26" s="153">
        <v>300</v>
      </c>
      <c r="Q26" s="153">
        <f>+N26*P26</f>
        <v>420000</v>
      </c>
      <c r="R26" s="153">
        <f>+O26*P26</f>
        <v>319200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634</v>
      </c>
      <c r="I27" s="814"/>
      <c r="J27" s="216">
        <f>+'12'!J27</f>
        <v>0</v>
      </c>
      <c r="K27" s="238"/>
      <c r="L27" s="238"/>
      <c r="M27" s="121">
        <f>+K27+'12'!M27+L27</f>
        <v>0</v>
      </c>
      <c r="N27" s="153">
        <v>1300</v>
      </c>
      <c r="O27" s="153">
        <f>+N27-N27*0.24</f>
        <v>988</v>
      </c>
      <c r="P27" s="153">
        <v>180</v>
      </c>
      <c r="Q27" s="153">
        <f>+N27*P27</f>
        <v>234000</v>
      </c>
      <c r="R27" s="153">
        <f>+O27*P27</f>
        <v>177840</v>
      </c>
    </row>
    <row r="28" spans="1:18" ht="13.5" thickBot="1">
      <c r="A28" s="818"/>
      <c r="B28" s="217"/>
      <c r="C28" s="218"/>
      <c r="D28" s="219"/>
      <c r="E28" s="225"/>
      <c r="F28" s="228"/>
      <c r="G28" s="482"/>
      <c r="H28" s="230" t="s">
        <v>636</v>
      </c>
      <c r="I28" s="814"/>
      <c r="J28" s="216">
        <f>+'12'!J28</f>
        <v>0</v>
      </c>
      <c r="K28" s="238"/>
      <c r="L28" s="238"/>
      <c r="M28" s="121">
        <f>+K28+'12'!M28+L28</f>
        <v>0</v>
      </c>
      <c r="P28" s="153">
        <f>SUM(P26:P27)</f>
        <v>480</v>
      </c>
      <c r="Q28" s="153">
        <f>SUM(Q26:Q27)</f>
        <v>654000</v>
      </c>
      <c r="R28" s="153">
        <f>SUM(R26:R27)</f>
        <v>497040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 t="s">
        <v>635</v>
      </c>
      <c r="I29" s="814"/>
      <c r="J29" s="216">
        <f>+'12'!J29</f>
        <v>0</v>
      </c>
      <c r="K29" s="238"/>
      <c r="L29" s="238"/>
      <c r="M29" s="121">
        <f>+K29+'12'!M29+L29</f>
        <v>0</v>
      </c>
      <c r="Q29" s="153">
        <f>+Q28/P28</f>
        <v>1362.5</v>
      </c>
      <c r="R29" s="153">
        <f>+R28/P28</f>
        <v>1035.5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+'12'!J30</f>
        <v>0</v>
      </c>
      <c r="K30" s="238"/>
      <c r="L30" s="238"/>
      <c r="M30" s="121">
        <f>+K30+'12'!M30+L30</f>
        <v>0</v>
      </c>
      <c r="N30" s="159"/>
    </row>
    <row r="31" spans="1:18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+'12'!J31</f>
        <v>0</v>
      </c>
      <c r="K31" s="238"/>
      <c r="L31" s="238"/>
      <c r="M31" s="121">
        <f>+K31+'12'!M31+L31</f>
        <v>0</v>
      </c>
    </row>
    <row r="32" spans="1:18" ht="13.5" thickBot="1">
      <c r="A32" s="819"/>
      <c r="B32" s="169" t="s">
        <v>2</v>
      </c>
      <c r="C32" s="103">
        <f>SUM(C25:C31)</f>
        <v>16972</v>
      </c>
      <c r="D32" s="104">
        <f>SUM(D25:D31)</f>
        <v>0</v>
      </c>
      <c r="E32" s="105">
        <f>SUM(E25:E31)</f>
        <v>0</v>
      </c>
      <c r="F32" s="103">
        <f>SUM(F24:F31)</f>
        <v>6</v>
      </c>
      <c r="G32" s="173"/>
      <c r="H32" s="174"/>
      <c r="I32" s="172"/>
      <c r="J32" s="216">
        <f>+'12'!J32</f>
        <v>0</v>
      </c>
      <c r="K32" s="240"/>
      <c r="L32" s="242"/>
      <c r="M32" s="121">
        <f>+K32+'12'!M32+L32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47128</v>
      </c>
      <c r="D34" s="111">
        <f>D14+D23+D32</f>
        <v>660</v>
      </c>
      <c r="E34" s="111">
        <f>E14+E23+E32</f>
        <v>0</v>
      </c>
      <c r="F34" s="112">
        <f>F14+F23+F32</f>
        <v>32</v>
      </c>
      <c r="H34" s="180"/>
      <c r="I34" s="180"/>
      <c r="J34" s="127" t="s">
        <v>27</v>
      </c>
      <c r="K34" s="128">
        <f>SUM(K7:K32)</f>
        <v>47128</v>
      </c>
      <c r="L34" s="214">
        <f>SUM(L7:L32)</f>
        <v>0</v>
      </c>
      <c r="M34" s="124">
        <f>SUM(M7:M32)</f>
        <v>586550</v>
      </c>
      <c r="N34" s="159"/>
    </row>
    <row r="35" spans="1:14" ht="13.5" thickBot="1">
      <c r="A35" s="181"/>
      <c r="B35" s="182"/>
      <c r="C35" s="108">
        <f>C34/($C$34+$D$34+$E$34)</f>
        <v>0.98618900142295141</v>
      </c>
      <c r="D35" s="108">
        <f>D34/($C$34+$D$34+$E$34)</f>
        <v>1.3810998577048631E-2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(12*1440)/1440*G42*2.85*1440/1000000</f>
        <v>51.932015999999997</v>
      </c>
      <c r="J37" s="129">
        <f>+I37+'12'!J37</f>
        <v>687.84339625680286</v>
      </c>
      <c r="K37" s="130" t="s">
        <v>74</v>
      </c>
      <c r="N37" s="580">
        <v>32.775999999999996</v>
      </c>
    </row>
    <row r="38" spans="1:14" ht="17.45" customHeight="1">
      <c r="A38" s="824" t="s">
        <v>11</v>
      </c>
      <c r="B38" s="825"/>
      <c r="C38" s="168">
        <f>SUMIF($G$7:$G$31,"Process",$F$7:$F$31)</f>
        <v>32</v>
      </c>
      <c r="D38" s="122">
        <f>+C38+'12'!D38</f>
        <v>774</v>
      </c>
      <c r="E38" s="147">
        <f t="shared" ref="E38:E51" si="0">D38/60</f>
        <v>12.9</v>
      </c>
      <c r="F38" s="334">
        <v>1400</v>
      </c>
      <c r="G38" s="334">
        <f>+F38-F38*0.24</f>
        <v>1064</v>
      </c>
      <c r="H38" s="189" t="s">
        <v>75</v>
      </c>
      <c r="I38" s="513">
        <f>16.008+17.057+18.027</f>
        <v>51.091999999999999</v>
      </c>
      <c r="J38" s="131">
        <f>+I38+'12'!J38</f>
        <v>621.50300000000004</v>
      </c>
      <c r="K38" s="132" t="s">
        <v>74</v>
      </c>
      <c r="N38" s="596">
        <f>+I38-N37-N39</f>
        <v>12.917000000000002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+C39+'12'!D39</f>
        <v>0</v>
      </c>
      <c r="E39" s="147">
        <f t="shared" si="0"/>
        <v>0</v>
      </c>
      <c r="F39" s="334">
        <v>1400</v>
      </c>
      <c r="G39" s="334">
        <f>+F39-F39*0.24</f>
        <v>1064</v>
      </c>
      <c r="H39" s="189" t="s">
        <v>76</v>
      </c>
      <c r="I39" s="146"/>
      <c r="J39" s="133">
        <f>J37/G4</f>
        <v>52.911030481292528</v>
      </c>
      <c r="K39" s="134" t="s">
        <v>74</v>
      </c>
      <c r="N39" s="153">
        <f>1.415+1.992+1.992</f>
        <v>5.399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+C40+'12'!D40</f>
        <v>61</v>
      </c>
      <c r="E40" s="147">
        <f t="shared" ca="1" si="0"/>
        <v>1.0166666666666666</v>
      </c>
      <c r="F40" s="334">
        <v>1362.5</v>
      </c>
      <c r="G40" s="334">
        <v>1035.5</v>
      </c>
      <c r="H40" s="189" t="s">
        <v>78</v>
      </c>
      <c r="I40" s="122">
        <f>(K34+L34)/1000</f>
        <v>47.128</v>
      </c>
      <c r="J40" s="135">
        <f>+I40+'12'!J40</f>
        <v>586.55000000000007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+C41+'12'!D41</f>
        <v>0</v>
      </c>
      <c r="E41" s="147">
        <f t="shared" ca="1" si="0"/>
        <v>0</v>
      </c>
      <c r="F41" s="334"/>
      <c r="G41" s="334"/>
      <c r="H41" s="189" t="s">
        <v>80</v>
      </c>
      <c r="I41" s="146"/>
      <c r="J41" s="133">
        <f>J40/G4</f>
        <v>45.119230769230775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+C42+'12'!D42</f>
        <v>0</v>
      </c>
      <c r="E42" s="147">
        <f t="shared" ca="1" si="0"/>
        <v>0</v>
      </c>
      <c r="F42" s="334">
        <f>+(F38*480+F39*480+F40*480)/1440</f>
        <v>1387.5</v>
      </c>
      <c r="G42" s="334">
        <f>+(G38*480+G39*480+G40*480)/1440</f>
        <v>1054.5</v>
      </c>
      <c r="H42" s="189" t="s">
        <v>81</v>
      </c>
      <c r="I42" s="245"/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+C43+'12'!D43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+Report1!Z21</f>
        <v>122.3</v>
      </c>
      <c r="J43" s="137">
        <f>+I43+'12'!J43</f>
        <v>1558.6999999999998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+C44+'12'!D44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2.3937211305096686</v>
      </c>
      <c r="J44" s="138">
        <f>J43/J38</f>
        <v>2.507952495804525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+C45+'12'!D45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2.595060261415719</v>
      </c>
      <c r="J45" s="138">
        <f>J43/J40</f>
        <v>2.6574034609155222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+C46+'12'!D46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+SUMIF(Listrik!AN20,"&gt;0")</f>
        <v>44644.410000000353</v>
      </c>
      <c r="J46" s="139">
        <f>+I46+'12'!J46</f>
        <v>634252.19760000019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+C47+'12'!D47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873.80431378690116</v>
      </c>
      <c r="J47" s="139">
        <f>J46/J38</f>
        <v>1020.5134932574745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+C48+'12'!D48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947.30117976575184</v>
      </c>
      <c r="J48" s="139">
        <f>J46/J40</f>
        <v>1081.3267370215669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+C49+'12'!D49</f>
        <v>545</v>
      </c>
      <c r="E49" s="147">
        <f t="shared" si="0"/>
        <v>9.0833333333333339</v>
      </c>
      <c r="F49" s="187"/>
      <c r="H49" s="190" t="s">
        <v>93</v>
      </c>
      <c r="I49" s="122">
        <v>0</v>
      </c>
      <c r="J49" s="139">
        <f>+I49+'12'!J49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+C50+'12'!D50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+C51+'12'!D51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32</v>
      </c>
      <c r="D52" s="148">
        <f ca="1">SUM(D38:D51)</f>
        <v>1380</v>
      </c>
      <c r="E52" s="149">
        <f ca="1">SUM(E38:E51)</f>
        <v>23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2.2222222222222223E-2</v>
      </c>
      <c r="D53" s="150">
        <f ca="1">D52/(24*60*G4)</f>
        <v>7.371794871794872E-2</v>
      </c>
      <c r="E53" s="151">
        <f ca="1">E52/(G4*24)</f>
        <v>7.371794871794872E-2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+D34+'12'!J56</f>
        <v>6267</v>
      </c>
      <c r="K56" s="203">
        <f>J56/(J40+J56/1000)/1000</f>
        <v>1.0571559182682004E-2</v>
      </c>
    </row>
    <row r="57" spans="1:11">
      <c r="A57" s="178"/>
      <c r="I57" s="201" t="s">
        <v>100</v>
      </c>
      <c r="J57" s="202">
        <f>+E34+'12'!J57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38:B38"/>
    <mergeCell ref="A41:B41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80" zoomScaleSheetLayoutView="80" workbookViewId="0">
      <selection activeCell="F8" activeCellId="1" sqref="F16 F8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5" style="153" bestFit="1" customWidth="1"/>
    <col min="14" max="16384" width="9.140625" style="153"/>
  </cols>
  <sheetData>
    <row r="1" spans="1:16" ht="15.75">
      <c r="A1" s="152"/>
    </row>
    <row r="2" spans="1:16" ht="15.75">
      <c r="A2" s="152" t="s">
        <v>236</v>
      </c>
    </row>
    <row r="3" spans="1:16" ht="15">
      <c r="A3" s="154"/>
    </row>
    <row r="4" spans="1:16" ht="20.25">
      <c r="A4" s="155" t="s">
        <v>3</v>
      </c>
      <c r="B4" s="156"/>
      <c r="F4" s="157" t="s">
        <v>28</v>
      </c>
      <c r="G4" s="158">
        <v>12</v>
      </c>
      <c r="H4" s="158" t="str">
        <f>+'1'!H4</f>
        <v>.10.25</v>
      </c>
    </row>
    <row r="5" spans="1:16" ht="13.5" thickBot="1">
      <c r="C5" s="159"/>
      <c r="D5" s="159"/>
    </row>
    <row r="6" spans="1:16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481+422+539</f>
        <v>1442</v>
      </c>
    </row>
    <row r="7" spans="1:16" ht="13.5" customHeight="1" thickBot="1">
      <c r="A7" s="810" t="s">
        <v>415</v>
      </c>
      <c r="B7" s="217" t="s">
        <v>622</v>
      </c>
      <c r="C7" s="218">
        <v>15239</v>
      </c>
      <c r="D7" s="219"/>
      <c r="E7" s="220"/>
      <c r="F7" s="231"/>
      <c r="G7" s="558" t="s">
        <v>11</v>
      </c>
      <c r="H7" s="559" t="s">
        <v>404</v>
      </c>
      <c r="I7" s="813" t="s">
        <v>619</v>
      </c>
      <c r="J7" s="216" t="str">
        <f>+'11'!J7</f>
        <v>T 12,5 VP OW</v>
      </c>
      <c r="K7" s="237"/>
      <c r="L7" s="241"/>
      <c r="M7" s="121">
        <f>+K7+'11'!M7+L7</f>
        <v>43580</v>
      </c>
    </row>
    <row r="8" spans="1:16" ht="13.5" thickBot="1">
      <c r="A8" s="818"/>
      <c r="B8" s="217"/>
      <c r="C8" s="218"/>
      <c r="D8" s="219"/>
      <c r="E8" s="221"/>
      <c r="F8" s="231">
        <v>3</v>
      </c>
      <c r="G8" s="560" t="s">
        <v>11</v>
      </c>
      <c r="H8" s="559" t="s">
        <v>513</v>
      </c>
      <c r="I8" s="814"/>
      <c r="J8" s="216" t="str">
        <f>+'11'!J8</f>
        <v>F 12.5 VP OW</v>
      </c>
      <c r="K8" s="238"/>
      <c r="L8" s="238"/>
      <c r="M8" s="121">
        <f>+K8+'11'!M8+L8</f>
        <v>111865</v>
      </c>
      <c r="N8" s="533">
        <v>1300</v>
      </c>
      <c r="O8" s="153">
        <f>+N8-N8*0.24</f>
        <v>988</v>
      </c>
      <c r="P8" s="153">
        <v>480</v>
      </c>
    </row>
    <row r="9" spans="1:16" ht="13.5" thickBot="1">
      <c r="A9" s="818"/>
      <c r="B9" s="217"/>
      <c r="C9" s="218"/>
      <c r="D9" s="219"/>
      <c r="E9" s="222"/>
      <c r="F9" s="231">
        <v>10</v>
      </c>
      <c r="G9" s="560" t="s">
        <v>11</v>
      </c>
      <c r="H9" s="561" t="s">
        <v>413</v>
      </c>
      <c r="I9" s="814"/>
      <c r="J9" s="216" t="str">
        <f>+'11'!J9</f>
        <v>F 13 VP OW</v>
      </c>
      <c r="K9" s="238"/>
      <c r="L9" s="238"/>
      <c r="M9" s="121">
        <f>+K9+'11'!M9+L9</f>
        <v>38598</v>
      </c>
    </row>
    <row r="10" spans="1:16" ht="13.5" thickBot="1">
      <c r="A10" s="818"/>
      <c r="B10" s="217"/>
      <c r="C10" s="218"/>
      <c r="D10" s="219"/>
      <c r="E10" s="221"/>
      <c r="F10" s="231"/>
      <c r="G10" s="558"/>
      <c r="H10" s="561" t="s">
        <v>606</v>
      </c>
      <c r="I10" s="814"/>
      <c r="J10" s="216" t="str">
        <f>+'11'!J10</f>
        <v>T 12 VP OW</v>
      </c>
      <c r="K10" s="238"/>
      <c r="L10" s="238"/>
      <c r="M10" s="121">
        <f>+K10+'11'!M10+L10</f>
        <v>11079</v>
      </c>
    </row>
    <row r="11" spans="1:16" ht="13.5" thickBot="1">
      <c r="A11" s="818"/>
      <c r="B11" s="217"/>
      <c r="C11" s="218"/>
      <c r="D11" s="219"/>
      <c r="E11" s="221"/>
      <c r="F11" s="481">
        <v>25</v>
      </c>
      <c r="G11" s="232" t="s">
        <v>77</v>
      </c>
      <c r="H11" s="230" t="s">
        <v>607</v>
      </c>
      <c r="I11" s="814"/>
      <c r="J11" s="216" t="str">
        <f>+'11'!J11</f>
        <v>T 13,5 VP OW</v>
      </c>
      <c r="K11" s="238"/>
      <c r="L11" s="238"/>
      <c r="M11" s="121">
        <f>+K11+'11'!M11+L11</f>
        <v>15672</v>
      </c>
    </row>
    <row r="12" spans="1:16" ht="13.5" thickBot="1">
      <c r="A12" s="818"/>
      <c r="B12" s="217"/>
      <c r="C12" s="218"/>
      <c r="D12" s="219"/>
      <c r="E12" s="221"/>
      <c r="F12" s="228"/>
      <c r="G12" s="232"/>
      <c r="H12" s="233" t="s">
        <v>608</v>
      </c>
      <c r="I12" s="814"/>
      <c r="J12" s="216" t="str">
        <f>+'11'!J12</f>
        <v>F 12 VP OW</v>
      </c>
      <c r="K12" s="238"/>
      <c r="L12" s="238"/>
      <c r="M12" s="121">
        <f>+K12+'11'!M12+L12</f>
        <v>69304</v>
      </c>
    </row>
    <row r="13" spans="1:16" ht="13.5" thickBot="1">
      <c r="A13" s="818"/>
      <c r="B13" s="217"/>
      <c r="C13" s="218"/>
      <c r="D13" s="218"/>
      <c r="E13" s="221"/>
      <c r="F13" s="228"/>
      <c r="G13" s="232"/>
      <c r="H13" s="233"/>
      <c r="I13" s="815"/>
      <c r="J13" s="216" t="str">
        <f>+'11'!J13</f>
        <v>T 12,5 VP OW</v>
      </c>
      <c r="K13" s="238">
        <f>+C26</f>
        <v>7352</v>
      </c>
      <c r="L13" s="238"/>
      <c r="M13" s="121">
        <f>+K13+'11'!M13+L13</f>
        <v>202460</v>
      </c>
    </row>
    <row r="14" spans="1:16" ht="13.5" thickBot="1">
      <c r="A14" s="819"/>
      <c r="B14" s="169" t="s">
        <v>2</v>
      </c>
      <c r="C14" s="103">
        <f>SUM(C7:C13)</f>
        <v>15239</v>
      </c>
      <c r="D14" s="115">
        <f>SUM(D7:D13)</f>
        <v>0</v>
      </c>
      <c r="E14" s="116">
        <f>SUM(E9:E13)</f>
        <v>0</v>
      </c>
      <c r="F14" s="106">
        <f>SUM(F6:F13)</f>
        <v>38</v>
      </c>
      <c r="G14" s="163"/>
      <c r="H14" s="170"/>
      <c r="I14" s="171"/>
      <c r="J14" s="216" t="str">
        <f>+'11'!J14</f>
        <v>T 14 VP OW</v>
      </c>
      <c r="K14" s="238">
        <f>+C7+C16</f>
        <v>23040</v>
      </c>
      <c r="L14" s="238"/>
      <c r="M14" s="121">
        <f>+K14+'11'!M14+L14</f>
        <v>26393</v>
      </c>
    </row>
    <row r="15" spans="1:16" ht="13.5" thickBot="1">
      <c r="A15" s="831" t="s">
        <v>415</v>
      </c>
      <c r="B15" s="510"/>
      <c r="C15" s="563">
        <f>C14/($C$32+$D$32+$E$32)</f>
        <v>0.90476755922341623</v>
      </c>
      <c r="D15" s="108">
        <f>D14/($C$32+$D$32+$E$32)</f>
        <v>0</v>
      </c>
      <c r="E15" s="109">
        <f>E14/($C$32+$D$32+$E$32)</f>
        <v>0</v>
      </c>
      <c r="F15" s="231">
        <v>10</v>
      </c>
      <c r="G15" s="558" t="s">
        <v>11</v>
      </c>
      <c r="H15" s="559" t="s">
        <v>456</v>
      </c>
      <c r="I15" s="813" t="s">
        <v>619</v>
      </c>
      <c r="J15" s="216" t="s">
        <v>432</v>
      </c>
      <c r="K15" s="238">
        <f>+C17+C25</f>
        <v>20471</v>
      </c>
      <c r="L15" s="238"/>
      <c r="M15" s="121">
        <f>+K15+'11'!M15+L15</f>
        <v>20471</v>
      </c>
    </row>
    <row r="16" spans="1:16" ht="13.5" thickBot="1">
      <c r="A16" s="818"/>
      <c r="B16" s="217" t="s">
        <v>622</v>
      </c>
      <c r="C16" s="511">
        <v>7801</v>
      </c>
      <c r="D16" s="223"/>
      <c r="E16" s="224"/>
      <c r="F16" s="231">
        <v>5</v>
      </c>
      <c r="G16" s="560" t="s">
        <v>11</v>
      </c>
      <c r="H16" s="559" t="s">
        <v>513</v>
      </c>
      <c r="I16" s="814"/>
      <c r="J16" s="216">
        <f>+'11'!J16</f>
        <v>0</v>
      </c>
      <c r="K16" s="229"/>
      <c r="L16" s="229"/>
      <c r="M16" s="121">
        <f>+K16+'11'!M16+L16</f>
        <v>0</v>
      </c>
      <c r="N16" s="533"/>
    </row>
    <row r="17" spans="1:18" ht="13.5" thickBot="1">
      <c r="A17" s="818"/>
      <c r="B17" s="217" t="s">
        <v>432</v>
      </c>
      <c r="C17" s="218">
        <v>10980</v>
      </c>
      <c r="D17" s="219"/>
      <c r="E17" s="225"/>
      <c r="F17" s="231">
        <v>10</v>
      </c>
      <c r="G17" s="560" t="s">
        <v>11</v>
      </c>
      <c r="H17" s="561" t="s">
        <v>455</v>
      </c>
      <c r="I17" s="814"/>
      <c r="J17" s="216">
        <f>+'11'!J17</f>
        <v>0</v>
      </c>
      <c r="K17" s="229"/>
      <c r="L17" s="229"/>
      <c r="M17" s="121">
        <f>+K17+'11'!M17+L17</f>
        <v>0</v>
      </c>
      <c r="N17" s="153">
        <v>1300</v>
      </c>
      <c r="O17" s="153">
        <f>+N17-N17*0.24</f>
        <v>988</v>
      </c>
      <c r="P17" s="153">
        <f>480+60</f>
        <v>540</v>
      </c>
    </row>
    <row r="18" spans="1:18" ht="13.5" thickBot="1">
      <c r="A18" s="818"/>
      <c r="B18" s="217"/>
      <c r="C18" s="218"/>
      <c r="D18" s="219"/>
      <c r="E18" s="225"/>
      <c r="F18" s="231"/>
      <c r="G18" s="558"/>
      <c r="H18" s="561" t="s">
        <v>613</v>
      </c>
      <c r="I18" s="814"/>
      <c r="J18" s="216">
        <f>+'11'!J18</f>
        <v>0</v>
      </c>
      <c r="K18" s="238"/>
      <c r="L18" s="238"/>
      <c r="M18" s="121">
        <f>+K18+'11'!M18+L18</f>
        <v>0</v>
      </c>
    </row>
    <row r="19" spans="1:18" ht="13.5" thickBot="1">
      <c r="A19" s="818"/>
      <c r="B19" s="217"/>
      <c r="C19" s="218"/>
      <c r="D19" s="219"/>
      <c r="E19" s="225"/>
      <c r="F19" s="228"/>
      <c r="G19" s="232"/>
      <c r="H19" s="230" t="s">
        <v>610</v>
      </c>
      <c r="I19" s="814"/>
      <c r="J19" s="216">
        <f>+'11'!J19</f>
        <v>0</v>
      </c>
      <c r="K19" s="238"/>
      <c r="L19" s="238"/>
      <c r="M19" s="121">
        <f>+K19+'11'!M19+L19</f>
        <v>0</v>
      </c>
    </row>
    <row r="20" spans="1:18" ht="13.5" thickBot="1">
      <c r="A20" s="818"/>
      <c r="B20" s="217"/>
      <c r="C20" s="218"/>
      <c r="D20" s="219"/>
      <c r="E20" s="225"/>
      <c r="F20" s="228"/>
      <c r="G20" s="232"/>
      <c r="H20" s="233" t="s">
        <v>611</v>
      </c>
      <c r="I20" s="814"/>
      <c r="J20" s="216">
        <f>+'11'!J20</f>
        <v>0</v>
      </c>
      <c r="K20" s="239"/>
      <c r="L20" s="239"/>
      <c r="M20" s="121">
        <f>+K20+'11'!M20+L20</f>
        <v>0</v>
      </c>
    </row>
    <row r="21" spans="1:18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+'11'!J21</f>
        <v>0</v>
      </c>
      <c r="K21" s="238"/>
      <c r="L21" s="238"/>
      <c r="M21" s="121">
        <f>+K21+'11'!M21+L21</f>
        <v>0</v>
      </c>
    </row>
    <row r="22" spans="1:18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+'11'!J22</f>
        <v>0</v>
      </c>
      <c r="K22" s="238"/>
      <c r="L22" s="238"/>
      <c r="M22" s="121">
        <f>+K22+'11'!M22+L22</f>
        <v>0</v>
      </c>
    </row>
    <row r="23" spans="1:18" ht="13.5" thickBot="1">
      <c r="A23" s="819"/>
      <c r="B23" s="169" t="s">
        <v>2</v>
      </c>
      <c r="C23" s="103">
        <f>SUM(C16:C22)</f>
        <v>18781</v>
      </c>
      <c r="D23" s="115">
        <f>SUM(D16:D22)</f>
        <v>0</v>
      </c>
      <c r="E23" s="116">
        <f>SUM(E18:E22)</f>
        <v>0</v>
      </c>
      <c r="F23" s="106">
        <f>SUM(F15:F22)</f>
        <v>25</v>
      </c>
      <c r="G23" s="163"/>
      <c r="H23" s="170"/>
      <c r="I23" s="172"/>
      <c r="J23" s="216">
        <f>+'11'!J23</f>
        <v>0</v>
      </c>
      <c r="K23" s="238"/>
      <c r="L23" s="238"/>
      <c r="M23" s="121">
        <f>+K23+'11'!M23+L23</f>
        <v>0</v>
      </c>
    </row>
    <row r="24" spans="1:18" ht="13.5" thickBot="1">
      <c r="A24" s="831" t="s">
        <v>590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5</v>
      </c>
      <c r="G24" s="558" t="s">
        <v>11</v>
      </c>
      <c r="H24" s="559" t="s">
        <v>522</v>
      </c>
      <c r="I24" s="813" t="s">
        <v>620</v>
      </c>
      <c r="J24" s="216">
        <f>+'11'!J24</f>
        <v>0</v>
      </c>
      <c r="K24" s="238"/>
      <c r="L24" s="238"/>
      <c r="M24" s="121">
        <f>+K24+'11'!M24+L24</f>
        <v>0</v>
      </c>
    </row>
    <row r="25" spans="1:18" ht="13.5" thickBot="1">
      <c r="A25" s="818"/>
      <c r="B25" s="217" t="s">
        <v>432</v>
      </c>
      <c r="C25" s="226">
        <v>9491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+'11'!J25</f>
        <v>0</v>
      </c>
      <c r="K25" s="238"/>
      <c r="L25" s="238"/>
      <c r="M25" s="121">
        <f>+K25+'11'!M25+L25</f>
        <v>0</v>
      </c>
    </row>
    <row r="26" spans="1:18" ht="13.5" thickBot="1">
      <c r="A26" s="818"/>
      <c r="B26" s="217" t="s">
        <v>431</v>
      </c>
      <c r="C26" s="226">
        <v>7352</v>
      </c>
      <c r="D26" s="219"/>
      <c r="E26" s="227"/>
      <c r="F26" s="231">
        <v>10</v>
      </c>
      <c r="G26" s="560" t="s">
        <v>11</v>
      </c>
      <c r="H26" s="561" t="s">
        <v>455</v>
      </c>
      <c r="I26" s="814"/>
      <c r="J26" s="216">
        <f>+'11'!J26</f>
        <v>0</v>
      </c>
      <c r="K26" s="238"/>
      <c r="L26" s="238"/>
      <c r="M26" s="121">
        <f>+K26+'11'!M26+L26</f>
        <v>0</v>
      </c>
      <c r="N26" s="153">
        <v>1300</v>
      </c>
      <c r="O26" s="153">
        <f>+N26-N26*0.24</f>
        <v>988</v>
      </c>
      <c r="P26" s="178">
        <v>60</v>
      </c>
      <c r="Q26" s="153">
        <f>+N26*P26</f>
        <v>78000</v>
      </c>
      <c r="R26" s="153">
        <f>+O26*P26</f>
        <v>59280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613</v>
      </c>
      <c r="I27" s="814"/>
      <c r="J27" s="216">
        <f>+'11'!J27</f>
        <v>0</v>
      </c>
      <c r="K27" s="238"/>
      <c r="L27" s="238"/>
      <c r="M27" s="121">
        <f>+K27+'11'!M27+L27</f>
        <v>0</v>
      </c>
      <c r="N27" s="153">
        <v>1400</v>
      </c>
      <c r="O27" s="153">
        <f>+N27-N27*0.24</f>
        <v>1064</v>
      </c>
      <c r="P27" s="153">
        <v>420</v>
      </c>
      <c r="Q27" s="153">
        <f>+N27*P27</f>
        <v>588000</v>
      </c>
      <c r="R27" s="153">
        <f>+O27*P27</f>
        <v>446880</v>
      </c>
    </row>
    <row r="28" spans="1:18" ht="13.5" thickBot="1">
      <c r="A28" s="818"/>
      <c r="B28" s="217"/>
      <c r="C28" s="218"/>
      <c r="D28" s="219"/>
      <c r="E28" s="225"/>
      <c r="F28" s="228"/>
      <c r="G28" s="232"/>
      <c r="H28" s="230" t="s">
        <v>612</v>
      </c>
      <c r="I28" s="814"/>
      <c r="J28" s="216">
        <f>+'11'!J28</f>
        <v>0</v>
      </c>
      <c r="K28" s="238"/>
      <c r="L28" s="238"/>
      <c r="M28" s="121">
        <f>+K28+'11'!M28+L28</f>
        <v>0</v>
      </c>
      <c r="P28" s="153">
        <f>SUM(P26:P27)</f>
        <v>480</v>
      </c>
      <c r="Q28" s="153">
        <f>SUM(Q26:Q27)</f>
        <v>666000</v>
      </c>
      <c r="R28" s="153">
        <f>SUM(R26:R27)</f>
        <v>506160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 t="s">
        <v>609</v>
      </c>
      <c r="I29" s="814"/>
      <c r="J29" s="216">
        <f>+'11'!J29</f>
        <v>0</v>
      </c>
      <c r="K29" s="238"/>
      <c r="L29" s="238"/>
      <c r="M29" s="121">
        <f>+K29+'11'!M29+L29</f>
        <v>0</v>
      </c>
      <c r="Q29" s="153">
        <f>+Q28/P28</f>
        <v>1387.5</v>
      </c>
      <c r="R29" s="153">
        <f>+R28/P28</f>
        <v>1054.5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+'11'!J30</f>
        <v>0</v>
      </c>
      <c r="K30" s="238"/>
      <c r="L30" s="238"/>
      <c r="M30" s="121">
        <f>+K30+'11'!M30+L30</f>
        <v>0</v>
      </c>
      <c r="N30" s="159"/>
    </row>
    <row r="31" spans="1:18" ht="13.5" customHeight="1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+'11'!J31</f>
        <v>0</v>
      </c>
      <c r="K31" s="238"/>
      <c r="L31" s="238"/>
      <c r="M31" s="121">
        <f>+K31+'11'!M31+L31</f>
        <v>0</v>
      </c>
    </row>
    <row r="32" spans="1:18" ht="13.5" customHeight="1" thickBot="1">
      <c r="A32" s="819"/>
      <c r="B32" s="169" t="s">
        <v>2</v>
      </c>
      <c r="C32" s="103">
        <f>SUM(C25:C31)</f>
        <v>16843</v>
      </c>
      <c r="D32" s="104">
        <f>SUM(D25:D31)</f>
        <v>0</v>
      </c>
      <c r="E32" s="105">
        <f>SUM(E25:E31)</f>
        <v>0</v>
      </c>
      <c r="F32" s="103">
        <f>SUM(F24:F31)</f>
        <v>15</v>
      </c>
      <c r="G32" s="173"/>
      <c r="H32" s="174"/>
      <c r="I32" s="172"/>
      <c r="J32" s="216">
        <f>+'1'!J32</f>
        <v>0</v>
      </c>
      <c r="K32" s="240"/>
      <c r="L32" s="242"/>
      <c r="M32" s="121">
        <f>+K32+'11'!M32+L32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50863</v>
      </c>
      <c r="D34" s="111">
        <f>D14+D23+D32</f>
        <v>0</v>
      </c>
      <c r="E34" s="111">
        <f>E14+E23+E32</f>
        <v>0</v>
      </c>
      <c r="F34" s="112">
        <f>F14+F23+F32</f>
        <v>78</v>
      </c>
      <c r="H34" s="180"/>
      <c r="I34" s="180"/>
      <c r="J34" s="127" t="s">
        <v>27</v>
      </c>
      <c r="K34" s="128">
        <f>SUM(K7:K32)</f>
        <v>50863</v>
      </c>
      <c r="L34" s="214">
        <f>SUM(L7:L32)</f>
        <v>0</v>
      </c>
      <c r="M34" s="124">
        <f>SUM(M7:M32)</f>
        <v>539422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(14*480+15*540+12.5*420)/1440*G42*2.85*1440/1000000</f>
        <v>57.781028250000006</v>
      </c>
      <c r="J37" s="129">
        <f>+I37+'11'!J37</f>
        <v>635.91138025680289</v>
      </c>
      <c r="K37" s="130" t="s">
        <v>74</v>
      </c>
      <c r="N37" s="153">
        <v>15.816000000000001</v>
      </c>
    </row>
    <row r="38" spans="1:14" ht="17.45" customHeight="1">
      <c r="A38" s="824" t="s">
        <v>11</v>
      </c>
      <c r="B38" s="825"/>
      <c r="C38" s="168">
        <f>SUMIF($G$7:$G$31,"Process",$F$7:$F$31)</f>
        <v>53</v>
      </c>
      <c r="D38" s="122">
        <f>+C38+'11'!D38</f>
        <v>742</v>
      </c>
      <c r="E38" s="147">
        <f t="shared" ref="E38:E51" si="0">D38/60</f>
        <v>12.366666666666667</v>
      </c>
      <c r="F38" s="334">
        <v>1300</v>
      </c>
      <c r="G38" s="334">
        <f>+F38-F38*0.24</f>
        <v>988</v>
      </c>
      <c r="H38" s="189" t="s">
        <v>75</v>
      </c>
      <c r="I38" s="581">
        <f>15.816+18.925+15.584</f>
        <v>50.325000000000003</v>
      </c>
      <c r="J38" s="131">
        <f>+I38+'11'!J38</f>
        <v>570.41100000000006</v>
      </c>
      <c r="K38" s="132" t="s">
        <v>74</v>
      </c>
      <c r="N38" s="153">
        <f>18.925+1.615+1.304</f>
        <v>21.843999999999998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+C39+'11'!D39</f>
        <v>0</v>
      </c>
      <c r="E39" s="147">
        <f t="shared" si="0"/>
        <v>0</v>
      </c>
      <c r="F39" s="334">
        <v>1300</v>
      </c>
      <c r="G39" s="334">
        <f>+F39-F39*0.24</f>
        <v>988</v>
      </c>
      <c r="H39" s="189" t="s">
        <v>76</v>
      </c>
      <c r="I39" s="146"/>
      <c r="J39" s="133">
        <f>J37/G4</f>
        <v>52.99261502140024</v>
      </c>
      <c r="K39" s="134" t="s">
        <v>74</v>
      </c>
      <c r="N39" s="580">
        <f>+I38-N37-N38</f>
        <v>12.665000000000003</v>
      </c>
    </row>
    <row r="40" spans="1:14" ht="17.45" customHeight="1">
      <c r="A40" s="808" t="s">
        <v>77</v>
      </c>
      <c r="B40" s="809"/>
      <c r="C40" s="168">
        <f>SUMIF($G$7:$G$31,"Mechanical",$F$7:$F$31)</f>
        <v>25</v>
      </c>
      <c r="D40" s="122">
        <f ca="1">+C40+'11'!D40</f>
        <v>61</v>
      </c>
      <c r="E40" s="147">
        <f t="shared" ca="1" si="0"/>
        <v>1.0166666666666666</v>
      </c>
      <c r="F40" s="334">
        <v>1387.5</v>
      </c>
      <c r="G40" s="334">
        <v>1054.5</v>
      </c>
      <c r="H40" s="189" t="s">
        <v>78</v>
      </c>
      <c r="I40" s="122">
        <f>(K34+L34)/1000</f>
        <v>50.863</v>
      </c>
      <c r="J40" s="135">
        <f>+I40+'11'!J40</f>
        <v>539.42200000000003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+C41+'11'!D41</f>
        <v>0</v>
      </c>
      <c r="E41" s="147">
        <f t="shared" ca="1" si="0"/>
        <v>0</v>
      </c>
      <c r="F41" s="334"/>
      <c r="G41" s="334"/>
      <c r="H41" s="189" t="s">
        <v>80</v>
      </c>
      <c r="I41" s="146"/>
      <c r="J41" s="133">
        <f>J40/G4</f>
        <v>44.951833333333333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+C42+'11'!D42</f>
        <v>0</v>
      </c>
      <c r="E42" s="147">
        <f t="shared" ca="1" si="0"/>
        <v>0</v>
      </c>
      <c r="F42" s="334">
        <f>+(F38*480+F39*480+F40*480)/1440</f>
        <v>1329.1666666666667</v>
      </c>
      <c r="G42" s="334">
        <f>+(G38*480+G39*480+G40*480)/1440</f>
        <v>1010.1666666666666</v>
      </c>
      <c r="H42" s="189" t="s">
        <v>81</v>
      </c>
      <c r="I42" s="245" t="s">
        <v>621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+C43+'11'!D43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+Report1!Z20</f>
        <v>122.5</v>
      </c>
      <c r="J43" s="137">
        <f>+I43+'11'!J43</f>
        <v>1436.3999999999999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+C44+'11'!D44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2.4341778440139095</v>
      </c>
      <c r="J44" s="138">
        <f>J43/J38</f>
        <v>2.5181842566149668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+C45+'11'!D45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2.4084304897469675</v>
      </c>
      <c r="J45" s="138">
        <f>J43/J40</f>
        <v>2.6628502359933406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+C46+'11'!D46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+SUMIF(Listrik!AN19,"&gt;0")</f>
        <v>49974.620000000134</v>
      </c>
      <c r="J46" s="139">
        <f>+I46+'11'!J46</f>
        <v>589607.78759999981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+C47+'11'!D47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993.03765524093649</v>
      </c>
      <c r="J47" s="139">
        <f>J46/J38</f>
        <v>1033.6543082093433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+C48+'11'!D48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982.53386548178707</v>
      </c>
      <c r="J48" s="139">
        <f>J46/J40</f>
        <v>1093.0362269243742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+C49+'11'!D49</f>
        <v>545</v>
      </c>
      <c r="E49" s="147">
        <f t="shared" si="0"/>
        <v>9.0833333333333339</v>
      </c>
      <c r="F49" s="187"/>
      <c r="H49" s="190" t="s">
        <v>93</v>
      </c>
      <c r="I49" s="122">
        <v>0</v>
      </c>
      <c r="J49" s="139">
        <f>+I49+'11'!J49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+C50+'11'!D50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+C51+'11'!D51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78</v>
      </c>
      <c r="D52" s="148">
        <f ca="1">SUM(D38:D51)</f>
        <v>1348</v>
      </c>
      <c r="E52" s="149">
        <f ca="1">SUM(E38:E51)</f>
        <v>22.466666666666669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5.4166666666666669E-2</v>
      </c>
      <c r="D53" s="150">
        <f ca="1">D52/(24*60*G4)</f>
        <v>7.8009259259259264E-2</v>
      </c>
      <c r="E53" s="151">
        <f ca="1">E52/(G4*24)</f>
        <v>7.8009259259259264E-2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+D34+'11'!J56</f>
        <v>5607</v>
      </c>
      <c r="K56" s="203">
        <f>J56/(J40+J56/1000)/1000</f>
        <v>1.0287525984855852E-2</v>
      </c>
    </row>
    <row r="57" spans="1:11">
      <c r="A57" s="178"/>
      <c r="I57" s="201" t="s">
        <v>100</v>
      </c>
      <c r="J57" s="202">
        <f>+E34+'11'!J57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2:B52"/>
    <mergeCell ref="A53:B53"/>
    <mergeCell ref="A48:B48"/>
    <mergeCell ref="A49:B49"/>
    <mergeCell ref="A50:B50"/>
    <mergeCell ref="A51:B51"/>
    <mergeCell ref="A7:A14"/>
    <mergeCell ref="I7:I13"/>
    <mergeCell ref="A15:A23"/>
    <mergeCell ref="I15:I22"/>
    <mergeCell ref="A46:B46"/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</mergeCells>
  <phoneticPr fontId="30" type="noConversion"/>
  <printOptions horizontalCentered="1"/>
  <pageMargins left="0.15625" right="0.15625" top="0.39027777777777778" bottom="0.39027777777777778" header="0" footer="0"/>
  <pageSetup paperSize="9" scale="60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0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5.5703125" style="153" bestFit="1" customWidth="1"/>
    <col min="14" max="16384" width="9.140625" style="153"/>
  </cols>
  <sheetData>
    <row r="1" spans="1:16" ht="15.75">
      <c r="A1" s="152"/>
    </row>
    <row r="2" spans="1:16" ht="15.75">
      <c r="A2" s="152" t="s">
        <v>236</v>
      </c>
    </row>
    <row r="3" spans="1:16" ht="15">
      <c r="A3" s="154"/>
    </row>
    <row r="4" spans="1:16" ht="20.25">
      <c r="A4" s="155" t="s">
        <v>3</v>
      </c>
      <c r="B4" s="156"/>
      <c r="F4" s="157" t="s">
        <v>28</v>
      </c>
      <c r="G4" s="158">
        <v>11</v>
      </c>
      <c r="H4" s="158" t="str">
        <f>+'1'!H4</f>
        <v>.10.25</v>
      </c>
    </row>
    <row r="5" spans="1:16" ht="13.5" thickBot="1">
      <c r="C5" s="159"/>
      <c r="D5" s="159"/>
    </row>
    <row r="6" spans="1:16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414+465+478</f>
        <v>1357</v>
      </c>
    </row>
    <row r="7" spans="1:16" ht="13.5" customHeight="1" thickBot="1">
      <c r="A7" s="810" t="s">
        <v>573</v>
      </c>
      <c r="B7" s="217" t="s">
        <v>431</v>
      </c>
      <c r="C7" s="218">
        <v>20350</v>
      </c>
      <c r="D7" s="219"/>
      <c r="E7" s="220"/>
      <c r="F7" s="231"/>
      <c r="G7" s="558" t="s">
        <v>11</v>
      </c>
      <c r="H7" s="559" t="s">
        <v>404</v>
      </c>
      <c r="I7" s="813" t="s">
        <v>615</v>
      </c>
      <c r="J7" s="216" t="str">
        <f>+'10'!J7</f>
        <v>T 12,5 VP OW</v>
      </c>
      <c r="K7" s="237"/>
      <c r="L7" s="241"/>
      <c r="M7" s="121">
        <f>+K7+'10'!M7+L7</f>
        <v>43580</v>
      </c>
    </row>
    <row r="8" spans="1:16" ht="13.5" thickBot="1">
      <c r="A8" s="818"/>
      <c r="B8" s="217"/>
      <c r="C8" s="218"/>
      <c r="D8" s="219"/>
      <c r="E8" s="221"/>
      <c r="F8" s="231">
        <v>7</v>
      </c>
      <c r="G8" s="560" t="s">
        <v>11</v>
      </c>
      <c r="H8" s="559" t="s">
        <v>490</v>
      </c>
      <c r="I8" s="814"/>
      <c r="J8" s="216" t="str">
        <f>+'10'!J8</f>
        <v>F 12.5 VP OW</v>
      </c>
      <c r="K8" s="238"/>
      <c r="L8" s="238"/>
      <c r="M8" s="121">
        <f>+K8+'10'!M8+L8</f>
        <v>111865</v>
      </c>
    </row>
    <row r="9" spans="1:16" ht="13.5" thickBot="1">
      <c r="A9" s="818"/>
      <c r="B9" s="217"/>
      <c r="C9" s="218"/>
      <c r="D9" s="219"/>
      <c r="E9" s="222"/>
      <c r="F9" s="231">
        <v>10</v>
      </c>
      <c r="G9" s="560" t="s">
        <v>11</v>
      </c>
      <c r="H9" s="561" t="s">
        <v>428</v>
      </c>
      <c r="I9" s="814"/>
      <c r="J9" s="216" t="str">
        <f>+'10'!J9</f>
        <v>F 13 VP OW</v>
      </c>
      <c r="K9" s="238"/>
      <c r="L9" s="238"/>
      <c r="M9" s="121">
        <f>+K9+'10'!M9+L9</f>
        <v>38598</v>
      </c>
      <c r="N9" s="153">
        <v>1400</v>
      </c>
      <c r="O9" s="153">
        <f>+N9-N9*0.21</f>
        <v>1106</v>
      </c>
      <c r="P9" s="153">
        <f>480+480+180+10</f>
        <v>1150</v>
      </c>
    </row>
    <row r="10" spans="1:16" ht="13.5" thickBot="1">
      <c r="A10" s="818"/>
      <c r="B10" s="217"/>
      <c r="C10" s="218"/>
      <c r="D10" s="219"/>
      <c r="E10" s="221"/>
      <c r="F10" s="231"/>
      <c r="G10" s="558"/>
      <c r="H10" s="561" t="s">
        <v>614</v>
      </c>
      <c r="I10" s="814"/>
      <c r="J10" s="216" t="str">
        <f>+'10'!J10</f>
        <v>T 12 VP OW</v>
      </c>
      <c r="K10" s="238"/>
      <c r="L10" s="238"/>
      <c r="M10" s="121">
        <f>+K10+'10'!M10+L10</f>
        <v>11079</v>
      </c>
    </row>
    <row r="11" spans="1:16" ht="13.5" thickBot="1">
      <c r="A11" s="818"/>
      <c r="B11" s="217"/>
      <c r="C11" s="218"/>
      <c r="D11" s="219"/>
      <c r="E11" s="221"/>
      <c r="F11" s="481"/>
      <c r="G11" s="232"/>
      <c r="H11" s="230" t="s">
        <v>602</v>
      </c>
      <c r="I11" s="814"/>
      <c r="J11" s="216" t="str">
        <f>+'10'!J11</f>
        <v>T 13,5 VP OW</v>
      </c>
      <c r="K11" s="238"/>
      <c r="L11" s="238"/>
      <c r="M11" s="121">
        <f>+K11+'10'!M11+L11</f>
        <v>15672</v>
      </c>
    </row>
    <row r="12" spans="1:16" ht="13.5" thickBot="1">
      <c r="A12" s="818"/>
      <c r="B12" s="217"/>
      <c r="C12" s="218"/>
      <c r="D12" s="219"/>
      <c r="E12" s="221"/>
      <c r="F12" s="228"/>
      <c r="G12" s="232"/>
      <c r="H12" s="233" t="s">
        <v>603</v>
      </c>
      <c r="I12" s="814"/>
      <c r="J12" s="216" t="str">
        <f>+'10'!J12</f>
        <v>F 12 VP OW</v>
      </c>
      <c r="K12" s="238"/>
      <c r="L12" s="238"/>
      <c r="M12" s="121">
        <f>+K12+'10'!M12+L12</f>
        <v>69304</v>
      </c>
    </row>
    <row r="13" spans="1:16" ht="13.5" thickBot="1">
      <c r="A13" s="818"/>
      <c r="B13" s="217"/>
      <c r="C13" s="218"/>
      <c r="D13" s="218"/>
      <c r="E13" s="221"/>
      <c r="F13" s="228"/>
      <c r="G13" s="232"/>
      <c r="H13" s="233" t="s">
        <v>604</v>
      </c>
      <c r="I13" s="815"/>
      <c r="J13" s="216" t="str">
        <f>+'10'!J13</f>
        <v>T 12,5 VP OW</v>
      </c>
      <c r="K13" s="238">
        <f>+C7+C16+C25</f>
        <v>50205</v>
      </c>
      <c r="L13" s="238"/>
      <c r="M13" s="121">
        <f>+K13+'10'!M13+L13</f>
        <v>195108</v>
      </c>
    </row>
    <row r="14" spans="1:16" ht="13.5" thickBot="1">
      <c r="A14" s="819"/>
      <c r="B14" s="169" t="s">
        <v>2</v>
      </c>
      <c r="C14" s="103">
        <f>SUM(C7:C13)</f>
        <v>20350</v>
      </c>
      <c r="D14" s="115">
        <f>SUM(D7:D13)</f>
        <v>0</v>
      </c>
      <c r="E14" s="116">
        <f>SUM(E9:E13)</f>
        <v>0</v>
      </c>
      <c r="F14" s="106">
        <f>SUM(F6:F13)</f>
        <v>17</v>
      </c>
      <c r="G14" s="163"/>
      <c r="H14" s="170"/>
      <c r="I14" s="171"/>
      <c r="J14" s="216" t="s">
        <v>622</v>
      </c>
      <c r="K14" s="238">
        <f>+C26</f>
        <v>3353</v>
      </c>
      <c r="L14" s="238"/>
      <c r="M14" s="121">
        <f>+K14+'10'!M14+L14</f>
        <v>3353</v>
      </c>
    </row>
    <row r="15" spans="1:16" ht="13.5" thickBot="1">
      <c r="A15" s="831" t="s">
        <v>590</v>
      </c>
      <c r="B15" s="510"/>
      <c r="C15" s="563">
        <f>C14/($C$32+$D$32+$E$32)</f>
        <v>1.0488068855331649</v>
      </c>
      <c r="D15" s="108">
        <f>D14/($C$32+$D$32+$E$32)</f>
        <v>0</v>
      </c>
      <c r="E15" s="109">
        <f>E14/($C$32+$D$32+$E$32)</f>
        <v>0</v>
      </c>
      <c r="F15" s="231"/>
      <c r="G15" s="558" t="s">
        <v>11</v>
      </c>
      <c r="H15" s="559" t="s">
        <v>404</v>
      </c>
      <c r="I15" s="813" t="s">
        <v>615</v>
      </c>
      <c r="J15" s="216">
        <f>+'10'!J15</f>
        <v>0</v>
      </c>
      <c r="K15" s="238"/>
      <c r="L15" s="238"/>
      <c r="M15" s="121">
        <f>+K15+'10'!M15+L15</f>
        <v>0</v>
      </c>
    </row>
    <row r="16" spans="1:16" ht="13.5" thickBot="1">
      <c r="A16" s="818"/>
      <c r="B16" s="217" t="s">
        <v>431</v>
      </c>
      <c r="C16" s="511">
        <v>13805</v>
      </c>
      <c r="D16" s="223"/>
      <c r="E16" s="224"/>
      <c r="F16" s="231">
        <v>2</v>
      </c>
      <c r="G16" s="560" t="s">
        <v>11</v>
      </c>
      <c r="H16" s="559" t="s">
        <v>513</v>
      </c>
      <c r="I16" s="814"/>
      <c r="J16" s="216">
        <f>+'10'!J16</f>
        <v>0</v>
      </c>
      <c r="K16" s="229"/>
      <c r="L16" s="229"/>
      <c r="M16" s="121">
        <f>+K16+'10'!M16+L16</f>
        <v>0</v>
      </c>
    </row>
    <row r="17" spans="1:18" ht="13.5" thickBot="1">
      <c r="A17" s="818"/>
      <c r="B17" s="217"/>
      <c r="C17" s="218"/>
      <c r="D17" s="219"/>
      <c r="E17" s="225"/>
      <c r="F17" s="231">
        <v>10</v>
      </c>
      <c r="G17" s="560" t="s">
        <v>11</v>
      </c>
      <c r="H17" s="561" t="s">
        <v>428</v>
      </c>
      <c r="I17" s="814"/>
      <c r="J17" s="216">
        <f>+'10'!J17</f>
        <v>0</v>
      </c>
      <c r="K17" s="229"/>
      <c r="L17" s="229"/>
      <c r="M17" s="121">
        <f>+K17+'10'!M17+L17</f>
        <v>0</v>
      </c>
    </row>
    <row r="18" spans="1:18" ht="13.5" thickBot="1">
      <c r="A18" s="818"/>
      <c r="B18" s="217"/>
      <c r="C18" s="218"/>
      <c r="D18" s="219"/>
      <c r="E18" s="225"/>
      <c r="F18" s="231"/>
      <c r="G18" s="558"/>
      <c r="H18" s="561" t="s">
        <v>614</v>
      </c>
      <c r="I18" s="814"/>
      <c r="J18" s="216">
        <f>+'10'!J18</f>
        <v>0</v>
      </c>
      <c r="K18" s="238"/>
      <c r="L18" s="238"/>
      <c r="M18" s="121">
        <f>+K18+'10'!M18+L18</f>
        <v>0</v>
      </c>
    </row>
    <row r="19" spans="1:18" ht="13.5" thickBot="1">
      <c r="A19" s="818"/>
      <c r="B19" s="217"/>
      <c r="C19" s="218"/>
      <c r="D19" s="219"/>
      <c r="E19" s="225"/>
      <c r="F19" s="228"/>
      <c r="G19" s="232"/>
      <c r="H19" s="230"/>
      <c r="I19" s="814"/>
      <c r="J19" s="216">
        <f>+'10'!J19</f>
        <v>0</v>
      </c>
      <c r="K19" s="238"/>
      <c r="L19" s="238"/>
      <c r="M19" s="121">
        <f>+K19+'10'!M19+L19</f>
        <v>0</v>
      </c>
    </row>
    <row r="20" spans="1:18" ht="13.5" thickBot="1">
      <c r="A20" s="818"/>
      <c r="B20" s="217"/>
      <c r="C20" s="218"/>
      <c r="D20" s="219"/>
      <c r="E20" s="225"/>
      <c r="F20" s="228"/>
      <c r="G20" s="232"/>
      <c r="H20" s="233"/>
      <c r="I20" s="814"/>
      <c r="J20" s="216">
        <f>+'10'!J20</f>
        <v>0</v>
      </c>
      <c r="K20" s="239"/>
      <c r="L20" s="239"/>
      <c r="M20" s="121">
        <f>+K20+'10'!M20+L20</f>
        <v>0</v>
      </c>
    </row>
    <row r="21" spans="1:18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+'10'!J21</f>
        <v>0</v>
      </c>
      <c r="K21" s="238"/>
      <c r="L21" s="238"/>
      <c r="M21" s="121">
        <f>+K21+'10'!M21+L21</f>
        <v>0</v>
      </c>
    </row>
    <row r="22" spans="1:18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+'10'!J22</f>
        <v>0</v>
      </c>
      <c r="K22" s="238"/>
      <c r="L22" s="238"/>
      <c r="M22" s="121">
        <f>+K22+'10'!M22+L22</f>
        <v>0</v>
      </c>
    </row>
    <row r="23" spans="1:18" ht="13.5" thickBot="1">
      <c r="A23" s="819"/>
      <c r="B23" s="169" t="s">
        <v>2</v>
      </c>
      <c r="C23" s="103">
        <f>SUM(C16:C22)</f>
        <v>13805</v>
      </c>
      <c r="D23" s="115">
        <f>SUM(D16:D22)</f>
        <v>0</v>
      </c>
      <c r="E23" s="116">
        <f>SUM(E18:E22)</f>
        <v>0</v>
      </c>
      <c r="F23" s="106">
        <f>SUM(F15:F22)</f>
        <v>12</v>
      </c>
      <c r="G23" s="163"/>
      <c r="H23" s="170"/>
      <c r="I23" s="172"/>
      <c r="J23" s="216">
        <f>+'10'!J23</f>
        <v>0</v>
      </c>
      <c r="K23" s="238"/>
      <c r="L23" s="238"/>
      <c r="M23" s="121">
        <f>+K23+'10'!M23+L23</f>
        <v>0</v>
      </c>
    </row>
    <row r="24" spans="1:18" ht="13.5" thickBot="1">
      <c r="A24" s="831" t="s">
        <v>590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616</v>
      </c>
      <c r="J24" s="216">
        <f>+'10'!J24</f>
        <v>0</v>
      </c>
      <c r="K24" s="238"/>
      <c r="L24" s="238"/>
      <c r="M24" s="121">
        <f>+K24+'10'!M24+L24</f>
        <v>0</v>
      </c>
    </row>
    <row r="25" spans="1:18" ht="13.5" thickBot="1">
      <c r="A25" s="818"/>
      <c r="B25" s="217" t="s">
        <v>431</v>
      </c>
      <c r="C25" s="226">
        <v>16050</v>
      </c>
      <c r="D25" s="219"/>
      <c r="E25" s="225"/>
      <c r="F25" s="231"/>
      <c r="G25" s="560" t="s">
        <v>11</v>
      </c>
      <c r="H25" s="559" t="s">
        <v>426</v>
      </c>
      <c r="I25" s="814"/>
      <c r="J25" s="216">
        <f>+'10'!J25</f>
        <v>0</v>
      </c>
      <c r="K25" s="238"/>
      <c r="L25" s="238"/>
      <c r="M25" s="121">
        <f>+K25+'10'!M25+L25</f>
        <v>0</v>
      </c>
    </row>
    <row r="26" spans="1:18" ht="13.5" thickBot="1">
      <c r="A26" s="818"/>
      <c r="B26" s="217" t="s">
        <v>622</v>
      </c>
      <c r="C26" s="226">
        <v>3353</v>
      </c>
      <c r="D26" s="219"/>
      <c r="E26" s="227"/>
      <c r="F26" s="231">
        <v>6</v>
      </c>
      <c r="G26" s="560" t="s">
        <v>11</v>
      </c>
      <c r="H26" s="561" t="s">
        <v>455</v>
      </c>
      <c r="I26" s="814"/>
      <c r="J26" s="216">
        <f>+'10'!J26</f>
        <v>0</v>
      </c>
      <c r="K26" s="229"/>
      <c r="L26" s="229"/>
      <c r="M26" s="121">
        <f>+K26+'10'!M26+L26</f>
        <v>0</v>
      </c>
      <c r="N26" s="153">
        <v>1400</v>
      </c>
      <c r="O26" s="153">
        <f>+N26-N26*0.21</f>
        <v>1106</v>
      </c>
      <c r="P26" s="153">
        <f>180+10</f>
        <v>190</v>
      </c>
      <c r="Q26" s="153">
        <f>+N26*P26</f>
        <v>266000</v>
      </c>
      <c r="R26" s="153">
        <f>+O26*P26</f>
        <v>210140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614</v>
      </c>
      <c r="I27" s="814"/>
      <c r="J27" s="216">
        <f>+'10'!J27</f>
        <v>0</v>
      </c>
      <c r="K27" s="229"/>
      <c r="L27" s="229"/>
      <c r="M27" s="121">
        <f>+K27+'10'!M27+L27</f>
        <v>0</v>
      </c>
      <c r="N27" s="153">
        <v>1300</v>
      </c>
      <c r="O27" s="153">
        <f>+N27-N27*0.24</f>
        <v>988</v>
      </c>
      <c r="P27" s="153">
        <f>50+240</f>
        <v>290</v>
      </c>
      <c r="Q27" s="153">
        <f>+N27*P27</f>
        <v>377000</v>
      </c>
      <c r="R27" s="153">
        <f>+O27*P27</f>
        <v>286520</v>
      </c>
    </row>
    <row r="28" spans="1:18" ht="13.5" thickBot="1">
      <c r="A28" s="818"/>
      <c r="B28" s="217"/>
      <c r="C28" s="218"/>
      <c r="D28" s="219"/>
      <c r="E28" s="225"/>
      <c r="F28" s="228"/>
      <c r="G28" s="232"/>
      <c r="H28" s="230" t="s">
        <v>605</v>
      </c>
      <c r="I28" s="814"/>
      <c r="J28" s="216">
        <f>+'10'!J28</f>
        <v>0</v>
      </c>
      <c r="K28" s="238"/>
      <c r="L28" s="238"/>
      <c r="M28" s="121">
        <f>+K28+'10'!M28+L28</f>
        <v>0</v>
      </c>
      <c r="P28" s="153">
        <f>SUM(P26:P27)</f>
        <v>480</v>
      </c>
      <c r="Q28" s="153">
        <f>SUM(Q26:Q27)</f>
        <v>643000</v>
      </c>
      <c r="R28" s="153">
        <f>SUM(R26:R27)</f>
        <v>496660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/>
      <c r="I29" s="814"/>
      <c r="J29" s="216">
        <f>+'10'!J29</f>
        <v>0</v>
      </c>
      <c r="K29" s="238"/>
      <c r="L29" s="238"/>
      <c r="M29" s="121">
        <f>+K29+'10'!M29+L29</f>
        <v>0</v>
      </c>
      <c r="Q29" s="153">
        <f>+Q28/P28</f>
        <v>1339.5833333333333</v>
      </c>
      <c r="R29" s="153">
        <f>+R28/P28</f>
        <v>1034.7083333333333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+'10'!J30</f>
        <v>0</v>
      </c>
      <c r="K30" s="239"/>
      <c r="L30" s="239"/>
      <c r="M30" s="121">
        <f>+K30+'10'!M30+L30</f>
        <v>0</v>
      </c>
      <c r="N30" s="159"/>
    </row>
    <row r="31" spans="1:18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+'10'!J31</f>
        <v>0</v>
      </c>
      <c r="K31" s="238"/>
      <c r="L31" s="238"/>
      <c r="M31" s="121">
        <f>+K31+'10'!M31+L31</f>
        <v>0</v>
      </c>
    </row>
    <row r="32" spans="1:18" ht="13.5" thickBot="1">
      <c r="A32" s="819"/>
      <c r="B32" s="169" t="s">
        <v>2</v>
      </c>
      <c r="C32" s="103">
        <f>SUM(C25:C31)</f>
        <v>19403</v>
      </c>
      <c r="D32" s="104">
        <f>SUM(D25:D31)</f>
        <v>0</v>
      </c>
      <c r="E32" s="105">
        <f>SUM(E25:E31)</f>
        <v>0</v>
      </c>
      <c r="F32" s="103">
        <f>SUM(F24:F31)</f>
        <v>6</v>
      </c>
      <c r="G32" s="173"/>
      <c r="H32" s="174"/>
      <c r="I32" s="172"/>
      <c r="J32" s="216">
        <f>+'10'!J32</f>
        <v>0</v>
      </c>
      <c r="K32" s="238"/>
      <c r="L32" s="238"/>
      <c r="M32" s="121">
        <f>+K32+'10'!M32+L32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53558</v>
      </c>
      <c r="D34" s="111">
        <f>D14+D23+D32</f>
        <v>0</v>
      </c>
      <c r="E34" s="111">
        <f>E14+E23+E32</f>
        <v>0</v>
      </c>
      <c r="F34" s="112">
        <f>F14+F23+F32</f>
        <v>35</v>
      </c>
      <c r="H34" s="180"/>
      <c r="I34" s="180"/>
      <c r="J34" s="127" t="s">
        <v>27</v>
      </c>
      <c r="K34" s="128">
        <f>SUM(K7:K32)</f>
        <v>53558</v>
      </c>
      <c r="L34" s="214">
        <f>SUM(L7:L32)</f>
        <v>0</v>
      </c>
      <c r="M34" s="124">
        <f>SUM(M7:M32)</f>
        <v>488559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(12.5*1150+14*290)/1352*G42*2.85*1352/1000000</f>
        <v>56.860414718750008</v>
      </c>
      <c r="J37" s="129">
        <f>+I37+'10'!J37</f>
        <v>578.13035200680292</v>
      </c>
      <c r="K37" s="130" t="s">
        <v>74</v>
      </c>
      <c r="N37" s="580">
        <f>+I38-N38</f>
        <v>41.580000000000005</v>
      </c>
    </row>
    <row r="38" spans="1:14" ht="17.45" customHeight="1">
      <c r="A38" s="824" t="s">
        <v>11</v>
      </c>
      <c r="B38" s="825"/>
      <c r="C38" s="168">
        <f>SUMIF($G$7:$G$31,"Process",$F$7:$F$31)</f>
        <v>35</v>
      </c>
      <c r="D38" s="122">
        <f>+C38+'10'!D38</f>
        <v>689</v>
      </c>
      <c r="E38" s="147">
        <f t="shared" ref="E38:E51" si="0">D38/60</f>
        <v>11.483333333333333</v>
      </c>
      <c r="F38" s="334">
        <v>1400</v>
      </c>
      <c r="G38" s="334">
        <f>+F38-F38*0.21</f>
        <v>1106</v>
      </c>
      <c r="H38" s="189" t="s">
        <v>75</v>
      </c>
      <c r="I38" s="513">
        <f>16.259+17.6+17.219</f>
        <v>51.078000000000003</v>
      </c>
      <c r="J38" s="131">
        <f>+I38+'10'!J38</f>
        <v>520.08600000000001</v>
      </c>
      <c r="K38" s="132" t="s">
        <v>74</v>
      </c>
      <c r="N38" s="153">
        <f>1.127+1.679+2.331+2.033+2.328</f>
        <v>9.4979999999999993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+C39+'10'!D39</f>
        <v>0</v>
      </c>
      <c r="E39" s="147">
        <f t="shared" si="0"/>
        <v>0</v>
      </c>
      <c r="F39" s="334">
        <v>1400</v>
      </c>
      <c r="G39" s="334">
        <f>+F39-F39*0.21</f>
        <v>1106</v>
      </c>
      <c r="H39" s="189" t="s">
        <v>76</v>
      </c>
      <c r="I39" s="146"/>
      <c r="J39" s="133">
        <f>J37/G4</f>
        <v>52.557304727891172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ca="1">+C40+'10'!D40</f>
        <v>36</v>
      </c>
      <c r="E40" s="147">
        <f t="shared" ca="1" si="0"/>
        <v>0.6</v>
      </c>
      <c r="F40" s="334">
        <v>1339.5833333333333</v>
      </c>
      <c r="G40" s="334">
        <v>1034.7083333333333</v>
      </c>
      <c r="H40" s="189" t="s">
        <v>78</v>
      </c>
      <c r="I40" s="122">
        <f>(K34+L34)/1000</f>
        <v>53.558</v>
      </c>
      <c r="J40" s="135">
        <f>+I40+'10'!J40</f>
        <v>488.55899999999997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ca="1">+C41+'10'!D41</f>
        <v>0</v>
      </c>
      <c r="E41" s="147">
        <f t="shared" ca="1" si="0"/>
        <v>0</v>
      </c>
      <c r="F41" s="334"/>
      <c r="G41" s="334"/>
      <c r="H41" s="189" t="s">
        <v>80</v>
      </c>
      <c r="I41" s="146"/>
      <c r="J41" s="133">
        <f>J40/G4</f>
        <v>44.414454545454539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ca="1">+C42+'10'!D42</f>
        <v>0</v>
      </c>
      <c r="E42" s="147">
        <f t="shared" ca="1" si="0"/>
        <v>0</v>
      </c>
      <c r="F42" s="334">
        <f>+(F38*480+F39*480+F40*480)/1440</f>
        <v>1379.8611111111111</v>
      </c>
      <c r="G42" s="334">
        <f>+(G38*480+G39*480+G40*480)/1440</f>
        <v>1082.2361111111111</v>
      </c>
      <c r="H42" s="189" t="s">
        <v>81</v>
      </c>
      <c r="I42" s="245" t="s">
        <v>617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ca="1">+C43+'10'!D43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+Report1!Z19</f>
        <v>121</v>
      </c>
      <c r="J43" s="137">
        <f>+I43+'10'!J43</f>
        <v>1313.8999999999999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+C44+'10'!D44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2.3689259563804375</v>
      </c>
      <c r="J44" s="138">
        <f>J43/J38</f>
        <v>2.5263129559342103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+C45+'10'!D45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2.259232981067254</v>
      </c>
      <c r="J45" s="138">
        <f>J43/J40</f>
        <v>2.6893374188173791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+C46+'10'!D46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+SUMIF(Listrik!AN18,"&gt;0")</f>
        <v>48763.169999999984</v>
      </c>
      <c r="J46" s="139">
        <f>+I46+'10'!J46</f>
        <v>539633.1675999997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+C47+'10'!D47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954.68048866439528</v>
      </c>
      <c r="J47" s="139">
        <f>J46/J38</f>
        <v>1037.5844910264834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+C48+'10'!D48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910.47406549908476</v>
      </c>
      <c r="J48" s="139">
        <f>J46/J40</f>
        <v>1104.540429303318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+C49+'10'!D49</f>
        <v>545</v>
      </c>
      <c r="E49" s="147">
        <f t="shared" si="0"/>
        <v>9.0833333333333339</v>
      </c>
      <c r="F49" s="187"/>
      <c r="H49" s="190" t="s">
        <v>193</v>
      </c>
      <c r="I49" s="122">
        <v>0</v>
      </c>
      <c r="J49" s="139">
        <f>+I49+'10'!J49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+C50+'10'!D50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+C51+'10'!D51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35</v>
      </c>
      <c r="D52" s="148">
        <f ca="1">SUM(D38:D51)</f>
        <v>1270</v>
      </c>
      <c r="E52" s="149">
        <f ca="1">SUM(E38:E51)</f>
        <v>21.166666666666664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2.4305555555555556E-2</v>
      </c>
      <c r="D53" s="150">
        <f ca="1">D52/(24*60*G4)</f>
        <v>8.017676767676768E-2</v>
      </c>
      <c r="E53" s="151">
        <f ca="1">E52/(G4*24)</f>
        <v>8.0176767676767666E-2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+D34+'10'!J56</f>
        <v>5607</v>
      </c>
      <c r="K56" s="203">
        <f>J56/(J40+J56/1000)/1000</f>
        <v>1.1346389674724688E-2</v>
      </c>
    </row>
    <row r="57" spans="1:11">
      <c r="A57" s="178"/>
      <c r="I57" s="201" t="s">
        <v>100</v>
      </c>
      <c r="J57" s="202">
        <f>+E34+'10'!J57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10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531+460+492</f>
        <v>1483</v>
      </c>
    </row>
    <row r="7" spans="1:18" ht="13.5" customHeight="1" thickBot="1">
      <c r="A7" s="810" t="s">
        <v>573</v>
      </c>
      <c r="B7" s="217" t="s">
        <v>600</v>
      </c>
      <c r="C7" s="218">
        <v>15393</v>
      </c>
      <c r="D7" s="219"/>
      <c r="E7" s="220"/>
      <c r="F7" s="231"/>
      <c r="G7" s="558" t="s">
        <v>11</v>
      </c>
      <c r="H7" s="559" t="s">
        <v>404</v>
      </c>
      <c r="I7" s="813" t="s">
        <v>596</v>
      </c>
      <c r="J7" s="216" t="str">
        <f>+'9'!J7</f>
        <v>T 12,5 VP OW</v>
      </c>
      <c r="K7" s="237"/>
      <c r="L7" s="241"/>
      <c r="M7" s="121">
        <f>+K7+'9'!M7+L7</f>
        <v>43580</v>
      </c>
    </row>
    <row r="8" spans="1:18" ht="13.5" thickBot="1">
      <c r="A8" s="818"/>
      <c r="B8" s="217"/>
      <c r="C8" s="218"/>
      <c r="D8" s="219"/>
      <c r="E8" s="221"/>
      <c r="F8" s="231">
        <v>6</v>
      </c>
      <c r="G8" s="560" t="s">
        <v>11</v>
      </c>
      <c r="H8" s="559" t="s">
        <v>405</v>
      </c>
      <c r="I8" s="814"/>
      <c r="J8" s="216" t="str">
        <f>+'9'!J8</f>
        <v>F 12.5 VP OW</v>
      </c>
      <c r="K8" s="238"/>
      <c r="L8" s="238"/>
      <c r="M8" s="121">
        <f>+K8+'9'!M8+L8</f>
        <v>111865</v>
      </c>
      <c r="N8" s="153">
        <v>1390</v>
      </c>
      <c r="O8" s="153">
        <f>+N8-N8*0.2</f>
        <v>1112</v>
      </c>
      <c r="P8" s="153">
        <v>350</v>
      </c>
      <c r="Q8" s="153">
        <f>+N8*P8</f>
        <v>486500</v>
      </c>
      <c r="R8" s="153">
        <f>+O8*P8</f>
        <v>389200</v>
      </c>
    </row>
    <row r="9" spans="1:18" ht="13.5" thickBot="1">
      <c r="A9" s="818"/>
      <c r="B9" s="217"/>
      <c r="C9" s="218"/>
      <c r="D9" s="219"/>
      <c r="E9" s="222"/>
      <c r="F9" s="231">
        <v>10</v>
      </c>
      <c r="G9" s="560" t="s">
        <v>11</v>
      </c>
      <c r="H9" s="561" t="s">
        <v>455</v>
      </c>
      <c r="I9" s="814"/>
      <c r="J9" s="216" t="str">
        <f>+'9'!J9</f>
        <v>F 13 VP OW</v>
      </c>
      <c r="K9" s="238"/>
      <c r="L9" s="238"/>
      <c r="M9" s="121">
        <f>+K9+'9'!M9+L9</f>
        <v>38598</v>
      </c>
      <c r="N9" s="153">
        <v>1400</v>
      </c>
      <c r="O9" s="153">
        <f>+N9-N9*0.2</f>
        <v>1120</v>
      </c>
      <c r="P9" s="153">
        <f>10+120</f>
        <v>130</v>
      </c>
      <c r="Q9" s="153">
        <f>+N9*P9</f>
        <v>182000</v>
      </c>
      <c r="R9" s="153">
        <f>+O9*P9</f>
        <v>145600</v>
      </c>
    </row>
    <row r="10" spans="1:18" ht="12.75" customHeight="1" thickBot="1">
      <c r="A10" s="818"/>
      <c r="B10" s="217"/>
      <c r="C10" s="218"/>
      <c r="D10" s="219"/>
      <c r="E10" s="221"/>
      <c r="F10" s="231"/>
      <c r="G10" s="558"/>
      <c r="H10" s="561" t="s">
        <v>585</v>
      </c>
      <c r="I10" s="814"/>
      <c r="J10" s="216" t="str">
        <f>+'9'!J10</f>
        <v>T 12 VP OW</v>
      </c>
      <c r="K10" s="238"/>
      <c r="L10" s="238"/>
      <c r="M10" s="121">
        <f>+K10+'9'!M10+L10</f>
        <v>11079</v>
      </c>
      <c r="P10" s="178">
        <f>+P8+P9</f>
        <v>480</v>
      </c>
      <c r="Q10" s="178">
        <f>+Q8+Q9</f>
        <v>668500</v>
      </c>
      <c r="R10" s="178">
        <f>+R8+R9</f>
        <v>534800</v>
      </c>
    </row>
    <row r="11" spans="1:18" ht="12.75" customHeight="1" thickBot="1">
      <c r="A11" s="818"/>
      <c r="B11" s="217"/>
      <c r="C11" s="218"/>
      <c r="D11" s="219"/>
      <c r="E11" s="221"/>
      <c r="F11" s="481"/>
      <c r="G11" s="482"/>
      <c r="H11" s="230" t="s">
        <v>591</v>
      </c>
      <c r="I11" s="814"/>
      <c r="J11" s="216" t="str">
        <f>+'9'!J11</f>
        <v>T 13,5 VP OW</v>
      </c>
      <c r="K11" s="238"/>
      <c r="L11" s="238"/>
      <c r="M11" s="121">
        <f>+K11+'9'!M11+L11</f>
        <v>15672</v>
      </c>
      <c r="Q11" s="178">
        <f>+Q10/P10</f>
        <v>1392.7083333333333</v>
      </c>
      <c r="R11" s="178">
        <f>+R10/P10</f>
        <v>1114.1666666666667</v>
      </c>
    </row>
    <row r="12" spans="1:18" ht="12.75" customHeight="1" thickBot="1">
      <c r="A12" s="818"/>
      <c r="B12" s="217"/>
      <c r="C12" s="218"/>
      <c r="D12" s="219"/>
      <c r="E12" s="221"/>
      <c r="F12" s="228"/>
      <c r="G12" s="232"/>
      <c r="H12" s="233" t="s">
        <v>594</v>
      </c>
      <c r="I12" s="814"/>
      <c r="J12" s="216" t="str">
        <f>+'9'!J12</f>
        <v>F 12 VP OW</v>
      </c>
      <c r="K12" s="238"/>
      <c r="L12" s="238"/>
      <c r="M12" s="121">
        <f>+K12+'9'!M12+L12</f>
        <v>69304</v>
      </c>
    </row>
    <row r="13" spans="1:18" ht="12.75" customHeight="1" thickBot="1">
      <c r="A13" s="818"/>
      <c r="B13" s="217"/>
      <c r="C13" s="218"/>
      <c r="D13" s="218"/>
      <c r="E13" s="221"/>
      <c r="F13" s="228"/>
      <c r="G13" s="232"/>
      <c r="H13" s="233" t="s">
        <v>592</v>
      </c>
      <c r="I13" s="815"/>
      <c r="J13" s="216" t="str">
        <f>+'9'!J13</f>
        <v>T 12,5 VP OW</v>
      </c>
      <c r="K13" s="238">
        <f>+C34</f>
        <v>40125</v>
      </c>
      <c r="L13" s="238"/>
      <c r="M13" s="121">
        <f>+K13+'9'!M13+L13</f>
        <v>144903</v>
      </c>
    </row>
    <row r="14" spans="1:18" ht="12.75" customHeight="1" thickBot="1">
      <c r="A14" s="819"/>
      <c r="B14" s="169" t="s">
        <v>2</v>
      </c>
      <c r="C14" s="103">
        <f>SUM(C7:C13)</f>
        <v>15393</v>
      </c>
      <c r="D14" s="115">
        <f>SUM(D7:D13)</f>
        <v>0</v>
      </c>
      <c r="E14" s="116">
        <f>SUM(E9:E13)</f>
        <v>0</v>
      </c>
      <c r="F14" s="106">
        <f>SUM(F6:F13)</f>
        <v>16</v>
      </c>
      <c r="G14" s="163"/>
      <c r="H14" s="170"/>
      <c r="I14" s="171"/>
      <c r="J14" s="216">
        <f>+'9'!J14</f>
        <v>0</v>
      </c>
      <c r="K14" s="238"/>
      <c r="L14" s="238"/>
      <c r="M14" s="121">
        <f>+K14+'9'!M14+L14</f>
        <v>0</v>
      </c>
    </row>
    <row r="15" spans="1:18" ht="12.75" customHeight="1" thickBot="1">
      <c r="A15" s="831" t="s">
        <v>590</v>
      </c>
      <c r="B15" s="510"/>
      <c r="C15" s="563">
        <f>C14/($C$32+$D$32+$E$32)</f>
        <v>1.0266791169212299</v>
      </c>
      <c r="D15" s="108">
        <f>D14/($C$32+$D$32+$E$32)</f>
        <v>0</v>
      </c>
      <c r="E15" s="109">
        <f>E14/($C$32+$D$32+$E$32)</f>
        <v>0</v>
      </c>
      <c r="F15" s="231">
        <v>10</v>
      </c>
      <c r="G15" s="558" t="s">
        <v>11</v>
      </c>
      <c r="H15" s="559" t="s">
        <v>456</v>
      </c>
      <c r="I15" s="813" t="s">
        <v>597</v>
      </c>
      <c r="J15" s="216">
        <f>+'9'!J15</f>
        <v>0</v>
      </c>
      <c r="K15" s="238"/>
      <c r="L15" s="238"/>
      <c r="M15" s="121">
        <f>+K15+'9'!M15+L15</f>
        <v>0</v>
      </c>
    </row>
    <row r="16" spans="1:18" ht="12.75" customHeight="1" thickBot="1">
      <c r="A16" s="818"/>
      <c r="B16" s="217" t="s">
        <v>600</v>
      </c>
      <c r="C16" s="511">
        <v>9739</v>
      </c>
      <c r="D16" s="223"/>
      <c r="E16" s="224"/>
      <c r="F16" s="231">
        <v>8</v>
      </c>
      <c r="G16" s="560" t="s">
        <v>11</v>
      </c>
      <c r="H16" s="559" t="s">
        <v>599</v>
      </c>
      <c r="I16" s="814"/>
      <c r="J16" s="216">
        <f>+'9'!J16</f>
        <v>0</v>
      </c>
      <c r="K16" s="229"/>
      <c r="L16" s="229"/>
      <c r="M16" s="121">
        <f>+K16+'9'!M16+L16</f>
        <v>0</v>
      </c>
      <c r="N16" s="178"/>
      <c r="O16" s="178"/>
      <c r="P16" s="178"/>
    </row>
    <row r="17" spans="1:18" ht="12.75" customHeight="1" thickBot="1">
      <c r="A17" s="818"/>
      <c r="B17" s="217"/>
      <c r="C17" s="218"/>
      <c r="D17" s="219"/>
      <c r="E17" s="225"/>
      <c r="F17" s="231">
        <v>10</v>
      </c>
      <c r="G17" s="560" t="s">
        <v>11</v>
      </c>
      <c r="H17" s="561" t="s">
        <v>455</v>
      </c>
      <c r="I17" s="814"/>
      <c r="J17" s="216">
        <f>+'9'!J17</f>
        <v>0</v>
      </c>
      <c r="K17" s="229"/>
      <c r="L17" s="229"/>
      <c r="M17" s="121">
        <f>+K17+'9'!M17+L17</f>
        <v>0</v>
      </c>
    </row>
    <row r="18" spans="1:18" ht="12.75" customHeight="1" thickBot="1">
      <c r="A18" s="818"/>
      <c r="B18" s="217"/>
      <c r="C18" s="218"/>
      <c r="D18" s="219"/>
      <c r="E18" s="225"/>
      <c r="F18" s="231"/>
      <c r="G18" s="558"/>
      <c r="H18" s="561" t="s">
        <v>595</v>
      </c>
      <c r="I18" s="814"/>
      <c r="J18" s="216">
        <f>+'9'!J18</f>
        <v>0</v>
      </c>
      <c r="K18" s="238"/>
      <c r="L18" s="238"/>
      <c r="M18" s="121">
        <f>+K18+'9'!M18+L18</f>
        <v>0</v>
      </c>
    </row>
    <row r="19" spans="1:18" ht="12.75" customHeight="1" thickBot="1">
      <c r="A19" s="818"/>
      <c r="B19" s="217"/>
      <c r="C19" s="218"/>
      <c r="D19" s="219"/>
      <c r="E19" s="225"/>
      <c r="F19" s="228"/>
      <c r="G19" s="232"/>
      <c r="H19" s="230" t="s">
        <v>593</v>
      </c>
      <c r="I19" s="814"/>
      <c r="J19" s="216">
        <f>+'9'!J19</f>
        <v>0</v>
      </c>
      <c r="K19" s="238"/>
      <c r="L19" s="238"/>
      <c r="M19" s="121">
        <f>+K19+'9'!M19+L19</f>
        <v>0</v>
      </c>
    </row>
    <row r="20" spans="1:18" ht="12.75" customHeight="1" thickBot="1">
      <c r="A20" s="818"/>
      <c r="B20" s="217"/>
      <c r="C20" s="218"/>
      <c r="D20" s="219"/>
      <c r="E20" s="225"/>
      <c r="F20" s="228"/>
      <c r="G20" s="232"/>
      <c r="H20" s="233"/>
      <c r="I20" s="814"/>
      <c r="J20" s="216">
        <f>+'9'!J20</f>
        <v>0</v>
      </c>
      <c r="K20" s="239"/>
      <c r="L20" s="239"/>
      <c r="M20" s="121">
        <f>+K20+'9'!M20+L20</f>
        <v>0</v>
      </c>
    </row>
    <row r="21" spans="1:18" ht="12.75" customHeight="1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+'9'!J21</f>
        <v>0</v>
      </c>
      <c r="K21" s="238"/>
      <c r="L21" s="238"/>
      <c r="M21" s="121">
        <f>+K21+'9'!M21+L21</f>
        <v>0</v>
      </c>
    </row>
    <row r="22" spans="1:18" ht="12.75" customHeight="1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+'9'!J22</f>
        <v>0</v>
      </c>
      <c r="K22" s="238"/>
      <c r="L22" s="238"/>
      <c r="M22" s="121">
        <f>+K22+'9'!M22+L22</f>
        <v>0</v>
      </c>
    </row>
    <row r="23" spans="1:18" ht="12.75" customHeight="1" thickBot="1">
      <c r="A23" s="819"/>
      <c r="B23" s="169" t="s">
        <v>2</v>
      </c>
      <c r="C23" s="103">
        <f>SUM(C16:C22)</f>
        <v>9739</v>
      </c>
      <c r="D23" s="115">
        <f>SUM(D16:D22)</f>
        <v>0</v>
      </c>
      <c r="E23" s="116">
        <f>SUM(E18:E22)</f>
        <v>0</v>
      </c>
      <c r="F23" s="106">
        <f>SUM(F15:F22)</f>
        <v>28</v>
      </c>
      <c r="G23" s="163"/>
      <c r="H23" s="170"/>
      <c r="I23" s="172"/>
      <c r="J23" s="216">
        <f>+'9'!J23</f>
        <v>0</v>
      </c>
      <c r="K23" s="238"/>
      <c r="L23" s="238"/>
      <c r="M23" s="121">
        <f>+K23+'9'!M23+L23</f>
        <v>0</v>
      </c>
    </row>
    <row r="24" spans="1:18" ht="12.75" customHeight="1" thickBot="1">
      <c r="A24" s="831" t="s">
        <v>590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597</v>
      </c>
      <c r="J24" s="216">
        <f>+'8'!J24</f>
        <v>0</v>
      </c>
      <c r="K24" s="238"/>
      <c r="L24" s="238"/>
      <c r="M24" s="121">
        <f>+K24+'9'!M24+L24</f>
        <v>0</v>
      </c>
    </row>
    <row r="25" spans="1:18" ht="12.75" customHeight="1" thickBot="1">
      <c r="A25" s="818"/>
      <c r="B25" s="217" t="s">
        <v>600</v>
      </c>
      <c r="C25" s="226">
        <v>14993</v>
      </c>
      <c r="D25" s="219"/>
      <c r="E25" s="225"/>
      <c r="F25" s="231">
        <v>1</v>
      </c>
      <c r="G25" s="560" t="s">
        <v>11</v>
      </c>
      <c r="H25" s="559" t="s">
        <v>513</v>
      </c>
      <c r="I25" s="814"/>
      <c r="J25" s="216">
        <f>+'8'!J25</f>
        <v>0</v>
      </c>
      <c r="K25" s="238"/>
      <c r="L25" s="238"/>
      <c r="M25" s="121">
        <f>+K25+'9'!M25+L25</f>
        <v>0</v>
      </c>
    </row>
    <row r="26" spans="1:18" ht="12.75" customHeight="1" thickBot="1">
      <c r="A26" s="818"/>
      <c r="B26" s="217"/>
      <c r="C26" s="226"/>
      <c r="D26" s="219"/>
      <c r="E26" s="227"/>
      <c r="F26" s="231">
        <v>10</v>
      </c>
      <c r="G26" s="560" t="s">
        <v>11</v>
      </c>
      <c r="H26" s="561" t="s">
        <v>455</v>
      </c>
      <c r="I26" s="814"/>
      <c r="J26" s="216">
        <f>+'8'!J26</f>
        <v>0</v>
      </c>
      <c r="K26" s="238"/>
      <c r="L26" s="238"/>
      <c r="M26" s="121">
        <f>+K26+'9'!M26+L26</f>
        <v>0</v>
      </c>
    </row>
    <row r="27" spans="1:18" ht="12.75" customHeight="1" thickBot="1">
      <c r="A27" s="818"/>
      <c r="B27" s="217"/>
      <c r="C27" s="218"/>
      <c r="D27" s="219"/>
      <c r="E27" s="225"/>
      <c r="F27" s="231"/>
      <c r="G27" s="558"/>
      <c r="H27" s="561" t="s">
        <v>595</v>
      </c>
      <c r="I27" s="814"/>
      <c r="J27" s="216">
        <f>+'8'!J27</f>
        <v>0</v>
      </c>
      <c r="K27" s="238"/>
      <c r="L27" s="238"/>
      <c r="M27" s="121">
        <f>+K27+'9'!M27+L27</f>
        <v>0</v>
      </c>
    </row>
    <row r="28" spans="1:18" ht="12.75" customHeight="1" thickBot="1">
      <c r="A28" s="818"/>
      <c r="B28" s="217"/>
      <c r="C28" s="218"/>
      <c r="D28" s="219"/>
      <c r="E28" s="225"/>
      <c r="F28" s="228"/>
      <c r="G28" s="232"/>
      <c r="H28" s="230"/>
      <c r="I28" s="814"/>
      <c r="J28" s="216">
        <f>+'8'!J28</f>
        <v>0</v>
      </c>
      <c r="K28" s="238"/>
      <c r="L28" s="238"/>
      <c r="M28" s="121">
        <f>+K28+'9'!M28+L28</f>
        <v>0</v>
      </c>
      <c r="P28" s="178"/>
    </row>
    <row r="29" spans="1:18" ht="12.75" customHeight="1" thickBot="1">
      <c r="A29" s="818"/>
      <c r="B29" s="217"/>
      <c r="C29" s="218"/>
      <c r="D29" s="219"/>
      <c r="E29" s="225"/>
      <c r="F29" s="235"/>
      <c r="G29" s="232"/>
      <c r="H29" s="233"/>
      <c r="I29" s="814"/>
      <c r="J29" s="216">
        <f>+'8'!J29</f>
        <v>0</v>
      </c>
      <c r="K29" s="238"/>
      <c r="L29" s="238"/>
      <c r="M29" s="121">
        <f>+K29+'9'!M29+L29</f>
        <v>0</v>
      </c>
      <c r="Q29" s="178"/>
      <c r="R29" s="178"/>
    </row>
    <row r="30" spans="1:18" ht="12.75" customHeight="1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+'8'!J30</f>
        <v>0</v>
      </c>
      <c r="K30" s="238"/>
      <c r="L30" s="238"/>
      <c r="M30" s="121">
        <f>+K30+'9'!M30+L30</f>
        <v>0</v>
      </c>
      <c r="N30" s="159"/>
    </row>
    <row r="31" spans="1:18" ht="12.75" customHeight="1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+'8'!J31</f>
        <v>0</v>
      </c>
      <c r="K31" s="238"/>
      <c r="L31" s="238"/>
      <c r="M31" s="121">
        <f>+K31+'9'!M31+L31</f>
        <v>0</v>
      </c>
    </row>
    <row r="32" spans="1:18" ht="12.75" customHeight="1" thickBot="1">
      <c r="A32" s="819"/>
      <c r="B32" s="169" t="s">
        <v>2</v>
      </c>
      <c r="C32" s="103">
        <f>SUM(C25:C31)</f>
        <v>14993</v>
      </c>
      <c r="D32" s="104">
        <f>SUM(D25:D31)</f>
        <v>0</v>
      </c>
      <c r="E32" s="105">
        <f>SUM(E25:E31)</f>
        <v>0</v>
      </c>
      <c r="F32" s="103">
        <f>SUM(F24:F31)</f>
        <v>11</v>
      </c>
      <c r="G32" s="173"/>
      <c r="H32" s="174"/>
      <c r="I32" s="172"/>
      <c r="J32" s="216">
        <f>+'8'!J32</f>
        <v>0</v>
      </c>
      <c r="K32" s="240"/>
      <c r="L32" s="242"/>
      <c r="M32" s="121">
        <f>+K32+'9'!M32+L32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40125</v>
      </c>
      <c r="D34" s="111">
        <f>D14+D23+D32</f>
        <v>0</v>
      </c>
      <c r="E34" s="111">
        <f>E14+E23+E32</f>
        <v>0</v>
      </c>
      <c r="F34" s="112">
        <f>F14+F23+F32</f>
        <v>55</v>
      </c>
      <c r="H34" s="180"/>
      <c r="I34" s="180"/>
      <c r="J34" s="127" t="s">
        <v>27</v>
      </c>
      <c r="K34" s="128">
        <f>SUM(K7:K32)</f>
        <v>40125</v>
      </c>
      <c r="L34" s="214">
        <f>SUM(L7:L32)</f>
        <v>0</v>
      </c>
      <c r="M34" s="124">
        <f>SUM(M7:M32)</f>
        <v>435001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(12.5*1440)/1440*G42*2.85*1440/1000000</f>
        <v>57.35625000000001</v>
      </c>
      <c r="J37" s="345">
        <f>+I37+'9'!J37</f>
        <v>521.26993728805292</v>
      </c>
      <c r="K37" s="130" t="s">
        <v>74</v>
      </c>
    </row>
    <row r="38" spans="1:14" ht="17.45" customHeight="1">
      <c r="A38" s="824" t="s">
        <v>11</v>
      </c>
      <c r="B38" s="825"/>
      <c r="C38" s="168">
        <f>SUMIF($G$7:$G$31,"Process",$F$7:$F$31)</f>
        <v>55</v>
      </c>
      <c r="D38" s="122">
        <f>+C38+'9'!D38</f>
        <v>654</v>
      </c>
      <c r="E38" s="147">
        <f t="shared" ref="E38:E51" si="0">D38/60</f>
        <v>10.9</v>
      </c>
      <c r="F38" s="334">
        <v>1392.7083333333333</v>
      </c>
      <c r="G38" s="334">
        <v>1114.1666666666667</v>
      </c>
      <c r="H38" s="189" t="s">
        <v>75</v>
      </c>
      <c r="I38" s="581">
        <f>16.475+16.294+17.129</f>
        <v>49.89800000000001</v>
      </c>
      <c r="J38" s="346">
        <f>+I38+'9'!J38</f>
        <v>469.00800000000004</v>
      </c>
      <c r="K38" s="132" t="s">
        <v>74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+C39+'9'!D39</f>
        <v>0</v>
      </c>
      <c r="E39" s="147">
        <f t="shared" si="0"/>
        <v>0</v>
      </c>
      <c r="F39" s="334">
        <v>1400</v>
      </c>
      <c r="G39" s="334">
        <f>+F39-F39*0.2</f>
        <v>1120</v>
      </c>
      <c r="H39" s="189" t="s">
        <v>76</v>
      </c>
      <c r="I39" s="146"/>
      <c r="J39" s="347">
        <f>J37/G4</f>
        <v>52.126993728805289</v>
      </c>
      <c r="K39" s="134" t="s">
        <v>74</v>
      </c>
    </row>
    <row r="40" spans="1:14" ht="17.45" customHeight="1">
      <c r="A40" s="808" t="s">
        <v>77</v>
      </c>
      <c r="B40" s="809"/>
      <c r="C40" s="168">
        <f ca="1">SUMIF($G$7:$G$31,"Mechanical",$F$7:$F$23)</f>
        <v>0</v>
      </c>
      <c r="D40" s="122">
        <f ca="1">+C40+'9'!D40</f>
        <v>36</v>
      </c>
      <c r="E40" s="147">
        <f t="shared" ca="1" si="0"/>
        <v>0.6</v>
      </c>
      <c r="F40" s="334">
        <v>1400</v>
      </c>
      <c r="G40" s="334">
        <f>+F40-F40*0.2</f>
        <v>1120</v>
      </c>
      <c r="H40" s="189" t="s">
        <v>78</v>
      </c>
      <c r="I40" s="122">
        <f>+(K34+L34)/1000</f>
        <v>40.125</v>
      </c>
      <c r="J40" s="348">
        <f>+I40+'9'!J40</f>
        <v>435.00099999999998</v>
      </c>
      <c r="K40" s="134" t="s">
        <v>74</v>
      </c>
    </row>
    <row r="41" spans="1:14" ht="17.45" customHeight="1">
      <c r="A41" s="808" t="s">
        <v>79</v>
      </c>
      <c r="B41" s="809"/>
      <c r="C41" s="168">
        <f ca="1">SUMIF($G$7:$G$31,"Electrical",$F$7:$F$23)</f>
        <v>0</v>
      </c>
      <c r="D41" s="122">
        <f ca="1">+C41+'9'!D41</f>
        <v>0</v>
      </c>
      <c r="E41" s="147">
        <f t="shared" ca="1" si="0"/>
        <v>0</v>
      </c>
      <c r="F41" s="334"/>
      <c r="G41" s="334"/>
      <c r="H41" s="189" t="s">
        <v>80</v>
      </c>
      <c r="I41" s="146"/>
      <c r="J41" s="347">
        <f>J40/G4</f>
        <v>43.500099999999996</v>
      </c>
      <c r="K41" s="134" t="s">
        <v>74</v>
      </c>
    </row>
    <row r="42" spans="1:14" ht="17.45" customHeight="1">
      <c r="A42" s="808" t="s">
        <v>15</v>
      </c>
      <c r="B42" s="809"/>
      <c r="C42" s="168">
        <f ca="1">SUMIF($G$7:$G$31,"Instrument",$F$7:$F$23)</f>
        <v>0</v>
      </c>
      <c r="D42" s="122">
        <f ca="1">+C42+'9'!D42</f>
        <v>0</v>
      </c>
      <c r="E42" s="147">
        <f t="shared" ca="1" si="0"/>
        <v>0</v>
      </c>
      <c r="F42" s="334">
        <f>+(F38*480+F39*480+F40*480)/1440</f>
        <v>1397.5694444444443</v>
      </c>
      <c r="G42" s="334">
        <f>+(G38*480+G39*480+G40*480)/1440</f>
        <v>1118.0555555555557</v>
      </c>
      <c r="H42" s="189" t="s">
        <v>81</v>
      </c>
      <c r="I42" s="245" t="s">
        <v>598</v>
      </c>
      <c r="J42" s="349"/>
      <c r="K42" s="134" t="s">
        <v>82</v>
      </c>
    </row>
    <row r="43" spans="1:14" ht="17.45" customHeight="1">
      <c r="A43" s="808" t="s">
        <v>83</v>
      </c>
      <c r="B43" s="809"/>
      <c r="C43" s="168">
        <f ca="1">SUMIF($G$7:$G$31,"Water",$F$7:$F$23)</f>
        <v>0</v>
      </c>
      <c r="D43" s="122">
        <f ca="1">+C43+'9'!D43</f>
        <v>0</v>
      </c>
      <c r="E43" s="147">
        <f t="shared" ca="1" si="0"/>
        <v>0</v>
      </c>
      <c r="F43" s="334"/>
      <c r="G43" s="335"/>
      <c r="H43" s="190" t="s">
        <v>84</v>
      </c>
      <c r="I43" s="122">
        <f>+Report1!Z18</f>
        <v>124.8</v>
      </c>
      <c r="J43" s="350">
        <f>+I43+'9'!J43</f>
        <v>1192.8999999999999</v>
      </c>
      <c r="K43" s="134" t="s">
        <v>74</v>
      </c>
      <c r="L43" s="191"/>
    </row>
    <row r="44" spans="1:14">
      <c r="A44" s="808" t="s">
        <v>16</v>
      </c>
      <c r="B44" s="809"/>
      <c r="C44" s="168">
        <f>SUMIF($G$7:$G$23,"PLN",$F$7:$F$23)</f>
        <v>0</v>
      </c>
      <c r="D44" s="122">
        <f>+C44+'9'!D44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2.501102248587117</v>
      </c>
      <c r="J44" s="350">
        <f>J43/J38</f>
        <v>2.5434534165728513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SUMIF($G$7:$G$23,"Boiler",$F$7:$F$23)</f>
        <v>0</v>
      </c>
      <c r="D45" s="122">
        <f>+C45+'9'!D45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3.1102803738317757</v>
      </c>
      <c r="J45" s="350">
        <f>J43/J40</f>
        <v>2.7422925464539158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SUMIF($G$7:$G$23,"Gas",$F$7:$F$23)</f>
        <v>0</v>
      </c>
      <c r="D46" s="122">
        <f>+C46+'9'!D46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+SUMIF(Listrik!AN17,"&gt;0")</f>
        <v>51974.437599999575</v>
      </c>
      <c r="J46" s="350">
        <f>+I46+'9'!J46</f>
        <v>490869.99759999971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SUMIF($G$7:$G$23,"Gas",$F$7:$F$23)</f>
        <v>0</v>
      </c>
      <c r="D47" s="122">
        <f>+C47+'9'!D47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1041.6136438334115</v>
      </c>
      <c r="J47" s="350">
        <f>J46/J38</f>
        <v>1046.6132722682762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SUMIF($G$7:$G$23,"Start Up",$F$7:$F$23)</f>
        <v>0</v>
      </c>
      <c r="D48" s="122">
        <f>+C48+'9'!D48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1295.3130866043507</v>
      </c>
      <c r="J48" s="350">
        <f>J46/J40</f>
        <v>1128.4341819903857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+C49+'9'!D49</f>
        <v>545</v>
      </c>
      <c r="E49" s="147">
        <f t="shared" si="0"/>
        <v>9.0833333333333339</v>
      </c>
      <c r="F49" s="187"/>
      <c r="H49" s="190" t="s">
        <v>193</v>
      </c>
      <c r="I49" s="122">
        <v>0</v>
      </c>
      <c r="J49" s="350">
        <f>+I49+'9'!J49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SUMIF($G$7:$G$23,"Steam",$F$7:$F$23)</f>
        <v>0</v>
      </c>
      <c r="D50" s="122">
        <f>+C50+'9'!D50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350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SUMIF($G$7:$G$23,"Planned shut",$F$7:$F$23)</f>
        <v>0</v>
      </c>
      <c r="D51" s="122">
        <f>+C51+'9'!D51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351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 ca="1">SUM(C38:C51)</f>
        <v>55</v>
      </c>
      <c r="D52" s="148">
        <f ca="1">SUM(D38:D51)</f>
        <v>1235</v>
      </c>
      <c r="E52" s="149">
        <f ca="1">SUM(E38:E51)</f>
        <v>20.583333333333336</v>
      </c>
      <c r="F52" s="187"/>
      <c r="H52" s="193"/>
      <c r="I52" s="194"/>
      <c r="J52" s="352"/>
      <c r="K52" s="143"/>
    </row>
    <row r="53" spans="1:11" ht="13.5" thickBot="1">
      <c r="A53" s="826"/>
      <c r="B53" s="827"/>
      <c r="C53" s="150">
        <f ca="1">C52/(24*60)</f>
        <v>3.8194444444444448E-2</v>
      </c>
      <c r="D53" s="150">
        <f ca="1">D52/(24*60*G4)</f>
        <v>8.576388888888889E-2</v>
      </c>
      <c r="E53" s="151">
        <f ca="1">E52/(G4*24)</f>
        <v>8.5763888888888903E-2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+D34+'9'!J56</f>
        <v>5607</v>
      </c>
      <c r="K56" s="203">
        <f>J56/(J40+J56/1000)/1000</f>
        <v>1.2725597356380276E-2</v>
      </c>
    </row>
    <row r="57" spans="1:11">
      <c r="A57" s="178"/>
      <c r="I57" s="201" t="s">
        <v>100</v>
      </c>
      <c r="J57" s="202"/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  <mergeCell ref="A53:B53"/>
    <mergeCell ref="A49:B49"/>
    <mergeCell ref="A47:B47"/>
    <mergeCell ref="A48:B48"/>
    <mergeCell ref="A50:B50"/>
    <mergeCell ref="A52:B52"/>
    <mergeCell ref="A51:B51"/>
    <mergeCell ref="A46:B46"/>
    <mergeCell ref="A42:B42"/>
    <mergeCell ref="A43:B43"/>
    <mergeCell ref="A44:B44"/>
    <mergeCell ref="A45:B45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H27" sqref="H27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10.5703125" style="153" bestFit="1" customWidth="1"/>
    <col min="13" max="13" width="12.140625" style="153" customWidth="1"/>
    <col min="14" max="16384" width="9.140625" style="153"/>
  </cols>
  <sheetData>
    <row r="1" spans="1:15" ht="15.75">
      <c r="A1" s="152"/>
    </row>
    <row r="2" spans="1:15" ht="15.75">
      <c r="A2" s="152" t="s">
        <v>236</v>
      </c>
    </row>
    <row r="3" spans="1:15" ht="15">
      <c r="A3" s="154"/>
    </row>
    <row r="4" spans="1:15" ht="20.25">
      <c r="A4" s="155" t="s">
        <v>3</v>
      </c>
      <c r="B4" s="156"/>
      <c r="F4" s="157" t="s">
        <v>28</v>
      </c>
      <c r="G4" s="158">
        <v>9</v>
      </c>
      <c r="H4" s="158" t="str">
        <f>+'1'!H4</f>
        <v>.10.25</v>
      </c>
    </row>
    <row r="5" spans="1:15" ht="13.5" thickBot="1">
      <c r="C5" s="159"/>
      <c r="D5" s="159"/>
    </row>
    <row r="6" spans="1:15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575+514+419</f>
        <v>1508</v>
      </c>
    </row>
    <row r="7" spans="1:15" ht="13.5" customHeight="1" thickBot="1">
      <c r="A7" s="810" t="s">
        <v>573</v>
      </c>
      <c r="B7" s="217" t="s">
        <v>431</v>
      </c>
      <c r="C7" s="218">
        <v>21335</v>
      </c>
      <c r="D7" s="219"/>
      <c r="E7" s="220"/>
      <c r="F7" s="231"/>
      <c r="G7" s="558" t="s">
        <v>11</v>
      </c>
      <c r="H7" s="559" t="s">
        <v>404</v>
      </c>
      <c r="I7" s="813" t="s">
        <v>568</v>
      </c>
      <c r="J7" s="216" t="str">
        <f>+'8'!J7</f>
        <v>T 12,5 VP OW</v>
      </c>
      <c r="K7" s="237"/>
      <c r="L7" s="241"/>
      <c r="M7" s="121">
        <f>+K7+'8'!M7+L7</f>
        <v>43580</v>
      </c>
    </row>
    <row r="8" spans="1:15" ht="13.5" thickBot="1">
      <c r="A8" s="818"/>
      <c r="B8" s="217"/>
      <c r="C8" s="218"/>
      <c r="D8" s="219"/>
      <c r="E8" s="221"/>
      <c r="F8" s="231">
        <v>5</v>
      </c>
      <c r="G8" s="560" t="s">
        <v>11</v>
      </c>
      <c r="H8" s="559" t="s">
        <v>405</v>
      </c>
      <c r="I8" s="814"/>
      <c r="J8" s="216" t="str">
        <f>+'8'!J8</f>
        <v>F 12.5 VP OW</v>
      </c>
      <c r="K8" s="238"/>
      <c r="L8" s="238"/>
      <c r="M8" s="121">
        <f>+K8+'8'!M8+L8</f>
        <v>111865</v>
      </c>
      <c r="N8" s="532">
        <v>1370</v>
      </c>
      <c r="O8" s="153">
        <f>+N8-N8*0.19</f>
        <v>1109.7</v>
      </c>
    </row>
    <row r="9" spans="1:15" ht="13.5" thickBot="1">
      <c r="A9" s="818"/>
      <c r="B9" s="217"/>
      <c r="C9" s="218"/>
      <c r="D9" s="219"/>
      <c r="E9" s="222"/>
      <c r="F9" s="231">
        <v>7</v>
      </c>
      <c r="G9" s="560" t="s">
        <v>11</v>
      </c>
      <c r="H9" s="561" t="s">
        <v>514</v>
      </c>
      <c r="I9" s="814"/>
      <c r="J9" s="216" t="str">
        <f>+'8'!J9</f>
        <v>F 13 VP OW</v>
      </c>
      <c r="K9" s="238"/>
      <c r="L9" s="238"/>
      <c r="M9" s="121">
        <f>+K9+'8'!M9+L9</f>
        <v>38598</v>
      </c>
      <c r="N9" s="153">
        <v>1390</v>
      </c>
      <c r="O9" s="153">
        <f>+N9-N9*0.19</f>
        <v>1125.9000000000001</v>
      </c>
    </row>
    <row r="10" spans="1:15" ht="39" thickBot="1">
      <c r="A10" s="818"/>
      <c r="B10" s="217"/>
      <c r="C10" s="218"/>
      <c r="D10" s="219"/>
      <c r="E10" s="221"/>
      <c r="F10" s="231"/>
      <c r="G10" s="558"/>
      <c r="H10" s="561" t="s">
        <v>582</v>
      </c>
      <c r="I10" s="814"/>
      <c r="J10" s="216" t="str">
        <f>+'8'!J10</f>
        <v>T 12 VP OW</v>
      </c>
      <c r="K10" s="238"/>
      <c r="L10" s="238"/>
      <c r="M10" s="121">
        <f>+K10+'8'!M10+L10</f>
        <v>11079</v>
      </c>
      <c r="N10" s="153">
        <v>1390</v>
      </c>
      <c r="O10" s="153">
        <f>+N10-N10*0.19</f>
        <v>1125.9000000000001</v>
      </c>
    </row>
    <row r="11" spans="1:15" ht="13.5" thickBot="1">
      <c r="A11" s="818"/>
      <c r="B11" s="217"/>
      <c r="C11" s="218"/>
      <c r="D11" s="219"/>
      <c r="E11" s="221"/>
      <c r="F11" s="481"/>
      <c r="G11" s="482"/>
      <c r="H11" s="230"/>
      <c r="I11" s="814"/>
      <c r="J11" s="216" t="str">
        <f>+'8'!J11</f>
        <v>T 13,5 VP OW</v>
      </c>
      <c r="K11" s="238"/>
      <c r="L11" s="238"/>
      <c r="M11" s="121">
        <f>+K11+'8'!M11+L11</f>
        <v>15672</v>
      </c>
    </row>
    <row r="12" spans="1:15" ht="13.5" thickBot="1">
      <c r="A12" s="818"/>
      <c r="B12" s="217"/>
      <c r="C12" s="218"/>
      <c r="D12" s="219"/>
      <c r="E12" s="221"/>
      <c r="F12" s="228"/>
      <c r="G12" s="232"/>
      <c r="H12" s="233"/>
      <c r="I12" s="814"/>
      <c r="J12" s="216" t="str">
        <f>+'8'!J12</f>
        <v>F 12 VP OW</v>
      </c>
      <c r="K12" s="238"/>
      <c r="L12" s="238"/>
      <c r="M12" s="121">
        <f>+K12+'8'!M12+L12</f>
        <v>69304</v>
      </c>
    </row>
    <row r="13" spans="1:15" ht="13.5" thickBot="1">
      <c r="A13" s="818"/>
      <c r="B13" s="217"/>
      <c r="C13" s="218"/>
      <c r="D13" s="218"/>
      <c r="E13" s="221"/>
      <c r="F13" s="228"/>
      <c r="G13" s="232"/>
      <c r="H13" s="233"/>
      <c r="I13" s="815"/>
      <c r="J13" s="216" t="str">
        <f>+'8'!J13</f>
        <v>T 12,5 VP OW</v>
      </c>
      <c r="K13" s="238">
        <f>+C34</f>
        <v>56943</v>
      </c>
      <c r="L13" s="238"/>
      <c r="M13" s="121">
        <f>+K13+'8'!M13+L13</f>
        <v>104778</v>
      </c>
    </row>
    <row r="14" spans="1:15" ht="13.5" thickBot="1">
      <c r="A14" s="819"/>
      <c r="B14" s="169" t="s">
        <v>2</v>
      </c>
      <c r="C14" s="103">
        <f>SUM(C7:C13)</f>
        <v>21335</v>
      </c>
      <c r="D14" s="115">
        <f>SUM(D7:D13)</f>
        <v>0</v>
      </c>
      <c r="E14" s="116">
        <f>SUM(E9:E13)</f>
        <v>0</v>
      </c>
      <c r="F14" s="106">
        <f>SUM(F6:F13)</f>
        <v>12</v>
      </c>
      <c r="G14" s="163"/>
      <c r="H14" s="170"/>
      <c r="I14" s="171"/>
      <c r="J14" s="216">
        <f>+'8'!J14</f>
        <v>0</v>
      </c>
      <c r="K14" s="238"/>
      <c r="L14" s="238"/>
      <c r="M14" s="121">
        <f>+K14+'8'!M14+L14</f>
        <v>0</v>
      </c>
    </row>
    <row r="15" spans="1:15" ht="13.5" thickBot="1">
      <c r="A15" s="831" t="s">
        <v>573</v>
      </c>
      <c r="B15" s="510"/>
      <c r="C15" s="563">
        <f>C14/($C$32+$D$32+$E$32)</f>
        <v>1.1081965510076874</v>
      </c>
      <c r="D15" s="108">
        <f>D14/($C$32+$D$32+$E$32)</f>
        <v>0</v>
      </c>
      <c r="E15" s="109">
        <f>E14/($C$32+$D$32+$E$32)</f>
        <v>0</v>
      </c>
      <c r="F15" s="231">
        <v>15</v>
      </c>
      <c r="G15" s="558" t="s">
        <v>11</v>
      </c>
      <c r="H15" s="559" t="s">
        <v>526</v>
      </c>
      <c r="I15" s="813" t="s">
        <v>583</v>
      </c>
      <c r="J15" s="216">
        <f>+'8'!J15</f>
        <v>0</v>
      </c>
      <c r="K15" s="238"/>
      <c r="L15" s="238"/>
      <c r="M15" s="121">
        <f>+K15+'8'!M15+L15</f>
        <v>0</v>
      </c>
    </row>
    <row r="16" spans="1:15" ht="13.5" thickBot="1">
      <c r="A16" s="818"/>
      <c r="B16" s="217" t="s">
        <v>431</v>
      </c>
      <c r="C16" s="511">
        <v>16356</v>
      </c>
      <c r="D16" s="223"/>
      <c r="E16" s="224"/>
      <c r="F16" s="231">
        <v>7</v>
      </c>
      <c r="G16" s="560" t="s">
        <v>11</v>
      </c>
      <c r="H16" s="559" t="s">
        <v>545</v>
      </c>
      <c r="I16" s="814"/>
      <c r="J16" s="216">
        <f>+'8'!J16</f>
        <v>0</v>
      </c>
      <c r="K16" s="229"/>
      <c r="L16" s="229"/>
      <c r="M16" s="121">
        <f>+K16+'8'!M16+L16</f>
        <v>0</v>
      </c>
      <c r="N16" s="532"/>
    </row>
    <row r="17" spans="1:14" ht="13.5" thickBot="1">
      <c r="A17" s="818"/>
      <c r="B17" s="217"/>
      <c r="C17" s="218"/>
      <c r="D17" s="219"/>
      <c r="E17" s="225"/>
      <c r="F17" s="231">
        <v>10</v>
      </c>
      <c r="G17" s="560" t="s">
        <v>11</v>
      </c>
      <c r="H17" s="561" t="s">
        <v>413</v>
      </c>
      <c r="I17" s="814"/>
      <c r="J17" s="216">
        <f>+'8'!J17</f>
        <v>0</v>
      </c>
      <c r="K17" s="229"/>
      <c r="L17" s="229"/>
      <c r="M17" s="121">
        <f>+K17+'8'!M17+L17</f>
        <v>0</v>
      </c>
    </row>
    <row r="18" spans="1:14" ht="13.5" thickBot="1">
      <c r="A18" s="818"/>
      <c r="B18" s="217"/>
      <c r="C18" s="218"/>
      <c r="D18" s="219"/>
      <c r="E18" s="225"/>
      <c r="F18" s="231"/>
      <c r="G18" s="558"/>
      <c r="H18" s="561" t="s">
        <v>585</v>
      </c>
      <c r="I18" s="814"/>
      <c r="J18" s="216">
        <f>+'8'!J18</f>
        <v>0</v>
      </c>
      <c r="K18" s="238"/>
      <c r="L18" s="238"/>
      <c r="M18" s="121">
        <f>+K18+'8'!M18+L18</f>
        <v>0</v>
      </c>
    </row>
    <row r="19" spans="1:14" ht="26.25" thickBot="1">
      <c r="A19" s="818"/>
      <c r="B19" s="217"/>
      <c r="C19" s="218"/>
      <c r="D19" s="219"/>
      <c r="E19" s="225"/>
      <c r="F19" s="228"/>
      <c r="G19" s="232"/>
      <c r="H19" s="230" t="s">
        <v>575</v>
      </c>
      <c r="I19" s="814"/>
      <c r="J19" s="216">
        <f>+'8'!J19</f>
        <v>0</v>
      </c>
      <c r="K19" s="238"/>
      <c r="L19" s="238"/>
      <c r="M19" s="121">
        <f>+K19+'8'!M19+L19</f>
        <v>0</v>
      </c>
    </row>
    <row r="20" spans="1:14" ht="13.5" thickBot="1">
      <c r="A20" s="818"/>
      <c r="B20" s="217"/>
      <c r="C20" s="218"/>
      <c r="D20" s="219"/>
      <c r="E20" s="225"/>
      <c r="F20" s="228"/>
      <c r="G20" s="232"/>
      <c r="H20" s="233" t="s">
        <v>581</v>
      </c>
      <c r="I20" s="814"/>
      <c r="J20" s="216">
        <f>+'8'!J20</f>
        <v>0</v>
      </c>
      <c r="K20" s="239"/>
      <c r="L20" s="239"/>
      <c r="M20" s="121">
        <f>+K20+'8'!M20+L20</f>
        <v>0</v>
      </c>
    </row>
    <row r="21" spans="1:14" ht="13.5" thickBot="1">
      <c r="A21" s="818"/>
      <c r="B21" s="217"/>
      <c r="C21" s="218"/>
      <c r="D21" s="219"/>
      <c r="E21" s="225"/>
      <c r="F21" s="231"/>
      <c r="G21" s="232"/>
      <c r="H21" s="233" t="s">
        <v>576</v>
      </c>
      <c r="I21" s="814"/>
      <c r="J21" s="216">
        <f>+'8'!J21</f>
        <v>0</v>
      </c>
      <c r="K21" s="238"/>
      <c r="L21" s="238"/>
      <c r="M21" s="121">
        <f>+K21+'8'!M21+L21</f>
        <v>0</v>
      </c>
    </row>
    <row r="22" spans="1:14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+'8'!J22</f>
        <v>0</v>
      </c>
      <c r="K22" s="238"/>
      <c r="L22" s="238"/>
      <c r="M22" s="121">
        <f>+K22+'8'!M22+L22</f>
        <v>0</v>
      </c>
    </row>
    <row r="23" spans="1:14" ht="13.5" thickBot="1">
      <c r="A23" s="819"/>
      <c r="B23" s="169" t="s">
        <v>2</v>
      </c>
      <c r="C23" s="103">
        <f>SUM(C16:C22)</f>
        <v>16356</v>
      </c>
      <c r="D23" s="115">
        <f>SUM(D16:D22)</f>
        <v>0</v>
      </c>
      <c r="E23" s="116">
        <f>SUM(E18:E22)</f>
        <v>0</v>
      </c>
      <c r="F23" s="106">
        <f>SUM(F15:F22)</f>
        <v>32</v>
      </c>
      <c r="G23" s="163"/>
      <c r="H23" s="170"/>
      <c r="I23" s="172"/>
      <c r="J23" s="216">
        <f>+'8'!J23</f>
        <v>0</v>
      </c>
      <c r="K23" s="238"/>
      <c r="L23" s="238"/>
      <c r="M23" s="121">
        <f>+K23+'8'!M23+L23</f>
        <v>0</v>
      </c>
    </row>
    <row r="24" spans="1:14" ht="13.5" thickBot="1">
      <c r="A24" s="831" t="s">
        <v>415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10</v>
      </c>
      <c r="G24" s="558" t="s">
        <v>11</v>
      </c>
      <c r="H24" s="559" t="s">
        <v>456</v>
      </c>
      <c r="I24" s="813" t="s">
        <v>583</v>
      </c>
      <c r="J24" s="216">
        <f>+'8'!J24</f>
        <v>0</v>
      </c>
      <c r="K24" s="238"/>
      <c r="L24" s="238"/>
      <c r="M24" s="121">
        <f>+K24+'8'!M24+L24</f>
        <v>0</v>
      </c>
    </row>
    <row r="25" spans="1:14" ht="13.5" thickBot="1">
      <c r="A25" s="818"/>
      <c r="B25" s="217" t="s">
        <v>431</v>
      </c>
      <c r="C25" s="226">
        <v>19252</v>
      </c>
      <c r="D25" s="219"/>
      <c r="E25" s="225"/>
      <c r="F25" s="231">
        <v>6</v>
      </c>
      <c r="G25" s="560" t="s">
        <v>11</v>
      </c>
      <c r="H25" s="559" t="s">
        <v>545</v>
      </c>
      <c r="I25" s="814"/>
      <c r="J25" s="216">
        <f>+'8'!J25</f>
        <v>0</v>
      </c>
      <c r="K25" s="238"/>
      <c r="L25" s="238"/>
      <c r="M25" s="121">
        <f>+K25+'8'!M25+L25</f>
        <v>0</v>
      </c>
      <c r="N25" s="532"/>
    </row>
    <row r="26" spans="1:14" ht="13.5" thickBot="1">
      <c r="A26" s="818"/>
      <c r="B26" s="217"/>
      <c r="C26" s="226"/>
      <c r="D26" s="219"/>
      <c r="E26" s="227"/>
      <c r="F26" s="231">
        <v>15</v>
      </c>
      <c r="G26" s="560" t="s">
        <v>11</v>
      </c>
      <c r="H26" s="561" t="s">
        <v>514</v>
      </c>
      <c r="I26" s="814"/>
      <c r="J26" s="216">
        <f>+'8'!J26</f>
        <v>0</v>
      </c>
      <c r="K26" s="238"/>
      <c r="L26" s="238"/>
      <c r="M26" s="121">
        <f>+K26+'8'!M26+L26</f>
        <v>0</v>
      </c>
    </row>
    <row r="27" spans="1:14" ht="13.5" thickBot="1">
      <c r="A27" s="818"/>
      <c r="B27" s="217"/>
      <c r="C27" s="218"/>
      <c r="D27" s="219"/>
      <c r="E27" s="225"/>
      <c r="F27" s="231"/>
      <c r="G27" s="558"/>
      <c r="H27" s="561" t="s">
        <v>585</v>
      </c>
      <c r="I27" s="814"/>
      <c r="J27" s="216">
        <f>+'8'!J27</f>
        <v>0</v>
      </c>
      <c r="K27" s="238"/>
      <c r="L27" s="238"/>
      <c r="M27" s="121">
        <f>+K27+'8'!M27+L27</f>
        <v>0</v>
      </c>
    </row>
    <row r="28" spans="1:14" ht="39" thickBot="1">
      <c r="A28" s="818"/>
      <c r="B28" s="217"/>
      <c r="C28" s="218"/>
      <c r="D28" s="219"/>
      <c r="E28" s="225"/>
      <c r="F28" s="228"/>
      <c r="G28" s="232"/>
      <c r="H28" s="230" t="s">
        <v>577</v>
      </c>
      <c r="I28" s="814"/>
      <c r="J28" s="216">
        <f>+'8'!J28</f>
        <v>0</v>
      </c>
      <c r="K28" s="238"/>
      <c r="L28" s="238"/>
      <c r="M28" s="121">
        <f>+K28+'8'!M28+L28</f>
        <v>0</v>
      </c>
    </row>
    <row r="29" spans="1:14" ht="26.25" thickBot="1">
      <c r="A29" s="818"/>
      <c r="B29" s="217"/>
      <c r="C29" s="218"/>
      <c r="D29" s="219"/>
      <c r="E29" s="225"/>
      <c r="F29" s="228"/>
      <c r="G29" s="232"/>
      <c r="H29" s="233" t="s">
        <v>578</v>
      </c>
      <c r="I29" s="814"/>
      <c r="J29" s="216">
        <f>+'8'!J29</f>
        <v>0</v>
      </c>
      <c r="K29" s="238"/>
      <c r="L29" s="238"/>
      <c r="M29" s="121">
        <f>+K29+'8'!M29+L29</f>
        <v>0</v>
      </c>
    </row>
    <row r="30" spans="1:14" ht="13.5" thickBot="1">
      <c r="A30" s="818"/>
      <c r="B30" s="217"/>
      <c r="C30" s="226"/>
      <c r="D30" s="219"/>
      <c r="E30" s="225"/>
      <c r="F30" s="231"/>
      <c r="G30" s="232"/>
      <c r="H30" s="233" t="s">
        <v>579</v>
      </c>
      <c r="I30" s="814"/>
      <c r="J30" s="216">
        <f>+'8'!J30</f>
        <v>0</v>
      </c>
      <c r="K30" s="238"/>
      <c r="L30" s="238"/>
      <c r="M30" s="121">
        <f>+K30+'8'!M30+L30</f>
        <v>0</v>
      </c>
      <c r="N30" s="159"/>
    </row>
    <row r="31" spans="1:14" ht="13.5" thickBot="1">
      <c r="A31" s="818"/>
      <c r="B31" s="217"/>
      <c r="C31" s="226"/>
      <c r="D31" s="219"/>
      <c r="E31" s="225"/>
      <c r="F31" s="235"/>
      <c r="G31" s="232"/>
      <c r="H31" s="233" t="s">
        <v>580</v>
      </c>
      <c r="I31" s="815"/>
      <c r="J31" s="216">
        <f>+'8'!J31</f>
        <v>0</v>
      </c>
      <c r="K31" s="238"/>
      <c r="L31" s="238"/>
      <c r="M31" s="121">
        <f>+K31+'8'!M31+L31</f>
        <v>0</v>
      </c>
    </row>
    <row r="32" spans="1:14" ht="13.5" thickBot="1">
      <c r="A32" s="819"/>
      <c r="B32" s="169" t="s">
        <v>2</v>
      </c>
      <c r="C32" s="103">
        <f>SUM(C25:C31)</f>
        <v>19252</v>
      </c>
      <c r="D32" s="104">
        <f>SUM(D25:D31)</f>
        <v>0</v>
      </c>
      <c r="E32" s="105">
        <f>SUM(E25:E31)</f>
        <v>0</v>
      </c>
      <c r="F32" s="103">
        <f>SUM(F24:F31)</f>
        <v>31</v>
      </c>
      <c r="G32" s="173"/>
      <c r="H32" s="174"/>
      <c r="I32" s="172"/>
      <c r="J32" s="216">
        <f>+'8'!J32</f>
        <v>0</v>
      </c>
      <c r="K32" s="240"/>
      <c r="L32" s="242"/>
      <c r="M32" s="121">
        <f>+K32+'8'!M32+L32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56943</v>
      </c>
      <c r="D34" s="111">
        <f>D14+D23+D32</f>
        <v>0</v>
      </c>
      <c r="E34" s="111">
        <f>E14+E23+E32</f>
        <v>0</v>
      </c>
      <c r="F34" s="112">
        <f>F14+F23+F32</f>
        <v>75</v>
      </c>
      <c r="H34" s="180"/>
      <c r="I34" s="180"/>
      <c r="J34" s="127" t="s">
        <v>27</v>
      </c>
      <c r="K34" s="128">
        <f>SUM(K7:K32)</f>
        <v>56943</v>
      </c>
      <c r="L34" s="214">
        <f>SUM(L7:L32)</f>
        <v>0</v>
      </c>
      <c r="M34" s="124">
        <f>SUM(M7:M32)</f>
        <v>394876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(12.5*1440)/1440*G42*2.85*1440/1000000</f>
        <v>57.481650000000002</v>
      </c>
      <c r="J37" s="129">
        <f>+I37+'8'!J37</f>
        <v>463.91368728805293</v>
      </c>
      <c r="K37" s="130" t="s">
        <v>74</v>
      </c>
    </row>
    <row r="38" spans="1:14" ht="17.45" customHeight="1">
      <c r="A38" s="824" t="s">
        <v>11</v>
      </c>
      <c r="B38" s="825"/>
      <c r="C38" s="168">
        <f>SUMIF($G$7:$G$31,"Process",$F$7:$F$31)</f>
        <v>75</v>
      </c>
      <c r="D38" s="122">
        <f>+C38+'8'!D38</f>
        <v>599</v>
      </c>
      <c r="E38" s="147">
        <f t="shared" ref="E38:E51" si="0">D38/60</f>
        <v>9.9833333333333325</v>
      </c>
      <c r="F38" s="334">
        <v>1370</v>
      </c>
      <c r="G38" s="334">
        <f>+F38-F38*0.19</f>
        <v>1109.7</v>
      </c>
      <c r="H38" s="189" t="s">
        <v>75</v>
      </c>
      <c r="I38" s="581">
        <f>18.814+16.302+18.733</f>
        <v>53.849000000000004</v>
      </c>
      <c r="J38" s="131">
        <f>+I38+'8'!J38</f>
        <v>419.11</v>
      </c>
      <c r="K38" s="132" t="s">
        <v>74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+C39+'8'!D39</f>
        <v>0</v>
      </c>
      <c r="E39" s="147">
        <f t="shared" si="0"/>
        <v>0</v>
      </c>
      <c r="F39" s="334">
        <v>1390</v>
      </c>
      <c r="G39" s="334">
        <f>+F39-F39*0.19</f>
        <v>1125.9000000000001</v>
      </c>
      <c r="H39" s="189" t="s">
        <v>76</v>
      </c>
      <c r="I39" s="146"/>
      <c r="J39" s="133">
        <f>J37/G4</f>
        <v>51.545965254228101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>+C40+'8'!D40</f>
        <v>36</v>
      </c>
      <c r="E40" s="147">
        <f t="shared" si="0"/>
        <v>0.6</v>
      </c>
      <c r="F40" s="334">
        <v>1390</v>
      </c>
      <c r="G40" s="334">
        <f>+F40-F40*0.19</f>
        <v>1125.9000000000001</v>
      </c>
      <c r="H40" s="189" t="s">
        <v>78</v>
      </c>
      <c r="I40" s="122">
        <f>(K34+L34)/1000</f>
        <v>56.942999999999998</v>
      </c>
      <c r="J40" s="135">
        <f>+I40+'8'!J40</f>
        <v>394.87599999999998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>+C41+'8'!D41</f>
        <v>0</v>
      </c>
      <c r="E41" s="147">
        <f t="shared" si="0"/>
        <v>0</v>
      </c>
      <c r="F41" s="334"/>
      <c r="G41" s="334"/>
      <c r="H41" s="189" t="s">
        <v>80</v>
      </c>
      <c r="I41" s="146"/>
      <c r="J41" s="133">
        <f>J40/G4</f>
        <v>43.87511111111111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>+C42+'8'!D42</f>
        <v>0</v>
      </c>
      <c r="E42" s="147">
        <f t="shared" si="0"/>
        <v>0</v>
      </c>
      <c r="F42" s="334">
        <f>+(F38*480+F39*480+F40*480)/1440</f>
        <v>1383.3333333333333</v>
      </c>
      <c r="G42" s="334">
        <f>+(G38*480+G39*480+G40*480)/1440</f>
        <v>1120.5</v>
      </c>
      <c r="H42" s="189" t="s">
        <v>81</v>
      </c>
      <c r="I42" s="245" t="s">
        <v>584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>+C43+'8'!D43</f>
        <v>0</v>
      </c>
      <c r="E43" s="147">
        <f t="shared" si="0"/>
        <v>0</v>
      </c>
      <c r="F43" s="334"/>
      <c r="G43" s="335"/>
      <c r="H43" s="190" t="s">
        <v>84</v>
      </c>
      <c r="I43" s="122">
        <f>+Report1!Z17</f>
        <v>124.7</v>
      </c>
      <c r="J43" s="137">
        <f>+I43+'8'!J43</f>
        <v>1068.0999999999999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+C44+'8'!D44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2.3157347397351855</v>
      </c>
      <c r="J44" s="138">
        <f>J43/J38</f>
        <v>2.5484956216745003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+C45+'8'!D45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2.1899092074530673</v>
      </c>
      <c r="J45" s="138">
        <f>J43/J40</f>
        <v>2.7048997660024918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+C46+'8'!D46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+SUMIF(Listrik!AN16,"&gt;0")</f>
        <v>59159.719999999797</v>
      </c>
      <c r="J46" s="139">
        <f>+I46+'8'!J46</f>
        <v>438895.56000000011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+C47+'8'!D47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1098.622444242229</v>
      </c>
      <c r="J47" s="139">
        <f>J46/J38</f>
        <v>1047.2085132781372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+C48+'8'!D48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1038.9287533147146</v>
      </c>
      <c r="J48" s="139">
        <f>J46/J40</f>
        <v>1111.4769193367035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+C49+'8'!D49</f>
        <v>545</v>
      </c>
      <c r="E49" s="147">
        <f t="shared" si="0"/>
        <v>9.0833333333333339</v>
      </c>
      <c r="F49" s="187"/>
      <c r="H49" s="190" t="s">
        <v>193</v>
      </c>
      <c r="I49" s="122">
        <v>0</v>
      </c>
      <c r="J49" s="139">
        <f>+I49+'8'!J49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+C50+'8'!D50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+C51+'8'!D51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75</v>
      </c>
      <c r="D52" s="148">
        <f>SUM(D38:D51)</f>
        <v>1180</v>
      </c>
      <c r="E52" s="149">
        <f>SUM(E38:E51)</f>
        <v>19.666666666666664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5.2083333333333336E-2</v>
      </c>
      <c r="D53" s="150">
        <f>D52/(24*60*G4)</f>
        <v>9.1049382716049385E-2</v>
      </c>
      <c r="E53" s="151">
        <f>E52/(G4*24)</f>
        <v>9.1049382716049371E-2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+D34+'8'!J56</f>
        <v>5607</v>
      </c>
      <c r="K56" s="203">
        <f>J56/(J40+J56/1000)/1000</f>
        <v>1.4000594282403996E-2</v>
      </c>
    </row>
    <row r="57" spans="1:11">
      <c r="A57" s="178"/>
      <c r="I57" s="201" t="s">
        <v>100</v>
      </c>
      <c r="J57" s="202">
        <f>+E34+'8'!J57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7" zoomScale="80" zoomScaleNormal="75" zoomScaleSheetLayoutView="80" workbookViewId="0">
      <selection activeCell="C25" sqref="C25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13.7109375" style="153" bestFit="1" customWidth="1"/>
    <col min="13" max="13" width="1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236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8</v>
      </c>
      <c r="H4" s="158" t="str">
        <f>+'1'!H4</f>
        <v>.10.25</v>
      </c>
    </row>
    <row r="5" spans="1:19" ht="13.5" thickBot="1">
      <c r="C5" s="159"/>
      <c r="D5" s="159"/>
    </row>
    <row r="6" spans="1:19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348+407+351</f>
        <v>1106</v>
      </c>
    </row>
    <row r="7" spans="1:19" ht="13.5" customHeight="1" thickBot="1">
      <c r="A7" s="810" t="s">
        <v>573</v>
      </c>
      <c r="B7" s="217" t="s">
        <v>431</v>
      </c>
      <c r="C7" s="218">
        <v>17531</v>
      </c>
      <c r="D7" s="219"/>
      <c r="E7" s="220"/>
      <c r="F7" s="231"/>
      <c r="G7" s="558" t="s">
        <v>11</v>
      </c>
      <c r="H7" s="559" t="s">
        <v>404</v>
      </c>
      <c r="I7" s="813" t="s">
        <v>568</v>
      </c>
      <c r="J7" s="216" t="str">
        <f>+'7'!J7</f>
        <v>T 12,5 VP OW</v>
      </c>
      <c r="K7" s="237"/>
      <c r="L7" s="241"/>
      <c r="M7" s="121">
        <f>+K7+'7'!M7+L7</f>
        <v>43580</v>
      </c>
    </row>
    <row r="8" spans="1:19" ht="13.5" thickBot="1">
      <c r="A8" s="818"/>
      <c r="B8" s="217"/>
      <c r="C8" s="218"/>
      <c r="D8" s="219"/>
      <c r="E8" s="221"/>
      <c r="F8" s="231">
        <v>5</v>
      </c>
      <c r="G8" s="560" t="s">
        <v>11</v>
      </c>
      <c r="H8" s="559" t="s">
        <v>405</v>
      </c>
      <c r="I8" s="814"/>
      <c r="J8" s="216" t="str">
        <f>+'7'!J8</f>
        <v>F 12.5 VP OW</v>
      </c>
      <c r="K8" s="238"/>
      <c r="L8" s="238"/>
      <c r="M8" s="121">
        <f>+K8+'7'!M8+L8</f>
        <v>111865</v>
      </c>
      <c r="N8" s="531">
        <v>1370</v>
      </c>
      <c r="O8" s="153">
        <f>+N8-N8*0.19</f>
        <v>1109.7</v>
      </c>
    </row>
    <row r="9" spans="1:19" ht="13.5" thickBot="1">
      <c r="A9" s="818"/>
      <c r="B9" s="217"/>
      <c r="C9" s="218"/>
      <c r="D9" s="219"/>
      <c r="E9" s="222"/>
      <c r="F9" s="231">
        <v>7</v>
      </c>
      <c r="G9" s="560" t="s">
        <v>11</v>
      </c>
      <c r="H9" s="561" t="s">
        <v>428</v>
      </c>
      <c r="I9" s="814"/>
      <c r="J9" s="216" t="str">
        <f>+'7'!J9</f>
        <v>F 13 VP OW</v>
      </c>
      <c r="K9" s="238"/>
      <c r="L9" s="238"/>
      <c r="M9" s="121">
        <f>+K9+'7'!M9+L9</f>
        <v>38598</v>
      </c>
      <c r="N9" s="153">
        <v>1370</v>
      </c>
      <c r="O9" s="153">
        <f>+N9-N9*0.19</f>
        <v>1109.7</v>
      </c>
    </row>
    <row r="10" spans="1:19" ht="26.25" thickBot="1">
      <c r="A10" s="818"/>
      <c r="B10" s="217"/>
      <c r="C10" s="218"/>
      <c r="D10" s="219"/>
      <c r="E10" s="221"/>
      <c r="F10" s="231"/>
      <c r="G10" s="558"/>
      <c r="H10" s="561" t="s">
        <v>560</v>
      </c>
      <c r="I10" s="814"/>
      <c r="J10" s="216" t="str">
        <f>+'7'!J10</f>
        <v>T 12 VP OW</v>
      </c>
      <c r="K10" s="238"/>
      <c r="L10" s="238"/>
      <c r="M10" s="121">
        <f>+K10+'7'!M10+L10</f>
        <v>11079</v>
      </c>
      <c r="N10" s="153">
        <v>1370</v>
      </c>
      <c r="O10" s="153">
        <f>+N10-N10*0.19</f>
        <v>1109.7</v>
      </c>
      <c r="Q10" s="178"/>
    </row>
    <row r="11" spans="1:19" ht="26.25" thickBot="1">
      <c r="A11" s="818"/>
      <c r="B11" s="217"/>
      <c r="C11" s="218"/>
      <c r="D11" s="219"/>
      <c r="E11" s="221"/>
      <c r="F11" s="481"/>
      <c r="G11" s="232"/>
      <c r="H11" s="230" t="s">
        <v>558</v>
      </c>
      <c r="I11" s="814"/>
      <c r="J11" s="216" t="str">
        <f>+'7'!J11</f>
        <v>T 13,5 VP OW</v>
      </c>
      <c r="K11" s="238"/>
      <c r="L11" s="238"/>
      <c r="M11" s="121">
        <f>+K11+'7'!M11+L11</f>
        <v>15672</v>
      </c>
      <c r="R11" s="178"/>
      <c r="S11" s="178"/>
    </row>
    <row r="12" spans="1:19" ht="13.5" thickBot="1">
      <c r="A12" s="818"/>
      <c r="B12" s="217"/>
      <c r="C12" s="218"/>
      <c r="D12" s="219"/>
      <c r="E12" s="221"/>
      <c r="F12" s="228"/>
      <c r="G12" s="232"/>
      <c r="H12" s="233" t="s">
        <v>559</v>
      </c>
      <c r="I12" s="814"/>
      <c r="J12" s="216" t="str">
        <f>+'7'!J12</f>
        <v>F 12 VP OW</v>
      </c>
      <c r="K12" s="238"/>
      <c r="L12" s="238"/>
      <c r="M12" s="121">
        <f>+K12+'7'!M12+L12</f>
        <v>69304</v>
      </c>
    </row>
    <row r="13" spans="1:19" ht="13.5" thickBot="1">
      <c r="A13" s="818"/>
      <c r="B13" s="217"/>
      <c r="C13" s="218"/>
      <c r="D13" s="218"/>
      <c r="E13" s="221"/>
      <c r="F13" s="228"/>
      <c r="G13" s="232"/>
      <c r="H13" s="233"/>
      <c r="I13" s="815"/>
      <c r="J13" s="216" t="str">
        <f>+'7'!J13</f>
        <v>T 12,5 VP OW</v>
      </c>
      <c r="K13" s="238">
        <f>+C34</f>
        <v>47835</v>
      </c>
      <c r="L13" s="238"/>
      <c r="M13" s="121">
        <f>+K13+'7'!M13+L13</f>
        <v>47835</v>
      </c>
    </row>
    <row r="14" spans="1:19" ht="13.5" thickBot="1">
      <c r="A14" s="819"/>
      <c r="B14" s="169" t="s">
        <v>2</v>
      </c>
      <c r="C14" s="103">
        <f>SUM(C7:C13)</f>
        <v>17531</v>
      </c>
      <c r="D14" s="115">
        <f>SUM(D7:D13)</f>
        <v>0</v>
      </c>
      <c r="E14" s="116">
        <f>SUM(E9:E13)</f>
        <v>0</v>
      </c>
      <c r="F14" s="106">
        <f>SUM(F6:F13)</f>
        <v>12</v>
      </c>
      <c r="G14" s="163"/>
      <c r="H14" s="170"/>
      <c r="I14" s="171"/>
      <c r="J14" s="216">
        <f>+'7'!J14</f>
        <v>0</v>
      </c>
      <c r="K14" s="238"/>
      <c r="L14" s="238"/>
      <c r="M14" s="121">
        <f>+K14+'7'!M14+L14</f>
        <v>0</v>
      </c>
    </row>
    <row r="15" spans="1:19" ht="13.5" thickBot="1">
      <c r="A15" s="831" t="s">
        <v>415</v>
      </c>
      <c r="B15" s="510"/>
      <c r="C15" s="563">
        <f>C14/($C$32+$D$32+$E$32)</f>
        <v>1.1008477237048666</v>
      </c>
      <c r="D15" s="108">
        <f>D14/($C$32+$D$32+$E$32)</f>
        <v>0</v>
      </c>
      <c r="E15" s="109">
        <f>E14/($C$32+$D$32+$E$32)</f>
        <v>0</v>
      </c>
      <c r="F15" s="231">
        <v>10</v>
      </c>
      <c r="G15" s="558" t="s">
        <v>11</v>
      </c>
      <c r="H15" s="559" t="s">
        <v>456</v>
      </c>
      <c r="I15" s="813" t="s">
        <v>568</v>
      </c>
      <c r="J15" s="216">
        <f>+'7'!J15</f>
        <v>0</v>
      </c>
      <c r="K15" s="238"/>
      <c r="L15" s="238"/>
      <c r="M15" s="121">
        <f>+K15+'7'!M15+L15</f>
        <v>0</v>
      </c>
      <c r="N15" s="531"/>
    </row>
    <row r="16" spans="1:19" ht="13.5" thickBot="1">
      <c r="A16" s="818"/>
      <c r="B16" s="512" t="s">
        <v>431</v>
      </c>
      <c r="C16" s="511">
        <v>14379</v>
      </c>
      <c r="D16" s="223"/>
      <c r="E16" s="224"/>
      <c r="F16" s="231">
        <v>4</v>
      </c>
      <c r="G16" s="560" t="s">
        <v>11</v>
      </c>
      <c r="H16" s="559" t="s">
        <v>396</v>
      </c>
      <c r="I16" s="814"/>
      <c r="J16" s="216">
        <f>+'7'!J16</f>
        <v>0</v>
      </c>
      <c r="K16" s="229"/>
      <c r="L16" s="229"/>
      <c r="M16" s="121">
        <f>+K16+'7'!M16+L16</f>
        <v>0</v>
      </c>
    </row>
    <row r="17" spans="1:19" ht="13.5" thickBot="1">
      <c r="A17" s="818"/>
      <c r="B17" s="217"/>
      <c r="C17" s="218"/>
      <c r="D17" s="219"/>
      <c r="E17" s="225"/>
      <c r="F17" s="231">
        <v>10</v>
      </c>
      <c r="G17" s="560" t="s">
        <v>11</v>
      </c>
      <c r="H17" s="561" t="s">
        <v>455</v>
      </c>
      <c r="I17" s="814"/>
      <c r="J17" s="216">
        <f>+'7'!J17</f>
        <v>0</v>
      </c>
      <c r="K17" s="229"/>
      <c r="L17" s="229"/>
      <c r="M17" s="121">
        <f>+K17+'7'!M17+L17</f>
        <v>0</v>
      </c>
      <c r="N17" s="532"/>
    </row>
    <row r="18" spans="1:19" ht="26.25" thickBot="1">
      <c r="A18" s="818"/>
      <c r="B18" s="217"/>
      <c r="C18" s="218"/>
      <c r="D18" s="219"/>
      <c r="E18" s="225"/>
      <c r="F18" s="231"/>
      <c r="G18" s="558"/>
      <c r="H18" s="561" t="s">
        <v>560</v>
      </c>
      <c r="I18" s="814"/>
      <c r="J18" s="216">
        <f>+'7'!J18</f>
        <v>0</v>
      </c>
      <c r="K18" s="238"/>
      <c r="L18" s="238"/>
      <c r="M18" s="121">
        <f>+K18+'7'!M18+L18</f>
        <v>0</v>
      </c>
      <c r="Q18" s="178"/>
    </row>
    <row r="19" spans="1:19" ht="26.25" thickBot="1">
      <c r="A19" s="818"/>
      <c r="B19" s="217"/>
      <c r="C19" s="218"/>
      <c r="D19" s="219"/>
      <c r="E19" s="225"/>
      <c r="F19" s="228"/>
      <c r="G19" s="232"/>
      <c r="H19" s="230" t="s">
        <v>561</v>
      </c>
      <c r="I19" s="814"/>
      <c r="J19" s="216">
        <f>+'7'!J19</f>
        <v>0</v>
      </c>
      <c r="K19" s="238"/>
      <c r="L19" s="238"/>
      <c r="M19" s="121">
        <f>+K19+'7'!M19+L19</f>
        <v>0</v>
      </c>
      <c r="R19" s="178"/>
      <c r="S19" s="178"/>
    </row>
    <row r="20" spans="1:19" ht="13.5" thickBot="1">
      <c r="A20" s="818"/>
      <c r="B20" s="217"/>
      <c r="C20" s="218"/>
      <c r="D20" s="219"/>
      <c r="E20" s="225"/>
      <c r="F20" s="228"/>
      <c r="G20" s="232"/>
      <c r="H20" s="233" t="s">
        <v>562</v>
      </c>
      <c r="I20" s="814"/>
      <c r="J20" s="216">
        <f>+'7'!J20</f>
        <v>0</v>
      </c>
      <c r="K20" s="239"/>
      <c r="L20" s="239"/>
      <c r="M20" s="121">
        <f>+K20+'7'!M20+L20</f>
        <v>0</v>
      </c>
    </row>
    <row r="21" spans="1:19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+'7'!J21</f>
        <v>0</v>
      </c>
      <c r="K21" s="238"/>
      <c r="L21" s="238"/>
      <c r="M21" s="121">
        <f>+K21+'7'!M21+L21</f>
        <v>0</v>
      </c>
    </row>
    <row r="22" spans="1:19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+'7'!J22</f>
        <v>0</v>
      </c>
      <c r="K22" s="238"/>
      <c r="L22" s="238"/>
      <c r="M22" s="121">
        <f>+K22+'7'!M22+L22</f>
        <v>0</v>
      </c>
    </row>
    <row r="23" spans="1:19" ht="13.5" thickBot="1">
      <c r="A23" s="819"/>
      <c r="B23" s="169" t="s">
        <v>2</v>
      </c>
      <c r="C23" s="103">
        <f>SUM(C16:C22)</f>
        <v>14379</v>
      </c>
      <c r="D23" s="115">
        <f>SUM(D16:D22)</f>
        <v>0</v>
      </c>
      <c r="E23" s="116">
        <f>SUM(E18:E22)</f>
        <v>0</v>
      </c>
      <c r="F23" s="106">
        <f>SUM(F15:F22)</f>
        <v>24</v>
      </c>
      <c r="G23" s="163"/>
      <c r="H23" s="170"/>
      <c r="I23" s="172"/>
      <c r="J23" s="216">
        <f>+'7'!J23</f>
        <v>0</v>
      </c>
      <c r="K23" s="238"/>
      <c r="L23" s="238"/>
      <c r="M23" s="121">
        <f>+K23+'7'!M23+L23</f>
        <v>0</v>
      </c>
    </row>
    <row r="24" spans="1:19" ht="13.5" thickBot="1">
      <c r="A24" s="831" t="s">
        <v>415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10</v>
      </c>
      <c r="G24" s="558" t="s">
        <v>11</v>
      </c>
      <c r="H24" s="559" t="s">
        <v>456</v>
      </c>
      <c r="I24" s="813" t="s">
        <v>568</v>
      </c>
      <c r="J24" s="216">
        <f>+'7'!J24</f>
        <v>0</v>
      </c>
      <c r="K24" s="238"/>
      <c r="L24" s="238"/>
      <c r="M24" s="121">
        <f>+K24+'7'!M24+L24</f>
        <v>0</v>
      </c>
      <c r="N24" s="532"/>
    </row>
    <row r="25" spans="1:19" ht="13.5" thickBot="1">
      <c r="A25" s="818"/>
      <c r="B25" s="217" t="s">
        <v>431</v>
      </c>
      <c r="C25" s="226">
        <v>15925</v>
      </c>
      <c r="D25" s="219"/>
      <c r="E25" s="225"/>
      <c r="F25" s="231">
        <v>8</v>
      </c>
      <c r="G25" s="560" t="s">
        <v>11</v>
      </c>
      <c r="H25" s="559" t="s">
        <v>405</v>
      </c>
      <c r="I25" s="814"/>
      <c r="J25" s="216">
        <f>+'7'!J25</f>
        <v>0</v>
      </c>
      <c r="K25" s="238"/>
      <c r="L25" s="238"/>
      <c r="M25" s="121">
        <f>+K25+'7'!M25+L25</f>
        <v>0</v>
      </c>
    </row>
    <row r="26" spans="1:19" ht="13.5" thickBot="1">
      <c r="A26" s="818"/>
      <c r="B26" s="217"/>
      <c r="C26" s="226"/>
      <c r="D26" s="219"/>
      <c r="E26" s="227"/>
      <c r="F26" s="231">
        <v>10</v>
      </c>
      <c r="G26" s="560" t="s">
        <v>11</v>
      </c>
      <c r="H26" s="561" t="s">
        <v>455</v>
      </c>
      <c r="I26" s="814"/>
      <c r="J26" s="216">
        <f>+'7'!J26</f>
        <v>0</v>
      </c>
      <c r="K26" s="238"/>
      <c r="L26" s="238"/>
      <c r="M26" s="121">
        <f>+K26+'7'!M26+L26</f>
        <v>0</v>
      </c>
    </row>
    <row r="27" spans="1:19" ht="26.25" thickBot="1">
      <c r="A27" s="818"/>
      <c r="B27" s="217"/>
      <c r="C27" s="218"/>
      <c r="D27" s="219"/>
      <c r="E27" s="225"/>
      <c r="F27" s="231"/>
      <c r="G27" s="558"/>
      <c r="H27" s="561" t="s">
        <v>560</v>
      </c>
      <c r="I27" s="814"/>
      <c r="J27" s="216">
        <f>+'7'!J27</f>
        <v>0</v>
      </c>
      <c r="K27" s="238"/>
      <c r="L27" s="238"/>
      <c r="M27" s="121">
        <f>+K27+'7'!M27+L27</f>
        <v>0</v>
      </c>
    </row>
    <row r="28" spans="1:19" ht="26.25" thickBot="1">
      <c r="A28" s="818"/>
      <c r="B28" s="217"/>
      <c r="C28" s="218"/>
      <c r="D28" s="219"/>
      <c r="E28" s="225"/>
      <c r="F28" s="228"/>
      <c r="G28" s="232"/>
      <c r="H28" s="230" t="s">
        <v>561</v>
      </c>
      <c r="I28" s="814"/>
      <c r="J28" s="216">
        <f>+'7'!J28</f>
        <v>0</v>
      </c>
      <c r="K28" s="238"/>
      <c r="L28" s="238"/>
      <c r="M28" s="121">
        <f>+K28+'7'!M28+L28</f>
        <v>0</v>
      </c>
    </row>
    <row r="29" spans="1:19" ht="13.5" thickBot="1">
      <c r="A29" s="818"/>
      <c r="B29" s="217"/>
      <c r="C29" s="218"/>
      <c r="D29" s="219"/>
      <c r="E29" s="225"/>
      <c r="F29" s="235"/>
      <c r="G29" s="232"/>
      <c r="H29" s="233" t="s">
        <v>563</v>
      </c>
      <c r="I29" s="814"/>
      <c r="J29" s="216">
        <f>+'7'!J29</f>
        <v>0</v>
      </c>
      <c r="K29" s="238"/>
      <c r="L29" s="238"/>
      <c r="M29" s="121">
        <f>+K29+'7'!M29+L29</f>
        <v>0</v>
      </c>
      <c r="N29" s="159"/>
    </row>
    <row r="30" spans="1:19" ht="13.5" thickBot="1">
      <c r="A30" s="818"/>
      <c r="B30" s="217"/>
      <c r="C30" s="226"/>
      <c r="D30" s="219"/>
      <c r="E30" s="225"/>
      <c r="F30" s="235"/>
      <c r="G30" s="232"/>
      <c r="H30" s="233" t="s">
        <v>564</v>
      </c>
      <c r="I30" s="814"/>
      <c r="J30" s="216">
        <f>+'7'!J30</f>
        <v>0</v>
      </c>
      <c r="K30" s="238"/>
      <c r="L30" s="238"/>
      <c r="M30" s="121">
        <f>+K30+'7'!M30+L30</f>
        <v>0</v>
      </c>
      <c r="Q30" s="178"/>
    </row>
    <row r="31" spans="1:19" ht="26.25" thickBot="1">
      <c r="A31" s="818"/>
      <c r="B31" s="217"/>
      <c r="C31" s="226"/>
      <c r="D31" s="219"/>
      <c r="E31" s="225"/>
      <c r="F31" s="235"/>
      <c r="G31" s="236"/>
      <c r="H31" s="439" t="s">
        <v>565</v>
      </c>
      <c r="I31" s="815"/>
      <c r="J31" s="216">
        <f>+'7'!J31</f>
        <v>0</v>
      </c>
      <c r="K31" s="238"/>
      <c r="L31" s="238"/>
      <c r="M31" s="121">
        <f>+K31+'7'!M31+L31</f>
        <v>0</v>
      </c>
      <c r="R31" s="178"/>
      <c r="S31" s="178"/>
    </row>
    <row r="32" spans="1:19" ht="13.5" thickBot="1">
      <c r="A32" s="819"/>
      <c r="B32" s="169" t="s">
        <v>2</v>
      </c>
      <c r="C32" s="103">
        <f>SUM(C25:C31)</f>
        <v>15925</v>
      </c>
      <c r="D32" s="104">
        <f>SUM(D25:D31)</f>
        <v>0</v>
      </c>
      <c r="E32" s="105">
        <f>SUM(E25:E31)</f>
        <v>0</v>
      </c>
      <c r="F32" s="103">
        <f>SUM(F24:F31)</f>
        <v>28</v>
      </c>
      <c r="G32" s="173"/>
      <c r="H32" s="174"/>
      <c r="I32" s="172"/>
      <c r="J32" s="216">
        <f>+'7'!J32</f>
        <v>0</v>
      </c>
      <c r="K32" s="240"/>
      <c r="L32" s="242"/>
      <c r="M32" s="121">
        <f>+K32+'7'!M32+L32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47835</v>
      </c>
      <c r="D34" s="111">
        <f>D14+D23+D32</f>
        <v>0</v>
      </c>
      <c r="E34" s="111">
        <f>E14+E23+E32</f>
        <v>0</v>
      </c>
      <c r="F34" s="112">
        <f>F14+F23+F32</f>
        <v>64</v>
      </c>
      <c r="H34" s="180"/>
      <c r="I34" s="180"/>
      <c r="J34" s="127" t="s">
        <v>27</v>
      </c>
      <c r="K34" s="128">
        <f>SUM(K7:K32)</f>
        <v>47835</v>
      </c>
      <c r="L34" s="214">
        <f>SUM(L7:L32)</f>
        <v>0</v>
      </c>
      <c r="M34" s="124">
        <f>SUM(M7:M32)</f>
        <v>337933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(12.5*1440)/1440*G42*2.85*1440/1000000</f>
        <v>56.927610000000001</v>
      </c>
      <c r="J37" s="129">
        <f>+I37+'7'!J37</f>
        <v>406.43203728805292</v>
      </c>
      <c r="K37" s="130" t="s">
        <v>74</v>
      </c>
    </row>
    <row r="38" spans="1:14" ht="17.45" customHeight="1">
      <c r="A38" s="824" t="s">
        <v>11</v>
      </c>
      <c r="B38" s="825"/>
      <c r="C38" s="168">
        <f>SUMIF($G$7:$G$31,"Process",$F$7:$F$31)</f>
        <v>64</v>
      </c>
      <c r="D38" s="122">
        <f>+C38+'7'!D38</f>
        <v>524</v>
      </c>
      <c r="E38" s="147">
        <f t="shared" ref="E38:E51" si="0">D38/60</f>
        <v>8.7333333333333325</v>
      </c>
      <c r="F38" s="334">
        <v>1370</v>
      </c>
      <c r="G38" s="334">
        <f>+F38-F38*0.19</f>
        <v>1109.7</v>
      </c>
      <c r="H38" s="189" t="s">
        <v>75</v>
      </c>
      <c r="I38" s="513">
        <f>17.961+15.641+16.638</f>
        <v>50.239999999999995</v>
      </c>
      <c r="J38" s="131">
        <f>+I38+'7'!J38</f>
        <v>365.26100000000002</v>
      </c>
      <c r="K38" s="132" t="s">
        <v>74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+C39+'7'!D39</f>
        <v>0</v>
      </c>
      <c r="E39" s="147">
        <f t="shared" si="0"/>
        <v>0</v>
      </c>
      <c r="F39" s="334">
        <v>1370</v>
      </c>
      <c r="G39" s="334">
        <f>+F39-F39*0.19</f>
        <v>1109.7</v>
      </c>
      <c r="H39" s="189" t="s">
        <v>76</v>
      </c>
      <c r="I39" s="146"/>
      <c r="J39" s="133">
        <f>J37/G4</f>
        <v>50.804004661006616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>+C40+'7'!D40</f>
        <v>36</v>
      </c>
      <c r="E40" s="147">
        <f t="shared" si="0"/>
        <v>0.6</v>
      </c>
      <c r="F40" s="334">
        <v>1370</v>
      </c>
      <c r="G40" s="334">
        <f>+F40-F40*0.19</f>
        <v>1109.7</v>
      </c>
      <c r="H40" s="189" t="s">
        <v>78</v>
      </c>
      <c r="I40" s="122">
        <f>(K34+L34)/1000</f>
        <v>47.835000000000001</v>
      </c>
      <c r="J40" s="135">
        <f>+I40+'7'!J40</f>
        <v>337.93299999999999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>+C41+'7'!D41</f>
        <v>0</v>
      </c>
      <c r="E41" s="147">
        <f t="shared" si="0"/>
        <v>0</v>
      </c>
      <c r="F41" s="334"/>
      <c r="G41" s="334"/>
      <c r="H41" s="189" t="s">
        <v>80</v>
      </c>
      <c r="I41" s="146"/>
      <c r="J41" s="133">
        <f>J40/G4</f>
        <v>42.241624999999999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>+C42+'7'!D42</f>
        <v>0</v>
      </c>
      <c r="E42" s="147">
        <f t="shared" si="0"/>
        <v>0</v>
      </c>
      <c r="F42" s="334">
        <f>+(F38*480+F39*480+F40*480)/1440</f>
        <v>1370</v>
      </c>
      <c r="G42" s="334">
        <f>+(G38*480+G39*480+G40*480)/1440</f>
        <v>1109.7</v>
      </c>
      <c r="H42" s="189" t="s">
        <v>81</v>
      </c>
      <c r="I42" s="245"/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>+C43+'7'!D43</f>
        <v>0</v>
      </c>
      <c r="E43" s="147">
        <f t="shared" si="0"/>
        <v>0</v>
      </c>
      <c r="F43" s="334"/>
      <c r="G43" s="335"/>
      <c r="H43" s="190" t="s">
        <v>84</v>
      </c>
      <c r="I43" s="122">
        <f>+Report1!Z16</f>
        <v>123.5</v>
      </c>
      <c r="J43" s="137">
        <f>+I43+'7'!J43</f>
        <v>943.4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+C44+'7'!D44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2.4582006369426752</v>
      </c>
      <c r="J44" s="138">
        <f>J43/J38</f>
        <v>2.5828106477286101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+C45+'7'!D45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2.5817915752064389</v>
      </c>
      <c r="J45" s="138">
        <f>J43/J40</f>
        <v>2.7916776402422965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+C46+'7'!D46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+SUMIF(Listrik!AN15,"&gt;0")</f>
        <v>48453.520000000222</v>
      </c>
      <c r="J46" s="139">
        <f>+I46+'7'!J46</f>
        <v>379735.84000000032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+C47+'7'!D47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964.44108280255227</v>
      </c>
      <c r="J47" s="139">
        <f>J46/J38</f>
        <v>1039.6287586137043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+C48+'7'!D48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1012.9302811748765</v>
      </c>
      <c r="J48" s="139">
        <f>J46/J40</f>
        <v>1123.7015621439762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+C49+'7'!D49</f>
        <v>545</v>
      </c>
      <c r="E49" s="147">
        <f t="shared" si="0"/>
        <v>9.0833333333333339</v>
      </c>
      <c r="F49" s="187"/>
      <c r="H49" s="190" t="s">
        <v>193</v>
      </c>
      <c r="I49" s="122">
        <v>0</v>
      </c>
      <c r="J49" s="139">
        <f>+I49+'7'!J49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+C50+'7'!D50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+C51+'7'!D51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64</v>
      </c>
      <c r="D52" s="148">
        <f>SUM(D38:D51)</f>
        <v>1105</v>
      </c>
      <c r="E52" s="149">
        <f>SUM(E38:E51)</f>
        <v>18.416666666666664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4.4444444444444446E-2</v>
      </c>
      <c r="D53" s="150">
        <f>D52/(24*60*G4)</f>
        <v>9.5920138888888895E-2</v>
      </c>
      <c r="E53" s="151">
        <f>E52/(G4*24)</f>
        <v>9.5920138888888881E-2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+D34+'7'!J56</f>
        <v>5607</v>
      </c>
      <c r="K56" s="203">
        <f>J56/(J40+J56/1000)/1000</f>
        <v>1.632124352331606E-2</v>
      </c>
    </row>
    <row r="57" spans="1:11">
      <c r="A57" s="178"/>
      <c r="I57" s="201" t="s">
        <v>100</v>
      </c>
      <c r="J57" s="202">
        <f>+E34+'7'!J57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I40" sqref="I40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710937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3.28515625" style="153" bestFit="1" customWidth="1"/>
    <col min="12" max="12" width="12" style="153" bestFit="1" customWidth="1"/>
    <col min="13" max="13" width="15.5703125" style="153" bestFit="1" customWidth="1"/>
    <col min="14" max="16384" width="9.140625" style="153"/>
  </cols>
  <sheetData>
    <row r="1" spans="1:14" ht="15.75">
      <c r="A1" s="152"/>
    </row>
    <row r="2" spans="1:14" ht="15.75">
      <c r="A2" s="152" t="s">
        <v>236</v>
      </c>
    </row>
    <row r="3" spans="1:14" ht="15">
      <c r="A3" s="154"/>
    </row>
    <row r="4" spans="1:14" ht="20.25">
      <c r="A4" s="155" t="s">
        <v>3</v>
      </c>
      <c r="B4" s="156"/>
      <c r="F4" s="157" t="s">
        <v>28</v>
      </c>
      <c r="G4" s="158">
        <v>7</v>
      </c>
      <c r="H4" s="158" t="str">
        <f>+'1'!H4</f>
        <v>.10.25</v>
      </c>
    </row>
    <row r="5" spans="1:14" ht="13.5" thickBot="1">
      <c r="C5" s="159"/>
      <c r="D5" s="159"/>
    </row>
    <row r="6" spans="1:14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346+384+316</f>
        <v>1046</v>
      </c>
    </row>
    <row r="7" spans="1:14" ht="13.5" customHeight="1" thickBot="1">
      <c r="A7" s="810" t="s">
        <v>239</v>
      </c>
      <c r="B7" s="217" t="s">
        <v>521</v>
      </c>
      <c r="C7" s="218">
        <f>6721+7553</f>
        <v>14274</v>
      </c>
      <c r="D7" s="219"/>
      <c r="E7" s="220"/>
      <c r="F7" s="231"/>
      <c r="G7" s="558" t="s">
        <v>11</v>
      </c>
      <c r="H7" s="559" t="s">
        <v>404</v>
      </c>
      <c r="I7" s="813" t="s">
        <v>519</v>
      </c>
      <c r="J7" s="216" t="str">
        <f>+'6'!J7</f>
        <v>T 12,5 VP OW</v>
      </c>
      <c r="K7" s="237"/>
      <c r="L7" s="241"/>
      <c r="M7" s="121">
        <f>+K7+'6'!M7+L7</f>
        <v>43580</v>
      </c>
    </row>
    <row r="8" spans="1:14" ht="13.5" thickBot="1">
      <c r="A8" s="818"/>
      <c r="B8" s="217" t="s">
        <v>518</v>
      </c>
      <c r="C8" s="218">
        <f>510+458</f>
        <v>968</v>
      </c>
      <c r="D8" s="219"/>
      <c r="E8" s="221"/>
      <c r="F8" s="231">
        <v>8</v>
      </c>
      <c r="G8" s="560" t="s">
        <v>11</v>
      </c>
      <c r="H8" s="559" t="s">
        <v>545</v>
      </c>
      <c r="I8" s="814"/>
      <c r="J8" s="216" t="str">
        <f>+'6'!J8</f>
        <v>F 12.5 VP OW</v>
      </c>
      <c r="K8" s="238">
        <f>+C7+C17</f>
        <v>15393</v>
      </c>
      <c r="L8" s="238"/>
      <c r="M8" s="121">
        <f>+K8+'6'!M8+L8</f>
        <v>111865</v>
      </c>
    </row>
    <row r="9" spans="1:14" ht="13.5" thickBot="1">
      <c r="A9" s="818"/>
      <c r="B9" s="217"/>
      <c r="C9" s="218"/>
      <c r="D9" s="219"/>
      <c r="E9" s="222"/>
      <c r="F9" s="231">
        <v>10</v>
      </c>
      <c r="G9" s="560" t="s">
        <v>11</v>
      </c>
      <c r="H9" s="561" t="s">
        <v>413</v>
      </c>
      <c r="I9" s="814"/>
      <c r="J9" s="216" t="str">
        <f>+'6'!J9</f>
        <v>F 13 VP OW</v>
      </c>
      <c r="K9" s="238">
        <f>+C26</f>
        <v>10212</v>
      </c>
      <c r="L9" s="238"/>
      <c r="M9" s="121">
        <f>+K9+'6'!M9+L9</f>
        <v>38598</v>
      </c>
    </row>
    <row r="10" spans="1:14" ht="39" thickBot="1">
      <c r="A10" s="818"/>
      <c r="B10" s="217"/>
      <c r="C10" s="218"/>
      <c r="D10" s="219"/>
      <c r="E10" s="221"/>
      <c r="F10" s="231"/>
      <c r="G10" s="558"/>
      <c r="H10" s="561" t="s">
        <v>538</v>
      </c>
      <c r="I10" s="814"/>
      <c r="J10" s="216" t="str">
        <f>+'6'!J10</f>
        <v>T 12 VP OW</v>
      </c>
      <c r="K10" s="238"/>
      <c r="L10" s="238"/>
      <c r="M10" s="121">
        <f>+K10+'6'!M10+L10</f>
        <v>11079</v>
      </c>
    </row>
    <row r="11" spans="1:14" ht="13.5" thickBot="1">
      <c r="A11" s="818"/>
      <c r="B11" s="217"/>
      <c r="C11" s="218"/>
      <c r="D11" s="219"/>
      <c r="E11" s="221"/>
      <c r="F11" s="481"/>
      <c r="G11" s="482"/>
      <c r="H11" s="230" t="s">
        <v>548</v>
      </c>
      <c r="I11" s="814"/>
      <c r="J11" s="216" t="str">
        <f>+'6'!J11</f>
        <v>T 13,5 VP OW</v>
      </c>
      <c r="K11" s="238"/>
      <c r="L11" s="238"/>
      <c r="M11" s="121">
        <f>+K11+'6'!M11+L11</f>
        <v>15672</v>
      </c>
    </row>
    <row r="12" spans="1:14" ht="13.5" thickBot="1">
      <c r="A12" s="818"/>
      <c r="B12" s="217"/>
      <c r="C12" s="218"/>
      <c r="D12" s="219"/>
      <c r="E12" s="221"/>
      <c r="F12" s="228"/>
      <c r="G12" s="232"/>
      <c r="H12" s="233" t="s">
        <v>549</v>
      </c>
      <c r="I12" s="814"/>
      <c r="J12" s="216" t="str">
        <f>+'6'!J12</f>
        <v>F 12 VP OW</v>
      </c>
      <c r="K12" s="238">
        <f>+C8+C16+C25</f>
        <v>18490</v>
      </c>
      <c r="L12" s="238"/>
      <c r="M12" s="121">
        <f>+K12+'6'!M12+L12</f>
        <v>69304</v>
      </c>
    </row>
    <row r="13" spans="1:14" ht="13.5" thickBot="1">
      <c r="A13" s="818"/>
      <c r="B13" s="217"/>
      <c r="C13" s="218"/>
      <c r="D13" s="218"/>
      <c r="E13" s="221"/>
      <c r="F13" s="228"/>
      <c r="G13" s="232"/>
      <c r="H13" s="233"/>
      <c r="I13" s="815"/>
      <c r="J13" s="216" t="str">
        <f>+'6'!J13</f>
        <v>T 12,5 VP OW</v>
      </c>
      <c r="K13" s="238">
        <v>0</v>
      </c>
      <c r="L13" s="238"/>
      <c r="M13" s="121">
        <f>+K13+'6'!M13+L13</f>
        <v>0</v>
      </c>
    </row>
    <row r="14" spans="1:14" ht="13.5" thickBot="1">
      <c r="A14" s="819"/>
      <c r="B14" s="169" t="s">
        <v>2</v>
      </c>
      <c r="C14" s="103">
        <f>SUM(C7:C13)</f>
        <v>15242</v>
      </c>
      <c r="D14" s="115">
        <f>SUM(D7:D13)</f>
        <v>0</v>
      </c>
      <c r="E14" s="116">
        <f>SUM(E9:E13)</f>
        <v>0</v>
      </c>
      <c r="F14" s="106">
        <f>SUM(F6:F13)</f>
        <v>18</v>
      </c>
      <c r="G14" s="163"/>
      <c r="H14" s="170"/>
      <c r="I14" s="171"/>
      <c r="J14" s="216">
        <f>+'6'!J14</f>
        <v>0</v>
      </c>
      <c r="K14" s="238"/>
      <c r="L14" s="238"/>
      <c r="M14" s="121">
        <f>+K14+'6'!M14+L14</f>
        <v>0</v>
      </c>
    </row>
    <row r="15" spans="1:14" ht="13.5" thickBot="1">
      <c r="A15" s="831" t="s">
        <v>239</v>
      </c>
      <c r="B15" s="510"/>
      <c r="C15" s="563">
        <f>C14/($C$32+$D$32+$E$32)</f>
        <v>0.96006550768455534</v>
      </c>
      <c r="D15" s="108">
        <f>D14/($C$32+$D$32+$E$32)</f>
        <v>0</v>
      </c>
      <c r="E15" s="109">
        <f>E14/($C$32+$D$32+$E$32)</f>
        <v>0</v>
      </c>
      <c r="F15" s="231">
        <v>15</v>
      </c>
      <c r="G15" s="558" t="s">
        <v>11</v>
      </c>
      <c r="H15" s="559" t="s">
        <v>526</v>
      </c>
      <c r="I15" s="813" t="s">
        <v>519</v>
      </c>
      <c r="J15" s="216">
        <f>+'6'!J15</f>
        <v>0</v>
      </c>
      <c r="K15" s="238"/>
      <c r="L15" s="238"/>
      <c r="M15" s="121">
        <f>+K15+'6'!M15+L15</f>
        <v>0</v>
      </c>
    </row>
    <row r="16" spans="1:14" ht="13.5" thickBot="1">
      <c r="A16" s="818"/>
      <c r="B16" s="217" t="s">
        <v>518</v>
      </c>
      <c r="C16" s="511">
        <f>846+756+10256</f>
        <v>11858</v>
      </c>
      <c r="D16" s="223"/>
      <c r="E16" s="224"/>
      <c r="F16" s="231">
        <v>8</v>
      </c>
      <c r="G16" s="560" t="s">
        <v>11</v>
      </c>
      <c r="H16" s="559" t="s">
        <v>405</v>
      </c>
      <c r="I16" s="814"/>
      <c r="J16" s="216">
        <f>+'6'!J16</f>
        <v>0</v>
      </c>
      <c r="K16" s="229"/>
      <c r="L16" s="229"/>
      <c r="M16" s="121">
        <f>+K16+'6'!M16+L16</f>
        <v>0</v>
      </c>
    </row>
    <row r="17" spans="1:19" ht="13.5" thickBot="1">
      <c r="A17" s="818"/>
      <c r="B17" s="217" t="s">
        <v>521</v>
      </c>
      <c r="C17" s="218">
        <f>525+594</f>
        <v>1119</v>
      </c>
      <c r="D17" s="219"/>
      <c r="E17" s="225"/>
      <c r="F17" s="231">
        <v>10</v>
      </c>
      <c r="G17" s="560" t="s">
        <v>11</v>
      </c>
      <c r="H17" s="561" t="s">
        <v>413</v>
      </c>
      <c r="I17" s="814"/>
      <c r="J17" s="216">
        <f>+'6'!J17</f>
        <v>0</v>
      </c>
      <c r="K17" s="229"/>
      <c r="L17" s="229"/>
      <c r="M17" s="121">
        <f>+K17+'6'!M17+L17</f>
        <v>0</v>
      </c>
    </row>
    <row r="18" spans="1:19" ht="26.25" thickBot="1">
      <c r="A18" s="818"/>
      <c r="B18" s="217"/>
      <c r="C18" s="218"/>
      <c r="D18" s="219"/>
      <c r="E18" s="225"/>
      <c r="F18" s="231"/>
      <c r="G18" s="558"/>
      <c r="H18" s="561" t="s">
        <v>550</v>
      </c>
      <c r="I18" s="814"/>
      <c r="J18" s="216">
        <f>+'6'!J18</f>
        <v>0</v>
      </c>
      <c r="K18" s="238"/>
      <c r="L18" s="238"/>
      <c r="M18" s="121">
        <f>+K18+'6'!M18+L18</f>
        <v>0</v>
      </c>
    </row>
    <row r="19" spans="1:19" ht="13.5" thickBot="1">
      <c r="A19" s="818"/>
      <c r="B19" s="217"/>
      <c r="C19" s="218"/>
      <c r="D19" s="219"/>
      <c r="E19" s="225"/>
      <c r="F19" s="228"/>
      <c r="G19" s="232"/>
      <c r="H19" s="230" t="s">
        <v>551</v>
      </c>
      <c r="I19" s="814"/>
      <c r="J19" s="216">
        <f>+'6'!J19</f>
        <v>0</v>
      </c>
      <c r="K19" s="238"/>
      <c r="L19" s="238"/>
      <c r="M19" s="121">
        <f>+K19+'6'!M19+L19</f>
        <v>0</v>
      </c>
      <c r="N19" s="153" t="s">
        <v>535</v>
      </c>
      <c r="O19" s="153">
        <v>1370</v>
      </c>
      <c r="P19" s="153">
        <f>+O19-O19*0.24</f>
        <v>1041.2</v>
      </c>
      <c r="Q19" s="153">
        <v>320</v>
      </c>
    </row>
    <row r="20" spans="1:19" ht="13.5" thickBot="1">
      <c r="A20" s="818"/>
      <c r="B20" s="217"/>
      <c r="C20" s="218"/>
      <c r="D20" s="219"/>
      <c r="E20" s="225"/>
      <c r="F20" s="228"/>
      <c r="G20" s="232"/>
      <c r="H20" s="233"/>
      <c r="I20" s="814"/>
      <c r="J20" s="216">
        <f>+'6'!J20</f>
        <v>0</v>
      </c>
      <c r="K20" s="239"/>
      <c r="L20" s="239"/>
      <c r="M20" s="121">
        <f>+K20+'6'!M20+L20</f>
        <v>0</v>
      </c>
      <c r="N20" s="153" t="s">
        <v>510</v>
      </c>
      <c r="O20" s="153">
        <v>1370</v>
      </c>
      <c r="P20" s="153">
        <f>+O20-O20*0.24</f>
        <v>1041.2</v>
      </c>
      <c r="Q20" s="153">
        <f>40+60+10+520</f>
        <v>630</v>
      </c>
    </row>
    <row r="21" spans="1:19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+'6'!J21</f>
        <v>0</v>
      </c>
      <c r="K21" s="238"/>
      <c r="L21" s="238"/>
      <c r="M21" s="121">
        <f>+K21+'6'!M21+L21</f>
        <v>0</v>
      </c>
      <c r="N21" s="153" t="s">
        <v>554</v>
      </c>
      <c r="O21" s="153">
        <v>1370</v>
      </c>
      <c r="P21" s="153">
        <f>+O21-O21*0.24</f>
        <v>1041.2</v>
      </c>
      <c r="Q21" s="153">
        <f>10+330</f>
        <v>340</v>
      </c>
    </row>
    <row r="22" spans="1:19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+'6'!J22</f>
        <v>0</v>
      </c>
      <c r="K22" s="238"/>
      <c r="L22" s="238"/>
      <c r="M22" s="121">
        <f>+K22+'6'!M22+L22</f>
        <v>0</v>
      </c>
      <c r="N22" s="153" t="s">
        <v>555</v>
      </c>
      <c r="O22" s="153">
        <v>1370</v>
      </c>
      <c r="P22" s="153">
        <f>+O22-O22*0.2</f>
        <v>1096</v>
      </c>
      <c r="Q22" s="153">
        <f>30+120</f>
        <v>150</v>
      </c>
    </row>
    <row r="23" spans="1:19" ht="13.5" thickBot="1">
      <c r="A23" s="819"/>
      <c r="B23" s="169" t="s">
        <v>2</v>
      </c>
      <c r="C23" s="103">
        <f>SUM(C16:C22)</f>
        <v>12977</v>
      </c>
      <c r="D23" s="115">
        <f>SUM(D16:D22)</f>
        <v>0</v>
      </c>
      <c r="E23" s="116">
        <f>SUM(E18:E22)</f>
        <v>0</v>
      </c>
      <c r="F23" s="106">
        <f>SUM(F15:F22)</f>
        <v>33</v>
      </c>
      <c r="G23" s="163"/>
      <c r="H23" s="170"/>
      <c r="I23" s="172"/>
      <c r="J23" s="216">
        <f>+'6'!J23</f>
        <v>0</v>
      </c>
      <c r="K23" s="238"/>
      <c r="L23" s="238"/>
      <c r="M23" s="121">
        <f>+K23+'6'!M23+L23</f>
        <v>0</v>
      </c>
      <c r="Q23" s="153">
        <f>SUM(Q19:Q22)</f>
        <v>1440</v>
      </c>
    </row>
    <row r="24" spans="1:19" ht="13.5" thickBot="1">
      <c r="A24" s="831" t="s">
        <v>415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15</v>
      </c>
      <c r="G24" s="558" t="s">
        <v>11</v>
      </c>
      <c r="H24" s="559" t="s">
        <v>526</v>
      </c>
      <c r="I24" s="813" t="s">
        <v>519</v>
      </c>
      <c r="J24" s="216">
        <f>+'6'!J24</f>
        <v>0</v>
      </c>
      <c r="K24" s="238"/>
      <c r="L24" s="238"/>
      <c r="M24" s="121">
        <f>+K24+'6'!M24+L24</f>
        <v>0</v>
      </c>
    </row>
    <row r="25" spans="1:19" ht="13.5" thickBot="1">
      <c r="A25" s="818"/>
      <c r="B25" s="217" t="s">
        <v>518</v>
      </c>
      <c r="C25" s="226">
        <v>5664</v>
      </c>
      <c r="D25" s="219"/>
      <c r="E25" s="225"/>
      <c r="F25" s="231">
        <v>7</v>
      </c>
      <c r="G25" s="560" t="s">
        <v>11</v>
      </c>
      <c r="H25" s="559" t="s">
        <v>492</v>
      </c>
      <c r="I25" s="814"/>
      <c r="J25" s="216">
        <f>+'6'!J25</f>
        <v>0</v>
      </c>
      <c r="K25" s="238"/>
      <c r="L25" s="238"/>
      <c r="M25" s="121">
        <f>+K25+'6'!M25+L25</f>
        <v>0</v>
      </c>
    </row>
    <row r="26" spans="1:19" ht="13.5" thickBot="1">
      <c r="A26" s="818"/>
      <c r="B26" s="217" t="s">
        <v>399</v>
      </c>
      <c r="C26" s="226">
        <v>10212</v>
      </c>
      <c r="D26" s="219"/>
      <c r="E26" s="227"/>
      <c r="F26" s="231">
        <v>10</v>
      </c>
      <c r="G26" s="560" t="s">
        <v>11</v>
      </c>
      <c r="H26" s="561" t="s">
        <v>428</v>
      </c>
      <c r="I26" s="814"/>
      <c r="J26" s="216">
        <f>+'6'!J26</f>
        <v>0</v>
      </c>
      <c r="K26" s="238"/>
      <c r="L26" s="238"/>
      <c r="M26" s="121">
        <f>+K26+'6'!M26+L26</f>
        <v>0</v>
      </c>
    </row>
    <row r="27" spans="1:19" ht="13.5" thickBot="1">
      <c r="A27" s="818"/>
      <c r="B27" s="217"/>
      <c r="C27" s="218"/>
      <c r="D27" s="219"/>
      <c r="E27" s="225"/>
      <c r="F27" s="231"/>
      <c r="G27" s="558"/>
      <c r="H27" s="561" t="s">
        <v>552</v>
      </c>
      <c r="I27" s="814"/>
      <c r="J27" s="216">
        <f>+'6'!J27</f>
        <v>0</v>
      </c>
      <c r="K27" s="238"/>
      <c r="L27" s="238"/>
      <c r="M27" s="121">
        <f>+K27+'6'!M27+L27</f>
        <v>0</v>
      </c>
      <c r="N27" s="153" t="s">
        <v>554</v>
      </c>
      <c r="O27" s="153">
        <v>1370</v>
      </c>
      <c r="P27" s="153">
        <f>+O27-O27*0.24</f>
        <v>1041.2</v>
      </c>
      <c r="Q27" s="153">
        <v>330</v>
      </c>
      <c r="R27" s="153">
        <f>+O27*Q27</f>
        <v>452100</v>
      </c>
      <c r="S27" s="153">
        <f>+P27*Q27</f>
        <v>343596</v>
      </c>
    </row>
    <row r="28" spans="1:19" ht="13.5" thickBot="1">
      <c r="A28" s="818"/>
      <c r="B28" s="217"/>
      <c r="C28" s="218"/>
      <c r="D28" s="219"/>
      <c r="E28" s="225"/>
      <c r="F28" s="228"/>
      <c r="G28" s="232"/>
      <c r="H28" s="230" t="s">
        <v>553</v>
      </c>
      <c r="I28" s="814"/>
      <c r="J28" s="216">
        <f>+'6'!J28</f>
        <v>0</v>
      </c>
      <c r="K28" s="238"/>
      <c r="L28" s="238"/>
      <c r="M28" s="121">
        <f>+K28+'6'!M28+L28</f>
        <v>0</v>
      </c>
      <c r="N28" s="153" t="s">
        <v>555</v>
      </c>
      <c r="O28" s="153">
        <v>1370</v>
      </c>
      <c r="P28" s="153">
        <f>+O28-O28*0.2</f>
        <v>1096</v>
      </c>
      <c r="Q28" s="153">
        <f>30+120</f>
        <v>150</v>
      </c>
      <c r="R28" s="153">
        <f>+O28*Q28</f>
        <v>205500</v>
      </c>
      <c r="S28" s="153">
        <f>+P28*Q28</f>
        <v>164400</v>
      </c>
    </row>
    <row r="29" spans="1:19" ht="26.25" thickBot="1">
      <c r="A29" s="818"/>
      <c r="B29" s="217"/>
      <c r="C29" s="218"/>
      <c r="D29" s="219"/>
      <c r="E29" s="225"/>
      <c r="F29" s="235"/>
      <c r="G29" s="232"/>
      <c r="H29" s="233" t="s">
        <v>566</v>
      </c>
      <c r="I29" s="814"/>
      <c r="J29" s="216">
        <f>+'6'!J29</f>
        <v>0</v>
      </c>
      <c r="K29" s="238"/>
      <c r="L29" s="238"/>
      <c r="M29" s="121">
        <f>+K29+'6'!M29+L29</f>
        <v>0</v>
      </c>
      <c r="Q29" s="153">
        <f>SUM(Q27:Q28)</f>
        <v>480</v>
      </c>
      <c r="R29" s="153">
        <f>SUM(R27:R28)</f>
        <v>657600</v>
      </c>
      <c r="S29" s="153">
        <f>SUM(S27:S28)</f>
        <v>507996</v>
      </c>
    </row>
    <row r="30" spans="1:19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+'6'!J30</f>
        <v>0</v>
      </c>
      <c r="K30" s="238"/>
      <c r="L30" s="238"/>
      <c r="M30" s="121">
        <f>+K30+'6'!M30+L30</f>
        <v>0</v>
      </c>
      <c r="N30" s="159"/>
      <c r="R30" s="153">
        <f>+R29/Q29</f>
        <v>1370</v>
      </c>
      <c r="S30" s="153">
        <f>+S29/Q29</f>
        <v>1058.325</v>
      </c>
    </row>
    <row r="31" spans="1:19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+'6'!J31</f>
        <v>0</v>
      </c>
      <c r="K31" s="238"/>
      <c r="L31" s="238"/>
      <c r="M31" s="121">
        <f>+K31+'6'!M31+L31</f>
        <v>0</v>
      </c>
    </row>
    <row r="32" spans="1:19" ht="13.5" thickBot="1">
      <c r="A32" s="819"/>
      <c r="B32" s="169" t="s">
        <v>2</v>
      </c>
      <c r="C32" s="103">
        <f>SUM(C25:C31)</f>
        <v>15876</v>
      </c>
      <c r="D32" s="104">
        <f>SUM(D25:D31)</f>
        <v>0</v>
      </c>
      <c r="E32" s="105">
        <f>SUM(E25:E31)</f>
        <v>0</v>
      </c>
      <c r="F32" s="103">
        <f>SUM(F24:F31)</f>
        <v>32</v>
      </c>
      <c r="G32" s="173"/>
      <c r="H32" s="174"/>
      <c r="I32" s="172"/>
      <c r="J32" s="216">
        <f>+'6'!J32</f>
        <v>0</v>
      </c>
      <c r="K32" s="240"/>
      <c r="L32" s="242"/>
      <c r="M32" s="121">
        <f>+K32+'6'!M32+L32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44095</v>
      </c>
      <c r="D34" s="111">
        <f>D14+D23+D32</f>
        <v>0</v>
      </c>
      <c r="E34" s="111">
        <f>E14+E23+E32</f>
        <v>0</v>
      </c>
      <c r="F34" s="112">
        <f>F14+F23+F32</f>
        <v>83</v>
      </c>
      <c r="H34" s="180"/>
      <c r="I34" s="180"/>
      <c r="J34" s="127" t="s">
        <v>27</v>
      </c>
      <c r="K34" s="128">
        <f>SUM(K7:K32)</f>
        <v>44095</v>
      </c>
      <c r="L34" s="214">
        <f>SUM(L7:L32)</f>
        <v>0</v>
      </c>
      <c r="M34" s="124">
        <f>SUM(M7:M32)</f>
        <v>290098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(12.5*320+12*630+13*340+13*150)/1440*G42*2.85*1440/1000000</f>
        <v>53.497539287500004</v>
      </c>
      <c r="J37" s="129">
        <f>+I37+'6'!J37</f>
        <v>349.50442728805291</v>
      </c>
      <c r="K37" s="130" t="s">
        <v>74</v>
      </c>
      <c r="L37" s="153">
        <v>12.727</v>
      </c>
    </row>
    <row r="38" spans="1:14" ht="17.45" customHeight="1">
      <c r="A38" s="824" t="s">
        <v>11</v>
      </c>
      <c r="B38" s="825"/>
      <c r="C38" s="168">
        <f>SUMIF($G$7:$G$31,"Process",$F$7:$F$31)</f>
        <v>83</v>
      </c>
      <c r="D38" s="122">
        <f>+C38+'6'!D38</f>
        <v>460</v>
      </c>
      <c r="E38" s="147">
        <f t="shared" ref="E38:E51" si="0">D38/60</f>
        <v>7.666666666666667</v>
      </c>
      <c r="F38" s="334">
        <v>1370</v>
      </c>
      <c r="G38" s="334">
        <f>+F38-F38*0.24</f>
        <v>1041.2</v>
      </c>
      <c r="H38" s="189" t="s">
        <v>75</v>
      </c>
      <c r="I38" s="581">
        <f>16.512+15.385+14.848</f>
        <v>46.744999999999997</v>
      </c>
      <c r="J38" s="131">
        <f>+I38+'6'!J38</f>
        <v>315.02100000000002</v>
      </c>
      <c r="K38" s="132" t="s">
        <v>74</v>
      </c>
      <c r="L38" s="594">
        <f>3.147+16.023</f>
        <v>19.169999999999998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+C39+'6'!D39</f>
        <v>0</v>
      </c>
      <c r="E39" s="147">
        <f t="shared" si="0"/>
        <v>0</v>
      </c>
      <c r="F39" s="334">
        <v>1370</v>
      </c>
      <c r="G39" s="334">
        <f>+F39-F39*0.24</f>
        <v>1041.2</v>
      </c>
      <c r="H39" s="189" t="s">
        <v>76</v>
      </c>
      <c r="I39" s="146"/>
      <c r="J39" s="133">
        <f>J37/G4</f>
        <v>49.929203898293274</v>
      </c>
      <c r="K39" s="134" t="s">
        <v>74</v>
      </c>
      <c r="L39" s="153">
        <v>11.238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>+C40+'6'!D40</f>
        <v>36</v>
      </c>
      <c r="E40" s="147">
        <f t="shared" si="0"/>
        <v>0.6</v>
      </c>
      <c r="F40" s="334">
        <v>1370</v>
      </c>
      <c r="G40" s="334">
        <v>1058.325</v>
      </c>
      <c r="H40" s="189" t="s">
        <v>78</v>
      </c>
      <c r="I40" s="122">
        <f>(K34+L34)/1000</f>
        <v>44.094999999999999</v>
      </c>
      <c r="J40" s="135">
        <f>+I40+'6'!J40</f>
        <v>290.09800000000001</v>
      </c>
      <c r="K40" s="134" t="s">
        <v>74</v>
      </c>
      <c r="L40" s="594">
        <f>1.547+2.063</f>
        <v>3.6100000000000003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>+C41+'6'!D41</f>
        <v>0</v>
      </c>
      <c r="E41" s="147">
        <f t="shared" si="0"/>
        <v>0</v>
      </c>
      <c r="F41" s="334"/>
      <c r="G41" s="334"/>
      <c r="H41" s="189" t="s">
        <v>80</v>
      </c>
      <c r="I41" s="146"/>
      <c r="J41" s="133">
        <f>J40/G4</f>
        <v>41.442571428571434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>+C42+'6'!D42</f>
        <v>0</v>
      </c>
      <c r="E42" s="147">
        <f t="shared" si="0"/>
        <v>0</v>
      </c>
      <c r="F42" s="334">
        <f>+(F38*480+F39*480+F40*480)/1440</f>
        <v>1370</v>
      </c>
      <c r="G42" s="334">
        <f>+(G38*480+G39*480+G40*480)/1440</f>
        <v>1046.9083333333333</v>
      </c>
      <c r="H42" s="189" t="s">
        <v>81</v>
      </c>
      <c r="I42" s="245" t="s">
        <v>567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>+C43+'6'!D43</f>
        <v>0</v>
      </c>
      <c r="E43" s="147">
        <f t="shared" si="0"/>
        <v>0</v>
      </c>
      <c r="F43" s="334"/>
      <c r="G43" s="335"/>
      <c r="H43" s="190" t="s">
        <v>84</v>
      </c>
      <c r="I43" s="122">
        <f>+Report1!Z15</f>
        <v>123.4</v>
      </c>
      <c r="J43" s="137">
        <f>+I43+'6'!J43</f>
        <v>819.9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+C44+'6'!D44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2.6398545298962457</v>
      </c>
      <c r="J44" s="138">
        <f>J43/J38</f>
        <v>2.6026836306151018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+C45+'6'!D45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2.7985032316589185</v>
      </c>
      <c r="J45" s="138">
        <f>J43/J40</f>
        <v>2.8262862894608025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+C46+'6'!D46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+SUMIF(Listrik!AN14,"&gt;0")</f>
        <v>55121.600000000151</v>
      </c>
      <c r="J46" s="139">
        <f>+I46+'6'!J46</f>
        <v>331282.32000000012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+C47+'6'!D47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1179.1977751631223</v>
      </c>
      <c r="J47" s="139">
        <f>J46/J38</f>
        <v>1051.6197967754533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+C48+'6'!D48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1250.0646331783685</v>
      </c>
      <c r="J48" s="139">
        <f>J46/J40</f>
        <v>1141.966921523072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+C49+'6'!D49</f>
        <v>545</v>
      </c>
      <c r="E49" s="147">
        <f t="shared" si="0"/>
        <v>9.0833333333333339</v>
      </c>
      <c r="F49" s="187"/>
      <c r="H49" s="190" t="s">
        <v>193</v>
      </c>
      <c r="I49" s="122">
        <v>0</v>
      </c>
      <c r="J49" s="139">
        <f>+I49+'6'!J49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+C50+'6'!D50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+C51+'6'!D51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83</v>
      </c>
      <c r="D52" s="148">
        <f>SUM(D38:D51)</f>
        <v>1041</v>
      </c>
      <c r="E52" s="149">
        <f>SUM(E38:E51)</f>
        <v>17.350000000000001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5.7638888888888892E-2</v>
      </c>
      <c r="D53" s="150">
        <f>D52/(24*60*G4)</f>
        <v>0.10327380952380952</v>
      </c>
      <c r="E53" s="151">
        <f>E52/(G4*24)</f>
        <v>0.10327380952380953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+D34+'6'!J56</f>
        <v>5607</v>
      </c>
      <c r="K56" s="203">
        <f>J56/(J40+J56/1000)/1000</f>
        <v>1.8961464973537814E-2</v>
      </c>
    </row>
    <row r="57" spans="1:11">
      <c r="A57" s="178"/>
      <c r="I57" s="201" t="s">
        <v>100</v>
      </c>
      <c r="J57" s="202">
        <f>+E34+'6'!J57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85546875" style="153" bestFit="1" customWidth="1"/>
    <col min="12" max="12" width="8.28515625" style="153" customWidth="1"/>
    <col min="13" max="13" width="14.5703125" style="153" bestFit="1" customWidth="1"/>
    <col min="14" max="16384" width="9.140625" style="153"/>
  </cols>
  <sheetData>
    <row r="1" spans="1:27" ht="15.75">
      <c r="A1" s="152"/>
      <c r="V1" s="532" t="s">
        <v>400</v>
      </c>
      <c r="W1" s="153">
        <v>1250</v>
      </c>
      <c r="X1" s="153">
        <f t="shared" ref="X1:X8" si="0">+W1-(W1*0.23)</f>
        <v>962.5</v>
      </c>
      <c r="Y1" s="153">
        <f>40+180+27</f>
        <v>247</v>
      </c>
      <c r="Z1" s="153">
        <f t="shared" ref="Z1:Z8" si="1">+W1*Y1</f>
        <v>308750</v>
      </c>
      <c r="AA1" s="153">
        <f t="shared" ref="AA1:AA8" si="2">+X1*Y1</f>
        <v>237737.5</v>
      </c>
    </row>
    <row r="2" spans="1:27" ht="15.75">
      <c r="A2" s="152" t="s">
        <v>236</v>
      </c>
      <c r="W2" s="153">
        <v>1185</v>
      </c>
      <c r="X2" s="153">
        <f t="shared" si="0"/>
        <v>912.45</v>
      </c>
      <c r="Y2" s="153">
        <f>33+59</f>
        <v>92</v>
      </c>
      <c r="Z2" s="153">
        <f t="shared" si="1"/>
        <v>109020</v>
      </c>
      <c r="AA2" s="153">
        <f t="shared" si="2"/>
        <v>83945.400000000009</v>
      </c>
    </row>
    <row r="3" spans="1:27" ht="15">
      <c r="A3" s="154"/>
      <c r="W3" s="153">
        <v>1220</v>
      </c>
      <c r="X3" s="153">
        <f t="shared" si="0"/>
        <v>939.4</v>
      </c>
      <c r="Y3" s="153">
        <f>1+30</f>
        <v>31</v>
      </c>
      <c r="Z3" s="153">
        <f t="shared" si="1"/>
        <v>37820</v>
      </c>
      <c r="AA3" s="153">
        <f t="shared" si="2"/>
        <v>29121.399999999998</v>
      </c>
    </row>
    <row r="4" spans="1:27" ht="20.25">
      <c r="A4" s="155" t="s">
        <v>3</v>
      </c>
      <c r="B4" s="156"/>
      <c r="F4" s="157" t="s">
        <v>28</v>
      </c>
      <c r="G4" s="158">
        <v>6</v>
      </c>
      <c r="H4" s="158" t="str">
        <f>+'1'!H4</f>
        <v>.10.25</v>
      </c>
      <c r="W4" s="153">
        <v>1250</v>
      </c>
      <c r="X4" s="153">
        <f t="shared" si="0"/>
        <v>962.5</v>
      </c>
      <c r="Y4" s="153">
        <v>30</v>
      </c>
      <c r="Z4" s="153">
        <f t="shared" si="1"/>
        <v>37500</v>
      </c>
      <c r="AA4" s="153">
        <f t="shared" si="2"/>
        <v>28875</v>
      </c>
    </row>
    <row r="5" spans="1:27" ht="13.5" thickBot="1">
      <c r="C5" s="159"/>
      <c r="D5" s="159"/>
      <c r="V5" s="532"/>
      <c r="W5" s="153">
        <v>1250</v>
      </c>
      <c r="X5" s="153">
        <f t="shared" si="0"/>
        <v>962.5</v>
      </c>
      <c r="Y5" s="153">
        <v>60</v>
      </c>
      <c r="Z5" s="153">
        <f t="shared" si="1"/>
        <v>75000</v>
      </c>
      <c r="AA5" s="153">
        <f t="shared" si="2"/>
        <v>57750</v>
      </c>
    </row>
    <row r="6" spans="1:27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328+405+283</f>
        <v>1016</v>
      </c>
      <c r="W6" s="153">
        <v>1280</v>
      </c>
      <c r="X6" s="153">
        <f t="shared" si="0"/>
        <v>985.59999999999991</v>
      </c>
      <c r="Y6" s="153">
        <f>180+25</f>
        <v>205</v>
      </c>
      <c r="Z6" s="153">
        <f t="shared" si="1"/>
        <v>262400</v>
      </c>
      <c r="AA6" s="153">
        <f t="shared" si="2"/>
        <v>202047.99999999997</v>
      </c>
    </row>
    <row r="7" spans="1:27" ht="13.5" customHeight="1" thickBot="1">
      <c r="A7" s="810" t="s">
        <v>239</v>
      </c>
      <c r="B7" s="217" t="s">
        <v>521</v>
      </c>
      <c r="C7" s="218">
        <v>15740</v>
      </c>
      <c r="D7" s="219"/>
      <c r="E7" s="220"/>
      <c r="F7" s="231"/>
      <c r="G7" s="558" t="s">
        <v>11</v>
      </c>
      <c r="H7" s="559" t="s">
        <v>404</v>
      </c>
      <c r="I7" s="813" t="s">
        <v>519</v>
      </c>
      <c r="J7" s="216" t="str">
        <f>+'5'!J7</f>
        <v>T 12,5 VP OW</v>
      </c>
      <c r="K7" s="237"/>
      <c r="L7" s="241"/>
      <c r="M7" s="121">
        <f>+K7+'5'!M7+L7</f>
        <v>43580</v>
      </c>
      <c r="W7" s="153">
        <v>1300</v>
      </c>
      <c r="X7" s="153">
        <f t="shared" si="0"/>
        <v>1001</v>
      </c>
      <c r="Y7" s="153">
        <f>35+180</f>
        <v>215</v>
      </c>
      <c r="Z7" s="153">
        <f t="shared" si="1"/>
        <v>279500</v>
      </c>
      <c r="AA7" s="153">
        <f t="shared" si="2"/>
        <v>215215</v>
      </c>
    </row>
    <row r="8" spans="1:27" ht="13.5" thickBot="1">
      <c r="A8" s="818"/>
      <c r="B8" s="217"/>
      <c r="C8" s="218"/>
      <c r="D8" s="219"/>
      <c r="E8" s="221"/>
      <c r="F8" s="231">
        <v>6</v>
      </c>
      <c r="G8" s="560" t="s">
        <v>11</v>
      </c>
      <c r="H8" s="559" t="s">
        <v>396</v>
      </c>
      <c r="I8" s="814"/>
      <c r="J8" s="216" t="s">
        <v>398</v>
      </c>
      <c r="K8" s="238">
        <f>+C34</f>
        <v>44849</v>
      </c>
      <c r="L8" s="238"/>
      <c r="M8" s="121">
        <f>+K8+'5'!M8+L8</f>
        <v>96472</v>
      </c>
      <c r="N8" s="531">
        <v>1370</v>
      </c>
      <c r="O8" s="178">
        <f>+N8-N8*0.24</f>
        <v>1041.2</v>
      </c>
      <c r="P8" s="178"/>
      <c r="Q8" s="178"/>
      <c r="V8" s="532"/>
      <c r="W8" s="153">
        <v>1300</v>
      </c>
      <c r="X8" s="153">
        <f t="shared" si="0"/>
        <v>1001</v>
      </c>
      <c r="Y8" s="153">
        <v>5</v>
      </c>
      <c r="Z8" s="153">
        <f t="shared" si="1"/>
        <v>6500</v>
      </c>
      <c r="AA8" s="153">
        <f t="shared" si="2"/>
        <v>5005</v>
      </c>
    </row>
    <row r="9" spans="1:27" ht="13.5" thickBot="1">
      <c r="A9" s="818"/>
      <c r="B9" s="217"/>
      <c r="C9" s="218"/>
      <c r="D9" s="219"/>
      <c r="E9" s="222"/>
      <c r="F9" s="231">
        <v>10</v>
      </c>
      <c r="G9" s="560" t="s">
        <v>11</v>
      </c>
      <c r="H9" s="561" t="s">
        <v>455</v>
      </c>
      <c r="I9" s="814"/>
      <c r="J9" s="216" t="s">
        <v>399</v>
      </c>
      <c r="K9" s="238"/>
      <c r="L9" s="238"/>
      <c r="M9" s="121">
        <f>+K9+'5'!M9+L9</f>
        <v>28386</v>
      </c>
      <c r="N9" s="532"/>
      <c r="Y9" s="178">
        <f>SUM(Y1:Y8)</f>
        <v>885</v>
      </c>
      <c r="Z9" s="153">
        <f>SUM(Z1:Z8)</f>
        <v>1116490</v>
      </c>
      <c r="AA9" s="153">
        <f>SUM(AA1:AA8)</f>
        <v>859697.3</v>
      </c>
    </row>
    <row r="10" spans="1:27" ht="39" thickBot="1">
      <c r="A10" s="818"/>
      <c r="B10" s="217"/>
      <c r="C10" s="218"/>
      <c r="D10" s="219"/>
      <c r="E10" s="221"/>
      <c r="F10" s="231"/>
      <c r="G10" s="558"/>
      <c r="H10" s="561" t="s">
        <v>538</v>
      </c>
      <c r="I10" s="814"/>
      <c r="J10" s="216" t="str">
        <f>+'5'!J10</f>
        <v>T 12 VP OW</v>
      </c>
      <c r="K10" s="238"/>
      <c r="L10" s="238"/>
      <c r="M10" s="121">
        <f>+K10+'5'!M10+L10</f>
        <v>11079</v>
      </c>
      <c r="Z10" s="178">
        <f>+Z9/Y9</f>
        <v>1261.5706214689264</v>
      </c>
      <c r="AA10" s="178">
        <f>+AA9/Y9</f>
        <v>971.40937853107346</v>
      </c>
    </row>
    <row r="11" spans="1:27" ht="13.5" thickBot="1">
      <c r="A11" s="818"/>
      <c r="B11" s="217"/>
      <c r="C11" s="218"/>
      <c r="D11" s="219"/>
      <c r="E11" s="221"/>
      <c r="F11" s="481"/>
      <c r="G11" s="232"/>
      <c r="H11" s="230"/>
      <c r="I11" s="814"/>
      <c r="J11" s="216" t="str">
        <f>+'5'!J11</f>
        <v>T 13,5 VP OW</v>
      </c>
      <c r="K11" s="238"/>
      <c r="L11" s="238"/>
      <c r="M11" s="121">
        <f>+K11+'5'!M11+L11</f>
        <v>15672</v>
      </c>
    </row>
    <row r="12" spans="1:27" ht="13.5" thickBot="1">
      <c r="A12" s="818"/>
      <c r="B12" s="217"/>
      <c r="C12" s="218"/>
      <c r="D12" s="219"/>
      <c r="E12" s="221"/>
      <c r="F12" s="228"/>
      <c r="G12" s="232"/>
      <c r="H12" s="233"/>
      <c r="I12" s="814"/>
      <c r="J12" s="216" t="str">
        <f>+'5'!J12</f>
        <v>F 12 VP OW</v>
      </c>
      <c r="K12" s="238"/>
      <c r="L12" s="238"/>
      <c r="M12" s="121">
        <f>+K12+'5'!M12+L12</f>
        <v>50814</v>
      </c>
    </row>
    <row r="13" spans="1:27" ht="13.5" thickBot="1">
      <c r="A13" s="818"/>
      <c r="B13" s="217"/>
      <c r="C13" s="218"/>
      <c r="D13" s="218"/>
      <c r="E13" s="221"/>
      <c r="F13" s="228"/>
      <c r="G13" s="232"/>
      <c r="H13" s="233"/>
      <c r="I13" s="815"/>
      <c r="J13" s="216" t="str">
        <f>+'5'!J13</f>
        <v>T 12,5 VP OW</v>
      </c>
      <c r="K13" s="238"/>
      <c r="L13" s="238"/>
      <c r="M13" s="121">
        <f>+K13+'5'!M13+L13</f>
        <v>0</v>
      </c>
      <c r="Q13" s="178"/>
    </row>
    <row r="14" spans="1:27" ht="13.5" thickBot="1">
      <c r="A14" s="819"/>
      <c r="B14" s="169" t="s">
        <v>2</v>
      </c>
      <c r="C14" s="103">
        <f>SUM(C7:C13)</f>
        <v>15740</v>
      </c>
      <c r="D14" s="115">
        <f>SUM(D7:D13)</f>
        <v>0</v>
      </c>
      <c r="E14" s="116">
        <f>SUM(E9:E13)</f>
        <v>0</v>
      </c>
      <c r="F14" s="106">
        <f>SUM(F6:F13)</f>
        <v>16</v>
      </c>
      <c r="G14" s="163"/>
      <c r="H14" s="170"/>
      <c r="I14" s="171"/>
      <c r="J14" s="216">
        <f>+'5'!J14</f>
        <v>0</v>
      </c>
      <c r="K14" s="238"/>
      <c r="L14" s="238"/>
      <c r="M14" s="121">
        <f>+K14+'5'!M14+L14</f>
        <v>0</v>
      </c>
      <c r="R14" s="178"/>
      <c r="S14" s="178"/>
    </row>
    <row r="15" spans="1:27" ht="13.5" customHeight="1" thickBot="1">
      <c r="A15" s="831" t="s">
        <v>239</v>
      </c>
      <c r="B15" s="510"/>
      <c r="C15" s="563">
        <f>C14/($C$32+$D$32+$E$32)</f>
        <v>1.0259418589492895</v>
      </c>
      <c r="D15" s="108">
        <f>D14/($C$32+$D$32+$E$32)</f>
        <v>0</v>
      </c>
      <c r="E15" s="109">
        <f>E14/($C$32+$D$32+$E$32)</f>
        <v>0</v>
      </c>
      <c r="F15" s="231">
        <v>10</v>
      </c>
      <c r="G15" s="558" t="s">
        <v>11</v>
      </c>
      <c r="H15" s="559" t="s">
        <v>456</v>
      </c>
      <c r="I15" s="813" t="s">
        <v>519</v>
      </c>
      <c r="J15" s="216">
        <f>+'5'!J15</f>
        <v>0</v>
      </c>
      <c r="K15" s="238"/>
      <c r="L15" s="238"/>
      <c r="M15" s="121">
        <f>+K15+'5'!M15+L15</f>
        <v>0</v>
      </c>
    </row>
    <row r="16" spans="1:27" ht="13.5" thickBot="1">
      <c r="A16" s="818"/>
      <c r="B16" s="217" t="s">
        <v>521</v>
      </c>
      <c r="C16" s="511">
        <v>13767</v>
      </c>
      <c r="D16" s="223"/>
      <c r="E16" s="224"/>
      <c r="F16" s="231">
        <v>10</v>
      </c>
      <c r="G16" s="560" t="s">
        <v>11</v>
      </c>
      <c r="H16" s="559" t="s">
        <v>405</v>
      </c>
      <c r="I16" s="832"/>
      <c r="J16" s="216">
        <f>+'5'!J16</f>
        <v>0</v>
      </c>
      <c r="K16" s="229"/>
      <c r="L16" s="229"/>
      <c r="M16" s="121">
        <f>+K16+'5'!M16+L16</f>
        <v>0</v>
      </c>
    </row>
    <row r="17" spans="1:19" ht="13.5" thickBot="1">
      <c r="A17" s="818"/>
      <c r="B17" s="217"/>
      <c r="C17" s="218"/>
      <c r="D17" s="219"/>
      <c r="E17" s="225"/>
      <c r="F17" s="231">
        <v>12</v>
      </c>
      <c r="G17" s="560" t="s">
        <v>11</v>
      </c>
      <c r="H17" s="561" t="s">
        <v>455</v>
      </c>
      <c r="I17" s="832"/>
      <c r="J17" s="216">
        <f>+'5'!J17</f>
        <v>0</v>
      </c>
      <c r="K17" s="229"/>
      <c r="L17" s="229"/>
      <c r="M17" s="121">
        <f>+K17+'5'!M17+L17</f>
        <v>0</v>
      </c>
      <c r="N17" s="532"/>
    </row>
    <row r="18" spans="1:19" ht="39" thickBot="1">
      <c r="A18" s="818"/>
      <c r="B18" s="217"/>
      <c r="C18" s="218"/>
      <c r="D18" s="219"/>
      <c r="E18" s="225"/>
      <c r="F18" s="231"/>
      <c r="G18" s="558"/>
      <c r="H18" s="561" t="s">
        <v>538</v>
      </c>
      <c r="I18" s="832"/>
      <c r="J18" s="216">
        <f>+'5'!J18</f>
        <v>0</v>
      </c>
      <c r="K18" s="238"/>
      <c r="L18" s="238"/>
      <c r="M18" s="121">
        <f>+K18+'5'!M18+L18</f>
        <v>0</v>
      </c>
    </row>
    <row r="19" spans="1:19" ht="13.5" thickBot="1">
      <c r="A19" s="818"/>
      <c r="B19" s="217"/>
      <c r="C19" s="218"/>
      <c r="D19" s="219"/>
      <c r="E19" s="225"/>
      <c r="F19" s="228"/>
      <c r="G19" s="232"/>
      <c r="H19" s="230" t="s">
        <v>540</v>
      </c>
      <c r="I19" s="832"/>
      <c r="J19" s="216">
        <f>+'5'!J19</f>
        <v>0</v>
      </c>
      <c r="K19" s="238"/>
      <c r="L19" s="238"/>
      <c r="M19" s="121">
        <f>+K19+'5'!M19+L19</f>
        <v>0</v>
      </c>
    </row>
    <row r="20" spans="1:19" ht="13.5" customHeight="1" thickBot="1">
      <c r="A20" s="818"/>
      <c r="B20" s="217"/>
      <c r="C20" s="218"/>
      <c r="D20" s="219"/>
      <c r="E20" s="225"/>
      <c r="F20" s="228"/>
      <c r="G20" s="232"/>
      <c r="H20" s="233" t="s">
        <v>539</v>
      </c>
      <c r="I20" s="832"/>
      <c r="J20" s="216">
        <f>+'5'!J20</f>
        <v>0</v>
      </c>
      <c r="K20" s="239"/>
      <c r="L20" s="239"/>
      <c r="M20" s="121">
        <f>+K20+'5'!M20+L20</f>
        <v>0</v>
      </c>
      <c r="Q20" s="536"/>
    </row>
    <row r="21" spans="1:19" ht="13.5" thickBot="1">
      <c r="A21" s="818"/>
      <c r="B21" s="217"/>
      <c r="C21" s="218"/>
      <c r="D21" s="219"/>
      <c r="E21" s="225"/>
      <c r="F21" s="231"/>
      <c r="G21" s="232"/>
      <c r="H21" s="233"/>
      <c r="I21" s="832"/>
      <c r="J21" s="216">
        <f>+'5'!J21</f>
        <v>0</v>
      </c>
      <c r="K21" s="238"/>
      <c r="L21" s="238"/>
      <c r="M21" s="121">
        <f>+K21+'5'!M21+L21</f>
        <v>0</v>
      </c>
      <c r="R21" s="536"/>
      <c r="S21" s="536"/>
    </row>
    <row r="22" spans="1:19" ht="13.5" thickBot="1">
      <c r="A22" s="818"/>
      <c r="B22" s="217"/>
      <c r="C22" s="218"/>
      <c r="D22" s="219"/>
      <c r="E22" s="225"/>
      <c r="F22" s="235"/>
      <c r="G22" s="232"/>
      <c r="H22" s="233"/>
      <c r="I22" s="833"/>
      <c r="J22" s="216">
        <f>+'5'!J22</f>
        <v>0</v>
      </c>
      <c r="K22" s="238"/>
      <c r="L22" s="238"/>
      <c r="M22" s="121">
        <f>+K22+'5'!M22+L22</f>
        <v>0</v>
      </c>
    </row>
    <row r="23" spans="1:19" ht="13.5" thickBot="1">
      <c r="A23" s="819"/>
      <c r="B23" s="169" t="s">
        <v>2</v>
      </c>
      <c r="C23" s="103">
        <f>SUM(C16:C22)</f>
        <v>13767</v>
      </c>
      <c r="D23" s="115">
        <f>SUM(D16:D22)</f>
        <v>0</v>
      </c>
      <c r="E23" s="116">
        <f>SUM(E18:E22)</f>
        <v>0</v>
      </c>
      <c r="F23" s="106">
        <f>SUM(F15:F22)</f>
        <v>32</v>
      </c>
      <c r="G23" s="163"/>
      <c r="H23" s="170"/>
      <c r="I23" s="172"/>
      <c r="J23" s="216">
        <f>+'5'!J23</f>
        <v>0</v>
      </c>
      <c r="K23" s="238"/>
      <c r="L23" s="238"/>
      <c r="M23" s="121">
        <f>+K23+'5'!M23+L23</f>
        <v>0</v>
      </c>
    </row>
    <row r="24" spans="1:19" ht="13.5" customHeight="1" thickBot="1">
      <c r="A24" s="831" t="s">
        <v>415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30</v>
      </c>
      <c r="G24" s="558" t="s">
        <v>11</v>
      </c>
      <c r="H24" s="559" t="s">
        <v>522</v>
      </c>
      <c r="I24" s="813" t="s">
        <v>519</v>
      </c>
      <c r="J24" s="216">
        <f>+'5'!J24</f>
        <v>0</v>
      </c>
      <c r="K24" s="238"/>
      <c r="L24" s="238"/>
      <c r="M24" s="121">
        <f>+K24+'5'!M24+L24</f>
        <v>0</v>
      </c>
    </row>
    <row r="25" spans="1:19" ht="13.5" thickBot="1">
      <c r="A25" s="818"/>
      <c r="B25" s="217" t="s">
        <v>521</v>
      </c>
      <c r="C25" s="226">
        <v>15342</v>
      </c>
      <c r="D25" s="219"/>
      <c r="E25" s="225"/>
      <c r="F25" s="231">
        <v>7</v>
      </c>
      <c r="G25" s="560" t="s">
        <v>11</v>
      </c>
      <c r="H25" s="559" t="s">
        <v>545</v>
      </c>
      <c r="I25" s="832"/>
      <c r="J25" s="216">
        <f>+'5'!J25</f>
        <v>0</v>
      </c>
      <c r="K25" s="238"/>
      <c r="L25" s="238"/>
      <c r="M25" s="121">
        <f>+K25+'5'!M25+L25</f>
        <v>0</v>
      </c>
      <c r="N25" s="532"/>
    </row>
    <row r="26" spans="1:19" ht="13.5" thickBot="1">
      <c r="A26" s="818"/>
      <c r="B26" s="217"/>
      <c r="C26" s="226"/>
      <c r="D26" s="219"/>
      <c r="E26" s="227"/>
      <c r="F26" s="231">
        <v>10</v>
      </c>
      <c r="G26" s="560" t="s">
        <v>11</v>
      </c>
      <c r="H26" s="561" t="s">
        <v>455</v>
      </c>
      <c r="I26" s="832"/>
      <c r="J26" s="216">
        <f>+'5'!J26</f>
        <v>0</v>
      </c>
      <c r="K26" s="238"/>
      <c r="L26" s="238"/>
      <c r="M26" s="121">
        <f>+K26+'5'!M26+L26</f>
        <v>0</v>
      </c>
      <c r="N26" s="565"/>
      <c r="O26" s="566"/>
      <c r="P26" s="566"/>
      <c r="Q26" s="566"/>
    </row>
    <row r="27" spans="1:19" ht="39" thickBot="1">
      <c r="A27" s="818"/>
      <c r="B27" s="217"/>
      <c r="C27" s="218"/>
      <c r="D27" s="219"/>
      <c r="E27" s="225"/>
      <c r="F27" s="231"/>
      <c r="G27" s="558"/>
      <c r="H27" s="561" t="s">
        <v>538</v>
      </c>
      <c r="I27" s="832"/>
      <c r="J27" s="216">
        <f>+'5'!J27</f>
        <v>0</v>
      </c>
      <c r="K27" s="238"/>
      <c r="L27" s="238"/>
      <c r="M27" s="121">
        <f>+K27+'5'!M27+L27</f>
        <v>0</v>
      </c>
      <c r="Q27" s="178"/>
    </row>
    <row r="28" spans="1:19" ht="13.5" thickBot="1">
      <c r="A28" s="818"/>
      <c r="B28" s="217"/>
      <c r="C28" s="218"/>
      <c r="D28" s="219"/>
      <c r="E28" s="225"/>
      <c r="F28" s="228"/>
      <c r="G28" s="232"/>
      <c r="H28" s="230" t="s">
        <v>544</v>
      </c>
      <c r="I28" s="832"/>
      <c r="J28" s="216">
        <f>+'5'!J28</f>
        <v>0</v>
      </c>
      <c r="K28" s="238"/>
      <c r="L28" s="238"/>
      <c r="M28" s="121">
        <f>+K28+'5'!M28+L28</f>
        <v>0</v>
      </c>
      <c r="R28" s="178"/>
      <c r="S28" s="178"/>
    </row>
    <row r="29" spans="1:19" ht="13.5" thickBot="1">
      <c r="A29" s="818"/>
      <c r="B29" s="217"/>
      <c r="C29" s="218"/>
      <c r="D29" s="219"/>
      <c r="E29" s="225"/>
      <c r="F29" s="235"/>
      <c r="G29" s="232"/>
      <c r="H29" s="233" t="s">
        <v>541</v>
      </c>
      <c r="I29" s="832"/>
      <c r="J29" s="216">
        <f>+'5'!J29</f>
        <v>0</v>
      </c>
      <c r="K29" s="238"/>
      <c r="L29" s="238"/>
      <c r="M29" s="121">
        <f>+K29+'5'!M29+L29</f>
        <v>0</v>
      </c>
      <c r="R29" s="178"/>
      <c r="S29" s="178"/>
    </row>
    <row r="30" spans="1:19" ht="13.5" thickBot="1">
      <c r="A30" s="818"/>
      <c r="B30" s="217"/>
      <c r="C30" s="226"/>
      <c r="D30" s="219"/>
      <c r="E30" s="225"/>
      <c r="F30" s="235"/>
      <c r="G30" s="232"/>
      <c r="H30" s="233" t="s">
        <v>542</v>
      </c>
      <c r="I30" s="832"/>
      <c r="J30" s="216">
        <f>+'5'!J30</f>
        <v>0</v>
      </c>
      <c r="K30" s="238"/>
      <c r="L30" s="238"/>
      <c r="M30" s="121">
        <f>+K30+'5'!M30+L30</f>
        <v>0</v>
      </c>
      <c r="N30" s="159"/>
    </row>
    <row r="31" spans="1:19" ht="13.5" thickBot="1">
      <c r="A31" s="818"/>
      <c r="B31" s="217"/>
      <c r="C31" s="226"/>
      <c r="D31" s="219"/>
      <c r="E31" s="225"/>
      <c r="F31" s="235"/>
      <c r="G31" s="236"/>
      <c r="H31" s="439" t="s">
        <v>543</v>
      </c>
      <c r="I31" s="833"/>
      <c r="J31" s="216">
        <f>+'5'!J31</f>
        <v>0</v>
      </c>
      <c r="K31" s="238"/>
      <c r="L31" s="238"/>
      <c r="M31" s="121">
        <f>+K31+'5'!M31+L31</f>
        <v>0</v>
      </c>
    </row>
    <row r="32" spans="1:19" ht="13.5" thickBot="1">
      <c r="A32" s="819"/>
      <c r="B32" s="169" t="s">
        <v>2</v>
      </c>
      <c r="C32" s="103">
        <f>SUM(C25:C31)</f>
        <v>15342</v>
      </c>
      <c r="D32" s="104">
        <f>SUM(D25:D31)</f>
        <v>0</v>
      </c>
      <c r="E32" s="105">
        <f>SUM(E25:E31)</f>
        <v>0</v>
      </c>
      <c r="F32" s="103">
        <f>SUM(F24:F31)</f>
        <v>47</v>
      </c>
      <c r="G32" s="173"/>
      <c r="H32" s="174"/>
      <c r="I32" s="172"/>
      <c r="J32" s="216">
        <f>+'5'!J32</f>
        <v>0</v>
      </c>
      <c r="K32" s="240"/>
      <c r="L32" s="242"/>
      <c r="M32" s="121">
        <f>+K32+'5'!M32+L32</f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44849</v>
      </c>
      <c r="D34" s="111">
        <f>D14+D23+D32</f>
        <v>0</v>
      </c>
      <c r="E34" s="111">
        <f>E14+E23+E32</f>
        <v>0</v>
      </c>
      <c r="F34" s="112">
        <f>F14+F23+F32</f>
        <v>95</v>
      </c>
      <c r="H34" s="180"/>
      <c r="I34" s="180"/>
      <c r="J34" s="127" t="s">
        <v>27</v>
      </c>
      <c r="K34" s="128">
        <f>SUM(K7:K32)</f>
        <v>44849</v>
      </c>
      <c r="L34" s="214">
        <f>SUM(L7:L32)</f>
        <v>0</v>
      </c>
      <c r="M34" s="124">
        <f>SUM(M7:M32)</f>
        <v>246003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(12.5*1440)/1440*G42*2.85*1440/1000000</f>
        <v>53.413559999999997</v>
      </c>
      <c r="J37" s="129">
        <f>+I37+'5'!J37</f>
        <v>296.00688800055292</v>
      </c>
      <c r="K37" s="130" t="s">
        <v>74</v>
      </c>
    </row>
    <row r="38" spans="1:14" ht="17.45" customHeight="1">
      <c r="A38" s="824" t="s">
        <v>11</v>
      </c>
      <c r="B38" s="825"/>
      <c r="C38" s="168">
        <f>SUMIF($G$7:$G$31,"Process",$F$7:$F$31)</f>
        <v>95</v>
      </c>
      <c r="D38" s="122">
        <f>+C38+'5'!D38</f>
        <v>377</v>
      </c>
      <c r="E38" s="147">
        <f t="shared" ref="E38:E51" si="3">D38/60</f>
        <v>6.2833333333333332</v>
      </c>
      <c r="F38" s="334">
        <v>1370</v>
      </c>
      <c r="G38" s="334">
        <f>+F38-F38*0.24</f>
        <v>1041.2</v>
      </c>
      <c r="H38" s="189" t="s">
        <v>75</v>
      </c>
      <c r="I38" s="513">
        <f>16.166+15.317+14.323</f>
        <v>45.805999999999997</v>
      </c>
      <c r="J38" s="131">
        <f>+I38+'5'!J38</f>
        <v>268.27600000000001</v>
      </c>
      <c r="K38" s="132" t="s">
        <v>74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+C39+'5'!D39</f>
        <v>0</v>
      </c>
      <c r="E39" s="147">
        <f t="shared" si="3"/>
        <v>0</v>
      </c>
      <c r="F39" s="334">
        <v>1370</v>
      </c>
      <c r="G39" s="334">
        <f>+F39-F39*0.24</f>
        <v>1041.2</v>
      </c>
      <c r="H39" s="189" t="s">
        <v>76</v>
      </c>
      <c r="I39" s="146"/>
      <c r="J39" s="133">
        <f>J37/G4</f>
        <v>49.334481333425487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>+C40+'5'!D40</f>
        <v>36</v>
      </c>
      <c r="E40" s="147">
        <f t="shared" si="3"/>
        <v>0.6</v>
      </c>
      <c r="F40" s="334">
        <v>1370</v>
      </c>
      <c r="G40" s="334">
        <f>+F40-F40*0.24</f>
        <v>1041.2</v>
      </c>
      <c r="H40" s="189" t="s">
        <v>78</v>
      </c>
      <c r="I40" s="122">
        <f>(K34+L34)/1000</f>
        <v>44.848999999999997</v>
      </c>
      <c r="J40" s="135">
        <f>+I40+'5'!J40</f>
        <v>246.00300000000001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>+C41+'5'!D41</f>
        <v>0</v>
      </c>
      <c r="E41" s="147">
        <f t="shared" si="3"/>
        <v>0</v>
      </c>
      <c r="F41" s="334"/>
      <c r="G41" s="334"/>
      <c r="H41" s="189" t="s">
        <v>80</v>
      </c>
      <c r="I41" s="146"/>
      <c r="J41" s="133">
        <f>J40/G4</f>
        <v>41.000500000000002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>+C42+'5'!D42</f>
        <v>0</v>
      </c>
      <c r="E42" s="147">
        <f t="shared" si="3"/>
        <v>0</v>
      </c>
      <c r="F42" s="334">
        <f>+(F38*480+F39*480+F40*480)/1440</f>
        <v>1370</v>
      </c>
      <c r="G42" s="334">
        <f>+(G38*480+G39*480+G40*480)/1440</f>
        <v>1041.2</v>
      </c>
      <c r="H42" s="189" t="s">
        <v>81</v>
      </c>
      <c r="I42" s="245" t="s">
        <v>519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>+C43+'5'!D43</f>
        <v>0</v>
      </c>
      <c r="E43" s="147">
        <f t="shared" si="3"/>
        <v>0</v>
      </c>
      <c r="F43" s="334"/>
      <c r="G43" s="335"/>
      <c r="H43" s="190" t="s">
        <v>84</v>
      </c>
      <c r="I43" s="122">
        <f>+Report1!Z14</f>
        <v>124.6</v>
      </c>
      <c r="J43" s="137">
        <f>+I43+'5'!J43</f>
        <v>696.5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+C44+'5'!D44</f>
        <v>0</v>
      </c>
      <c r="E44" s="147">
        <f t="shared" si="3"/>
        <v>0</v>
      </c>
      <c r="F44" s="334"/>
      <c r="G44" s="335"/>
      <c r="H44" s="190" t="s">
        <v>85</v>
      </c>
      <c r="I44" s="122">
        <f>I43/I38</f>
        <v>2.7201676636248528</v>
      </c>
      <c r="J44" s="138">
        <f>J43/J38</f>
        <v>2.5962068914103384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+C45+'5'!D45</f>
        <v>0</v>
      </c>
      <c r="E45" s="147">
        <f t="shared" si="3"/>
        <v>0</v>
      </c>
      <c r="F45" s="334"/>
      <c r="G45" s="337"/>
      <c r="H45" s="190" t="s">
        <v>86</v>
      </c>
      <c r="I45" s="122">
        <f>I43/I40</f>
        <v>2.7782113313563293</v>
      </c>
      <c r="J45" s="138">
        <f>J43/J40</f>
        <v>2.8312662853705035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+C46+'5'!D46</f>
        <v>0</v>
      </c>
      <c r="E46" s="147">
        <f t="shared" si="3"/>
        <v>0</v>
      </c>
      <c r="F46" s="334"/>
      <c r="G46" s="335"/>
      <c r="H46" s="190" t="s">
        <v>88</v>
      </c>
      <c r="I46" s="144">
        <f>+SUMIF(Listrik!AN13,"&gt;0")</f>
        <v>50699.479999999836</v>
      </c>
      <c r="J46" s="139">
        <f>+I46+'5'!J46</f>
        <v>276160.71999999997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+C47+'5'!D47</f>
        <v>0</v>
      </c>
      <c r="E47" s="147">
        <f t="shared" si="3"/>
        <v>0</v>
      </c>
      <c r="F47" s="334"/>
      <c r="G47" s="335"/>
      <c r="H47" s="190" t="s">
        <v>91</v>
      </c>
      <c r="I47" s="122">
        <f>I46/I38</f>
        <v>1106.8305462166493</v>
      </c>
      <c r="J47" s="139">
        <f>J46/J38</f>
        <v>1029.3903293622984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+C48+'5'!D48</f>
        <v>0</v>
      </c>
      <c r="E48" s="147">
        <f t="shared" si="3"/>
        <v>0</v>
      </c>
      <c r="F48" s="334"/>
      <c r="G48" s="335"/>
      <c r="H48" s="190" t="s">
        <v>92</v>
      </c>
      <c r="I48" s="122">
        <f>I46/I40</f>
        <v>1130.4483934981793</v>
      </c>
      <c r="J48" s="139">
        <f>J46/J40</f>
        <v>1122.5908627130561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+C49+'5'!D49</f>
        <v>545</v>
      </c>
      <c r="E49" s="147">
        <f t="shared" si="3"/>
        <v>9.0833333333333339</v>
      </c>
      <c r="F49" s="187"/>
      <c r="H49" s="190" t="s">
        <v>193</v>
      </c>
      <c r="I49" s="122">
        <v>0</v>
      </c>
      <c r="J49" s="139">
        <f>+I49+'5'!J49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+C50+'5'!D50</f>
        <v>0</v>
      </c>
      <c r="E50" s="147">
        <f t="shared" si="3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+C51+'5'!D51</f>
        <v>0</v>
      </c>
      <c r="E51" s="147">
        <f t="shared" si="3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95</v>
      </c>
      <c r="D52" s="148">
        <f>SUM(D38:D51)</f>
        <v>958</v>
      </c>
      <c r="E52" s="149">
        <f>SUM(E38:E51)</f>
        <v>15.966666666666667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6.5972222222222224E-2</v>
      </c>
      <c r="D53" s="150">
        <f>D52/(24*60*G4)</f>
        <v>0.11087962962962963</v>
      </c>
      <c r="E53" s="151">
        <f>E52/(G4*24)</f>
        <v>0.11087962962962963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+D34+'5'!J56</f>
        <v>5607</v>
      </c>
      <c r="K56" s="203">
        <f>J56/(J40+J56/1000)/1000</f>
        <v>2.2284487897937282E-2</v>
      </c>
    </row>
    <row r="57" spans="1:11">
      <c r="A57" s="178"/>
      <c r="I57" s="201" t="s">
        <v>100</v>
      </c>
      <c r="J57" s="202">
        <f>+E34+'5'!J57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1"/>
  <sheetViews>
    <sheetView view="pageBreakPreview" zoomScale="80" zoomScaleNormal="75" zoomScaleSheetLayoutView="80" workbookViewId="0">
      <selection activeCell="D8" sqref="D8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customWidth="1"/>
    <col min="12" max="12" width="8.28515625" style="153" customWidth="1"/>
    <col min="13" max="13" width="14.7109375" style="153" customWidth="1"/>
    <col min="14" max="16384" width="9.140625" style="153"/>
  </cols>
  <sheetData>
    <row r="1" spans="1:34" ht="15.75">
      <c r="A1" s="152"/>
      <c r="V1" s="539"/>
      <c r="AC1" s="531"/>
    </row>
    <row r="2" spans="1:34" ht="15.75">
      <c r="A2" s="152" t="s">
        <v>236</v>
      </c>
      <c r="AC2" s="531"/>
    </row>
    <row r="3" spans="1:34" ht="15">
      <c r="A3" s="154"/>
    </row>
    <row r="4" spans="1:34" ht="20.25">
      <c r="A4" s="155" t="s">
        <v>3</v>
      </c>
      <c r="B4" s="156"/>
      <c r="F4" s="157" t="s">
        <v>28</v>
      </c>
      <c r="G4" s="158">
        <v>5</v>
      </c>
      <c r="H4" s="158" t="s">
        <v>394</v>
      </c>
      <c r="V4" s="539"/>
      <c r="AF4" s="178"/>
    </row>
    <row r="5" spans="1:34" ht="13.5" thickBot="1">
      <c r="C5" s="159"/>
      <c r="D5" s="159"/>
      <c r="AG5" s="178"/>
      <c r="AH5" s="178"/>
    </row>
    <row r="6" spans="1:34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351+373+328</f>
        <v>1052</v>
      </c>
      <c r="Y6" s="540"/>
    </row>
    <row r="7" spans="1:34" ht="13.5" customHeight="1" thickBot="1">
      <c r="A7" s="810" t="s">
        <v>239</v>
      </c>
      <c r="B7" s="217" t="s">
        <v>518</v>
      </c>
      <c r="C7" s="218">
        <v>12167</v>
      </c>
      <c r="D7" s="219">
        <v>587</v>
      </c>
      <c r="E7" s="220"/>
      <c r="F7" s="231">
        <v>10</v>
      </c>
      <c r="G7" s="558" t="s">
        <v>11</v>
      </c>
      <c r="H7" s="559" t="s">
        <v>456</v>
      </c>
      <c r="I7" s="813" t="s">
        <v>519</v>
      </c>
      <c r="J7" s="216" t="str">
        <f>+'4'!J7</f>
        <v>T 12,5 VP OW</v>
      </c>
      <c r="K7" s="237"/>
      <c r="L7" s="241"/>
      <c r="M7" s="121">
        <f>+K7+'4'!M7+L7</f>
        <v>43580</v>
      </c>
      <c r="Z7" s="540"/>
      <c r="AA7" s="540"/>
    </row>
    <row r="8" spans="1:34" ht="13.5" thickBot="1">
      <c r="A8" s="818"/>
      <c r="B8" s="217"/>
      <c r="C8" s="218"/>
      <c r="D8" s="219"/>
      <c r="E8" s="221"/>
      <c r="F8" s="231">
        <v>6</v>
      </c>
      <c r="G8" s="560" t="s">
        <v>11</v>
      </c>
      <c r="H8" s="559" t="s">
        <v>396</v>
      </c>
      <c r="I8" s="814"/>
      <c r="J8" s="216" t="str">
        <f>+'4'!J8</f>
        <v>T 15 VP OW</v>
      </c>
      <c r="K8" s="238"/>
      <c r="L8" s="238"/>
      <c r="M8" s="121">
        <f>+K8+'4'!M8+L8</f>
        <v>51623</v>
      </c>
      <c r="N8" s="539">
        <v>1370</v>
      </c>
      <c r="O8" s="153">
        <f>+N8-N8*0.24</f>
        <v>1041.2</v>
      </c>
      <c r="P8" s="153">
        <v>1430</v>
      </c>
    </row>
    <row r="9" spans="1:34" ht="13.5" thickBot="1">
      <c r="A9" s="818"/>
      <c r="B9" s="217"/>
      <c r="C9" s="218"/>
      <c r="D9" s="219"/>
      <c r="E9" s="222"/>
      <c r="F9" s="231">
        <v>10</v>
      </c>
      <c r="G9" s="560" t="s">
        <v>11</v>
      </c>
      <c r="H9" s="561" t="s">
        <v>455</v>
      </c>
      <c r="I9" s="814"/>
      <c r="J9" s="216" t="str">
        <f>+'4'!J9</f>
        <v>T 14,5 VP OW</v>
      </c>
      <c r="K9" s="238"/>
      <c r="L9" s="238"/>
      <c r="M9" s="121">
        <f>+K9+'4'!M9+L9</f>
        <v>28386</v>
      </c>
      <c r="N9" s="539">
        <v>1370</v>
      </c>
      <c r="O9" s="153">
        <f>+N9-N9*0.24</f>
        <v>1041.2</v>
      </c>
      <c r="P9" s="153">
        <v>10</v>
      </c>
    </row>
    <row r="10" spans="1:34" ht="13.5" thickBot="1">
      <c r="A10" s="818"/>
      <c r="B10" s="217"/>
      <c r="C10" s="218"/>
      <c r="D10" s="219"/>
      <c r="E10" s="221"/>
      <c r="F10" s="231"/>
      <c r="G10" s="558"/>
      <c r="H10" s="561" t="s">
        <v>505</v>
      </c>
      <c r="I10" s="814"/>
      <c r="J10" s="216" t="str">
        <f>+'4'!J10</f>
        <v>T 12 VP OW</v>
      </c>
      <c r="K10" s="238"/>
      <c r="L10" s="238"/>
      <c r="M10" s="121">
        <f>+K10+'4'!M10+L10</f>
        <v>11079</v>
      </c>
      <c r="N10" s="539"/>
      <c r="P10" s="153">
        <f>SUM(P8:P9)</f>
        <v>1440</v>
      </c>
    </row>
    <row r="11" spans="1:34" ht="13.5" thickBot="1">
      <c r="A11" s="818"/>
      <c r="B11" s="217"/>
      <c r="C11" s="218"/>
      <c r="D11" s="219"/>
      <c r="E11" s="221"/>
      <c r="F11" s="481"/>
      <c r="G11" s="482"/>
      <c r="H11" s="230" t="s">
        <v>504</v>
      </c>
      <c r="I11" s="814"/>
      <c r="J11" s="216" t="str">
        <f>+'4'!J11</f>
        <v>T 13,5 VP OW</v>
      </c>
      <c r="K11" s="238"/>
      <c r="L11" s="238"/>
      <c r="M11" s="121">
        <f>+K11+'4'!M11+L11</f>
        <v>15672</v>
      </c>
      <c r="Q11" s="540"/>
    </row>
    <row r="12" spans="1:34" ht="13.5" thickBot="1">
      <c r="A12" s="818"/>
      <c r="B12" s="217"/>
      <c r="C12" s="218"/>
      <c r="D12" s="219"/>
      <c r="E12" s="221"/>
      <c r="F12" s="228"/>
      <c r="G12" s="232"/>
      <c r="H12" s="233"/>
      <c r="I12" s="814"/>
      <c r="J12" s="216" t="str">
        <f>+'4'!J12</f>
        <v>F 12 VP OW</v>
      </c>
      <c r="K12" s="238">
        <f>+C7+C16+C25</f>
        <v>42722</v>
      </c>
      <c r="L12" s="238"/>
      <c r="M12" s="121">
        <f>+K12+'4'!M12+L12</f>
        <v>50814</v>
      </c>
      <c r="R12" s="540"/>
      <c r="S12" s="540"/>
    </row>
    <row r="13" spans="1:34" ht="13.5" thickBot="1">
      <c r="A13" s="818"/>
      <c r="B13" s="217"/>
      <c r="C13" s="218"/>
      <c r="D13" s="218"/>
      <c r="E13" s="221"/>
      <c r="F13" s="228"/>
      <c r="G13" s="232"/>
      <c r="H13" s="233"/>
      <c r="I13" s="815"/>
      <c r="J13" s="216" t="s">
        <v>431</v>
      </c>
      <c r="K13" s="238"/>
      <c r="L13" s="238"/>
      <c r="M13" s="121">
        <f>+K13+'4'!M13+L13</f>
        <v>0</v>
      </c>
    </row>
    <row r="14" spans="1:34" ht="13.5" thickBot="1">
      <c r="A14" s="819"/>
      <c r="B14" s="169" t="s">
        <v>2</v>
      </c>
      <c r="C14" s="103">
        <f>SUM(C7:C13)</f>
        <v>12167</v>
      </c>
      <c r="D14" s="115">
        <f>SUM(D7:D13)</f>
        <v>587</v>
      </c>
      <c r="E14" s="116">
        <f>SUM(E9:E13)</f>
        <v>0</v>
      </c>
      <c r="F14" s="106">
        <f>SUM(F6:F13)</f>
        <v>26</v>
      </c>
      <c r="G14" s="163"/>
      <c r="H14" s="170"/>
      <c r="I14" s="171"/>
      <c r="J14" s="216">
        <f>+'4'!J14</f>
        <v>0</v>
      </c>
      <c r="K14" s="238"/>
      <c r="L14" s="238"/>
      <c r="M14" s="121">
        <f>+K14+'4'!M14+L14</f>
        <v>0</v>
      </c>
    </row>
    <row r="15" spans="1:34" ht="13.5" customHeight="1" thickBot="1">
      <c r="A15" s="831" t="s">
        <v>239</v>
      </c>
      <c r="B15" s="510"/>
      <c r="C15" s="563">
        <f>C14/($C$32+$D$32+$E$32)</f>
        <v>0.8510176960201441</v>
      </c>
      <c r="D15" s="108">
        <f>D14/($C$32+$D$32+$E$32)</f>
        <v>4.1057564524026022E-2</v>
      </c>
      <c r="E15" s="109">
        <f>E14/($C$32+$D$32+$E$32)</f>
        <v>0</v>
      </c>
      <c r="F15" s="231"/>
      <c r="G15" s="558" t="s">
        <v>11</v>
      </c>
      <c r="H15" s="559" t="s">
        <v>404</v>
      </c>
      <c r="I15" s="813" t="s">
        <v>519</v>
      </c>
      <c r="J15" s="216">
        <f>+'4'!J15</f>
        <v>0</v>
      </c>
      <c r="K15" s="238"/>
      <c r="L15" s="238"/>
      <c r="M15" s="121">
        <f>+K15+'4'!M15+L15</f>
        <v>0</v>
      </c>
      <c r="N15" s="539"/>
    </row>
    <row r="16" spans="1:34" ht="13.5" thickBot="1">
      <c r="A16" s="818"/>
      <c r="B16" s="512" t="s">
        <v>518</v>
      </c>
      <c r="C16" s="511">
        <v>16258</v>
      </c>
      <c r="D16" s="223"/>
      <c r="E16" s="224"/>
      <c r="F16" s="231">
        <v>5</v>
      </c>
      <c r="G16" s="560" t="s">
        <v>11</v>
      </c>
      <c r="H16" s="559" t="s">
        <v>405</v>
      </c>
      <c r="I16" s="814"/>
      <c r="J16" s="216">
        <f>+'4'!J16</f>
        <v>0</v>
      </c>
      <c r="K16" s="229"/>
      <c r="L16" s="229"/>
      <c r="M16" s="121">
        <f>+K16+'4'!M16+L16</f>
        <v>0</v>
      </c>
    </row>
    <row r="17" spans="1:19" ht="13.5" thickBot="1">
      <c r="A17" s="818"/>
      <c r="B17" s="217"/>
      <c r="C17" s="218"/>
      <c r="D17" s="219"/>
      <c r="E17" s="225"/>
      <c r="F17" s="231">
        <v>9</v>
      </c>
      <c r="G17" s="560" t="s">
        <v>11</v>
      </c>
      <c r="H17" s="561" t="s">
        <v>455</v>
      </c>
      <c r="I17" s="814"/>
      <c r="J17" s="216">
        <f>+'4'!J17</f>
        <v>0</v>
      </c>
      <c r="K17" s="229"/>
      <c r="L17" s="229"/>
      <c r="M17" s="121">
        <f>+K17+'4'!M17+L17</f>
        <v>0</v>
      </c>
      <c r="N17" s="531"/>
    </row>
    <row r="18" spans="1:19" ht="13.5" thickBot="1">
      <c r="A18" s="818"/>
      <c r="B18" s="217"/>
      <c r="C18" s="218"/>
      <c r="D18" s="219"/>
      <c r="E18" s="225"/>
      <c r="F18" s="231"/>
      <c r="G18" s="558"/>
      <c r="H18" s="561" t="s">
        <v>505</v>
      </c>
      <c r="I18" s="814"/>
      <c r="J18" s="216">
        <f>+'4'!J18</f>
        <v>0</v>
      </c>
      <c r="K18" s="238"/>
      <c r="L18" s="238"/>
      <c r="M18" s="121">
        <f>+K18+'4'!M18+L18</f>
        <v>0</v>
      </c>
      <c r="Q18" s="178"/>
    </row>
    <row r="19" spans="1:19" ht="13.5" thickBot="1">
      <c r="A19" s="818"/>
      <c r="B19" s="217"/>
      <c r="C19" s="218"/>
      <c r="D19" s="219"/>
      <c r="E19" s="225"/>
      <c r="F19" s="228"/>
      <c r="G19" s="232"/>
      <c r="H19" s="230"/>
      <c r="I19" s="814"/>
      <c r="J19" s="216">
        <f>+'4'!J19</f>
        <v>0</v>
      </c>
      <c r="K19" s="238"/>
      <c r="L19" s="238"/>
      <c r="M19" s="121">
        <f>+K19+'4'!M19+L19</f>
        <v>0</v>
      </c>
      <c r="R19" s="178"/>
      <c r="S19" s="178"/>
    </row>
    <row r="20" spans="1:19" ht="13.5" thickBot="1">
      <c r="A20" s="818"/>
      <c r="B20" s="217"/>
      <c r="C20" s="218"/>
      <c r="D20" s="219"/>
      <c r="E20" s="225"/>
      <c r="F20" s="228"/>
      <c r="G20" s="232"/>
      <c r="H20" s="233"/>
      <c r="I20" s="814"/>
      <c r="J20" s="216">
        <f>+'4'!J20</f>
        <v>0</v>
      </c>
      <c r="K20" s="239"/>
      <c r="L20" s="239"/>
      <c r="M20" s="121">
        <f>+K20+'4'!M20+L20</f>
        <v>0</v>
      </c>
    </row>
    <row r="21" spans="1:19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+'4'!J21</f>
        <v>0</v>
      </c>
      <c r="K21" s="238"/>
      <c r="L21" s="238"/>
      <c r="M21" s="121">
        <f>+K21+'4'!M21+L21</f>
        <v>0</v>
      </c>
    </row>
    <row r="22" spans="1:19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+'4'!J22</f>
        <v>0</v>
      </c>
      <c r="K22" s="238"/>
      <c r="L22" s="238"/>
      <c r="M22" s="121">
        <f>+K22+'4'!M22+L22</f>
        <v>0</v>
      </c>
    </row>
    <row r="23" spans="1:19" ht="13.5" thickBot="1">
      <c r="A23" s="819"/>
      <c r="B23" s="169" t="s">
        <v>2</v>
      </c>
      <c r="C23" s="103">
        <f>SUM(C16:C22)</f>
        <v>16258</v>
      </c>
      <c r="D23" s="115">
        <f>SUM(D16:D22)</f>
        <v>0</v>
      </c>
      <c r="E23" s="116">
        <f>SUM(E18:E22)</f>
        <v>0</v>
      </c>
      <c r="F23" s="106">
        <f>SUM(F15:F22)</f>
        <v>14</v>
      </c>
      <c r="G23" s="163"/>
      <c r="H23" s="170"/>
      <c r="I23" s="172"/>
      <c r="J23" s="216">
        <f>+'4'!J23</f>
        <v>0</v>
      </c>
      <c r="K23" s="238"/>
      <c r="L23" s="238"/>
      <c r="M23" s="121">
        <f>+K23+'4'!M23+L23</f>
        <v>0</v>
      </c>
    </row>
    <row r="24" spans="1:19" ht="13.5" customHeight="1" thickBot="1">
      <c r="A24" s="831" t="s">
        <v>391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5</v>
      </c>
      <c r="G24" s="558" t="s">
        <v>11</v>
      </c>
      <c r="H24" s="559" t="s">
        <v>522</v>
      </c>
      <c r="I24" s="813" t="s">
        <v>519</v>
      </c>
      <c r="J24" s="216">
        <f>+'4'!J24</f>
        <v>0</v>
      </c>
      <c r="K24" s="238"/>
      <c r="L24" s="238"/>
      <c r="M24" s="121">
        <f>+K24+'4'!M24+L24</f>
        <v>0</v>
      </c>
      <c r="N24" s="531"/>
    </row>
    <row r="25" spans="1:19" ht="13.5" thickBot="1">
      <c r="A25" s="818"/>
      <c r="B25" s="217" t="s">
        <v>518</v>
      </c>
      <c r="C25" s="226">
        <v>14297</v>
      </c>
      <c r="D25" s="219"/>
      <c r="E25" s="225"/>
      <c r="F25" s="231">
        <v>5</v>
      </c>
      <c r="G25" s="560" t="s">
        <v>11</v>
      </c>
      <c r="H25" s="559" t="s">
        <v>396</v>
      </c>
      <c r="I25" s="814"/>
      <c r="J25" s="216">
        <f>+'4'!J25</f>
        <v>0</v>
      </c>
      <c r="K25" s="238"/>
      <c r="L25" s="238"/>
      <c r="M25" s="121">
        <f>+K25+'4'!M25+L25</f>
        <v>0</v>
      </c>
    </row>
    <row r="26" spans="1:19" ht="13.5" thickBot="1">
      <c r="A26" s="818"/>
      <c r="B26" s="217" t="s">
        <v>521</v>
      </c>
      <c r="C26" s="226"/>
      <c r="D26" s="219"/>
      <c r="E26" s="227"/>
      <c r="F26" s="231">
        <v>10</v>
      </c>
      <c r="G26" s="560" t="s">
        <v>11</v>
      </c>
      <c r="H26" s="561" t="s">
        <v>455</v>
      </c>
      <c r="I26" s="814"/>
      <c r="J26" s="216">
        <f>+'4'!J26</f>
        <v>0</v>
      </c>
      <c r="K26" s="238"/>
      <c r="L26" s="238"/>
      <c r="M26" s="121">
        <f>+K26+'4'!M26+L26</f>
        <v>0</v>
      </c>
      <c r="Q26" s="178"/>
    </row>
    <row r="27" spans="1:19" ht="13.5" thickBot="1">
      <c r="A27" s="818"/>
      <c r="B27" s="217"/>
      <c r="C27" s="218"/>
      <c r="D27" s="219"/>
      <c r="E27" s="225"/>
      <c r="F27" s="231"/>
      <c r="G27" s="558"/>
      <c r="H27" s="561" t="s">
        <v>505</v>
      </c>
      <c r="I27" s="814"/>
      <c r="J27" s="216">
        <f>+'4'!J27</f>
        <v>0</v>
      </c>
      <c r="K27" s="238"/>
      <c r="L27" s="238"/>
      <c r="M27" s="121">
        <f>+K27+'4'!M27+L27</f>
        <v>0</v>
      </c>
      <c r="R27" s="178"/>
      <c r="S27" s="178"/>
    </row>
    <row r="28" spans="1:19" ht="39" thickBot="1">
      <c r="A28" s="818"/>
      <c r="B28" s="217"/>
      <c r="C28" s="218"/>
      <c r="D28" s="219"/>
      <c r="E28" s="225"/>
      <c r="F28" s="228"/>
      <c r="G28" s="232"/>
      <c r="H28" s="230" t="s">
        <v>520</v>
      </c>
      <c r="I28" s="814"/>
      <c r="J28" s="216">
        <f>+'4'!J28</f>
        <v>0</v>
      </c>
      <c r="K28" s="238"/>
      <c r="L28" s="238"/>
      <c r="M28" s="121">
        <f>+K28+'4'!M28+L28</f>
        <v>0</v>
      </c>
    </row>
    <row r="29" spans="1:19" ht="13.5" thickBot="1">
      <c r="A29" s="818"/>
      <c r="B29" s="217"/>
      <c r="C29" s="218"/>
      <c r="D29" s="219"/>
      <c r="E29" s="225"/>
      <c r="F29" s="235"/>
      <c r="G29" s="232"/>
      <c r="H29" s="233"/>
      <c r="I29" s="814"/>
      <c r="J29" s="216">
        <f>+'4'!J29</f>
        <v>0</v>
      </c>
      <c r="K29" s="238"/>
      <c r="L29" s="238"/>
      <c r="M29" s="121">
        <f>+K29+'4'!M29+L29</f>
        <v>0</v>
      </c>
    </row>
    <row r="30" spans="1:19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+'4'!J30</f>
        <v>0</v>
      </c>
      <c r="K30" s="238"/>
      <c r="L30" s="238"/>
      <c r="M30" s="121">
        <f>+K30+'4'!M30+L30</f>
        <v>0</v>
      </c>
      <c r="N30" s="159"/>
    </row>
    <row r="31" spans="1:19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+'4'!J31</f>
        <v>0</v>
      </c>
      <c r="K31" s="238"/>
      <c r="L31" s="238"/>
      <c r="M31" s="121">
        <f>+K31+'4'!M31+L31</f>
        <v>0</v>
      </c>
    </row>
    <row r="32" spans="1:19" ht="13.5" thickBot="1">
      <c r="A32" s="819"/>
      <c r="B32" s="169" t="s">
        <v>2</v>
      </c>
      <c r="C32" s="103">
        <f>SUM(C25:C31)</f>
        <v>14297</v>
      </c>
      <c r="D32" s="104">
        <f>SUM(D25:D31)</f>
        <v>0</v>
      </c>
      <c r="E32" s="105">
        <f>SUM(E25:E31)</f>
        <v>0</v>
      </c>
      <c r="F32" s="103">
        <f>SUM(F24:F31)</f>
        <v>20</v>
      </c>
      <c r="G32" s="173"/>
      <c r="H32" s="174"/>
      <c r="I32" s="172"/>
      <c r="J32" s="216">
        <f>+'4'!J32</f>
        <v>0</v>
      </c>
      <c r="K32" s="240"/>
      <c r="L32" s="242"/>
      <c r="M32" s="121"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42722</v>
      </c>
      <c r="D34" s="111">
        <f>D14+D23+D32</f>
        <v>587</v>
      </c>
      <c r="E34" s="111">
        <f>E14+E23+E32</f>
        <v>0</v>
      </c>
      <c r="F34" s="112">
        <f>F14+F23+F32</f>
        <v>60</v>
      </c>
      <c r="H34" s="180"/>
      <c r="I34" s="180"/>
      <c r="J34" s="127" t="s">
        <v>27</v>
      </c>
      <c r="K34" s="128">
        <f>SUM(K7:K32)</f>
        <v>42722</v>
      </c>
      <c r="L34" s="214">
        <f>SUM(L7:L32)</f>
        <v>0</v>
      </c>
      <c r="M34" s="124">
        <f>SUM(M7:M32)</f>
        <v>201154</v>
      </c>
      <c r="N34" s="159"/>
    </row>
    <row r="35" spans="1:14" ht="13.5" thickBot="1">
      <c r="A35" s="181"/>
      <c r="B35" s="182"/>
      <c r="C35" s="108">
        <f>C34/($C$34+$D$34+$E$34)</f>
        <v>0.98644623519360874</v>
      </c>
      <c r="D35" s="108">
        <f>D34/($C$34+$D$34+$E$34)</f>
        <v>1.3553764806391281E-2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(12*1430+12.5*10)/1440*G42*2.85*1440/1000000</f>
        <v>51.291854699999995</v>
      </c>
      <c r="J37" s="129">
        <f>+I37+'4'!J37</f>
        <v>242.5933280005529</v>
      </c>
      <c r="K37" s="130" t="s">
        <v>74</v>
      </c>
      <c r="N37" s="153">
        <v>45.582000000000001</v>
      </c>
    </row>
    <row r="38" spans="1:14" ht="17.45" customHeight="1">
      <c r="A38" s="824" t="s">
        <v>11</v>
      </c>
      <c r="B38" s="825"/>
      <c r="C38" s="168">
        <f>SUMIF($G$7:$G$31,"Process",$F$7:$F$31)</f>
        <v>60</v>
      </c>
      <c r="D38" s="122">
        <f>+C38+'4'!D38</f>
        <v>282</v>
      </c>
      <c r="E38" s="147">
        <f t="shared" ref="E38:E51" si="0">D38/60</f>
        <v>4.7</v>
      </c>
      <c r="F38" s="334">
        <v>1370</v>
      </c>
      <c r="G38" s="334">
        <f>+F38-F38*0.24</f>
        <v>1041.2</v>
      </c>
      <c r="H38" s="189" t="s">
        <v>75</v>
      </c>
      <c r="I38" s="513">
        <f>14.515+16.24+14.827</f>
        <v>45.582000000000001</v>
      </c>
      <c r="J38" s="131">
        <f>+I38+'4'!J38</f>
        <v>222.47</v>
      </c>
      <c r="K38" s="132" t="s">
        <v>74</v>
      </c>
      <c r="N38" s="153">
        <v>0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+C39+'4'!D39</f>
        <v>0</v>
      </c>
      <c r="E39" s="147">
        <f t="shared" si="0"/>
        <v>0</v>
      </c>
      <c r="F39" s="334">
        <v>1370</v>
      </c>
      <c r="G39" s="334">
        <f>+F39-F39*0.24</f>
        <v>1041.2</v>
      </c>
      <c r="H39" s="189" t="s">
        <v>76</v>
      </c>
      <c r="I39" s="146"/>
      <c r="J39" s="133">
        <f>J37/G4</f>
        <v>48.51866560011058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>+C40+'4'!D40</f>
        <v>36</v>
      </c>
      <c r="E40" s="147">
        <f t="shared" si="0"/>
        <v>0.6</v>
      </c>
      <c r="F40" s="334">
        <v>1370</v>
      </c>
      <c r="G40" s="334">
        <f>+F40-F40*0.24</f>
        <v>1041.2</v>
      </c>
      <c r="H40" s="189" t="s">
        <v>78</v>
      </c>
      <c r="I40" s="122">
        <f>(K34+L34)/1000</f>
        <v>42.722000000000001</v>
      </c>
      <c r="J40" s="135">
        <f>+I40+'4'!J40</f>
        <v>201.15400000000002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>+C41+'4'!D41</f>
        <v>0</v>
      </c>
      <c r="E41" s="147">
        <f t="shared" si="0"/>
        <v>0</v>
      </c>
      <c r="F41" s="334"/>
      <c r="G41" s="334"/>
      <c r="H41" s="189" t="s">
        <v>80</v>
      </c>
      <c r="I41" s="146"/>
      <c r="J41" s="133">
        <f>J40/G4</f>
        <v>40.230800000000002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>+C42+'4'!D42</f>
        <v>0</v>
      </c>
      <c r="E42" s="147">
        <f t="shared" si="0"/>
        <v>0</v>
      </c>
      <c r="F42" s="334">
        <f>+(F38*480+F39*480+F40*480)/1440</f>
        <v>1370</v>
      </c>
      <c r="G42" s="334">
        <f>+(G38*480+G39*480+G40*480)/1440</f>
        <v>1041.2</v>
      </c>
      <c r="H42" s="189" t="s">
        <v>81</v>
      </c>
      <c r="I42" s="245" t="s">
        <v>519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>+C43+'4'!D43</f>
        <v>0</v>
      </c>
      <c r="E43" s="147">
        <f t="shared" si="0"/>
        <v>0</v>
      </c>
      <c r="F43" s="334"/>
      <c r="G43" s="335"/>
      <c r="H43" s="190" t="s">
        <v>84</v>
      </c>
      <c r="I43" s="122">
        <f>+Report1!Z13</f>
        <v>123.3</v>
      </c>
      <c r="J43" s="137">
        <f>+I43+'4'!J43</f>
        <v>571.9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+C44+'4'!D44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2.7050151375542977</v>
      </c>
      <c r="J44" s="138">
        <f>J43/J38</f>
        <v>2.5706836876882275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+C45+'4'!D45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2.88610083797575</v>
      </c>
      <c r="J45" s="138">
        <f>J43/J40</f>
        <v>2.843095339888841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+C46+'4'!D46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+SUMIF(Listrik!AN12,"&gt;0")</f>
        <v>48740.960000000356</v>
      </c>
      <c r="J46" s="139">
        <f>+I46+'4'!J46</f>
        <v>225461.24000000017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+C47+'4'!D47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1069.3027949629318</v>
      </c>
      <c r="J47" s="139">
        <f>J46/J38</f>
        <v>1013.4455881691921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+C48+'4'!D48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1140.8866626094366</v>
      </c>
      <c r="J48" s="139">
        <f>J46/J40</f>
        <v>1120.8389592053857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+C49+'4'!D49</f>
        <v>545</v>
      </c>
      <c r="E49" s="147">
        <f t="shared" si="0"/>
        <v>9.0833333333333339</v>
      </c>
      <c r="F49" s="187"/>
      <c r="H49" s="190" t="s">
        <v>193</v>
      </c>
      <c r="I49" s="122">
        <v>0</v>
      </c>
      <c r="J49" s="139">
        <f>+I49+'4'!J49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+C50+'4'!D50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+C51+'4'!D51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60</v>
      </c>
      <c r="D52" s="148">
        <f>SUM(D38:D51)</f>
        <v>863</v>
      </c>
      <c r="E52" s="149">
        <f>SUM(E38:E51)</f>
        <v>14.383333333333333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4.1666666666666664E-2</v>
      </c>
      <c r="D53" s="150">
        <f>D52/(24*60*G4)</f>
        <v>0.11986111111111111</v>
      </c>
      <c r="E53" s="151">
        <f>E52/(G4*24)</f>
        <v>0.11986111111111111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+D34+'4'!J56</f>
        <v>5607</v>
      </c>
      <c r="K56" s="203">
        <f>J56/(J40+J56/1000)/1000</f>
        <v>2.7118266984586064E-2</v>
      </c>
    </row>
    <row r="57" spans="1:11">
      <c r="A57" s="178"/>
      <c r="I57" s="201" t="s">
        <v>100</v>
      </c>
      <c r="J57" s="202"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4027777777777778" header="0" footer="0"/>
  <pageSetup paperSize="9" scale="61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75" zoomScaleSheetLayoutView="80" workbookViewId="0">
      <selection activeCell="A7" sqref="A7:A14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4.7109375" style="153" customWidth="1"/>
    <col min="14" max="16384" width="9.140625" style="153"/>
  </cols>
  <sheetData>
    <row r="1" spans="1:27" ht="15.75">
      <c r="A1" s="152"/>
      <c r="V1" s="539"/>
    </row>
    <row r="2" spans="1:27" ht="15.75">
      <c r="A2" s="152" t="s">
        <v>236</v>
      </c>
    </row>
    <row r="3" spans="1:27" ht="15">
      <c r="A3" s="154"/>
      <c r="V3" s="537"/>
      <c r="W3" s="538"/>
      <c r="X3" s="538"/>
      <c r="Y3" s="538"/>
    </row>
    <row r="4" spans="1:27" ht="20.25">
      <c r="A4" s="155" t="s">
        <v>3</v>
      </c>
      <c r="B4" s="156"/>
      <c r="F4" s="157" t="s">
        <v>28</v>
      </c>
      <c r="G4" s="158">
        <v>4</v>
      </c>
      <c r="H4" s="158" t="s">
        <v>394</v>
      </c>
      <c r="V4" s="537"/>
      <c r="W4" s="538"/>
      <c r="X4" s="538"/>
      <c r="Y4" s="538"/>
    </row>
    <row r="5" spans="1:27" ht="13.5" thickBot="1">
      <c r="C5" s="159"/>
      <c r="D5" s="159"/>
      <c r="V5" s="538"/>
      <c r="W5" s="538"/>
      <c r="X5" s="538"/>
      <c r="Y5" s="564"/>
      <c r="Z5" s="538"/>
      <c r="AA5" s="538"/>
    </row>
    <row r="6" spans="1:27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407+327+319</f>
        <v>1053</v>
      </c>
      <c r="V6" s="538"/>
      <c r="W6" s="538"/>
      <c r="X6" s="538"/>
      <c r="Y6" s="538"/>
      <c r="Z6" s="564"/>
      <c r="AA6" s="178"/>
    </row>
    <row r="7" spans="1:27" ht="13.5" customHeight="1" thickBot="1">
      <c r="A7" s="810" t="s">
        <v>239</v>
      </c>
      <c r="B7" s="217" t="s">
        <v>431</v>
      </c>
      <c r="C7" s="218">
        <v>12008</v>
      </c>
      <c r="D7" s="219"/>
      <c r="E7" s="220"/>
      <c r="F7" s="231"/>
      <c r="G7" s="558" t="s">
        <v>11</v>
      </c>
      <c r="H7" s="559" t="s">
        <v>404</v>
      </c>
      <c r="I7" s="813" t="s">
        <v>507</v>
      </c>
      <c r="J7" s="216" t="str">
        <f>+'3'!J7</f>
        <v>T 12,5 VP OW</v>
      </c>
      <c r="K7" s="237">
        <f>+C7</f>
        <v>12008</v>
      </c>
      <c r="L7" s="241"/>
      <c r="M7" s="121">
        <f>+K7+'3'!M7+L7</f>
        <v>43580</v>
      </c>
      <c r="V7" s="538"/>
      <c r="W7" s="538"/>
      <c r="X7" s="538"/>
      <c r="Y7" s="538"/>
      <c r="Z7" s="538"/>
    </row>
    <row r="8" spans="1:27" ht="13.5" thickBot="1">
      <c r="A8" s="818"/>
      <c r="B8" s="217" t="s">
        <v>516</v>
      </c>
      <c r="C8" s="218">
        <v>4123</v>
      </c>
      <c r="D8" s="219"/>
      <c r="E8" s="221"/>
      <c r="F8" s="231">
        <v>5</v>
      </c>
      <c r="G8" s="560" t="s">
        <v>11</v>
      </c>
      <c r="H8" s="559" t="s">
        <v>405</v>
      </c>
      <c r="I8" s="814"/>
      <c r="J8" s="216" t="str">
        <f>+'3'!J8</f>
        <v>T 15 VP OW</v>
      </c>
      <c r="K8" s="238"/>
      <c r="L8" s="238"/>
      <c r="M8" s="121">
        <f>+K8+'3'!M8+L8</f>
        <v>51623</v>
      </c>
      <c r="N8" s="531">
        <v>1370</v>
      </c>
      <c r="O8" s="178">
        <f>+N8-N8*0.2</f>
        <v>1096</v>
      </c>
      <c r="P8" s="178">
        <f>180+31</f>
        <v>211</v>
      </c>
      <c r="Q8" s="178">
        <f>+N8*P8</f>
        <v>289070</v>
      </c>
      <c r="R8" s="153">
        <f>+O8*P8</f>
        <v>231256</v>
      </c>
    </row>
    <row r="9" spans="1:27" ht="13.5" thickBot="1">
      <c r="A9" s="818"/>
      <c r="B9" s="217"/>
      <c r="C9" s="218"/>
      <c r="D9" s="219"/>
      <c r="E9" s="222"/>
      <c r="F9" s="231">
        <v>7</v>
      </c>
      <c r="G9" s="560" t="s">
        <v>11</v>
      </c>
      <c r="H9" s="561" t="s">
        <v>514</v>
      </c>
      <c r="I9" s="814"/>
      <c r="J9" s="216" t="str">
        <f>+'3'!J9</f>
        <v>T 14,5 VP OW</v>
      </c>
      <c r="K9" s="238"/>
      <c r="L9" s="238"/>
      <c r="M9" s="121">
        <f>+K9+'3'!M9+L9</f>
        <v>28386</v>
      </c>
      <c r="N9" s="539">
        <v>1370</v>
      </c>
      <c r="O9" s="178">
        <f>+N9-N9*0.22</f>
        <v>1068.5999999999999</v>
      </c>
      <c r="P9" s="153">
        <f>60-31+180+60</f>
        <v>269</v>
      </c>
      <c r="Q9" s="178">
        <f>+N9*P9</f>
        <v>368530</v>
      </c>
      <c r="R9" s="153">
        <f>+O9*P9</f>
        <v>287453.39999999997</v>
      </c>
    </row>
    <row r="10" spans="1:27" ht="13.5" thickBot="1">
      <c r="A10" s="818"/>
      <c r="B10" s="217"/>
      <c r="C10" s="218"/>
      <c r="D10" s="219"/>
      <c r="E10" s="221"/>
      <c r="F10" s="231"/>
      <c r="G10" s="558"/>
      <c r="H10" s="561" t="s">
        <v>506</v>
      </c>
      <c r="I10" s="814"/>
      <c r="J10" s="216" t="s">
        <v>516</v>
      </c>
      <c r="K10" s="238">
        <f>+C8+C16</f>
        <v>11079</v>
      </c>
      <c r="L10" s="238"/>
      <c r="M10" s="121">
        <f>+K10+'3'!M10+L10</f>
        <v>11079</v>
      </c>
      <c r="P10" s="153">
        <f>SUM(P8:P9)</f>
        <v>480</v>
      </c>
      <c r="Q10" s="153">
        <f>SUM(Q8:Q9)</f>
        <v>657600</v>
      </c>
      <c r="R10" s="153">
        <f>SUM(R8:R9)</f>
        <v>518709.39999999997</v>
      </c>
    </row>
    <row r="11" spans="1:27" ht="13.5" thickBot="1">
      <c r="A11" s="818"/>
      <c r="B11" s="217"/>
      <c r="C11" s="218"/>
      <c r="D11" s="219"/>
      <c r="E11" s="221"/>
      <c r="F11" s="481"/>
      <c r="G11" s="482"/>
      <c r="H11" s="230" t="s">
        <v>475</v>
      </c>
      <c r="I11" s="814"/>
      <c r="J11" s="216" t="s">
        <v>517</v>
      </c>
      <c r="K11" s="238">
        <f>+C17+C25</f>
        <v>15672</v>
      </c>
      <c r="L11" s="238"/>
      <c r="M11" s="121">
        <f>+K11+'3'!M11+L11</f>
        <v>15672</v>
      </c>
      <c r="Q11" s="178">
        <f>+Q10/P10</f>
        <v>1370</v>
      </c>
      <c r="R11" s="153">
        <f>+R10/P10</f>
        <v>1080.6445833333332</v>
      </c>
    </row>
    <row r="12" spans="1:27" ht="13.5" thickBot="1">
      <c r="A12" s="818"/>
      <c r="B12" s="217"/>
      <c r="C12" s="218"/>
      <c r="D12" s="219"/>
      <c r="E12" s="221"/>
      <c r="F12" s="228"/>
      <c r="G12" s="232"/>
      <c r="H12" s="233" t="s">
        <v>499</v>
      </c>
      <c r="I12" s="814"/>
      <c r="J12" s="216" t="s">
        <v>518</v>
      </c>
      <c r="K12" s="238">
        <f>+C26</f>
        <v>8092</v>
      </c>
      <c r="L12" s="238"/>
      <c r="M12" s="121">
        <f>+K12+'3'!M12+L12</f>
        <v>8092</v>
      </c>
      <c r="R12" s="178"/>
      <c r="S12" s="178"/>
    </row>
    <row r="13" spans="1:27" ht="13.5" thickBot="1">
      <c r="A13" s="818"/>
      <c r="B13" s="217"/>
      <c r="C13" s="218"/>
      <c r="D13" s="218"/>
      <c r="E13" s="221"/>
      <c r="F13" s="228"/>
      <c r="G13" s="232"/>
      <c r="H13" s="233"/>
      <c r="I13" s="815"/>
      <c r="J13" s="216">
        <f>+'3'!J13</f>
        <v>0</v>
      </c>
      <c r="K13" s="238"/>
      <c r="L13" s="238"/>
      <c r="M13" s="121">
        <f>+K13+'3'!M13+L13</f>
        <v>0</v>
      </c>
    </row>
    <row r="14" spans="1:27" ht="13.5" thickBot="1">
      <c r="A14" s="819"/>
      <c r="B14" s="169" t="s">
        <v>2</v>
      </c>
      <c r="C14" s="103">
        <f>SUM(C7:C13)</f>
        <v>16131</v>
      </c>
      <c r="D14" s="115">
        <f>SUM(D7:D13)</f>
        <v>0</v>
      </c>
      <c r="E14" s="116">
        <f>SUM(E9:E13)</f>
        <v>0</v>
      </c>
      <c r="F14" s="106">
        <f>SUM(F6:F13)</f>
        <v>12</v>
      </c>
      <c r="G14" s="163"/>
      <c r="H14" s="170"/>
      <c r="I14" s="171"/>
      <c r="J14" s="216">
        <f>+'3'!J14</f>
        <v>0</v>
      </c>
      <c r="K14" s="238"/>
      <c r="L14" s="238"/>
      <c r="M14" s="121">
        <f>+K14+'3'!M14+L14</f>
        <v>0</v>
      </c>
    </row>
    <row r="15" spans="1:27" ht="13.5" customHeight="1" thickBot="1">
      <c r="A15" s="831" t="s">
        <v>239</v>
      </c>
      <c r="B15" s="510"/>
      <c r="C15" s="563">
        <f>C14/($C$32+$D$32+$E$32)</f>
        <v>1.1740174672489083</v>
      </c>
      <c r="D15" s="108">
        <f>D14/($C$32+$D$32+$E$32)</f>
        <v>0</v>
      </c>
      <c r="E15" s="109">
        <f>E14/($C$32+$D$32+$E$32)</f>
        <v>0</v>
      </c>
      <c r="F15" s="231"/>
      <c r="G15" s="558" t="s">
        <v>11</v>
      </c>
      <c r="H15" s="559" t="s">
        <v>404</v>
      </c>
      <c r="I15" s="813" t="s">
        <v>508</v>
      </c>
      <c r="J15" s="216">
        <f>+'3'!J15</f>
        <v>0</v>
      </c>
      <c r="K15" s="238"/>
      <c r="L15" s="238"/>
      <c r="M15" s="121">
        <f>+K15+'3'!M15+L15</f>
        <v>0</v>
      </c>
    </row>
    <row r="16" spans="1:27" ht="13.5" thickBot="1">
      <c r="A16" s="818"/>
      <c r="B16" s="217" t="s">
        <v>516</v>
      </c>
      <c r="C16" s="511">
        <v>6956</v>
      </c>
      <c r="D16" s="223"/>
      <c r="E16" s="224"/>
      <c r="F16" s="231">
        <v>4</v>
      </c>
      <c r="G16" s="560" t="s">
        <v>11</v>
      </c>
      <c r="H16" s="559" t="s">
        <v>405</v>
      </c>
      <c r="I16" s="814"/>
      <c r="J16" s="216">
        <f>+'3'!J16</f>
        <v>0</v>
      </c>
      <c r="K16" s="229"/>
      <c r="L16" s="229"/>
      <c r="M16" s="121">
        <f>+K16+'3'!M16+L16</f>
        <v>0</v>
      </c>
    </row>
    <row r="17" spans="1:17" ht="13.5" thickBot="1">
      <c r="A17" s="818"/>
      <c r="B17" s="217" t="s">
        <v>517</v>
      </c>
      <c r="C17" s="218">
        <v>10024</v>
      </c>
      <c r="D17" s="219"/>
      <c r="E17" s="225"/>
      <c r="F17" s="231">
        <v>10</v>
      </c>
      <c r="G17" s="560" t="s">
        <v>11</v>
      </c>
      <c r="H17" s="561" t="s">
        <v>413</v>
      </c>
      <c r="I17" s="814"/>
      <c r="J17" s="216">
        <f>+'3'!J17</f>
        <v>0</v>
      </c>
      <c r="K17" s="229"/>
      <c r="L17" s="229"/>
      <c r="M17" s="121">
        <f>+K17+'3'!M17+L17</f>
        <v>0</v>
      </c>
      <c r="N17" s="539"/>
      <c r="O17" s="540"/>
      <c r="P17" s="540"/>
      <c r="Q17" s="540"/>
    </row>
    <row r="18" spans="1:17" ht="13.5" thickBot="1">
      <c r="A18" s="818"/>
      <c r="B18" s="217"/>
      <c r="C18" s="218"/>
      <c r="D18" s="219"/>
      <c r="E18" s="225"/>
      <c r="F18" s="231"/>
      <c r="G18" s="558"/>
      <c r="H18" s="561" t="s">
        <v>500</v>
      </c>
      <c r="I18" s="814"/>
      <c r="J18" s="216">
        <f>+'3'!J18</f>
        <v>0</v>
      </c>
      <c r="K18" s="238"/>
      <c r="L18" s="238"/>
      <c r="M18" s="121">
        <f>+K18+'3'!M18+L18</f>
        <v>0</v>
      </c>
      <c r="N18" s="153" t="s">
        <v>434</v>
      </c>
      <c r="O18" s="531">
        <v>1370</v>
      </c>
      <c r="P18" s="178">
        <f>+O18-O18*0.2</f>
        <v>1096</v>
      </c>
      <c r="Q18" s="178">
        <f>180+31</f>
        <v>211</v>
      </c>
    </row>
    <row r="19" spans="1:17" ht="13.5" thickBot="1">
      <c r="A19" s="818"/>
      <c r="B19" s="217"/>
      <c r="C19" s="218"/>
      <c r="D19" s="219"/>
      <c r="E19" s="225"/>
      <c r="F19" s="228"/>
      <c r="G19" s="232"/>
      <c r="H19" s="230" t="s">
        <v>501</v>
      </c>
      <c r="I19" s="814"/>
      <c r="J19" s="216">
        <f>+'3'!J19</f>
        <v>0</v>
      </c>
      <c r="K19" s="238"/>
      <c r="L19" s="238"/>
      <c r="M19" s="121">
        <f>+K19+'3'!M19+L19</f>
        <v>0</v>
      </c>
      <c r="N19" s="153" t="s">
        <v>512</v>
      </c>
      <c r="O19" s="539">
        <v>1370</v>
      </c>
      <c r="P19" s="178">
        <f>+O19-O19*0.22</f>
        <v>1068.5999999999999</v>
      </c>
      <c r="Q19" s="153">
        <f>60-31+180+60+50</f>
        <v>319</v>
      </c>
    </row>
    <row r="20" spans="1:17" ht="13.5" thickBot="1">
      <c r="A20" s="818"/>
      <c r="B20" s="217"/>
      <c r="C20" s="218"/>
      <c r="D20" s="219"/>
      <c r="E20" s="225"/>
      <c r="F20" s="228"/>
      <c r="G20" s="232"/>
      <c r="H20" s="233"/>
      <c r="I20" s="814"/>
      <c r="J20" s="216">
        <f>+'3'!J20</f>
        <v>0</v>
      </c>
      <c r="K20" s="239"/>
      <c r="L20" s="239"/>
      <c r="M20" s="121">
        <f>+K20+'3'!M20+L20</f>
        <v>0</v>
      </c>
      <c r="N20" s="153" t="s">
        <v>509</v>
      </c>
      <c r="O20" s="539">
        <v>1370</v>
      </c>
      <c r="P20" s="178">
        <f>+O20-O20*0.22</f>
        <v>1068.5999999999999</v>
      </c>
      <c r="Q20" s="153">
        <f>480-50+15</f>
        <v>445</v>
      </c>
    </row>
    <row r="21" spans="1:17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+'3'!J21</f>
        <v>0</v>
      </c>
      <c r="K21" s="238"/>
      <c r="L21" s="238"/>
      <c r="M21" s="121">
        <f>+K21+'3'!M21+L21</f>
        <v>0</v>
      </c>
      <c r="N21" s="153" t="s">
        <v>510</v>
      </c>
      <c r="O21" s="539">
        <v>1370</v>
      </c>
      <c r="P21" s="178">
        <f>+O21-O21*0.22</f>
        <v>1068.5999999999999</v>
      </c>
      <c r="Q21" s="153">
        <f>480-15</f>
        <v>465</v>
      </c>
    </row>
    <row r="22" spans="1:17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+'3'!J22</f>
        <v>0</v>
      </c>
      <c r="K22" s="238"/>
      <c r="L22" s="238"/>
      <c r="M22" s="121">
        <f>+K22+'3'!M22+L22</f>
        <v>0</v>
      </c>
      <c r="Q22" s="153">
        <f>SUM(Q18:Q21)</f>
        <v>1440</v>
      </c>
    </row>
    <row r="23" spans="1:17" ht="13.5" thickBot="1">
      <c r="A23" s="819"/>
      <c r="B23" s="169" t="s">
        <v>2</v>
      </c>
      <c r="C23" s="103">
        <f>SUM(C16:C22)</f>
        <v>16980</v>
      </c>
      <c r="D23" s="115">
        <f>SUM(D16:D22)</f>
        <v>0</v>
      </c>
      <c r="E23" s="116">
        <f>SUM(E18:E22)</f>
        <v>0</v>
      </c>
      <c r="F23" s="106">
        <f>SUM(F15:F22)</f>
        <v>14</v>
      </c>
      <c r="G23" s="163"/>
      <c r="H23" s="170"/>
      <c r="I23" s="172"/>
      <c r="J23" s="216">
        <f>+'3'!J23</f>
        <v>0</v>
      </c>
      <c r="K23" s="238"/>
      <c r="L23" s="238"/>
      <c r="M23" s="121">
        <f>+K23+'3'!M23+L23</f>
        <v>0</v>
      </c>
    </row>
    <row r="24" spans="1:17" ht="13.5" customHeight="1" thickBot="1">
      <c r="A24" s="831" t="s">
        <v>391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20</v>
      </c>
      <c r="G24" s="558" t="s">
        <v>11</v>
      </c>
      <c r="H24" s="559" t="s">
        <v>515</v>
      </c>
      <c r="I24" s="813" t="s">
        <v>508</v>
      </c>
      <c r="J24" s="216">
        <f>+'3'!J24</f>
        <v>0</v>
      </c>
      <c r="K24" s="238"/>
      <c r="L24" s="238"/>
      <c r="M24" s="121">
        <f>+K24+'3'!M24+L24</f>
        <v>0</v>
      </c>
    </row>
    <row r="25" spans="1:17" ht="13.5" thickBot="1">
      <c r="A25" s="818"/>
      <c r="B25" s="217" t="s">
        <v>517</v>
      </c>
      <c r="C25" s="226">
        <v>5648</v>
      </c>
      <c r="D25" s="219"/>
      <c r="E25" s="225"/>
      <c r="F25" s="231">
        <v>5</v>
      </c>
      <c r="G25" s="560" t="s">
        <v>11</v>
      </c>
      <c r="H25" s="559" t="s">
        <v>513</v>
      </c>
      <c r="I25" s="814"/>
      <c r="J25" s="216">
        <f>+'3'!J25</f>
        <v>0</v>
      </c>
      <c r="K25" s="238"/>
      <c r="L25" s="238"/>
      <c r="M25" s="121">
        <f>+K25+'3'!M25+L25</f>
        <v>0</v>
      </c>
    </row>
    <row r="26" spans="1:17" ht="13.5" thickBot="1">
      <c r="A26" s="818"/>
      <c r="B26" s="217" t="s">
        <v>518</v>
      </c>
      <c r="C26" s="226">
        <f>3618+4474</f>
        <v>8092</v>
      </c>
      <c r="D26" s="219"/>
      <c r="E26" s="227"/>
      <c r="F26" s="231">
        <v>10</v>
      </c>
      <c r="G26" s="560" t="s">
        <v>11</v>
      </c>
      <c r="H26" s="561" t="s">
        <v>428</v>
      </c>
      <c r="I26" s="814"/>
      <c r="J26" s="216">
        <f>+'3'!J26</f>
        <v>0</v>
      </c>
      <c r="K26" s="238"/>
      <c r="L26" s="238"/>
      <c r="M26" s="121">
        <f>+K26+'3'!M26+L26</f>
        <v>0</v>
      </c>
      <c r="N26" s="539"/>
      <c r="O26" s="540"/>
      <c r="P26" s="540"/>
      <c r="Q26" s="540"/>
    </row>
    <row r="27" spans="1:17" ht="13.5" thickBot="1">
      <c r="A27" s="818"/>
      <c r="B27" s="217"/>
      <c r="C27" s="218"/>
      <c r="D27" s="219"/>
      <c r="E27" s="225"/>
      <c r="F27" s="231"/>
      <c r="G27" s="558"/>
      <c r="H27" s="561" t="s">
        <v>502</v>
      </c>
      <c r="I27" s="814"/>
      <c r="J27" s="216">
        <f>+'3'!J27</f>
        <v>0</v>
      </c>
      <c r="K27" s="238"/>
      <c r="L27" s="238"/>
      <c r="M27" s="121">
        <f>+K27+'3'!M27+L27</f>
        <v>0</v>
      </c>
    </row>
    <row r="28" spans="1:17" ht="13.5" thickBot="1">
      <c r="A28" s="818"/>
      <c r="B28" s="217"/>
      <c r="C28" s="218"/>
      <c r="D28" s="219"/>
      <c r="E28" s="225"/>
      <c r="F28" s="228"/>
      <c r="G28" s="232"/>
      <c r="H28" s="230" t="s">
        <v>503</v>
      </c>
      <c r="I28" s="814"/>
      <c r="J28" s="216">
        <f>+'3'!J28</f>
        <v>0</v>
      </c>
      <c r="K28" s="238"/>
      <c r="L28" s="238"/>
      <c r="M28" s="121">
        <f>+K28+'3'!M28+L28</f>
        <v>0</v>
      </c>
    </row>
    <row r="29" spans="1:17" ht="13.5" thickBot="1">
      <c r="A29" s="818"/>
      <c r="B29" s="217"/>
      <c r="C29" s="218"/>
      <c r="D29" s="219"/>
      <c r="E29" s="225"/>
      <c r="F29" s="235"/>
      <c r="G29" s="232"/>
      <c r="H29" s="233" t="s">
        <v>504</v>
      </c>
      <c r="I29" s="814"/>
      <c r="J29" s="216">
        <f>+'3'!J29</f>
        <v>0</v>
      </c>
      <c r="K29" s="238"/>
      <c r="L29" s="238"/>
      <c r="M29" s="121">
        <f>+K29+'3'!M29+L29</f>
        <v>0</v>
      </c>
    </row>
    <row r="30" spans="1:17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+'3'!J30</f>
        <v>0</v>
      </c>
      <c r="K30" s="238"/>
      <c r="L30" s="238"/>
      <c r="M30" s="121">
        <f>+K30+'3'!M30+L30</f>
        <v>0</v>
      </c>
      <c r="N30" s="159"/>
    </row>
    <row r="31" spans="1:17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+'3'!J31</f>
        <v>0</v>
      </c>
      <c r="K31" s="238"/>
      <c r="L31" s="238"/>
      <c r="M31" s="121">
        <f>+K31+'3'!M31+L31</f>
        <v>0</v>
      </c>
    </row>
    <row r="32" spans="1:17" ht="13.5" thickBot="1">
      <c r="A32" s="819"/>
      <c r="B32" s="169" t="s">
        <v>2</v>
      </c>
      <c r="C32" s="103">
        <f>SUM(C25:C31)</f>
        <v>13740</v>
      </c>
      <c r="D32" s="104">
        <f>SUM(D25:D31)</f>
        <v>0</v>
      </c>
      <c r="E32" s="105">
        <f>SUM(E25:E31)</f>
        <v>0</v>
      </c>
      <c r="F32" s="103">
        <f>SUM(F24:F31)</f>
        <v>35</v>
      </c>
      <c r="G32" s="173"/>
      <c r="H32" s="174"/>
      <c r="I32" s="172"/>
      <c r="J32" s="216">
        <f>+'3'!J32</f>
        <v>0</v>
      </c>
      <c r="K32" s="240"/>
      <c r="L32" s="242"/>
      <c r="M32" s="121">
        <v>0</v>
      </c>
    </row>
    <row r="33" spans="1:14" ht="13.5" thickBot="1">
      <c r="A33" s="175"/>
      <c r="B33" s="176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46851</v>
      </c>
      <c r="D34" s="111">
        <f>D14+D23+D32</f>
        <v>0</v>
      </c>
      <c r="E34" s="111">
        <f>E14+E23+E32</f>
        <v>0</v>
      </c>
      <c r="F34" s="112">
        <f>F14+F23+F32</f>
        <v>61</v>
      </c>
      <c r="H34" s="180"/>
      <c r="I34" s="180"/>
      <c r="J34" s="127" t="s">
        <v>27</v>
      </c>
      <c r="K34" s="128">
        <f>SUM(K7:K32)</f>
        <v>46851</v>
      </c>
      <c r="L34" s="214">
        <f>SUM(L7:L32)</f>
        <v>0</v>
      </c>
      <c r="M34" s="124">
        <f>SUM(M7:M32)</f>
        <v>158432</v>
      </c>
      <c r="N34" s="159"/>
    </row>
    <row r="35" spans="1:14" ht="13.5" thickBot="1">
      <c r="A35" s="181"/>
      <c r="B35" s="182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/>
      <c r="I37" s="243">
        <f>(12.5*211+12*319+13.5*445+12*465)/1440*G42*2.85*1440/1000000</f>
        <v>55.187160849770819</v>
      </c>
      <c r="J37" s="129">
        <f>+I37+'3'!J37</f>
        <v>191.30147330055291</v>
      </c>
      <c r="K37" s="130" t="s">
        <v>74</v>
      </c>
      <c r="N37" s="153">
        <f>2.209+1.891+2.269+1.513+0.997</f>
        <v>8.8789999999999996</v>
      </c>
    </row>
    <row r="38" spans="1:14" ht="17.45" customHeight="1">
      <c r="A38" s="824" t="s">
        <v>11</v>
      </c>
      <c r="B38" s="825"/>
      <c r="C38" s="168">
        <f>SUMIF($G$7:$G$31,"Process",$F$7:$F$31)</f>
        <v>61</v>
      </c>
      <c r="D38" s="122">
        <f>+C38+'3'!D38</f>
        <v>222</v>
      </c>
      <c r="E38" s="147">
        <f>D38/60</f>
        <v>3.7</v>
      </c>
      <c r="F38" s="334">
        <v>1370</v>
      </c>
      <c r="G38" s="334">
        <v>1080.6445833333332</v>
      </c>
      <c r="H38" s="189" t="s">
        <v>75</v>
      </c>
      <c r="I38" s="581">
        <f>17.503+17.602+13.883</f>
        <v>48.988</v>
      </c>
      <c r="J38" s="131">
        <f>+I38+'3'!J38</f>
        <v>176.88800000000001</v>
      </c>
      <c r="K38" s="132" t="s">
        <v>74</v>
      </c>
      <c r="N38" s="153">
        <f>17.503-N37+2.079</f>
        <v>10.703000000000001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+C39+'3'!D39</f>
        <v>0</v>
      </c>
      <c r="E39" s="147">
        <f t="shared" ref="E39:E51" si="0">D39/60</f>
        <v>0</v>
      </c>
      <c r="F39" s="334">
        <v>1370</v>
      </c>
      <c r="G39" s="334">
        <f>+F39-F39*0.22</f>
        <v>1068.5999999999999</v>
      </c>
      <c r="H39" s="189" t="s">
        <v>76</v>
      </c>
      <c r="I39" s="146"/>
      <c r="J39" s="133">
        <f>J37/G4</f>
        <v>47.825368325138228</v>
      </c>
      <c r="K39" s="134" t="s">
        <v>74</v>
      </c>
      <c r="N39" s="153">
        <f>17.602-2.079+1.118</f>
        <v>16.640999999999998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>+C40+'3'!D40</f>
        <v>36</v>
      </c>
      <c r="E40" s="147">
        <f t="shared" si="0"/>
        <v>0.6</v>
      </c>
      <c r="F40" s="334">
        <v>1370</v>
      </c>
      <c r="G40" s="334">
        <f>+F40-F40*0.22</f>
        <v>1068.5999999999999</v>
      </c>
      <c r="H40" s="189" t="s">
        <v>78</v>
      </c>
      <c r="I40" s="122">
        <f>(K34+L34)/1000</f>
        <v>46.850999999999999</v>
      </c>
      <c r="J40" s="135">
        <f>+I40+'3'!J40</f>
        <v>158.43200000000002</v>
      </c>
      <c r="K40" s="134" t="s">
        <v>74</v>
      </c>
      <c r="N40" s="153">
        <f>13.883-1.118</f>
        <v>12.764999999999999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>+C41+'3'!D41</f>
        <v>0</v>
      </c>
      <c r="E41" s="147">
        <f t="shared" si="0"/>
        <v>0</v>
      </c>
      <c r="F41" s="334"/>
      <c r="G41" s="334"/>
      <c r="H41" s="189" t="s">
        <v>80</v>
      </c>
      <c r="I41" s="146"/>
      <c r="J41" s="133">
        <f>J40/G4</f>
        <v>39.608000000000004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>+C42+'3'!D42</f>
        <v>0</v>
      </c>
      <c r="E42" s="147">
        <f t="shared" si="0"/>
        <v>0</v>
      </c>
      <c r="F42" s="334">
        <f>+(F38*480+F39*480+F40*480)/1440</f>
        <v>1370</v>
      </c>
      <c r="G42" s="334">
        <f>+(G38*480+G39*480+G40*480)/1440</f>
        <v>1072.6148611111109</v>
      </c>
      <c r="H42" s="189" t="s">
        <v>81</v>
      </c>
      <c r="I42" s="245" t="s">
        <v>511</v>
      </c>
      <c r="J42" s="136"/>
      <c r="K42" s="134" t="s">
        <v>82</v>
      </c>
      <c r="M42" s="159"/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>+C43+'3'!D43</f>
        <v>0</v>
      </c>
      <c r="E43" s="147">
        <f t="shared" si="0"/>
        <v>0</v>
      </c>
      <c r="F43" s="334"/>
      <c r="G43" s="335"/>
      <c r="H43" s="190" t="s">
        <v>84</v>
      </c>
      <c r="I43" s="122">
        <f>+Report1!Z12</f>
        <v>126.6</v>
      </c>
      <c r="J43" s="137">
        <f>+I43+'3'!J43</f>
        <v>448.6</v>
      </c>
      <c r="K43" s="134" t="s">
        <v>74</v>
      </c>
      <c r="L43" s="191"/>
      <c r="M43" s="159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+C44+'3'!D44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2.5843063607414059</v>
      </c>
      <c r="J44" s="138">
        <f>J43/J38</f>
        <v>2.5360680204423138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+C45+'3'!D45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2.7021835179611959</v>
      </c>
      <c r="J45" s="138">
        <f>J43/J40</f>
        <v>2.8314986871339123</v>
      </c>
      <c r="K45" s="134" t="s">
        <v>74</v>
      </c>
    </row>
    <row r="46" spans="1:14" ht="17.45" customHeight="1">
      <c r="A46" s="808" t="s">
        <v>261</v>
      </c>
      <c r="B46" s="809"/>
      <c r="C46" s="168">
        <f>SUMIF($G$7:$G$31,"Sinergy",$F$7:$F$31)</f>
        <v>0</v>
      </c>
      <c r="D46" s="122">
        <f>+C46+'3'!D46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+SUMIF(Listrik!AN11,"&gt;0")</f>
        <v>50042.879999999801</v>
      </c>
      <c r="J46" s="139">
        <f>+I46+'3'!J46</f>
        <v>176720.27999999982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+C47+'3'!D47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1021.5334367600188</v>
      </c>
      <c r="J47" s="139">
        <f>J46/J38</f>
        <v>999.05182940617692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+C48+'3'!D48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1068.1283217007065</v>
      </c>
      <c r="J48" s="139">
        <f>J46/J40</f>
        <v>1115.4329933346787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+C49+'3'!D49</f>
        <v>545</v>
      </c>
      <c r="E49" s="147">
        <f t="shared" si="0"/>
        <v>9.0833333333333339</v>
      </c>
      <c r="F49" s="187"/>
      <c r="H49" s="190" t="s">
        <v>193</v>
      </c>
      <c r="I49" s="122">
        <v>0</v>
      </c>
      <c r="J49" s="139">
        <f>+I49+'3'!J49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+C50+'3'!D50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+C51+'3'!D51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61</v>
      </c>
      <c r="D52" s="148">
        <f>SUM(D38:D51)</f>
        <v>803</v>
      </c>
      <c r="E52" s="149">
        <f>SUM(E38:E51)</f>
        <v>13.383333333333333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4.2361111111111113E-2</v>
      </c>
      <c r="D53" s="150">
        <f>D52/(24*60*G4)</f>
        <v>0.13940972222222223</v>
      </c>
      <c r="E53" s="151">
        <f>E52/(G4*24)</f>
        <v>0.13940972222222223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+D34+'3'!J56</f>
        <v>5020</v>
      </c>
      <c r="K56" s="203">
        <f>J56/(J40+J56/1000)/1000</f>
        <v>3.0712380393020579E-2</v>
      </c>
    </row>
    <row r="57" spans="1:11">
      <c r="A57" s="178"/>
      <c r="I57" s="201" t="s">
        <v>100</v>
      </c>
      <c r="J57" s="202"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topLeftCell="A7" zoomScale="80" zoomScaleNormal="75" zoomScaleSheetLayoutView="80" workbookViewId="0">
      <selection activeCell="H13" sqref="H13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710937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3.7109375" style="153" bestFit="1" customWidth="1"/>
    <col min="12" max="12" width="8.28515625" style="153" customWidth="1"/>
    <col min="13" max="13" width="14.5703125" style="153" customWidth="1"/>
    <col min="14" max="16384" width="9.140625" style="153"/>
  </cols>
  <sheetData>
    <row r="1" spans="1:24" ht="15.75">
      <c r="A1" s="152"/>
    </row>
    <row r="2" spans="1:24" ht="15.75">
      <c r="A2" s="152" t="s">
        <v>236</v>
      </c>
    </row>
    <row r="3" spans="1:24" ht="15">
      <c r="A3" s="154"/>
    </row>
    <row r="4" spans="1:24" ht="20.25">
      <c r="A4" s="155" t="s">
        <v>3</v>
      </c>
      <c r="B4" s="156"/>
      <c r="F4" s="157" t="s">
        <v>28</v>
      </c>
      <c r="G4" s="158">
        <v>3</v>
      </c>
      <c r="H4" s="158" t="str">
        <f>+'1'!H4</f>
        <v>.10.25</v>
      </c>
    </row>
    <row r="5" spans="1:24" ht="13.5" thickBot="1">
      <c r="C5" s="159"/>
      <c r="D5" s="159"/>
    </row>
    <row r="6" spans="1:24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441+316+344</f>
        <v>1101</v>
      </c>
    </row>
    <row r="7" spans="1:24" ht="13.5" customHeight="1" thickBot="1">
      <c r="A7" s="810" t="s">
        <v>415</v>
      </c>
      <c r="B7" s="217" t="s">
        <v>458</v>
      </c>
      <c r="C7" s="511">
        <v>9512</v>
      </c>
      <c r="D7" s="219">
        <v>1200</v>
      </c>
      <c r="E7" s="220"/>
      <c r="F7" s="231">
        <v>30</v>
      </c>
      <c r="G7" s="558" t="s">
        <v>11</v>
      </c>
      <c r="H7" s="559" t="s">
        <v>491</v>
      </c>
      <c r="I7" s="813" t="s">
        <v>488</v>
      </c>
      <c r="J7" s="216" t="str">
        <f>+'2'!J7</f>
        <v>T 12,5 VP OW</v>
      </c>
      <c r="K7" s="237">
        <f>+C26</f>
        <v>10464</v>
      </c>
      <c r="L7" s="241"/>
      <c r="M7" s="121">
        <f>+K7+'2'!M7+L7</f>
        <v>31572</v>
      </c>
      <c r="V7" s="178"/>
    </row>
    <row r="8" spans="1:24" ht="13.5" thickBot="1">
      <c r="A8" s="818"/>
      <c r="B8" s="217" t="s">
        <v>432</v>
      </c>
      <c r="C8" s="218">
        <f>267+2988+517</f>
        <v>3772</v>
      </c>
      <c r="D8" s="219">
        <v>100</v>
      </c>
      <c r="E8" s="221"/>
      <c r="F8" s="231">
        <v>5</v>
      </c>
      <c r="G8" s="560" t="s">
        <v>11</v>
      </c>
      <c r="H8" s="559" t="s">
        <v>490</v>
      </c>
      <c r="I8" s="814"/>
      <c r="J8" s="216" t="str">
        <f>+'2'!J8</f>
        <v>T 15 VP OW</v>
      </c>
      <c r="K8" s="238">
        <f>+C8</f>
        <v>3772</v>
      </c>
      <c r="L8" s="238"/>
      <c r="M8" s="121">
        <f>+K8+'2'!M8+L8</f>
        <v>51623</v>
      </c>
      <c r="N8" s="153">
        <v>1150</v>
      </c>
      <c r="O8" s="153">
        <f>+N8-N8*0.22</f>
        <v>897</v>
      </c>
      <c r="P8" s="153">
        <v>970</v>
      </c>
      <c r="W8" s="178"/>
      <c r="X8" s="178"/>
    </row>
    <row r="9" spans="1:24" ht="13.5" thickBot="1">
      <c r="A9" s="818"/>
      <c r="B9" s="217"/>
      <c r="C9" s="218"/>
      <c r="D9" s="219"/>
      <c r="E9" s="222"/>
      <c r="F9" s="231">
        <v>10</v>
      </c>
      <c r="G9" s="560" t="s">
        <v>11</v>
      </c>
      <c r="H9" s="561" t="s">
        <v>455</v>
      </c>
      <c r="I9" s="814"/>
      <c r="J9" s="216" t="str">
        <f>+'2'!J9</f>
        <v>T 14,5 VP OW</v>
      </c>
      <c r="K9" s="238">
        <f>+C7+C16+C25</f>
        <v>28386</v>
      </c>
      <c r="L9" s="238"/>
      <c r="M9" s="121">
        <f>+K9+'2'!M9+L9</f>
        <v>28386</v>
      </c>
    </row>
    <row r="10" spans="1:24" ht="29.25" customHeight="1" thickBot="1">
      <c r="A10" s="818"/>
      <c r="B10" s="217"/>
      <c r="C10" s="218"/>
      <c r="D10" s="219"/>
      <c r="E10" s="221"/>
      <c r="F10" s="231"/>
      <c r="G10" s="558"/>
      <c r="H10" s="561" t="s">
        <v>472</v>
      </c>
      <c r="I10" s="814"/>
      <c r="J10" s="216">
        <f>+'2'!J10</f>
        <v>0</v>
      </c>
      <c r="K10" s="238"/>
      <c r="L10" s="238"/>
      <c r="M10" s="121">
        <f>+K10+'2'!M10+L10</f>
        <v>0</v>
      </c>
      <c r="P10" s="178"/>
    </row>
    <row r="11" spans="1:24" ht="26.25" thickBot="1">
      <c r="A11" s="818"/>
      <c r="B11" s="217"/>
      <c r="C11" s="218"/>
      <c r="D11" s="219"/>
      <c r="E11" s="221"/>
      <c r="F11" s="481"/>
      <c r="G11" s="482"/>
      <c r="H11" s="230" t="s">
        <v>473</v>
      </c>
      <c r="I11" s="814"/>
      <c r="J11" s="216">
        <f>+'2'!J11</f>
        <v>0</v>
      </c>
      <c r="K11" s="238"/>
      <c r="L11" s="238"/>
      <c r="M11" s="121">
        <f>+K11+'2'!M11+L11</f>
        <v>0</v>
      </c>
      <c r="Q11" s="178"/>
      <c r="R11" s="178"/>
    </row>
    <row r="12" spans="1:24" ht="39" thickBot="1">
      <c r="A12" s="818"/>
      <c r="B12" s="217"/>
      <c r="C12" s="218"/>
      <c r="D12" s="219"/>
      <c r="E12" s="221"/>
      <c r="F12" s="228"/>
      <c r="G12" s="232"/>
      <c r="H12" s="233" t="s">
        <v>474</v>
      </c>
      <c r="I12" s="814"/>
      <c r="J12" s="216">
        <f>+'2'!J12</f>
        <v>0</v>
      </c>
      <c r="K12" s="238"/>
      <c r="L12" s="238"/>
      <c r="M12" s="121">
        <f>+K12+'2'!M12+L12</f>
        <v>0</v>
      </c>
    </row>
    <row r="13" spans="1:24" ht="26.25" thickBot="1">
      <c r="A13" s="818"/>
      <c r="B13" s="217"/>
      <c r="C13" s="218"/>
      <c r="D13" s="218"/>
      <c r="E13" s="221" t="s">
        <v>486</v>
      </c>
      <c r="F13" s="228">
        <v>36</v>
      </c>
      <c r="G13" s="232" t="s">
        <v>77</v>
      </c>
      <c r="H13" s="233" t="s">
        <v>477</v>
      </c>
      <c r="I13" s="815"/>
      <c r="J13" s="216">
        <f>+'2'!J13</f>
        <v>0</v>
      </c>
      <c r="K13" s="238"/>
      <c r="L13" s="238"/>
      <c r="M13" s="121">
        <f>+K13+'2'!M13+L13</f>
        <v>0</v>
      </c>
    </row>
    <row r="14" spans="1:24" ht="13.5" thickBot="1">
      <c r="A14" s="819"/>
      <c r="B14" s="169" t="s">
        <v>2</v>
      </c>
      <c r="C14" s="103">
        <f>SUM(C7:C13)</f>
        <v>13284</v>
      </c>
      <c r="D14" s="115">
        <f>SUM(D7:D13)</f>
        <v>1300</v>
      </c>
      <c r="E14" s="116">
        <f>SUM(E9:E13)</f>
        <v>0</v>
      </c>
      <c r="F14" s="106">
        <f>SUM(F6:F13)</f>
        <v>81</v>
      </c>
      <c r="G14" s="163"/>
      <c r="H14" s="170"/>
      <c r="I14" s="171"/>
      <c r="J14" s="216">
        <f>+'2'!J14</f>
        <v>0</v>
      </c>
      <c r="K14" s="238"/>
      <c r="L14" s="238"/>
      <c r="M14" s="121">
        <f>+K14+'2'!M14+L14</f>
        <v>0</v>
      </c>
      <c r="N14" s="183" t="s">
        <v>106</v>
      </c>
      <c r="O14" s="583" t="s">
        <v>478</v>
      </c>
      <c r="P14" s="583" t="s">
        <v>478</v>
      </c>
      <c r="Q14" s="583" t="s">
        <v>479</v>
      </c>
      <c r="R14" s="583" t="s">
        <v>480</v>
      </c>
      <c r="S14" s="583" t="s">
        <v>481</v>
      </c>
      <c r="T14" s="583" t="s">
        <v>482</v>
      </c>
      <c r="U14" s="584" t="s">
        <v>483</v>
      </c>
      <c r="V14" s="583" t="s">
        <v>484</v>
      </c>
      <c r="W14" s="583" t="s">
        <v>485</v>
      </c>
    </row>
    <row r="15" spans="1:24" ht="13.5" customHeight="1" thickBot="1">
      <c r="A15" s="831" t="s">
        <v>467</v>
      </c>
      <c r="B15" s="510"/>
      <c r="C15" s="563">
        <f>C14/($C$32+$D$32+$E$32)</f>
        <v>0.79269602577873255</v>
      </c>
      <c r="D15" s="108">
        <f>D14/($C$32+$D$32+$E$32)</f>
        <v>7.7574889604964795E-2</v>
      </c>
      <c r="E15" s="109">
        <f>E14/($C$32+$D$32+$E$32)</f>
        <v>0</v>
      </c>
      <c r="F15" s="231"/>
      <c r="G15" s="558" t="s">
        <v>11</v>
      </c>
      <c r="H15" s="559" t="s">
        <v>404</v>
      </c>
      <c r="I15" s="813" t="s">
        <v>488</v>
      </c>
      <c r="J15" s="216">
        <f>+'2'!J15</f>
        <v>0</v>
      </c>
      <c r="K15" s="238"/>
      <c r="L15" s="238"/>
      <c r="M15" s="121">
        <f>+K15+'2'!M15+L15</f>
        <v>0</v>
      </c>
      <c r="N15" s="585">
        <v>14.5</v>
      </c>
      <c r="O15" s="201">
        <v>1150</v>
      </c>
      <c r="P15" s="201">
        <v>1150</v>
      </c>
      <c r="Q15" s="201">
        <v>897</v>
      </c>
      <c r="R15" s="586">
        <f>1-(Q15/P15)</f>
        <v>0.21999999999999997</v>
      </c>
      <c r="S15" s="587">
        <v>36</v>
      </c>
      <c r="T15" s="588">
        <f>+'Trim Rwd'!H8</f>
        <v>277</v>
      </c>
      <c r="U15" s="589">
        <f>(O15*(1-R15)*N15*T15*S15)/100000000</f>
        <v>1.29700818</v>
      </c>
      <c r="V15" s="590">
        <f>+C22/1000</f>
        <v>0</v>
      </c>
      <c r="W15" s="591">
        <f>SUM(V15:V17)/SUM(U15:U17)</f>
        <v>0</v>
      </c>
    </row>
    <row r="16" spans="1:24" ht="13.5" thickBot="1">
      <c r="A16" s="818"/>
      <c r="B16" s="217" t="s">
        <v>458</v>
      </c>
      <c r="C16" s="226">
        <v>13280</v>
      </c>
      <c r="D16" s="223">
        <v>1800</v>
      </c>
      <c r="E16" s="224"/>
      <c r="F16" s="231">
        <v>5</v>
      </c>
      <c r="G16" s="560" t="s">
        <v>11</v>
      </c>
      <c r="H16" s="559" t="s">
        <v>405</v>
      </c>
      <c r="I16" s="814"/>
      <c r="J16" s="216">
        <f>+'2'!J16</f>
        <v>0</v>
      </c>
      <c r="K16" s="229"/>
      <c r="L16" s="229"/>
      <c r="M16" s="121">
        <f>+K16+'2'!M16+L16</f>
        <v>0</v>
      </c>
      <c r="N16" s="178"/>
      <c r="O16" s="178"/>
      <c r="P16" s="178"/>
      <c r="U16" s="195">
        <v>1.292</v>
      </c>
    </row>
    <row r="17" spans="1:18" ht="13.5" thickBot="1">
      <c r="A17" s="818"/>
      <c r="B17" s="217"/>
      <c r="C17" s="226"/>
      <c r="D17" s="219"/>
      <c r="E17" s="225"/>
      <c r="F17" s="231">
        <v>9</v>
      </c>
      <c r="G17" s="560" t="s">
        <v>11</v>
      </c>
      <c r="H17" s="561" t="s">
        <v>455</v>
      </c>
      <c r="I17" s="814"/>
      <c r="J17" s="216">
        <f>+'2'!J17</f>
        <v>0</v>
      </c>
      <c r="K17" s="229"/>
      <c r="L17" s="229"/>
      <c r="M17" s="121">
        <f>+K17+'2'!M17+L17</f>
        <v>0</v>
      </c>
    </row>
    <row r="18" spans="1:18" ht="13.5" thickBot="1">
      <c r="A18" s="818"/>
      <c r="B18" s="217"/>
      <c r="C18" s="218"/>
      <c r="D18" s="219"/>
      <c r="E18" s="225"/>
      <c r="F18" s="231"/>
      <c r="G18" s="558"/>
      <c r="H18" s="561" t="s">
        <v>472</v>
      </c>
      <c r="I18" s="814"/>
      <c r="J18" s="216">
        <f>+'2'!J18</f>
        <v>0</v>
      </c>
      <c r="K18" s="238"/>
      <c r="L18" s="238"/>
      <c r="M18" s="121">
        <f>+K18+'2'!M18+L18</f>
        <v>0</v>
      </c>
    </row>
    <row r="19" spans="1:18" ht="13.5" thickBot="1">
      <c r="A19" s="818"/>
      <c r="B19" s="217"/>
      <c r="C19" s="218"/>
      <c r="D19" s="219"/>
      <c r="E19" s="225"/>
      <c r="F19" s="228"/>
      <c r="G19" s="232"/>
      <c r="H19" s="230" t="s">
        <v>475</v>
      </c>
      <c r="I19" s="814"/>
      <c r="J19" s="216">
        <f>+'2'!J19</f>
        <v>0</v>
      </c>
      <c r="K19" s="238"/>
      <c r="L19" s="238"/>
      <c r="M19" s="121">
        <f>+K19+'2'!M19+L19</f>
        <v>0</v>
      </c>
    </row>
    <row r="20" spans="1:18" ht="13.5" thickBot="1">
      <c r="A20" s="818"/>
      <c r="B20" s="217"/>
      <c r="C20" s="218"/>
      <c r="D20" s="219"/>
      <c r="E20" s="225"/>
      <c r="F20" s="228"/>
      <c r="G20" s="232"/>
      <c r="H20" s="233"/>
      <c r="I20" s="814"/>
      <c r="J20" s="216">
        <f>+'2'!J20</f>
        <v>0</v>
      </c>
      <c r="K20" s="239"/>
      <c r="L20" s="239"/>
      <c r="M20" s="121">
        <f>+K20+'2'!M20+L20</f>
        <v>0</v>
      </c>
    </row>
    <row r="21" spans="1:18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16">
        <f>+'2'!J21</f>
        <v>0</v>
      </c>
      <c r="K21" s="238"/>
      <c r="L21" s="238"/>
      <c r="M21" s="121">
        <f>+K21+'2'!M21+L21</f>
        <v>0</v>
      </c>
    </row>
    <row r="22" spans="1:18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16">
        <f>+'2'!J22</f>
        <v>0</v>
      </c>
      <c r="K22" s="238"/>
      <c r="L22" s="238"/>
      <c r="M22" s="121">
        <f>+K22+'2'!M22+L22</f>
        <v>0</v>
      </c>
    </row>
    <row r="23" spans="1:18" ht="13.5" thickBot="1">
      <c r="A23" s="819"/>
      <c r="B23" s="169" t="s">
        <v>2</v>
      </c>
      <c r="C23" s="103">
        <f>SUM(C16:C22)</f>
        <v>13280</v>
      </c>
      <c r="D23" s="115">
        <f>SUM(D16:D22)</f>
        <v>1800</v>
      </c>
      <c r="E23" s="116">
        <f>SUM(E18:E22)</f>
        <v>0</v>
      </c>
      <c r="F23" s="106">
        <f>SUM(F15:F22)</f>
        <v>14</v>
      </c>
      <c r="G23" s="163"/>
      <c r="H23" s="170"/>
      <c r="I23" s="172"/>
      <c r="J23" s="216">
        <f>+'2'!J23</f>
        <v>0</v>
      </c>
      <c r="K23" s="238"/>
      <c r="L23" s="238"/>
      <c r="M23" s="121">
        <f>+K23+'2'!M23+L23</f>
        <v>0</v>
      </c>
    </row>
    <row r="24" spans="1:18" ht="13.5" customHeight="1" thickBot="1">
      <c r="A24" s="831" t="s">
        <v>467</v>
      </c>
      <c r="B24" s="510"/>
      <c r="C24" s="117">
        <f>C23/($C$23+$D$23+$E$23)</f>
        <v>0.88063660477453576</v>
      </c>
      <c r="D24" s="118">
        <f>D23/($C$23+$D$23+$E$23)</f>
        <v>0.11936339522546419</v>
      </c>
      <c r="E24" s="119">
        <f>E23/($C$23+$D$23+$E$23)</f>
        <v>0</v>
      </c>
      <c r="F24" s="231"/>
      <c r="G24" s="558" t="s">
        <v>11</v>
      </c>
      <c r="H24" s="559" t="s">
        <v>404</v>
      </c>
      <c r="I24" s="813" t="s">
        <v>487</v>
      </c>
      <c r="J24" s="216">
        <f>+'2'!J24</f>
        <v>0</v>
      </c>
      <c r="K24" s="238"/>
      <c r="L24" s="238"/>
      <c r="M24" s="121">
        <f>+K24+'2'!M24+L24</f>
        <v>0</v>
      </c>
    </row>
    <row r="25" spans="1:18" ht="13.5" thickBot="1">
      <c r="A25" s="818"/>
      <c r="B25" s="217" t="s">
        <v>458</v>
      </c>
      <c r="C25" s="226">
        <v>5594</v>
      </c>
      <c r="D25" s="219"/>
      <c r="E25" s="225"/>
      <c r="F25" s="231">
        <v>6</v>
      </c>
      <c r="G25" s="560" t="s">
        <v>11</v>
      </c>
      <c r="H25" s="559" t="s">
        <v>492</v>
      </c>
      <c r="I25" s="814"/>
      <c r="J25" s="216">
        <f>+'2'!J25</f>
        <v>0</v>
      </c>
      <c r="K25" s="238"/>
      <c r="L25" s="238"/>
      <c r="M25" s="121">
        <f>+K25+'2'!M25+L25</f>
        <v>0</v>
      </c>
    </row>
    <row r="26" spans="1:18" ht="13.5" thickBot="1">
      <c r="A26" s="818"/>
      <c r="B26" s="217" t="s">
        <v>431</v>
      </c>
      <c r="C26" s="226">
        <v>10464</v>
      </c>
      <c r="D26" s="219">
        <v>700</v>
      </c>
      <c r="E26" s="227"/>
      <c r="F26" s="231">
        <v>10</v>
      </c>
      <c r="G26" s="560" t="s">
        <v>11</v>
      </c>
      <c r="H26" s="561" t="s">
        <v>413</v>
      </c>
      <c r="I26" s="814"/>
      <c r="J26" s="216">
        <f>+'2'!J26</f>
        <v>0</v>
      </c>
      <c r="K26" s="238"/>
      <c r="L26" s="238"/>
      <c r="M26" s="121">
        <f>+K26+'2'!M26+L26</f>
        <v>0</v>
      </c>
      <c r="N26" s="153">
        <v>1150</v>
      </c>
      <c r="O26" s="153">
        <f>+N26-N26*0.22</f>
        <v>897</v>
      </c>
      <c r="P26" s="153">
        <v>10</v>
      </c>
      <c r="Q26" s="153">
        <f>+N26*P26</f>
        <v>11500</v>
      </c>
      <c r="R26" s="153">
        <f>+O26*P26</f>
        <v>8970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472</v>
      </c>
      <c r="I27" s="814"/>
      <c r="J27" s="216">
        <f>+'2'!J27</f>
        <v>0</v>
      </c>
      <c r="K27" s="238"/>
      <c r="L27" s="238"/>
      <c r="M27" s="121">
        <f>+K27+'2'!M27+L27</f>
        <v>0</v>
      </c>
      <c r="N27" s="153">
        <v>1350</v>
      </c>
      <c r="O27" s="153">
        <f>+N27-N27*0.2</f>
        <v>1080</v>
      </c>
      <c r="P27" s="153">
        <v>470</v>
      </c>
      <c r="Q27" s="153">
        <f>+N27*P27</f>
        <v>634500</v>
      </c>
      <c r="R27" s="153">
        <f>+O27*P27</f>
        <v>507600</v>
      </c>
    </row>
    <row r="28" spans="1:18" ht="13.5" thickBot="1">
      <c r="A28" s="818"/>
      <c r="B28" s="217"/>
      <c r="C28" s="218"/>
      <c r="D28" s="219"/>
      <c r="E28" s="225"/>
      <c r="F28" s="228"/>
      <c r="G28" s="232"/>
      <c r="H28" s="230" t="s">
        <v>475</v>
      </c>
      <c r="I28" s="814"/>
      <c r="J28" s="216">
        <f>+'2'!J28</f>
        <v>0</v>
      </c>
      <c r="K28" s="238"/>
      <c r="L28" s="238"/>
      <c r="M28" s="121">
        <f>+K28+'2'!M28+L28</f>
        <v>0</v>
      </c>
      <c r="P28" s="153">
        <f>SUM(P26:P27)</f>
        <v>480</v>
      </c>
      <c r="Q28" s="153">
        <f>SUM(Q26:Q27)</f>
        <v>646000</v>
      </c>
      <c r="R28" s="153">
        <f>SUM(R26:R27)</f>
        <v>516570</v>
      </c>
    </row>
    <row r="29" spans="1:18" ht="13.5" thickBot="1">
      <c r="A29" s="818"/>
      <c r="B29" s="217"/>
      <c r="C29" s="218"/>
      <c r="D29" s="219"/>
      <c r="E29" s="225"/>
      <c r="F29" s="235"/>
      <c r="G29" s="232"/>
      <c r="H29" s="233" t="s">
        <v>476</v>
      </c>
      <c r="I29" s="814"/>
      <c r="J29" s="216">
        <f>+'2'!J29</f>
        <v>0</v>
      </c>
      <c r="K29" s="238"/>
      <c r="L29" s="238"/>
      <c r="M29" s="121">
        <f>+K29+'2'!M29+L29</f>
        <v>0</v>
      </c>
      <c r="Q29" s="153">
        <f>+Q28/P28</f>
        <v>1345.8333333333333</v>
      </c>
      <c r="R29" s="153">
        <f>+R28/P28</f>
        <v>1076.1875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16">
        <f>+'2'!J30</f>
        <v>0</v>
      </c>
      <c r="K30" s="238"/>
      <c r="L30" s="238"/>
      <c r="M30" s="121">
        <f>+K30+'2'!M30+L30</f>
        <v>0</v>
      </c>
      <c r="N30" s="159"/>
    </row>
    <row r="31" spans="1:18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16">
        <f>+'2'!J31</f>
        <v>0</v>
      </c>
      <c r="K31" s="238"/>
      <c r="L31" s="238"/>
      <c r="M31" s="121">
        <f>+K31+'2'!M31+L31</f>
        <v>0</v>
      </c>
    </row>
    <row r="32" spans="1:18" ht="13.5" thickBot="1">
      <c r="A32" s="819"/>
      <c r="B32" s="169" t="s">
        <v>2</v>
      </c>
      <c r="C32" s="103">
        <f>SUM(C25:C31)</f>
        <v>16058</v>
      </c>
      <c r="D32" s="104">
        <f>SUM(D25:D31)</f>
        <v>700</v>
      </c>
      <c r="E32" s="105">
        <f>SUM(E25:E31)</f>
        <v>0</v>
      </c>
      <c r="F32" s="103">
        <f>SUM(F24:F31)</f>
        <v>16</v>
      </c>
      <c r="G32" s="173"/>
      <c r="H32" s="174"/>
      <c r="I32" s="172"/>
      <c r="J32" s="216">
        <f>+'2'!J32</f>
        <v>0</v>
      </c>
      <c r="K32" s="240"/>
      <c r="L32" s="242"/>
      <c r="M32" s="121">
        <f>+K32+'2'!M32+L32</f>
        <v>0</v>
      </c>
    </row>
    <row r="33" spans="1:14" ht="13.5" thickBot="1">
      <c r="A33" s="175"/>
      <c r="B33" s="176"/>
      <c r="C33" s="107">
        <f>C32/($C$32+$D$32+$E$32)</f>
        <v>0.95822890559732665</v>
      </c>
      <c r="D33" s="108">
        <f>D32/($C$32+$D$32+$E$32)</f>
        <v>4.1771094402673348E-2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42622</v>
      </c>
      <c r="D34" s="111">
        <f>D14+D23+D32</f>
        <v>3800</v>
      </c>
      <c r="E34" s="111">
        <f>E14+E23+E32</f>
        <v>0</v>
      </c>
      <c r="F34" s="112">
        <f>F14+F23+F32</f>
        <v>111</v>
      </c>
      <c r="H34" s="180"/>
      <c r="I34" s="180"/>
      <c r="J34" s="127" t="s">
        <v>27</v>
      </c>
      <c r="K34" s="128">
        <f>SUM(K7:K32)</f>
        <v>42622</v>
      </c>
      <c r="L34" s="214">
        <f>SUM(L7:L32)</f>
        <v>0</v>
      </c>
      <c r="M34" s="124">
        <f>SUM(M7:M32)</f>
        <v>111581</v>
      </c>
      <c r="N34" s="159"/>
    </row>
    <row r="35" spans="1:14" ht="13.5" thickBot="1">
      <c r="A35" s="181"/>
      <c r="B35" s="182"/>
      <c r="C35" s="108">
        <f>C34/($C$34+$D$34+$E$34)</f>
        <v>0.91814226013528066</v>
      </c>
      <c r="D35" s="108">
        <f>D34/($C$34+$D$34+$E$34)</f>
        <v>8.1857739864719309E-2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(14.5*970+12.5*470)/1440*G42*2.85*1440/1000000</f>
        <v>54.369961812499994</v>
      </c>
      <c r="J37" s="129">
        <f>+I37+'2'!J37</f>
        <v>136.11431245078211</v>
      </c>
      <c r="K37" s="130" t="s">
        <v>74</v>
      </c>
      <c r="L37" s="159">
        <f>+I38-L38</f>
        <v>34.221000000000004</v>
      </c>
    </row>
    <row r="38" spans="1:14" ht="17.45" customHeight="1">
      <c r="A38" s="824" t="s">
        <v>11</v>
      </c>
      <c r="B38" s="825"/>
      <c r="C38" s="168">
        <f>SUMIF($G$7:$G$31,"Process",$F$7:$F$31)</f>
        <v>75</v>
      </c>
      <c r="D38" s="122">
        <f>+C38+'2'!D38</f>
        <v>161</v>
      </c>
      <c r="E38" s="147">
        <f t="shared" ref="E38:E51" si="0">D38/60</f>
        <v>2.6833333333333331</v>
      </c>
      <c r="F38" s="334">
        <v>1150</v>
      </c>
      <c r="G38" s="334">
        <f>+F38-F38*0.22</f>
        <v>897</v>
      </c>
      <c r="H38" s="189" t="s">
        <v>75</v>
      </c>
      <c r="I38" s="581">
        <f>15.869+16.504+16.656</f>
        <v>49.029000000000003</v>
      </c>
      <c r="J38" s="131">
        <f>+I38+'2'!J38</f>
        <v>127.9</v>
      </c>
      <c r="K38" s="132" t="s">
        <v>74</v>
      </c>
      <c r="L38" s="153">
        <f>16.656-1.848</f>
        <v>14.807999999999998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+C39+'2'!D39</f>
        <v>0</v>
      </c>
      <c r="E39" s="147">
        <f t="shared" si="0"/>
        <v>0</v>
      </c>
      <c r="F39" s="334">
        <v>1150</v>
      </c>
      <c r="G39" s="334">
        <f>+F39-F39*0.22</f>
        <v>897</v>
      </c>
      <c r="H39" s="189" t="s">
        <v>76</v>
      </c>
      <c r="I39" s="146"/>
      <c r="J39" s="133">
        <f>J37/G4</f>
        <v>45.371437483594036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36</v>
      </c>
      <c r="D40" s="122">
        <f>+C40+'2'!D40</f>
        <v>36</v>
      </c>
      <c r="E40" s="147">
        <f t="shared" si="0"/>
        <v>0.6</v>
      </c>
      <c r="F40" s="334">
        <v>1345.8333333333333</v>
      </c>
      <c r="G40" s="334">
        <v>1076.1875</v>
      </c>
      <c r="H40" s="189" t="s">
        <v>78</v>
      </c>
      <c r="I40" s="122">
        <f>(K34+L34)/1000</f>
        <v>42.622</v>
      </c>
      <c r="J40" s="135">
        <f>+I40+'2'!J40</f>
        <v>111.581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>+C41+'2'!D41</f>
        <v>0</v>
      </c>
      <c r="E41" s="147">
        <f t="shared" si="0"/>
        <v>0</v>
      </c>
      <c r="F41" s="334"/>
      <c r="G41" s="334"/>
      <c r="H41" s="189" t="s">
        <v>80</v>
      </c>
      <c r="I41" s="146"/>
      <c r="J41" s="133">
        <f>J40/G4</f>
        <v>37.193666666666665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>+C42+'2'!D42</f>
        <v>0</v>
      </c>
      <c r="E42" s="147">
        <f t="shared" si="0"/>
        <v>0</v>
      </c>
      <c r="F42" s="334">
        <f>+(F38*480+F39*480+F40*480)/1440</f>
        <v>1215.2777777777778</v>
      </c>
      <c r="G42" s="334">
        <f>+(G38*480+G39*480+G40*480)/1440</f>
        <v>956.72916666666663</v>
      </c>
      <c r="H42" s="189" t="s">
        <v>81</v>
      </c>
      <c r="I42" s="245" t="s">
        <v>489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>+C43+'2'!D43</f>
        <v>0</v>
      </c>
      <c r="E43" s="147">
        <f t="shared" si="0"/>
        <v>0</v>
      </c>
      <c r="F43" s="334"/>
      <c r="G43" s="335"/>
      <c r="H43" s="190" t="s">
        <v>84</v>
      </c>
      <c r="I43" s="122">
        <f>+Report1!Z11</f>
        <v>125</v>
      </c>
      <c r="J43" s="137">
        <f>+I43+'2'!J43</f>
        <v>322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+C44+'2'!D44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2.5495115135939952</v>
      </c>
      <c r="J44" s="138">
        <f>J43/J38</f>
        <v>2.5175918686473806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+C45+'2'!D45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2.9327577307493784</v>
      </c>
      <c r="J45" s="138">
        <f>J43/J40</f>
        <v>2.8857959688477428</v>
      </c>
      <c r="K45" s="134" t="s">
        <v>74</v>
      </c>
      <c r="M45" s="159"/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+C46+'2'!D46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+SUMIF(Listrik!AN10,"&gt;0")</f>
        <v>45154.440000000031</v>
      </c>
      <c r="J46" s="139">
        <f>+I46+'2'!J46</f>
        <v>126677.40000000002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+C47+'2'!D47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920.97411735911453</v>
      </c>
      <c r="J47" s="139">
        <f>J46/J38</f>
        <v>990.44096950742778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+C48+'2'!D48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1059.4162639012725</v>
      </c>
      <c r="J48" s="139">
        <f>J46/J40</f>
        <v>1135.2954356028358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+C49+'2'!D49</f>
        <v>545</v>
      </c>
      <c r="E49" s="147">
        <f t="shared" si="0"/>
        <v>9.0833333333333339</v>
      </c>
      <c r="F49" s="187"/>
      <c r="H49" s="190" t="s">
        <v>193</v>
      </c>
      <c r="I49" s="122">
        <v>0</v>
      </c>
      <c r="J49" s="139">
        <f>+I49+'2'!J49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+C50+'2'!D50</f>
        <v>0</v>
      </c>
      <c r="E50" s="147">
        <f t="shared" si="0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+C51+'2'!D51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111</v>
      </c>
      <c r="D52" s="148">
        <f>SUM(D38:D51)</f>
        <v>742</v>
      </c>
      <c r="E52" s="149">
        <f>SUM(E38:E51)</f>
        <v>12.366666666666667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7.7083333333333337E-2</v>
      </c>
      <c r="D53" s="150">
        <f>D52/(24*60*G4)</f>
        <v>0.17175925925925925</v>
      </c>
      <c r="E53" s="151">
        <f>E52/(G4*24)</f>
        <v>0.17175925925925928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+D34+'2'!J56</f>
        <v>5020</v>
      </c>
      <c r="K56" s="203">
        <f>J56/(J40+J56/1000)/1000</f>
        <v>4.3052804006826699E-2</v>
      </c>
    </row>
    <row r="57" spans="1:11">
      <c r="A57" s="178"/>
      <c r="I57" s="201" t="s">
        <v>100</v>
      </c>
      <c r="J57" s="202">
        <f>+E34+'2'!J57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6" header="0" footer="0"/>
  <pageSetup paperSize="9" scale="58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9" zoomScale="80" zoomScaleNormal="75" zoomScaleSheetLayoutView="80" workbookViewId="0">
      <selection activeCell="H12" sqref="H1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customWidth="1"/>
    <col min="7" max="7" width="11.42578125" style="153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4.42578125" style="153" bestFit="1" customWidth="1"/>
    <col min="14" max="16384" width="9.140625" style="153"/>
  </cols>
  <sheetData>
    <row r="1" spans="1:18" ht="15.75">
      <c r="A1" s="152"/>
    </row>
    <row r="2" spans="1:18" ht="15.75">
      <c r="A2" s="152" t="s">
        <v>236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2</v>
      </c>
      <c r="H4" s="158" t="str">
        <f>+'1'!H4</f>
        <v>.10.25</v>
      </c>
    </row>
    <row r="5" spans="1:18" ht="13.5" thickBot="1">
      <c r="C5" s="159"/>
      <c r="D5" s="159"/>
    </row>
    <row r="6" spans="1:18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395+289+348</f>
        <v>1032</v>
      </c>
    </row>
    <row r="7" spans="1:18" ht="13.5" customHeight="1" thickBot="1">
      <c r="A7" s="810" t="s">
        <v>415</v>
      </c>
      <c r="B7" s="217" t="s">
        <v>432</v>
      </c>
      <c r="C7" s="218">
        <f>949+10477+2075</f>
        <v>13501</v>
      </c>
      <c r="D7" s="219">
        <v>100</v>
      </c>
      <c r="E7" s="220"/>
      <c r="F7" s="231"/>
      <c r="G7" s="558" t="s">
        <v>11</v>
      </c>
      <c r="H7" s="559" t="s">
        <v>404</v>
      </c>
      <c r="I7" s="813" t="s">
        <v>452</v>
      </c>
      <c r="J7" s="216" t="str">
        <f>+'1'!J7</f>
        <v>T 12,5 VP OW</v>
      </c>
      <c r="K7" s="237">
        <f>+C8</f>
        <v>2422</v>
      </c>
      <c r="L7" s="241"/>
      <c r="M7" s="121">
        <f>+K7+'1'!M7+L7</f>
        <v>21108</v>
      </c>
    </row>
    <row r="8" spans="1:18" ht="13.5" thickBot="1">
      <c r="A8" s="818"/>
      <c r="B8" s="217" t="s">
        <v>431</v>
      </c>
      <c r="C8" s="218">
        <v>2422</v>
      </c>
      <c r="D8" s="219"/>
      <c r="E8" s="221"/>
      <c r="F8" s="231">
        <v>5</v>
      </c>
      <c r="G8" s="560" t="s">
        <v>11</v>
      </c>
      <c r="H8" s="559" t="s">
        <v>396</v>
      </c>
      <c r="I8" s="814"/>
      <c r="J8" s="216" t="str">
        <f>+'1'!J8</f>
        <v>T 15 VP OW</v>
      </c>
      <c r="K8" s="238">
        <f>+C7+C16+C25</f>
        <v>47851</v>
      </c>
      <c r="L8" s="238"/>
      <c r="M8" s="121">
        <f>+K8+'1'!M8+L8</f>
        <v>47851</v>
      </c>
      <c r="N8" s="178">
        <v>1020</v>
      </c>
      <c r="O8" s="178">
        <f>+N8-N8*0.24</f>
        <v>775.2</v>
      </c>
      <c r="P8" s="178">
        <f>300+2</f>
        <v>302</v>
      </c>
      <c r="Q8" s="153">
        <f>+N8*P8</f>
        <v>308040</v>
      </c>
      <c r="R8" s="153">
        <f>+O8*P8</f>
        <v>234110.40000000002</v>
      </c>
    </row>
    <row r="9" spans="1:18" ht="13.5" thickBot="1">
      <c r="A9" s="818"/>
      <c r="B9" s="217"/>
      <c r="C9" s="218"/>
      <c r="D9" s="219"/>
      <c r="E9" s="222"/>
      <c r="F9" s="231">
        <v>7</v>
      </c>
      <c r="G9" s="560" t="s">
        <v>11</v>
      </c>
      <c r="H9" s="561" t="s">
        <v>454</v>
      </c>
      <c r="I9" s="814"/>
      <c r="J9" s="216" t="s">
        <v>458</v>
      </c>
      <c r="K9" s="238">
        <f>+C26</f>
        <v>0</v>
      </c>
      <c r="L9" s="238"/>
      <c r="M9" s="121">
        <f>+K9+'1'!M9+L9</f>
        <v>0</v>
      </c>
      <c r="N9" s="153">
        <v>1120</v>
      </c>
      <c r="O9" s="178">
        <f>+N9-N9*0.24</f>
        <v>851.2</v>
      </c>
      <c r="P9" s="153">
        <f>58+120+480+410</f>
        <v>1068</v>
      </c>
      <c r="Q9" s="153">
        <f>+N9*P9</f>
        <v>1196160</v>
      </c>
      <c r="R9" s="153">
        <f>+O9*P9</f>
        <v>909081.60000000009</v>
      </c>
    </row>
    <row r="10" spans="1:18" ht="13.5" thickBot="1">
      <c r="A10" s="818"/>
      <c r="B10" s="217"/>
      <c r="C10" s="218"/>
      <c r="D10" s="219"/>
      <c r="E10" s="221"/>
      <c r="F10" s="231"/>
      <c r="G10" s="558"/>
      <c r="H10" s="561" t="s">
        <v>460</v>
      </c>
      <c r="I10" s="814"/>
      <c r="J10" s="216">
        <f>+'1'!J10</f>
        <v>0</v>
      </c>
      <c r="K10" s="238"/>
      <c r="L10" s="238"/>
      <c r="M10" s="121">
        <f>+K10+'1'!M10+L10</f>
        <v>0</v>
      </c>
      <c r="P10" s="153">
        <f>SUM(P8:P9)</f>
        <v>1370</v>
      </c>
      <c r="Q10" s="153">
        <f>SUM(Q8:Q9)</f>
        <v>1504200</v>
      </c>
      <c r="R10" s="153">
        <f>SUM(R8:R9)</f>
        <v>1143192</v>
      </c>
    </row>
    <row r="11" spans="1:18" ht="26.25" thickBot="1">
      <c r="A11" s="818"/>
      <c r="B11" s="217"/>
      <c r="C11" s="218"/>
      <c r="D11" s="219"/>
      <c r="E11" s="221"/>
      <c r="F11" s="481"/>
      <c r="G11" s="482"/>
      <c r="H11" s="230" t="s">
        <v>441</v>
      </c>
      <c r="I11" s="814"/>
      <c r="J11" s="216">
        <f>+'1'!J11</f>
        <v>0</v>
      </c>
      <c r="K11" s="238"/>
      <c r="L11" s="238"/>
      <c r="M11" s="121">
        <f>+K11+'1'!M11+L11</f>
        <v>0</v>
      </c>
      <c r="Q11" s="153">
        <f>+Q10/P10</f>
        <v>1097.956204379562</v>
      </c>
      <c r="R11" s="153">
        <f>+R10/P10</f>
        <v>834.44671532846712</v>
      </c>
    </row>
    <row r="12" spans="1:18" ht="13.5" thickBot="1">
      <c r="A12" s="818"/>
      <c r="B12" s="217"/>
      <c r="C12" s="218"/>
      <c r="D12" s="219"/>
      <c r="E12" s="221"/>
      <c r="F12" s="228"/>
      <c r="G12" s="232"/>
      <c r="H12" s="233" t="s">
        <v>449</v>
      </c>
      <c r="I12" s="814"/>
      <c r="J12" s="216">
        <f>+'1'!J12</f>
        <v>0</v>
      </c>
      <c r="K12" s="238"/>
      <c r="L12" s="238"/>
      <c r="M12" s="121">
        <f>+K12+'1'!M12+L12</f>
        <v>0</v>
      </c>
    </row>
    <row r="13" spans="1:18" ht="13.5" thickBot="1">
      <c r="A13" s="818"/>
      <c r="B13" s="217"/>
      <c r="C13" s="218"/>
      <c r="D13" s="218"/>
      <c r="E13" s="221"/>
      <c r="F13" s="228"/>
      <c r="G13" s="232"/>
      <c r="H13" s="233" t="s">
        <v>442</v>
      </c>
      <c r="I13" s="815"/>
      <c r="J13" s="216">
        <f>+'1'!J13</f>
        <v>0</v>
      </c>
      <c r="K13" s="238"/>
      <c r="L13" s="238"/>
      <c r="M13" s="121">
        <f>+K13+'1'!M13+L13</f>
        <v>0</v>
      </c>
    </row>
    <row r="14" spans="1:18" ht="13.5" thickBot="1">
      <c r="A14" s="819"/>
      <c r="B14" s="169" t="s">
        <v>2</v>
      </c>
      <c r="C14" s="103">
        <f>SUM(C7:C13)</f>
        <v>15923</v>
      </c>
      <c r="D14" s="115">
        <f>SUM(D7:D13)</f>
        <v>100</v>
      </c>
      <c r="E14" s="116">
        <f>SUM(E9:E13)</f>
        <v>0</v>
      </c>
      <c r="F14" s="106">
        <f>SUM(F6:F13)</f>
        <v>12</v>
      </c>
      <c r="G14" s="163"/>
      <c r="H14" s="170"/>
      <c r="I14" s="171"/>
      <c r="J14" s="216">
        <f>+'1'!J14</f>
        <v>0</v>
      </c>
      <c r="K14" s="238"/>
      <c r="L14" s="238"/>
      <c r="M14" s="121">
        <f>+K14+'1'!M14+L14</f>
        <v>0</v>
      </c>
    </row>
    <row r="15" spans="1:18" ht="13.5" customHeight="1" thickBot="1">
      <c r="A15" s="831" t="s">
        <v>467</v>
      </c>
      <c r="B15" s="510"/>
      <c r="C15" s="563">
        <f>C14/($C$32+$D$32+$E$32)</f>
        <v>1.0458456486042693</v>
      </c>
      <c r="D15" s="108">
        <f>D14/($C$32+$D$32+$E$32)</f>
        <v>6.5681444991789817E-3</v>
      </c>
      <c r="E15" s="109">
        <f>E14/($C$32+$D$32+$E$32)</f>
        <v>0</v>
      </c>
      <c r="F15" s="231"/>
      <c r="G15" s="558" t="s">
        <v>11</v>
      </c>
      <c r="H15" s="559" t="s">
        <v>404</v>
      </c>
      <c r="I15" s="813" t="s">
        <v>451</v>
      </c>
      <c r="J15" s="216">
        <f>+'1'!J15</f>
        <v>0</v>
      </c>
      <c r="K15" s="238"/>
      <c r="L15" s="238"/>
      <c r="M15" s="121">
        <f>+K15+'1'!M15+L15</f>
        <v>0</v>
      </c>
    </row>
    <row r="16" spans="1:18" ht="13.5" thickBot="1">
      <c r="A16" s="818"/>
      <c r="B16" s="217" t="s">
        <v>432</v>
      </c>
      <c r="C16" s="511">
        <v>19745</v>
      </c>
      <c r="D16" s="223"/>
      <c r="E16" s="224"/>
      <c r="F16" s="231">
        <v>5</v>
      </c>
      <c r="G16" s="560" t="s">
        <v>11</v>
      </c>
      <c r="H16" s="559" t="s">
        <v>396</v>
      </c>
      <c r="I16" s="814"/>
      <c r="J16" s="216">
        <f>+'1'!J16</f>
        <v>0</v>
      </c>
      <c r="K16" s="229"/>
      <c r="L16" s="229"/>
      <c r="M16" s="121">
        <f>+K16+'1'!M16+L16</f>
        <v>0</v>
      </c>
    </row>
    <row r="17" spans="1:18" ht="13.5" thickBot="1">
      <c r="A17" s="818"/>
      <c r="B17" s="217"/>
      <c r="C17" s="218"/>
      <c r="D17" s="219"/>
      <c r="E17" s="225"/>
      <c r="F17" s="231">
        <v>6</v>
      </c>
      <c r="G17" s="560" t="s">
        <v>11</v>
      </c>
      <c r="H17" s="561" t="s">
        <v>428</v>
      </c>
      <c r="I17" s="814"/>
      <c r="J17" s="216">
        <f>+'1'!J17</f>
        <v>0</v>
      </c>
      <c r="K17" s="229"/>
      <c r="L17" s="229"/>
      <c r="M17" s="121">
        <f>+K17+'1'!M17+L17</f>
        <v>0</v>
      </c>
    </row>
    <row r="18" spans="1:18" ht="13.5" thickBot="1">
      <c r="A18" s="818"/>
      <c r="B18" s="217"/>
      <c r="C18" s="218"/>
      <c r="D18" s="219"/>
      <c r="E18" s="225"/>
      <c r="F18" s="231"/>
      <c r="G18" s="558"/>
      <c r="H18" s="561" t="s">
        <v>459</v>
      </c>
      <c r="I18" s="814"/>
      <c r="J18" s="216">
        <f>+'1'!J18</f>
        <v>0</v>
      </c>
      <c r="K18" s="238"/>
      <c r="L18" s="238"/>
      <c r="M18" s="121">
        <f>+K18+'1'!M18+L18</f>
        <v>0</v>
      </c>
      <c r="P18" s="178"/>
    </row>
    <row r="19" spans="1:18" ht="26.25" thickBot="1">
      <c r="A19" s="818"/>
      <c r="B19" s="217"/>
      <c r="C19" s="218"/>
      <c r="D19" s="219"/>
      <c r="E19" s="225"/>
      <c r="F19" s="481"/>
      <c r="G19" s="482"/>
      <c r="H19" s="230" t="s">
        <v>469</v>
      </c>
      <c r="I19" s="814"/>
      <c r="J19" s="216">
        <f>+'1'!J19</f>
        <v>0</v>
      </c>
      <c r="K19" s="238"/>
      <c r="L19" s="238"/>
      <c r="M19" s="121">
        <f>+K19+'1'!M19+L19</f>
        <v>0</v>
      </c>
      <c r="Q19" s="178"/>
      <c r="R19" s="178"/>
    </row>
    <row r="20" spans="1:18" ht="13.5" thickBot="1">
      <c r="A20" s="818"/>
      <c r="B20" s="217"/>
      <c r="C20" s="218"/>
      <c r="D20" s="219"/>
      <c r="E20" s="225"/>
      <c r="F20" s="228"/>
      <c r="G20" s="232"/>
      <c r="H20" s="233" t="s">
        <v>443</v>
      </c>
      <c r="I20" s="814"/>
      <c r="J20" s="216">
        <f>+'1'!J20</f>
        <v>0</v>
      </c>
      <c r="K20" s="239"/>
      <c r="L20" s="239"/>
      <c r="M20" s="121">
        <f>+K20+'1'!M20+L20</f>
        <v>0</v>
      </c>
    </row>
    <row r="21" spans="1:18" ht="13.5" thickBot="1">
      <c r="A21" s="818"/>
      <c r="B21" s="217"/>
      <c r="C21" s="218"/>
      <c r="D21" s="219"/>
      <c r="E21" s="225"/>
      <c r="F21" s="231"/>
      <c r="G21" s="232"/>
      <c r="H21" s="233" t="s">
        <v>444</v>
      </c>
      <c r="I21" s="814"/>
      <c r="J21" s="216">
        <f>+'1'!J21</f>
        <v>0</v>
      </c>
      <c r="K21" s="238"/>
      <c r="L21" s="238"/>
      <c r="M21" s="121">
        <f>+K21+'1'!M21+L21</f>
        <v>0</v>
      </c>
    </row>
    <row r="22" spans="1:18" ht="13.5" thickBot="1">
      <c r="A22" s="818"/>
      <c r="B22" s="217"/>
      <c r="C22" s="218"/>
      <c r="D22" s="219"/>
      <c r="E22" s="225"/>
      <c r="F22" s="235"/>
      <c r="G22" s="232"/>
      <c r="H22" s="233" t="s">
        <v>445</v>
      </c>
      <c r="I22" s="815"/>
      <c r="J22" s="216">
        <f>+'1'!J22</f>
        <v>0</v>
      </c>
      <c r="K22" s="238"/>
      <c r="L22" s="238"/>
      <c r="M22" s="121">
        <f>+K22+'1'!M22+L22</f>
        <v>0</v>
      </c>
    </row>
    <row r="23" spans="1:18" ht="13.5" thickBot="1">
      <c r="A23" s="819"/>
      <c r="B23" s="169" t="s">
        <v>2</v>
      </c>
      <c r="C23" s="103">
        <f>SUM(C16:C22)</f>
        <v>19745</v>
      </c>
      <c r="D23" s="115">
        <f>SUM(D16:D22)</f>
        <v>0</v>
      </c>
      <c r="E23" s="116">
        <f>SUM(E18:E22)</f>
        <v>0</v>
      </c>
      <c r="F23" s="106">
        <f>SUM(F15:F22)</f>
        <v>11</v>
      </c>
      <c r="G23" s="163"/>
      <c r="H23" s="170"/>
      <c r="I23" s="172"/>
      <c r="J23" s="216">
        <f>+'1'!J23</f>
        <v>0</v>
      </c>
      <c r="K23" s="238"/>
      <c r="L23" s="238"/>
      <c r="M23" s="121">
        <f>+K23+'1'!M23+L23</f>
        <v>0</v>
      </c>
    </row>
    <row r="24" spans="1:18" ht="13.5" customHeight="1" thickBot="1">
      <c r="A24" s="831" t="s">
        <v>467</v>
      </c>
      <c r="B24" s="510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1">
        <v>10</v>
      </c>
      <c r="G24" s="558" t="s">
        <v>11</v>
      </c>
      <c r="H24" s="559" t="s">
        <v>456</v>
      </c>
      <c r="I24" s="813" t="s">
        <v>450</v>
      </c>
      <c r="J24" s="216">
        <f>+'1'!J24</f>
        <v>0</v>
      </c>
      <c r="K24" s="238"/>
      <c r="L24" s="238"/>
      <c r="M24" s="121">
        <f>+K24+'1'!M24+L24</f>
        <v>0</v>
      </c>
      <c r="N24" s="178">
        <v>1120</v>
      </c>
      <c r="O24" s="178">
        <f>+N24-N24*0.24</f>
        <v>851.2</v>
      </c>
      <c r="P24" s="178">
        <f>360+50</f>
        <v>410</v>
      </c>
      <c r="Q24" s="153">
        <f>+N24*P24</f>
        <v>459200</v>
      </c>
      <c r="R24" s="153">
        <f>+O24*P24</f>
        <v>348992</v>
      </c>
    </row>
    <row r="25" spans="1:18" ht="13.5" thickBot="1">
      <c r="A25" s="818"/>
      <c r="B25" s="217" t="s">
        <v>432</v>
      </c>
      <c r="C25" s="226">
        <v>14605</v>
      </c>
      <c r="D25" s="219">
        <v>620</v>
      </c>
      <c r="E25" s="225"/>
      <c r="F25" s="231">
        <v>8</v>
      </c>
      <c r="G25" s="560" t="s">
        <v>11</v>
      </c>
      <c r="H25" s="559" t="s">
        <v>405</v>
      </c>
      <c r="I25" s="814"/>
      <c r="J25" s="216">
        <f>+'1'!J25</f>
        <v>0</v>
      </c>
      <c r="K25" s="238"/>
      <c r="L25" s="238"/>
      <c r="M25" s="121">
        <f>+K25+'1'!M25+L25</f>
        <v>0</v>
      </c>
      <c r="N25" s="153">
        <v>1120</v>
      </c>
      <c r="O25" s="178">
        <f>+N25-N25*0.22</f>
        <v>873.6</v>
      </c>
      <c r="P25" s="153">
        <f>10+60</f>
        <v>70</v>
      </c>
      <c r="Q25" s="153">
        <f>+N25*P25</f>
        <v>78400</v>
      </c>
      <c r="R25" s="153">
        <f>+O25*P25</f>
        <v>61152</v>
      </c>
    </row>
    <row r="26" spans="1:18" ht="13.5" thickBot="1">
      <c r="A26" s="818"/>
      <c r="B26" s="217" t="s">
        <v>458</v>
      </c>
      <c r="C26" s="226"/>
      <c r="D26" s="219"/>
      <c r="E26" s="227"/>
      <c r="F26" s="231">
        <v>10</v>
      </c>
      <c r="G26" s="560" t="s">
        <v>11</v>
      </c>
      <c r="H26" s="561" t="s">
        <v>455</v>
      </c>
      <c r="I26" s="814"/>
      <c r="J26" s="216">
        <f>+'1'!J26</f>
        <v>0</v>
      </c>
      <c r="K26" s="238"/>
      <c r="L26" s="238"/>
      <c r="M26" s="121">
        <f>+K26+'1'!M26+L26</f>
        <v>0</v>
      </c>
      <c r="P26" s="153">
        <f>SUM(P24:P25)</f>
        <v>480</v>
      </c>
      <c r="Q26" s="153">
        <f>SUM(Q24:Q25)</f>
        <v>537600</v>
      </c>
      <c r="R26" s="153">
        <f>SUM(R24:R25)</f>
        <v>410144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459</v>
      </c>
      <c r="I27" s="814"/>
      <c r="J27" s="216">
        <f>+'1'!J27</f>
        <v>0</v>
      </c>
      <c r="K27" s="238"/>
      <c r="L27" s="238"/>
      <c r="M27" s="121">
        <f>+K27+'1'!M27+L27</f>
        <v>0</v>
      </c>
      <c r="Q27" s="153">
        <f>+Q26/P26</f>
        <v>1120</v>
      </c>
      <c r="R27" s="153">
        <f>+R26/P26</f>
        <v>854.4666666666667</v>
      </c>
    </row>
    <row r="28" spans="1:18" ht="51.75" thickBot="1">
      <c r="A28" s="818"/>
      <c r="B28" s="217"/>
      <c r="C28" s="218"/>
      <c r="D28" s="219"/>
      <c r="E28" s="225"/>
      <c r="F28" s="481"/>
      <c r="G28" s="482"/>
      <c r="H28" s="230" t="s">
        <v>446</v>
      </c>
      <c r="I28" s="814"/>
      <c r="J28" s="216">
        <f>+'1'!J28</f>
        <v>0</v>
      </c>
      <c r="K28" s="238"/>
      <c r="L28" s="238"/>
      <c r="M28" s="121">
        <f>+K28+'1'!M28+L28</f>
        <v>0</v>
      </c>
      <c r="Q28" s="178"/>
      <c r="R28" s="178"/>
    </row>
    <row r="29" spans="1:18" ht="51.75" thickBot="1">
      <c r="A29" s="818"/>
      <c r="B29" s="217"/>
      <c r="C29" s="218"/>
      <c r="D29" s="219"/>
      <c r="E29" s="225"/>
      <c r="F29" s="235"/>
      <c r="G29" s="232"/>
      <c r="H29" s="233" t="s">
        <v>447</v>
      </c>
      <c r="I29" s="814"/>
      <c r="J29" s="216">
        <f>+'1'!J29</f>
        <v>0</v>
      </c>
      <c r="K29" s="238"/>
      <c r="L29" s="238"/>
      <c r="M29" s="121">
        <f>+K29+'1'!M29+L29</f>
        <v>0</v>
      </c>
    </row>
    <row r="30" spans="1:18" ht="26.25" thickBot="1">
      <c r="A30" s="818"/>
      <c r="B30" s="217"/>
      <c r="C30" s="226"/>
      <c r="D30" s="219"/>
      <c r="E30" s="225"/>
      <c r="F30" s="235"/>
      <c r="G30" s="232"/>
      <c r="H30" s="233" t="s">
        <v>448</v>
      </c>
      <c r="I30" s="814"/>
      <c r="J30" s="216">
        <f>+'1'!J30</f>
        <v>0</v>
      </c>
      <c r="K30" s="238"/>
      <c r="L30" s="238"/>
      <c r="M30" s="121">
        <f>+K30+'1'!M30+L30</f>
        <v>0</v>
      </c>
      <c r="N30" s="159"/>
    </row>
    <row r="31" spans="1:18" ht="51" customHeight="1" thickBot="1">
      <c r="A31" s="818"/>
      <c r="B31" s="217"/>
      <c r="C31" s="226"/>
      <c r="D31" s="219"/>
      <c r="E31" s="225"/>
      <c r="F31" s="235"/>
      <c r="G31" s="236"/>
      <c r="H31" s="439" t="s">
        <v>498</v>
      </c>
      <c r="I31" s="815"/>
      <c r="J31" s="216">
        <f>+'1'!J31</f>
        <v>0</v>
      </c>
      <c r="K31" s="238"/>
      <c r="L31" s="238"/>
      <c r="M31" s="121">
        <f>+K31+'1'!M31+L31</f>
        <v>0</v>
      </c>
    </row>
    <row r="32" spans="1:18" ht="13.5" thickBot="1">
      <c r="A32" s="819"/>
      <c r="B32" s="169" t="s">
        <v>2</v>
      </c>
      <c r="C32" s="103">
        <f>SUM(C25:C31)</f>
        <v>14605</v>
      </c>
      <c r="D32" s="104">
        <f>SUM(D25:D31)</f>
        <v>620</v>
      </c>
      <c r="E32" s="105">
        <f>SUM(E25:E31)</f>
        <v>0</v>
      </c>
      <c r="F32" s="103">
        <f>SUM(F24:F31)</f>
        <v>28</v>
      </c>
      <c r="G32" s="173"/>
      <c r="H32" s="174"/>
      <c r="I32" s="172"/>
      <c r="J32" s="216">
        <f>+'1'!J32</f>
        <v>0</v>
      </c>
      <c r="K32" s="240"/>
      <c r="L32" s="242"/>
      <c r="M32" s="121">
        <f>+K32+'1'!M32+L32</f>
        <v>0</v>
      </c>
    </row>
    <row r="33" spans="1:14" ht="13.5" thickBot="1">
      <c r="A33" s="175"/>
      <c r="B33" s="176"/>
      <c r="C33" s="107">
        <f>C32/($C$32+$D$32+$E$32)</f>
        <v>0.95927750410509027</v>
      </c>
      <c r="D33" s="108">
        <f>D32/($C$32+$D$32+$E$32)</f>
        <v>4.0722495894909685E-2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50273</v>
      </c>
      <c r="D34" s="111">
        <f>D14+D23+D32</f>
        <v>720</v>
      </c>
      <c r="E34" s="111">
        <f>E14+E23+E32</f>
        <v>0</v>
      </c>
      <c r="F34" s="112">
        <f>F14+F23+F32</f>
        <v>51</v>
      </c>
      <c r="H34" s="180"/>
      <c r="I34" s="180"/>
      <c r="J34" s="127" t="s">
        <v>27</v>
      </c>
      <c r="K34" s="128">
        <f>SUM(K7:K32)</f>
        <v>50273</v>
      </c>
      <c r="L34" s="214">
        <f>SUM(L7:L32)</f>
        <v>0</v>
      </c>
      <c r="M34" s="124">
        <f>SUM(M7:M32)</f>
        <v>68959</v>
      </c>
      <c r="N34" s="159"/>
    </row>
    <row r="35" spans="1:14" ht="13.5" thickBot="1">
      <c r="A35" s="181"/>
      <c r="B35" s="182"/>
      <c r="C35" s="108">
        <f>C34/($C$34+$D$34+$E$34)</f>
        <v>0.98588041495891598</v>
      </c>
      <c r="D35" s="108">
        <f>D34/($C$34+$D$34+$E$34)</f>
        <v>1.4119585041084071E-2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334"/>
      <c r="G37" s="336"/>
      <c r="H37" s="188" t="s">
        <v>73</v>
      </c>
      <c r="I37" s="243">
        <f>(15*1370+14.5*70)/1440*G42*2.85*1440/1000000</f>
        <v>51.402280087499996</v>
      </c>
      <c r="J37" s="129">
        <f>+I37+'1'!J37</f>
        <v>81.744350638282114</v>
      </c>
      <c r="K37" s="130" t="s">
        <v>74</v>
      </c>
      <c r="L37" s="580">
        <f>+I38-L38</f>
        <v>48.41</v>
      </c>
    </row>
    <row r="38" spans="1:14" ht="17.45" customHeight="1">
      <c r="A38" s="824" t="s">
        <v>11</v>
      </c>
      <c r="B38" s="825"/>
      <c r="C38" s="168">
        <f>SUMIF($G$7:$G$31,"Process",$F$7:$F$31)</f>
        <v>51</v>
      </c>
      <c r="D38" s="122">
        <f>+C38+'1'!D38</f>
        <v>86</v>
      </c>
      <c r="E38" s="147">
        <f t="shared" ref="E38:E51" si="0">D38/60</f>
        <v>1.4333333333333333</v>
      </c>
      <c r="F38" s="334">
        <v>1057.0833333333333</v>
      </c>
      <c r="G38" s="334">
        <v>803.38333333333333</v>
      </c>
      <c r="H38" s="189" t="s">
        <v>75</v>
      </c>
      <c r="I38" s="581">
        <f>16.046+17.354+16.866</f>
        <v>50.265999999999998</v>
      </c>
      <c r="J38" s="131">
        <f>+I38+'1'!J38</f>
        <v>78.870999999999995</v>
      </c>
      <c r="K38" s="132" t="s">
        <v>74</v>
      </c>
      <c r="L38" s="153">
        <v>1.8560000000000001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+C39+'1'!D39</f>
        <v>0</v>
      </c>
      <c r="E39" s="147">
        <f t="shared" si="0"/>
        <v>0</v>
      </c>
      <c r="F39" s="334">
        <v>1120</v>
      </c>
      <c r="G39" s="334">
        <v>851.2</v>
      </c>
      <c r="H39" s="189" t="s">
        <v>76</v>
      </c>
      <c r="I39" s="146"/>
      <c r="J39" s="133">
        <f>J37/G4</f>
        <v>40.872175319141057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>+C40+'1'!D40</f>
        <v>0</v>
      </c>
      <c r="E40" s="147">
        <f t="shared" si="0"/>
        <v>0</v>
      </c>
      <c r="F40" s="334">
        <v>1120</v>
      </c>
      <c r="G40" s="334">
        <v>854.4666666666667</v>
      </c>
      <c r="H40" s="189" t="s">
        <v>78</v>
      </c>
      <c r="I40" s="122">
        <f>(K34+L34)/1000</f>
        <v>50.273000000000003</v>
      </c>
      <c r="J40" s="135">
        <f>+I40+'1'!J40</f>
        <v>68.959000000000003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>+C41+'1'!D41</f>
        <v>0</v>
      </c>
      <c r="E41" s="147">
        <f t="shared" si="0"/>
        <v>0</v>
      </c>
      <c r="F41" s="334"/>
      <c r="G41" s="334"/>
      <c r="H41" s="189" t="s">
        <v>80</v>
      </c>
      <c r="I41" s="146"/>
      <c r="J41" s="133">
        <f>J40/G4</f>
        <v>34.479500000000002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>+C42+'1'!D42</f>
        <v>0</v>
      </c>
      <c r="E42" s="147">
        <f t="shared" si="0"/>
        <v>0</v>
      </c>
      <c r="F42" s="334">
        <f>+(F38*480+F39*480+F40*480)/1440</f>
        <v>1099.0277777777778</v>
      </c>
      <c r="G42" s="334">
        <f>+(G38*480+G39*480+G40*480)/1440</f>
        <v>836.35</v>
      </c>
      <c r="H42" s="189" t="s">
        <v>81</v>
      </c>
      <c r="I42" s="245" t="s">
        <v>453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>+C43+'1'!D43</f>
        <v>0</v>
      </c>
      <c r="E43" s="147">
        <f t="shared" si="0"/>
        <v>0</v>
      </c>
      <c r="F43" s="334"/>
      <c r="G43" s="335"/>
      <c r="H43" s="190" t="s">
        <v>84</v>
      </c>
      <c r="I43" s="122">
        <f>+Report1!Z10</f>
        <v>117.4</v>
      </c>
      <c r="J43" s="137">
        <f>+I43+'1'!J43</f>
        <v>197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+C44+'1'!D44</f>
        <v>0</v>
      </c>
      <c r="E44" s="147">
        <f t="shared" si="0"/>
        <v>0</v>
      </c>
      <c r="F44" s="334"/>
      <c r="G44" s="335"/>
      <c r="H44" s="190" t="s">
        <v>85</v>
      </c>
      <c r="I44" s="122">
        <f>I43/I38</f>
        <v>2.3355747423705888</v>
      </c>
      <c r="J44" s="138">
        <f>J43/J38</f>
        <v>2.4977494896730104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>+C45+'1'!D45</f>
        <v>0</v>
      </c>
      <c r="E45" s="147">
        <f t="shared" si="0"/>
        <v>0</v>
      </c>
      <c r="F45" s="334"/>
      <c r="G45" s="337"/>
      <c r="H45" s="190" t="s">
        <v>86</v>
      </c>
      <c r="I45" s="122">
        <f>I43/I40</f>
        <v>2.335249537525113</v>
      </c>
      <c r="J45" s="138">
        <f>J43/J40</f>
        <v>2.85676996476167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>+C46+'1'!D46</f>
        <v>0</v>
      </c>
      <c r="E46" s="147">
        <f t="shared" si="0"/>
        <v>0</v>
      </c>
      <c r="F46" s="334"/>
      <c r="G46" s="335"/>
      <c r="H46" s="190" t="s">
        <v>88</v>
      </c>
      <c r="I46" s="144">
        <f>+SUMIF(Listrik!AN9,"&gt;0")</f>
        <v>44118.359999999608</v>
      </c>
      <c r="J46" s="139">
        <f>+I46+'1'!J46</f>
        <v>81522.959999999992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>+C47+'1'!D47</f>
        <v>0</v>
      </c>
      <c r="E47" s="147">
        <f t="shared" si="0"/>
        <v>0</v>
      </c>
      <c r="F47" s="334"/>
      <c r="G47" s="335"/>
      <c r="H47" s="190" t="s">
        <v>91</v>
      </c>
      <c r="I47" s="122">
        <f>I46/I38</f>
        <v>877.69784745154993</v>
      </c>
      <c r="J47" s="139">
        <f>J46/J38</f>
        <v>1033.6240189676814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>+C48+'1'!D48</f>
        <v>0</v>
      </c>
      <c r="E48" s="147">
        <f t="shared" si="0"/>
        <v>0</v>
      </c>
      <c r="F48" s="334"/>
      <c r="G48" s="335"/>
      <c r="H48" s="190" t="s">
        <v>92</v>
      </c>
      <c r="I48" s="122">
        <f>I46/I40</f>
        <v>877.5756370218528</v>
      </c>
      <c r="J48" s="139">
        <f>J46/J40</f>
        <v>1182.1946373932335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0</v>
      </c>
      <c r="D49" s="122">
        <f>+C49+'1'!D49</f>
        <v>545</v>
      </c>
      <c r="E49" s="147">
        <f t="shared" si="0"/>
        <v>9.0833333333333339</v>
      </c>
      <c r="F49" s="187"/>
      <c r="H49" s="190" t="s">
        <v>193</v>
      </c>
      <c r="I49" s="122">
        <v>0</v>
      </c>
      <c r="J49" s="139">
        <f>+I49+'1'!J49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>+C50+'1'!D50</f>
        <v>0</v>
      </c>
      <c r="E50" s="147">
        <f t="shared" si="0"/>
        <v>0</v>
      </c>
      <c r="F50" s="187"/>
      <c r="H50" s="190" t="s">
        <v>95</v>
      </c>
      <c r="I50" s="144"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>+C51+'1'!D51</f>
        <v>0</v>
      </c>
      <c r="E51" s="147">
        <f t="shared" si="0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51</v>
      </c>
      <c r="D52" s="148">
        <f>SUM(D38:D51)</f>
        <v>631</v>
      </c>
      <c r="E52" s="149">
        <f>SUM(E38:E51)</f>
        <v>10.516666666666667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3.5416666666666666E-2</v>
      </c>
      <c r="D53" s="150">
        <f>D52/(24*60*G4)</f>
        <v>0.21909722222222222</v>
      </c>
      <c r="E53" s="151">
        <f>E52/(G4*24)</f>
        <v>0.21909722222222225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+D34+'1'!J56</f>
        <v>1220</v>
      </c>
      <c r="K56" s="203">
        <f>J56/(J40+J56/1000)/1000</f>
        <v>1.738411775602388E-2</v>
      </c>
    </row>
    <row r="57" spans="1:11">
      <c r="A57" s="178"/>
      <c r="I57" s="201" t="s">
        <v>100</v>
      </c>
      <c r="J57" s="202">
        <f>+E34+'1'!J57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H22" sqref="H2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710937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4.42578125" style="153" bestFit="1" customWidth="1"/>
    <col min="14" max="14" width="9.140625" style="153" bestFit="1"/>
    <col min="15" max="16384" width="9.140625" style="153"/>
  </cols>
  <sheetData>
    <row r="1" spans="1:16" ht="15.75">
      <c r="A1" s="152"/>
    </row>
    <row r="2" spans="1:16" ht="15.75">
      <c r="A2" s="152" t="s">
        <v>236</v>
      </c>
    </row>
    <row r="3" spans="1:16" ht="15">
      <c r="A3" s="154"/>
    </row>
    <row r="4" spans="1:16" ht="20.25">
      <c r="A4" s="155" t="s">
        <v>3</v>
      </c>
      <c r="B4" s="156"/>
      <c r="F4" s="157" t="s">
        <v>28</v>
      </c>
      <c r="G4" s="158">
        <v>1</v>
      </c>
      <c r="H4" s="158" t="s">
        <v>457</v>
      </c>
    </row>
    <row r="5" spans="1:16" ht="13.5" thickBot="1">
      <c r="C5" s="159"/>
      <c r="D5" s="159"/>
    </row>
    <row r="6" spans="1:16" ht="26.25" thickBot="1">
      <c r="A6" s="160" t="s">
        <v>58</v>
      </c>
      <c r="B6" s="161" t="s">
        <v>8</v>
      </c>
      <c r="C6" s="161" t="s">
        <v>59</v>
      </c>
      <c r="D6" s="161" t="s">
        <v>60</v>
      </c>
      <c r="E6" s="162" t="s">
        <v>61</v>
      </c>
      <c r="F6" s="106" t="s">
        <v>62</v>
      </c>
      <c r="G6" s="161" t="s">
        <v>63</v>
      </c>
      <c r="H6" s="163" t="s">
        <v>64</v>
      </c>
      <c r="I6" s="164" t="s">
        <v>65</v>
      </c>
      <c r="J6" s="165" t="s">
        <v>8</v>
      </c>
      <c r="K6" s="166" t="s">
        <v>66</v>
      </c>
      <c r="L6" s="212" t="s">
        <v>155</v>
      </c>
      <c r="M6" s="167" t="s">
        <v>67</v>
      </c>
      <c r="N6" s="153">
        <f>334+313</f>
        <v>647</v>
      </c>
    </row>
    <row r="7" spans="1:16" ht="13.5" customHeight="1" thickBot="1">
      <c r="A7" s="810" t="s">
        <v>415</v>
      </c>
      <c r="B7" s="217" t="s">
        <v>431</v>
      </c>
      <c r="C7" s="218">
        <v>706</v>
      </c>
      <c r="D7" s="219"/>
      <c r="E7" s="220"/>
      <c r="F7" s="231"/>
      <c r="G7" s="558" t="s">
        <v>11</v>
      </c>
      <c r="H7" s="559" t="s">
        <v>404</v>
      </c>
      <c r="I7" s="813"/>
      <c r="J7" s="249" t="s">
        <v>431</v>
      </c>
      <c r="K7" s="237">
        <f>+C7+C16+C25</f>
        <v>18686</v>
      </c>
      <c r="L7" s="241"/>
      <c r="M7" s="121">
        <f>+K7+L7</f>
        <v>18686</v>
      </c>
    </row>
    <row r="8" spans="1:16" ht="13.5" thickBot="1">
      <c r="A8" s="818"/>
      <c r="B8" s="217"/>
      <c r="C8" s="218"/>
      <c r="D8" s="219"/>
      <c r="E8" s="221"/>
      <c r="F8" s="231"/>
      <c r="G8" s="560" t="s">
        <v>11</v>
      </c>
      <c r="H8" s="559" t="s">
        <v>426</v>
      </c>
      <c r="I8" s="814"/>
      <c r="J8" s="250" t="s">
        <v>432</v>
      </c>
      <c r="K8" s="238"/>
      <c r="L8" s="238"/>
      <c r="M8" s="121">
        <f t="shared" ref="M8:M32" si="0">+K8+L8</f>
        <v>0</v>
      </c>
      <c r="N8" s="178"/>
      <c r="O8" s="178"/>
      <c r="P8" s="178"/>
    </row>
    <row r="9" spans="1:16" ht="13.5" thickBot="1">
      <c r="A9" s="818"/>
      <c r="B9" s="217"/>
      <c r="C9" s="218"/>
      <c r="D9" s="219"/>
      <c r="E9" s="222"/>
      <c r="F9" s="231"/>
      <c r="G9" s="560" t="s">
        <v>11</v>
      </c>
      <c r="H9" s="561" t="s">
        <v>427</v>
      </c>
      <c r="I9" s="814"/>
      <c r="J9" s="250"/>
      <c r="K9" s="238"/>
      <c r="L9" s="238"/>
      <c r="M9" s="121">
        <f t="shared" si="0"/>
        <v>0</v>
      </c>
    </row>
    <row r="10" spans="1:16" ht="51.75" thickBot="1">
      <c r="A10" s="818"/>
      <c r="B10" s="217"/>
      <c r="C10" s="218"/>
      <c r="D10" s="219"/>
      <c r="E10" s="221" t="s">
        <v>906</v>
      </c>
      <c r="F10" s="231">
        <v>480</v>
      </c>
      <c r="G10" s="558" t="s">
        <v>19</v>
      </c>
      <c r="H10" s="561" t="s">
        <v>438</v>
      </c>
      <c r="I10" s="814"/>
      <c r="J10" s="249"/>
      <c r="K10" s="238"/>
      <c r="L10" s="238"/>
      <c r="M10" s="121">
        <f t="shared" si="0"/>
        <v>0</v>
      </c>
    </row>
    <row r="11" spans="1:16" ht="26.25" thickBot="1">
      <c r="A11" s="818"/>
      <c r="B11" s="217"/>
      <c r="C11" s="218"/>
      <c r="D11" s="219"/>
      <c r="E11" s="221"/>
      <c r="F11" s="481"/>
      <c r="G11" s="482"/>
      <c r="H11" s="230" t="s">
        <v>418</v>
      </c>
      <c r="I11" s="814"/>
      <c r="J11" s="249"/>
      <c r="K11" s="238"/>
      <c r="L11" s="238"/>
      <c r="M11" s="121">
        <f t="shared" si="0"/>
        <v>0</v>
      </c>
    </row>
    <row r="12" spans="1:16" ht="26.25" thickBot="1">
      <c r="A12" s="818"/>
      <c r="B12" s="217"/>
      <c r="C12" s="218"/>
      <c r="D12" s="219"/>
      <c r="E12" s="221"/>
      <c r="F12" s="228"/>
      <c r="G12" s="232"/>
      <c r="H12" s="233" t="s">
        <v>419</v>
      </c>
      <c r="I12" s="814"/>
      <c r="J12" s="249"/>
      <c r="K12" s="238"/>
      <c r="L12" s="238"/>
      <c r="M12" s="121">
        <f t="shared" si="0"/>
        <v>0</v>
      </c>
    </row>
    <row r="13" spans="1:16" ht="13.5" thickBot="1">
      <c r="A13" s="818"/>
      <c r="B13" s="217"/>
      <c r="C13" s="218"/>
      <c r="D13" s="218"/>
      <c r="E13" s="221"/>
      <c r="F13" s="228"/>
      <c r="G13" s="232"/>
      <c r="H13" s="233" t="s">
        <v>420</v>
      </c>
      <c r="I13" s="815"/>
      <c r="J13" s="249"/>
      <c r="K13" s="238"/>
      <c r="L13" s="238"/>
      <c r="M13" s="121">
        <f t="shared" si="0"/>
        <v>0</v>
      </c>
    </row>
    <row r="14" spans="1:16" ht="13.5" thickBot="1">
      <c r="A14" s="819"/>
      <c r="B14" s="169"/>
      <c r="C14" s="115">
        <f>SUM(C7:C13)</f>
        <v>706</v>
      </c>
      <c r="D14" s="115">
        <f>SUM(D7:D13)</f>
        <v>0</v>
      </c>
      <c r="E14" s="116">
        <f>SUM(E5:E13)</f>
        <v>0</v>
      </c>
      <c r="F14" s="106">
        <f>SUM(F6:F13)</f>
        <v>480</v>
      </c>
      <c r="G14" s="163"/>
      <c r="H14" s="170"/>
      <c r="I14" s="171"/>
      <c r="J14" s="249"/>
      <c r="K14" s="238"/>
      <c r="L14" s="238"/>
      <c r="M14" s="121">
        <f t="shared" si="0"/>
        <v>0</v>
      </c>
    </row>
    <row r="15" spans="1:16" ht="13.5" thickBot="1">
      <c r="A15" s="831" t="s">
        <v>239</v>
      </c>
      <c r="B15" s="510"/>
      <c r="C15" s="108">
        <f>C14/($C$32+$D$32+$E$32)</f>
        <v>6.5491651205936918E-2</v>
      </c>
      <c r="D15" s="108">
        <f>D14/($C$32+$D$32+$E$32)</f>
        <v>0</v>
      </c>
      <c r="E15" s="109">
        <f>E14/($C$32+$D$32+$E$32)</f>
        <v>0</v>
      </c>
      <c r="F15" s="231"/>
      <c r="G15" s="558" t="s">
        <v>11</v>
      </c>
      <c r="H15" s="559" t="s">
        <v>404</v>
      </c>
      <c r="I15" s="813" t="s">
        <v>423</v>
      </c>
      <c r="J15" s="249"/>
      <c r="K15" s="238"/>
      <c r="L15" s="238"/>
      <c r="M15" s="121">
        <f t="shared" si="0"/>
        <v>0</v>
      </c>
    </row>
    <row r="16" spans="1:16" ht="13.5" thickBot="1">
      <c r="A16" s="818"/>
      <c r="B16" s="217" t="s">
        <v>431</v>
      </c>
      <c r="C16" s="511">
        <v>7700</v>
      </c>
      <c r="D16" s="223"/>
      <c r="E16" s="224"/>
      <c r="F16" s="231">
        <v>6</v>
      </c>
      <c r="G16" s="560" t="s">
        <v>11</v>
      </c>
      <c r="H16" s="559" t="s">
        <v>396</v>
      </c>
      <c r="I16" s="814"/>
      <c r="J16" s="249"/>
      <c r="K16" s="229"/>
      <c r="L16" s="229"/>
      <c r="M16" s="121">
        <f t="shared" si="0"/>
        <v>0</v>
      </c>
    </row>
    <row r="17" spans="1:18" ht="13.5" thickBot="1">
      <c r="A17" s="818"/>
      <c r="B17" s="217"/>
      <c r="C17" s="218"/>
      <c r="D17" s="219"/>
      <c r="E17" s="225"/>
      <c r="F17" s="231">
        <v>10</v>
      </c>
      <c r="G17" s="560" t="s">
        <v>11</v>
      </c>
      <c r="H17" s="561" t="s">
        <v>428</v>
      </c>
      <c r="I17" s="814"/>
      <c r="J17" s="249"/>
      <c r="K17" s="229"/>
      <c r="L17" s="229"/>
      <c r="M17" s="121">
        <f t="shared" si="0"/>
        <v>0</v>
      </c>
      <c r="N17" s="153">
        <v>1250</v>
      </c>
      <c r="O17" s="153">
        <f>+N17-N17*0.24</f>
        <v>950</v>
      </c>
      <c r="P17" s="178">
        <f>480-65</f>
        <v>415</v>
      </c>
    </row>
    <row r="18" spans="1:18" ht="13.5" thickBot="1">
      <c r="A18" s="818"/>
      <c r="B18" s="217"/>
      <c r="C18" s="218"/>
      <c r="D18" s="219"/>
      <c r="E18" s="221" t="s">
        <v>906</v>
      </c>
      <c r="F18" s="231">
        <v>65</v>
      </c>
      <c r="G18" s="558" t="s">
        <v>19</v>
      </c>
      <c r="H18" s="561" t="s">
        <v>439</v>
      </c>
      <c r="I18" s="814"/>
      <c r="J18" s="249"/>
      <c r="K18" s="238"/>
      <c r="L18" s="238"/>
      <c r="M18" s="121">
        <f t="shared" si="0"/>
        <v>0</v>
      </c>
      <c r="Q18" s="178"/>
      <c r="R18" s="178"/>
    </row>
    <row r="19" spans="1:18" ht="13.5" thickBot="1">
      <c r="A19" s="818"/>
      <c r="B19" s="217"/>
      <c r="C19" s="218"/>
      <c r="D19" s="219"/>
      <c r="E19" s="225"/>
      <c r="F19" s="481"/>
      <c r="G19" s="482"/>
      <c r="H19" s="230" t="s">
        <v>421</v>
      </c>
      <c r="I19" s="814"/>
      <c r="J19" s="249"/>
      <c r="K19" s="238"/>
      <c r="L19" s="238"/>
      <c r="M19" s="121">
        <f t="shared" si="0"/>
        <v>0</v>
      </c>
    </row>
    <row r="20" spans="1:18" ht="13.5" thickBot="1">
      <c r="A20" s="818"/>
      <c r="B20" s="217"/>
      <c r="C20" s="218"/>
      <c r="D20" s="219"/>
      <c r="E20" s="225"/>
      <c r="F20" s="228"/>
      <c r="G20" s="232"/>
      <c r="H20" s="233" t="s">
        <v>422</v>
      </c>
      <c r="I20" s="814"/>
      <c r="J20" s="249"/>
      <c r="K20" s="239"/>
      <c r="L20" s="239"/>
      <c r="M20" s="121">
        <f t="shared" si="0"/>
        <v>0</v>
      </c>
    </row>
    <row r="21" spans="1:18" ht="13.5" thickBot="1">
      <c r="A21" s="818"/>
      <c r="B21" s="217"/>
      <c r="C21" s="218"/>
      <c r="D21" s="219"/>
      <c r="E21" s="225"/>
      <c r="F21" s="231"/>
      <c r="G21" s="232"/>
      <c r="H21" s="233"/>
      <c r="I21" s="814"/>
      <c r="J21" s="249"/>
      <c r="K21" s="238"/>
      <c r="L21" s="238"/>
      <c r="M21" s="121">
        <f t="shared" si="0"/>
        <v>0</v>
      </c>
    </row>
    <row r="22" spans="1:18" ht="13.5" thickBot="1">
      <c r="A22" s="818"/>
      <c r="B22" s="217"/>
      <c r="C22" s="218"/>
      <c r="D22" s="219"/>
      <c r="E22" s="225"/>
      <c r="F22" s="235"/>
      <c r="G22" s="232"/>
      <c r="H22" s="233"/>
      <c r="I22" s="815"/>
      <c r="J22" s="249"/>
      <c r="K22" s="238"/>
      <c r="L22" s="238"/>
      <c r="M22" s="121">
        <f t="shared" si="0"/>
        <v>0</v>
      </c>
    </row>
    <row r="23" spans="1:18" ht="13.5" thickBot="1">
      <c r="A23" s="819"/>
      <c r="B23" s="169" t="s">
        <v>2</v>
      </c>
      <c r="C23" s="103">
        <f>SUM(C16:C22)</f>
        <v>7700</v>
      </c>
      <c r="D23" s="115">
        <f>SUM(D16:D22)</f>
        <v>0</v>
      </c>
      <c r="E23" s="116">
        <f>SUM(E18:E22)</f>
        <v>0</v>
      </c>
      <c r="F23" s="106">
        <f>SUM(F15:F22)</f>
        <v>81</v>
      </c>
      <c r="G23" s="163"/>
      <c r="H23" s="170"/>
      <c r="I23" s="172"/>
      <c r="J23" s="249"/>
      <c r="K23" s="238"/>
      <c r="L23" s="238"/>
      <c r="M23" s="121">
        <f t="shared" si="0"/>
        <v>0</v>
      </c>
    </row>
    <row r="24" spans="1:18" ht="13.5" thickBot="1">
      <c r="A24" s="831" t="s">
        <v>239</v>
      </c>
      <c r="B24" s="510"/>
      <c r="C24" s="107">
        <f>C23/($C$32+$D$32+$E$32)</f>
        <v>0.7142857142857143</v>
      </c>
      <c r="D24" s="108">
        <f>D23/($C$32+$D$32+$E$32)</f>
        <v>0</v>
      </c>
      <c r="E24" s="109">
        <f>E23/($C$32+$D$32+$E$32)</f>
        <v>0</v>
      </c>
      <c r="F24" s="231"/>
      <c r="G24" s="558" t="s">
        <v>11</v>
      </c>
      <c r="H24" s="559" t="s">
        <v>404</v>
      </c>
      <c r="I24" s="813" t="s">
        <v>424</v>
      </c>
      <c r="J24" s="249"/>
      <c r="K24" s="238"/>
      <c r="L24" s="238"/>
      <c r="M24" s="121">
        <f t="shared" si="0"/>
        <v>0</v>
      </c>
    </row>
    <row r="25" spans="1:18" ht="13.5" thickBot="1">
      <c r="A25" s="818"/>
      <c r="B25" s="217" t="s">
        <v>431</v>
      </c>
      <c r="C25" s="226">
        <v>10280</v>
      </c>
      <c r="D25" s="219">
        <v>500</v>
      </c>
      <c r="E25" s="225"/>
      <c r="F25" s="231">
        <v>9</v>
      </c>
      <c r="G25" s="560" t="s">
        <v>11</v>
      </c>
      <c r="H25" s="559" t="s">
        <v>405</v>
      </c>
      <c r="I25" s="814"/>
      <c r="J25" s="249"/>
      <c r="K25" s="238"/>
      <c r="L25" s="238"/>
      <c r="M25" s="121">
        <f t="shared" si="0"/>
        <v>0</v>
      </c>
    </row>
    <row r="26" spans="1:18" ht="13.5" thickBot="1">
      <c r="A26" s="818"/>
      <c r="B26" s="217" t="s">
        <v>432</v>
      </c>
      <c r="C26" s="226"/>
      <c r="D26" s="219"/>
      <c r="E26" s="227"/>
      <c r="F26" s="231">
        <v>10</v>
      </c>
      <c r="G26" s="560" t="s">
        <v>11</v>
      </c>
      <c r="H26" s="561" t="s">
        <v>413</v>
      </c>
      <c r="I26" s="814"/>
      <c r="J26" s="249"/>
      <c r="K26" s="238"/>
      <c r="L26" s="238"/>
      <c r="M26" s="121">
        <f t="shared" si="0"/>
        <v>0</v>
      </c>
      <c r="N26" s="153">
        <v>1250</v>
      </c>
      <c r="O26" s="153">
        <f>+N26-N26*0.24</f>
        <v>950</v>
      </c>
      <c r="P26" s="153">
        <f>240+22</f>
        <v>262</v>
      </c>
      <c r="Q26" s="153">
        <f>+N26*P26</f>
        <v>327500</v>
      </c>
      <c r="R26" s="153">
        <f>+O26*P26</f>
        <v>248900</v>
      </c>
    </row>
    <row r="27" spans="1:18" ht="13.5" thickBot="1">
      <c r="A27" s="818"/>
      <c r="B27" s="217"/>
      <c r="C27" s="218"/>
      <c r="D27" s="219"/>
      <c r="E27" s="225"/>
      <c r="F27" s="231"/>
      <c r="G27" s="558"/>
      <c r="H27" s="561" t="s">
        <v>414</v>
      </c>
      <c r="I27" s="814"/>
      <c r="J27" s="249"/>
      <c r="K27" s="238"/>
      <c r="L27" s="238"/>
      <c r="M27" s="121">
        <f t="shared" si="0"/>
        <v>0</v>
      </c>
      <c r="N27" s="153">
        <v>1020</v>
      </c>
      <c r="O27" s="153">
        <f>+N27-N27*0.24</f>
        <v>775.2</v>
      </c>
      <c r="P27" s="178">
        <f>60-22+180</f>
        <v>218</v>
      </c>
      <c r="Q27" s="153">
        <f>+N27*P27</f>
        <v>222360</v>
      </c>
      <c r="R27" s="153">
        <f>+O27*P27</f>
        <v>168993.6</v>
      </c>
    </row>
    <row r="28" spans="1:18" ht="13.5" thickBot="1">
      <c r="A28" s="818"/>
      <c r="B28" s="217"/>
      <c r="C28" s="218"/>
      <c r="D28" s="219"/>
      <c r="E28" s="225"/>
      <c r="F28" s="481"/>
      <c r="G28" s="482"/>
      <c r="H28" s="230" t="s">
        <v>461</v>
      </c>
      <c r="I28" s="814"/>
      <c r="J28" s="249"/>
      <c r="K28" s="238"/>
      <c r="L28" s="238"/>
      <c r="M28" s="121">
        <f t="shared" si="0"/>
        <v>0</v>
      </c>
      <c r="P28" s="153">
        <f>SUM(P26:P27)</f>
        <v>480</v>
      </c>
      <c r="Q28" s="153">
        <f>SUM(Q26:Q27)</f>
        <v>549860</v>
      </c>
      <c r="R28" s="153">
        <f>SUM(R26:R27)</f>
        <v>417893.6</v>
      </c>
    </row>
    <row r="29" spans="1:18" ht="13.5" thickBot="1">
      <c r="A29" s="818"/>
      <c r="B29" s="217"/>
      <c r="C29" s="218"/>
      <c r="D29" s="219"/>
      <c r="E29" s="225"/>
      <c r="F29" s="228"/>
      <c r="G29" s="232"/>
      <c r="H29" s="233"/>
      <c r="I29" s="814"/>
      <c r="J29" s="249"/>
      <c r="K29" s="238"/>
      <c r="L29" s="238"/>
      <c r="M29" s="121">
        <f t="shared" si="0"/>
        <v>0</v>
      </c>
      <c r="Q29" s="153">
        <f>+Q28/P28</f>
        <v>1145.5416666666667</v>
      </c>
      <c r="R29" s="153">
        <f>+R28/P28</f>
        <v>870.61166666666657</v>
      </c>
    </row>
    <row r="30" spans="1:18" ht="13.5" thickBot="1">
      <c r="A30" s="818"/>
      <c r="B30" s="217"/>
      <c r="C30" s="226"/>
      <c r="D30" s="219"/>
      <c r="E30" s="225"/>
      <c r="F30" s="235"/>
      <c r="G30" s="232"/>
      <c r="H30" s="233"/>
      <c r="I30" s="814"/>
      <c r="J30" s="249"/>
      <c r="K30" s="238"/>
      <c r="L30" s="238"/>
      <c r="M30" s="121">
        <f t="shared" si="0"/>
        <v>0</v>
      </c>
      <c r="N30" s="159"/>
    </row>
    <row r="31" spans="1:18" ht="13.5" thickBot="1">
      <c r="A31" s="818"/>
      <c r="B31" s="217"/>
      <c r="C31" s="226"/>
      <c r="D31" s="219"/>
      <c r="E31" s="225"/>
      <c r="F31" s="235"/>
      <c r="G31" s="236"/>
      <c r="H31" s="439"/>
      <c r="I31" s="815"/>
      <c r="J31" s="249"/>
      <c r="K31" s="238"/>
      <c r="L31" s="238"/>
      <c r="M31" s="121">
        <f t="shared" si="0"/>
        <v>0</v>
      </c>
    </row>
    <row r="32" spans="1:18" ht="13.5" thickBot="1">
      <c r="A32" s="819"/>
      <c r="B32" s="169" t="s">
        <v>2</v>
      </c>
      <c r="C32" s="103">
        <f>SUM(C25:C31)</f>
        <v>10280</v>
      </c>
      <c r="D32" s="104">
        <f>SUM(D25:D31)</f>
        <v>500</v>
      </c>
      <c r="E32" s="105">
        <f>SUM(E25:E31)</f>
        <v>0</v>
      </c>
      <c r="F32" s="103">
        <f>SUM(F24:F31)</f>
        <v>19</v>
      </c>
      <c r="G32" s="173"/>
      <c r="H32" s="174"/>
      <c r="I32" s="172"/>
      <c r="J32" s="251"/>
      <c r="K32" s="240"/>
      <c r="L32" s="242"/>
      <c r="M32" s="121">
        <f t="shared" si="0"/>
        <v>0</v>
      </c>
    </row>
    <row r="33" spans="1:14" ht="13.5" thickBot="1">
      <c r="A33" s="175"/>
      <c r="B33" s="176"/>
      <c r="C33" s="107">
        <f>C32/($C$32+$D$32+$E$32)</f>
        <v>0.95361781076066787</v>
      </c>
      <c r="D33" s="108">
        <f>D32/($C$32+$D$32+$E$32)</f>
        <v>4.6382189239332093E-2</v>
      </c>
      <c r="E33" s="109">
        <f>E32/($C$32+$D$32+$E$32)</f>
        <v>0</v>
      </c>
      <c r="F33" s="110"/>
      <c r="G33" s="177"/>
      <c r="H33" s="178" t="s">
        <v>0</v>
      </c>
      <c r="I33" s="179"/>
      <c r="J33" s="125"/>
      <c r="K33" s="126"/>
      <c r="L33" s="215"/>
      <c r="M33" s="123"/>
    </row>
    <row r="34" spans="1:14" ht="13.5" thickBot="1">
      <c r="A34" s="820" t="s">
        <v>68</v>
      </c>
      <c r="B34" s="821"/>
      <c r="C34" s="111">
        <f>C14+C23+C32</f>
        <v>18686</v>
      </c>
      <c r="D34" s="111">
        <f>D14+D23+D32</f>
        <v>500</v>
      </c>
      <c r="E34" s="111">
        <f>E14+E23+E32</f>
        <v>0</v>
      </c>
      <c r="F34" s="112">
        <f>F14+F23+F32</f>
        <v>580</v>
      </c>
      <c r="H34" s="180"/>
      <c r="I34" s="180"/>
      <c r="J34" s="127" t="s">
        <v>27</v>
      </c>
      <c r="K34" s="128">
        <f>SUM(K7:K32)</f>
        <v>18686</v>
      </c>
      <c r="L34" s="214">
        <f>SUM(L7:L32)</f>
        <v>0</v>
      </c>
      <c r="M34" s="124">
        <f>SUM(M7:M32)</f>
        <v>18686</v>
      </c>
      <c r="N34" s="159"/>
    </row>
    <row r="35" spans="1:14" ht="13.5" thickBot="1">
      <c r="A35" s="181"/>
      <c r="B35" s="182"/>
      <c r="C35" s="108">
        <f>C34/($C$34+$D$34+$E$34)</f>
        <v>0.973939330762014</v>
      </c>
      <c r="D35" s="108">
        <f>D34/($C$34+$D$34+$E$34)</f>
        <v>2.6060669237986032E-2</v>
      </c>
      <c r="E35" s="113">
        <f>E34/($C$34+$D$34+$E$34)</f>
        <v>0</v>
      </c>
      <c r="K35" s="159"/>
    </row>
    <row r="36" spans="1:14" ht="13.5" thickBot="1">
      <c r="A36" s="180"/>
      <c r="B36" s="180"/>
      <c r="C36" s="159"/>
      <c r="D36" s="159"/>
      <c r="E36" s="159"/>
      <c r="G36" s="159"/>
      <c r="H36" s="183"/>
      <c r="I36" s="166" t="s">
        <v>36</v>
      </c>
      <c r="J36" s="166" t="s">
        <v>37</v>
      </c>
      <c r="K36" s="184"/>
    </row>
    <row r="37" spans="1:14" ht="17.45" customHeight="1" thickBot="1">
      <c r="A37" s="822" t="s">
        <v>69</v>
      </c>
      <c r="B37" s="823"/>
      <c r="C37" s="166" t="s">
        <v>70</v>
      </c>
      <c r="D37" s="185" t="s">
        <v>71</v>
      </c>
      <c r="E37" s="186" t="s">
        <v>72</v>
      </c>
      <c r="F37" s="187"/>
      <c r="G37" s="159"/>
      <c r="H37" s="188" t="s">
        <v>73</v>
      </c>
      <c r="I37" s="243">
        <f>(12.5*677+15*218)/895*G42*2.85*895/1000000</f>
        <v>30.342070550782122</v>
      </c>
      <c r="J37" s="129">
        <f>I37</f>
        <v>30.342070550782122</v>
      </c>
      <c r="K37" s="130" t="s">
        <v>74</v>
      </c>
      <c r="L37" s="159">
        <f>+I38-L38</f>
        <v>22.826000000000001</v>
      </c>
    </row>
    <row r="38" spans="1:14" ht="17.45" customHeight="1">
      <c r="A38" s="824" t="s">
        <v>11</v>
      </c>
      <c r="B38" s="825"/>
      <c r="C38" s="168">
        <f>SUMIF($G$7:$G$31,"Process",$F$7:$F$31)</f>
        <v>35</v>
      </c>
      <c r="D38" s="122">
        <f>C38</f>
        <v>35</v>
      </c>
      <c r="E38" s="147">
        <f t="shared" ref="E38:E51" si="1">D38/60</f>
        <v>0.58333333333333337</v>
      </c>
      <c r="F38" s="187"/>
      <c r="G38" s="187"/>
      <c r="H38" s="189" t="s">
        <v>75</v>
      </c>
      <c r="I38" s="513">
        <f>12.702+15.903</f>
        <v>28.605</v>
      </c>
      <c r="J38" s="131">
        <f>I38</f>
        <v>28.605</v>
      </c>
      <c r="K38" s="132" t="s">
        <v>74</v>
      </c>
      <c r="L38" s="153">
        <f>1.881+2.351+1.547</f>
        <v>5.7789999999999999</v>
      </c>
    </row>
    <row r="39" spans="1:14" ht="17.45" customHeight="1">
      <c r="A39" s="808" t="s">
        <v>12</v>
      </c>
      <c r="B39" s="809"/>
      <c r="C39" s="168">
        <f>SUMIF($G$7:$G$31,"Cleaning",$F$7:$F$31)</f>
        <v>0</v>
      </c>
      <c r="D39" s="122">
        <f>C39</f>
        <v>0</v>
      </c>
      <c r="E39" s="147">
        <f t="shared" si="1"/>
        <v>0</v>
      </c>
      <c r="F39" s="187">
        <v>1250</v>
      </c>
      <c r="G39" s="187">
        <v>950</v>
      </c>
      <c r="H39" s="189" t="s">
        <v>76</v>
      </c>
      <c r="I39" s="146"/>
      <c r="J39" s="133">
        <f>J37/G4</f>
        <v>30.342070550782122</v>
      </c>
      <c r="K39" s="134" t="s">
        <v>74</v>
      </c>
    </row>
    <row r="40" spans="1:14" ht="17.45" customHeight="1">
      <c r="A40" s="808" t="s">
        <v>77</v>
      </c>
      <c r="B40" s="809"/>
      <c r="C40" s="168">
        <f>SUMIF($G$7:$G$31,"Mechanical",$F$7:$F$31)</f>
        <v>0</v>
      </c>
      <c r="D40" s="122">
        <f t="shared" ref="D40:D51" si="2">C40</f>
        <v>0</v>
      </c>
      <c r="E40" s="147">
        <f t="shared" si="1"/>
        <v>0</v>
      </c>
      <c r="F40" s="187">
        <v>1145.5416666666667</v>
      </c>
      <c r="G40" s="187">
        <v>870.61166666666657</v>
      </c>
      <c r="H40" s="189" t="s">
        <v>78</v>
      </c>
      <c r="I40" s="122">
        <f>(K34+L34)/1000</f>
        <v>18.686</v>
      </c>
      <c r="J40" s="135">
        <f>M34/1000</f>
        <v>18.686</v>
      </c>
      <c r="K40" s="134" t="s">
        <v>74</v>
      </c>
    </row>
    <row r="41" spans="1:14" ht="17.45" customHeight="1">
      <c r="A41" s="808" t="s">
        <v>79</v>
      </c>
      <c r="B41" s="809"/>
      <c r="C41" s="168">
        <f>SUMIF($G$7:$G$31,"Electrical",$F$7:$F$31)</f>
        <v>0</v>
      </c>
      <c r="D41" s="122">
        <f t="shared" si="2"/>
        <v>0</v>
      </c>
      <c r="E41" s="147">
        <f t="shared" si="1"/>
        <v>0</v>
      </c>
      <c r="F41" s="187"/>
      <c r="G41" s="187"/>
      <c r="H41" s="189" t="s">
        <v>80</v>
      </c>
      <c r="I41" s="146"/>
      <c r="J41" s="133">
        <f>J40/G4</f>
        <v>18.686</v>
      </c>
      <c r="K41" s="134" t="s">
        <v>74</v>
      </c>
    </row>
    <row r="42" spans="1:14" ht="17.45" customHeight="1">
      <c r="A42" s="808" t="s">
        <v>15</v>
      </c>
      <c r="B42" s="809"/>
      <c r="C42" s="168">
        <f>SUMIF($G$7:$G$31,"Instrument",$F$7:$F$31)</f>
        <v>0</v>
      </c>
      <c r="D42" s="122">
        <f t="shared" si="2"/>
        <v>0</v>
      </c>
      <c r="E42" s="147">
        <f t="shared" si="1"/>
        <v>0</v>
      </c>
      <c r="F42" s="334">
        <f>+(F38*0+F39*415+F40*480)/895</f>
        <v>1193.977653631285</v>
      </c>
      <c r="G42" s="334">
        <f>+(G38*0+G39*415+G40*480)/895</f>
        <v>907.42301675977649</v>
      </c>
      <c r="H42" s="189" t="s">
        <v>81</v>
      </c>
      <c r="I42" s="245" t="s">
        <v>425</v>
      </c>
      <c r="J42" s="136"/>
      <c r="K42" s="134" t="s">
        <v>82</v>
      </c>
    </row>
    <row r="43" spans="1:14" ht="17.45" customHeight="1">
      <c r="A43" s="808" t="s">
        <v>83</v>
      </c>
      <c r="B43" s="809"/>
      <c r="C43" s="168">
        <f>SUMIF($G$7:$G$31,"Water",$F$7:$F$31)</f>
        <v>0</v>
      </c>
      <c r="D43" s="122">
        <f t="shared" si="2"/>
        <v>0</v>
      </c>
      <c r="E43" s="147">
        <f t="shared" si="1"/>
        <v>0</v>
      </c>
      <c r="F43" s="187"/>
      <c r="H43" s="190" t="s">
        <v>84</v>
      </c>
      <c r="I43" s="122">
        <f>+Report1!Z9</f>
        <v>79.599999999999994</v>
      </c>
      <c r="J43" s="137">
        <f>I43</f>
        <v>79.599999999999994</v>
      </c>
      <c r="K43" s="134" t="s">
        <v>74</v>
      </c>
      <c r="L43" s="191"/>
    </row>
    <row r="44" spans="1:14" ht="17.45" customHeight="1">
      <c r="A44" s="808" t="s">
        <v>16</v>
      </c>
      <c r="B44" s="809"/>
      <c r="C44" s="168">
        <f>SUMIF($G$7:$G$31,"PLN",$F$7:$F$31)</f>
        <v>0</v>
      </c>
      <c r="D44" s="122">
        <f>C44</f>
        <v>0</v>
      </c>
      <c r="E44" s="147">
        <f t="shared" si="1"/>
        <v>0</v>
      </c>
      <c r="F44" s="187"/>
      <c r="H44" s="190" t="s">
        <v>85</v>
      </c>
      <c r="I44" s="122">
        <f>I43/I38</f>
        <v>2.7827302919070092</v>
      </c>
      <c r="J44" s="138">
        <f>J43/J38</f>
        <v>2.7827302919070092</v>
      </c>
      <c r="K44" s="134" t="s">
        <v>74</v>
      </c>
    </row>
    <row r="45" spans="1:14" ht="17.45" customHeight="1">
      <c r="A45" s="808" t="s">
        <v>17</v>
      </c>
      <c r="B45" s="809"/>
      <c r="C45" s="168">
        <f>SUMIF($G$7:$G$31,"Boiler",$F$7:$F$31)</f>
        <v>0</v>
      </c>
      <c r="D45" s="122">
        <f t="shared" si="2"/>
        <v>0</v>
      </c>
      <c r="E45" s="147">
        <f t="shared" si="1"/>
        <v>0</v>
      </c>
      <c r="F45" s="187"/>
      <c r="G45" s="178"/>
      <c r="H45" s="190" t="s">
        <v>86</v>
      </c>
      <c r="I45" s="122">
        <f>I43/I40</f>
        <v>4.2598737022369688</v>
      </c>
      <c r="J45" s="138">
        <f>J43/J40</f>
        <v>4.2598737022369688</v>
      </c>
      <c r="K45" s="134" t="s">
        <v>74</v>
      </c>
    </row>
    <row r="46" spans="1:14" ht="17.45" customHeight="1">
      <c r="A46" s="808" t="s">
        <v>87</v>
      </c>
      <c r="B46" s="809"/>
      <c r="C46" s="168">
        <f>SUMIF($G$7:$G$31,"Gas",$F$7:$F$31)</f>
        <v>0</v>
      </c>
      <c r="D46" s="122">
        <f t="shared" si="2"/>
        <v>0</v>
      </c>
      <c r="E46" s="147">
        <f t="shared" si="1"/>
        <v>0</v>
      </c>
      <c r="F46" s="187"/>
      <c r="H46" s="190" t="s">
        <v>88</v>
      </c>
      <c r="I46" s="144">
        <f>+SUMIF(Listrik!AN8,"&gt;0")</f>
        <v>37404.600000000384</v>
      </c>
      <c r="J46" s="139">
        <f>I46</f>
        <v>37404.600000000384</v>
      </c>
      <c r="K46" s="134" t="s">
        <v>89</v>
      </c>
    </row>
    <row r="47" spans="1:14" ht="17.45" customHeight="1">
      <c r="A47" s="808" t="s">
        <v>90</v>
      </c>
      <c r="B47" s="809"/>
      <c r="C47" s="168">
        <f>SUMIF($G$7:$G$31,"Gas",$F$7:$F$31)</f>
        <v>0</v>
      </c>
      <c r="D47" s="122">
        <f t="shared" si="2"/>
        <v>0</v>
      </c>
      <c r="E47" s="147">
        <f t="shared" si="1"/>
        <v>0</v>
      </c>
      <c r="F47" s="187"/>
      <c r="H47" s="190" t="s">
        <v>91</v>
      </c>
      <c r="I47" s="122">
        <f>I46/I38</f>
        <v>1307.6245411641455</v>
      </c>
      <c r="J47" s="139">
        <f>J46/J38</f>
        <v>1307.6245411641455</v>
      </c>
      <c r="K47" s="134" t="s">
        <v>23</v>
      </c>
    </row>
    <row r="48" spans="1:14" ht="17.45" customHeight="1">
      <c r="A48" s="808" t="s">
        <v>13</v>
      </c>
      <c r="B48" s="809"/>
      <c r="C48" s="168">
        <f>SUMIF($G$7:$G$31,"Start Up",$F$7:$F$31)</f>
        <v>0</v>
      </c>
      <c r="D48" s="122">
        <f t="shared" si="2"/>
        <v>0</v>
      </c>
      <c r="E48" s="147">
        <f t="shared" si="1"/>
        <v>0</v>
      </c>
      <c r="F48" s="187"/>
      <c r="H48" s="190" t="s">
        <v>92</v>
      </c>
      <c r="I48" s="122">
        <f>I46/I40</f>
        <v>2001.7446216418914</v>
      </c>
      <c r="J48" s="139">
        <f>J46/J40</f>
        <v>2001.7446216418914</v>
      </c>
      <c r="K48" s="134" t="s">
        <v>23</v>
      </c>
    </row>
    <row r="49" spans="1:11" ht="17.45" customHeight="1">
      <c r="A49" s="808" t="s">
        <v>19</v>
      </c>
      <c r="B49" s="809"/>
      <c r="C49" s="168">
        <f>SUMIF($G$7:$G$31,"Others",$F$7:$F$31)</f>
        <v>545</v>
      </c>
      <c r="D49" s="122">
        <f t="shared" si="2"/>
        <v>545</v>
      </c>
      <c r="E49" s="147">
        <f t="shared" si="1"/>
        <v>9.0833333333333339</v>
      </c>
      <c r="F49" s="187"/>
      <c r="H49" s="190" t="s">
        <v>193</v>
      </c>
      <c r="I49" s="122"/>
      <c r="J49" s="139">
        <f>I49</f>
        <v>0</v>
      </c>
      <c r="K49" s="134" t="s">
        <v>94</v>
      </c>
    </row>
    <row r="50" spans="1:11" ht="17.45" customHeight="1">
      <c r="A50" s="808" t="s">
        <v>18</v>
      </c>
      <c r="B50" s="809"/>
      <c r="C50" s="168">
        <f>SUMIF($G$7:$G$31,"Steam",$F$7:$F$31)</f>
        <v>0</v>
      </c>
      <c r="D50" s="122">
        <f t="shared" si="2"/>
        <v>0</v>
      </c>
      <c r="E50" s="147">
        <f t="shared" si="1"/>
        <v>0</v>
      </c>
      <c r="F50" s="187"/>
      <c r="H50" s="190" t="s">
        <v>95</v>
      </c>
      <c r="I50" s="144">
        <f>I49/I38</f>
        <v>0</v>
      </c>
      <c r="J50" s="137">
        <f>J49/J38</f>
        <v>0</v>
      </c>
      <c r="K50" s="134" t="s">
        <v>94</v>
      </c>
    </row>
    <row r="51" spans="1:11" ht="17.45" customHeight="1" thickBot="1">
      <c r="A51" s="828" t="s">
        <v>96</v>
      </c>
      <c r="B51" s="829"/>
      <c r="C51" s="168">
        <f>SUMIF($G$7:$G$31,"Planned shut",$F$7:$F$31)</f>
        <v>0</v>
      </c>
      <c r="D51" s="122">
        <f t="shared" si="2"/>
        <v>0</v>
      </c>
      <c r="E51" s="147">
        <f t="shared" si="1"/>
        <v>0</v>
      </c>
      <c r="F51" s="187"/>
      <c r="H51" s="192" t="s">
        <v>97</v>
      </c>
      <c r="I51" s="145">
        <f>I49/I40</f>
        <v>0</v>
      </c>
      <c r="J51" s="140">
        <f>J49/J40</f>
        <v>0</v>
      </c>
      <c r="K51" s="141" t="s">
        <v>94</v>
      </c>
    </row>
    <row r="52" spans="1:11" ht="13.5" thickBot="1">
      <c r="A52" s="824" t="s">
        <v>27</v>
      </c>
      <c r="B52" s="825"/>
      <c r="C52" s="148">
        <f>SUM(C38:C51)</f>
        <v>580</v>
      </c>
      <c r="D52" s="148">
        <f>SUM(D38:D51)</f>
        <v>580</v>
      </c>
      <c r="E52" s="149">
        <f>SUM(E38:E51)</f>
        <v>9.6666666666666679</v>
      </c>
      <c r="F52" s="187"/>
      <c r="H52" s="193"/>
      <c r="I52" s="194"/>
      <c r="J52" s="142"/>
      <c r="K52" s="143"/>
    </row>
    <row r="53" spans="1:11" ht="13.5" thickBot="1">
      <c r="A53" s="826"/>
      <c r="B53" s="827"/>
      <c r="C53" s="150">
        <f>C52/(24*60)</f>
        <v>0.40277777777777779</v>
      </c>
      <c r="D53" s="150">
        <f>D52/(24*60*G4)</f>
        <v>0.40277777777777779</v>
      </c>
      <c r="E53" s="151">
        <f>E52/(G4*24)</f>
        <v>0.40277777777777785</v>
      </c>
      <c r="F53" s="187"/>
    </row>
    <row r="54" spans="1:11">
      <c r="E54" s="195"/>
      <c r="F54" s="187"/>
    </row>
    <row r="55" spans="1:11">
      <c r="E55" s="195"/>
    </row>
    <row r="56" spans="1:11">
      <c r="A56" s="196" t="s">
        <v>98</v>
      </c>
      <c r="B56" s="197"/>
      <c r="C56" s="198"/>
      <c r="D56" s="198"/>
      <c r="E56" s="198"/>
      <c r="F56" s="199"/>
      <c r="G56" s="198"/>
      <c r="H56" s="200"/>
      <c r="I56" s="201" t="s">
        <v>99</v>
      </c>
      <c r="J56" s="202">
        <f>D34</f>
        <v>500</v>
      </c>
      <c r="K56" s="203">
        <f>J56/(J40+J56/1000)/1000</f>
        <v>2.6060669237986028E-2</v>
      </c>
    </row>
    <row r="57" spans="1:11">
      <c r="A57" s="178"/>
      <c r="I57" s="201" t="s">
        <v>100</v>
      </c>
      <c r="J57" s="202">
        <f>+E34</f>
        <v>0</v>
      </c>
      <c r="K57" s="203">
        <f>J57/(J40+J57/1000)/1000</f>
        <v>0</v>
      </c>
    </row>
    <row r="58" spans="1:11">
      <c r="A58" s="204"/>
      <c r="B58" s="205"/>
      <c r="F58" s="187"/>
      <c r="H58" s="206"/>
    </row>
    <row r="59" spans="1:11">
      <c r="A59" s="207"/>
      <c r="B59" s="178"/>
      <c r="C59" s="178"/>
      <c r="D59" s="178"/>
      <c r="E59" s="178"/>
      <c r="F59" s="191"/>
      <c r="G59" s="178"/>
      <c r="H59" s="206"/>
    </row>
    <row r="60" spans="1:11">
      <c r="H60" s="206"/>
    </row>
    <row r="61" spans="1:11">
      <c r="A61" s="208"/>
      <c r="B61" s="209"/>
      <c r="C61" s="209"/>
      <c r="D61" s="209"/>
      <c r="E61" s="209"/>
      <c r="F61" s="210"/>
      <c r="G61" s="209"/>
      <c r="H61" s="211"/>
    </row>
  </sheetData>
  <mergeCells count="24"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</mergeCells>
  <phoneticPr fontId="30" type="noConversion"/>
  <printOptions horizontalCentered="1"/>
  <pageMargins left="0.15625" right="0.15625" top="0.17" bottom="0.16" header="0" footer="0"/>
  <pageSetup paperSize="9" scale="44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37</vt:i4>
      </vt:variant>
    </vt:vector>
  </HeadingPairs>
  <TitlesOfParts>
    <vt:vector size="79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  <vt:lpstr>summary!Print_Area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2025-11-05T04:06:45Z</cp:lastPrinted>
  <dcterms:created xsi:type="dcterms:W3CDTF">2007-07-30T03:52:39Z</dcterms:created>
  <dcterms:modified xsi:type="dcterms:W3CDTF">2025-11-05T06:59:11Z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  <property fmtid="{D5CDD505-2E9C-101B-9397-08002B2CF9AE}" pid="3" name="NXPowerLiteLastOptimized">
    <vt:lpwstr>521628</vt:lpwstr>
  </property>
  <property fmtid="{D5CDD505-2E9C-101B-9397-08002B2CF9AE}" pid="4" name="NXPowerLiteSettings">
    <vt:lpwstr>C7000400038000</vt:lpwstr>
  </property>
  <property fmtid="{D5CDD505-2E9C-101B-9397-08002B2CF9AE}" pid="5" name="NXPowerLiteVersion">
    <vt:lpwstr>S10.3.1</vt:lpwstr>
  </property>
</Properties>
</file>